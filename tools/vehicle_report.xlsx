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EF011E48-EF78-4ECB-A09D-EEB4870CE41E}" xr6:coauthVersionLast="47" xr6:coauthVersionMax="47" xr10:uidLastSave="{00000000-0000-0000-0000-000000000000}"/>
  <bookViews>
    <workbookView xWindow="-103" yWindow="-103" windowWidth="22149" windowHeight="13320" xr2:uid="{CD617D9B-F36C-46EF-BCBA-53A7DDA5DBDF}"/>
  </bookViews>
  <sheets>
    <sheet name="properties" sheetId="1" r:id="rId1"/>
    <sheet name="copyright_text" sheetId="6" r:id="rId2"/>
    <sheet name="item_validation" sheetId="7" r:id="rId3"/>
  </sheets>
  <definedNames>
    <definedName name="VALID_REGIONS">Table3[VALID_REGIONS]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" i="1" l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255" i="1"/>
  <c r="AK256" i="1"/>
  <c r="AK257" i="1"/>
  <c r="AK258" i="1"/>
  <c r="AK259" i="1"/>
  <c r="AK260" i="1"/>
  <c r="AK261" i="1"/>
  <c r="AK262" i="1"/>
  <c r="AK263" i="1"/>
  <c r="AK264" i="1"/>
  <c r="AK265" i="1"/>
  <c r="AK266" i="1"/>
  <c r="AK267" i="1"/>
  <c r="AK268" i="1"/>
  <c r="AK269" i="1"/>
  <c r="AK270" i="1"/>
  <c r="AK271" i="1"/>
  <c r="AK272" i="1"/>
  <c r="AK273" i="1"/>
  <c r="AK274" i="1"/>
  <c r="AK275" i="1"/>
  <c r="AK276" i="1"/>
  <c r="AK277" i="1"/>
  <c r="AK278" i="1"/>
  <c r="AK279" i="1"/>
  <c r="AK280" i="1"/>
  <c r="AK281" i="1"/>
  <c r="AK282" i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AK302" i="1"/>
  <c r="AK303" i="1"/>
  <c r="AK304" i="1"/>
  <c r="AK305" i="1"/>
  <c r="AK306" i="1"/>
  <c r="AK307" i="1"/>
  <c r="AK308" i="1"/>
  <c r="AK309" i="1"/>
  <c r="AK310" i="1"/>
  <c r="AK311" i="1"/>
  <c r="AK312" i="1"/>
  <c r="AK313" i="1"/>
  <c r="AK314" i="1"/>
  <c r="AK315" i="1"/>
  <c r="AK316" i="1"/>
  <c r="AK317" i="1"/>
  <c r="AK318" i="1"/>
  <c r="AK319" i="1"/>
  <c r="AK320" i="1"/>
  <c r="AK321" i="1"/>
  <c r="AK322" i="1"/>
  <c r="AK323" i="1"/>
  <c r="AK324" i="1"/>
  <c r="AK325" i="1"/>
  <c r="AK326" i="1"/>
  <c r="AK327" i="1"/>
  <c r="AK328" i="1"/>
  <c r="AK329" i="1"/>
  <c r="AK330" i="1"/>
  <c r="AK331" i="1"/>
  <c r="AK332" i="1"/>
  <c r="AK333" i="1"/>
  <c r="AK334" i="1"/>
  <c r="AK335" i="1"/>
  <c r="AK336" i="1"/>
  <c r="AK337" i="1"/>
  <c r="AK338" i="1"/>
  <c r="AK339" i="1"/>
  <c r="AK340" i="1"/>
  <c r="AK341" i="1"/>
  <c r="AK342" i="1"/>
  <c r="AK343" i="1"/>
  <c r="AK344" i="1"/>
  <c r="AK345" i="1"/>
  <c r="AK346" i="1"/>
  <c r="AK347" i="1"/>
  <c r="AK348" i="1"/>
  <c r="AK349" i="1"/>
  <c r="AK350" i="1"/>
  <c r="AK351" i="1"/>
  <c r="AK352" i="1"/>
  <c r="AK353" i="1"/>
  <c r="AK354" i="1"/>
  <c r="AK355" i="1"/>
  <c r="AK356" i="1"/>
  <c r="AK357" i="1"/>
  <c r="AK358" i="1"/>
  <c r="AK359" i="1"/>
  <c r="AK360" i="1"/>
  <c r="AK361" i="1"/>
  <c r="AK362" i="1"/>
  <c r="AK363" i="1"/>
  <c r="AK364" i="1"/>
  <c r="AK365" i="1"/>
  <c r="AK366" i="1"/>
  <c r="AK367" i="1"/>
  <c r="AK368" i="1"/>
  <c r="AK369" i="1"/>
  <c r="AK370" i="1"/>
  <c r="AK371" i="1"/>
  <c r="AK372" i="1"/>
  <c r="AK373" i="1"/>
  <c r="AK374" i="1"/>
  <c r="AK375" i="1"/>
  <c r="AK376" i="1"/>
  <c r="AK377" i="1"/>
  <c r="AK378" i="1"/>
  <c r="AK379" i="1"/>
  <c r="AK380" i="1"/>
  <c r="AK381" i="1"/>
  <c r="AK382" i="1"/>
  <c r="AK383" i="1"/>
  <c r="AK384" i="1"/>
  <c r="AK385" i="1"/>
  <c r="AK386" i="1"/>
  <c r="AK387" i="1"/>
  <c r="AK388" i="1"/>
  <c r="AK389" i="1"/>
  <c r="AK390" i="1"/>
  <c r="AK391" i="1"/>
  <c r="AK392" i="1"/>
  <c r="AK393" i="1"/>
  <c r="AK394" i="1"/>
  <c r="AK395" i="1"/>
  <c r="AK396" i="1"/>
  <c r="AK397" i="1"/>
  <c r="AK398" i="1"/>
  <c r="AK399" i="1"/>
  <c r="AK400" i="1"/>
  <c r="AK401" i="1"/>
  <c r="AK402" i="1"/>
  <c r="AK403" i="1"/>
  <c r="AK404" i="1"/>
  <c r="AK405" i="1"/>
  <c r="AK406" i="1"/>
  <c r="AK407" i="1"/>
  <c r="AK408" i="1"/>
  <c r="AK409" i="1"/>
  <c r="AK410" i="1"/>
  <c r="AK411" i="1"/>
  <c r="AK412" i="1"/>
  <c r="AK413" i="1"/>
  <c r="AK414" i="1"/>
  <c r="AK415" i="1"/>
  <c r="AK416" i="1"/>
  <c r="AK417" i="1"/>
  <c r="AK418" i="1"/>
  <c r="AK419" i="1"/>
  <c r="AK420" i="1"/>
  <c r="AK421" i="1"/>
  <c r="AK422" i="1"/>
  <c r="AK423" i="1"/>
  <c r="AK424" i="1"/>
  <c r="AK425" i="1"/>
  <c r="AK426" i="1"/>
  <c r="AK427" i="1"/>
  <c r="AK428" i="1"/>
  <c r="AK429" i="1"/>
  <c r="AK430" i="1"/>
  <c r="AK431" i="1"/>
  <c r="AK432" i="1"/>
  <c r="AK433" i="1"/>
  <c r="AK434" i="1"/>
  <c r="AK435" i="1"/>
  <c r="AK436" i="1"/>
  <c r="AK437" i="1"/>
  <c r="AK438" i="1"/>
  <c r="AK439" i="1"/>
  <c r="AK440" i="1"/>
  <c r="AK441" i="1"/>
  <c r="AK442" i="1"/>
  <c r="AK443" i="1"/>
  <c r="AK444" i="1"/>
  <c r="AK445" i="1"/>
  <c r="AK446" i="1"/>
  <c r="AK447" i="1"/>
  <c r="AK448" i="1"/>
  <c r="AK449" i="1"/>
  <c r="AK450" i="1"/>
  <c r="AK451" i="1"/>
  <c r="AK452" i="1"/>
  <c r="AK453" i="1"/>
  <c r="AK454" i="1"/>
  <c r="AK455" i="1"/>
  <c r="AK456" i="1"/>
  <c r="AK457" i="1"/>
  <c r="AK458" i="1"/>
  <c r="AK459" i="1"/>
  <c r="AK460" i="1"/>
  <c r="AK461" i="1"/>
  <c r="AK462" i="1"/>
  <c r="AK463" i="1"/>
  <c r="AK464" i="1"/>
  <c r="AK465" i="1"/>
  <c r="AK466" i="1"/>
  <c r="AK467" i="1"/>
  <c r="AK468" i="1"/>
  <c r="AK469" i="1"/>
  <c r="AK470" i="1"/>
  <c r="AK471" i="1"/>
  <c r="AK472" i="1"/>
  <c r="AK473" i="1"/>
  <c r="AK474" i="1"/>
  <c r="AK475" i="1"/>
  <c r="AK476" i="1"/>
  <c r="AK477" i="1"/>
  <c r="AK478" i="1"/>
  <c r="AK479" i="1"/>
  <c r="AK480" i="1"/>
  <c r="AK481" i="1"/>
  <c r="AK482" i="1"/>
  <c r="AK483" i="1"/>
  <c r="AK484" i="1"/>
  <c r="AK485" i="1"/>
  <c r="AK486" i="1"/>
  <c r="AK487" i="1"/>
  <c r="AK488" i="1"/>
  <c r="AK489" i="1"/>
  <c r="AK490" i="1"/>
  <c r="AK491" i="1"/>
  <c r="AK492" i="1"/>
  <c r="AK493" i="1"/>
  <c r="AK494" i="1"/>
  <c r="AK495" i="1"/>
  <c r="AK496" i="1"/>
  <c r="AK497" i="1"/>
  <c r="AK498" i="1"/>
  <c r="AK499" i="1"/>
  <c r="AK500" i="1"/>
  <c r="AK501" i="1"/>
  <c r="AK502" i="1"/>
  <c r="AK503" i="1"/>
  <c r="AK504" i="1"/>
  <c r="AK505" i="1"/>
  <c r="AK506" i="1"/>
  <c r="AK507" i="1"/>
  <c r="AK508" i="1"/>
  <c r="AK509" i="1"/>
  <c r="AK510" i="1"/>
  <c r="AK511" i="1"/>
  <c r="AK512" i="1"/>
  <c r="AK513" i="1"/>
  <c r="AK514" i="1"/>
  <c r="AK515" i="1"/>
  <c r="AK516" i="1"/>
  <c r="AK517" i="1"/>
  <c r="AK518" i="1"/>
  <c r="AK519" i="1"/>
  <c r="AK520" i="1"/>
  <c r="AK521" i="1"/>
  <c r="AK522" i="1"/>
  <c r="AK523" i="1"/>
  <c r="AK524" i="1"/>
  <c r="AK525" i="1"/>
  <c r="AK526" i="1"/>
  <c r="AK527" i="1"/>
  <c r="AK528" i="1"/>
  <c r="AK529" i="1"/>
  <c r="AK530" i="1"/>
  <c r="AK531" i="1"/>
  <c r="AK532" i="1"/>
  <c r="AK533" i="1"/>
  <c r="AK534" i="1"/>
  <c r="AK535" i="1"/>
  <c r="AK536" i="1"/>
  <c r="AK537" i="1"/>
  <c r="AK538" i="1"/>
  <c r="AK539" i="1"/>
  <c r="AK540" i="1"/>
  <c r="AK541" i="1"/>
  <c r="AK542" i="1"/>
  <c r="AK543" i="1"/>
  <c r="AK544" i="1"/>
  <c r="AK545" i="1"/>
  <c r="AK546" i="1"/>
  <c r="AK547" i="1"/>
  <c r="AK548" i="1"/>
  <c r="AK549" i="1"/>
  <c r="AK550" i="1"/>
  <c r="AK551" i="1"/>
  <c r="AK552" i="1"/>
  <c r="AK553" i="1"/>
  <c r="AK554" i="1"/>
  <c r="AK555" i="1"/>
  <c r="AK556" i="1"/>
  <c r="AK557" i="1"/>
  <c r="AK558" i="1"/>
  <c r="AK559" i="1"/>
  <c r="AK560" i="1"/>
  <c r="AK561" i="1"/>
  <c r="AK562" i="1"/>
  <c r="AK563" i="1"/>
  <c r="AK564" i="1"/>
  <c r="AK565" i="1"/>
  <c r="AK566" i="1"/>
  <c r="AK567" i="1"/>
  <c r="AK568" i="1"/>
  <c r="AK569" i="1"/>
  <c r="AK570" i="1"/>
  <c r="AK571" i="1"/>
  <c r="AK572" i="1"/>
  <c r="AK573" i="1"/>
  <c r="AK574" i="1"/>
  <c r="AK575" i="1"/>
  <c r="AK576" i="1"/>
  <c r="AK577" i="1"/>
  <c r="AK578" i="1"/>
  <c r="AK579" i="1"/>
  <c r="AK580" i="1"/>
  <c r="AK581" i="1"/>
  <c r="AK582" i="1"/>
  <c r="AK583" i="1"/>
  <c r="AK584" i="1"/>
  <c r="AK585" i="1"/>
  <c r="AK586" i="1"/>
  <c r="AK587" i="1"/>
  <c r="AK588" i="1"/>
  <c r="AK589" i="1"/>
  <c r="AK590" i="1"/>
  <c r="AK591" i="1"/>
  <c r="AK592" i="1"/>
  <c r="AK593" i="1"/>
  <c r="AK594" i="1"/>
  <c r="AK595" i="1"/>
  <c r="AK596" i="1"/>
  <c r="AK597" i="1"/>
  <c r="AK598" i="1"/>
  <c r="AK599" i="1"/>
  <c r="AK600" i="1"/>
  <c r="AK601" i="1"/>
  <c r="AK602" i="1"/>
  <c r="AK603" i="1"/>
  <c r="AK604" i="1"/>
  <c r="AK605" i="1"/>
  <c r="AK606" i="1"/>
  <c r="AK607" i="1"/>
  <c r="AK608" i="1"/>
  <c r="AK609" i="1"/>
  <c r="AK610" i="1"/>
  <c r="AK611" i="1"/>
  <c r="AK612" i="1"/>
  <c r="AK613" i="1"/>
  <c r="AK614" i="1"/>
  <c r="AK615" i="1"/>
  <c r="AK616" i="1"/>
  <c r="AK617" i="1"/>
  <c r="AK618" i="1"/>
  <c r="AK619" i="1"/>
  <c r="AK620" i="1"/>
  <c r="AK621" i="1"/>
  <c r="AK622" i="1"/>
  <c r="AK623" i="1"/>
  <c r="AK624" i="1"/>
  <c r="AK625" i="1"/>
  <c r="AK626" i="1"/>
  <c r="AK627" i="1"/>
  <c r="AK628" i="1"/>
  <c r="AK629" i="1"/>
  <c r="AK630" i="1"/>
  <c r="AK631" i="1"/>
  <c r="AK632" i="1"/>
  <c r="AK633" i="1"/>
  <c r="AK634" i="1"/>
  <c r="AK635" i="1"/>
  <c r="AK636" i="1"/>
  <c r="AK637" i="1"/>
  <c r="AK638" i="1"/>
  <c r="AK639" i="1"/>
  <c r="AK640" i="1"/>
  <c r="AK641" i="1"/>
  <c r="AK642" i="1"/>
  <c r="AK643" i="1"/>
  <c r="AK644" i="1"/>
  <c r="AK645" i="1"/>
  <c r="AK646" i="1"/>
  <c r="AK647" i="1"/>
  <c r="AK648" i="1"/>
  <c r="AK649" i="1"/>
  <c r="AK650" i="1"/>
  <c r="AK651" i="1"/>
  <c r="AK652" i="1"/>
  <c r="AK653" i="1"/>
  <c r="AK654" i="1"/>
  <c r="AK655" i="1"/>
  <c r="AK656" i="1"/>
  <c r="AK657" i="1"/>
  <c r="AK658" i="1"/>
  <c r="AK659" i="1"/>
  <c r="AK660" i="1"/>
  <c r="AK661" i="1"/>
  <c r="AK662" i="1"/>
  <c r="AK663" i="1"/>
  <c r="AK664" i="1"/>
  <c r="AK665" i="1"/>
  <c r="AK666" i="1"/>
  <c r="AK667" i="1"/>
  <c r="AK668" i="1"/>
  <c r="AK669" i="1"/>
  <c r="AK670" i="1"/>
  <c r="AK671" i="1"/>
  <c r="AK672" i="1"/>
  <c r="AK673" i="1"/>
  <c r="AK674" i="1"/>
  <c r="AK675" i="1"/>
  <c r="AK676" i="1"/>
  <c r="AK677" i="1"/>
  <c r="AK678" i="1"/>
  <c r="AK679" i="1"/>
  <c r="AK680" i="1"/>
  <c r="AK681" i="1"/>
  <c r="AK682" i="1"/>
  <c r="AK683" i="1"/>
  <c r="AK684" i="1"/>
  <c r="AK685" i="1"/>
  <c r="AK686" i="1"/>
  <c r="AK687" i="1"/>
  <c r="AK688" i="1"/>
  <c r="AK689" i="1"/>
  <c r="AK690" i="1"/>
  <c r="AK691" i="1"/>
  <c r="AK692" i="1"/>
  <c r="AK693" i="1"/>
  <c r="AK694" i="1"/>
  <c r="AK695" i="1"/>
  <c r="AK696" i="1"/>
  <c r="AK697" i="1"/>
  <c r="AK698" i="1"/>
  <c r="AK699" i="1"/>
  <c r="AK700" i="1"/>
  <c r="AK701" i="1"/>
  <c r="AK702" i="1"/>
  <c r="AK703" i="1"/>
  <c r="AK704" i="1"/>
  <c r="AK705" i="1"/>
  <c r="AK706" i="1"/>
  <c r="AK707" i="1"/>
  <c r="AK708" i="1"/>
  <c r="AK709" i="1"/>
  <c r="AK710" i="1"/>
  <c r="AK711" i="1"/>
  <c r="AK712" i="1"/>
  <c r="AK713" i="1"/>
  <c r="AK714" i="1"/>
  <c r="AK715" i="1"/>
  <c r="AK716" i="1"/>
  <c r="AK717" i="1"/>
  <c r="AK718" i="1"/>
  <c r="AK719" i="1"/>
  <c r="AK720" i="1"/>
  <c r="AK721" i="1"/>
  <c r="AK722" i="1"/>
  <c r="AK723" i="1"/>
  <c r="AK724" i="1"/>
  <c r="AK725" i="1"/>
  <c r="AK726" i="1"/>
  <c r="AK727" i="1"/>
  <c r="AK728" i="1"/>
  <c r="AK729" i="1"/>
  <c r="AK730" i="1"/>
  <c r="AK731" i="1"/>
  <c r="AK732" i="1"/>
  <c r="AK733" i="1"/>
  <c r="AK734" i="1"/>
  <c r="AK735" i="1"/>
  <c r="AK736" i="1"/>
  <c r="AK737" i="1"/>
  <c r="AK738" i="1"/>
  <c r="AK739" i="1"/>
  <c r="AK740" i="1"/>
  <c r="AK741" i="1"/>
  <c r="AK742" i="1"/>
  <c r="AK743" i="1"/>
  <c r="AK744" i="1"/>
  <c r="AK745" i="1"/>
  <c r="AK746" i="1"/>
  <c r="AK747" i="1"/>
  <c r="AK748" i="1"/>
  <c r="AK749" i="1"/>
  <c r="AK750" i="1"/>
  <c r="AK751" i="1"/>
  <c r="AK752" i="1"/>
  <c r="AK753" i="1"/>
  <c r="AK754" i="1"/>
  <c r="AK755" i="1"/>
  <c r="AK756" i="1"/>
  <c r="AK757" i="1"/>
  <c r="AK758" i="1"/>
  <c r="AK759" i="1"/>
  <c r="AK760" i="1"/>
  <c r="AK761" i="1"/>
  <c r="AK762" i="1"/>
  <c r="AK763" i="1"/>
  <c r="AK764" i="1"/>
  <c r="AK765" i="1"/>
  <c r="AK766" i="1"/>
  <c r="AK767" i="1"/>
  <c r="AK768" i="1"/>
  <c r="AK769" i="1"/>
  <c r="AK770" i="1"/>
  <c r="AK771" i="1"/>
  <c r="AK772" i="1"/>
  <c r="AK773" i="1"/>
  <c r="AK774" i="1"/>
  <c r="AK775" i="1"/>
  <c r="AK776" i="1"/>
  <c r="AK777" i="1"/>
  <c r="AK778" i="1"/>
  <c r="AK779" i="1"/>
  <c r="AK780" i="1"/>
  <c r="AK781" i="1"/>
  <c r="AK782" i="1"/>
  <c r="AK783" i="1"/>
  <c r="AK784" i="1"/>
  <c r="AK785" i="1"/>
  <c r="AK786" i="1"/>
  <c r="AK787" i="1"/>
  <c r="AK788" i="1"/>
  <c r="AK789" i="1"/>
  <c r="B2" i="1"/>
  <c r="D2" i="1" s="1"/>
  <c r="BG2" i="1" s="1"/>
  <c r="B3" i="1"/>
  <c r="D3" i="1" s="1"/>
  <c r="BG3" i="1" s="1"/>
  <c r="B4" i="1"/>
  <c r="D4" i="1" s="1"/>
  <c r="BG4" i="1" s="1"/>
  <c r="B5" i="1"/>
  <c r="D5" i="1" s="1"/>
  <c r="BG5" i="1" s="1"/>
  <c r="B6" i="1"/>
  <c r="D6" i="1" s="1"/>
  <c r="BG6" i="1" s="1"/>
  <c r="B7" i="1"/>
  <c r="D7" i="1" s="1"/>
  <c r="BG7" i="1" s="1"/>
  <c r="B8" i="1"/>
  <c r="D8" i="1" s="1"/>
  <c r="BG8" i="1" s="1"/>
  <c r="B9" i="1"/>
  <c r="D9" i="1" s="1"/>
  <c r="BG9" i="1" s="1"/>
  <c r="B10" i="1"/>
  <c r="D10" i="1" s="1"/>
  <c r="BG10" i="1" s="1"/>
  <c r="B11" i="1"/>
  <c r="D11" i="1" s="1"/>
  <c r="BG11" i="1" s="1"/>
  <c r="B12" i="1"/>
  <c r="D12" i="1" s="1"/>
  <c r="BG12" i="1" s="1"/>
  <c r="B13" i="1"/>
  <c r="D13" i="1" s="1"/>
  <c r="BG13" i="1" s="1"/>
  <c r="B14" i="1"/>
  <c r="D14" i="1" s="1"/>
  <c r="BG14" i="1" s="1"/>
  <c r="B15" i="1"/>
  <c r="D15" i="1" s="1"/>
  <c r="BG15" i="1" s="1"/>
  <c r="B16" i="1"/>
  <c r="D16" i="1" s="1"/>
  <c r="BG16" i="1" s="1"/>
  <c r="B17" i="1"/>
  <c r="D17" i="1" s="1"/>
  <c r="BG17" i="1" s="1"/>
  <c r="B18" i="1"/>
  <c r="D18" i="1" s="1"/>
  <c r="BG18" i="1" s="1"/>
  <c r="B19" i="1"/>
  <c r="D19" i="1" s="1"/>
  <c r="BG19" i="1" s="1"/>
  <c r="B20" i="1"/>
  <c r="D20" i="1" s="1"/>
  <c r="BG20" i="1" s="1"/>
  <c r="B21" i="1"/>
  <c r="D21" i="1" s="1"/>
  <c r="BG21" i="1" s="1"/>
  <c r="B22" i="1"/>
  <c r="D22" i="1" s="1"/>
  <c r="BG22" i="1" s="1"/>
  <c r="B23" i="1"/>
  <c r="D23" i="1" s="1"/>
  <c r="BG23" i="1" s="1"/>
  <c r="B24" i="1"/>
  <c r="D24" i="1" s="1"/>
  <c r="BG24" i="1" s="1"/>
  <c r="B25" i="1"/>
  <c r="D25" i="1" s="1"/>
  <c r="BG25" i="1" s="1"/>
  <c r="B26" i="1"/>
  <c r="D26" i="1" s="1"/>
  <c r="BG26" i="1" s="1"/>
  <c r="B27" i="1"/>
  <c r="D27" i="1" s="1"/>
  <c r="BG27" i="1" s="1"/>
  <c r="B28" i="1"/>
  <c r="D28" i="1" s="1"/>
  <c r="BG28" i="1" s="1"/>
  <c r="B29" i="1"/>
  <c r="D29" i="1" s="1"/>
  <c r="BG29" i="1" s="1"/>
  <c r="B30" i="1"/>
  <c r="D30" i="1" s="1"/>
  <c r="BG30" i="1" s="1"/>
  <c r="B31" i="1"/>
  <c r="D31" i="1" s="1"/>
  <c r="BG31" i="1" s="1"/>
  <c r="B32" i="1"/>
  <c r="D32" i="1" s="1"/>
  <c r="BG32" i="1" s="1"/>
  <c r="B33" i="1"/>
  <c r="D33" i="1" s="1"/>
  <c r="BG33" i="1" s="1"/>
  <c r="B34" i="1"/>
  <c r="D34" i="1" s="1"/>
  <c r="BG34" i="1" s="1"/>
  <c r="B35" i="1"/>
  <c r="D35" i="1" s="1"/>
  <c r="BG35" i="1" s="1"/>
  <c r="B36" i="1"/>
  <c r="D36" i="1" s="1"/>
  <c r="BG36" i="1" s="1"/>
  <c r="B37" i="1"/>
  <c r="D37" i="1" s="1"/>
  <c r="BG37" i="1" s="1"/>
  <c r="B38" i="1"/>
  <c r="D38" i="1" s="1"/>
  <c r="BG38" i="1" s="1"/>
  <c r="B39" i="1"/>
  <c r="D39" i="1" s="1"/>
  <c r="BG39" i="1" s="1"/>
  <c r="B40" i="1"/>
  <c r="D40" i="1" s="1"/>
  <c r="BG40" i="1" s="1"/>
  <c r="B41" i="1"/>
  <c r="D41" i="1" s="1"/>
  <c r="BG41" i="1" s="1"/>
  <c r="B42" i="1"/>
  <c r="D42" i="1" s="1"/>
  <c r="BG42" i="1" s="1"/>
  <c r="B43" i="1"/>
  <c r="D43" i="1" s="1"/>
  <c r="BG43" i="1" s="1"/>
  <c r="B44" i="1"/>
  <c r="D44" i="1" s="1"/>
  <c r="BG44" i="1" s="1"/>
  <c r="B45" i="1"/>
  <c r="D45" i="1" s="1"/>
  <c r="BG45" i="1" s="1"/>
  <c r="B46" i="1"/>
  <c r="D46" i="1" s="1"/>
  <c r="BG46" i="1" s="1"/>
  <c r="B47" i="1"/>
  <c r="D47" i="1" s="1"/>
  <c r="BG47" i="1" s="1"/>
  <c r="B48" i="1"/>
  <c r="D48" i="1" s="1"/>
  <c r="BG48" i="1" s="1"/>
  <c r="B49" i="1"/>
  <c r="D49" i="1" s="1"/>
  <c r="BG49" i="1" s="1"/>
  <c r="B50" i="1"/>
  <c r="D50" i="1" s="1"/>
  <c r="BG50" i="1" s="1"/>
  <c r="B51" i="1"/>
  <c r="D51" i="1" s="1"/>
  <c r="BG51" i="1" s="1"/>
  <c r="B52" i="1"/>
  <c r="D52" i="1" s="1"/>
  <c r="BG52" i="1" s="1"/>
  <c r="B53" i="1"/>
  <c r="D53" i="1" s="1"/>
  <c r="BG53" i="1" s="1"/>
  <c r="B54" i="1"/>
  <c r="D54" i="1" s="1"/>
  <c r="BG54" i="1" s="1"/>
  <c r="B55" i="1"/>
  <c r="D55" i="1" s="1"/>
  <c r="BG55" i="1" s="1"/>
  <c r="B56" i="1"/>
  <c r="D56" i="1" s="1"/>
  <c r="BG56" i="1" s="1"/>
  <c r="B57" i="1"/>
  <c r="D57" i="1" s="1"/>
  <c r="BG57" i="1" s="1"/>
  <c r="B58" i="1"/>
  <c r="D58" i="1" s="1"/>
  <c r="BG58" i="1" s="1"/>
  <c r="B59" i="1"/>
  <c r="D59" i="1" s="1"/>
  <c r="BG59" i="1" s="1"/>
  <c r="B60" i="1"/>
  <c r="D60" i="1" s="1"/>
  <c r="BG60" i="1" s="1"/>
  <c r="B61" i="1"/>
  <c r="D61" i="1" s="1"/>
  <c r="BG61" i="1" s="1"/>
  <c r="B62" i="1"/>
  <c r="D62" i="1" s="1"/>
  <c r="BG62" i="1" s="1"/>
  <c r="B63" i="1"/>
  <c r="D63" i="1" s="1"/>
  <c r="BG63" i="1" s="1"/>
  <c r="B64" i="1"/>
  <c r="D64" i="1" s="1"/>
  <c r="BG64" i="1" s="1"/>
  <c r="B65" i="1"/>
  <c r="D65" i="1" s="1"/>
  <c r="BG65" i="1" s="1"/>
  <c r="B66" i="1"/>
  <c r="D66" i="1" s="1"/>
  <c r="BG66" i="1" s="1"/>
  <c r="B67" i="1"/>
  <c r="D67" i="1" s="1"/>
  <c r="BG67" i="1" s="1"/>
  <c r="B68" i="1"/>
  <c r="D68" i="1" s="1"/>
  <c r="BG68" i="1" s="1"/>
  <c r="B69" i="1"/>
  <c r="D69" i="1" s="1"/>
  <c r="BG69" i="1" s="1"/>
  <c r="B70" i="1"/>
  <c r="D70" i="1" s="1"/>
  <c r="BG70" i="1" s="1"/>
  <c r="B71" i="1"/>
  <c r="D71" i="1" s="1"/>
  <c r="BG71" i="1" s="1"/>
  <c r="B72" i="1"/>
  <c r="D72" i="1" s="1"/>
  <c r="BG72" i="1" s="1"/>
  <c r="B73" i="1"/>
  <c r="D73" i="1" s="1"/>
  <c r="BG73" i="1" s="1"/>
  <c r="B74" i="1"/>
  <c r="D74" i="1" s="1"/>
  <c r="BG74" i="1" s="1"/>
  <c r="B75" i="1"/>
  <c r="D75" i="1" s="1"/>
  <c r="BG75" i="1" s="1"/>
  <c r="B76" i="1"/>
  <c r="D76" i="1" s="1"/>
  <c r="BG76" i="1" s="1"/>
  <c r="B77" i="1"/>
  <c r="D77" i="1" s="1"/>
  <c r="BG77" i="1" s="1"/>
  <c r="B78" i="1"/>
  <c r="D78" i="1" s="1"/>
  <c r="BG78" i="1" s="1"/>
  <c r="B79" i="1"/>
  <c r="D79" i="1" s="1"/>
  <c r="BG79" i="1" s="1"/>
  <c r="B80" i="1"/>
  <c r="D80" i="1" s="1"/>
  <c r="BG80" i="1" s="1"/>
  <c r="B81" i="1"/>
  <c r="D81" i="1" s="1"/>
  <c r="BG81" i="1" s="1"/>
  <c r="B82" i="1"/>
  <c r="D82" i="1" s="1"/>
  <c r="BG82" i="1" s="1"/>
  <c r="B83" i="1"/>
  <c r="D83" i="1" s="1"/>
  <c r="BG83" i="1" s="1"/>
  <c r="B84" i="1"/>
  <c r="D84" i="1" s="1"/>
  <c r="BG84" i="1" s="1"/>
  <c r="B85" i="1"/>
  <c r="D85" i="1" s="1"/>
  <c r="BG85" i="1" s="1"/>
  <c r="B86" i="1"/>
  <c r="D86" i="1" s="1"/>
  <c r="BG86" i="1" s="1"/>
  <c r="B87" i="1"/>
  <c r="D87" i="1" s="1"/>
  <c r="BG87" i="1" s="1"/>
  <c r="B88" i="1"/>
  <c r="D88" i="1" s="1"/>
  <c r="BG88" i="1" s="1"/>
  <c r="B89" i="1"/>
  <c r="D89" i="1" s="1"/>
  <c r="BG89" i="1" s="1"/>
  <c r="B90" i="1"/>
  <c r="D90" i="1" s="1"/>
  <c r="BG90" i="1" s="1"/>
  <c r="B91" i="1"/>
  <c r="D91" i="1" s="1"/>
  <c r="BG91" i="1" s="1"/>
  <c r="B92" i="1"/>
  <c r="D92" i="1" s="1"/>
  <c r="BG92" i="1" s="1"/>
  <c r="B93" i="1"/>
  <c r="D93" i="1" s="1"/>
  <c r="BG93" i="1" s="1"/>
  <c r="B94" i="1"/>
  <c r="D94" i="1" s="1"/>
  <c r="BG94" i="1" s="1"/>
  <c r="B95" i="1"/>
  <c r="D95" i="1" s="1"/>
  <c r="BG95" i="1" s="1"/>
  <c r="B96" i="1"/>
  <c r="D96" i="1" s="1"/>
  <c r="BG96" i="1" s="1"/>
  <c r="B97" i="1"/>
  <c r="D97" i="1" s="1"/>
  <c r="BG97" i="1" s="1"/>
  <c r="B98" i="1"/>
  <c r="D98" i="1" s="1"/>
  <c r="BG98" i="1" s="1"/>
  <c r="B99" i="1"/>
  <c r="D99" i="1" s="1"/>
  <c r="BG99" i="1" s="1"/>
  <c r="B100" i="1"/>
  <c r="D100" i="1" s="1"/>
  <c r="BG100" i="1" s="1"/>
  <c r="B101" i="1"/>
  <c r="D101" i="1" s="1"/>
  <c r="BG101" i="1" s="1"/>
  <c r="B102" i="1"/>
  <c r="D102" i="1" s="1"/>
  <c r="BG102" i="1" s="1"/>
  <c r="B103" i="1"/>
  <c r="D103" i="1" s="1"/>
  <c r="BG103" i="1" s="1"/>
  <c r="B104" i="1"/>
  <c r="D104" i="1" s="1"/>
  <c r="BG104" i="1" s="1"/>
  <c r="B105" i="1"/>
  <c r="D105" i="1" s="1"/>
  <c r="BG105" i="1" s="1"/>
  <c r="B106" i="1"/>
  <c r="D106" i="1" s="1"/>
  <c r="BG106" i="1" s="1"/>
  <c r="B107" i="1"/>
  <c r="D107" i="1" s="1"/>
  <c r="BG107" i="1" s="1"/>
  <c r="B108" i="1"/>
  <c r="D108" i="1" s="1"/>
  <c r="BG108" i="1" s="1"/>
  <c r="B109" i="1"/>
  <c r="D109" i="1" s="1"/>
  <c r="BG109" i="1" s="1"/>
  <c r="B110" i="1"/>
  <c r="D110" i="1" s="1"/>
  <c r="BG110" i="1" s="1"/>
  <c r="B111" i="1"/>
  <c r="D111" i="1" s="1"/>
  <c r="BG111" i="1" s="1"/>
  <c r="B112" i="1"/>
  <c r="D112" i="1" s="1"/>
  <c r="BG112" i="1" s="1"/>
  <c r="B113" i="1"/>
  <c r="D113" i="1" s="1"/>
  <c r="BG113" i="1" s="1"/>
  <c r="B114" i="1"/>
  <c r="D114" i="1" s="1"/>
  <c r="BG114" i="1" s="1"/>
  <c r="B115" i="1"/>
  <c r="D115" i="1" s="1"/>
  <c r="BG115" i="1" s="1"/>
  <c r="B116" i="1"/>
  <c r="D116" i="1" s="1"/>
  <c r="BG116" i="1" s="1"/>
  <c r="B117" i="1"/>
  <c r="D117" i="1" s="1"/>
  <c r="BG117" i="1" s="1"/>
  <c r="B118" i="1"/>
  <c r="D118" i="1" s="1"/>
  <c r="BG118" i="1" s="1"/>
  <c r="B119" i="1"/>
  <c r="D119" i="1" s="1"/>
  <c r="BG119" i="1" s="1"/>
  <c r="B120" i="1"/>
  <c r="D120" i="1" s="1"/>
  <c r="BG120" i="1" s="1"/>
  <c r="B121" i="1"/>
  <c r="D121" i="1" s="1"/>
  <c r="BG121" i="1" s="1"/>
  <c r="B122" i="1"/>
  <c r="D122" i="1" s="1"/>
  <c r="BG122" i="1" s="1"/>
  <c r="B123" i="1"/>
  <c r="D123" i="1" s="1"/>
  <c r="BG123" i="1" s="1"/>
  <c r="B124" i="1"/>
  <c r="D124" i="1" s="1"/>
  <c r="BG124" i="1" s="1"/>
  <c r="B125" i="1"/>
  <c r="D125" i="1" s="1"/>
  <c r="BG125" i="1" s="1"/>
  <c r="B126" i="1"/>
  <c r="D126" i="1" s="1"/>
  <c r="BG126" i="1" s="1"/>
  <c r="B127" i="1"/>
  <c r="D127" i="1" s="1"/>
  <c r="BG127" i="1" s="1"/>
  <c r="B128" i="1"/>
  <c r="D128" i="1" s="1"/>
  <c r="BG128" i="1" s="1"/>
  <c r="B129" i="1"/>
  <c r="D129" i="1" s="1"/>
  <c r="BG129" i="1" s="1"/>
  <c r="B130" i="1"/>
  <c r="D130" i="1" s="1"/>
  <c r="BG130" i="1" s="1"/>
  <c r="B131" i="1"/>
  <c r="D131" i="1" s="1"/>
  <c r="BG131" i="1" s="1"/>
  <c r="B132" i="1"/>
  <c r="D132" i="1" s="1"/>
  <c r="BG132" i="1" s="1"/>
  <c r="B133" i="1"/>
  <c r="D133" i="1" s="1"/>
  <c r="BG133" i="1" s="1"/>
  <c r="B134" i="1"/>
  <c r="D134" i="1" s="1"/>
  <c r="BG134" i="1" s="1"/>
  <c r="B135" i="1"/>
  <c r="D135" i="1" s="1"/>
  <c r="BG135" i="1" s="1"/>
  <c r="B136" i="1"/>
  <c r="D136" i="1" s="1"/>
  <c r="BG136" i="1" s="1"/>
  <c r="B137" i="1"/>
  <c r="D137" i="1" s="1"/>
  <c r="BG137" i="1" s="1"/>
  <c r="B138" i="1"/>
  <c r="D138" i="1" s="1"/>
  <c r="BG138" i="1" s="1"/>
  <c r="B139" i="1"/>
  <c r="D139" i="1" s="1"/>
  <c r="BG139" i="1" s="1"/>
  <c r="B140" i="1"/>
  <c r="D140" i="1" s="1"/>
  <c r="BG140" i="1" s="1"/>
  <c r="B141" i="1"/>
  <c r="D141" i="1" s="1"/>
  <c r="BG141" i="1" s="1"/>
  <c r="B142" i="1"/>
  <c r="D142" i="1" s="1"/>
  <c r="BG142" i="1" s="1"/>
  <c r="B143" i="1"/>
  <c r="D143" i="1" s="1"/>
  <c r="BG143" i="1" s="1"/>
  <c r="B144" i="1"/>
  <c r="D144" i="1" s="1"/>
  <c r="BG144" i="1" s="1"/>
  <c r="B145" i="1"/>
  <c r="D145" i="1" s="1"/>
  <c r="BG145" i="1" s="1"/>
  <c r="B146" i="1"/>
  <c r="D146" i="1" s="1"/>
  <c r="BG146" i="1" s="1"/>
  <c r="B147" i="1"/>
  <c r="D147" i="1" s="1"/>
  <c r="BG147" i="1" s="1"/>
  <c r="B148" i="1"/>
  <c r="D148" i="1" s="1"/>
  <c r="BG148" i="1" s="1"/>
  <c r="B149" i="1"/>
  <c r="D149" i="1" s="1"/>
  <c r="BG149" i="1" s="1"/>
  <c r="B150" i="1"/>
  <c r="D150" i="1" s="1"/>
  <c r="BG150" i="1" s="1"/>
  <c r="B151" i="1"/>
  <c r="D151" i="1" s="1"/>
  <c r="BG151" i="1" s="1"/>
  <c r="B152" i="1"/>
  <c r="D152" i="1" s="1"/>
  <c r="BG152" i="1" s="1"/>
  <c r="B153" i="1"/>
  <c r="D153" i="1" s="1"/>
  <c r="BG153" i="1" s="1"/>
  <c r="B154" i="1"/>
  <c r="D154" i="1" s="1"/>
  <c r="BG154" i="1" s="1"/>
  <c r="B155" i="1"/>
  <c r="D155" i="1" s="1"/>
  <c r="BG155" i="1" s="1"/>
  <c r="B156" i="1"/>
  <c r="D156" i="1" s="1"/>
  <c r="BG156" i="1" s="1"/>
  <c r="B157" i="1"/>
  <c r="D157" i="1" s="1"/>
  <c r="BG157" i="1" s="1"/>
  <c r="B158" i="1"/>
  <c r="D158" i="1" s="1"/>
  <c r="BG158" i="1" s="1"/>
  <c r="B159" i="1"/>
  <c r="D159" i="1" s="1"/>
  <c r="BG159" i="1" s="1"/>
  <c r="B160" i="1"/>
  <c r="D160" i="1" s="1"/>
  <c r="BG160" i="1" s="1"/>
  <c r="B161" i="1"/>
  <c r="D161" i="1" s="1"/>
  <c r="BG161" i="1" s="1"/>
  <c r="B162" i="1"/>
  <c r="D162" i="1" s="1"/>
  <c r="BG162" i="1" s="1"/>
  <c r="B163" i="1"/>
  <c r="D163" i="1" s="1"/>
  <c r="BG163" i="1" s="1"/>
  <c r="B164" i="1"/>
  <c r="D164" i="1" s="1"/>
  <c r="BG164" i="1" s="1"/>
  <c r="B165" i="1"/>
  <c r="D165" i="1" s="1"/>
  <c r="BG165" i="1" s="1"/>
  <c r="B166" i="1"/>
  <c r="D166" i="1" s="1"/>
  <c r="BG166" i="1" s="1"/>
  <c r="B167" i="1"/>
  <c r="D167" i="1" s="1"/>
  <c r="BG167" i="1" s="1"/>
  <c r="B168" i="1"/>
  <c r="D168" i="1" s="1"/>
  <c r="BG168" i="1" s="1"/>
  <c r="B169" i="1"/>
  <c r="D169" i="1" s="1"/>
  <c r="BG169" i="1" s="1"/>
  <c r="B170" i="1"/>
  <c r="D170" i="1" s="1"/>
  <c r="BG170" i="1" s="1"/>
  <c r="B171" i="1"/>
  <c r="D171" i="1" s="1"/>
  <c r="BG171" i="1" s="1"/>
  <c r="B172" i="1"/>
  <c r="D172" i="1" s="1"/>
  <c r="BG172" i="1" s="1"/>
  <c r="B173" i="1"/>
  <c r="D173" i="1" s="1"/>
  <c r="BG173" i="1" s="1"/>
  <c r="B174" i="1"/>
  <c r="D174" i="1" s="1"/>
  <c r="BG174" i="1" s="1"/>
  <c r="B175" i="1"/>
  <c r="D175" i="1" s="1"/>
  <c r="BG175" i="1" s="1"/>
  <c r="B176" i="1"/>
  <c r="D176" i="1" s="1"/>
  <c r="BG176" i="1" s="1"/>
  <c r="B177" i="1"/>
  <c r="D177" i="1" s="1"/>
  <c r="BG177" i="1" s="1"/>
  <c r="B178" i="1"/>
  <c r="D178" i="1" s="1"/>
  <c r="BG178" i="1" s="1"/>
  <c r="B179" i="1"/>
  <c r="D179" i="1" s="1"/>
  <c r="BG179" i="1" s="1"/>
  <c r="B180" i="1"/>
  <c r="D180" i="1" s="1"/>
  <c r="BG180" i="1" s="1"/>
  <c r="B181" i="1"/>
  <c r="D181" i="1" s="1"/>
  <c r="BG181" i="1" s="1"/>
  <c r="B182" i="1"/>
  <c r="D182" i="1" s="1"/>
  <c r="BG182" i="1" s="1"/>
  <c r="B183" i="1"/>
  <c r="D183" i="1" s="1"/>
  <c r="BG183" i="1" s="1"/>
  <c r="B184" i="1"/>
  <c r="D184" i="1" s="1"/>
  <c r="BG184" i="1" s="1"/>
  <c r="B185" i="1"/>
  <c r="D185" i="1" s="1"/>
  <c r="BG185" i="1" s="1"/>
  <c r="B186" i="1"/>
  <c r="D186" i="1" s="1"/>
  <c r="BG186" i="1" s="1"/>
  <c r="B187" i="1"/>
  <c r="D187" i="1" s="1"/>
  <c r="BG187" i="1" s="1"/>
  <c r="B188" i="1"/>
  <c r="D188" i="1" s="1"/>
  <c r="BG188" i="1" s="1"/>
  <c r="B189" i="1"/>
  <c r="D189" i="1" s="1"/>
  <c r="BG189" i="1" s="1"/>
  <c r="B190" i="1"/>
  <c r="D190" i="1" s="1"/>
  <c r="BG190" i="1" s="1"/>
  <c r="B191" i="1"/>
  <c r="D191" i="1" s="1"/>
  <c r="BG191" i="1" s="1"/>
  <c r="B192" i="1"/>
  <c r="D192" i="1" s="1"/>
  <c r="BG192" i="1" s="1"/>
  <c r="B193" i="1"/>
  <c r="D193" i="1" s="1"/>
  <c r="BG193" i="1" s="1"/>
  <c r="B194" i="1"/>
  <c r="D194" i="1" s="1"/>
  <c r="BG194" i="1" s="1"/>
  <c r="B195" i="1"/>
  <c r="D195" i="1" s="1"/>
  <c r="BG195" i="1" s="1"/>
  <c r="B196" i="1"/>
  <c r="D196" i="1" s="1"/>
  <c r="BG196" i="1" s="1"/>
  <c r="B197" i="1"/>
  <c r="D197" i="1" s="1"/>
  <c r="BG197" i="1" s="1"/>
  <c r="B198" i="1"/>
  <c r="D198" i="1" s="1"/>
  <c r="BG198" i="1" s="1"/>
  <c r="B199" i="1"/>
  <c r="D199" i="1" s="1"/>
  <c r="BG199" i="1" s="1"/>
  <c r="B200" i="1"/>
  <c r="D200" i="1" s="1"/>
  <c r="BG200" i="1" s="1"/>
  <c r="B201" i="1"/>
  <c r="D201" i="1" s="1"/>
  <c r="BG201" i="1" s="1"/>
  <c r="B202" i="1"/>
  <c r="D202" i="1" s="1"/>
  <c r="BG202" i="1" s="1"/>
  <c r="B203" i="1"/>
  <c r="D203" i="1" s="1"/>
  <c r="BG203" i="1" s="1"/>
  <c r="B204" i="1"/>
  <c r="D204" i="1" s="1"/>
  <c r="BG204" i="1" s="1"/>
  <c r="B205" i="1"/>
  <c r="D205" i="1" s="1"/>
  <c r="BG205" i="1" s="1"/>
  <c r="B206" i="1"/>
  <c r="D206" i="1" s="1"/>
  <c r="BG206" i="1" s="1"/>
  <c r="B207" i="1"/>
  <c r="D207" i="1" s="1"/>
  <c r="BG207" i="1" s="1"/>
  <c r="B208" i="1"/>
  <c r="D208" i="1" s="1"/>
  <c r="BG208" i="1" s="1"/>
  <c r="B209" i="1"/>
  <c r="D209" i="1" s="1"/>
  <c r="BG209" i="1" s="1"/>
  <c r="B210" i="1"/>
  <c r="D210" i="1" s="1"/>
  <c r="BG210" i="1" s="1"/>
  <c r="B211" i="1"/>
  <c r="D211" i="1" s="1"/>
  <c r="BG211" i="1" s="1"/>
  <c r="B212" i="1"/>
  <c r="D212" i="1" s="1"/>
  <c r="BG212" i="1" s="1"/>
  <c r="B213" i="1"/>
  <c r="D213" i="1" s="1"/>
  <c r="BG213" i="1" s="1"/>
  <c r="B214" i="1"/>
  <c r="D214" i="1" s="1"/>
  <c r="BG214" i="1" s="1"/>
  <c r="B215" i="1"/>
  <c r="D215" i="1" s="1"/>
  <c r="BG215" i="1" s="1"/>
  <c r="B216" i="1"/>
  <c r="D216" i="1" s="1"/>
  <c r="BG216" i="1" s="1"/>
  <c r="B217" i="1"/>
  <c r="D217" i="1" s="1"/>
  <c r="BG217" i="1" s="1"/>
  <c r="B218" i="1"/>
  <c r="D218" i="1" s="1"/>
  <c r="BG218" i="1" s="1"/>
  <c r="B219" i="1"/>
  <c r="D219" i="1" s="1"/>
  <c r="BG219" i="1" s="1"/>
  <c r="B220" i="1"/>
  <c r="D220" i="1" s="1"/>
  <c r="BG220" i="1" s="1"/>
  <c r="B221" i="1"/>
  <c r="D221" i="1" s="1"/>
  <c r="BG221" i="1" s="1"/>
  <c r="B222" i="1"/>
  <c r="D222" i="1" s="1"/>
  <c r="BG222" i="1" s="1"/>
  <c r="B223" i="1"/>
  <c r="D223" i="1" s="1"/>
  <c r="BG223" i="1" s="1"/>
  <c r="B224" i="1"/>
  <c r="D224" i="1" s="1"/>
  <c r="BG224" i="1" s="1"/>
  <c r="B225" i="1"/>
  <c r="D225" i="1" s="1"/>
  <c r="BG225" i="1" s="1"/>
  <c r="B226" i="1"/>
  <c r="D226" i="1" s="1"/>
  <c r="BG226" i="1" s="1"/>
  <c r="B227" i="1"/>
  <c r="D227" i="1" s="1"/>
  <c r="BG227" i="1" s="1"/>
  <c r="B228" i="1"/>
  <c r="D228" i="1" s="1"/>
  <c r="BG228" i="1" s="1"/>
  <c r="B229" i="1"/>
  <c r="D229" i="1" s="1"/>
  <c r="BG229" i="1" s="1"/>
  <c r="B230" i="1"/>
  <c r="D230" i="1" s="1"/>
  <c r="BG230" i="1" s="1"/>
  <c r="B231" i="1"/>
  <c r="D231" i="1" s="1"/>
  <c r="BG231" i="1" s="1"/>
  <c r="B232" i="1"/>
  <c r="D232" i="1" s="1"/>
  <c r="BG232" i="1" s="1"/>
  <c r="B233" i="1"/>
  <c r="D233" i="1" s="1"/>
  <c r="BG233" i="1" s="1"/>
  <c r="B234" i="1"/>
  <c r="D234" i="1" s="1"/>
  <c r="BG234" i="1" s="1"/>
  <c r="B235" i="1"/>
  <c r="D235" i="1" s="1"/>
  <c r="BG235" i="1" s="1"/>
  <c r="B236" i="1"/>
  <c r="D236" i="1" s="1"/>
  <c r="BG236" i="1" s="1"/>
  <c r="B237" i="1"/>
  <c r="D237" i="1" s="1"/>
  <c r="BG237" i="1" s="1"/>
  <c r="B238" i="1"/>
  <c r="D238" i="1" s="1"/>
  <c r="BG238" i="1" s="1"/>
  <c r="B239" i="1"/>
  <c r="D239" i="1" s="1"/>
  <c r="BG239" i="1" s="1"/>
  <c r="B240" i="1"/>
  <c r="D240" i="1" s="1"/>
  <c r="BG240" i="1" s="1"/>
  <c r="B241" i="1"/>
  <c r="D241" i="1" s="1"/>
  <c r="BG241" i="1" s="1"/>
  <c r="B242" i="1"/>
  <c r="D242" i="1" s="1"/>
  <c r="BG242" i="1" s="1"/>
  <c r="B243" i="1"/>
  <c r="D243" i="1" s="1"/>
  <c r="BG243" i="1" s="1"/>
  <c r="B244" i="1"/>
  <c r="D244" i="1" s="1"/>
  <c r="BG244" i="1" s="1"/>
  <c r="B245" i="1"/>
  <c r="D245" i="1" s="1"/>
  <c r="BG245" i="1" s="1"/>
  <c r="B246" i="1"/>
  <c r="D246" i="1" s="1"/>
  <c r="BG246" i="1" s="1"/>
  <c r="B247" i="1"/>
  <c r="D247" i="1" s="1"/>
  <c r="BG247" i="1" s="1"/>
  <c r="B248" i="1"/>
  <c r="D248" i="1" s="1"/>
  <c r="BG248" i="1" s="1"/>
  <c r="B249" i="1"/>
  <c r="D249" i="1" s="1"/>
  <c r="BG249" i="1" s="1"/>
  <c r="B250" i="1"/>
  <c r="D250" i="1" s="1"/>
  <c r="BG250" i="1" s="1"/>
  <c r="B251" i="1"/>
  <c r="D251" i="1" s="1"/>
  <c r="BG251" i="1" s="1"/>
  <c r="B252" i="1"/>
  <c r="D252" i="1" s="1"/>
  <c r="BG252" i="1" s="1"/>
  <c r="B253" i="1"/>
  <c r="D253" i="1" s="1"/>
  <c r="BG253" i="1" s="1"/>
  <c r="B254" i="1"/>
  <c r="D254" i="1" s="1"/>
  <c r="BG254" i="1" s="1"/>
  <c r="B255" i="1"/>
  <c r="D255" i="1" s="1"/>
  <c r="BG255" i="1" s="1"/>
  <c r="B256" i="1"/>
  <c r="D256" i="1" s="1"/>
  <c r="BG256" i="1" s="1"/>
  <c r="B257" i="1"/>
  <c r="D257" i="1" s="1"/>
  <c r="BG257" i="1" s="1"/>
  <c r="B258" i="1"/>
  <c r="D258" i="1" s="1"/>
  <c r="BG258" i="1" s="1"/>
  <c r="B259" i="1"/>
  <c r="D259" i="1" s="1"/>
  <c r="BG259" i="1" s="1"/>
  <c r="B260" i="1"/>
  <c r="D260" i="1" s="1"/>
  <c r="BG260" i="1" s="1"/>
  <c r="B261" i="1"/>
  <c r="D261" i="1" s="1"/>
  <c r="BG261" i="1" s="1"/>
  <c r="B262" i="1"/>
  <c r="D262" i="1" s="1"/>
  <c r="BG262" i="1" s="1"/>
  <c r="B263" i="1"/>
  <c r="D263" i="1" s="1"/>
  <c r="BG263" i="1" s="1"/>
  <c r="B264" i="1"/>
  <c r="D264" i="1" s="1"/>
  <c r="BG264" i="1" s="1"/>
  <c r="B265" i="1"/>
  <c r="D265" i="1" s="1"/>
  <c r="BG265" i="1" s="1"/>
  <c r="B266" i="1"/>
  <c r="D266" i="1" s="1"/>
  <c r="BG266" i="1" s="1"/>
  <c r="B267" i="1"/>
  <c r="D267" i="1" s="1"/>
  <c r="BG267" i="1" s="1"/>
  <c r="B268" i="1"/>
  <c r="D268" i="1" s="1"/>
  <c r="BG268" i="1" s="1"/>
  <c r="B269" i="1"/>
  <c r="D269" i="1" s="1"/>
  <c r="BG269" i="1" s="1"/>
  <c r="B270" i="1"/>
  <c r="D270" i="1" s="1"/>
  <c r="BG270" i="1" s="1"/>
  <c r="B271" i="1"/>
  <c r="D271" i="1" s="1"/>
  <c r="BG271" i="1" s="1"/>
  <c r="B272" i="1"/>
  <c r="D272" i="1" s="1"/>
  <c r="BG272" i="1" s="1"/>
  <c r="B273" i="1"/>
  <c r="D273" i="1" s="1"/>
  <c r="BG273" i="1" s="1"/>
  <c r="B274" i="1"/>
  <c r="D274" i="1" s="1"/>
  <c r="BG274" i="1" s="1"/>
  <c r="B275" i="1"/>
  <c r="D275" i="1" s="1"/>
  <c r="BG275" i="1" s="1"/>
  <c r="B276" i="1"/>
  <c r="D276" i="1" s="1"/>
  <c r="BG276" i="1" s="1"/>
  <c r="B277" i="1"/>
  <c r="D277" i="1" s="1"/>
  <c r="BG277" i="1" s="1"/>
  <c r="B278" i="1"/>
  <c r="D278" i="1" s="1"/>
  <c r="BG278" i="1" s="1"/>
  <c r="B279" i="1"/>
  <c r="D279" i="1" s="1"/>
  <c r="BG279" i="1" s="1"/>
  <c r="B280" i="1"/>
  <c r="D280" i="1" s="1"/>
  <c r="BG280" i="1" s="1"/>
  <c r="B281" i="1"/>
  <c r="D281" i="1" s="1"/>
  <c r="BG281" i="1" s="1"/>
  <c r="B282" i="1"/>
  <c r="D282" i="1" s="1"/>
  <c r="BG282" i="1" s="1"/>
  <c r="B283" i="1"/>
  <c r="D283" i="1" s="1"/>
  <c r="BG283" i="1" s="1"/>
  <c r="B284" i="1"/>
  <c r="D284" i="1" s="1"/>
  <c r="BG284" i="1" s="1"/>
  <c r="B285" i="1"/>
  <c r="D285" i="1" s="1"/>
  <c r="BG285" i="1" s="1"/>
  <c r="B286" i="1"/>
  <c r="D286" i="1" s="1"/>
  <c r="BG286" i="1" s="1"/>
  <c r="B287" i="1"/>
  <c r="D287" i="1" s="1"/>
  <c r="BG287" i="1" s="1"/>
  <c r="B288" i="1"/>
  <c r="D288" i="1" s="1"/>
  <c r="BG288" i="1" s="1"/>
  <c r="B289" i="1"/>
  <c r="D289" i="1" s="1"/>
  <c r="BG289" i="1" s="1"/>
  <c r="B290" i="1"/>
  <c r="D290" i="1" s="1"/>
  <c r="BG290" i="1" s="1"/>
  <c r="B291" i="1"/>
  <c r="D291" i="1" s="1"/>
  <c r="BG291" i="1" s="1"/>
  <c r="B292" i="1"/>
  <c r="D292" i="1" s="1"/>
  <c r="BG292" i="1" s="1"/>
  <c r="B293" i="1"/>
  <c r="D293" i="1" s="1"/>
  <c r="BG293" i="1" s="1"/>
  <c r="B294" i="1"/>
  <c r="D294" i="1" s="1"/>
  <c r="BG294" i="1" s="1"/>
  <c r="B295" i="1"/>
  <c r="D295" i="1" s="1"/>
  <c r="BG295" i="1" s="1"/>
  <c r="B296" i="1"/>
  <c r="D296" i="1" s="1"/>
  <c r="BG296" i="1" s="1"/>
  <c r="B297" i="1"/>
  <c r="D297" i="1" s="1"/>
  <c r="BG297" i="1" s="1"/>
  <c r="B298" i="1"/>
  <c r="D298" i="1" s="1"/>
  <c r="BG298" i="1" s="1"/>
  <c r="B299" i="1"/>
  <c r="D299" i="1" s="1"/>
  <c r="BG299" i="1" s="1"/>
  <c r="B300" i="1"/>
  <c r="D300" i="1" s="1"/>
  <c r="BG300" i="1" s="1"/>
  <c r="B301" i="1"/>
  <c r="D301" i="1" s="1"/>
  <c r="BG301" i="1" s="1"/>
  <c r="B302" i="1"/>
  <c r="D302" i="1" s="1"/>
  <c r="BG302" i="1" s="1"/>
  <c r="B303" i="1"/>
  <c r="D303" i="1" s="1"/>
  <c r="BG303" i="1" s="1"/>
  <c r="B304" i="1"/>
  <c r="D304" i="1" s="1"/>
  <c r="BG304" i="1" s="1"/>
  <c r="B305" i="1"/>
  <c r="D305" i="1" s="1"/>
  <c r="BG305" i="1" s="1"/>
  <c r="B306" i="1"/>
  <c r="D306" i="1" s="1"/>
  <c r="BG306" i="1" s="1"/>
  <c r="B307" i="1"/>
  <c r="D307" i="1" s="1"/>
  <c r="BG307" i="1" s="1"/>
  <c r="B308" i="1"/>
  <c r="D308" i="1" s="1"/>
  <c r="BG308" i="1" s="1"/>
  <c r="B309" i="1"/>
  <c r="D309" i="1" s="1"/>
  <c r="BG309" i="1" s="1"/>
  <c r="B310" i="1"/>
  <c r="D310" i="1" s="1"/>
  <c r="BG310" i="1" s="1"/>
  <c r="B311" i="1"/>
  <c r="D311" i="1" s="1"/>
  <c r="BG311" i="1" s="1"/>
  <c r="B312" i="1"/>
  <c r="D312" i="1" s="1"/>
  <c r="BG312" i="1" s="1"/>
  <c r="B313" i="1"/>
  <c r="D313" i="1" s="1"/>
  <c r="BG313" i="1" s="1"/>
  <c r="B314" i="1"/>
  <c r="D314" i="1" s="1"/>
  <c r="BG314" i="1" s="1"/>
  <c r="B315" i="1"/>
  <c r="D315" i="1" s="1"/>
  <c r="BG315" i="1" s="1"/>
  <c r="B316" i="1"/>
  <c r="D316" i="1" s="1"/>
  <c r="BG316" i="1" s="1"/>
  <c r="B317" i="1"/>
  <c r="D317" i="1" s="1"/>
  <c r="BG317" i="1" s="1"/>
  <c r="B318" i="1"/>
  <c r="D318" i="1" s="1"/>
  <c r="BG318" i="1" s="1"/>
  <c r="B319" i="1"/>
  <c r="D319" i="1" s="1"/>
  <c r="BG319" i="1" s="1"/>
  <c r="B320" i="1"/>
  <c r="D320" i="1" s="1"/>
  <c r="BG320" i="1" s="1"/>
  <c r="B321" i="1"/>
  <c r="D321" i="1" s="1"/>
  <c r="BG321" i="1" s="1"/>
  <c r="B322" i="1"/>
  <c r="D322" i="1" s="1"/>
  <c r="BG322" i="1" s="1"/>
  <c r="B323" i="1"/>
  <c r="D323" i="1" s="1"/>
  <c r="BG323" i="1" s="1"/>
  <c r="B324" i="1"/>
  <c r="D324" i="1" s="1"/>
  <c r="BG324" i="1" s="1"/>
  <c r="B325" i="1"/>
  <c r="D325" i="1" s="1"/>
  <c r="BG325" i="1" s="1"/>
  <c r="B326" i="1"/>
  <c r="D326" i="1" s="1"/>
  <c r="BG326" i="1" s="1"/>
  <c r="B327" i="1"/>
  <c r="D327" i="1" s="1"/>
  <c r="BG327" i="1" s="1"/>
  <c r="B328" i="1"/>
  <c r="D328" i="1" s="1"/>
  <c r="BG328" i="1" s="1"/>
  <c r="B329" i="1"/>
  <c r="D329" i="1" s="1"/>
  <c r="BG329" i="1" s="1"/>
  <c r="B330" i="1"/>
  <c r="D330" i="1" s="1"/>
  <c r="BG330" i="1" s="1"/>
  <c r="B331" i="1"/>
  <c r="D331" i="1" s="1"/>
  <c r="BG331" i="1" s="1"/>
  <c r="B332" i="1"/>
  <c r="D332" i="1" s="1"/>
  <c r="BG332" i="1" s="1"/>
  <c r="B333" i="1"/>
  <c r="D333" i="1" s="1"/>
  <c r="BG333" i="1" s="1"/>
  <c r="B334" i="1"/>
  <c r="D334" i="1" s="1"/>
  <c r="BG334" i="1" s="1"/>
  <c r="B335" i="1"/>
  <c r="D335" i="1" s="1"/>
  <c r="BG335" i="1" s="1"/>
  <c r="B336" i="1"/>
  <c r="D336" i="1" s="1"/>
  <c r="BG336" i="1" s="1"/>
  <c r="B337" i="1"/>
  <c r="D337" i="1" s="1"/>
  <c r="BG337" i="1" s="1"/>
  <c r="B338" i="1"/>
  <c r="D338" i="1" s="1"/>
  <c r="BG338" i="1" s="1"/>
  <c r="B339" i="1"/>
  <c r="D339" i="1" s="1"/>
  <c r="BG339" i="1" s="1"/>
  <c r="B340" i="1"/>
  <c r="D340" i="1" s="1"/>
  <c r="BG340" i="1" s="1"/>
  <c r="B341" i="1"/>
  <c r="D341" i="1" s="1"/>
  <c r="BG341" i="1" s="1"/>
  <c r="B342" i="1"/>
  <c r="D342" i="1" s="1"/>
  <c r="BG342" i="1" s="1"/>
  <c r="B343" i="1"/>
  <c r="D343" i="1" s="1"/>
  <c r="BG343" i="1" s="1"/>
  <c r="B344" i="1"/>
  <c r="D344" i="1" s="1"/>
  <c r="BG344" i="1" s="1"/>
  <c r="B345" i="1"/>
  <c r="D345" i="1" s="1"/>
  <c r="BG345" i="1" s="1"/>
  <c r="B346" i="1"/>
  <c r="D346" i="1" s="1"/>
  <c r="BG346" i="1" s="1"/>
  <c r="B347" i="1"/>
  <c r="D347" i="1" s="1"/>
  <c r="BG347" i="1" s="1"/>
  <c r="B348" i="1"/>
  <c r="D348" i="1" s="1"/>
  <c r="BG348" i="1" s="1"/>
  <c r="B349" i="1"/>
  <c r="D349" i="1" s="1"/>
  <c r="BG349" i="1" s="1"/>
  <c r="B350" i="1"/>
  <c r="D350" i="1" s="1"/>
  <c r="BG350" i="1" s="1"/>
  <c r="B351" i="1"/>
  <c r="D351" i="1" s="1"/>
  <c r="BG351" i="1" s="1"/>
  <c r="B352" i="1"/>
  <c r="D352" i="1" s="1"/>
  <c r="BG352" i="1" s="1"/>
  <c r="B353" i="1"/>
  <c r="D353" i="1" s="1"/>
  <c r="BG353" i="1" s="1"/>
  <c r="B354" i="1"/>
  <c r="D354" i="1" s="1"/>
  <c r="BG354" i="1" s="1"/>
  <c r="B355" i="1"/>
  <c r="D355" i="1" s="1"/>
  <c r="BG355" i="1" s="1"/>
  <c r="B356" i="1"/>
  <c r="D356" i="1" s="1"/>
  <c r="BG356" i="1" s="1"/>
  <c r="B357" i="1"/>
  <c r="D357" i="1" s="1"/>
  <c r="BG357" i="1" s="1"/>
  <c r="B358" i="1"/>
  <c r="D358" i="1" s="1"/>
  <c r="BG358" i="1" s="1"/>
  <c r="B359" i="1"/>
  <c r="D359" i="1" s="1"/>
  <c r="BG359" i="1" s="1"/>
  <c r="B360" i="1"/>
  <c r="D360" i="1" s="1"/>
  <c r="BG360" i="1" s="1"/>
  <c r="B361" i="1"/>
  <c r="D361" i="1" s="1"/>
  <c r="BG361" i="1" s="1"/>
  <c r="B362" i="1"/>
  <c r="D362" i="1" s="1"/>
  <c r="BG362" i="1" s="1"/>
  <c r="B363" i="1"/>
  <c r="D363" i="1" s="1"/>
  <c r="BG363" i="1" s="1"/>
  <c r="B364" i="1"/>
  <c r="D364" i="1" s="1"/>
  <c r="BG364" i="1" s="1"/>
  <c r="B365" i="1"/>
  <c r="D365" i="1" s="1"/>
  <c r="BG365" i="1" s="1"/>
  <c r="B366" i="1"/>
  <c r="D366" i="1" s="1"/>
  <c r="BG366" i="1" s="1"/>
  <c r="B367" i="1"/>
  <c r="D367" i="1" s="1"/>
  <c r="BG367" i="1" s="1"/>
  <c r="B368" i="1"/>
  <c r="D368" i="1" s="1"/>
  <c r="BG368" i="1" s="1"/>
  <c r="B369" i="1"/>
  <c r="D369" i="1" s="1"/>
  <c r="BG369" i="1" s="1"/>
  <c r="B370" i="1"/>
  <c r="D370" i="1" s="1"/>
  <c r="BG370" i="1" s="1"/>
  <c r="B371" i="1"/>
  <c r="D371" i="1" s="1"/>
  <c r="BG371" i="1" s="1"/>
  <c r="B372" i="1"/>
  <c r="D372" i="1" s="1"/>
  <c r="BG372" i="1" s="1"/>
  <c r="B373" i="1"/>
  <c r="D373" i="1" s="1"/>
  <c r="BG373" i="1" s="1"/>
  <c r="B374" i="1"/>
  <c r="D374" i="1" s="1"/>
  <c r="BG374" i="1" s="1"/>
  <c r="B375" i="1"/>
  <c r="D375" i="1" s="1"/>
  <c r="BG375" i="1" s="1"/>
  <c r="B376" i="1"/>
  <c r="D376" i="1" s="1"/>
  <c r="BG376" i="1" s="1"/>
  <c r="B377" i="1"/>
  <c r="D377" i="1" s="1"/>
  <c r="BG377" i="1" s="1"/>
  <c r="B378" i="1"/>
  <c r="D378" i="1" s="1"/>
  <c r="BG378" i="1" s="1"/>
  <c r="B379" i="1"/>
  <c r="D379" i="1" s="1"/>
  <c r="BG379" i="1" s="1"/>
  <c r="B380" i="1"/>
  <c r="D380" i="1" s="1"/>
  <c r="BG380" i="1" s="1"/>
  <c r="B381" i="1"/>
  <c r="D381" i="1" s="1"/>
  <c r="BG381" i="1" s="1"/>
  <c r="B382" i="1"/>
  <c r="D382" i="1" s="1"/>
  <c r="BG382" i="1" s="1"/>
  <c r="B383" i="1"/>
  <c r="D383" i="1" s="1"/>
  <c r="BG383" i="1" s="1"/>
  <c r="B384" i="1"/>
  <c r="D384" i="1" s="1"/>
  <c r="BG384" i="1" s="1"/>
  <c r="B385" i="1"/>
  <c r="D385" i="1" s="1"/>
  <c r="BG385" i="1" s="1"/>
  <c r="B386" i="1"/>
  <c r="D386" i="1" s="1"/>
  <c r="BG386" i="1" s="1"/>
  <c r="B387" i="1"/>
  <c r="D387" i="1" s="1"/>
  <c r="BG387" i="1" s="1"/>
  <c r="B388" i="1"/>
  <c r="D388" i="1" s="1"/>
  <c r="BG388" i="1" s="1"/>
  <c r="B389" i="1"/>
  <c r="D389" i="1" s="1"/>
  <c r="BG389" i="1" s="1"/>
  <c r="B390" i="1"/>
  <c r="D390" i="1" s="1"/>
  <c r="BG390" i="1" s="1"/>
  <c r="B391" i="1"/>
  <c r="D391" i="1" s="1"/>
  <c r="BG391" i="1" s="1"/>
  <c r="B392" i="1"/>
  <c r="D392" i="1" s="1"/>
  <c r="BG392" i="1" s="1"/>
  <c r="B393" i="1"/>
  <c r="D393" i="1" s="1"/>
  <c r="BG393" i="1" s="1"/>
  <c r="B394" i="1"/>
  <c r="D394" i="1" s="1"/>
  <c r="BG394" i="1" s="1"/>
  <c r="B395" i="1"/>
  <c r="D395" i="1" s="1"/>
  <c r="BG395" i="1" s="1"/>
  <c r="B396" i="1"/>
  <c r="D396" i="1" s="1"/>
  <c r="BG396" i="1" s="1"/>
  <c r="B397" i="1"/>
  <c r="D397" i="1" s="1"/>
  <c r="BG397" i="1" s="1"/>
  <c r="B398" i="1"/>
  <c r="D398" i="1" s="1"/>
  <c r="BG398" i="1" s="1"/>
  <c r="B399" i="1"/>
  <c r="D399" i="1" s="1"/>
  <c r="BG399" i="1" s="1"/>
  <c r="B400" i="1"/>
  <c r="D400" i="1" s="1"/>
  <c r="BG400" i="1" s="1"/>
  <c r="B401" i="1"/>
  <c r="D401" i="1" s="1"/>
  <c r="BG401" i="1" s="1"/>
  <c r="B402" i="1"/>
  <c r="D402" i="1" s="1"/>
  <c r="BG402" i="1" s="1"/>
  <c r="B403" i="1"/>
  <c r="D403" i="1" s="1"/>
  <c r="BG403" i="1" s="1"/>
  <c r="B404" i="1"/>
  <c r="D404" i="1" s="1"/>
  <c r="BG404" i="1" s="1"/>
  <c r="B405" i="1"/>
  <c r="D405" i="1" s="1"/>
  <c r="BG405" i="1" s="1"/>
  <c r="B406" i="1"/>
  <c r="D406" i="1" s="1"/>
  <c r="BG406" i="1" s="1"/>
  <c r="B407" i="1"/>
  <c r="D407" i="1" s="1"/>
  <c r="BG407" i="1" s="1"/>
  <c r="B408" i="1"/>
  <c r="D408" i="1" s="1"/>
  <c r="BG408" i="1" s="1"/>
  <c r="B409" i="1"/>
  <c r="D409" i="1" s="1"/>
  <c r="BG409" i="1" s="1"/>
  <c r="B410" i="1"/>
  <c r="D410" i="1" s="1"/>
  <c r="BG410" i="1" s="1"/>
  <c r="B411" i="1"/>
  <c r="D411" i="1" s="1"/>
  <c r="BG411" i="1" s="1"/>
  <c r="B412" i="1"/>
  <c r="D412" i="1" s="1"/>
  <c r="BG412" i="1" s="1"/>
  <c r="B413" i="1"/>
  <c r="D413" i="1" s="1"/>
  <c r="BG413" i="1" s="1"/>
  <c r="B414" i="1"/>
  <c r="D414" i="1" s="1"/>
  <c r="BG414" i="1" s="1"/>
  <c r="B415" i="1"/>
  <c r="D415" i="1" s="1"/>
  <c r="BG415" i="1" s="1"/>
  <c r="B416" i="1"/>
  <c r="D416" i="1" s="1"/>
  <c r="BG416" i="1" s="1"/>
  <c r="B417" i="1"/>
  <c r="D417" i="1" s="1"/>
  <c r="BG417" i="1" s="1"/>
  <c r="B418" i="1"/>
  <c r="D418" i="1" s="1"/>
  <c r="BG418" i="1" s="1"/>
  <c r="B419" i="1"/>
  <c r="D419" i="1" s="1"/>
  <c r="BG419" i="1" s="1"/>
  <c r="B420" i="1"/>
  <c r="D420" i="1" s="1"/>
  <c r="BG420" i="1" s="1"/>
  <c r="B421" i="1"/>
  <c r="D421" i="1" s="1"/>
  <c r="BG421" i="1" s="1"/>
  <c r="B422" i="1"/>
  <c r="D422" i="1" s="1"/>
  <c r="BG422" i="1" s="1"/>
  <c r="B423" i="1"/>
  <c r="D423" i="1" s="1"/>
  <c r="BG423" i="1" s="1"/>
  <c r="B424" i="1"/>
  <c r="D424" i="1" s="1"/>
  <c r="BG424" i="1" s="1"/>
  <c r="B425" i="1"/>
  <c r="D425" i="1" s="1"/>
  <c r="BG425" i="1" s="1"/>
  <c r="B426" i="1"/>
  <c r="D426" i="1" s="1"/>
  <c r="BG426" i="1" s="1"/>
  <c r="B427" i="1"/>
  <c r="D427" i="1" s="1"/>
  <c r="BG427" i="1" s="1"/>
  <c r="B428" i="1"/>
  <c r="D428" i="1" s="1"/>
  <c r="BG428" i="1" s="1"/>
  <c r="B429" i="1"/>
  <c r="D429" i="1" s="1"/>
  <c r="BG429" i="1" s="1"/>
  <c r="B430" i="1"/>
  <c r="D430" i="1" s="1"/>
  <c r="BG430" i="1" s="1"/>
  <c r="B431" i="1"/>
  <c r="D431" i="1" s="1"/>
  <c r="BG431" i="1" s="1"/>
  <c r="B432" i="1"/>
  <c r="D432" i="1" s="1"/>
  <c r="BG432" i="1" s="1"/>
  <c r="B433" i="1"/>
  <c r="D433" i="1" s="1"/>
  <c r="BG433" i="1" s="1"/>
  <c r="B434" i="1"/>
  <c r="D434" i="1" s="1"/>
  <c r="BG434" i="1" s="1"/>
  <c r="B435" i="1"/>
  <c r="D435" i="1" s="1"/>
  <c r="BG435" i="1" s="1"/>
  <c r="B436" i="1"/>
  <c r="D436" i="1" s="1"/>
  <c r="BG436" i="1" s="1"/>
  <c r="B437" i="1"/>
  <c r="D437" i="1" s="1"/>
  <c r="BG437" i="1" s="1"/>
  <c r="B438" i="1"/>
  <c r="D438" i="1" s="1"/>
  <c r="BG438" i="1" s="1"/>
  <c r="B439" i="1"/>
  <c r="D439" i="1" s="1"/>
  <c r="BG439" i="1" s="1"/>
  <c r="B440" i="1"/>
  <c r="D440" i="1" s="1"/>
  <c r="BG440" i="1" s="1"/>
  <c r="B441" i="1"/>
  <c r="D441" i="1" s="1"/>
  <c r="BG441" i="1" s="1"/>
  <c r="B442" i="1"/>
  <c r="D442" i="1" s="1"/>
  <c r="BG442" i="1" s="1"/>
  <c r="B443" i="1"/>
  <c r="D443" i="1" s="1"/>
  <c r="BG443" i="1" s="1"/>
  <c r="B444" i="1"/>
  <c r="D444" i="1" s="1"/>
  <c r="BG444" i="1" s="1"/>
  <c r="B445" i="1"/>
  <c r="D445" i="1" s="1"/>
  <c r="BG445" i="1" s="1"/>
  <c r="B446" i="1"/>
  <c r="D446" i="1" s="1"/>
  <c r="BG446" i="1" s="1"/>
  <c r="B447" i="1"/>
  <c r="D447" i="1" s="1"/>
  <c r="BG447" i="1" s="1"/>
  <c r="B448" i="1"/>
  <c r="D448" i="1" s="1"/>
  <c r="BG448" i="1" s="1"/>
  <c r="B449" i="1"/>
  <c r="D449" i="1" s="1"/>
  <c r="BG449" i="1" s="1"/>
  <c r="B450" i="1"/>
  <c r="D450" i="1" s="1"/>
  <c r="BG450" i="1" s="1"/>
  <c r="B451" i="1"/>
  <c r="D451" i="1" s="1"/>
  <c r="BG451" i="1" s="1"/>
  <c r="B452" i="1"/>
  <c r="D452" i="1" s="1"/>
  <c r="BG452" i="1" s="1"/>
  <c r="B453" i="1"/>
  <c r="D453" i="1" s="1"/>
  <c r="BG453" i="1" s="1"/>
  <c r="B454" i="1"/>
  <c r="D454" i="1" s="1"/>
  <c r="BG454" i="1" s="1"/>
  <c r="B455" i="1"/>
  <c r="D455" i="1" s="1"/>
  <c r="BG455" i="1" s="1"/>
  <c r="B456" i="1"/>
  <c r="D456" i="1" s="1"/>
  <c r="BG456" i="1" s="1"/>
  <c r="B457" i="1"/>
  <c r="D457" i="1" s="1"/>
  <c r="BG457" i="1" s="1"/>
  <c r="B458" i="1"/>
  <c r="D458" i="1" s="1"/>
  <c r="BG458" i="1" s="1"/>
  <c r="B459" i="1"/>
  <c r="D459" i="1" s="1"/>
  <c r="BG459" i="1" s="1"/>
  <c r="B460" i="1"/>
  <c r="D460" i="1" s="1"/>
  <c r="BG460" i="1" s="1"/>
  <c r="B461" i="1"/>
  <c r="D461" i="1" s="1"/>
  <c r="BG461" i="1" s="1"/>
  <c r="B462" i="1"/>
  <c r="D462" i="1" s="1"/>
  <c r="BG462" i="1" s="1"/>
  <c r="B463" i="1"/>
  <c r="D463" i="1" s="1"/>
  <c r="BG463" i="1" s="1"/>
  <c r="B464" i="1"/>
  <c r="D464" i="1" s="1"/>
  <c r="BG464" i="1" s="1"/>
  <c r="B465" i="1"/>
  <c r="D465" i="1" s="1"/>
  <c r="BG465" i="1" s="1"/>
  <c r="B466" i="1"/>
  <c r="D466" i="1" s="1"/>
  <c r="BG466" i="1" s="1"/>
  <c r="B467" i="1"/>
  <c r="D467" i="1" s="1"/>
  <c r="BG467" i="1" s="1"/>
  <c r="B468" i="1"/>
  <c r="D468" i="1" s="1"/>
  <c r="BG468" i="1" s="1"/>
  <c r="B469" i="1"/>
  <c r="D469" i="1" s="1"/>
  <c r="BG469" i="1" s="1"/>
  <c r="B470" i="1"/>
  <c r="D470" i="1" s="1"/>
  <c r="BG470" i="1" s="1"/>
  <c r="B471" i="1"/>
  <c r="D471" i="1" s="1"/>
  <c r="BG471" i="1" s="1"/>
  <c r="B472" i="1"/>
  <c r="D472" i="1" s="1"/>
  <c r="BG472" i="1" s="1"/>
  <c r="B473" i="1"/>
  <c r="D473" i="1" s="1"/>
  <c r="BG473" i="1" s="1"/>
  <c r="B474" i="1"/>
  <c r="D474" i="1" s="1"/>
  <c r="BG474" i="1" s="1"/>
  <c r="B475" i="1"/>
  <c r="D475" i="1" s="1"/>
  <c r="BG475" i="1" s="1"/>
  <c r="B476" i="1"/>
  <c r="D476" i="1" s="1"/>
  <c r="BG476" i="1" s="1"/>
  <c r="B477" i="1"/>
  <c r="D477" i="1" s="1"/>
  <c r="BG477" i="1" s="1"/>
  <c r="B478" i="1"/>
  <c r="D478" i="1" s="1"/>
  <c r="BG478" i="1" s="1"/>
  <c r="B479" i="1"/>
  <c r="D479" i="1" s="1"/>
  <c r="BG479" i="1" s="1"/>
  <c r="B480" i="1"/>
  <c r="D480" i="1" s="1"/>
  <c r="BG480" i="1" s="1"/>
  <c r="B481" i="1"/>
  <c r="D481" i="1" s="1"/>
  <c r="BG481" i="1" s="1"/>
  <c r="B482" i="1"/>
  <c r="D482" i="1" s="1"/>
  <c r="BG482" i="1" s="1"/>
  <c r="B483" i="1"/>
  <c r="D483" i="1" s="1"/>
  <c r="BG483" i="1" s="1"/>
  <c r="B484" i="1"/>
  <c r="D484" i="1" s="1"/>
  <c r="BG484" i="1" s="1"/>
  <c r="B485" i="1"/>
  <c r="D485" i="1" s="1"/>
  <c r="BG485" i="1" s="1"/>
  <c r="B486" i="1"/>
  <c r="D486" i="1" s="1"/>
  <c r="BG486" i="1" s="1"/>
  <c r="B487" i="1"/>
  <c r="D487" i="1" s="1"/>
  <c r="BG487" i="1" s="1"/>
  <c r="B488" i="1"/>
  <c r="D488" i="1" s="1"/>
  <c r="BG488" i="1" s="1"/>
  <c r="B489" i="1"/>
  <c r="D489" i="1" s="1"/>
  <c r="BG489" i="1" s="1"/>
  <c r="B490" i="1"/>
  <c r="D490" i="1" s="1"/>
  <c r="BG490" i="1" s="1"/>
  <c r="B491" i="1"/>
  <c r="D491" i="1" s="1"/>
  <c r="BG491" i="1" s="1"/>
  <c r="B492" i="1"/>
  <c r="D492" i="1" s="1"/>
  <c r="BG492" i="1" s="1"/>
  <c r="B493" i="1"/>
  <c r="D493" i="1" s="1"/>
  <c r="BG493" i="1" s="1"/>
  <c r="B494" i="1"/>
  <c r="D494" i="1" s="1"/>
  <c r="BG494" i="1" s="1"/>
  <c r="B495" i="1"/>
  <c r="D495" i="1" s="1"/>
  <c r="BG495" i="1" s="1"/>
  <c r="B496" i="1"/>
  <c r="D496" i="1" s="1"/>
  <c r="BG496" i="1" s="1"/>
  <c r="B497" i="1"/>
  <c r="D497" i="1" s="1"/>
  <c r="BG497" i="1" s="1"/>
  <c r="B498" i="1"/>
  <c r="D498" i="1" s="1"/>
  <c r="BG498" i="1" s="1"/>
  <c r="B499" i="1"/>
  <c r="D499" i="1" s="1"/>
  <c r="BG499" i="1" s="1"/>
  <c r="B500" i="1"/>
  <c r="D500" i="1" s="1"/>
  <c r="BG500" i="1" s="1"/>
  <c r="B501" i="1"/>
  <c r="D501" i="1" s="1"/>
  <c r="BG501" i="1" s="1"/>
  <c r="B502" i="1"/>
  <c r="D502" i="1" s="1"/>
  <c r="BG502" i="1" s="1"/>
  <c r="B503" i="1"/>
  <c r="D503" i="1" s="1"/>
  <c r="BG503" i="1" s="1"/>
  <c r="B504" i="1"/>
  <c r="D504" i="1" s="1"/>
  <c r="BG504" i="1" s="1"/>
  <c r="B505" i="1"/>
  <c r="D505" i="1" s="1"/>
  <c r="BG505" i="1" s="1"/>
  <c r="B506" i="1"/>
  <c r="D506" i="1" s="1"/>
  <c r="BG506" i="1" s="1"/>
  <c r="B507" i="1"/>
  <c r="D507" i="1" s="1"/>
  <c r="BG507" i="1" s="1"/>
  <c r="B508" i="1"/>
  <c r="D508" i="1" s="1"/>
  <c r="BG508" i="1" s="1"/>
  <c r="B509" i="1"/>
  <c r="D509" i="1" s="1"/>
  <c r="BG509" i="1" s="1"/>
  <c r="B510" i="1"/>
  <c r="D510" i="1" s="1"/>
  <c r="BG510" i="1" s="1"/>
  <c r="B511" i="1"/>
  <c r="D511" i="1" s="1"/>
  <c r="BG511" i="1" s="1"/>
  <c r="B512" i="1"/>
  <c r="D512" i="1" s="1"/>
  <c r="BG512" i="1" s="1"/>
  <c r="B513" i="1"/>
  <c r="D513" i="1" s="1"/>
  <c r="BG513" i="1" s="1"/>
  <c r="B514" i="1"/>
  <c r="D514" i="1" s="1"/>
  <c r="BG514" i="1" s="1"/>
  <c r="B515" i="1"/>
  <c r="D515" i="1" s="1"/>
  <c r="BG515" i="1" s="1"/>
  <c r="B516" i="1"/>
  <c r="D516" i="1" s="1"/>
  <c r="BG516" i="1" s="1"/>
  <c r="B517" i="1"/>
  <c r="D517" i="1" s="1"/>
  <c r="BG517" i="1" s="1"/>
  <c r="B518" i="1"/>
  <c r="D518" i="1" s="1"/>
  <c r="BG518" i="1" s="1"/>
  <c r="B519" i="1"/>
  <c r="D519" i="1" s="1"/>
  <c r="BG519" i="1" s="1"/>
  <c r="B520" i="1"/>
  <c r="D520" i="1" s="1"/>
  <c r="BG520" i="1" s="1"/>
  <c r="B521" i="1"/>
  <c r="D521" i="1" s="1"/>
  <c r="BG521" i="1" s="1"/>
  <c r="B522" i="1"/>
  <c r="D522" i="1" s="1"/>
  <c r="BG522" i="1" s="1"/>
  <c r="B523" i="1"/>
  <c r="D523" i="1" s="1"/>
  <c r="BG523" i="1" s="1"/>
  <c r="B524" i="1"/>
  <c r="D524" i="1" s="1"/>
  <c r="BG524" i="1" s="1"/>
  <c r="B525" i="1"/>
  <c r="D525" i="1" s="1"/>
  <c r="BG525" i="1" s="1"/>
  <c r="B526" i="1"/>
  <c r="D526" i="1" s="1"/>
  <c r="BG526" i="1" s="1"/>
  <c r="B527" i="1"/>
  <c r="D527" i="1" s="1"/>
  <c r="BG527" i="1" s="1"/>
  <c r="B528" i="1"/>
  <c r="D528" i="1" s="1"/>
  <c r="BG528" i="1" s="1"/>
  <c r="B529" i="1"/>
  <c r="D529" i="1" s="1"/>
  <c r="BG529" i="1" s="1"/>
  <c r="B530" i="1"/>
  <c r="D530" i="1" s="1"/>
  <c r="BG530" i="1" s="1"/>
  <c r="B531" i="1"/>
  <c r="D531" i="1" s="1"/>
  <c r="BG531" i="1" s="1"/>
  <c r="B532" i="1"/>
  <c r="D532" i="1" s="1"/>
  <c r="BG532" i="1" s="1"/>
  <c r="B533" i="1"/>
  <c r="D533" i="1" s="1"/>
  <c r="BG533" i="1" s="1"/>
  <c r="B534" i="1"/>
  <c r="D534" i="1" s="1"/>
  <c r="BG534" i="1" s="1"/>
  <c r="B535" i="1"/>
  <c r="D535" i="1" s="1"/>
  <c r="BG535" i="1" s="1"/>
  <c r="B536" i="1"/>
  <c r="D536" i="1" s="1"/>
  <c r="BG536" i="1" s="1"/>
  <c r="B537" i="1"/>
  <c r="D537" i="1" s="1"/>
  <c r="BG537" i="1" s="1"/>
  <c r="B538" i="1"/>
  <c r="D538" i="1" s="1"/>
  <c r="BG538" i="1" s="1"/>
  <c r="B539" i="1"/>
  <c r="D539" i="1" s="1"/>
  <c r="BG539" i="1" s="1"/>
  <c r="B540" i="1"/>
  <c r="D540" i="1" s="1"/>
  <c r="BG540" i="1" s="1"/>
  <c r="B541" i="1"/>
  <c r="D541" i="1" s="1"/>
  <c r="BG541" i="1" s="1"/>
  <c r="B542" i="1"/>
  <c r="D542" i="1" s="1"/>
  <c r="BG542" i="1" s="1"/>
  <c r="B543" i="1"/>
  <c r="D543" i="1" s="1"/>
  <c r="BG543" i="1" s="1"/>
  <c r="B544" i="1"/>
  <c r="D544" i="1" s="1"/>
  <c r="BG544" i="1" s="1"/>
  <c r="B545" i="1"/>
  <c r="D545" i="1" s="1"/>
  <c r="BG545" i="1" s="1"/>
  <c r="B546" i="1"/>
  <c r="D546" i="1" s="1"/>
  <c r="BG546" i="1" s="1"/>
  <c r="B547" i="1"/>
  <c r="D547" i="1" s="1"/>
  <c r="BG547" i="1" s="1"/>
  <c r="B548" i="1"/>
  <c r="D548" i="1" s="1"/>
  <c r="BG548" i="1" s="1"/>
  <c r="B549" i="1"/>
  <c r="D549" i="1" s="1"/>
  <c r="BG549" i="1" s="1"/>
  <c r="B550" i="1"/>
  <c r="D550" i="1" s="1"/>
  <c r="BG550" i="1" s="1"/>
  <c r="B551" i="1"/>
  <c r="D551" i="1" s="1"/>
  <c r="BG551" i="1" s="1"/>
  <c r="B552" i="1"/>
  <c r="D552" i="1" s="1"/>
  <c r="BG552" i="1" s="1"/>
  <c r="B553" i="1"/>
  <c r="D553" i="1" s="1"/>
  <c r="BG553" i="1" s="1"/>
  <c r="B554" i="1"/>
  <c r="D554" i="1" s="1"/>
  <c r="BG554" i="1" s="1"/>
  <c r="B555" i="1"/>
  <c r="D555" i="1" s="1"/>
  <c r="BG555" i="1" s="1"/>
  <c r="B556" i="1"/>
  <c r="D556" i="1" s="1"/>
  <c r="BG556" i="1" s="1"/>
  <c r="B557" i="1"/>
  <c r="D557" i="1" s="1"/>
  <c r="BG557" i="1" s="1"/>
  <c r="B558" i="1"/>
  <c r="D558" i="1" s="1"/>
  <c r="BG558" i="1" s="1"/>
  <c r="B559" i="1"/>
  <c r="D559" i="1" s="1"/>
  <c r="BG559" i="1" s="1"/>
  <c r="B560" i="1"/>
  <c r="D560" i="1" s="1"/>
  <c r="BG560" i="1" s="1"/>
  <c r="B561" i="1"/>
  <c r="D561" i="1" s="1"/>
  <c r="BG561" i="1" s="1"/>
  <c r="B562" i="1"/>
  <c r="D562" i="1" s="1"/>
  <c r="BG562" i="1" s="1"/>
  <c r="B563" i="1"/>
  <c r="D563" i="1" s="1"/>
  <c r="BG563" i="1" s="1"/>
  <c r="B564" i="1"/>
  <c r="D564" i="1" s="1"/>
  <c r="BG564" i="1" s="1"/>
  <c r="B565" i="1"/>
  <c r="D565" i="1" s="1"/>
  <c r="BG565" i="1" s="1"/>
  <c r="B566" i="1"/>
  <c r="D566" i="1" s="1"/>
  <c r="BG566" i="1" s="1"/>
  <c r="B567" i="1"/>
  <c r="D567" i="1" s="1"/>
  <c r="BG567" i="1" s="1"/>
  <c r="B568" i="1"/>
  <c r="D568" i="1" s="1"/>
  <c r="BG568" i="1" s="1"/>
  <c r="B569" i="1"/>
  <c r="D569" i="1" s="1"/>
  <c r="BG569" i="1" s="1"/>
  <c r="B570" i="1"/>
  <c r="D570" i="1" s="1"/>
  <c r="BG570" i="1" s="1"/>
  <c r="B571" i="1"/>
  <c r="D571" i="1" s="1"/>
  <c r="BG571" i="1" s="1"/>
  <c r="B572" i="1"/>
  <c r="D572" i="1" s="1"/>
  <c r="BG572" i="1" s="1"/>
  <c r="B573" i="1"/>
  <c r="D573" i="1" s="1"/>
  <c r="BG573" i="1" s="1"/>
  <c r="B574" i="1"/>
  <c r="D574" i="1" s="1"/>
  <c r="BG574" i="1" s="1"/>
  <c r="B575" i="1"/>
  <c r="D575" i="1" s="1"/>
  <c r="BG575" i="1" s="1"/>
  <c r="B576" i="1"/>
  <c r="D576" i="1" s="1"/>
  <c r="BG576" i="1" s="1"/>
  <c r="B577" i="1"/>
  <c r="D577" i="1" s="1"/>
  <c r="BG577" i="1" s="1"/>
  <c r="B578" i="1"/>
  <c r="D578" i="1" s="1"/>
  <c r="BG578" i="1" s="1"/>
  <c r="B579" i="1"/>
  <c r="D579" i="1" s="1"/>
  <c r="BG579" i="1" s="1"/>
  <c r="B580" i="1"/>
  <c r="D580" i="1" s="1"/>
  <c r="BG580" i="1" s="1"/>
  <c r="B581" i="1"/>
  <c r="D581" i="1" s="1"/>
  <c r="BG581" i="1" s="1"/>
  <c r="B582" i="1"/>
  <c r="D582" i="1" s="1"/>
  <c r="BG582" i="1" s="1"/>
  <c r="B583" i="1"/>
  <c r="D583" i="1" s="1"/>
  <c r="BG583" i="1" s="1"/>
  <c r="B584" i="1"/>
  <c r="D584" i="1" s="1"/>
  <c r="BG584" i="1" s="1"/>
  <c r="B585" i="1"/>
  <c r="D585" i="1" s="1"/>
  <c r="BG585" i="1" s="1"/>
  <c r="B586" i="1"/>
  <c r="D586" i="1" s="1"/>
  <c r="BG586" i="1" s="1"/>
  <c r="B587" i="1"/>
  <c r="D587" i="1" s="1"/>
  <c r="BG587" i="1" s="1"/>
  <c r="B588" i="1"/>
  <c r="D588" i="1" s="1"/>
  <c r="BG588" i="1" s="1"/>
  <c r="B589" i="1"/>
  <c r="D589" i="1" s="1"/>
  <c r="BG589" i="1" s="1"/>
  <c r="B590" i="1"/>
  <c r="D590" i="1" s="1"/>
  <c r="BG590" i="1" s="1"/>
  <c r="B591" i="1"/>
  <c r="D591" i="1" s="1"/>
  <c r="BG591" i="1" s="1"/>
  <c r="B592" i="1"/>
  <c r="D592" i="1" s="1"/>
  <c r="BG592" i="1" s="1"/>
  <c r="B593" i="1"/>
  <c r="D593" i="1" s="1"/>
  <c r="BG593" i="1" s="1"/>
  <c r="B594" i="1"/>
  <c r="D594" i="1" s="1"/>
  <c r="BG594" i="1" s="1"/>
  <c r="B595" i="1"/>
  <c r="D595" i="1" s="1"/>
  <c r="BG595" i="1" s="1"/>
  <c r="B596" i="1"/>
  <c r="D596" i="1" s="1"/>
  <c r="BG596" i="1" s="1"/>
  <c r="B597" i="1"/>
  <c r="D597" i="1" s="1"/>
  <c r="BG597" i="1" s="1"/>
  <c r="B598" i="1"/>
  <c r="D598" i="1" s="1"/>
  <c r="BG598" i="1" s="1"/>
  <c r="B599" i="1"/>
  <c r="D599" i="1" s="1"/>
  <c r="BG599" i="1" s="1"/>
  <c r="B600" i="1"/>
  <c r="D600" i="1" s="1"/>
  <c r="BG600" i="1" s="1"/>
  <c r="B601" i="1"/>
  <c r="D601" i="1" s="1"/>
  <c r="BG601" i="1" s="1"/>
  <c r="B602" i="1"/>
  <c r="D602" i="1" s="1"/>
  <c r="BG602" i="1" s="1"/>
  <c r="B603" i="1"/>
  <c r="D603" i="1" s="1"/>
  <c r="BG603" i="1" s="1"/>
  <c r="B604" i="1"/>
  <c r="D604" i="1" s="1"/>
  <c r="BG604" i="1" s="1"/>
  <c r="B605" i="1"/>
  <c r="D605" i="1" s="1"/>
  <c r="BG605" i="1" s="1"/>
  <c r="B606" i="1"/>
  <c r="D606" i="1" s="1"/>
  <c r="BG606" i="1" s="1"/>
  <c r="B607" i="1"/>
  <c r="D607" i="1" s="1"/>
  <c r="BG607" i="1" s="1"/>
  <c r="B608" i="1"/>
  <c r="D608" i="1" s="1"/>
  <c r="BG608" i="1" s="1"/>
  <c r="B609" i="1"/>
  <c r="D609" i="1" s="1"/>
  <c r="BG609" i="1" s="1"/>
  <c r="B610" i="1"/>
  <c r="D610" i="1" s="1"/>
  <c r="BG610" i="1" s="1"/>
  <c r="B611" i="1"/>
  <c r="D611" i="1" s="1"/>
  <c r="BG611" i="1" s="1"/>
  <c r="B612" i="1"/>
  <c r="D612" i="1" s="1"/>
  <c r="BG612" i="1" s="1"/>
  <c r="B613" i="1"/>
  <c r="D613" i="1" s="1"/>
  <c r="BG613" i="1" s="1"/>
  <c r="B614" i="1"/>
  <c r="D614" i="1" s="1"/>
  <c r="BG614" i="1" s="1"/>
  <c r="B615" i="1"/>
  <c r="D615" i="1" s="1"/>
  <c r="BG615" i="1" s="1"/>
  <c r="B616" i="1"/>
  <c r="D616" i="1" s="1"/>
  <c r="BG616" i="1" s="1"/>
  <c r="B617" i="1"/>
  <c r="D617" i="1" s="1"/>
  <c r="BG617" i="1" s="1"/>
  <c r="B618" i="1"/>
  <c r="D618" i="1" s="1"/>
  <c r="BG618" i="1" s="1"/>
  <c r="B619" i="1"/>
  <c r="D619" i="1" s="1"/>
  <c r="BG619" i="1" s="1"/>
  <c r="B620" i="1"/>
  <c r="D620" i="1" s="1"/>
  <c r="BG620" i="1" s="1"/>
  <c r="B621" i="1"/>
  <c r="D621" i="1" s="1"/>
  <c r="BG621" i="1" s="1"/>
  <c r="B622" i="1"/>
  <c r="D622" i="1" s="1"/>
  <c r="BG622" i="1" s="1"/>
  <c r="B623" i="1"/>
  <c r="D623" i="1" s="1"/>
  <c r="BG623" i="1" s="1"/>
  <c r="B624" i="1"/>
  <c r="D624" i="1" s="1"/>
  <c r="BG624" i="1" s="1"/>
  <c r="B625" i="1"/>
  <c r="D625" i="1" s="1"/>
  <c r="BG625" i="1" s="1"/>
  <c r="B626" i="1"/>
  <c r="D626" i="1" s="1"/>
  <c r="BG626" i="1" s="1"/>
  <c r="B627" i="1"/>
  <c r="D627" i="1" s="1"/>
  <c r="BG627" i="1" s="1"/>
  <c r="B628" i="1"/>
  <c r="D628" i="1" s="1"/>
  <c r="BG628" i="1" s="1"/>
  <c r="B629" i="1"/>
  <c r="D629" i="1" s="1"/>
  <c r="BG629" i="1" s="1"/>
  <c r="B630" i="1"/>
  <c r="D630" i="1" s="1"/>
  <c r="BG630" i="1" s="1"/>
  <c r="B631" i="1"/>
  <c r="D631" i="1" s="1"/>
  <c r="BG631" i="1" s="1"/>
  <c r="B632" i="1"/>
  <c r="D632" i="1" s="1"/>
  <c r="BG632" i="1" s="1"/>
  <c r="B633" i="1"/>
  <c r="D633" i="1" s="1"/>
  <c r="BG633" i="1" s="1"/>
  <c r="B634" i="1"/>
  <c r="D634" i="1" s="1"/>
  <c r="BG634" i="1" s="1"/>
  <c r="B635" i="1"/>
  <c r="D635" i="1" s="1"/>
  <c r="BG635" i="1" s="1"/>
  <c r="B636" i="1"/>
  <c r="D636" i="1" s="1"/>
  <c r="BG636" i="1" s="1"/>
  <c r="B637" i="1"/>
  <c r="D637" i="1" s="1"/>
  <c r="BG637" i="1" s="1"/>
  <c r="B638" i="1"/>
  <c r="D638" i="1" s="1"/>
  <c r="BG638" i="1" s="1"/>
  <c r="B639" i="1"/>
  <c r="D639" i="1" s="1"/>
  <c r="BG639" i="1" s="1"/>
  <c r="B640" i="1"/>
  <c r="D640" i="1" s="1"/>
  <c r="BG640" i="1" s="1"/>
  <c r="B641" i="1"/>
  <c r="D641" i="1" s="1"/>
  <c r="BG641" i="1" s="1"/>
  <c r="B642" i="1"/>
  <c r="D642" i="1" s="1"/>
  <c r="BG642" i="1" s="1"/>
  <c r="B643" i="1"/>
  <c r="D643" i="1" s="1"/>
  <c r="BG643" i="1" s="1"/>
  <c r="B644" i="1"/>
  <c r="D644" i="1" s="1"/>
  <c r="BG644" i="1" s="1"/>
  <c r="B645" i="1"/>
  <c r="D645" i="1" s="1"/>
  <c r="BG645" i="1" s="1"/>
  <c r="B646" i="1"/>
  <c r="D646" i="1" s="1"/>
  <c r="BG646" i="1" s="1"/>
  <c r="B647" i="1"/>
  <c r="D647" i="1" s="1"/>
  <c r="BG647" i="1" s="1"/>
  <c r="B648" i="1"/>
  <c r="D648" i="1" s="1"/>
  <c r="BG648" i="1" s="1"/>
  <c r="B649" i="1"/>
  <c r="D649" i="1" s="1"/>
  <c r="BG649" i="1" s="1"/>
  <c r="B650" i="1"/>
  <c r="D650" i="1" s="1"/>
  <c r="BG650" i="1" s="1"/>
  <c r="B651" i="1"/>
  <c r="D651" i="1" s="1"/>
  <c r="BG651" i="1" s="1"/>
  <c r="B652" i="1"/>
  <c r="D652" i="1" s="1"/>
  <c r="BG652" i="1" s="1"/>
  <c r="B653" i="1"/>
  <c r="D653" i="1" s="1"/>
  <c r="BG653" i="1" s="1"/>
  <c r="B654" i="1"/>
  <c r="D654" i="1" s="1"/>
  <c r="BG654" i="1" s="1"/>
  <c r="B655" i="1"/>
  <c r="D655" i="1" s="1"/>
  <c r="BG655" i="1" s="1"/>
  <c r="B656" i="1"/>
  <c r="D656" i="1" s="1"/>
  <c r="BG656" i="1" s="1"/>
  <c r="B657" i="1"/>
  <c r="D657" i="1" s="1"/>
  <c r="BG657" i="1" s="1"/>
  <c r="B658" i="1"/>
  <c r="D658" i="1" s="1"/>
  <c r="BG658" i="1" s="1"/>
  <c r="B659" i="1"/>
  <c r="D659" i="1" s="1"/>
  <c r="BG659" i="1" s="1"/>
  <c r="B660" i="1"/>
  <c r="D660" i="1" s="1"/>
  <c r="BG660" i="1" s="1"/>
  <c r="B661" i="1"/>
  <c r="D661" i="1" s="1"/>
  <c r="BG661" i="1" s="1"/>
  <c r="B662" i="1"/>
  <c r="D662" i="1" s="1"/>
  <c r="BG662" i="1" s="1"/>
  <c r="B663" i="1"/>
  <c r="D663" i="1" s="1"/>
  <c r="BG663" i="1" s="1"/>
  <c r="B664" i="1"/>
  <c r="D664" i="1" s="1"/>
  <c r="BG664" i="1" s="1"/>
  <c r="B665" i="1"/>
  <c r="D665" i="1" s="1"/>
  <c r="BG665" i="1" s="1"/>
  <c r="B666" i="1"/>
  <c r="D666" i="1" s="1"/>
  <c r="BG666" i="1" s="1"/>
  <c r="B667" i="1"/>
  <c r="D667" i="1" s="1"/>
  <c r="BG667" i="1" s="1"/>
  <c r="B668" i="1"/>
  <c r="D668" i="1" s="1"/>
  <c r="BG668" i="1" s="1"/>
  <c r="B669" i="1"/>
  <c r="D669" i="1" s="1"/>
  <c r="BG669" i="1" s="1"/>
  <c r="B670" i="1"/>
  <c r="D670" i="1" s="1"/>
  <c r="BG670" i="1" s="1"/>
  <c r="B671" i="1"/>
  <c r="D671" i="1" s="1"/>
  <c r="BG671" i="1" s="1"/>
  <c r="B672" i="1"/>
  <c r="D672" i="1" s="1"/>
  <c r="BG672" i="1" s="1"/>
  <c r="B673" i="1"/>
  <c r="D673" i="1" s="1"/>
  <c r="BG673" i="1" s="1"/>
  <c r="B674" i="1"/>
  <c r="D674" i="1" s="1"/>
  <c r="BG674" i="1" s="1"/>
  <c r="B675" i="1"/>
  <c r="D675" i="1" s="1"/>
  <c r="BG675" i="1" s="1"/>
  <c r="B676" i="1"/>
  <c r="D676" i="1" s="1"/>
  <c r="BG676" i="1" s="1"/>
  <c r="B677" i="1"/>
  <c r="D677" i="1" s="1"/>
  <c r="BG677" i="1" s="1"/>
  <c r="B678" i="1"/>
  <c r="D678" i="1" s="1"/>
  <c r="BG678" i="1" s="1"/>
  <c r="B679" i="1"/>
  <c r="D679" i="1" s="1"/>
  <c r="BG679" i="1" s="1"/>
  <c r="B680" i="1"/>
  <c r="D680" i="1" s="1"/>
  <c r="BG680" i="1" s="1"/>
  <c r="B681" i="1"/>
  <c r="D681" i="1" s="1"/>
  <c r="BG681" i="1" s="1"/>
  <c r="B682" i="1"/>
  <c r="D682" i="1" s="1"/>
  <c r="BG682" i="1" s="1"/>
  <c r="B683" i="1"/>
  <c r="D683" i="1" s="1"/>
  <c r="BG683" i="1" s="1"/>
  <c r="B684" i="1"/>
  <c r="D684" i="1" s="1"/>
  <c r="BG684" i="1" s="1"/>
  <c r="B685" i="1"/>
  <c r="D685" i="1" s="1"/>
  <c r="BG685" i="1" s="1"/>
  <c r="B686" i="1"/>
  <c r="D686" i="1" s="1"/>
  <c r="BG686" i="1" s="1"/>
  <c r="B687" i="1"/>
  <c r="D687" i="1" s="1"/>
  <c r="BG687" i="1" s="1"/>
  <c r="B688" i="1"/>
  <c r="D688" i="1" s="1"/>
  <c r="BG688" i="1" s="1"/>
  <c r="B689" i="1"/>
  <c r="D689" i="1" s="1"/>
  <c r="BG689" i="1" s="1"/>
  <c r="B690" i="1"/>
  <c r="D690" i="1" s="1"/>
  <c r="BG690" i="1" s="1"/>
  <c r="B691" i="1"/>
  <c r="D691" i="1" s="1"/>
  <c r="BG691" i="1" s="1"/>
  <c r="B692" i="1"/>
  <c r="D692" i="1" s="1"/>
  <c r="BG692" i="1" s="1"/>
  <c r="B693" i="1"/>
  <c r="D693" i="1" s="1"/>
  <c r="BG693" i="1" s="1"/>
  <c r="B694" i="1"/>
  <c r="D694" i="1" s="1"/>
  <c r="BG694" i="1" s="1"/>
  <c r="B695" i="1"/>
  <c r="D695" i="1" s="1"/>
  <c r="BG695" i="1" s="1"/>
  <c r="B696" i="1"/>
  <c r="D696" i="1" s="1"/>
  <c r="BG696" i="1" s="1"/>
  <c r="B697" i="1"/>
  <c r="D697" i="1" s="1"/>
  <c r="BG697" i="1" s="1"/>
  <c r="B698" i="1"/>
  <c r="D698" i="1" s="1"/>
  <c r="BG698" i="1" s="1"/>
  <c r="B699" i="1"/>
  <c r="D699" i="1" s="1"/>
  <c r="BG699" i="1" s="1"/>
  <c r="B700" i="1"/>
  <c r="D700" i="1" s="1"/>
  <c r="BG700" i="1" s="1"/>
  <c r="B701" i="1"/>
  <c r="D701" i="1" s="1"/>
  <c r="BG701" i="1" s="1"/>
  <c r="B702" i="1"/>
  <c r="D702" i="1" s="1"/>
  <c r="BG702" i="1" s="1"/>
  <c r="B703" i="1"/>
  <c r="D703" i="1" s="1"/>
  <c r="BG703" i="1" s="1"/>
  <c r="B704" i="1"/>
  <c r="D704" i="1" s="1"/>
  <c r="BG704" i="1" s="1"/>
  <c r="B705" i="1"/>
  <c r="D705" i="1" s="1"/>
  <c r="BG705" i="1" s="1"/>
  <c r="B706" i="1"/>
  <c r="D706" i="1" s="1"/>
  <c r="BG706" i="1" s="1"/>
  <c r="B707" i="1"/>
  <c r="D707" i="1" s="1"/>
  <c r="BG707" i="1" s="1"/>
  <c r="B708" i="1"/>
  <c r="D708" i="1" s="1"/>
  <c r="BG708" i="1" s="1"/>
  <c r="B709" i="1"/>
  <c r="D709" i="1" s="1"/>
  <c r="BG709" i="1" s="1"/>
  <c r="B710" i="1"/>
  <c r="D710" i="1" s="1"/>
  <c r="BG710" i="1" s="1"/>
  <c r="B711" i="1"/>
  <c r="D711" i="1" s="1"/>
  <c r="BG711" i="1" s="1"/>
  <c r="B712" i="1"/>
  <c r="D712" i="1" s="1"/>
  <c r="BG712" i="1" s="1"/>
  <c r="B713" i="1"/>
  <c r="D713" i="1" s="1"/>
  <c r="BG713" i="1" s="1"/>
  <c r="B714" i="1"/>
  <c r="D714" i="1" s="1"/>
  <c r="BG714" i="1" s="1"/>
  <c r="B715" i="1"/>
  <c r="D715" i="1" s="1"/>
  <c r="BG715" i="1" s="1"/>
  <c r="B716" i="1"/>
  <c r="D716" i="1" s="1"/>
  <c r="BG716" i="1" s="1"/>
  <c r="B717" i="1"/>
  <c r="D717" i="1" s="1"/>
  <c r="BG717" i="1" s="1"/>
  <c r="B718" i="1"/>
  <c r="D718" i="1" s="1"/>
  <c r="BG718" i="1" s="1"/>
  <c r="B719" i="1"/>
  <c r="D719" i="1" s="1"/>
  <c r="BG719" i="1" s="1"/>
  <c r="B720" i="1"/>
  <c r="D720" i="1" s="1"/>
  <c r="BG720" i="1" s="1"/>
  <c r="B721" i="1"/>
  <c r="D721" i="1" s="1"/>
  <c r="BG721" i="1" s="1"/>
  <c r="B722" i="1"/>
  <c r="D722" i="1" s="1"/>
  <c r="BG722" i="1" s="1"/>
  <c r="B723" i="1"/>
  <c r="D723" i="1" s="1"/>
  <c r="BG723" i="1" s="1"/>
  <c r="B724" i="1"/>
  <c r="D724" i="1" s="1"/>
  <c r="BG724" i="1" s="1"/>
  <c r="B725" i="1"/>
  <c r="D725" i="1" s="1"/>
  <c r="BG725" i="1" s="1"/>
  <c r="B726" i="1"/>
  <c r="D726" i="1" s="1"/>
  <c r="BG726" i="1" s="1"/>
  <c r="B727" i="1"/>
  <c r="D727" i="1" s="1"/>
  <c r="BG727" i="1" s="1"/>
  <c r="B728" i="1"/>
  <c r="D728" i="1" s="1"/>
  <c r="BG728" i="1" s="1"/>
  <c r="B729" i="1"/>
  <c r="D729" i="1" s="1"/>
  <c r="BG729" i="1" s="1"/>
  <c r="B730" i="1"/>
  <c r="D730" i="1" s="1"/>
  <c r="BG730" i="1" s="1"/>
  <c r="B731" i="1"/>
  <c r="D731" i="1" s="1"/>
  <c r="BG731" i="1" s="1"/>
  <c r="B732" i="1"/>
  <c r="D732" i="1" s="1"/>
  <c r="BG732" i="1" s="1"/>
  <c r="B733" i="1"/>
  <c r="D733" i="1" s="1"/>
  <c r="BG733" i="1" s="1"/>
  <c r="B734" i="1"/>
  <c r="D734" i="1" s="1"/>
  <c r="BG734" i="1" s="1"/>
  <c r="B735" i="1"/>
  <c r="D735" i="1" s="1"/>
  <c r="BG735" i="1" s="1"/>
  <c r="B736" i="1"/>
  <c r="D736" i="1" s="1"/>
  <c r="BG736" i="1" s="1"/>
  <c r="B737" i="1"/>
  <c r="D737" i="1" s="1"/>
  <c r="BG737" i="1" s="1"/>
  <c r="B738" i="1"/>
  <c r="D738" i="1" s="1"/>
  <c r="BG738" i="1" s="1"/>
  <c r="B739" i="1"/>
  <c r="D739" i="1" s="1"/>
  <c r="BG739" i="1" s="1"/>
  <c r="B740" i="1"/>
  <c r="D740" i="1" s="1"/>
  <c r="BG740" i="1" s="1"/>
  <c r="B741" i="1"/>
  <c r="D741" i="1" s="1"/>
  <c r="BG741" i="1" s="1"/>
  <c r="B742" i="1"/>
  <c r="D742" i="1" s="1"/>
  <c r="BG742" i="1" s="1"/>
  <c r="B743" i="1"/>
  <c r="D743" i="1" s="1"/>
  <c r="BG743" i="1" s="1"/>
  <c r="B744" i="1"/>
  <c r="D744" i="1" s="1"/>
  <c r="BG744" i="1" s="1"/>
  <c r="B745" i="1"/>
  <c r="D745" i="1" s="1"/>
  <c r="BG745" i="1" s="1"/>
  <c r="B746" i="1"/>
  <c r="D746" i="1" s="1"/>
  <c r="BG746" i="1" s="1"/>
  <c r="B747" i="1"/>
  <c r="D747" i="1" s="1"/>
  <c r="BG747" i="1" s="1"/>
  <c r="B748" i="1"/>
  <c r="D748" i="1" s="1"/>
  <c r="BG748" i="1" s="1"/>
  <c r="B749" i="1"/>
  <c r="D749" i="1" s="1"/>
  <c r="BG749" i="1" s="1"/>
  <c r="B750" i="1"/>
  <c r="D750" i="1" s="1"/>
  <c r="BG750" i="1" s="1"/>
  <c r="B751" i="1"/>
  <c r="D751" i="1" s="1"/>
  <c r="BG751" i="1" s="1"/>
  <c r="B752" i="1"/>
  <c r="D752" i="1" s="1"/>
  <c r="BG752" i="1" s="1"/>
  <c r="B753" i="1"/>
  <c r="D753" i="1" s="1"/>
  <c r="BG753" i="1" s="1"/>
  <c r="B754" i="1"/>
  <c r="D754" i="1" s="1"/>
  <c r="BG754" i="1" s="1"/>
  <c r="B755" i="1"/>
  <c r="D755" i="1" s="1"/>
  <c r="BG755" i="1" s="1"/>
  <c r="B756" i="1"/>
  <c r="D756" i="1" s="1"/>
  <c r="BG756" i="1" s="1"/>
  <c r="B757" i="1"/>
  <c r="D757" i="1" s="1"/>
  <c r="BG757" i="1" s="1"/>
  <c r="B758" i="1"/>
  <c r="D758" i="1" s="1"/>
  <c r="BG758" i="1" s="1"/>
  <c r="B759" i="1"/>
  <c r="D759" i="1" s="1"/>
  <c r="BG759" i="1" s="1"/>
  <c r="B760" i="1"/>
  <c r="D760" i="1" s="1"/>
  <c r="BG760" i="1" s="1"/>
  <c r="B761" i="1"/>
  <c r="D761" i="1" s="1"/>
  <c r="BG761" i="1" s="1"/>
  <c r="B762" i="1"/>
  <c r="D762" i="1" s="1"/>
  <c r="BG762" i="1" s="1"/>
  <c r="B763" i="1"/>
  <c r="D763" i="1" s="1"/>
  <c r="BG763" i="1" s="1"/>
  <c r="B764" i="1"/>
  <c r="D764" i="1" s="1"/>
  <c r="BG764" i="1" s="1"/>
  <c r="B765" i="1"/>
  <c r="D765" i="1" s="1"/>
  <c r="BG765" i="1" s="1"/>
  <c r="B766" i="1"/>
  <c r="D766" i="1" s="1"/>
  <c r="BG766" i="1" s="1"/>
  <c r="B767" i="1"/>
  <c r="D767" i="1" s="1"/>
  <c r="BG767" i="1" s="1"/>
  <c r="B768" i="1"/>
  <c r="D768" i="1" s="1"/>
  <c r="BG768" i="1" s="1"/>
  <c r="B769" i="1"/>
  <c r="D769" i="1" s="1"/>
  <c r="BG769" i="1" s="1"/>
  <c r="B770" i="1"/>
  <c r="D770" i="1" s="1"/>
  <c r="BG770" i="1" s="1"/>
  <c r="B771" i="1"/>
  <c r="D771" i="1" s="1"/>
  <c r="BG771" i="1" s="1"/>
  <c r="B772" i="1"/>
  <c r="D772" i="1" s="1"/>
  <c r="BG772" i="1" s="1"/>
  <c r="B773" i="1"/>
  <c r="D773" i="1" s="1"/>
  <c r="BG773" i="1" s="1"/>
  <c r="B774" i="1"/>
  <c r="D774" i="1" s="1"/>
  <c r="BG774" i="1" s="1"/>
  <c r="B775" i="1"/>
  <c r="D775" i="1" s="1"/>
  <c r="BG775" i="1" s="1"/>
  <c r="B776" i="1"/>
  <c r="D776" i="1" s="1"/>
  <c r="BG776" i="1" s="1"/>
  <c r="B777" i="1"/>
  <c r="D777" i="1" s="1"/>
  <c r="BG777" i="1" s="1"/>
  <c r="B778" i="1"/>
  <c r="D778" i="1" s="1"/>
  <c r="BG778" i="1" s="1"/>
  <c r="B779" i="1"/>
  <c r="D779" i="1" s="1"/>
  <c r="BG779" i="1" s="1"/>
  <c r="B780" i="1"/>
  <c r="D780" i="1" s="1"/>
  <c r="BG780" i="1" s="1"/>
  <c r="B781" i="1"/>
  <c r="D781" i="1" s="1"/>
  <c r="BG781" i="1" s="1"/>
  <c r="B782" i="1"/>
  <c r="D782" i="1" s="1"/>
  <c r="BG782" i="1" s="1"/>
  <c r="B783" i="1"/>
  <c r="D783" i="1" s="1"/>
  <c r="BG783" i="1" s="1"/>
  <c r="B784" i="1"/>
  <c r="D784" i="1" s="1"/>
  <c r="BG784" i="1" s="1"/>
  <c r="B785" i="1"/>
  <c r="D785" i="1" s="1"/>
  <c r="BG785" i="1" s="1"/>
  <c r="B786" i="1"/>
  <c r="D786" i="1" s="1"/>
  <c r="BG786" i="1" s="1"/>
  <c r="B787" i="1"/>
  <c r="D787" i="1" s="1"/>
  <c r="BG787" i="1" s="1"/>
  <c r="B788" i="1"/>
  <c r="D788" i="1" s="1"/>
  <c r="BG788" i="1" s="1"/>
  <c r="B789" i="1"/>
  <c r="D789" i="1" s="1"/>
  <c r="BG789" i="1" s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G1" authorId="0" shapeId="0" xr:uid="{8785470B-FD28-4E66-B6F1-A3B34BC5FF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BH1" authorId="0" shapeId="0" xr:uid="{FECE53BE-C316-422F-9608-E274093235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BI1" authorId="0" shapeId="0" xr:uid="{7A411C55-683B-4655-9D36-4D7822702C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  <comment ref="BM1" authorId="0" shapeId="0" xr:uid="{A81E49DC-98FD-45FE-A373-9F9CD730E0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BN1" authorId="0" shapeId="0" xr:uid="{3A9AC68E-B201-4D93-A054-C63DD692E7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DEFAULT_BITMASK</t>
        </r>
      </text>
    </comment>
    <comment ref="BO1" authorId="0" shapeId="0" xr:uid="{573171C9-8E04-4D0D-8CDC-728B361D78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DEFAULT_CARGO_AGE_PERIOD</t>
        </r>
      </text>
    </comment>
    <comment ref="BP1" authorId="0" shapeId="0" xr:uid="{89F39150-9204-4FF1-A31B-DB7B70750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DEFAULT_POWER_PER_WAGON</t>
        </r>
      </text>
    </comment>
    <comment ref="BQ1" authorId="0" shapeId="0" xr:uid="{32AF02B4-9DBC-4BEF-A065-3320EFC5DE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DEFAULT_REFIT_COST</t>
        </r>
      </text>
    </comment>
    <comment ref="BR1" authorId="0" shapeId="0" xr:uid="{5FF6C129-29ED-45B9-87AE-85B70E2621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DEFAULT_RELIABILITY_DECAY</t>
        </r>
      </text>
    </comment>
    <comment ref="BS1" authorId="0" shapeId="0" xr:uid="{C1BE089A-DB3E-4B36-8AD3-944B04E594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DEFAULT_RETIRE_EARLY</t>
        </r>
      </text>
    </comment>
  </commentList>
</comments>
</file>

<file path=xl/sharedStrings.xml><?xml version="1.0" encoding="utf-8"?>
<sst xmlns="http://schemas.openxmlformats.org/spreadsheetml/2006/main" count="12888" uniqueCount="945">
  <si>
    <t>VEHIDCODE</t>
  </si>
  <si>
    <t>ACTUAL_LENGTH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</si>
  <si>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</si>
  <si>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</si>
  <si>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</si>
  <si>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</si>
  <si>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</si>
  <si>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</si>
  <si>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</si>
  <si>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</si>
  <si>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</si>
  <si>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</si>
  <si>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</si>
  <si>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</si>
  <si>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</si>
  <si>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</si>
  <si>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</si>
  <si>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</si>
  <si>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</si>
  <si>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</si>
  <si>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</si>
  <si>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</si>
  <si>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</si>
  <si>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</si>
  <si>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</si>
  <si>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</si>
  <si>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</si>
  <si>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</si>
  <si>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</si>
  <si>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</si>
  <si>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</si>
  <si>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</si>
  <si>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</si>
  <si>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</si>
  <si>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</si>
  <si>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</si>
  <si>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</si>
  <si>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</si>
  <si>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</si>
  <si>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</si>
  <si>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</si>
  <si>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</si>
  <si>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</si>
  <si>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</si>
  <si>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</si>
  <si>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</si>
  <si>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</si>
  <si>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</si>
  <si>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</si>
  <si>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</si>
  <si>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</si>
  <si>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</si>
  <si>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</si>
  <si>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</si>
  <si>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</si>
  <si>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</si>
  <si>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</si>
  <si>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</si>
  <si>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</si>
  <si>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</si>
  <si>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</si>
  <si>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</si>
  <si>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</si>
  <si>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</si>
  <si>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</si>
  <si>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</si>
  <si>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</si>
  <si>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</si>
  <si>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</si>
  <si>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</si>
  <si>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</si>
  <si>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</si>
  <si>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</si>
  <si>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</si>
  <si>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</si>
  <si>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</si>
  <si>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</si>
  <si>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</si>
  <si>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</si>
  <si>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</si>
  <si>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</si>
  <si>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</si>
  <si>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</si>
  <si>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</si>
  <si>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</si>
  <si>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</si>
  <si>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</si>
  <si>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</si>
  <si>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</si>
  <si>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</si>
  <si>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</si>
  <si>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</si>
  <si>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</si>
  <si>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</si>
  <si>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</si>
  <si>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</si>
  <si>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</si>
  <si>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</si>
  <si>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</si>
  <si>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</si>
  <si>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</si>
  <si>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</si>
  <si>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</si>
  <si>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</si>
  <si>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</si>
  <si>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</si>
  <si>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</si>
  <si>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</si>
  <si>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</si>
  <si>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</si>
  <si>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</si>
  <si>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</si>
  <si>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</si>
  <si>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</si>
  <si>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</si>
  <si>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</si>
  <si>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</si>
  <si>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</si>
  <si>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</si>
  <si>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</si>
  <si>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</si>
  <si>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</si>
  <si>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</si>
  <si>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</si>
  <si>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</si>
  <si>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</si>
  <si>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</si>
  <si>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</si>
  <si>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</si>
  <si>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</si>
  <si>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</si>
  <si>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</si>
  <si>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</si>
  <si>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</si>
  <si>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</si>
  <si>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</si>
  <si>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</si>
  <si>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</si>
  <si>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</si>
  <si>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</si>
  <si>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</si>
  <si>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</si>
  <si>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</si>
  <si>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</si>
  <si>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</si>
  <si>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</si>
  <si>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</si>
  <si>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</si>
  <si>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</si>
  <si>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</si>
  <si>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</si>
  <si>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</si>
  <si>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</si>
  <si>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</si>
  <si>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</si>
  <si>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</si>
  <si>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</si>
  <si>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</si>
  <si>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</si>
  <si>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</si>
  <si>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</si>
  <si>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</si>
  <si>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</si>
  <si>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</si>
  <si>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</si>
  <si>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</si>
  <si>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</si>
  <si>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</si>
  <si>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</si>
  <si>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</si>
  <si>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</si>
  <si>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</si>
  <si>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</si>
  <si>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</si>
  <si>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</si>
  <si>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</si>
  <si>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</si>
  <si>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</si>
  <si>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</si>
  <si>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</si>
  <si>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</si>
  <si>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</si>
  <si>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</si>
  <si>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</si>
  <si>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</si>
  <si>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</si>
  <si>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</si>
  <si>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</si>
  <si>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</si>
  <si>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</si>
  <si>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</si>
  <si>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</si>
  <si>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</si>
  <si>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</si>
  <si>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</si>
  <si>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</si>
  <si>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</si>
  <si>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</si>
  <si>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</si>
  <si>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</si>
  <si>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</si>
  <si>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</si>
  <si>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</si>
  <si>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</si>
  <si>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</si>
  <si>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</si>
  <si>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</si>
  <si>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</si>
  <si>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</si>
  <si>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</si>
  <si>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</si>
  <si>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</si>
  <si>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</si>
  <si>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</si>
  <si>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</si>
  <si>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</si>
  <si>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</si>
  <si>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</si>
  <si>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</si>
  <si>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</si>
  <si>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</si>
  <si>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</si>
  <si>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</si>
  <si>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</si>
  <si>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</si>
  <si>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</si>
  <si>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</si>
  <si>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</si>
  <si>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</si>
  <si>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</si>
  <si>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</si>
  <si>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</si>
  <si>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</si>
  <si>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</si>
  <si>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</si>
  <si>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</si>
  <si>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</si>
  <si>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</si>
  <si>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</si>
  <si>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diesel_USA_Amtrack_SDP_40F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</si>
  <si>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</si>
  <si>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</si>
  <si>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</si>
  <si>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</si>
  <si>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</si>
  <si>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</si>
  <si>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</si>
  <si>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</si>
  <si>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</si>
  <si>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</si>
  <si>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</si>
  <si>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</si>
  <si>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</si>
  <si>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</si>
  <si>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</si>
  <si>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</si>
  <si>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</si>
  <si>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</si>
  <si>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</si>
  <si>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</si>
  <si>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</si>
  <si>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</si>
  <si>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</si>
  <si>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</si>
  <si>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</si>
  <si>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</si>
  <si>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</si>
  <si>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</si>
  <si>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</si>
  <si>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</si>
  <si>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</si>
  <si>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</si>
  <si>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</si>
  <si>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</si>
  <si>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</si>
  <si>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</si>
  <si>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</si>
  <si>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</si>
  <si>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</si>
  <si>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</si>
  <si>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</si>
  <si>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</si>
  <si>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</si>
  <si>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</si>
  <si>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</si>
  <si>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</si>
  <si>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</si>
  <si>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</si>
  <si>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</si>
  <si>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</si>
  <si>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</si>
  <si>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</si>
  <si>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</si>
  <si>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</si>
  <si>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</si>
  <si>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</si>
  <si>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</si>
  <si>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</si>
  <si>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</si>
  <si>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</si>
  <si>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</si>
  <si>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</si>
  <si>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</si>
  <si>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</si>
  <si>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</si>
  <si>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</si>
  <si>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</si>
  <si>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</si>
  <si>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</si>
  <si>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</si>
  <si>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</si>
  <si>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</si>
  <si>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</si>
  <si>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</si>
  <si>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</si>
  <si>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</si>
  <si>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</si>
  <si>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</si>
  <si>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</si>
  <si>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</si>
  <si>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</si>
  <si>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</si>
  <si>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</si>
  <si>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</si>
  <si>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</si>
  <si>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</si>
  <si>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</si>
  <si>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</si>
  <si>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</si>
  <si>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</si>
  <si>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</si>
  <si>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</si>
  <si>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</si>
  <si>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</si>
  <si>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</si>
  <si>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</si>
  <si>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</si>
  <si>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</si>
  <si>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</si>
  <si>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</si>
  <si>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</si>
  <si>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</si>
  <si>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</si>
  <si>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</si>
  <si>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</si>
  <si>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</si>
  <si>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</si>
  <si>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</si>
  <si>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</si>
  <si>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</si>
  <si>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</si>
  <si>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</si>
  <si>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</si>
  <si>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</si>
  <si>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</si>
  <si>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</si>
  <si>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</si>
  <si>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</si>
  <si>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</si>
  <si>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</si>
  <si>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</si>
  <si>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</si>
  <si>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</si>
  <si>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</si>
  <si>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</si>
  <si>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</si>
  <si>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</si>
  <si>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</si>
  <si>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</si>
  <si>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</si>
  <si>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</si>
  <si>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</si>
  <si>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</si>
  <si>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</si>
  <si>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</si>
  <si>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</si>
  <si>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</si>
  <si>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</si>
  <si>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</si>
  <si>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</si>
  <si>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</si>
  <si>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</si>
  <si>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</si>
  <si>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</si>
  <si>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</si>
  <si>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</si>
  <si>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</si>
  <si>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</si>
  <si>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</si>
  <si>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</si>
  <si>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</si>
  <si>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</si>
  <si>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</si>
  <si>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</si>
  <si>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</si>
  <si>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</si>
  <si>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</si>
  <si>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</si>
  <si>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</si>
  <si>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</si>
  <si>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</si>
  <si>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</si>
  <si>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</si>
  <si>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</si>
  <si>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</si>
  <si>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</si>
  <si>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</si>
  <si>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</si>
  <si>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</si>
  <si>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</si>
  <si>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</si>
  <si>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</si>
  <si>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</si>
  <si>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</si>
  <si>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</si>
  <si>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</si>
  <si>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</si>
  <si>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</si>
  <si>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</si>
  <si>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</si>
  <si>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</si>
  <si>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</si>
  <si>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</si>
  <si>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</si>
  <si>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</si>
  <si>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</si>
  <si>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</si>
  <si>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</si>
  <si>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</si>
  <si>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</si>
  <si>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</si>
  <si>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</si>
  <si>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</si>
  <si>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</si>
  <si>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</si>
  <si>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</si>
  <si>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</si>
  <si>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</si>
  <si>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</si>
  <si>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</si>
  <si>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</si>
  <si>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</si>
  <si>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</si>
  <si>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</si>
  <si>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</si>
  <si>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</si>
  <si>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</si>
  <si>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</si>
  <si>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</si>
  <si>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</si>
  <si>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</si>
  <si>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</si>
  <si>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</si>
  <si>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</si>
  <si>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</si>
  <si>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</si>
  <si>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</si>
  <si>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</si>
  <si>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</si>
  <si>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</si>
  <si>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</si>
  <si>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</si>
  <si>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</si>
  <si>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</si>
  <si>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</si>
  <si>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</si>
  <si>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</si>
  <si>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</si>
  <si>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</si>
  <si>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</si>
  <si>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</si>
  <si>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</si>
  <si>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</si>
  <si>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</si>
  <si>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</si>
  <si>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</si>
  <si>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</si>
  <si>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</si>
  <si>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</si>
  <si>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</si>
  <si>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</si>
  <si>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</si>
  <si>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</si>
  <si>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</si>
  <si>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</si>
  <si>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</si>
  <si>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</si>
  <si>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</si>
  <si>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</si>
  <si>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</si>
  <si>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</si>
  <si>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</si>
  <si>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</si>
  <si>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</si>
  <si>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</si>
  <si>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</si>
  <si>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</si>
  <si>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</si>
  <si>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</si>
  <si>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</si>
  <si>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</si>
  <si>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</si>
  <si>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</si>
  <si>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</si>
  <si>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</si>
  <si>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</si>
  <si>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</si>
  <si>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</si>
  <si>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</si>
  <si>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</si>
  <si>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</si>
  <si>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</si>
  <si>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</si>
  <si>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</si>
  <si>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</si>
  <si>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</si>
  <si>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</si>
  <si>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</si>
  <si>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</si>
  <si>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</si>
  <si>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</si>
  <si>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</si>
  <si>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</si>
  <si>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</si>
  <si>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</si>
  <si>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</si>
  <si>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</si>
  <si>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</si>
  <si>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</si>
  <si>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</si>
  <si>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</si>
  <si>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</si>
  <si>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</si>
  <si>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</si>
  <si>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</si>
  <si>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</si>
  <si>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</si>
  <si>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</si>
  <si>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</si>
  <si>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</si>
  <si>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</si>
  <si>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</si>
  <si>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</si>
  <si>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</si>
  <si>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</si>
  <si>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</si>
  <si>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</si>
  <si>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</si>
  <si>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</si>
  <si>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</si>
  <si>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</si>
  <si>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</si>
  <si>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</si>
  <si>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</si>
  <si>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</si>
  <si>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</si>
  <si>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</si>
  <si>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</si>
  <si>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</si>
  <si>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</si>
  <si>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</si>
  <si>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</si>
  <si>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</si>
  <si>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</si>
  <si>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</si>
  <si>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</si>
  <si>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</si>
  <si>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</si>
  <si>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</si>
  <si>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</si>
  <si>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</si>
  <si>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</si>
  <si>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</si>
  <si>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</si>
  <si>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</si>
  <si>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</si>
  <si>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</si>
  <si>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</si>
  <si>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</si>
  <si>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</si>
  <si>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</si>
  <si>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</si>
  <si>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</si>
  <si>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</si>
  <si>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</si>
  <si>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</si>
  <si>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</si>
  <si>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</si>
  <si>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</si>
  <si>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</si>
  <si>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</si>
  <si>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</si>
  <si>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</si>
  <si>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</si>
  <si>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</si>
  <si>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</si>
  <si>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</si>
  <si>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</si>
  <si>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</si>
  <si>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</si>
  <si>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</si>
  <si>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</si>
  <si>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</si>
  <si>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</si>
  <si>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</si>
  <si>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</si>
  <si>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</si>
  <si>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</si>
  <si>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</si>
  <si>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</si>
  <si>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</si>
  <si>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</si>
  <si>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</si>
  <si>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</si>
  <si>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</si>
  <si>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</si>
  <si>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</si>
  <si>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</si>
  <si>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</si>
  <si>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</si>
  <si>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</si>
  <si>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</si>
  <si>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</si>
  <si>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</si>
  <si>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</si>
  <si>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</si>
  <si>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</si>
  <si>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</si>
  <si>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</si>
  <si>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</si>
  <si>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</si>
  <si>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</si>
  <si>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</si>
  <si>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</si>
  <si>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</si>
  <si>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</si>
  <si>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</si>
  <si>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</si>
  <si>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</si>
  <si>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</si>
  <si>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</si>
  <si>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</si>
  <si>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</si>
  <si>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</si>
  <si>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</si>
  <si>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</si>
  <si>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</si>
  <si>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</si>
  <si>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</si>
  <si>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</si>
  <si>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</si>
  <si>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</si>
  <si>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</si>
  <si>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</si>
  <si>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</si>
  <si>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</si>
  <si>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</si>
  <si>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</si>
  <si>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</si>
  <si>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</si>
  <si>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</si>
  <si>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</si>
  <si>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</si>
  <si>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</si>
  <si>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</si>
  <si>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</si>
  <si>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</si>
  <si>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</si>
  <si>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</si>
  <si>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</si>
  <si>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</si>
  <si>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</si>
  <si>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</si>
  <si>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</si>
  <si>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</si>
  <si>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</si>
  <si>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</si>
  <si>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</si>
  <si>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</si>
  <si>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</si>
  <si>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</si>
  <si>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</si>
  <si>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</si>
  <si>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</si>
  <si>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</si>
  <si>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</si>
  <si>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</si>
  <si>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</si>
  <si>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</si>
  <si>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</si>
  <si>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AIR_DRAG_COEFFICIENT</t>
  </si>
  <si>
    <t>BITMASK_VEHICLE_INFO</t>
  </si>
  <si>
    <t>DEFAULT_BITMASK</t>
  </si>
  <si>
    <t>CARGO_AGE_PERIOD</t>
  </si>
  <si>
    <t>DEFAULT_CARGO_AGE_PERIOD</t>
  </si>
  <si>
    <t>ITEM</t>
  </si>
  <si>
    <t>NAME</t>
  </si>
  <si>
    <t>MISC_FLAGS_TRAIN_FLAG_2CC</t>
  </si>
  <si>
    <t>MISC_FLAGS_TRAIN_FLAG_MU</t>
  </si>
  <si>
    <t>MISC_FLAGS_TRAIN_FLAG_AUTOREFIT</t>
  </si>
  <si>
    <t>POWER_PER_WAGON</t>
  </si>
  <si>
    <t>DEFAULT_POWER_PER_WAGON</t>
  </si>
  <si>
    <t>REFIT_COST</t>
  </si>
  <si>
    <t>RELIABILITY_DECAY</t>
  </si>
  <si>
    <t>RETIRE_EARLY</t>
  </si>
  <si>
    <t>DEFAULT_REFIT_COST</t>
  </si>
  <si>
    <t>DEFAULT_RELIABILITY_DECAY</t>
  </si>
  <si>
    <t>DEFAULT_RETIRE_EARLY</t>
  </si>
  <si>
    <t>RUNNING_COST_BASE</t>
  </si>
  <si>
    <t>RUNNING_COST_ELECTRIC</t>
  </si>
  <si>
    <t>RUNNING_COST_STEAM</t>
  </si>
  <si>
    <t>RUNNING_COST_DIESEL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</si>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</sst>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3" borderId="10" xfId="0" applyFill="1" applyBorder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/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3"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able1" displayName="Table1" ref="A1:BS789" totalsRowShown="0" headerRowDxfId="52">
  <autoFilter ref="A1:BS789" xr:uid="{6DCCB998-B5D1-4B0D-8701-BC0E171A94CA}"/>
  <tableColumns count="71">
    <tableColumn id="1" xr3:uid="{CDEAF13A-A986-4600-A992-A08C1CA6142C}" name="VEHIDCODE" dataDxfId="51"/>
    <tableColumn id="112" xr3:uid="{049A88D8-80A1-4C10-8581-DF629C4922C4}" name="FILENAMES_EXPECTED" dataDxfId="50">
      <calculatedColumnFormula>_xlfn.TEXTAFTER(Table1[[#This Row],[VEHIDCODE]],"_")</calculatedColumnFormula>
    </tableColumn>
    <tableColumn id="92" xr3:uid="{B4A804C3-2F90-463F-AFEA-7EBC01C87129}" name="SAVE_TO" dataDxfId="49"/>
    <tableColumn id="15" xr3:uid="{09CA1D5C-18B9-45AB-94E0-5AFCC2BC0A87}" name="IS_WAGON_OR_COACH">
      <calculatedColumnFormula>OR(ISNUMBER(SEARCH("wagon_",Table1[[#This Row],[FILENAMES_EXPECTED]])),ISNUMBER(SEARCH("coach_",Table1[[#This Row],[FILENAMES_EXPECTED]])))</calculatedColumnFormula>
    </tableColumn>
    <tableColumn id="98" xr3:uid="{04AA3EC9-5215-4C40-A8DE-679A8D5B0EAF}" name="ITEM" dataDxfId="48">
      <calculatedColumnFormula>"item_"&amp;Table1[[#This Row],[VEHIDCODE]]</calculatedColumnFormula>
    </tableColumn>
    <tableColumn id="97" xr3:uid="{EB95F6E8-1329-4809-90E6-94CB9915C79B}" name="NAME" dataDxfId="47">
      <calculatedColumnFormula>"str_"&amp;Table1[[#This Row],[VEHIDCODE]]</calculatedColumnFormula>
    </tableColumn>
    <tableColumn id="55" xr3:uid="{839D134C-3027-42F4-BA04-3BA8BFF71A3B}" name="TRACK_TYPE_STANDARD_GAUGE_RAILTYPE_OHLE" dataDxfId="31"/>
    <tableColumn id="54" xr3:uid="{5D83FD10-ABCB-4FE7-A7DB-4A857A58D719}" name="TRACK_TYPE_STANDARD_GAUGE_RAILTYPE_25KV" dataDxfId="30"/>
    <tableColumn id="53" xr3:uid="{56183170-0B7F-45FB-91B4-356C62C246AD}" name="TRACK_TYPE_STANDARD_GAUGE_RAILTYPE_15KV" dataDxfId="29"/>
    <tableColumn id="52" xr3:uid="{5B71BE07-0EB9-4DEB-A8E8-252C9D979AC2}" name="TRACK_TYPE_STANDARD_GAUGE_RAILTYPE_3KV" dataDxfId="28"/>
    <tableColumn id="51" xr3:uid="{5A6435EB-111E-4AED-A8E1-AEFF82C34393}" name="TRACK_TYPE_STANDARD_GAUGE_RAILTYPE_1500V" dataDxfId="27"/>
    <tableColumn id="50" xr3:uid="{14CA70EA-0EE7-44BA-9D77-FC902C0596DD}" name="TRACK_TYPE_STANDARD_GAUGE_RAILTYPE_3RD" dataDxfId="26"/>
    <tableColumn id="49" xr3:uid="{3A15447A-9663-43FB-8EFF-8F8034548FB0}" name="TRACK_TYPE_STANDARD_GAUGE_RAILTYPE_4TH" dataDxfId="25"/>
    <tableColumn id="48" xr3:uid="{E44E324A-492F-4566-8DC9-0A6F58F40EA9}" name="TRACK_TYPE_STANDARD_GAUGE_RAILTYPE_DUAL" dataDxfId="24"/>
    <tableColumn id="47" xr3:uid="{FE3223C6-E685-4456-91E9-10AEB3B699E7}" name="TRACK_TYPE_STANDARD_GAUGE_RAILTYPE_NONE" dataDxfId="5"/>
    <tableColumn id="46" xr3:uid="{D39969E8-C0CA-4A59-A556-D29019991069}" name="TRACK_TYPE_NARROW_GAUGE_RAILTYPE_OHLE" dataDxfId="23"/>
    <tableColumn id="45" xr3:uid="{5266A9E9-D840-4460-AB81-A081897372F3}" name="TRACK_TYPE_NARROW_GAUGE_RAILTYPE_25KV" dataDxfId="22"/>
    <tableColumn id="44" xr3:uid="{7B4C44D1-C745-4291-86A0-777579742A84}" name="TRACK_TYPE_NARROW_GAUGE_RAILTYPE_15KV" dataDxfId="21"/>
    <tableColumn id="43" xr3:uid="{8736D285-A163-4DBE-84E1-870118B47F14}" name="TRACK_TYPE_NARROW_GAUGE_RAILTYPE_3KV" dataDxfId="20"/>
    <tableColumn id="42" xr3:uid="{6FBBA2FB-4743-4072-B4E0-C42BBDA1CC47}" name="TRACK_TYPE_NARROW_GAUGE_RAILTYPE_1500V" dataDxfId="19"/>
    <tableColumn id="41" xr3:uid="{D3ED2E70-19BF-4D92-A76B-0F0F03D31947}" name="TRACK_TYPE_NARROW_GAUGE_RAILTYPE_3RD" dataDxfId="18"/>
    <tableColumn id="40" xr3:uid="{F38AE7AF-B798-40A5-992A-13685296E710}" name="TRACK_TYPE_NARROW_GAUGE_RAILTYPE_4TH" dataDxfId="17"/>
    <tableColumn id="39" xr3:uid="{16463F64-2239-4E7F-8257-47F324BF8959}" name="TRACK_TYPE_NARROW_GAUGE_RAILTYPE_DUAL" dataDxfId="16"/>
    <tableColumn id="38" xr3:uid="{97037A15-9172-4057-863E-582804353817}" name="TRACK_TYPE_NARROW_GAUGE_RAILTYPE_NONE" dataDxfId="4"/>
    <tableColumn id="37" xr3:uid="{24999D59-5A4F-4A21-B8B4-EBDBF9F8BF1E}" name="TRACK_TYPE_BROAD_GAUGE_RAILTYPE_OHLE" dataDxfId="15"/>
    <tableColumn id="36" xr3:uid="{31AB3927-D18B-49AD-8EF5-C7E9FF4CEDF3}" name="TRACK_TYPE_BROAD_GAUGE_RAILTYPE_25KV" dataDxfId="14"/>
    <tableColumn id="35" xr3:uid="{CB3432E7-4DAE-4807-9CE5-4CB1ACECD395}" name="TRACK_TYPE_BROAD_GAUGE_RAILTYPE_15KV" dataDxfId="13"/>
    <tableColumn id="34" xr3:uid="{E3936FE4-2B46-4DC0-84C0-44C7892A0927}" name="TRACK_TYPE_BROAD_GAUGE_RAILTYPE_3KV" dataDxfId="12"/>
    <tableColumn id="33" xr3:uid="{A5FAA105-CF81-4A75-8967-5721104454E8}" name="TRACK_TYPE_BROAD_GAUGE_RAILTYPE_1500V" dataDxfId="11"/>
    <tableColumn id="32" xr3:uid="{439CDFDE-6BFC-446C-87CF-28C8FF65FCE0}" name="TRACK_TYPE_BROAD_GAUGE_RAILTYPE_3RD" dataDxfId="10"/>
    <tableColumn id="31" xr3:uid="{219AB5E3-CDFF-41B3-BD58-F7427606D15F}" name="TRACK_TYPE_BROAD_GAUGE_RAILTYPE_4TH" dataDxfId="9"/>
    <tableColumn id="30" xr3:uid="{01529768-EA0D-4662-B835-74641896CE3F}" name="TRACK_TYPE_BROAD_GAUGE_RAILTYPE_DUAL" dataDxfId="8"/>
    <tableColumn id="29" xr3:uid="{32C384AB-18DB-4161-B29B-A363A2547BB2}" name="TRACK_TYPE_BROAD_GAUGE_RAILTYPE_NONE" dataDxfId="3"/>
    <tableColumn id="26" xr3:uid="{1CFC6F26-22A8-42EE-972B-0F7ED6623B5A}" name="TRACK_TYPE_MONO" dataDxfId="7"/>
    <tableColumn id="25" xr3:uid="{62939270-15C1-494E-9C53-6EA9E8209C3B}" name="TRACK_TYPE_MGLV" dataDxfId="6"/>
    <tableColumn id="24" xr3:uid="{9DA86EDA-F2AB-4C2D-918E-5260313FD8B3}" name="TRACK_TYPE_MTRO" dataDxfId="2"/>
    <tableColumn id="21" xr3:uid="{E6F11214-E912-4D1C-980D-A111C93B0BED}" name="CHECK_ANY_TT" dataDxfId="1">
      <calculatedColumnFormula>LEN(_xlfn.CONCAT(Table1[[#This Row],[TRACK_TYPE_STANDARD_GAUGE_RAILTYPE_OHLE]:[TRACK_TYPE_MTRO]]))&gt;0</calculatedColumnFormula>
    </tableColumn>
    <tableColumn id="2" xr3:uid="{3A01A7AB-09DD-4D65-8893-1ACE9810CDB7}" name="ACTUAL_LENGTH"/>
    <tableColumn id="3" xr3:uid="{5BBF796C-A6C3-46CD-9877-08A3B37D9263}" name="CARGODEF"/>
    <tableColumn id="4" xr3:uid="{FCDAC31F-DC88-437B-B8DF-0440E9E9053F}" name="DUAL_HEADED"/>
    <tableColumn id="5" xr3:uid="{38AF64EB-F7BC-4818-9892-6415335F9FD3}" name="ENGINE_CLASS"/>
    <tableColumn id="6" xr3:uid="{A3E4457A-E003-42F3-8A75-91252C2658FB}" name="HEAD_CAPACITY"/>
    <tableColumn id="7" xr3:uid="{E5E7166A-FC1D-4D79-AF72-DEED9B69654D}" name="INTRODUCTION_YEAR"/>
    <tableColumn id="8" xr3:uid="{173C09CB-6ABB-4443-A5D3-2998FCBD4A99}" name="LENGTH"/>
    <tableColumn id="9" xr3:uid="{86E17647-A9E5-4E3B-8924-25C508832269}" name="LOADINGSPEED" dataDxfId="46"/>
    <tableColumn id="101" xr3:uid="{6FAA9DDE-5F72-41E5-B16F-921F4B9C09E2}" name="MISC_FLAGS_TRAIN_FLAG_2CC" dataDxfId="45"/>
    <tableColumn id="100" xr3:uid="{3CCF1CA2-4D6E-4A71-878A-CEF5EF6919CB}" name="MISC_FLAGS_TRAIN_FLAG_MU" dataDxfId="44"/>
    <tableColumn id="99" xr3:uid="{9002C8EF-B1BC-4B2D-BB78-6A36329A581D}" name="MISC_FLAGS_TRAIN_FLAG_AUTOREFIT" dataDxfId="43"/>
    <tableColumn id="10" xr3:uid="{89A8EF9A-A44B-4348-8B75-5CEF5739F11D}" name="MODEL_LIFE"/>
    <tableColumn id="11" xr3:uid="{99F6E46F-87FB-4781-BC79-631728520667}" name="PASSENGER"/>
    <tableColumn id="12" xr3:uid="{776DDA15-7CA4-4083-BF1A-C7AFDBA0E92E}" name="POWER"/>
    <tableColumn id="107" xr3:uid="{A933A65B-2E6A-407F-9FF7-D9CA17652C9D}" name="RUNNING_COST_BASE" dataDxfId="42"/>
    <tableColumn id="13" xr3:uid="{BAAB638D-1636-4161-AE20-8AC5BFA72FF1}" name="SPEED"/>
    <tableColumn id="14" xr3:uid="{1CE0FE0E-6140-41CB-8C7B-F65AFADE6392}" name="TE_COEFFICIENT" dataDxfId="41"/>
    <tableColumn id="90" xr3:uid="{4F4ADD01-5968-4AFC-AEE2-AE952C73B03E}" name="REGION1" dataDxfId="34"/>
    <tableColumn id="91" xr3:uid="{40CEC63B-BEDA-4207-AF4D-270580C5B346}" name="REGION2" dataDxfId="33"/>
    <tableColumn id="17" xr3:uid="{C980AD63-3FDB-4A60-A121-0C502BDDC0C4}" name="REGION3" dataDxfId="32"/>
    <tableColumn id="16" xr3:uid="{180F0B47-AFC4-4978-B838-4826DAD0C0F6}" name="VEHICLE_LIFE" dataDxfId="40"/>
    <tableColumn id="108" xr3:uid="{1A859885-66E4-4CC5-AD48-43DDD28E88B8}" name="VISUAL_EFFECT_1" dataDxfId="39">
      <calculatedColumnFormula>IF(Table1[[#This Row],[IS_WAGON_OR_COACH]]=TRUE,"DISABLE",IF(OR(Table1[[#This Row],[ENGINE_CLASS]]="STEAM",Table1[[#This Row],[ENGINE_CLASS]]="ELECTRIC",Table1[[#This Row],[ENGINE_CLASS]]="DIESEL"),Table1[[#This Row],[ENGINE_CLASS]],"DISABLE"))</calculatedColumnFormula>
    </tableColumn>
    <tableColumn id="109" xr3:uid="{15AE2C58-3C66-4A43-A1F6-13C2958241EE}" name="VISUAL_EFFECT_2" dataDxfId="38"/>
    <tableColumn id="110" xr3:uid="{E67A20AF-BD42-42A3-8D5B-09B0E2B0137C}" name="VISUAL_EFFECT_3"/>
    <tableColumn id="18" xr3:uid="{995C9564-B37D-46D0-AB3F-7BC78CF4DA7F}" name="WAGON_CAPACITY" dataDxfId="37"/>
    <tableColumn id="19" xr3:uid="{6EE658C7-FC65-4A02-882A-925DA6FC785D}" name="WAGON_LENGTH" dataDxfId="36"/>
    <tableColumn id="20" xr3:uid="{06C795AC-0E95-4D8C-8333-5CDB8B75589F}" name="WEIGHT" dataDxfId="35"/>
    <tableColumn id="93" xr3:uid="{A8DAFACB-B2AD-49BF-870F-B2C526296F5B}" name="AIR_DRAG_COEFFICIENT"/>
    <tableColumn id="94" xr3:uid="{DC5351D7-B1B9-4638-A658-3BCECB91F747}" name="BITMASK_VEHICLE_INFO"/>
    <tableColumn id="95" xr3:uid="{512DCD58-79D7-4D27-964F-51E00737D1D7}" name="CARGO_AGE_PERIOD"/>
    <tableColumn id="103" xr3:uid="{7250ECD2-4BFD-44C1-A204-C84B5BB79BAB}" name="POWER_PER_WAGON"/>
    <tableColumn id="106" xr3:uid="{BAF10CFF-58D7-42E4-9463-8D9EC8AB90FA}" name="REFIT_COST"/>
    <tableColumn id="105" xr3:uid="{EDC596DF-8B7A-4CAB-95C7-936F7E8F8349}" name="RELIABILITY_DECAY"/>
    <tableColumn id="104" xr3:uid="{8277BC82-FBAD-497D-BE0E-039744AF51CA}" name="RETIRE_EARL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2F482C9-2676-4F66-AEBC-B0E4CB3F0CDA}" name="Table3" displayName="Table3" ref="A1:A17" totalsRowShown="0">
  <autoFilter ref="A1:A17" xr:uid="{42F482C9-2676-4F66-AEBC-B0E4CB3F0CDA}"/>
  <tableColumns count="1">
    <tableColumn id="1" xr3:uid="{08CCAA74-4E74-4E66-A1F0-510147D6B1D4}" name="VALID_REGION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Table6" displayName="Table6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CT789"/>
  <sheetViews>
    <sheetView tabSelected="1" zoomScale="85" zoomScaleNormal="85" workbookViewId="0">
      <pane xSplit="1" ySplit="1" topLeftCell="O600" activePane="bottomRight" state="frozen"/>
      <selection pane="topRight" activeCell="B1" sqref="B1"/>
      <selection pane="bottomLeft" activeCell="A2" sqref="A2"/>
      <selection pane="bottomRight" activeCell="T621" sqref="T621"/>
    </sheetView>
  </sheetViews>
  <sheetFormatPr defaultRowHeight="14.6" x14ac:dyDescent="0.4"/>
  <cols>
    <col min="1" max="1" width="50.765625" bestFit="1" customWidth="1"/>
    <col min="2" max="2" width="45" bestFit="1" customWidth="1"/>
    <col min="3" max="3" width="23.61328125" bestFit="1" customWidth="1"/>
    <col min="4" max="4" width="22.765625" bestFit="1" customWidth="1"/>
    <col min="5" max="5" width="55.3046875" hidden="1" customWidth="1"/>
    <col min="6" max="6" width="53.84375" hidden="1" customWidth="1"/>
    <col min="7" max="14" width="26.15234375" bestFit="1" customWidth="1"/>
    <col min="15" max="15" width="27.23046875" style="2" bestFit="1" customWidth="1"/>
    <col min="16" max="18" width="25.69140625" bestFit="1" customWidth="1"/>
    <col min="19" max="19" width="24.61328125" bestFit="1" customWidth="1"/>
    <col min="20" max="21" width="25.69140625" bestFit="1" customWidth="1"/>
    <col min="22" max="22" width="24.61328125" bestFit="1" customWidth="1"/>
    <col min="23" max="23" width="25.69140625" bestFit="1" customWidth="1"/>
    <col min="24" max="24" width="25.69140625" style="2" bestFit="1" customWidth="1"/>
    <col min="25" max="27" width="25.23046875" bestFit="1" customWidth="1"/>
    <col min="28" max="28" width="24" bestFit="1" customWidth="1"/>
    <col min="29" max="29" width="25.23046875" bestFit="1" customWidth="1"/>
    <col min="30" max="31" width="24" bestFit="1" customWidth="1"/>
    <col min="32" max="32" width="25.23046875" bestFit="1" customWidth="1"/>
    <col min="33" max="33" width="25.23046875" style="2" bestFit="1" customWidth="1"/>
    <col min="34" max="34" width="20.07421875" bestFit="1" customWidth="1"/>
    <col min="35" max="35" width="19.53515625" bestFit="1" customWidth="1"/>
    <col min="36" max="36" width="19.61328125" bestFit="1" customWidth="1"/>
    <col min="37" max="37" width="16.3046875" bestFit="1" customWidth="1"/>
    <col min="38" max="38" width="17.4609375" bestFit="1" customWidth="1"/>
    <col min="39" max="39" width="17.53515625" bestFit="1" customWidth="1"/>
    <col min="40" max="40" width="13.3828125" bestFit="1" customWidth="1"/>
    <col min="41" max="41" width="13.84375" bestFit="1" customWidth="1"/>
    <col min="42" max="42" width="13.3828125" bestFit="1" customWidth="1"/>
    <col min="43" max="43" width="21.69140625" bestFit="1" customWidth="1"/>
    <col min="44" max="44" width="10" bestFit="1" customWidth="1"/>
    <col min="45" max="45" width="16.53515625" bestFit="1" customWidth="1"/>
    <col min="46" max="46" width="21.69140625" bestFit="1" customWidth="1"/>
    <col min="47" max="47" width="22.61328125" bestFit="1" customWidth="1"/>
    <col min="48" max="48" width="26.921875" bestFit="1" customWidth="1"/>
    <col min="49" max="49" width="21.921875" bestFit="1" customWidth="1"/>
    <col min="50" max="50" width="13.4609375" style="2" bestFit="1" customWidth="1"/>
    <col min="51" max="51" width="9.61328125" bestFit="1" customWidth="1"/>
    <col min="52" max="52" width="23" bestFit="1" customWidth="1"/>
    <col min="53" max="53" width="8.84375" style="2" bestFit="1" customWidth="1"/>
    <col min="54" max="54" width="17.3046875" bestFit="1" customWidth="1"/>
    <col min="86" max="86" width="17.84375" bestFit="1" customWidth="1"/>
    <col min="87" max="87" width="12" bestFit="1" customWidth="1"/>
    <col min="88" max="88" width="12.3828125" bestFit="1" customWidth="1"/>
    <col min="89" max="89" width="14.765625" bestFit="1" customWidth="1"/>
    <col min="93" max="94" width="18.23046875" bestFit="1" customWidth="1"/>
    <col min="95" max="95" width="22.3046875" bestFit="1" customWidth="1"/>
    <col min="96" max="96" width="19.15234375" style="11" bestFit="1" customWidth="1"/>
    <col min="97" max="97" width="17.4609375" style="12" bestFit="1" customWidth="1"/>
    <col min="98" max="98" width="10" style="13" bestFit="1" customWidth="1"/>
    <col min="99" max="99" width="24" bestFit="1" customWidth="1"/>
    <col min="100" max="100" width="23.69140625" bestFit="1" customWidth="1"/>
    <col min="101" max="101" width="26.69140625" bestFit="1" customWidth="1"/>
    <col min="102" max="102" width="26.921875" bestFit="1" customWidth="1"/>
    <col min="103" max="103" width="19" bestFit="1" customWidth="1"/>
    <col min="104" max="104" width="25.15234375" bestFit="1" customWidth="1"/>
    <col min="105" max="105" width="20.61328125" bestFit="1" customWidth="1"/>
    <col min="106" max="106" width="11.15234375" customWidth="1"/>
    <col min="107" max="108" width="21.3828125" customWidth="1"/>
    <col min="109" max="109" width="20.921875" bestFit="1" customWidth="1"/>
    <col min="110" max="110" width="18.921875" bestFit="1" customWidth="1"/>
    <col min="112" max="114" width="11.15234375" customWidth="1"/>
    <col min="115" max="115" width="11.53515625" bestFit="1" customWidth="1"/>
  </cols>
  <sheetData>
    <row r="1" spans="1:98" s="1" customFormat="1" ht="30" customHeight="1" x14ac:dyDescent="0.4">
      <c r="A1" s="1" t="s">
        <v>0</v>
      </c>
      <c r="B1" s="8" t="s">
        <v>921</v>
      </c>
      <c r="C1" s="8" t="s">
        <v>689</v>
      </c>
      <c r="D1" s="8" t="s">
        <v>942</v>
      </c>
      <c r="E1" s="9" t="s">
        <v>695</v>
      </c>
      <c r="F1" s="9" t="s">
        <v>696</v>
      </c>
      <c r="G1" s="4" t="s">
        <v>676</v>
      </c>
      <c r="H1" s="4" t="s">
        <v>677</v>
      </c>
      <c r="I1" s="4" t="s">
        <v>678</v>
      </c>
      <c r="J1" s="4" t="s">
        <v>713</v>
      </c>
      <c r="K1" s="4" t="s">
        <v>944</v>
      </c>
      <c r="L1" s="4" t="s">
        <v>714</v>
      </c>
      <c r="M1" s="4" t="s">
        <v>715</v>
      </c>
      <c r="N1" s="4" t="s">
        <v>679</v>
      </c>
      <c r="O1" s="5" t="s">
        <v>680</v>
      </c>
      <c r="P1" s="4" t="s">
        <v>716</v>
      </c>
      <c r="Q1" s="4" t="s">
        <v>717</v>
      </c>
      <c r="R1" s="4" t="s">
        <v>718</v>
      </c>
      <c r="S1" s="4" t="s">
        <v>719</v>
      </c>
      <c r="T1" s="4" t="s">
        <v>681</v>
      </c>
      <c r="U1" s="4" t="s">
        <v>720</v>
      </c>
      <c r="V1" s="4" t="s">
        <v>721</v>
      </c>
      <c r="W1" s="4" t="s">
        <v>722</v>
      </c>
      <c r="X1" s="5" t="s">
        <v>723</v>
      </c>
      <c r="Y1" s="4" t="s">
        <v>724</v>
      </c>
      <c r="Z1" s="4" t="s">
        <v>725</v>
      </c>
      <c r="AA1" s="4" t="s">
        <v>726</v>
      </c>
      <c r="AB1" s="4" t="s">
        <v>727</v>
      </c>
      <c r="AC1" s="4" t="s">
        <v>682</v>
      </c>
      <c r="AD1" s="4" t="s">
        <v>728</v>
      </c>
      <c r="AE1" s="4" t="s">
        <v>729</v>
      </c>
      <c r="AF1" s="4" t="s">
        <v>730</v>
      </c>
      <c r="AG1" s="5" t="s">
        <v>731</v>
      </c>
      <c r="AH1" s="4" t="s">
        <v>683</v>
      </c>
      <c r="AI1" s="4" t="s">
        <v>684</v>
      </c>
      <c r="AJ1" s="5" t="s">
        <v>685</v>
      </c>
      <c r="AK1" s="5" t="s">
        <v>943</v>
      </c>
      <c r="AL1" s="1" t="s">
        <v>1</v>
      </c>
      <c r="AM1" s="1" t="s">
        <v>2</v>
      </c>
      <c r="AN1" s="1" t="s">
        <v>3</v>
      </c>
      <c r="AO1" s="1" t="s">
        <v>4</v>
      </c>
      <c r="AP1" s="1" t="s">
        <v>5</v>
      </c>
      <c r="AQ1" s="1" t="s">
        <v>6</v>
      </c>
      <c r="AR1" s="1" t="s">
        <v>7</v>
      </c>
      <c r="AS1" s="3" t="s">
        <v>8</v>
      </c>
      <c r="AT1" s="4" t="s">
        <v>697</v>
      </c>
      <c r="AU1" s="4" t="s">
        <v>698</v>
      </c>
      <c r="AV1" s="4" t="s">
        <v>699</v>
      </c>
      <c r="AW1" s="1" t="s">
        <v>9</v>
      </c>
      <c r="AX1" s="1" t="s">
        <v>10</v>
      </c>
      <c r="AY1" s="1" t="s">
        <v>11</v>
      </c>
      <c r="AZ1" t="s">
        <v>708</v>
      </c>
      <c r="BA1" s="1" t="s">
        <v>12</v>
      </c>
      <c r="BB1" s="3" t="s">
        <v>13</v>
      </c>
      <c r="BC1" s="1" t="s">
        <v>686</v>
      </c>
      <c r="BD1" s="1" t="s">
        <v>687</v>
      </c>
      <c r="BE1" s="1" t="s">
        <v>688</v>
      </c>
      <c r="BF1" s="6" t="s">
        <v>14</v>
      </c>
      <c r="BG1" s="1" t="s">
        <v>712</v>
      </c>
      <c r="BH1" s="1" t="s">
        <v>732</v>
      </c>
      <c r="BI1" s="9" t="s">
        <v>733</v>
      </c>
      <c r="BJ1" s="10" t="s">
        <v>15</v>
      </c>
      <c r="BK1" s="10" t="s">
        <v>16</v>
      </c>
      <c r="BL1" s="10" t="s">
        <v>17</v>
      </c>
      <c r="BM1" s="9" t="s">
        <v>690</v>
      </c>
      <c r="BN1" s="9" t="s">
        <v>691</v>
      </c>
      <c r="BO1" s="9" t="s">
        <v>693</v>
      </c>
      <c r="BP1" s="9" t="s">
        <v>700</v>
      </c>
      <c r="BQ1" s="9" t="s">
        <v>702</v>
      </c>
      <c r="BR1" s="9" t="s">
        <v>703</v>
      </c>
      <c r="BS1" s="9" t="s">
        <v>704</v>
      </c>
    </row>
    <row r="2" spans="1:98" x14ac:dyDescent="0.4">
      <c r="A2" s="2" t="s">
        <v>761</v>
      </c>
      <c r="B2" t="str">
        <f>_xlfn.TEXTAFTER(Table1[[#This Row],[VEHIDCODE]],"_")</f>
        <v>Maglev_Wagon_Powered</v>
      </c>
      <c r="C2" t="s">
        <v>919</v>
      </c>
      <c r="D2" t="b">
        <f>OR(ISNUMBER(SEARCH("wagon_",Table1[[#This Row],[FILENAMES_EXPECTED]])),ISNUMBER(SEARCH("coach_",Table1[[#This Row],[FILENAMES_EXPECTED]])))</f>
        <v>1</v>
      </c>
      <c r="E2" t="str">
        <f>"item_"&amp;Table1[[#This Row],[VEHIDCODE]]</f>
        <v>item_mglv_Maglev_Wagon_Powered</v>
      </c>
      <c r="F2" t="str">
        <f>"str_"&amp;Table1[[#This Row],[VEHIDCODE]]</f>
        <v>str_mglv_Maglev_Wagon_Powered</v>
      </c>
      <c r="AI2" t="b">
        <v>1</v>
      </c>
      <c r="AJ2" s="2"/>
      <c r="AK2" s="2" t="b">
        <f>LEN(_xlfn.CONCAT(Table1[[#This Row],[TRACK_TYPE_STANDARD_GAUGE_RAILTYPE_OHLE]:[TRACK_TYPE_MTRO]]))&gt;0</f>
        <v>1</v>
      </c>
      <c r="AL2">
        <v>8</v>
      </c>
      <c r="AM2" t="s">
        <v>18</v>
      </c>
      <c r="AN2">
        <v>0</v>
      </c>
      <c r="AO2" t="s">
        <v>19</v>
      </c>
      <c r="AP2">
        <v>1</v>
      </c>
      <c r="AQ2">
        <v>2000</v>
      </c>
      <c r="AR2">
        <v>8</v>
      </c>
      <c r="AS2" s="2" t="s">
        <v>20</v>
      </c>
      <c r="AT2" t="b">
        <v>1</v>
      </c>
      <c r="AV2" s="2"/>
      <c r="AW2" t="s">
        <v>21</v>
      </c>
      <c r="AX2">
        <v>1</v>
      </c>
      <c r="AY2">
        <v>0</v>
      </c>
      <c r="AZ2" t="s">
        <v>709</v>
      </c>
      <c r="BA2">
        <v>0</v>
      </c>
      <c r="BB2" s="2">
        <v>0.3</v>
      </c>
      <c r="BC2" t="s">
        <v>936</v>
      </c>
      <c r="BD2" t="s">
        <v>922</v>
      </c>
      <c r="BE2" t="s">
        <v>940</v>
      </c>
      <c r="BF2" s="7">
        <v>25</v>
      </c>
      <c r="BG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2">
        <v>0</v>
      </c>
      <c r="BI2" t="s">
        <v>734</v>
      </c>
      <c r="BJ2" s="11"/>
      <c r="BK2" s="11"/>
      <c r="BL2" s="11">
        <v>0</v>
      </c>
      <c r="BM2">
        <v>0</v>
      </c>
      <c r="BN2" t="s">
        <v>692</v>
      </c>
      <c r="BO2" t="s">
        <v>694</v>
      </c>
      <c r="BP2" t="s">
        <v>701</v>
      </c>
      <c r="BQ2" t="s">
        <v>705</v>
      </c>
      <c r="BR2" t="s">
        <v>706</v>
      </c>
      <c r="BS2" t="s">
        <v>707</v>
      </c>
      <c r="CR2"/>
      <c r="CS2"/>
      <c r="CT2"/>
    </row>
    <row r="3" spans="1:98" x14ac:dyDescent="0.4">
      <c r="A3" s="2" t="s">
        <v>762</v>
      </c>
      <c r="B3" t="str">
        <f>_xlfn.TEXTAFTER(Table1[[#This Row],[VEHIDCODE]],"_")</f>
        <v>Maglev_Wagon_Unpowered</v>
      </c>
      <c r="C3" t="s">
        <v>919</v>
      </c>
      <c r="D3" t="b">
        <f>OR(ISNUMBER(SEARCH("wagon_",Table1[[#This Row],[FILENAMES_EXPECTED]])),ISNUMBER(SEARCH("coach_",Table1[[#This Row],[FILENAMES_EXPECTED]])))</f>
        <v>1</v>
      </c>
      <c r="E3" t="str">
        <f>"item_"&amp;Table1[[#This Row],[VEHIDCODE]]</f>
        <v>item_mglv_Maglev_Wagon_Unpowered</v>
      </c>
      <c r="F3" t="str">
        <f>"str_"&amp;Table1[[#This Row],[VEHIDCODE]]</f>
        <v>str_mglv_Maglev_Wagon_Unpowered</v>
      </c>
      <c r="AI3" t="b">
        <v>1</v>
      </c>
      <c r="AJ3" s="2"/>
      <c r="AK3" s="2" t="b">
        <f>LEN(_xlfn.CONCAT(Table1[[#This Row],[TRACK_TYPE_STANDARD_GAUGE_RAILTYPE_OHLE]:[TRACK_TYPE_MTRO]]))&gt;0</f>
        <v>1</v>
      </c>
      <c r="AL3">
        <v>8</v>
      </c>
      <c r="AM3" t="s">
        <v>18</v>
      </c>
      <c r="AN3">
        <v>0</v>
      </c>
      <c r="AO3" t="s">
        <v>19</v>
      </c>
      <c r="AP3">
        <v>1</v>
      </c>
      <c r="AQ3">
        <v>2000</v>
      </c>
      <c r="AR3">
        <v>8</v>
      </c>
      <c r="AS3" s="2" t="s">
        <v>20</v>
      </c>
      <c r="AT3" t="b">
        <v>1</v>
      </c>
      <c r="AV3" s="2"/>
      <c r="AW3" t="s">
        <v>21</v>
      </c>
      <c r="AX3">
        <v>1</v>
      </c>
      <c r="AY3">
        <v>0</v>
      </c>
      <c r="AZ3" t="s">
        <v>709</v>
      </c>
      <c r="BA3">
        <v>0</v>
      </c>
      <c r="BB3" s="2">
        <v>0.3</v>
      </c>
      <c r="BC3" t="s">
        <v>936</v>
      </c>
      <c r="BD3" t="s">
        <v>922</v>
      </c>
      <c r="BE3" t="s">
        <v>940</v>
      </c>
      <c r="BF3" s="7">
        <v>25</v>
      </c>
      <c r="BG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">
        <v>0</v>
      </c>
      <c r="BI3" t="s">
        <v>734</v>
      </c>
      <c r="BJ3" s="11"/>
      <c r="BK3" s="11"/>
      <c r="BL3" s="11">
        <v>0</v>
      </c>
      <c r="BM3">
        <v>0</v>
      </c>
      <c r="BN3" t="s">
        <v>692</v>
      </c>
      <c r="BO3" t="s">
        <v>694</v>
      </c>
      <c r="BP3" t="s">
        <v>701</v>
      </c>
      <c r="BQ3" t="s">
        <v>705</v>
      </c>
      <c r="BR3" t="s">
        <v>706</v>
      </c>
      <c r="BS3" t="s">
        <v>707</v>
      </c>
      <c r="CR3"/>
      <c r="CS3"/>
      <c r="CT3"/>
    </row>
    <row r="4" spans="1:98" x14ac:dyDescent="0.4">
      <c r="A4" s="2" t="s">
        <v>22</v>
      </c>
      <c r="B4" t="str">
        <f>_xlfn.TEXTAFTER(Table1[[#This Row],[VEHIDCODE]],"_")</f>
        <v>Austria_NOLB_1</v>
      </c>
      <c r="C4" t="s">
        <v>736</v>
      </c>
      <c r="D4" t="b">
        <f>OR(ISNUMBER(SEARCH("wagon_",Table1[[#This Row],[FILENAMES_EXPECTED]])),ISNUMBER(SEARCH("coach_",Table1[[#This Row],[FILENAMES_EXPECTED]])))</f>
        <v>0</v>
      </c>
      <c r="E4" t="str">
        <f>"item_"&amp;Table1[[#This Row],[VEHIDCODE]]</f>
        <v>item_rbs_Austria_NOLB_1</v>
      </c>
      <c r="F4" t="str">
        <f>"str_"&amp;Table1[[#This Row],[VEHIDCODE]]</f>
        <v>str_rbs_Austria_NOLB_1</v>
      </c>
      <c r="O4" s="2" t="b">
        <v>1</v>
      </c>
      <c r="AJ4" s="2"/>
      <c r="AK4" s="2" t="b">
        <f>LEN(_xlfn.CONCAT(Table1[[#This Row],[TRACK_TYPE_STANDARD_GAUGE_RAILTYPE_OHLE]:[TRACK_TYPE_MTRO]]))&gt;0</f>
        <v>1</v>
      </c>
      <c r="AL4">
        <v>5</v>
      </c>
      <c r="AM4" t="s">
        <v>18</v>
      </c>
      <c r="AN4">
        <v>0</v>
      </c>
      <c r="AO4" t="s">
        <v>23</v>
      </c>
      <c r="AP4">
        <v>22</v>
      </c>
      <c r="AQ4">
        <v>1903</v>
      </c>
      <c r="AR4">
        <v>5</v>
      </c>
      <c r="AS4" s="2" t="s">
        <v>24</v>
      </c>
      <c r="AT4" t="b">
        <v>1</v>
      </c>
      <c r="AV4" s="2"/>
      <c r="AW4">
        <v>45</v>
      </c>
      <c r="AX4">
        <v>1</v>
      </c>
      <c r="AY4">
        <v>39</v>
      </c>
      <c r="AZ4" t="s">
        <v>710</v>
      </c>
      <c r="BA4">
        <v>35</v>
      </c>
      <c r="BB4" s="2">
        <v>0.18</v>
      </c>
      <c r="BC4" t="s">
        <v>923</v>
      </c>
      <c r="BD4" t="s">
        <v>922</v>
      </c>
      <c r="BE4" t="s">
        <v>940</v>
      </c>
      <c r="BF4" s="7">
        <v>15</v>
      </c>
      <c r="BG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4">
        <v>-3</v>
      </c>
      <c r="BI4" t="s">
        <v>734</v>
      </c>
      <c r="BJ4" s="11"/>
      <c r="BK4" s="11"/>
      <c r="BL4" s="11">
        <v>8</v>
      </c>
      <c r="BM4">
        <v>0</v>
      </c>
      <c r="BN4" t="s">
        <v>692</v>
      </c>
      <c r="BO4" t="s">
        <v>694</v>
      </c>
      <c r="BP4" t="s">
        <v>701</v>
      </c>
      <c r="BQ4" t="s">
        <v>705</v>
      </c>
      <c r="BR4" t="s">
        <v>706</v>
      </c>
      <c r="BS4" t="s">
        <v>707</v>
      </c>
      <c r="CR4"/>
      <c r="CS4"/>
      <c r="CT4"/>
    </row>
    <row r="5" spans="1:98" x14ac:dyDescent="0.4">
      <c r="A5" s="2" t="s">
        <v>25</v>
      </c>
      <c r="B5" t="str">
        <f>_xlfn.TEXTAFTER(Table1[[#This Row],[VEHIDCODE]],"_")</f>
        <v>Italy_FS_86</v>
      </c>
      <c r="C5" t="s">
        <v>736</v>
      </c>
      <c r="D5" t="b">
        <f>OR(ISNUMBER(SEARCH("wagon_",Table1[[#This Row],[FILENAMES_EXPECTED]])),ISNUMBER(SEARCH("coach_",Table1[[#This Row],[FILENAMES_EXPECTED]])))</f>
        <v>0</v>
      </c>
      <c r="E5" t="str">
        <f>"item_"&amp;Table1[[#This Row],[VEHIDCODE]]</f>
        <v>item_rbs_Italy_FS_86</v>
      </c>
      <c r="F5" t="str">
        <f>"str_"&amp;Table1[[#This Row],[VEHIDCODE]]</f>
        <v>str_rbs_Italy_FS_86</v>
      </c>
      <c r="O5" s="2" t="b">
        <v>1</v>
      </c>
      <c r="AJ5" s="2"/>
      <c r="AK5" s="2" t="b">
        <f>LEN(_xlfn.CONCAT(Table1[[#This Row],[TRACK_TYPE_STANDARD_GAUGE_RAILTYPE_OHLE]:[TRACK_TYPE_MTRO]]))&gt;0</f>
        <v>1</v>
      </c>
      <c r="AL5">
        <v>8</v>
      </c>
      <c r="AM5" t="s">
        <v>18</v>
      </c>
      <c r="AN5">
        <v>0</v>
      </c>
      <c r="AO5" t="s">
        <v>23</v>
      </c>
      <c r="AP5">
        <v>86</v>
      </c>
      <c r="AQ5">
        <v>1906</v>
      </c>
      <c r="AR5">
        <v>8</v>
      </c>
      <c r="AS5" s="2" t="s">
        <v>24</v>
      </c>
      <c r="AT5" t="b">
        <v>1</v>
      </c>
      <c r="AV5" s="2"/>
      <c r="AW5">
        <v>45</v>
      </c>
      <c r="AX5">
        <v>1</v>
      </c>
      <c r="AY5">
        <v>132</v>
      </c>
      <c r="AZ5" t="s">
        <v>710</v>
      </c>
      <c r="BA5">
        <v>60</v>
      </c>
      <c r="BB5" s="2">
        <v>0.08</v>
      </c>
      <c r="BC5" t="s">
        <v>924</v>
      </c>
      <c r="BD5" t="s">
        <v>922</v>
      </c>
      <c r="BE5" t="s">
        <v>940</v>
      </c>
      <c r="BF5" s="7">
        <v>15</v>
      </c>
      <c r="BG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5">
        <v>-3</v>
      </c>
      <c r="BI5" t="s">
        <v>734</v>
      </c>
      <c r="BJ5" s="11"/>
      <c r="BK5" s="11"/>
      <c r="BL5" s="11">
        <v>47</v>
      </c>
      <c r="BM5">
        <v>0</v>
      </c>
      <c r="BN5" t="s">
        <v>692</v>
      </c>
      <c r="BO5" t="s">
        <v>694</v>
      </c>
      <c r="BP5" t="s">
        <v>701</v>
      </c>
      <c r="BQ5" t="s">
        <v>705</v>
      </c>
      <c r="BR5" t="s">
        <v>706</v>
      </c>
      <c r="BS5" t="s">
        <v>707</v>
      </c>
      <c r="CR5"/>
      <c r="CS5"/>
      <c r="CT5"/>
    </row>
    <row r="6" spans="1:98" x14ac:dyDescent="0.4">
      <c r="A6" s="2" t="s">
        <v>26</v>
      </c>
      <c r="B6" t="str">
        <f>_xlfn.TEXTAFTER(Table1[[#This Row],[VEHIDCODE]],"_")</f>
        <v>Australia_Victorian_Railways_Rowan_Railmotor</v>
      </c>
      <c r="C6" t="s">
        <v>736</v>
      </c>
      <c r="D6" t="b">
        <f>OR(ISNUMBER(SEARCH("wagon_",Table1[[#This Row],[FILENAMES_EXPECTED]])),ISNUMBER(SEARCH("coach_",Table1[[#This Row],[FILENAMES_EXPECTED]])))</f>
        <v>0</v>
      </c>
      <c r="E6" t="str">
        <f>"item_"&amp;Table1[[#This Row],[VEHIDCODE]]</f>
        <v>item_rbs_Australia_Victorian_Railways_Rowan_Railmotor</v>
      </c>
      <c r="F6" t="str">
        <f>"str_"&amp;Table1[[#This Row],[VEHIDCODE]]</f>
        <v>str_rbs_Australia_Victorian_Railways_Rowan_Railmotor</v>
      </c>
      <c r="X6" s="2" t="b">
        <v>1</v>
      </c>
      <c r="AJ6" s="2"/>
      <c r="AK6" s="2" t="b">
        <f>LEN(_xlfn.CONCAT(Table1[[#This Row],[TRACK_TYPE_STANDARD_GAUGE_RAILTYPE_OHLE]:[TRACK_TYPE_MTRO]]))&gt;0</f>
        <v>1</v>
      </c>
      <c r="AL6">
        <v>6</v>
      </c>
      <c r="AM6" t="s">
        <v>18</v>
      </c>
      <c r="AN6">
        <v>0</v>
      </c>
      <c r="AO6" t="s">
        <v>23</v>
      </c>
      <c r="AP6">
        <v>42</v>
      </c>
      <c r="AQ6">
        <v>1883</v>
      </c>
      <c r="AR6">
        <v>6</v>
      </c>
      <c r="AS6" s="2" t="s">
        <v>24</v>
      </c>
      <c r="AT6" t="b">
        <v>1</v>
      </c>
      <c r="AV6" s="2"/>
      <c r="AW6">
        <v>45</v>
      </c>
      <c r="AX6">
        <v>1</v>
      </c>
      <c r="AY6">
        <v>40</v>
      </c>
      <c r="AZ6" t="s">
        <v>710</v>
      </c>
      <c r="BA6">
        <v>48</v>
      </c>
      <c r="BB6" s="2">
        <v>0.34</v>
      </c>
      <c r="BC6" t="s">
        <v>925</v>
      </c>
      <c r="BD6" t="s">
        <v>922</v>
      </c>
      <c r="BE6" t="s">
        <v>940</v>
      </c>
      <c r="BF6" s="7">
        <v>15</v>
      </c>
      <c r="BG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6">
        <v>0</v>
      </c>
      <c r="BI6" t="s">
        <v>734</v>
      </c>
      <c r="BJ6" s="11"/>
      <c r="BK6" s="11"/>
      <c r="BL6" s="11">
        <v>15</v>
      </c>
      <c r="BM6">
        <v>0</v>
      </c>
      <c r="BN6" t="s">
        <v>692</v>
      </c>
      <c r="BO6" t="s">
        <v>694</v>
      </c>
      <c r="BP6" t="s">
        <v>701</v>
      </c>
      <c r="BQ6" t="s">
        <v>705</v>
      </c>
      <c r="BR6" t="s">
        <v>706</v>
      </c>
      <c r="BS6" t="s">
        <v>707</v>
      </c>
      <c r="CR6"/>
      <c r="CS6"/>
      <c r="CT6"/>
    </row>
    <row r="7" spans="1:98" x14ac:dyDescent="0.4">
      <c r="A7" s="2" t="s">
        <v>27</v>
      </c>
      <c r="B7" t="str">
        <f>_xlfn.TEXTAFTER(Table1[[#This Row],[VEHIDCODE]],"_")</f>
        <v>Switzerland_UeBB_Czm_1_2</v>
      </c>
      <c r="C7" t="s">
        <v>736</v>
      </c>
      <c r="D7" t="b">
        <f>OR(ISNUMBER(SEARCH("wagon_",Table1[[#This Row],[FILENAMES_EXPECTED]])),ISNUMBER(SEARCH("coach_",Table1[[#This Row],[FILENAMES_EXPECTED]])))</f>
        <v>0</v>
      </c>
      <c r="E7" t="str">
        <f>"item_"&amp;Table1[[#This Row],[VEHIDCODE]]</f>
        <v>item_rbs_Switzerland_UeBB_Czm_1_2</v>
      </c>
      <c r="F7" t="str">
        <f>"str_"&amp;Table1[[#This Row],[VEHIDCODE]]</f>
        <v>str_rbs_Switzerland_UeBB_Czm_1_2</v>
      </c>
      <c r="O7" s="2" t="b">
        <v>1</v>
      </c>
      <c r="AJ7" s="2"/>
      <c r="AK7" s="2" t="b">
        <f>LEN(_xlfn.CONCAT(Table1[[#This Row],[TRACK_TYPE_STANDARD_GAUGE_RAILTYPE_OHLE]:[TRACK_TYPE_MTRO]]))&gt;0</f>
        <v>1</v>
      </c>
      <c r="AL7">
        <v>5</v>
      </c>
      <c r="AM7" t="s">
        <v>18</v>
      </c>
      <c r="AN7">
        <v>0</v>
      </c>
      <c r="AO7" t="s">
        <v>23</v>
      </c>
      <c r="AP7">
        <v>30</v>
      </c>
      <c r="AQ7">
        <v>1902</v>
      </c>
      <c r="AR7">
        <v>5</v>
      </c>
      <c r="AS7" s="2" t="s">
        <v>24</v>
      </c>
      <c r="AT7" t="b">
        <v>1</v>
      </c>
      <c r="AV7" s="2"/>
      <c r="AW7">
        <v>45</v>
      </c>
      <c r="AX7">
        <v>1</v>
      </c>
      <c r="AY7">
        <v>99</v>
      </c>
      <c r="AZ7" t="s">
        <v>710</v>
      </c>
      <c r="BA7">
        <v>45</v>
      </c>
      <c r="BB7" s="2">
        <v>0.34</v>
      </c>
      <c r="BC7" t="s">
        <v>923</v>
      </c>
      <c r="BD7" t="s">
        <v>922</v>
      </c>
      <c r="BE7" t="s">
        <v>940</v>
      </c>
      <c r="BF7" s="7">
        <v>15</v>
      </c>
      <c r="BG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">
        <v>0</v>
      </c>
      <c r="BI7" t="s">
        <v>734</v>
      </c>
      <c r="BJ7" s="11"/>
      <c r="BK7" s="11"/>
      <c r="BL7" s="11">
        <v>21</v>
      </c>
      <c r="BM7">
        <v>0</v>
      </c>
      <c r="BN7" t="s">
        <v>692</v>
      </c>
      <c r="BO7" t="s">
        <v>694</v>
      </c>
      <c r="BP7" t="s">
        <v>701</v>
      </c>
      <c r="BQ7" t="s">
        <v>705</v>
      </c>
      <c r="BR7" t="s">
        <v>706</v>
      </c>
      <c r="BS7" t="s">
        <v>707</v>
      </c>
      <c r="CR7"/>
      <c r="CS7"/>
      <c r="CT7"/>
    </row>
    <row r="8" spans="1:98" x14ac:dyDescent="0.4">
      <c r="A8" s="2" t="s">
        <v>28</v>
      </c>
      <c r="B8" t="str">
        <f>_xlfn.TEXTAFTER(Table1[[#This Row],[VEHIDCODE]],"_")</f>
        <v>Germany_Bavarian_MCCi</v>
      </c>
      <c r="C8" t="s">
        <v>736</v>
      </c>
      <c r="D8" t="b">
        <f>OR(ISNUMBER(SEARCH("wagon_",Table1[[#This Row],[FILENAMES_EXPECTED]])),ISNUMBER(SEARCH("coach_",Table1[[#This Row],[FILENAMES_EXPECTED]])))</f>
        <v>0</v>
      </c>
      <c r="E8" t="str">
        <f>"item_"&amp;Table1[[#This Row],[VEHIDCODE]]</f>
        <v>item_rbs_Germany_Bavarian_MCCi</v>
      </c>
      <c r="F8" t="str">
        <f>"str_"&amp;Table1[[#This Row],[VEHIDCODE]]</f>
        <v>str_rbs_Germany_Bavarian_MCCi</v>
      </c>
      <c r="O8" s="2" t="b">
        <v>1</v>
      </c>
      <c r="AJ8" s="2"/>
      <c r="AK8" s="2" t="b">
        <f>LEN(_xlfn.CONCAT(Table1[[#This Row],[TRACK_TYPE_STANDARD_GAUGE_RAILTYPE_OHLE]:[TRACK_TYPE_MTRO]]))&gt;0</f>
        <v>1</v>
      </c>
      <c r="AL8">
        <v>8</v>
      </c>
      <c r="AM8" t="s">
        <v>18</v>
      </c>
      <c r="AN8">
        <v>0</v>
      </c>
      <c r="AO8" t="s">
        <v>23</v>
      </c>
      <c r="AP8">
        <v>52</v>
      </c>
      <c r="AQ8">
        <v>1906</v>
      </c>
      <c r="AR8">
        <v>8</v>
      </c>
      <c r="AS8" s="2" t="s">
        <v>24</v>
      </c>
      <c r="AT8" t="b">
        <v>1</v>
      </c>
      <c r="AV8" s="2"/>
      <c r="AW8">
        <v>45</v>
      </c>
      <c r="AX8">
        <v>1</v>
      </c>
      <c r="AY8">
        <v>195</v>
      </c>
      <c r="AZ8" t="s">
        <v>710</v>
      </c>
      <c r="BA8">
        <v>50</v>
      </c>
      <c r="BB8" s="2">
        <v>0.34</v>
      </c>
      <c r="BC8" t="s">
        <v>923</v>
      </c>
      <c r="BD8" t="s">
        <v>922</v>
      </c>
      <c r="BE8" t="s">
        <v>940</v>
      </c>
      <c r="BF8" s="7">
        <v>15</v>
      </c>
      <c r="BG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">
        <v>0</v>
      </c>
      <c r="BI8" t="s">
        <v>734</v>
      </c>
      <c r="BJ8" s="11"/>
      <c r="BK8" s="11"/>
      <c r="BL8" s="11">
        <v>32</v>
      </c>
      <c r="BM8">
        <v>0</v>
      </c>
      <c r="BN8" t="s">
        <v>692</v>
      </c>
      <c r="BO8" t="s">
        <v>694</v>
      </c>
      <c r="BP8" t="s">
        <v>701</v>
      </c>
      <c r="BQ8" t="s">
        <v>705</v>
      </c>
      <c r="BR8" t="s">
        <v>706</v>
      </c>
      <c r="BS8" t="s">
        <v>707</v>
      </c>
      <c r="CR8"/>
      <c r="CS8"/>
      <c r="CT8"/>
    </row>
    <row r="9" spans="1:98" x14ac:dyDescent="0.4">
      <c r="A9" s="2" t="s">
        <v>29</v>
      </c>
      <c r="B9" t="str">
        <f>_xlfn.TEXTAFTER(Table1[[#This Row],[VEHIDCODE]],"_")</f>
        <v>South_Africa_CSAR_Railmotor</v>
      </c>
      <c r="C9" t="s">
        <v>736</v>
      </c>
      <c r="D9" t="b">
        <f>OR(ISNUMBER(SEARCH("wagon_",Table1[[#This Row],[FILENAMES_EXPECTED]])),ISNUMBER(SEARCH("coach_",Table1[[#This Row],[FILENAMES_EXPECTED]])))</f>
        <v>0</v>
      </c>
      <c r="E9" t="str">
        <f>"item_"&amp;Table1[[#This Row],[VEHIDCODE]]</f>
        <v>item_rbs_South_Africa_CSAR_Railmotor</v>
      </c>
      <c r="F9" t="str">
        <f>"str_"&amp;Table1[[#This Row],[VEHIDCODE]]</f>
        <v>str_rbs_South_Africa_CSAR_Railmotor</v>
      </c>
      <c r="O9" s="2" t="b">
        <v>1</v>
      </c>
      <c r="AJ9" s="2"/>
      <c r="AK9" s="2" t="b">
        <f>LEN(_xlfn.CONCAT(Table1[[#This Row],[TRACK_TYPE_STANDARD_GAUGE_RAILTYPE_OHLE]:[TRACK_TYPE_MTRO]]))&gt;0</f>
        <v>1</v>
      </c>
      <c r="AL9">
        <v>4</v>
      </c>
      <c r="AM9" t="s">
        <v>18</v>
      </c>
      <c r="AN9">
        <v>0</v>
      </c>
      <c r="AO9" t="s">
        <v>23</v>
      </c>
      <c r="AP9">
        <v>50</v>
      </c>
      <c r="AQ9">
        <v>1906</v>
      </c>
      <c r="AR9">
        <v>8</v>
      </c>
      <c r="AS9" s="2" t="s">
        <v>24</v>
      </c>
      <c r="AT9" t="b">
        <v>1</v>
      </c>
      <c r="AV9" s="2"/>
      <c r="AW9">
        <v>45</v>
      </c>
      <c r="AX9">
        <v>1</v>
      </c>
      <c r="AY9">
        <v>86</v>
      </c>
      <c r="AZ9" t="s">
        <v>710</v>
      </c>
      <c r="BA9">
        <v>60</v>
      </c>
      <c r="BB9" s="2">
        <v>0.33</v>
      </c>
      <c r="BC9" t="s">
        <v>926</v>
      </c>
      <c r="BD9" t="s">
        <v>922</v>
      </c>
      <c r="BE9" t="s">
        <v>940</v>
      </c>
      <c r="BF9" s="7">
        <v>15</v>
      </c>
      <c r="BG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">
        <v>0</v>
      </c>
      <c r="BI9" t="s">
        <v>734</v>
      </c>
      <c r="BJ9" s="11"/>
      <c r="BK9" s="11"/>
      <c r="BL9" s="11">
        <v>35</v>
      </c>
      <c r="BM9">
        <v>0</v>
      </c>
      <c r="BN9" t="s">
        <v>692</v>
      </c>
      <c r="BO9" t="s">
        <v>694</v>
      </c>
      <c r="BP9" t="s">
        <v>701</v>
      </c>
      <c r="BQ9" t="s">
        <v>705</v>
      </c>
      <c r="BR9" t="s">
        <v>706</v>
      </c>
      <c r="BS9" t="s">
        <v>707</v>
      </c>
      <c r="CR9"/>
      <c r="CS9"/>
      <c r="CT9"/>
    </row>
    <row r="10" spans="1:98" x14ac:dyDescent="0.4">
      <c r="A10" s="2" t="s">
        <v>30</v>
      </c>
      <c r="B10" t="str">
        <f>_xlfn.TEXTAFTER(Table1[[#This Row],[VEHIDCODE]],"_")</f>
        <v>Australia_Victorian_Railways_Motor_Car_3</v>
      </c>
      <c r="C10" t="s">
        <v>736</v>
      </c>
      <c r="D10" t="b">
        <f>OR(ISNUMBER(SEARCH("wagon_",Table1[[#This Row],[FILENAMES_EXPECTED]])),ISNUMBER(SEARCH("coach_",Table1[[#This Row],[FILENAMES_EXPECTED]])))</f>
        <v>0</v>
      </c>
      <c r="E10" t="str">
        <f>"item_"&amp;Table1[[#This Row],[VEHIDCODE]]</f>
        <v>item_rbs_Australia_Victorian_Railways_Motor_Car_3</v>
      </c>
      <c r="F10" t="str">
        <f>"str_"&amp;Table1[[#This Row],[VEHIDCODE]]</f>
        <v>str_rbs_Australia_Victorian_Railways_Motor_Car_3</v>
      </c>
      <c r="O10" s="2" t="b">
        <v>1</v>
      </c>
      <c r="AJ10" s="2"/>
      <c r="AK10" s="2" t="b">
        <f>LEN(_xlfn.CONCAT(Table1[[#This Row],[TRACK_TYPE_STANDARD_GAUGE_RAILTYPE_OHLE]:[TRACK_TYPE_MTRO]]))&gt;0</f>
        <v>1</v>
      </c>
      <c r="AL10">
        <v>6</v>
      </c>
      <c r="AM10" t="s">
        <v>18</v>
      </c>
      <c r="AN10">
        <v>0</v>
      </c>
      <c r="AO10" t="s">
        <v>23</v>
      </c>
      <c r="AP10">
        <v>32</v>
      </c>
      <c r="AQ10">
        <v>1912</v>
      </c>
      <c r="AR10">
        <v>6</v>
      </c>
      <c r="AS10" s="2" t="s">
        <v>24</v>
      </c>
      <c r="AT10" t="b">
        <v>1</v>
      </c>
      <c r="AV10" s="2"/>
      <c r="AW10">
        <v>45</v>
      </c>
      <c r="AX10">
        <v>1</v>
      </c>
      <c r="AY10">
        <v>91</v>
      </c>
      <c r="AZ10" t="s">
        <v>710</v>
      </c>
      <c r="BA10">
        <v>55</v>
      </c>
      <c r="BB10" s="2">
        <v>0.34</v>
      </c>
      <c r="BC10" t="s">
        <v>925</v>
      </c>
      <c r="BD10" t="s">
        <v>922</v>
      </c>
      <c r="BE10" t="s">
        <v>940</v>
      </c>
      <c r="BF10" s="7">
        <v>15</v>
      </c>
      <c r="BG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">
        <v>0</v>
      </c>
      <c r="BI10" t="s">
        <v>734</v>
      </c>
      <c r="BJ10" s="11"/>
      <c r="BK10" s="11"/>
      <c r="BL10" s="11">
        <v>42</v>
      </c>
      <c r="BM10">
        <v>0</v>
      </c>
      <c r="BN10" t="s">
        <v>692</v>
      </c>
      <c r="BO10" t="s">
        <v>694</v>
      </c>
      <c r="BP10" t="s">
        <v>701</v>
      </c>
      <c r="BQ10" t="s">
        <v>705</v>
      </c>
      <c r="BR10" t="s">
        <v>706</v>
      </c>
      <c r="BS10" t="s">
        <v>707</v>
      </c>
      <c r="CR10"/>
      <c r="CS10"/>
      <c r="CT10"/>
    </row>
    <row r="11" spans="1:98" x14ac:dyDescent="0.4">
      <c r="A11" s="2" t="s">
        <v>31</v>
      </c>
      <c r="B11" t="str">
        <f>_xlfn.TEXTAFTER(Table1[[#This Row],[VEHIDCODE]],"_")</f>
        <v>Austria_kkStB_4_0</v>
      </c>
      <c r="C11" t="s">
        <v>736</v>
      </c>
      <c r="D11" t="b">
        <f>OR(ISNUMBER(SEARCH("wagon_",Table1[[#This Row],[FILENAMES_EXPECTED]])),ISNUMBER(SEARCH("coach_",Table1[[#This Row],[FILENAMES_EXPECTED]])))</f>
        <v>0</v>
      </c>
      <c r="E11" t="str">
        <f>"item_"&amp;Table1[[#This Row],[VEHIDCODE]]</f>
        <v>item_rbs_Austria_kkStB_4_0</v>
      </c>
      <c r="F11" t="str">
        <f>"str_"&amp;Table1[[#This Row],[VEHIDCODE]]</f>
        <v>str_rbs_Austria_kkStB_4_0</v>
      </c>
      <c r="O11" s="2" t="b">
        <v>1</v>
      </c>
      <c r="AJ11" s="2"/>
      <c r="AK11" s="2" t="b">
        <f>LEN(_xlfn.CONCAT(Table1[[#This Row],[TRACK_TYPE_STANDARD_GAUGE_RAILTYPE_OHLE]:[TRACK_TYPE_MTRO]]))&gt;0</f>
        <v>1</v>
      </c>
      <c r="AL11">
        <v>5</v>
      </c>
      <c r="AM11" t="s">
        <v>32</v>
      </c>
      <c r="AN11">
        <v>0</v>
      </c>
      <c r="AO11" t="s">
        <v>23</v>
      </c>
      <c r="AP11">
        <v>14</v>
      </c>
      <c r="AQ11">
        <v>1880</v>
      </c>
      <c r="AR11">
        <v>5</v>
      </c>
      <c r="AS11" s="2" t="s">
        <v>33</v>
      </c>
      <c r="AT11" t="b">
        <v>1</v>
      </c>
      <c r="AV11" s="2"/>
      <c r="AW11">
        <v>45</v>
      </c>
      <c r="AX11">
        <v>0</v>
      </c>
      <c r="AY11">
        <v>28</v>
      </c>
      <c r="AZ11" t="s">
        <v>710</v>
      </c>
      <c r="BA11">
        <v>45</v>
      </c>
      <c r="BB11" s="2">
        <v>0.34</v>
      </c>
      <c r="BC11" t="s">
        <v>923</v>
      </c>
      <c r="BD11" t="s">
        <v>922</v>
      </c>
      <c r="BE11" t="s">
        <v>940</v>
      </c>
      <c r="BF11" s="7">
        <v>15</v>
      </c>
      <c r="BG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">
        <v>-3</v>
      </c>
      <c r="BI11" t="s">
        <v>734</v>
      </c>
      <c r="BJ11" s="11"/>
      <c r="BK11" s="11"/>
      <c r="BL11" s="11">
        <v>20</v>
      </c>
      <c r="BM11">
        <v>0</v>
      </c>
      <c r="BN11" t="s">
        <v>692</v>
      </c>
      <c r="BO11" t="s">
        <v>694</v>
      </c>
      <c r="BP11" t="s">
        <v>701</v>
      </c>
      <c r="BQ11" t="s">
        <v>705</v>
      </c>
      <c r="BR11" t="s">
        <v>706</v>
      </c>
      <c r="BS11" t="s">
        <v>707</v>
      </c>
      <c r="CR11"/>
      <c r="CS11"/>
      <c r="CT11"/>
    </row>
    <row r="12" spans="1:98" x14ac:dyDescent="0.4">
      <c r="A12" s="2" t="s">
        <v>34</v>
      </c>
      <c r="B12" t="str">
        <f>_xlfn.TEXTAFTER(Table1[[#This Row],[VEHIDCODE]],"_")</f>
        <v>Australia_Victorian_Railways_AEC_RM1</v>
      </c>
      <c r="C12" t="s">
        <v>737</v>
      </c>
      <c r="D12" t="b">
        <f>OR(ISNUMBER(SEARCH("wagon_",Table1[[#This Row],[FILENAMES_EXPECTED]])),ISNUMBER(SEARCH("coach_",Table1[[#This Row],[FILENAMES_EXPECTED]])))</f>
        <v>0</v>
      </c>
      <c r="E12" t="str">
        <f>"item_"&amp;Table1[[#This Row],[VEHIDCODE]]</f>
        <v>item_rbd_Australia_Victorian_Railways_AEC_RM1</v>
      </c>
      <c r="F12" t="str">
        <f>"str_"&amp;Table1[[#This Row],[VEHIDCODE]]</f>
        <v>str_rbd_Australia_Victorian_Railways_AEC_RM1</v>
      </c>
      <c r="O12" s="2" t="b">
        <v>1</v>
      </c>
      <c r="AJ12" s="2"/>
      <c r="AK12" s="2" t="b">
        <f>LEN(_xlfn.CONCAT(Table1[[#This Row],[TRACK_TYPE_STANDARD_GAUGE_RAILTYPE_OHLE]:[TRACK_TYPE_MTRO]]))&gt;0</f>
        <v>1</v>
      </c>
      <c r="AL12">
        <v>5</v>
      </c>
      <c r="AM12" t="s">
        <v>18</v>
      </c>
      <c r="AN12">
        <v>0</v>
      </c>
      <c r="AO12" t="s">
        <v>35</v>
      </c>
      <c r="AP12">
        <v>33</v>
      </c>
      <c r="AQ12">
        <v>1922</v>
      </c>
      <c r="AR12">
        <v>5</v>
      </c>
      <c r="AS12" s="2" t="s">
        <v>24</v>
      </c>
      <c r="AT12" t="b">
        <v>1</v>
      </c>
      <c r="AV12" s="2"/>
      <c r="AW12">
        <v>45</v>
      </c>
      <c r="AX12">
        <v>1</v>
      </c>
      <c r="AY12">
        <v>45</v>
      </c>
      <c r="AZ12" t="s">
        <v>711</v>
      </c>
      <c r="BA12">
        <v>50</v>
      </c>
      <c r="BB12" s="2">
        <v>0.1</v>
      </c>
      <c r="BC12" t="s">
        <v>925</v>
      </c>
      <c r="BD12" t="s">
        <v>922</v>
      </c>
      <c r="BE12" t="s">
        <v>940</v>
      </c>
      <c r="BF12" s="7">
        <v>15</v>
      </c>
      <c r="BG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2">
        <v>-3</v>
      </c>
      <c r="BI12" t="s">
        <v>734</v>
      </c>
      <c r="BJ12" s="11"/>
      <c r="BK12" s="11"/>
      <c r="BL12" s="11">
        <v>24</v>
      </c>
      <c r="BM12">
        <v>0</v>
      </c>
      <c r="BN12" t="s">
        <v>692</v>
      </c>
      <c r="BO12" t="s">
        <v>694</v>
      </c>
      <c r="BP12" t="s">
        <v>701</v>
      </c>
      <c r="BQ12" t="s">
        <v>705</v>
      </c>
      <c r="BR12" t="s">
        <v>706</v>
      </c>
      <c r="BS12" t="s">
        <v>707</v>
      </c>
      <c r="CR12"/>
      <c r="CS12"/>
      <c r="CT12"/>
    </row>
    <row r="13" spans="1:98" x14ac:dyDescent="0.4">
      <c r="A13" s="2" t="s">
        <v>36</v>
      </c>
      <c r="B13" t="str">
        <f>_xlfn.TEXTAFTER(Table1[[#This Row],[VEHIDCODE]],"_")</f>
        <v>Germany_DB_VT_133</v>
      </c>
      <c r="C13" t="s">
        <v>737</v>
      </c>
      <c r="D13" t="b">
        <f>OR(ISNUMBER(SEARCH("wagon_",Table1[[#This Row],[FILENAMES_EXPECTED]])),ISNUMBER(SEARCH("coach_",Table1[[#This Row],[FILENAMES_EXPECTED]])))</f>
        <v>0</v>
      </c>
      <c r="E13" t="str">
        <f>"item_"&amp;Table1[[#This Row],[VEHIDCODE]]</f>
        <v>item_rbd_Germany_DB_VT_133</v>
      </c>
      <c r="F13" t="str">
        <f>"str_"&amp;Table1[[#This Row],[VEHIDCODE]]</f>
        <v>str_rbd_Germany_DB_VT_133</v>
      </c>
      <c r="O13" s="2" t="b">
        <v>1</v>
      </c>
      <c r="AJ13" s="2"/>
      <c r="AK13" s="2" t="b">
        <f>LEN(_xlfn.CONCAT(Table1[[#This Row],[TRACK_TYPE_STANDARD_GAUGE_RAILTYPE_OHLE]:[TRACK_TYPE_MTRO]]))&gt;0</f>
        <v>1</v>
      </c>
      <c r="AL13">
        <v>6</v>
      </c>
      <c r="AM13" t="s">
        <v>18</v>
      </c>
      <c r="AN13">
        <v>0</v>
      </c>
      <c r="AO13" t="s">
        <v>35</v>
      </c>
      <c r="AP13">
        <v>24</v>
      </c>
      <c r="AQ13">
        <v>1932</v>
      </c>
      <c r="AR13">
        <v>6</v>
      </c>
      <c r="AS13" s="2" t="s">
        <v>24</v>
      </c>
      <c r="AT13" t="b">
        <v>1</v>
      </c>
      <c r="AV13" s="2"/>
      <c r="AW13">
        <v>45</v>
      </c>
      <c r="AX13">
        <v>1</v>
      </c>
      <c r="AY13">
        <v>38</v>
      </c>
      <c r="AZ13" t="s">
        <v>711</v>
      </c>
      <c r="BA13">
        <v>56</v>
      </c>
      <c r="BB13" s="2">
        <v>0.5</v>
      </c>
      <c r="BC13" t="s">
        <v>923</v>
      </c>
      <c r="BD13" t="s">
        <v>922</v>
      </c>
      <c r="BE13" t="s">
        <v>940</v>
      </c>
      <c r="BF13" s="7">
        <v>15</v>
      </c>
      <c r="BG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3">
        <v>-3</v>
      </c>
      <c r="BI13" t="s">
        <v>734</v>
      </c>
      <c r="BJ13" s="11"/>
      <c r="BK13" s="11"/>
      <c r="BL13" s="11">
        <v>6</v>
      </c>
      <c r="BM13">
        <v>0</v>
      </c>
      <c r="BN13" t="s">
        <v>692</v>
      </c>
      <c r="BO13" t="s">
        <v>694</v>
      </c>
      <c r="BP13" t="s">
        <v>701</v>
      </c>
      <c r="BQ13" t="s">
        <v>705</v>
      </c>
      <c r="BR13" t="s">
        <v>706</v>
      </c>
      <c r="BS13" t="s">
        <v>707</v>
      </c>
      <c r="CR13"/>
      <c r="CS13"/>
      <c r="CT13"/>
    </row>
    <row r="14" spans="1:98" x14ac:dyDescent="0.4">
      <c r="A14" s="2" t="s">
        <v>37</v>
      </c>
      <c r="B14" t="str">
        <f>_xlfn.TEXTAFTER(Table1[[#This Row],[VEHIDCODE]],"_")</f>
        <v>United_Kingdom_GWR_AEC_Railcar</v>
      </c>
      <c r="C14" t="s">
        <v>737</v>
      </c>
      <c r="D14" t="b">
        <f>OR(ISNUMBER(SEARCH("wagon_",Table1[[#This Row],[FILENAMES_EXPECTED]])),ISNUMBER(SEARCH("coach_",Table1[[#This Row],[FILENAMES_EXPECTED]])))</f>
        <v>0</v>
      </c>
      <c r="E14" t="str">
        <f>"item_"&amp;Table1[[#This Row],[VEHIDCODE]]</f>
        <v>item_rbd_United_Kingdom_GWR_AEC_Railcar</v>
      </c>
      <c r="F14" t="str">
        <f>"str_"&amp;Table1[[#This Row],[VEHIDCODE]]</f>
        <v>str_rbd_United_Kingdom_GWR_AEC_Railcar</v>
      </c>
      <c r="O14" s="2" t="b">
        <v>1</v>
      </c>
      <c r="AJ14" s="2"/>
      <c r="AK14" s="2" t="b">
        <f>LEN(_xlfn.CONCAT(Table1[[#This Row],[TRACK_TYPE_STANDARD_GAUGE_RAILTYPE_OHLE]:[TRACK_TYPE_MTRO]]))&gt;0</f>
        <v>1</v>
      </c>
      <c r="AL14">
        <v>6</v>
      </c>
      <c r="AM14" t="s">
        <v>18</v>
      </c>
      <c r="AN14">
        <v>0</v>
      </c>
      <c r="AO14" t="s">
        <v>35</v>
      </c>
      <c r="AP14">
        <v>70</v>
      </c>
      <c r="AQ14">
        <v>1933</v>
      </c>
      <c r="AR14">
        <v>6</v>
      </c>
      <c r="AS14" s="2" t="s">
        <v>24</v>
      </c>
      <c r="AT14" t="b">
        <v>1</v>
      </c>
      <c r="AV14" s="2"/>
      <c r="AW14">
        <v>45</v>
      </c>
      <c r="AX14">
        <v>1</v>
      </c>
      <c r="AY14">
        <v>175</v>
      </c>
      <c r="AZ14" t="s">
        <v>711</v>
      </c>
      <c r="BA14">
        <v>80</v>
      </c>
      <c r="BB14" s="2">
        <v>0.27</v>
      </c>
      <c r="BC14" t="s">
        <v>927</v>
      </c>
      <c r="BD14" t="s">
        <v>922</v>
      </c>
      <c r="BE14" t="s">
        <v>940</v>
      </c>
      <c r="BF14" s="7">
        <v>15</v>
      </c>
      <c r="BG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4">
        <v>-3</v>
      </c>
      <c r="BI14" t="s">
        <v>734</v>
      </c>
      <c r="BJ14" s="11"/>
      <c r="BK14" s="11"/>
      <c r="BL14" s="11">
        <v>25</v>
      </c>
      <c r="BM14">
        <v>0</v>
      </c>
      <c r="BN14" t="s">
        <v>692</v>
      </c>
      <c r="BO14" t="s">
        <v>694</v>
      </c>
      <c r="BP14" t="s">
        <v>701</v>
      </c>
      <c r="BQ14" t="s">
        <v>705</v>
      </c>
      <c r="BR14" t="s">
        <v>706</v>
      </c>
      <c r="BS14" t="s">
        <v>707</v>
      </c>
      <c r="CR14"/>
      <c r="CS14"/>
      <c r="CT14"/>
    </row>
    <row r="15" spans="1:98" x14ac:dyDescent="0.4">
      <c r="A15" s="2" t="s">
        <v>38</v>
      </c>
      <c r="B15" t="str">
        <f>_xlfn.TEXTAFTER(Table1[[#This Row],[VEHIDCODE]],"_")</f>
        <v>Austria_OBB_5042</v>
      </c>
      <c r="C15" t="s">
        <v>737</v>
      </c>
      <c r="D15" t="b">
        <f>OR(ISNUMBER(SEARCH("wagon_",Table1[[#This Row],[FILENAMES_EXPECTED]])),ISNUMBER(SEARCH("coach_",Table1[[#This Row],[FILENAMES_EXPECTED]])))</f>
        <v>0</v>
      </c>
      <c r="E15" t="str">
        <f>"item_"&amp;Table1[[#This Row],[VEHIDCODE]]</f>
        <v>item_rbd_Austria_OBB_5042</v>
      </c>
      <c r="F15" t="str">
        <f>"str_"&amp;Table1[[#This Row],[VEHIDCODE]]</f>
        <v>str_rbd_Austria_OBB_5042</v>
      </c>
      <c r="O15" s="2" t="b">
        <v>1</v>
      </c>
      <c r="AJ15" s="2"/>
      <c r="AK15" s="2" t="b">
        <f>LEN(_xlfn.CONCAT(Table1[[#This Row],[TRACK_TYPE_STANDARD_GAUGE_RAILTYPE_OHLE]:[TRACK_TYPE_MTRO]]))&gt;0</f>
        <v>1</v>
      </c>
      <c r="AL15">
        <v>8</v>
      </c>
      <c r="AM15" t="s">
        <v>18</v>
      </c>
      <c r="AN15">
        <v>0</v>
      </c>
      <c r="AO15" t="s">
        <v>35</v>
      </c>
      <c r="AP15">
        <v>78</v>
      </c>
      <c r="AQ15">
        <v>1935</v>
      </c>
      <c r="AR15">
        <v>8</v>
      </c>
      <c r="AS15" s="2" t="s">
        <v>24</v>
      </c>
      <c r="AT15" t="b">
        <v>1</v>
      </c>
      <c r="AV15" s="2"/>
      <c r="AW15">
        <v>45</v>
      </c>
      <c r="AX15">
        <v>1</v>
      </c>
      <c r="AY15">
        <v>410</v>
      </c>
      <c r="AZ15" t="s">
        <v>711</v>
      </c>
      <c r="BA15">
        <v>110</v>
      </c>
      <c r="BB15" s="2">
        <v>0.08</v>
      </c>
      <c r="BC15" t="s">
        <v>923</v>
      </c>
      <c r="BD15" t="s">
        <v>922</v>
      </c>
      <c r="BE15" t="s">
        <v>940</v>
      </c>
      <c r="BF15" s="7">
        <v>15</v>
      </c>
      <c r="BG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5">
        <v>-3</v>
      </c>
      <c r="BI15" t="s">
        <v>734</v>
      </c>
      <c r="BJ15" s="11"/>
      <c r="BK15" s="11"/>
      <c r="BL15" s="11">
        <v>59</v>
      </c>
      <c r="BM15">
        <v>0</v>
      </c>
      <c r="BN15" t="s">
        <v>692</v>
      </c>
      <c r="BO15" t="s">
        <v>694</v>
      </c>
      <c r="BP15" t="s">
        <v>701</v>
      </c>
      <c r="BQ15" t="s">
        <v>705</v>
      </c>
      <c r="BR15" t="s">
        <v>706</v>
      </c>
      <c r="BS15" t="s">
        <v>707</v>
      </c>
      <c r="CR15"/>
      <c r="CS15"/>
      <c r="CT15"/>
    </row>
    <row r="16" spans="1:98" x14ac:dyDescent="0.4">
      <c r="A16" s="2" t="s">
        <v>39</v>
      </c>
      <c r="B16" t="str">
        <f>_xlfn.TEXTAFTER(Table1[[#This Row],[VEHIDCODE]],"_")</f>
        <v>New_Zealand_NZR_RM31</v>
      </c>
      <c r="C16" t="s">
        <v>737</v>
      </c>
      <c r="D16" t="b">
        <f>OR(ISNUMBER(SEARCH("wagon_",Table1[[#This Row],[FILENAMES_EXPECTED]])),ISNUMBER(SEARCH("coach_",Table1[[#This Row],[FILENAMES_EXPECTED]])))</f>
        <v>0</v>
      </c>
      <c r="E16" t="str">
        <f>"item_"&amp;Table1[[#This Row],[VEHIDCODE]]</f>
        <v>item_rbd_New_Zealand_NZR_RM31</v>
      </c>
      <c r="F16" t="str">
        <f>"str_"&amp;Table1[[#This Row],[VEHIDCODE]]</f>
        <v>str_rbd_New_Zealand_NZR_RM31</v>
      </c>
      <c r="X16" s="2" t="b">
        <v>1</v>
      </c>
      <c r="AJ16" s="2"/>
      <c r="AK16" s="2" t="b">
        <f>LEN(_xlfn.CONCAT(Table1[[#This Row],[TRACK_TYPE_STANDARD_GAUGE_RAILTYPE_OHLE]:[TRACK_TYPE_MTRO]]))&gt;0</f>
        <v>1</v>
      </c>
      <c r="AL16">
        <v>8</v>
      </c>
      <c r="AM16" t="s">
        <v>18</v>
      </c>
      <c r="AN16">
        <v>0</v>
      </c>
      <c r="AO16" t="s">
        <v>35</v>
      </c>
      <c r="AP16">
        <v>50</v>
      </c>
      <c r="AQ16">
        <v>1940</v>
      </c>
      <c r="AR16">
        <v>8</v>
      </c>
      <c r="AS16" s="2" t="s">
        <v>24</v>
      </c>
      <c r="AT16" t="b">
        <v>1</v>
      </c>
      <c r="AV16" s="2"/>
      <c r="AW16">
        <v>45</v>
      </c>
      <c r="AX16">
        <v>1</v>
      </c>
      <c r="AY16">
        <v>250</v>
      </c>
      <c r="AZ16" t="s">
        <v>711</v>
      </c>
      <c r="BA16">
        <v>120</v>
      </c>
      <c r="BB16" s="2">
        <v>0.2</v>
      </c>
      <c r="BC16" t="s">
        <v>925</v>
      </c>
      <c r="BD16" t="s">
        <v>922</v>
      </c>
      <c r="BE16" t="s">
        <v>940</v>
      </c>
      <c r="BF16" s="7">
        <v>15</v>
      </c>
      <c r="BG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6">
        <v>-3</v>
      </c>
      <c r="BI16" t="s">
        <v>734</v>
      </c>
      <c r="BJ16" s="11"/>
      <c r="BK16" s="11"/>
      <c r="BL16" s="11">
        <v>37</v>
      </c>
      <c r="BM16">
        <v>0</v>
      </c>
      <c r="BN16" t="s">
        <v>692</v>
      </c>
      <c r="BO16" t="s">
        <v>694</v>
      </c>
      <c r="BP16" t="s">
        <v>701</v>
      </c>
      <c r="BQ16" t="s">
        <v>705</v>
      </c>
      <c r="BR16" t="s">
        <v>706</v>
      </c>
      <c r="BS16" t="s">
        <v>707</v>
      </c>
      <c r="CR16"/>
      <c r="CS16"/>
      <c r="CT16"/>
    </row>
    <row r="17" spans="1:98" x14ac:dyDescent="0.4">
      <c r="A17" s="2" t="s">
        <v>40</v>
      </c>
      <c r="B17" t="str">
        <f>_xlfn.TEXTAFTER(Table1[[#This Row],[VEHIDCODE]],"_")</f>
        <v>Portugal_CP_0100</v>
      </c>
      <c r="C17" t="s">
        <v>737</v>
      </c>
      <c r="D17" t="b">
        <f>OR(ISNUMBER(SEARCH("wagon_",Table1[[#This Row],[FILENAMES_EXPECTED]])),ISNUMBER(SEARCH("coach_",Table1[[#This Row],[FILENAMES_EXPECTED]])))</f>
        <v>0</v>
      </c>
      <c r="E17" t="str">
        <f>"item_"&amp;Table1[[#This Row],[VEHIDCODE]]</f>
        <v>item_rbd_Portugal_CP_0100</v>
      </c>
      <c r="F17" t="str">
        <f>"str_"&amp;Table1[[#This Row],[VEHIDCODE]]</f>
        <v>str_rbd_Portugal_CP_0100</v>
      </c>
      <c r="O17" s="2" t="b">
        <v>1</v>
      </c>
      <c r="AJ17" s="2"/>
      <c r="AK17" s="2" t="b">
        <f>LEN(_xlfn.CONCAT(Table1[[#This Row],[TRACK_TYPE_STANDARD_GAUGE_RAILTYPE_OHLE]:[TRACK_TYPE_MTRO]]))&gt;0</f>
        <v>1</v>
      </c>
      <c r="AL17">
        <v>8</v>
      </c>
      <c r="AM17" t="s">
        <v>18</v>
      </c>
      <c r="AN17">
        <v>0</v>
      </c>
      <c r="AO17" t="s">
        <v>35</v>
      </c>
      <c r="AP17">
        <v>70</v>
      </c>
      <c r="AQ17">
        <v>1948</v>
      </c>
      <c r="AR17">
        <v>8</v>
      </c>
      <c r="AS17" s="2" t="s">
        <v>24</v>
      </c>
      <c r="AT17" t="b">
        <v>1</v>
      </c>
      <c r="AV17" s="2"/>
      <c r="AW17">
        <v>45</v>
      </c>
      <c r="AX17">
        <v>1</v>
      </c>
      <c r="AY17">
        <v>250</v>
      </c>
      <c r="AZ17" t="s">
        <v>711</v>
      </c>
      <c r="BA17">
        <v>112</v>
      </c>
      <c r="BB17" s="2">
        <v>0.26</v>
      </c>
      <c r="BC17" t="s">
        <v>924</v>
      </c>
      <c r="BD17" t="s">
        <v>922</v>
      </c>
      <c r="BE17" t="s">
        <v>940</v>
      </c>
      <c r="BF17" s="7">
        <v>15</v>
      </c>
      <c r="BG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7">
        <v>-3</v>
      </c>
      <c r="BI17" t="s">
        <v>734</v>
      </c>
      <c r="BJ17" s="11"/>
      <c r="BK17" s="11"/>
      <c r="BL17" s="11">
        <v>32</v>
      </c>
      <c r="BM17">
        <v>0</v>
      </c>
      <c r="BN17" t="s">
        <v>692</v>
      </c>
      <c r="BO17" t="s">
        <v>694</v>
      </c>
      <c r="BP17" t="s">
        <v>701</v>
      </c>
      <c r="BQ17" t="s">
        <v>705</v>
      </c>
      <c r="BR17" t="s">
        <v>706</v>
      </c>
      <c r="BS17" t="s">
        <v>707</v>
      </c>
      <c r="CR17"/>
      <c r="CS17"/>
      <c r="CT17"/>
    </row>
    <row r="18" spans="1:98" x14ac:dyDescent="0.4">
      <c r="A18" s="2" t="s">
        <v>41</v>
      </c>
      <c r="B18" t="str">
        <f>_xlfn.TEXTAFTER(Table1[[#This Row],[VEHIDCODE]],"_")</f>
        <v>USA_Amtrak_Budd_RDC</v>
      </c>
      <c r="C18" t="s">
        <v>737</v>
      </c>
      <c r="D18" t="b">
        <f>OR(ISNUMBER(SEARCH("wagon_",Table1[[#This Row],[FILENAMES_EXPECTED]])),ISNUMBER(SEARCH("coach_",Table1[[#This Row],[FILENAMES_EXPECTED]])))</f>
        <v>0</v>
      </c>
      <c r="E18" t="str">
        <f>"item_"&amp;Table1[[#This Row],[VEHIDCODE]]</f>
        <v>item_rbd_USA_Amtrak_Budd_RDC</v>
      </c>
      <c r="F18" t="str">
        <f>"str_"&amp;Table1[[#This Row],[VEHIDCODE]]</f>
        <v>str_rbd_USA_Amtrak_Budd_RDC</v>
      </c>
      <c r="O18" s="2" t="b">
        <v>1</v>
      </c>
      <c r="AJ18" s="2"/>
      <c r="AK18" s="2" t="b">
        <f>LEN(_xlfn.CONCAT(Table1[[#This Row],[TRACK_TYPE_STANDARD_GAUGE_RAILTYPE_OHLE]:[TRACK_TYPE_MTRO]]))&gt;0</f>
        <v>1</v>
      </c>
      <c r="AL18">
        <v>8</v>
      </c>
      <c r="AM18" t="s">
        <v>18</v>
      </c>
      <c r="AN18">
        <v>0</v>
      </c>
      <c r="AO18" t="s">
        <v>35</v>
      </c>
      <c r="AP18">
        <v>90</v>
      </c>
      <c r="AQ18">
        <v>1949</v>
      </c>
      <c r="AR18">
        <v>8</v>
      </c>
      <c r="AS18" s="2" t="s">
        <v>24</v>
      </c>
      <c r="AT18" t="b">
        <v>1</v>
      </c>
      <c r="AV18" s="2"/>
      <c r="AW18">
        <v>45</v>
      </c>
      <c r="AX18">
        <v>1</v>
      </c>
      <c r="AY18">
        <v>550</v>
      </c>
      <c r="AZ18" t="s">
        <v>711</v>
      </c>
      <c r="BA18">
        <v>136</v>
      </c>
      <c r="BB18" s="2">
        <v>0.1</v>
      </c>
      <c r="BC18" t="s">
        <v>928</v>
      </c>
      <c r="BD18" t="s">
        <v>922</v>
      </c>
      <c r="BE18" t="s">
        <v>940</v>
      </c>
      <c r="BF18" s="7">
        <v>15</v>
      </c>
      <c r="BG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">
        <v>-3</v>
      </c>
      <c r="BI18" t="s">
        <v>734</v>
      </c>
      <c r="BJ18" s="11"/>
      <c r="BK18" s="11"/>
      <c r="BL18" s="11">
        <v>49</v>
      </c>
      <c r="BM18">
        <v>0</v>
      </c>
      <c r="BN18" t="s">
        <v>692</v>
      </c>
      <c r="BO18" t="s">
        <v>694</v>
      </c>
      <c r="BP18" t="s">
        <v>701</v>
      </c>
      <c r="BQ18" t="s">
        <v>705</v>
      </c>
      <c r="BR18" t="s">
        <v>706</v>
      </c>
      <c r="BS18" t="s">
        <v>707</v>
      </c>
      <c r="CR18"/>
      <c r="CS18"/>
      <c r="CT18"/>
    </row>
    <row r="19" spans="1:98" x14ac:dyDescent="0.4">
      <c r="A19" s="2" t="s">
        <v>42</v>
      </c>
      <c r="B19" t="str">
        <f>_xlfn.TEXTAFTER(Table1[[#This Row],[VEHIDCODE]],"_")</f>
        <v>Germany_DB_VT_989</v>
      </c>
      <c r="C19" t="s">
        <v>737</v>
      </c>
      <c r="D19" t="b">
        <f>OR(ISNUMBER(SEARCH("wagon_",Table1[[#This Row],[FILENAMES_EXPECTED]])),ISNUMBER(SEARCH("coach_",Table1[[#This Row],[FILENAMES_EXPECTED]])))</f>
        <v>0</v>
      </c>
      <c r="E19" t="str">
        <f>"item_"&amp;Table1[[#This Row],[VEHIDCODE]]</f>
        <v>item_rbd_Germany_DB_VT_989</v>
      </c>
      <c r="F19" t="str">
        <f>"str_"&amp;Table1[[#This Row],[VEHIDCODE]]</f>
        <v>str_rbd_Germany_DB_VT_989</v>
      </c>
      <c r="O19" s="2" t="b">
        <v>1</v>
      </c>
      <c r="AJ19" s="2"/>
      <c r="AK19" s="2" t="b">
        <f>LEN(_xlfn.CONCAT(Table1[[#This Row],[TRACK_TYPE_STANDARD_GAUGE_RAILTYPE_OHLE]:[TRACK_TYPE_MTRO]]))&gt;0</f>
        <v>1</v>
      </c>
      <c r="AL19">
        <v>6</v>
      </c>
      <c r="AM19" t="s">
        <v>18</v>
      </c>
      <c r="AN19">
        <v>0</v>
      </c>
      <c r="AO19" t="s">
        <v>35</v>
      </c>
      <c r="AP19">
        <v>56</v>
      </c>
      <c r="AQ19">
        <v>1953</v>
      </c>
      <c r="AR19">
        <v>6</v>
      </c>
      <c r="AS19" s="2" t="s">
        <v>24</v>
      </c>
      <c r="AT19" t="b">
        <v>1</v>
      </c>
      <c r="AV19" s="2"/>
      <c r="AW19">
        <v>45</v>
      </c>
      <c r="AX19">
        <v>1</v>
      </c>
      <c r="AY19">
        <v>290</v>
      </c>
      <c r="AZ19" t="s">
        <v>711</v>
      </c>
      <c r="BA19">
        <v>90</v>
      </c>
      <c r="BB19" s="2">
        <v>0.2</v>
      </c>
      <c r="BC19" t="s">
        <v>923</v>
      </c>
      <c r="BD19" t="s">
        <v>922</v>
      </c>
      <c r="BE19" t="s">
        <v>940</v>
      </c>
      <c r="BF19" s="7">
        <v>15</v>
      </c>
      <c r="BG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">
        <v>-3</v>
      </c>
      <c r="BI19" t="s">
        <v>734</v>
      </c>
      <c r="BJ19" s="11"/>
      <c r="BK19" s="11"/>
      <c r="BL19" s="11">
        <v>21</v>
      </c>
      <c r="BM19">
        <v>0</v>
      </c>
      <c r="BN19" t="s">
        <v>692</v>
      </c>
      <c r="BO19" t="s">
        <v>694</v>
      </c>
      <c r="BP19" t="s">
        <v>701</v>
      </c>
      <c r="BQ19" t="s">
        <v>705</v>
      </c>
      <c r="BR19" t="s">
        <v>706</v>
      </c>
      <c r="BS19" t="s">
        <v>707</v>
      </c>
      <c r="CR19"/>
      <c r="CS19"/>
      <c r="CT19"/>
    </row>
    <row r="20" spans="1:98" x14ac:dyDescent="0.4">
      <c r="A20" s="2" t="s">
        <v>43</v>
      </c>
      <c r="B20" t="str">
        <f>_xlfn.TEXTAFTER(Table1[[#This Row],[VEHIDCODE]],"_")</f>
        <v>Germany_OHE_520_GDT</v>
      </c>
      <c r="C20" t="s">
        <v>737</v>
      </c>
      <c r="D20" t="b">
        <f>OR(ISNUMBER(SEARCH("wagon_",Table1[[#This Row],[FILENAMES_EXPECTED]])),ISNUMBER(SEARCH("coach_",Table1[[#This Row],[FILENAMES_EXPECTED]])))</f>
        <v>0</v>
      </c>
      <c r="E20" t="str">
        <f>"item_"&amp;Table1[[#This Row],[VEHIDCODE]]</f>
        <v>item_rbd_Germany_OHE_520_GDT</v>
      </c>
      <c r="F20" t="str">
        <f>"str_"&amp;Table1[[#This Row],[VEHIDCODE]]</f>
        <v>str_rbd_Germany_OHE_520_GDT</v>
      </c>
      <c r="O20" s="2" t="b">
        <v>1</v>
      </c>
      <c r="AJ20" s="2"/>
      <c r="AK20" s="2" t="b">
        <f>LEN(_xlfn.CONCAT(Table1[[#This Row],[TRACK_TYPE_STANDARD_GAUGE_RAILTYPE_OHLE]:[TRACK_TYPE_MTRO]]))&gt;0</f>
        <v>1</v>
      </c>
      <c r="AL20">
        <v>8</v>
      </c>
      <c r="AM20" t="s">
        <v>18</v>
      </c>
      <c r="AN20">
        <v>0</v>
      </c>
      <c r="AO20" t="s">
        <v>35</v>
      </c>
      <c r="AP20">
        <v>108</v>
      </c>
      <c r="AQ20">
        <v>1953</v>
      </c>
      <c r="AR20">
        <v>8</v>
      </c>
      <c r="AS20" s="2" t="s">
        <v>24</v>
      </c>
      <c r="AT20" t="b">
        <v>1</v>
      </c>
      <c r="AV20" s="2"/>
      <c r="AW20">
        <v>45</v>
      </c>
      <c r="AX20">
        <v>1</v>
      </c>
      <c r="AY20">
        <v>600</v>
      </c>
      <c r="AZ20" t="s">
        <v>711</v>
      </c>
      <c r="BA20">
        <v>75</v>
      </c>
      <c r="BB20" s="2">
        <v>0.25</v>
      </c>
      <c r="BC20" t="s">
        <v>923</v>
      </c>
      <c r="BD20" t="s">
        <v>922</v>
      </c>
      <c r="BE20" t="s">
        <v>940</v>
      </c>
      <c r="BF20" s="7">
        <v>15</v>
      </c>
      <c r="BG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">
        <v>-3</v>
      </c>
      <c r="BI20" t="s">
        <v>734</v>
      </c>
      <c r="BJ20" s="11"/>
      <c r="BK20" s="11"/>
      <c r="BL20" s="11">
        <v>41</v>
      </c>
      <c r="BM20">
        <v>0</v>
      </c>
      <c r="BN20" t="s">
        <v>692</v>
      </c>
      <c r="BO20" t="s">
        <v>694</v>
      </c>
      <c r="BP20" t="s">
        <v>701</v>
      </c>
      <c r="BQ20" t="s">
        <v>705</v>
      </c>
      <c r="BR20" t="s">
        <v>706</v>
      </c>
      <c r="BS20" t="s">
        <v>707</v>
      </c>
      <c r="CR20"/>
      <c r="CS20"/>
      <c r="CT20"/>
    </row>
    <row r="21" spans="1:98" x14ac:dyDescent="0.4">
      <c r="A21" s="2" t="s">
        <v>44</v>
      </c>
      <c r="B21" t="str">
        <f>_xlfn.TEXTAFTER(Table1[[#This Row],[VEHIDCODE]],"_")</f>
        <v>Netherlands_NS_20_Kameel</v>
      </c>
      <c r="C21" t="s">
        <v>737</v>
      </c>
      <c r="D21" t="b">
        <f>OR(ISNUMBER(SEARCH("wagon_",Table1[[#This Row],[FILENAMES_EXPECTED]])),ISNUMBER(SEARCH("coach_",Table1[[#This Row],[FILENAMES_EXPECTED]])))</f>
        <v>0</v>
      </c>
      <c r="E21" t="str">
        <f>"item_"&amp;Table1[[#This Row],[VEHIDCODE]]</f>
        <v>item_rbd_Netherlands_NS_20_Kameel</v>
      </c>
      <c r="F21" t="str">
        <f>"str_"&amp;Table1[[#This Row],[VEHIDCODE]]</f>
        <v>str_rbd_Netherlands_NS_20_Kameel</v>
      </c>
      <c r="O21" s="2" t="b">
        <v>1</v>
      </c>
      <c r="AJ21" s="2"/>
      <c r="AK21" s="2" t="b">
        <f>LEN(_xlfn.CONCAT(Table1[[#This Row],[TRACK_TYPE_STANDARD_GAUGE_RAILTYPE_OHLE]:[TRACK_TYPE_MTRO]]))&gt;0</f>
        <v>1</v>
      </c>
      <c r="AL21">
        <v>8</v>
      </c>
      <c r="AM21" t="s">
        <v>18</v>
      </c>
      <c r="AN21">
        <v>0</v>
      </c>
      <c r="AO21" t="s">
        <v>35</v>
      </c>
      <c r="AP21">
        <v>28</v>
      </c>
      <c r="AQ21">
        <v>1954</v>
      </c>
      <c r="AR21">
        <v>8</v>
      </c>
      <c r="AS21" s="2" t="s">
        <v>24</v>
      </c>
      <c r="AT21" t="b">
        <v>1</v>
      </c>
      <c r="AV21" s="2"/>
      <c r="AW21">
        <v>45</v>
      </c>
      <c r="AX21">
        <v>1</v>
      </c>
      <c r="AY21">
        <v>285</v>
      </c>
      <c r="AZ21" t="s">
        <v>711</v>
      </c>
      <c r="BA21">
        <v>125</v>
      </c>
      <c r="BB21" s="2">
        <v>0.12</v>
      </c>
      <c r="BC21" t="s">
        <v>923</v>
      </c>
      <c r="BD21" t="s">
        <v>922</v>
      </c>
      <c r="BE21" t="s">
        <v>940</v>
      </c>
      <c r="BF21" s="7">
        <v>15</v>
      </c>
      <c r="BG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">
        <v>-3</v>
      </c>
      <c r="BI21" t="s">
        <v>734</v>
      </c>
      <c r="BJ21" s="11"/>
      <c r="BK21" s="11"/>
      <c r="BL21" s="11">
        <v>58</v>
      </c>
      <c r="BM21">
        <v>0</v>
      </c>
      <c r="BN21" t="s">
        <v>692</v>
      </c>
      <c r="BO21" t="s">
        <v>694</v>
      </c>
      <c r="BP21" t="s">
        <v>701</v>
      </c>
      <c r="BQ21" t="s">
        <v>705</v>
      </c>
      <c r="BR21" t="s">
        <v>706</v>
      </c>
      <c r="BS21" t="s">
        <v>707</v>
      </c>
      <c r="CR21"/>
      <c r="CS21"/>
      <c r="CT21"/>
    </row>
    <row r="22" spans="1:98" x14ac:dyDescent="0.4">
      <c r="A22" s="2" t="s">
        <v>45</v>
      </c>
      <c r="B22" t="str">
        <f>_xlfn.TEXTAFTER(Table1[[#This Row],[VEHIDCODE]],"_")</f>
        <v>Netherlands_NS_DH1</v>
      </c>
      <c r="C22" t="s">
        <v>737</v>
      </c>
      <c r="D22" t="b">
        <f>OR(ISNUMBER(SEARCH("wagon_",Table1[[#This Row],[FILENAMES_EXPECTED]])),ISNUMBER(SEARCH("coach_",Table1[[#This Row],[FILENAMES_EXPECTED]])))</f>
        <v>0</v>
      </c>
      <c r="E22" t="str">
        <f>"item_"&amp;Table1[[#This Row],[VEHIDCODE]]</f>
        <v>item_rbd_Netherlands_NS_DH1</v>
      </c>
      <c r="F22" t="str">
        <f>"str_"&amp;Table1[[#This Row],[VEHIDCODE]]</f>
        <v>str_rbd_Netherlands_NS_DH1</v>
      </c>
      <c r="O22" s="2" t="b">
        <v>1</v>
      </c>
      <c r="AJ22" s="2"/>
      <c r="AK22" s="2" t="b">
        <f>LEN(_xlfn.CONCAT(Table1[[#This Row],[TRACK_TYPE_STANDARD_GAUGE_RAILTYPE_OHLE]:[TRACK_TYPE_MTRO]]))&gt;0</f>
        <v>1</v>
      </c>
      <c r="AL22">
        <v>8</v>
      </c>
      <c r="AM22" t="s">
        <v>18</v>
      </c>
      <c r="AN22">
        <v>0</v>
      </c>
      <c r="AO22" t="s">
        <v>35</v>
      </c>
      <c r="AP22">
        <v>56</v>
      </c>
      <c r="AQ22">
        <v>1984</v>
      </c>
      <c r="AR22">
        <v>8</v>
      </c>
      <c r="AS22" s="2" t="s">
        <v>24</v>
      </c>
      <c r="AT22" t="b">
        <v>1</v>
      </c>
      <c r="AV22" s="2"/>
      <c r="AW22">
        <v>45</v>
      </c>
      <c r="AX22">
        <v>1</v>
      </c>
      <c r="AY22">
        <v>285</v>
      </c>
      <c r="AZ22" t="s">
        <v>711</v>
      </c>
      <c r="BA22">
        <v>100</v>
      </c>
      <c r="BB22" s="2">
        <v>0.23</v>
      </c>
      <c r="BC22" t="s">
        <v>923</v>
      </c>
      <c r="BD22" t="s">
        <v>922</v>
      </c>
      <c r="BE22" t="s">
        <v>940</v>
      </c>
      <c r="BF22" s="7">
        <v>15</v>
      </c>
      <c r="BG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">
        <v>-3</v>
      </c>
      <c r="BI22" t="s">
        <v>734</v>
      </c>
      <c r="BJ22" s="11"/>
      <c r="BK22" s="11"/>
      <c r="BL22" s="11">
        <v>37</v>
      </c>
      <c r="BM22">
        <v>0</v>
      </c>
      <c r="BN22" t="s">
        <v>692</v>
      </c>
      <c r="BO22" t="s">
        <v>694</v>
      </c>
      <c r="BP22" t="s">
        <v>701</v>
      </c>
      <c r="BQ22" t="s">
        <v>705</v>
      </c>
      <c r="BR22" t="s">
        <v>706</v>
      </c>
      <c r="BS22" t="s">
        <v>707</v>
      </c>
      <c r="CR22"/>
      <c r="CS22"/>
      <c r="CT22"/>
    </row>
    <row r="23" spans="1:98" x14ac:dyDescent="0.4">
      <c r="A23" s="2" t="s">
        <v>46</v>
      </c>
      <c r="B23" t="str">
        <f>_xlfn.TEXTAFTER(Table1[[#This Row],[VEHIDCODE]],"_")</f>
        <v>Austria_OBB_5047</v>
      </c>
      <c r="C23" t="s">
        <v>737</v>
      </c>
      <c r="D23" t="b">
        <f>OR(ISNUMBER(SEARCH("wagon_",Table1[[#This Row],[FILENAMES_EXPECTED]])),ISNUMBER(SEARCH("coach_",Table1[[#This Row],[FILENAMES_EXPECTED]])))</f>
        <v>0</v>
      </c>
      <c r="E23" t="str">
        <f>"item_"&amp;Table1[[#This Row],[VEHIDCODE]]</f>
        <v>item_rbd_Austria_OBB_5047</v>
      </c>
      <c r="F23" t="str">
        <f>"str_"&amp;Table1[[#This Row],[VEHIDCODE]]</f>
        <v>str_rbd_Austria_OBB_5047</v>
      </c>
      <c r="O23" s="2" t="b">
        <v>1</v>
      </c>
      <c r="AJ23" s="2"/>
      <c r="AK23" s="2" t="b">
        <f>LEN(_xlfn.CONCAT(Table1[[#This Row],[TRACK_TYPE_STANDARD_GAUGE_RAILTYPE_OHLE]:[TRACK_TYPE_MTRO]]))&gt;0</f>
        <v>1</v>
      </c>
      <c r="AL23">
        <v>8</v>
      </c>
      <c r="AM23" t="s">
        <v>18</v>
      </c>
      <c r="AN23">
        <v>0</v>
      </c>
      <c r="AO23" t="s">
        <v>35</v>
      </c>
      <c r="AP23">
        <v>62</v>
      </c>
      <c r="AQ23">
        <v>1987</v>
      </c>
      <c r="AR23">
        <v>8</v>
      </c>
      <c r="AS23" s="2" t="s">
        <v>24</v>
      </c>
      <c r="AT23" t="b">
        <v>1</v>
      </c>
      <c r="AV23" s="2"/>
      <c r="AW23">
        <v>45</v>
      </c>
      <c r="AX23">
        <v>1</v>
      </c>
      <c r="AY23">
        <v>562</v>
      </c>
      <c r="AZ23" t="s">
        <v>711</v>
      </c>
      <c r="BA23">
        <v>120</v>
      </c>
      <c r="BB23" s="2">
        <v>0.11</v>
      </c>
      <c r="BC23" t="s">
        <v>923</v>
      </c>
      <c r="BD23" t="s">
        <v>922</v>
      </c>
      <c r="BE23" t="s">
        <v>940</v>
      </c>
      <c r="BF23" s="7">
        <v>15</v>
      </c>
      <c r="BG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">
        <v>-3</v>
      </c>
      <c r="BI23" t="s">
        <v>734</v>
      </c>
      <c r="BJ23" s="11"/>
      <c r="BK23" s="11"/>
      <c r="BL23" s="11">
        <v>44</v>
      </c>
      <c r="BM23">
        <v>0</v>
      </c>
      <c r="BN23" t="s">
        <v>692</v>
      </c>
      <c r="BO23" t="s">
        <v>694</v>
      </c>
      <c r="BP23" t="s">
        <v>701</v>
      </c>
      <c r="BQ23" t="s">
        <v>705</v>
      </c>
      <c r="BR23" t="s">
        <v>706</v>
      </c>
      <c r="BS23" t="s">
        <v>707</v>
      </c>
      <c r="CR23"/>
      <c r="CS23"/>
      <c r="CT23"/>
    </row>
    <row r="24" spans="1:98" x14ac:dyDescent="0.4">
      <c r="A24" s="2" t="s">
        <v>47</v>
      </c>
      <c r="B24" t="str">
        <f>_xlfn.TEXTAFTER(Table1[[#This Row],[VEHIDCODE]],"_")</f>
        <v>United_Kingdom_BR_153_Super_Sprinter</v>
      </c>
      <c r="C24" t="s">
        <v>737</v>
      </c>
      <c r="D24" t="b">
        <f>OR(ISNUMBER(SEARCH("wagon_",Table1[[#This Row],[FILENAMES_EXPECTED]])),ISNUMBER(SEARCH("coach_",Table1[[#This Row],[FILENAMES_EXPECTED]])))</f>
        <v>0</v>
      </c>
      <c r="E24" t="str">
        <f>"item_"&amp;Table1[[#This Row],[VEHIDCODE]]</f>
        <v>item_rbd_United_Kingdom_BR_153_Super_Sprinter</v>
      </c>
      <c r="F24" t="str">
        <f>"str_"&amp;Table1[[#This Row],[VEHIDCODE]]</f>
        <v>str_rbd_United_Kingdom_BR_153_Super_Sprinter</v>
      </c>
      <c r="O24" s="2" t="b">
        <v>1</v>
      </c>
      <c r="AJ24" s="2"/>
      <c r="AK24" s="2" t="b">
        <f>LEN(_xlfn.CONCAT(Table1[[#This Row],[TRACK_TYPE_STANDARD_GAUGE_RAILTYPE_OHLE]:[TRACK_TYPE_MTRO]]))&gt;0</f>
        <v>1</v>
      </c>
      <c r="AL24">
        <v>8</v>
      </c>
      <c r="AM24" t="s">
        <v>18</v>
      </c>
      <c r="AN24">
        <v>0</v>
      </c>
      <c r="AO24" t="s">
        <v>35</v>
      </c>
      <c r="AP24">
        <v>75</v>
      </c>
      <c r="AQ24">
        <v>1991</v>
      </c>
      <c r="AR24">
        <v>8</v>
      </c>
      <c r="AS24" s="2" t="s">
        <v>24</v>
      </c>
      <c r="AT24" t="b">
        <v>1</v>
      </c>
      <c r="AV24" s="2"/>
      <c r="AW24">
        <v>45</v>
      </c>
      <c r="AX24">
        <v>1</v>
      </c>
      <c r="AY24">
        <v>285</v>
      </c>
      <c r="AZ24" t="s">
        <v>711</v>
      </c>
      <c r="BA24">
        <v>144</v>
      </c>
      <c r="BB24" s="2">
        <v>0.1</v>
      </c>
      <c r="BC24" t="s">
        <v>927</v>
      </c>
      <c r="BD24" t="s">
        <v>922</v>
      </c>
      <c r="BE24" t="s">
        <v>940</v>
      </c>
      <c r="BF24" s="7">
        <v>15</v>
      </c>
      <c r="BG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">
        <v>-3</v>
      </c>
      <c r="BI24" t="s">
        <v>734</v>
      </c>
      <c r="BJ24" s="11"/>
      <c r="BK24" s="11"/>
      <c r="BL24" s="11">
        <v>42</v>
      </c>
      <c r="BM24">
        <v>0</v>
      </c>
      <c r="BN24" t="s">
        <v>692</v>
      </c>
      <c r="BO24" t="s">
        <v>694</v>
      </c>
      <c r="BP24" t="s">
        <v>701</v>
      </c>
      <c r="BQ24" t="s">
        <v>705</v>
      </c>
      <c r="BR24" t="s">
        <v>706</v>
      </c>
      <c r="BS24" t="s">
        <v>707</v>
      </c>
      <c r="CR24"/>
      <c r="CS24"/>
      <c r="CT24"/>
    </row>
    <row r="25" spans="1:98" x14ac:dyDescent="0.4">
      <c r="A25" s="2" t="s">
        <v>48</v>
      </c>
      <c r="B25" t="str">
        <f>_xlfn.TEXTAFTER(Table1[[#This Row],[VEHIDCODE]],"_")</f>
        <v>Czech_Republic_CD_809</v>
      </c>
      <c r="C25" t="s">
        <v>737</v>
      </c>
      <c r="D25" t="b">
        <f>OR(ISNUMBER(SEARCH("wagon_",Table1[[#This Row],[FILENAMES_EXPECTED]])),ISNUMBER(SEARCH("coach_",Table1[[#This Row],[FILENAMES_EXPECTED]])))</f>
        <v>0</v>
      </c>
      <c r="E25" t="str">
        <f>"item_"&amp;Table1[[#This Row],[VEHIDCODE]]</f>
        <v>item_rbd_Czech_Republic_CD_809</v>
      </c>
      <c r="F25" t="str">
        <f>"str_"&amp;Table1[[#This Row],[VEHIDCODE]]</f>
        <v>str_rbd_Czech_Republic_CD_809</v>
      </c>
      <c r="O25" s="2" t="b">
        <v>1</v>
      </c>
      <c r="AJ25" s="2"/>
      <c r="AK25" s="2" t="b">
        <f>LEN(_xlfn.CONCAT(Table1[[#This Row],[TRACK_TYPE_STANDARD_GAUGE_RAILTYPE_OHLE]:[TRACK_TYPE_MTRO]]))&gt;0</f>
        <v>1</v>
      </c>
      <c r="AL25">
        <v>7</v>
      </c>
      <c r="AM25" t="s">
        <v>18</v>
      </c>
      <c r="AN25">
        <v>0</v>
      </c>
      <c r="AO25" t="s">
        <v>35</v>
      </c>
      <c r="AP25">
        <v>55</v>
      </c>
      <c r="AQ25">
        <v>1996</v>
      </c>
      <c r="AR25">
        <v>7</v>
      </c>
      <c r="AS25" s="2" t="s">
        <v>24</v>
      </c>
      <c r="AT25" t="b">
        <v>1</v>
      </c>
      <c r="AV25" s="2"/>
      <c r="AW25" t="s">
        <v>21</v>
      </c>
      <c r="AX25">
        <v>1</v>
      </c>
      <c r="AY25">
        <v>210</v>
      </c>
      <c r="AZ25" t="s">
        <v>711</v>
      </c>
      <c r="BA25">
        <v>80</v>
      </c>
      <c r="BB25" s="2">
        <v>0.15</v>
      </c>
      <c r="BC25" t="s">
        <v>929</v>
      </c>
      <c r="BD25" t="s">
        <v>922</v>
      </c>
      <c r="BE25" t="s">
        <v>940</v>
      </c>
      <c r="BF25" s="7">
        <v>15</v>
      </c>
      <c r="BG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">
        <v>-3</v>
      </c>
      <c r="BI25" t="s">
        <v>734</v>
      </c>
      <c r="BJ25" s="11"/>
      <c r="BK25" s="11"/>
      <c r="BL25" s="11">
        <v>20</v>
      </c>
      <c r="BM25">
        <v>0</v>
      </c>
      <c r="BN25" t="s">
        <v>692</v>
      </c>
      <c r="BO25" t="s">
        <v>694</v>
      </c>
      <c r="BP25" t="s">
        <v>701</v>
      </c>
      <c r="BQ25" t="s">
        <v>705</v>
      </c>
      <c r="BR25" t="s">
        <v>706</v>
      </c>
      <c r="BS25" t="s">
        <v>707</v>
      </c>
      <c r="CR25"/>
      <c r="CS25"/>
      <c r="CT25"/>
    </row>
    <row r="26" spans="1:98" x14ac:dyDescent="0.4">
      <c r="A26" s="2" t="s">
        <v>49</v>
      </c>
      <c r="B26" t="str">
        <f>_xlfn.TEXTAFTER(Table1[[#This Row],[VEHIDCODE]],"_")</f>
        <v>Germany_DB_670</v>
      </c>
      <c r="C26" t="s">
        <v>737</v>
      </c>
      <c r="D26" t="b">
        <f>OR(ISNUMBER(SEARCH("wagon_",Table1[[#This Row],[FILENAMES_EXPECTED]])),ISNUMBER(SEARCH("coach_",Table1[[#This Row],[FILENAMES_EXPECTED]])))</f>
        <v>0</v>
      </c>
      <c r="E26" t="str">
        <f>"item_"&amp;Table1[[#This Row],[VEHIDCODE]]</f>
        <v>item_rbd_Germany_DB_670</v>
      </c>
      <c r="F26" t="str">
        <f>"str_"&amp;Table1[[#This Row],[VEHIDCODE]]</f>
        <v>str_rbd_Germany_DB_670</v>
      </c>
      <c r="O26" s="2" t="b">
        <v>1</v>
      </c>
      <c r="AJ26" s="2"/>
      <c r="AK26" s="2" t="b">
        <f>LEN(_xlfn.CONCAT(Table1[[#This Row],[TRACK_TYPE_STANDARD_GAUGE_RAILTYPE_OHLE]:[TRACK_TYPE_MTRO]]))&gt;0</f>
        <v>1</v>
      </c>
      <c r="AL26">
        <v>7</v>
      </c>
      <c r="AM26" t="s">
        <v>18</v>
      </c>
      <c r="AN26">
        <v>0</v>
      </c>
      <c r="AO26" t="s">
        <v>35</v>
      </c>
      <c r="AP26">
        <v>110</v>
      </c>
      <c r="AQ26">
        <v>1996</v>
      </c>
      <c r="AR26">
        <v>7</v>
      </c>
      <c r="AS26" s="2" t="s">
        <v>24</v>
      </c>
      <c r="AT26" t="b">
        <v>1</v>
      </c>
      <c r="AV26" s="2"/>
      <c r="AW26" t="s">
        <v>21</v>
      </c>
      <c r="AX26">
        <v>1</v>
      </c>
      <c r="AY26">
        <v>335</v>
      </c>
      <c r="AZ26" t="s">
        <v>711</v>
      </c>
      <c r="BA26">
        <v>100</v>
      </c>
      <c r="BB26" s="2">
        <v>0.21</v>
      </c>
      <c r="BC26" t="s">
        <v>923</v>
      </c>
      <c r="BD26" t="s">
        <v>922</v>
      </c>
      <c r="BE26" t="s">
        <v>940</v>
      </c>
      <c r="BF26" s="7">
        <v>15</v>
      </c>
      <c r="BG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">
        <v>-3</v>
      </c>
      <c r="BI26" t="s">
        <v>734</v>
      </c>
      <c r="BJ26" s="11"/>
      <c r="BK26" s="11"/>
      <c r="BL26" s="11">
        <v>34</v>
      </c>
      <c r="BM26">
        <v>0</v>
      </c>
      <c r="BN26" t="s">
        <v>692</v>
      </c>
      <c r="BO26" t="s">
        <v>694</v>
      </c>
      <c r="BP26" t="s">
        <v>701</v>
      </c>
      <c r="BQ26" t="s">
        <v>705</v>
      </c>
      <c r="BR26" t="s">
        <v>706</v>
      </c>
      <c r="BS26" t="s">
        <v>707</v>
      </c>
      <c r="CR26"/>
      <c r="CS26"/>
      <c r="CT26"/>
    </row>
    <row r="27" spans="1:98" x14ac:dyDescent="0.4">
      <c r="A27" s="2" t="s">
        <v>50</v>
      </c>
      <c r="B27" t="str">
        <f>_xlfn.TEXTAFTER(Table1[[#This Row],[VEHIDCODE]],"_")</f>
        <v>Lithuania_Lithuanian_Railways_AR2</v>
      </c>
      <c r="C27" t="s">
        <v>737</v>
      </c>
      <c r="D27" t="b">
        <f>OR(ISNUMBER(SEARCH("wagon_",Table1[[#This Row],[FILENAMES_EXPECTED]])),ISNUMBER(SEARCH("coach_",Table1[[#This Row],[FILENAMES_EXPECTED]])))</f>
        <v>0</v>
      </c>
      <c r="E27" t="str">
        <f>"item_"&amp;Table1[[#This Row],[VEHIDCODE]]</f>
        <v>item_rbd_Lithuania_Lithuanian_Railways_AR2</v>
      </c>
      <c r="F27" t="str">
        <f>"str_"&amp;Table1[[#This Row],[VEHIDCODE]]</f>
        <v>str_rbd_Lithuania_Lithuanian_Railways_AR2</v>
      </c>
      <c r="O27" s="2" t="b">
        <v>1</v>
      </c>
      <c r="AJ27" s="2"/>
      <c r="AK27" s="2" t="b">
        <f>LEN(_xlfn.CONCAT(Table1[[#This Row],[TRACK_TYPE_STANDARD_GAUGE_RAILTYPE_OHLE]:[TRACK_TYPE_MTRO]]))&gt;0</f>
        <v>1</v>
      </c>
      <c r="AL27">
        <v>8</v>
      </c>
      <c r="AM27" t="s">
        <v>18</v>
      </c>
      <c r="AN27">
        <v>0</v>
      </c>
      <c r="AO27" t="s">
        <v>35</v>
      </c>
      <c r="AP27">
        <v>73</v>
      </c>
      <c r="AQ27">
        <v>1997</v>
      </c>
      <c r="AR27">
        <v>8</v>
      </c>
      <c r="AS27" s="2" t="s">
        <v>24</v>
      </c>
      <c r="AT27" t="b">
        <v>1</v>
      </c>
      <c r="AV27" s="2"/>
      <c r="AW27" t="s">
        <v>21</v>
      </c>
      <c r="AX27">
        <v>1</v>
      </c>
      <c r="AY27">
        <v>400</v>
      </c>
      <c r="AZ27" t="s">
        <v>711</v>
      </c>
      <c r="BA27">
        <v>120</v>
      </c>
      <c r="BB27" s="2">
        <v>0.12</v>
      </c>
      <c r="BC27" t="s">
        <v>927</v>
      </c>
      <c r="BD27" t="s">
        <v>922</v>
      </c>
      <c r="BE27" t="s">
        <v>940</v>
      </c>
      <c r="BF27" s="7">
        <v>15</v>
      </c>
      <c r="BG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">
        <v>-3</v>
      </c>
      <c r="BI27" t="s">
        <v>734</v>
      </c>
      <c r="BJ27" s="11"/>
      <c r="BK27" s="11"/>
      <c r="BL27" s="11">
        <v>32</v>
      </c>
      <c r="BM27">
        <v>0</v>
      </c>
      <c r="BN27" t="s">
        <v>692</v>
      </c>
      <c r="BO27" t="s">
        <v>694</v>
      </c>
      <c r="BP27" t="s">
        <v>701</v>
      </c>
      <c r="BQ27" t="s">
        <v>705</v>
      </c>
      <c r="BR27" t="s">
        <v>706</v>
      </c>
      <c r="BS27" t="s">
        <v>707</v>
      </c>
      <c r="CR27"/>
      <c r="CS27"/>
      <c r="CT27"/>
    </row>
    <row r="28" spans="1:98" x14ac:dyDescent="0.4">
      <c r="A28" s="2" t="s">
        <v>51</v>
      </c>
      <c r="B28" t="str">
        <f>_xlfn.TEXTAFTER(Table1[[#This Row],[VEHIDCODE]],"_")</f>
        <v>Austria_kkStB_19</v>
      </c>
      <c r="C28" t="s">
        <v>737</v>
      </c>
      <c r="D28" t="b">
        <f>OR(ISNUMBER(SEARCH("wagon_",Table1[[#This Row],[FILENAMES_EXPECTED]])),ISNUMBER(SEARCH("coach_",Table1[[#This Row],[FILENAMES_EXPECTED]])))</f>
        <v>0</v>
      </c>
      <c r="E28" t="str">
        <f>"item_"&amp;Table1[[#This Row],[VEHIDCODE]]</f>
        <v>item_rbd_Austria_kkStB_19</v>
      </c>
      <c r="F28" t="str">
        <f>"str_"&amp;Table1[[#This Row],[VEHIDCODE]]</f>
        <v>str_rbd_Austria_kkStB_19</v>
      </c>
      <c r="O28" s="2" t="b">
        <v>1</v>
      </c>
      <c r="AJ28" s="2"/>
      <c r="AK28" s="2" t="b">
        <f>LEN(_xlfn.CONCAT(Table1[[#This Row],[TRACK_TYPE_STANDARD_GAUGE_RAILTYPE_OHLE]:[TRACK_TYPE_MTRO]]))&gt;0</f>
        <v>1</v>
      </c>
      <c r="AL28">
        <v>4</v>
      </c>
      <c r="AM28" t="s">
        <v>18</v>
      </c>
      <c r="AN28">
        <v>0</v>
      </c>
      <c r="AO28" t="s">
        <v>35</v>
      </c>
      <c r="AP28">
        <v>16</v>
      </c>
      <c r="AQ28">
        <v>1902</v>
      </c>
      <c r="AR28">
        <v>4</v>
      </c>
      <c r="AS28" s="2" t="s">
        <v>24</v>
      </c>
      <c r="AT28" t="b">
        <v>1</v>
      </c>
      <c r="AV28" s="2"/>
      <c r="AW28">
        <v>45</v>
      </c>
      <c r="AX28">
        <v>1</v>
      </c>
      <c r="AY28">
        <v>55</v>
      </c>
      <c r="AZ28" t="s">
        <v>711</v>
      </c>
      <c r="BA28">
        <v>35</v>
      </c>
      <c r="BB28" s="2">
        <v>0.34</v>
      </c>
      <c r="BC28" t="s">
        <v>923</v>
      </c>
      <c r="BD28" t="s">
        <v>922</v>
      </c>
      <c r="BE28" t="s">
        <v>940</v>
      </c>
      <c r="BF28" s="7">
        <v>15</v>
      </c>
      <c r="BG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">
        <v>0</v>
      </c>
      <c r="BI28" t="s">
        <v>734</v>
      </c>
      <c r="BJ28" s="11"/>
      <c r="BK28" s="11"/>
      <c r="BL28" s="11">
        <v>13</v>
      </c>
      <c r="BM28">
        <v>0</v>
      </c>
      <c r="BN28" t="s">
        <v>692</v>
      </c>
      <c r="BO28" t="s">
        <v>694</v>
      </c>
      <c r="BP28" t="s">
        <v>701</v>
      </c>
      <c r="BQ28" t="s">
        <v>705</v>
      </c>
      <c r="BR28" t="s">
        <v>706</v>
      </c>
      <c r="BS28" t="s">
        <v>707</v>
      </c>
      <c r="CR28"/>
      <c r="CS28"/>
      <c r="CT28"/>
    </row>
    <row r="29" spans="1:98" x14ac:dyDescent="0.4">
      <c r="A29" s="2" t="s">
        <v>52</v>
      </c>
      <c r="B29" t="str">
        <f>_xlfn.TEXTAFTER(Table1[[#This Row],[VEHIDCODE]],"_")</f>
        <v>USA_Virginia_Truckee_Motor_Car_22</v>
      </c>
      <c r="C29" t="s">
        <v>737</v>
      </c>
      <c r="D29" t="b">
        <f>OR(ISNUMBER(SEARCH("wagon_",Table1[[#This Row],[FILENAMES_EXPECTED]])),ISNUMBER(SEARCH("coach_",Table1[[#This Row],[FILENAMES_EXPECTED]])))</f>
        <v>0</v>
      </c>
      <c r="E29" t="str">
        <f>"item_"&amp;Table1[[#This Row],[VEHIDCODE]]</f>
        <v>item_rbd_USA_Virginia_Truckee_Motor_Car_22</v>
      </c>
      <c r="F29" t="str">
        <f>"str_"&amp;Table1[[#This Row],[VEHIDCODE]]</f>
        <v>str_rbd_USA_Virginia_Truckee_Motor_Car_22</v>
      </c>
      <c r="O29" s="2" t="b">
        <v>1</v>
      </c>
      <c r="AJ29" s="2"/>
      <c r="AK29" s="2" t="b">
        <f>LEN(_xlfn.CONCAT(Table1[[#This Row],[TRACK_TYPE_STANDARD_GAUGE_RAILTYPE_OHLE]:[TRACK_TYPE_MTRO]]))&gt;0</f>
        <v>1</v>
      </c>
      <c r="AL29">
        <v>8</v>
      </c>
      <c r="AM29" t="s">
        <v>18</v>
      </c>
      <c r="AN29">
        <v>0</v>
      </c>
      <c r="AO29" t="s">
        <v>35</v>
      </c>
      <c r="AP29">
        <v>84</v>
      </c>
      <c r="AQ29">
        <v>1909</v>
      </c>
      <c r="AR29">
        <v>8</v>
      </c>
      <c r="AS29" s="2" t="s">
        <v>24</v>
      </c>
      <c r="AT29" t="b">
        <v>1</v>
      </c>
      <c r="AV29" s="2"/>
      <c r="AW29">
        <v>45</v>
      </c>
      <c r="AX29">
        <v>1</v>
      </c>
      <c r="AY29">
        <v>200</v>
      </c>
      <c r="AZ29" t="s">
        <v>711</v>
      </c>
      <c r="BA29">
        <v>52</v>
      </c>
      <c r="BB29" s="2">
        <v>0.34</v>
      </c>
      <c r="BC29" t="s">
        <v>928</v>
      </c>
      <c r="BD29" t="s">
        <v>922</v>
      </c>
      <c r="BE29" t="s">
        <v>940</v>
      </c>
      <c r="BF29" s="7">
        <v>15</v>
      </c>
      <c r="BG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">
        <v>0</v>
      </c>
      <c r="BI29" t="s">
        <v>734</v>
      </c>
      <c r="BJ29" s="11"/>
      <c r="BK29" s="11"/>
      <c r="BL29" s="11">
        <v>30</v>
      </c>
      <c r="BM29">
        <v>0</v>
      </c>
      <c r="BN29" t="s">
        <v>692</v>
      </c>
      <c r="BO29" t="s">
        <v>694</v>
      </c>
      <c r="BP29" t="s">
        <v>701</v>
      </c>
      <c r="BQ29" t="s">
        <v>705</v>
      </c>
      <c r="BR29" t="s">
        <v>706</v>
      </c>
      <c r="BS29" t="s">
        <v>707</v>
      </c>
      <c r="CR29"/>
      <c r="CS29"/>
      <c r="CT29"/>
    </row>
    <row r="30" spans="1:98" x14ac:dyDescent="0.4">
      <c r="A30" s="2" t="s">
        <v>53</v>
      </c>
      <c r="B30" t="str">
        <f>_xlfn.TEXTAFTER(Table1[[#This Row],[VEHIDCODE]],"_")</f>
        <v>Germany_Saxon_DET_1_2</v>
      </c>
      <c r="C30" t="s">
        <v>737</v>
      </c>
      <c r="D30" t="b">
        <f>OR(ISNUMBER(SEARCH("wagon_",Table1[[#This Row],[FILENAMES_EXPECTED]])),ISNUMBER(SEARCH("coach_",Table1[[#This Row],[FILENAMES_EXPECTED]])))</f>
        <v>0</v>
      </c>
      <c r="E30" t="str">
        <f>"item_"&amp;Table1[[#This Row],[VEHIDCODE]]</f>
        <v>item_rbd_Germany_Saxon_DET_1_2</v>
      </c>
      <c r="F30" t="str">
        <f>"str_"&amp;Table1[[#This Row],[VEHIDCODE]]</f>
        <v>str_rbd_Germany_Saxon_DET_1_2</v>
      </c>
      <c r="O30" s="2" t="b">
        <v>1</v>
      </c>
      <c r="AJ30" s="2"/>
      <c r="AK30" s="2" t="b">
        <f>LEN(_xlfn.CONCAT(Table1[[#This Row],[TRACK_TYPE_STANDARD_GAUGE_RAILTYPE_OHLE]:[TRACK_TYPE_MTRO]]))&gt;0</f>
        <v>1</v>
      </c>
      <c r="AL30">
        <v>4</v>
      </c>
      <c r="AM30" t="s">
        <v>18</v>
      </c>
      <c r="AN30">
        <v>0</v>
      </c>
      <c r="AO30" t="s">
        <v>35</v>
      </c>
      <c r="AP30">
        <v>69</v>
      </c>
      <c r="AQ30">
        <v>1914</v>
      </c>
      <c r="AR30">
        <v>8</v>
      </c>
      <c r="AS30" s="2" t="s">
        <v>24</v>
      </c>
      <c r="AT30" t="b">
        <v>1</v>
      </c>
      <c r="AV30" s="2"/>
      <c r="AW30">
        <v>45</v>
      </c>
      <c r="AX30">
        <v>1</v>
      </c>
      <c r="AY30">
        <v>200</v>
      </c>
      <c r="AZ30" t="s">
        <v>711</v>
      </c>
      <c r="BA30">
        <v>70</v>
      </c>
      <c r="BB30" s="2">
        <v>0.34</v>
      </c>
      <c r="BC30" t="s">
        <v>923</v>
      </c>
      <c r="BD30" t="s">
        <v>922</v>
      </c>
      <c r="BE30" t="s">
        <v>940</v>
      </c>
      <c r="BF30" s="7">
        <v>15</v>
      </c>
      <c r="BG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0">
        <v>0</v>
      </c>
      <c r="BI30" t="s">
        <v>734</v>
      </c>
      <c r="BJ30" s="11"/>
      <c r="BK30" s="11"/>
      <c r="BL30" s="11">
        <v>64</v>
      </c>
      <c r="BM30">
        <v>0</v>
      </c>
      <c r="BN30" t="s">
        <v>692</v>
      </c>
      <c r="BO30" t="s">
        <v>694</v>
      </c>
      <c r="BP30" t="s">
        <v>701</v>
      </c>
      <c r="BQ30" t="s">
        <v>705</v>
      </c>
      <c r="BR30" t="s">
        <v>706</v>
      </c>
      <c r="BS30" t="s">
        <v>707</v>
      </c>
      <c r="CR30"/>
      <c r="CS30"/>
      <c r="CT30"/>
    </row>
    <row r="31" spans="1:98" x14ac:dyDescent="0.4">
      <c r="A31" s="2" t="s">
        <v>54</v>
      </c>
      <c r="B31" t="str">
        <f>_xlfn.TEXTAFTER(Table1[[#This Row],[VEHIDCODE]],"_")</f>
        <v>UK_WC_PR_Drewry_Railcar</v>
      </c>
      <c r="C31" t="s">
        <v>737</v>
      </c>
      <c r="D31" t="b">
        <f>OR(ISNUMBER(SEARCH("wagon_",Table1[[#This Row],[FILENAMES_EXPECTED]])),ISNUMBER(SEARCH("coach_",Table1[[#This Row],[FILENAMES_EXPECTED]])))</f>
        <v>0</v>
      </c>
      <c r="E31" t="str">
        <f>"item_"&amp;Table1[[#This Row],[VEHIDCODE]]</f>
        <v>item_rbd_UK_WC_PR_Drewry_Railcar</v>
      </c>
      <c r="F31" t="str">
        <f>"str_"&amp;Table1[[#This Row],[VEHIDCODE]]</f>
        <v>str_rbd_UK_WC_PR_Drewry_Railcar</v>
      </c>
      <c r="O31" s="2" t="b">
        <v>1</v>
      </c>
      <c r="AJ31" s="2"/>
      <c r="AK31" s="2" t="b">
        <f>LEN(_xlfn.CONCAT(Table1[[#This Row],[TRACK_TYPE_STANDARD_GAUGE_RAILTYPE_OHLE]:[TRACK_TYPE_MTRO]]))&gt;0</f>
        <v>1</v>
      </c>
      <c r="AL31">
        <v>4</v>
      </c>
      <c r="AM31" t="s">
        <v>18</v>
      </c>
      <c r="AN31">
        <v>0</v>
      </c>
      <c r="AO31" t="s">
        <v>35</v>
      </c>
      <c r="AP31">
        <v>30</v>
      </c>
      <c r="AQ31">
        <v>1921</v>
      </c>
      <c r="AR31">
        <v>4</v>
      </c>
      <c r="AS31" s="2" t="s">
        <v>24</v>
      </c>
      <c r="AT31" t="b">
        <v>1</v>
      </c>
      <c r="AV31" s="2"/>
      <c r="AW31">
        <v>45</v>
      </c>
      <c r="AX31">
        <v>1</v>
      </c>
      <c r="AY31">
        <v>35</v>
      </c>
      <c r="AZ31" t="s">
        <v>711</v>
      </c>
      <c r="BA31">
        <v>40</v>
      </c>
      <c r="BB31" s="2">
        <v>0.21</v>
      </c>
      <c r="BC31" t="s">
        <v>927</v>
      </c>
      <c r="BD31" t="s">
        <v>922</v>
      </c>
      <c r="BE31" t="s">
        <v>940</v>
      </c>
      <c r="BF31" s="7">
        <v>15</v>
      </c>
      <c r="BG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1">
        <v>0</v>
      </c>
      <c r="BI31" t="s">
        <v>734</v>
      </c>
      <c r="BJ31" s="11"/>
      <c r="BK31" s="11"/>
      <c r="BL31" s="11">
        <v>10</v>
      </c>
      <c r="BM31">
        <v>0</v>
      </c>
      <c r="BN31" t="s">
        <v>692</v>
      </c>
      <c r="BO31" t="s">
        <v>694</v>
      </c>
      <c r="BP31" t="s">
        <v>701</v>
      </c>
      <c r="BQ31" t="s">
        <v>705</v>
      </c>
      <c r="BR31" t="s">
        <v>706</v>
      </c>
      <c r="BS31" t="s">
        <v>707</v>
      </c>
      <c r="CR31"/>
      <c r="CS31"/>
      <c r="CT31"/>
    </row>
    <row r="32" spans="1:98" x14ac:dyDescent="0.4">
      <c r="A32" s="2" t="s">
        <v>55</v>
      </c>
      <c r="B32" t="str">
        <f>_xlfn.TEXTAFTER(Table1[[#This Row],[VEHIDCODE]],"_")</f>
        <v>Germany_BSt_6001</v>
      </c>
      <c r="C32" t="s">
        <v>737</v>
      </c>
      <c r="D32" t="b">
        <f>OR(ISNUMBER(SEARCH("wagon_",Table1[[#This Row],[FILENAMES_EXPECTED]])),ISNUMBER(SEARCH("coach_",Table1[[#This Row],[FILENAMES_EXPECTED]])))</f>
        <v>0</v>
      </c>
      <c r="E32" t="str">
        <f>"item_"&amp;Table1[[#This Row],[VEHIDCODE]]</f>
        <v>item_rbd_Germany_BSt_6001</v>
      </c>
      <c r="F32" t="str">
        <f>"str_"&amp;Table1[[#This Row],[VEHIDCODE]]</f>
        <v>str_rbd_Germany_BSt_6001</v>
      </c>
      <c r="O32" s="2" t="b">
        <v>1</v>
      </c>
      <c r="AJ32" s="2"/>
      <c r="AK32" s="2" t="b">
        <f>LEN(_xlfn.CONCAT(Table1[[#This Row],[TRACK_TYPE_STANDARD_GAUGE_RAILTYPE_OHLE]:[TRACK_TYPE_MTRO]]))&gt;0</f>
        <v>1</v>
      </c>
      <c r="AL32">
        <v>5</v>
      </c>
      <c r="AM32" t="s">
        <v>18</v>
      </c>
      <c r="AN32">
        <v>0</v>
      </c>
      <c r="AO32" t="s">
        <v>35</v>
      </c>
      <c r="AP32">
        <v>18</v>
      </c>
      <c r="AQ32">
        <v>1922</v>
      </c>
      <c r="AR32">
        <v>5</v>
      </c>
      <c r="AS32" s="2" t="s">
        <v>24</v>
      </c>
      <c r="AT32" t="b">
        <v>1</v>
      </c>
      <c r="AV32" s="2"/>
      <c r="AW32">
        <v>45</v>
      </c>
      <c r="AX32">
        <v>1</v>
      </c>
      <c r="AY32">
        <v>75</v>
      </c>
      <c r="AZ32" t="s">
        <v>711</v>
      </c>
      <c r="BA32">
        <v>40</v>
      </c>
      <c r="BB32" s="2">
        <v>0.34</v>
      </c>
      <c r="BC32" t="s">
        <v>923</v>
      </c>
      <c r="BD32" t="s">
        <v>922</v>
      </c>
      <c r="BE32" t="s">
        <v>940</v>
      </c>
      <c r="BF32" s="7">
        <v>15</v>
      </c>
      <c r="BG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2">
        <v>0</v>
      </c>
      <c r="BI32" t="s">
        <v>734</v>
      </c>
      <c r="BJ32" s="11"/>
      <c r="BK32" s="11"/>
      <c r="BL32" s="11">
        <v>11</v>
      </c>
      <c r="BM32">
        <v>0</v>
      </c>
      <c r="BN32" t="s">
        <v>692</v>
      </c>
      <c r="BO32" t="s">
        <v>694</v>
      </c>
      <c r="BP32" t="s">
        <v>701</v>
      </c>
      <c r="BQ32" t="s">
        <v>705</v>
      </c>
      <c r="BR32" t="s">
        <v>706</v>
      </c>
      <c r="BS32" t="s">
        <v>707</v>
      </c>
      <c r="CR32"/>
      <c r="CS32"/>
      <c r="CT32"/>
    </row>
    <row r="33" spans="1:98" x14ac:dyDescent="0.4">
      <c r="A33" s="2" t="s">
        <v>56</v>
      </c>
      <c r="B33" t="str">
        <f>_xlfn.TEXTAFTER(Table1[[#This Row],[VEHIDCODE]],"_")</f>
        <v>Australia_Victorian_Railways_DERM</v>
      </c>
      <c r="C33" t="s">
        <v>737</v>
      </c>
      <c r="D33" t="b">
        <f>OR(ISNUMBER(SEARCH("wagon_",Table1[[#This Row],[FILENAMES_EXPECTED]])),ISNUMBER(SEARCH("coach_",Table1[[#This Row],[FILENAMES_EXPECTED]])))</f>
        <v>0</v>
      </c>
      <c r="E33" t="str">
        <f>"item_"&amp;Table1[[#This Row],[VEHIDCODE]]</f>
        <v>item_rbd_Australia_Victorian_Railways_DERM</v>
      </c>
      <c r="F33" t="str">
        <f>"str_"&amp;Table1[[#This Row],[VEHIDCODE]]</f>
        <v>str_rbd_Australia_Victorian_Railways_DERM</v>
      </c>
      <c r="O33" s="2" t="b">
        <v>1</v>
      </c>
      <c r="AJ33" s="2"/>
      <c r="AK33" s="2" t="b">
        <f>LEN(_xlfn.CONCAT(Table1[[#This Row],[TRACK_TYPE_STANDARD_GAUGE_RAILTYPE_OHLE]:[TRACK_TYPE_MTRO]]))&gt;0</f>
        <v>1</v>
      </c>
      <c r="AL33">
        <v>7</v>
      </c>
      <c r="AM33" t="s">
        <v>18</v>
      </c>
      <c r="AN33">
        <v>0</v>
      </c>
      <c r="AO33" t="s">
        <v>35</v>
      </c>
      <c r="AP33">
        <v>40</v>
      </c>
      <c r="AQ33">
        <v>1928</v>
      </c>
      <c r="AR33">
        <v>7</v>
      </c>
      <c r="AS33" s="2" t="s">
        <v>24</v>
      </c>
      <c r="AT33" t="b">
        <v>1</v>
      </c>
      <c r="AV33" s="2"/>
      <c r="AW33">
        <v>45</v>
      </c>
      <c r="AX33">
        <v>1</v>
      </c>
      <c r="AY33">
        <v>255</v>
      </c>
      <c r="AZ33" t="s">
        <v>711</v>
      </c>
      <c r="BA33">
        <v>60</v>
      </c>
      <c r="BB33" s="2">
        <v>0.34</v>
      </c>
      <c r="BC33" t="s">
        <v>925</v>
      </c>
      <c r="BD33" t="s">
        <v>922</v>
      </c>
      <c r="BE33" t="s">
        <v>940</v>
      </c>
      <c r="BF33" s="7">
        <v>15</v>
      </c>
      <c r="BG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3">
        <v>0</v>
      </c>
      <c r="BI33" t="s">
        <v>734</v>
      </c>
      <c r="BJ33" s="11"/>
      <c r="BK33" s="11"/>
      <c r="BL33" s="11">
        <v>34</v>
      </c>
      <c r="BM33">
        <v>0</v>
      </c>
      <c r="BN33" t="s">
        <v>692</v>
      </c>
      <c r="BO33" t="s">
        <v>694</v>
      </c>
      <c r="BP33" t="s">
        <v>701</v>
      </c>
      <c r="BQ33" t="s">
        <v>705</v>
      </c>
      <c r="BR33" t="s">
        <v>706</v>
      </c>
      <c r="BS33" t="s">
        <v>707</v>
      </c>
      <c r="CR33"/>
      <c r="CS33"/>
      <c r="CT33"/>
    </row>
    <row r="34" spans="1:98" x14ac:dyDescent="0.4">
      <c r="A34" s="2" t="s">
        <v>57</v>
      </c>
      <c r="B34" t="str">
        <f>_xlfn.TEXTAFTER(Table1[[#This Row],[VEHIDCODE]],"_")</f>
        <v>Czech_Republic_CD_M120</v>
      </c>
      <c r="C34" t="s">
        <v>737</v>
      </c>
      <c r="D34" t="b">
        <f>OR(ISNUMBER(SEARCH("wagon_",Table1[[#This Row],[FILENAMES_EXPECTED]])),ISNUMBER(SEARCH("coach_",Table1[[#This Row],[FILENAMES_EXPECTED]])))</f>
        <v>0</v>
      </c>
      <c r="E34" t="str">
        <f>"item_"&amp;Table1[[#This Row],[VEHIDCODE]]</f>
        <v>item_rbd_Czech_Republic_CD_M120</v>
      </c>
      <c r="F34" t="str">
        <f>"str_"&amp;Table1[[#This Row],[VEHIDCODE]]</f>
        <v>str_rbd_Czech_Republic_CD_M120</v>
      </c>
      <c r="O34" s="2" t="b">
        <v>1</v>
      </c>
      <c r="AJ34" s="2"/>
      <c r="AK34" s="2" t="b">
        <f>LEN(_xlfn.CONCAT(Table1[[#This Row],[TRACK_TYPE_STANDARD_GAUGE_RAILTYPE_OHLE]:[TRACK_TYPE_MTRO]]))&gt;0</f>
        <v>1</v>
      </c>
      <c r="AL34">
        <v>5</v>
      </c>
      <c r="AM34" t="s">
        <v>18</v>
      </c>
      <c r="AN34">
        <v>0</v>
      </c>
      <c r="AO34" t="s">
        <v>35</v>
      </c>
      <c r="AP34">
        <v>38</v>
      </c>
      <c r="AQ34">
        <v>1930</v>
      </c>
      <c r="AR34">
        <v>5</v>
      </c>
      <c r="AS34" s="2" t="s">
        <v>24</v>
      </c>
      <c r="AT34" t="b">
        <v>1</v>
      </c>
      <c r="AV34" s="2"/>
      <c r="AW34">
        <v>45</v>
      </c>
      <c r="AX34">
        <v>1</v>
      </c>
      <c r="AY34">
        <v>120</v>
      </c>
      <c r="AZ34" t="s">
        <v>711</v>
      </c>
      <c r="BA34">
        <v>60</v>
      </c>
      <c r="BB34" s="2">
        <v>0.35</v>
      </c>
      <c r="BC34" t="s">
        <v>929</v>
      </c>
      <c r="BD34" t="s">
        <v>922</v>
      </c>
      <c r="BE34" t="s">
        <v>940</v>
      </c>
      <c r="BF34" s="7">
        <v>15</v>
      </c>
      <c r="BG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4">
        <v>0</v>
      </c>
      <c r="BI34" t="s">
        <v>734</v>
      </c>
      <c r="BJ34" s="11"/>
      <c r="BK34" s="11"/>
      <c r="BL34" s="11">
        <v>13</v>
      </c>
      <c r="BM34">
        <v>0</v>
      </c>
      <c r="BN34" t="s">
        <v>692</v>
      </c>
      <c r="BO34" t="s">
        <v>694</v>
      </c>
      <c r="BP34" t="s">
        <v>701</v>
      </c>
      <c r="BQ34" t="s">
        <v>705</v>
      </c>
      <c r="BR34" t="s">
        <v>706</v>
      </c>
      <c r="BS34" t="s">
        <v>707</v>
      </c>
      <c r="CR34"/>
      <c r="CS34"/>
      <c r="CT34"/>
    </row>
    <row r="35" spans="1:98" x14ac:dyDescent="0.4">
      <c r="A35" s="2" t="s">
        <v>58</v>
      </c>
      <c r="B35" t="str">
        <f>_xlfn.TEXTAFTER(Table1[[#This Row],[VEHIDCODE]],"_")</f>
        <v>Germany_Schienenzeppelin</v>
      </c>
      <c r="C35" t="s">
        <v>737</v>
      </c>
      <c r="D35" t="b">
        <f>OR(ISNUMBER(SEARCH("wagon_",Table1[[#This Row],[FILENAMES_EXPECTED]])),ISNUMBER(SEARCH("coach_",Table1[[#This Row],[FILENAMES_EXPECTED]])))</f>
        <v>0</v>
      </c>
      <c r="E35" t="str">
        <f>"item_"&amp;Table1[[#This Row],[VEHIDCODE]]</f>
        <v>item_rbd_Germany_Schienenzeppelin</v>
      </c>
      <c r="F35" t="str">
        <f>"str_"&amp;Table1[[#This Row],[VEHIDCODE]]</f>
        <v>str_rbd_Germany_Schienenzeppelin</v>
      </c>
      <c r="O35" s="2" t="b">
        <v>1</v>
      </c>
      <c r="AJ35" s="2"/>
      <c r="AK35" s="2" t="b">
        <f>LEN(_xlfn.CONCAT(Table1[[#This Row],[TRACK_TYPE_STANDARD_GAUGE_RAILTYPE_OHLE]:[TRACK_TYPE_MTRO]]))&gt;0</f>
        <v>1</v>
      </c>
      <c r="AL35">
        <v>8</v>
      </c>
      <c r="AM35" t="s">
        <v>18</v>
      </c>
      <c r="AN35">
        <v>0</v>
      </c>
      <c r="AO35" t="s">
        <v>35</v>
      </c>
      <c r="AP35">
        <v>40</v>
      </c>
      <c r="AQ35">
        <v>1930</v>
      </c>
      <c r="AR35">
        <v>8</v>
      </c>
      <c r="AS35" s="2" t="s">
        <v>24</v>
      </c>
      <c r="AT35" t="b">
        <v>1</v>
      </c>
      <c r="AV35" s="2"/>
      <c r="AW35">
        <v>45</v>
      </c>
      <c r="AX35">
        <v>1</v>
      </c>
      <c r="AY35">
        <v>600</v>
      </c>
      <c r="AZ35" t="s">
        <v>711</v>
      </c>
      <c r="BA35">
        <v>230</v>
      </c>
      <c r="BB35" s="2">
        <v>0.39</v>
      </c>
      <c r="BC35" t="s">
        <v>923</v>
      </c>
      <c r="BD35" t="s">
        <v>922</v>
      </c>
      <c r="BE35" t="s">
        <v>940</v>
      </c>
      <c r="BF35" s="7">
        <v>15</v>
      </c>
      <c r="BG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5">
        <v>0</v>
      </c>
      <c r="BI35" t="s">
        <v>734</v>
      </c>
      <c r="BJ35" s="11"/>
      <c r="BK35" s="11"/>
      <c r="BL35" s="11">
        <v>20</v>
      </c>
      <c r="BM35">
        <v>0</v>
      </c>
      <c r="BN35" t="s">
        <v>692</v>
      </c>
      <c r="BO35" t="s">
        <v>694</v>
      </c>
      <c r="BP35" t="s">
        <v>701</v>
      </c>
      <c r="BQ35" t="s">
        <v>705</v>
      </c>
      <c r="BR35" t="s">
        <v>706</v>
      </c>
      <c r="BS35" t="s">
        <v>707</v>
      </c>
      <c r="CR35"/>
      <c r="CS35"/>
      <c r="CT35"/>
    </row>
    <row r="36" spans="1:98" x14ac:dyDescent="0.4">
      <c r="A36" s="2" t="s">
        <v>59</v>
      </c>
      <c r="B36" t="str">
        <f>_xlfn.TEXTAFTER(Table1[[#This Row],[VEHIDCODE]],"_")</f>
        <v>Denmark_DSB_MO</v>
      </c>
      <c r="C36" t="s">
        <v>737</v>
      </c>
      <c r="D36" t="b">
        <f>OR(ISNUMBER(SEARCH("wagon_",Table1[[#This Row],[FILENAMES_EXPECTED]])),ISNUMBER(SEARCH("coach_",Table1[[#This Row],[FILENAMES_EXPECTED]])))</f>
        <v>0</v>
      </c>
      <c r="E36" t="str">
        <f>"item_"&amp;Table1[[#This Row],[VEHIDCODE]]</f>
        <v>item_rbd_Denmark_DSB_MO</v>
      </c>
      <c r="F36" t="str">
        <f>"str_"&amp;Table1[[#This Row],[VEHIDCODE]]</f>
        <v>str_rbd_Denmark_DSB_MO</v>
      </c>
      <c r="O36" s="2" t="b">
        <v>1</v>
      </c>
      <c r="AJ36" s="2"/>
      <c r="AK36" s="2" t="b">
        <f>LEN(_xlfn.CONCAT(Table1[[#This Row],[TRACK_TYPE_STANDARD_GAUGE_RAILTYPE_OHLE]:[TRACK_TYPE_MTRO]]))&gt;0</f>
        <v>1</v>
      </c>
      <c r="AL36">
        <v>8</v>
      </c>
      <c r="AM36" t="s">
        <v>18</v>
      </c>
      <c r="AN36">
        <v>0</v>
      </c>
      <c r="AO36" t="s">
        <v>35</v>
      </c>
      <c r="AP36">
        <v>52</v>
      </c>
      <c r="AQ36">
        <v>1935</v>
      </c>
      <c r="AR36">
        <v>8</v>
      </c>
      <c r="AS36" s="2" t="s">
        <v>24</v>
      </c>
      <c r="AT36" t="b">
        <v>1</v>
      </c>
      <c r="AV36" s="2"/>
      <c r="AW36">
        <v>45</v>
      </c>
      <c r="AX36">
        <v>1</v>
      </c>
      <c r="AY36">
        <v>500</v>
      </c>
      <c r="AZ36" t="s">
        <v>711</v>
      </c>
      <c r="BA36">
        <v>120</v>
      </c>
      <c r="BB36" s="2">
        <v>0.31</v>
      </c>
      <c r="BC36" t="s">
        <v>927</v>
      </c>
      <c r="BD36" t="s">
        <v>922</v>
      </c>
      <c r="BE36" t="s">
        <v>940</v>
      </c>
      <c r="BF36" s="7">
        <v>15</v>
      </c>
      <c r="BG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6">
        <v>0</v>
      </c>
      <c r="BI36" t="s">
        <v>734</v>
      </c>
      <c r="BJ36" s="11"/>
      <c r="BK36" s="11"/>
      <c r="BL36" s="11">
        <v>58</v>
      </c>
      <c r="BM36">
        <v>0</v>
      </c>
      <c r="BN36" t="s">
        <v>692</v>
      </c>
      <c r="BO36" t="s">
        <v>694</v>
      </c>
      <c r="BP36" t="s">
        <v>701</v>
      </c>
      <c r="BQ36" t="s">
        <v>705</v>
      </c>
      <c r="BR36" t="s">
        <v>706</v>
      </c>
      <c r="BS36" t="s">
        <v>707</v>
      </c>
      <c r="CR36"/>
      <c r="CS36"/>
      <c r="CT36"/>
    </row>
    <row r="37" spans="1:98" x14ac:dyDescent="0.4">
      <c r="A37" s="2" t="s">
        <v>60</v>
      </c>
      <c r="B37" t="str">
        <f>_xlfn.TEXTAFTER(Table1[[#This Row],[VEHIDCODE]],"_")</f>
        <v>Norway_NSB_Cmb_17</v>
      </c>
      <c r="C37" t="s">
        <v>737</v>
      </c>
      <c r="D37" t="b">
        <f>OR(ISNUMBER(SEARCH("wagon_",Table1[[#This Row],[FILENAMES_EXPECTED]])),ISNUMBER(SEARCH("coach_",Table1[[#This Row],[FILENAMES_EXPECTED]])))</f>
        <v>0</v>
      </c>
      <c r="E37" t="str">
        <f>"item_"&amp;Table1[[#This Row],[VEHIDCODE]]</f>
        <v>item_rbd_Norway_NSB_Cmb_17</v>
      </c>
      <c r="F37" t="str">
        <f>"str_"&amp;Table1[[#This Row],[VEHIDCODE]]</f>
        <v>str_rbd_Norway_NSB_Cmb_17</v>
      </c>
      <c r="O37" s="2" t="b">
        <v>1</v>
      </c>
      <c r="AJ37" s="2"/>
      <c r="AK37" s="2" t="b">
        <f>LEN(_xlfn.CONCAT(Table1[[#This Row],[TRACK_TYPE_STANDARD_GAUGE_RAILTYPE_OHLE]:[TRACK_TYPE_MTRO]]))&gt;0</f>
        <v>1</v>
      </c>
      <c r="AL37">
        <v>6</v>
      </c>
      <c r="AM37" t="s">
        <v>18</v>
      </c>
      <c r="AN37">
        <v>0</v>
      </c>
      <c r="AO37" t="s">
        <v>35</v>
      </c>
      <c r="AP37">
        <v>45</v>
      </c>
      <c r="AQ37">
        <v>1935</v>
      </c>
      <c r="AR37">
        <v>6</v>
      </c>
      <c r="AS37" s="2" t="s">
        <v>24</v>
      </c>
      <c r="AT37" t="b">
        <v>1</v>
      </c>
      <c r="AV37" s="2"/>
      <c r="AW37">
        <v>45</v>
      </c>
      <c r="AX37">
        <v>1</v>
      </c>
      <c r="AY37">
        <v>120</v>
      </c>
      <c r="AZ37" t="s">
        <v>711</v>
      </c>
      <c r="BA37">
        <v>100</v>
      </c>
      <c r="BB37" s="2">
        <v>0.41</v>
      </c>
      <c r="BC37" t="s">
        <v>927</v>
      </c>
      <c r="BD37" t="s">
        <v>922</v>
      </c>
      <c r="BE37" t="s">
        <v>940</v>
      </c>
      <c r="BF37" s="7">
        <v>15</v>
      </c>
      <c r="BG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7">
        <v>0</v>
      </c>
      <c r="BI37" t="s">
        <v>734</v>
      </c>
      <c r="BJ37" s="11"/>
      <c r="BK37" s="11"/>
      <c r="BL37" s="11">
        <v>10</v>
      </c>
      <c r="BM37">
        <v>0</v>
      </c>
      <c r="BN37" t="s">
        <v>692</v>
      </c>
      <c r="BO37" t="s">
        <v>694</v>
      </c>
      <c r="BP37" t="s">
        <v>701</v>
      </c>
      <c r="BQ37" t="s">
        <v>705</v>
      </c>
      <c r="BR37" t="s">
        <v>706</v>
      </c>
      <c r="BS37" t="s">
        <v>707</v>
      </c>
      <c r="CR37"/>
      <c r="CS37"/>
      <c r="CT37"/>
    </row>
    <row r="38" spans="1:98" x14ac:dyDescent="0.4">
      <c r="A38" s="2" t="s">
        <v>61</v>
      </c>
      <c r="B38" t="str">
        <f>_xlfn.TEXTAFTER(Table1[[#This Row],[VEHIDCODE]],"_")</f>
        <v>Czech_Republic_CD_M290</v>
      </c>
      <c r="C38" t="s">
        <v>737</v>
      </c>
      <c r="D38" t="b">
        <f>OR(ISNUMBER(SEARCH("wagon_",Table1[[#This Row],[FILENAMES_EXPECTED]])),ISNUMBER(SEARCH("coach_",Table1[[#This Row],[FILENAMES_EXPECTED]])))</f>
        <v>0</v>
      </c>
      <c r="E38" t="str">
        <f>"item_"&amp;Table1[[#This Row],[VEHIDCODE]]</f>
        <v>item_rbd_Czech_Republic_CD_M290</v>
      </c>
      <c r="F38" t="str">
        <f>"str_"&amp;Table1[[#This Row],[VEHIDCODE]]</f>
        <v>str_rbd_Czech_Republic_CD_M290</v>
      </c>
      <c r="O38" s="2" t="b">
        <v>1</v>
      </c>
      <c r="AJ38" s="2"/>
      <c r="AK38" s="2" t="b">
        <f>LEN(_xlfn.CONCAT(Table1[[#This Row],[TRACK_TYPE_STANDARD_GAUGE_RAILTYPE_OHLE]:[TRACK_TYPE_MTRO]]))&gt;0</f>
        <v>1</v>
      </c>
      <c r="AL38">
        <v>7</v>
      </c>
      <c r="AM38" t="s">
        <v>18</v>
      </c>
      <c r="AN38">
        <v>0</v>
      </c>
      <c r="AO38" t="s">
        <v>35</v>
      </c>
      <c r="AP38">
        <v>72</v>
      </c>
      <c r="AQ38">
        <v>1936</v>
      </c>
      <c r="AR38">
        <v>7</v>
      </c>
      <c r="AS38" s="2" t="s">
        <v>24</v>
      </c>
      <c r="AT38" t="b">
        <v>1</v>
      </c>
      <c r="AV38" s="2"/>
      <c r="AW38">
        <v>45</v>
      </c>
      <c r="AX38">
        <v>1</v>
      </c>
      <c r="AY38">
        <v>330</v>
      </c>
      <c r="AZ38" t="s">
        <v>711</v>
      </c>
      <c r="BA38">
        <v>148</v>
      </c>
      <c r="BB38" s="2">
        <v>0.33</v>
      </c>
      <c r="BC38" t="s">
        <v>929</v>
      </c>
      <c r="BD38" t="s">
        <v>922</v>
      </c>
      <c r="BE38" t="s">
        <v>940</v>
      </c>
      <c r="BF38" s="7">
        <v>15</v>
      </c>
      <c r="BG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8">
        <v>0</v>
      </c>
      <c r="BI38" t="s">
        <v>734</v>
      </c>
      <c r="BJ38" s="11"/>
      <c r="BK38" s="11"/>
      <c r="BL38" s="11">
        <v>36</v>
      </c>
      <c r="BM38">
        <v>0</v>
      </c>
      <c r="BN38" t="s">
        <v>692</v>
      </c>
      <c r="BO38" t="s">
        <v>694</v>
      </c>
      <c r="BP38" t="s">
        <v>701</v>
      </c>
      <c r="BQ38" t="s">
        <v>705</v>
      </c>
      <c r="BR38" t="s">
        <v>706</v>
      </c>
      <c r="BS38" t="s">
        <v>707</v>
      </c>
      <c r="CR38"/>
      <c r="CS38"/>
      <c r="CT38"/>
    </row>
    <row r="39" spans="1:98" x14ac:dyDescent="0.4">
      <c r="A39" s="2" t="s">
        <v>62</v>
      </c>
      <c r="B39" t="str">
        <f>_xlfn.TEXTAFTER(Table1[[#This Row],[VEHIDCODE]],"_")</f>
        <v>Netherlands_NS_omBC</v>
      </c>
      <c r="C39" t="s">
        <v>737</v>
      </c>
      <c r="D39" t="b">
        <f>OR(ISNUMBER(SEARCH("wagon_",Table1[[#This Row],[FILENAMES_EXPECTED]])),ISNUMBER(SEARCH("coach_",Table1[[#This Row],[FILENAMES_EXPECTED]])))</f>
        <v>0</v>
      </c>
      <c r="E39" t="str">
        <f>"item_"&amp;Table1[[#This Row],[VEHIDCODE]]</f>
        <v>item_rbd_Netherlands_NS_omBC</v>
      </c>
      <c r="F39" t="str">
        <f>"str_"&amp;Table1[[#This Row],[VEHIDCODE]]</f>
        <v>str_rbd_Netherlands_NS_omBC</v>
      </c>
      <c r="O39" s="2" t="b">
        <v>1</v>
      </c>
      <c r="AJ39" s="2"/>
      <c r="AK39" s="2" t="b">
        <f>LEN(_xlfn.CONCAT(Table1[[#This Row],[TRACK_TYPE_STANDARD_GAUGE_RAILTYPE_OHLE]:[TRACK_TYPE_MTRO]]))&gt;0</f>
        <v>1</v>
      </c>
      <c r="AL39">
        <v>8</v>
      </c>
      <c r="AM39" t="s">
        <v>18</v>
      </c>
      <c r="AN39">
        <v>0</v>
      </c>
      <c r="AO39" t="s">
        <v>35</v>
      </c>
      <c r="AP39">
        <v>63</v>
      </c>
      <c r="AQ39">
        <v>1937</v>
      </c>
      <c r="AR39">
        <v>8</v>
      </c>
      <c r="AS39" s="2" t="s">
        <v>24</v>
      </c>
      <c r="AT39" t="b">
        <v>1</v>
      </c>
      <c r="AV39" s="2"/>
      <c r="AW39">
        <v>45</v>
      </c>
      <c r="AX39">
        <v>1</v>
      </c>
      <c r="AY39">
        <v>294</v>
      </c>
      <c r="AZ39" t="s">
        <v>711</v>
      </c>
      <c r="BA39">
        <v>105</v>
      </c>
      <c r="BB39" s="2">
        <v>0.34</v>
      </c>
      <c r="BC39" t="s">
        <v>923</v>
      </c>
      <c r="BD39" t="s">
        <v>922</v>
      </c>
      <c r="BE39" t="s">
        <v>940</v>
      </c>
      <c r="BF39" s="7">
        <v>15</v>
      </c>
      <c r="BG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9">
        <v>0</v>
      </c>
      <c r="BI39" t="s">
        <v>734</v>
      </c>
      <c r="BJ39" s="11"/>
      <c r="BK39" s="11"/>
      <c r="BL39" s="11">
        <v>53</v>
      </c>
      <c r="BM39">
        <v>0</v>
      </c>
      <c r="BN39" t="s">
        <v>692</v>
      </c>
      <c r="BO39" t="s">
        <v>694</v>
      </c>
      <c r="BP39" t="s">
        <v>701</v>
      </c>
      <c r="BQ39" t="s">
        <v>705</v>
      </c>
      <c r="BR39" t="s">
        <v>706</v>
      </c>
      <c r="BS39" t="s">
        <v>707</v>
      </c>
      <c r="CR39"/>
      <c r="CS39"/>
      <c r="CT39"/>
    </row>
    <row r="40" spans="1:98" x14ac:dyDescent="0.4">
      <c r="A40" s="2" t="s">
        <v>63</v>
      </c>
      <c r="B40" t="str">
        <f>_xlfn.TEXTAFTER(Table1[[#This Row],[VEHIDCODE]],"_")</f>
        <v>Australia_NSWGR_Class_400</v>
      </c>
      <c r="C40" t="s">
        <v>737</v>
      </c>
      <c r="D40" t="b">
        <f>OR(ISNUMBER(SEARCH("wagon_",Table1[[#This Row],[FILENAMES_EXPECTED]])),ISNUMBER(SEARCH("coach_",Table1[[#This Row],[FILENAMES_EXPECTED]])))</f>
        <v>0</v>
      </c>
      <c r="E40" t="str">
        <f>"item_"&amp;Table1[[#This Row],[VEHIDCODE]]</f>
        <v>item_rbd_Australia_NSWGR_Class_400</v>
      </c>
      <c r="F40" t="str">
        <f>"str_"&amp;Table1[[#This Row],[VEHIDCODE]]</f>
        <v>str_rbd_Australia_NSWGR_Class_400</v>
      </c>
      <c r="O40" s="2" t="b">
        <v>1</v>
      </c>
      <c r="AJ40" s="2"/>
      <c r="AK40" s="2" t="b">
        <f>LEN(_xlfn.CONCAT(Table1[[#This Row],[TRACK_TYPE_STANDARD_GAUGE_RAILTYPE_OHLE]:[TRACK_TYPE_MTRO]]))&gt;0</f>
        <v>1</v>
      </c>
      <c r="AL40">
        <v>7</v>
      </c>
      <c r="AM40" t="s">
        <v>18</v>
      </c>
      <c r="AN40">
        <v>0</v>
      </c>
      <c r="AO40" t="s">
        <v>35</v>
      </c>
      <c r="AP40">
        <v>56</v>
      </c>
      <c r="AQ40">
        <v>1938</v>
      </c>
      <c r="AR40">
        <v>7</v>
      </c>
      <c r="AS40" s="2" t="s">
        <v>24</v>
      </c>
      <c r="AT40" t="b">
        <v>1</v>
      </c>
      <c r="AV40" s="2"/>
      <c r="AW40">
        <v>45</v>
      </c>
      <c r="AX40">
        <v>1</v>
      </c>
      <c r="AY40">
        <v>300</v>
      </c>
      <c r="AZ40" t="s">
        <v>711</v>
      </c>
      <c r="BA40">
        <v>100</v>
      </c>
      <c r="BB40" s="2">
        <v>0.34</v>
      </c>
      <c r="BC40" t="s">
        <v>925</v>
      </c>
      <c r="BD40" t="s">
        <v>922</v>
      </c>
      <c r="BE40" t="s">
        <v>940</v>
      </c>
      <c r="BF40" s="7">
        <v>15</v>
      </c>
      <c r="BG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0">
        <v>0</v>
      </c>
      <c r="BI40" t="s">
        <v>734</v>
      </c>
      <c r="BJ40" s="11"/>
      <c r="BK40" s="11"/>
      <c r="BL40" s="11">
        <v>48</v>
      </c>
      <c r="BM40">
        <v>0</v>
      </c>
      <c r="BN40" t="s">
        <v>692</v>
      </c>
      <c r="BO40" t="s">
        <v>694</v>
      </c>
      <c r="BP40" t="s">
        <v>701</v>
      </c>
      <c r="BQ40" t="s">
        <v>705</v>
      </c>
      <c r="BR40" t="s">
        <v>706</v>
      </c>
      <c r="BS40" t="s">
        <v>707</v>
      </c>
      <c r="CR40"/>
      <c r="CS40"/>
      <c r="CT40"/>
    </row>
    <row r="41" spans="1:98" x14ac:dyDescent="0.4">
      <c r="A41" s="2" t="s">
        <v>64</v>
      </c>
      <c r="B41" t="str">
        <f>_xlfn.TEXTAFTER(Table1[[#This Row],[VEHIDCODE]],"_")</f>
        <v>Portugal_CP_USD_9050</v>
      </c>
      <c r="C41" t="s">
        <v>737</v>
      </c>
      <c r="D41" t="b">
        <f>OR(ISNUMBER(SEARCH("wagon_",Table1[[#This Row],[FILENAMES_EXPECTED]])),ISNUMBER(SEARCH("coach_",Table1[[#This Row],[FILENAMES_EXPECTED]])))</f>
        <v>0</v>
      </c>
      <c r="E41" t="str">
        <f>"item_"&amp;Table1[[#This Row],[VEHIDCODE]]</f>
        <v>item_rbd_Portugal_CP_USD_9050</v>
      </c>
      <c r="F41" t="str">
        <f>"str_"&amp;Table1[[#This Row],[VEHIDCODE]]</f>
        <v>str_rbd_Portugal_CP_USD_9050</v>
      </c>
      <c r="O41" s="2" t="b">
        <v>1</v>
      </c>
      <c r="AJ41" s="2"/>
      <c r="AK41" s="2" t="b">
        <f>LEN(_xlfn.CONCAT(Table1[[#This Row],[TRACK_TYPE_STANDARD_GAUGE_RAILTYPE_OHLE]:[TRACK_TYPE_MTRO]]))&gt;0</f>
        <v>1</v>
      </c>
      <c r="AL41">
        <v>5</v>
      </c>
      <c r="AM41" t="s">
        <v>18</v>
      </c>
      <c r="AN41">
        <v>0</v>
      </c>
      <c r="AO41" t="s">
        <v>35</v>
      </c>
      <c r="AP41">
        <v>25</v>
      </c>
      <c r="AQ41">
        <v>1941</v>
      </c>
      <c r="AR41">
        <v>5</v>
      </c>
      <c r="AS41" s="2" t="s">
        <v>24</v>
      </c>
      <c r="AT41" t="b">
        <v>1</v>
      </c>
      <c r="AV41" s="2"/>
      <c r="AW41">
        <v>45</v>
      </c>
      <c r="AX41">
        <v>1</v>
      </c>
      <c r="AY41">
        <v>90</v>
      </c>
      <c r="AZ41" t="s">
        <v>711</v>
      </c>
      <c r="BA41">
        <v>89</v>
      </c>
      <c r="BB41" s="2">
        <v>0.2</v>
      </c>
      <c r="BC41" t="s">
        <v>924</v>
      </c>
      <c r="BD41" t="s">
        <v>922</v>
      </c>
      <c r="BE41" t="s">
        <v>940</v>
      </c>
      <c r="BF41" s="7">
        <v>15</v>
      </c>
      <c r="BG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1">
        <v>0</v>
      </c>
      <c r="BI41" t="s">
        <v>734</v>
      </c>
      <c r="BJ41" s="11"/>
      <c r="BK41" s="11"/>
      <c r="BL41" s="11">
        <v>8</v>
      </c>
      <c r="BM41">
        <v>0</v>
      </c>
      <c r="BN41" t="s">
        <v>692</v>
      </c>
      <c r="BO41" t="s">
        <v>694</v>
      </c>
      <c r="BP41" t="s">
        <v>701</v>
      </c>
      <c r="BQ41" t="s">
        <v>705</v>
      </c>
      <c r="BR41" t="s">
        <v>706</v>
      </c>
      <c r="BS41" t="s">
        <v>707</v>
      </c>
      <c r="CR41"/>
      <c r="CS41"/>
      <c r="CT41"/>
    </row>
    <row r="42" spans="1:98" x14ac:dyDescent="0.4">
      <c r="A42" s="2" t="s">
        <v>65</v>
      </c>
      <c r="B42" t="str">
        <f>_xlfn.TEXTAFTER(Table1[[#This Row],[VEHIDCODE]],"_")</f>
        <v>Belgium_SNCB_Class_42</v>
      </c>
      <c r="C42" t="s">
        <v>737</v>
      </c>
      <c r="D42" t="b">
        <f>OR(ISNUMBER(SEARCH("wagon_",Table1[[#This Row],[FILENAMES_EXPECTED]])),ISNUMBER(SEARCH("coach_",Table1[[#This Row],[FILENAMES_EXPECTED]])))</f>
        <v>0</v>
      </c>
      <c r="E42" t="str">
        <f>"item_"&amp;Table1[[#This Row],[VEHIDCODE]]</f>
        <v>item_rbd_Belgium_SNCB_Class_42</v>
      </c>
      <c r="F42" t="str">
        <f>"str_"&amp;Table1[[#This Row],[VEHIDCODE]]</f>
        <v>str_rbd_Belgium_SNCB_Class_42</v>
      </c>
      <c r="O42" s="2" t="b">
        <v>1</v>
      </c>
      <c r="AJ42" s="2"/>
      <c r="AK42" s="2" t="b">
        <f>LEN(_xlfn.CONCAT(Table1[[#This Row],[TRACK_TYPE_STANDARD_GAUGE_RAILTYPE_OHLE]:[TRACK_TYPE_MTRO]]))&gt;0</f>
        <v>1</v>
      </c>
      <c r="AL42">
        <v>7</v>
      </c>
      <c r="AM42" t="s">
        <v>18</v>
      </c>
      <c r="AN42">
        <v>0</v>
      </c>
      <c r="AO42" t="s">
        <v>35</v>
      </c>
      <c r="AP42">
        <v>99</v>
      </c>
      <c r="AQ42">
        <v>1954</v>
      </c>
      <c r="AR42">
        <v>7</v>
      </c>
      <c r="AS42" s="2" t="s">
        <v>24</v>
      </c>
      <c r="AT42" t="b">
        <v>1</v>
      </c>
      <c r="AV42" s="2"/>
      <c r="AW42">
        <v>45</v>
      </c>
      <c r="AX42">
        <v>1</v>
      </c>
      <c r="AY42">
        <v>400</v>
      </c>
      <c r="AZ42" t="s">
        <v>711</v>
      </c>
      <c r="BA42">
        <v>90</v>
      </c>
      <c r="BB42" s="2">
        <v>0.34</v>
      </c>
      <c r="BC42" t="s">
        <v>923</v>
      </c>
      <c r="BD42" t="s">
        <v>922</v>
      </c>
      <c r="BE42" t="s">
        <v>940</v>
      </c>
      <c r="BF42" s="7">
        <v>15</v>
      </c>
      <c r="BG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2">
        <v>0</v>
      </c>
      <c r="BI42" t="s">
        <v>734</v>
      </c>
      <c r="BJ42" s="11"/>
      <c r="BK42" s="11"/>
      <c r="BL42" s="11">
        <v>54</v>
      </c>
      <c r="BM42">
        <v>0</v>
      </c>
      <c r="BN42" t="s">
        <v>692</v>
      </c>
      <c r="BO42" t="s">
        <v>694</v>
      </c>
      <c r="BP42" t="s">
        <v>701</v>
      </c>
      <c r="BQ42" t="s">
        <v>705</v>
      </c>
      <c r="BR42" t="s">
        <v>706</v>
      </c>
      <c r="BS42" t="s">
        <v>707</v>
      </c>
      <c r="CR42"/>
      <c r="CS42"/>
      <c r="CT42"/>
    </row>
    <row r="43" spans="1:98" x14ac:dyDescent="0.4">
      <c r="A43" s="2" t="s">
        <v>66</v>
      </c>
      <c r="B43" t="str">
        <f>_xlfn.TEXTAFTER(Table1[[#This Row],[VEHIDCODE]],"_")</f>
        <v>Bulgaria_BDZ_19</v>
      </c>
      <c r="C43" t="s">
        <v>737</v>
      </c>
      <c r="D43" t="b">
        <f>OR(ISNUMBER(SEARCH("wagon_",Table1[[#This Row],[FILENAMES_EXPECTED]])),ISNUMBER(SEARCH("coach_",Table1[[#This Row],[FILENAMES_EXPECTED]])))</f>
        <v>0</v>
      </c>
      <c r="E43" t="str">
        <f>"item_"&amp;Table1[[#This Row],[VEHIDCODE]]</f>
        <v>item_rbd_Bulgaria_BDZ_19</v>
      </c>
      <c r="F43" t="str">
        <f>"str_"&amp;Table1[[#This Row],[VEHIDCODE]]</f>
        <v>str_rbd_Bulgaria_BDZ_19</v>
      </c>
      <c r="O43" s="2" t="b">
        <v>1</v>
      </c>
      <c r="AJ43" s="2"/>
      <c r="AK43" s="2" t="b">
        <f>LEN(_xlfn.CONCAT(Table1[[#This Row],[TRACK_TYPE_STANDARD_GAUGE_RAILTYPE_OHLE]:[TRACK_TYPE_MTRO]]))&gt;0</f>
        <v>1</v>
      </c>
      <c r="AL43">
        <v>8</v>
      </c>
      <c r="AM43" t="s">
        <v>18</v>
      </c>
      <c r="AN43">
        <v>0</v>
      </c>
      <c r="AO43" t="s">
        <v>35</v>
      </c>
      <c r="AP43">
        <v>37</v>
      </c>
      <c r="AQ43">
        <v>1960</v>
      </c>
      <c r="AR43">
        <v>8</v>
      </c>
      <c r="AS43" s="2" t="s">
        <v>24</v>
      </c>
      <c r="AT43" t="b">
        <v>1</v>
      </c>
      <c r="AV43" s="2"/>
      <c r="AW43">
        <v>45</v>
      </c>
      <c r="AX43">
        <v>1</v>
      </c>
      <c r="AY43">
        <v>550</v>
      </c>
      <c r="AZ43" t="s">
        <v>711</v>
      </c>
      <c r="BA43">
        <v>125</v>
      </c>
      <c r="BB43" s="2">
        <v>0.2</v>
      </c>
      <c r="BC43" t="s">
        <v>929</v>
      </c>
      <c r="BD43" t="s">
        <v>922</v>
      </c>
      <c r="BE43" t="s">
        <v>940</v>
      </c>
      <c r="BF43" s="7">
        <v>15</v>
      </c>
      <c r="BG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3">
        <v>0</v>
      </c>
      <c r="BI43" t="s">
        <v>734</v>
      </c>
      <c r="BJ43" s="11"/>
      <c r="BK43" s="11"/>
      <c r="BL43" s="11">
        <v>52</v>
      </c>
      <c r="BM43">
        <v>0</v>
      </c>
      <c r="BN43" t="s">
        <v>692</v>
      </c>
      <c r="BO43" t="s">
        <v>694</v>
      </c>
      <c r="BP43" t="s">
        <v>701</v>
      </c>
      <c r="BQ43" t="s">
        <v>705</v>
      </c>
      <c r="BR43" t="s">
        <v>706</v>
      </c>
      <c r="BS43" t="s">
        <v>707</v>
      </c>
      <c r="CR43"/>
      <c r="CS43"/>
      <c r="CT43"/>
    </row>
    <row r="44" spans="1:98" x14ac:dyDescent="0.4">
      <c r="A44" s="2" t="s">
        <v>67</v>
      </c>
      <c r="B44" t="str">
        <f>_xlfn.TEXTAFTER(Table1[[#This Row],[VEHIDCODE]],"_")</f>
        <v>Greece_OSE_AA71</v>
      </c>
      <c r="C44" t="s">
        <v>737</v>
      </c>
      <c r="D44" t="b">
        <f>OR(ISNUMBER(SEARCH("wagon_",Table1[[#This Row],[FILENAMES_EXPECTED]])),ISNUMBER(SEARCH("coach_",Table1[[#This Row],[FILENAMES_EXPECTED]])))</f>
        <v>0</v>
      </c>
      <c r="E44" t="str">
        <f>"item_"&amp;Table1[[#This Row],[VEHIDCODE]]</f>
        <v>item_rbd_Greece_OSE_AA71</v>
      </c>
      <c r="F44" t="str">
        <f>"str_"&amp;Table1[[#This Row],[VEHIDCODE]]</f>
        <v>str_rbd_Greece_OSE_AA71</v>
      </c>
      <c r="O44" s="2" t="b">
        <v>1</v>
      </c>
      <c r="AJ44" s="2"/>
      <c r="AK44" s="2" t="b">
        <f>LEN(_xlfn.CONCAT(Table1[[#This Row],[TRACK_TYPE_STANDARD_GAUGE_RAILTYPE_OHLE]:[TRACK_TYPE_MTRO]]))&gt;0</f>
        <v>1</v>
      </c>
      <c r="AL44">
        <v>8</v>
      </c>
      <c r="AM44" t="s">
        <v>18</v>
      </c>
      <c r="AN44">
        <v>0</v>
      </c>
      <c r="AO44" t="s">
        <v>35</v>
      </c>
      <c r="AP44">
        <v>68</v>
      </c>
      <c r="AQ44">
        <v>1962</v>
      </c>
      <c r="AR44">
        <v>8</v>
      </c>
      <c r="AS44" s="2" t="s">
        <v>24</v>
      </c>
      <c r="AT44" t="b">
        <v>1</v>
      </c>
      <c r="AV44" s="2"/>
      <c r="AW44">
        <v>45</v>
      </c>
      <c r="AX44">
        <v>1</v>
      </c>
      <c r="AY44">
        <v>790</v>
      </c>
      <c r="AZ44" t="s">
        <v>711</v>
      </c>
      <c r="BA44">
        <v>105</v>
      </c>
      <c r="BB44" s="2">
        <v>0.19</v>
      </c>
      <c r="BC44" t="s">
        <v>924</v>
      </c>
      <c r="BD44" t="s">
        <v>922</v>
      </c>
      <c r="BE44" t="s">
        <v>940</v>
      </c>
      <c r="BF44" s="7">
        <v>15</v>
      </c>
      <c r="BG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4">
        <v>0</v>
      </c>
      <c r="BI44" t="s">
        <v>734</v>
      </c>
      <c r="BJ44" s="11"/>
      <c r="BK44" s="11"/>
      <c r="BL44" s="11">
        <v>48</v>
      </c>
      <c r="BM44">
        <v>0</v>
      </c>
      <c r="BN44" t="s">
        <v>692</v>
      </c>
      <c r="BO44" t="s">
        <v>694</v>
      </c>
      <c r="BP44" t="s">
        <v>701</v>
      </c>
      <c r="BQ44" t="s">
        <v>705</v>
      </c>
      <c r="BR44" t="s">
        <v>706</v>
      </c>
      <c r="BS44" t="s">
        <v>707</v>
      </c>
      <c r="CR44"/>
      <c r="CS44"/>
      <c r="CT44"/>
    </row>
    <row r="45" spans="1:98" x14ac:dyDescent="0.4">
      <c r="A45" s="2" t="s">
        <v>68</v>
      </c>
      <c r="B45" t="str">
        <f>_xlfn.TEXTAFTER(Table1[[#This Row],[VEHIDCODE]],"_")</f>
        <v>Tunisia_SNCFT_Z431</v>
      </c>
      <c r="C45" t="s">
        <v>737</v>
      </c>
      <c r="D45" t="b">
        <f>OR(ISNUMBER(SEARCH("wagon_",Table1[[#This Row],[FILENAMES_EXPECTED]])),ISNUMBER(SEARCH("coach_",Table1[[#This Row],[FILENAMES_EXPECTED]])))</f>
        <v>0</v>
      </c>
      <c r="E45" t="str">
        <f>"item_"&amp;Table1[[#This Row],[VEHIDCODE]]</f>
        <v>item_rbd_Tunisia_SNCFT_Z431</v>
      </c>
      <c r="F45" t="str">
        <f>"str_"&amp;Table1[[#This Row],[VEHIDCODE]]</f>
        <v>str_rbd_Tunisia_SNCFT_Z431</v>
      </c>
      <c r="O45" s="2" t="b">
        <v>1</v>
      </c>
      <c r="AJ45" s="2"/>
      <c r="AK45" s="2" t="b">
        <f>LEN(_xlfn.CONCAT(Table1[[#This Row],[TRACK_TYPE_STANDARD_GAUGE_RAILTYPE_OHLE]:[TRACK_TYPE_MTRO]]))&gt;0</f>
        <v>1</v>
      </c>
      <c r="AL45">
        <v>8</v>
      </c>
      <c r="AM45" t="s">
        <v>18</v>
      </c>
      <c r="AN45">
        <v>0</v>
      </c>
      <c r="AO45" t="s">
        <v>35</v>
      </c>
      <c r="AP45">
        <v>54</v>
      </c>
      <c r="AQ45">
        <v>1975</v>
      </c>
      <c r="AR45">
        <v>8</v>
      </c>
      <c r="AS45" s="2" t="s">
        <v>24</v>
      </c>
      <c r="AT45" t="b">
        <v>1</v>
      </c>
      <c r="AV45" s="2"/>
      <c r="AW45">
        <v>45</v>
      </c>
      <c r="AX45">
        <v>1</v>
      </c>
      <c r="AY45">
        <v>1045</v>
      </c>
      <c r="AZ45" t="s">
        <v>711</v>
      </c>
      <c r="BA45">
        <v>130</v>
      </c>
      <c r="BB45" s="2">
        <v>0.38</v>
      </c>
      <c r="BC45" t="s">
        <v>926</v>
      </c>
      <c r="BD45" t="s">
        <v>922</v>
      </c>
      <c r="BE45" t="s">
        <v>940</v>
      </c>
      <c r="BF45" s="7">
        <v>15</v>
      </c>
      <c r="BG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5">
        <v>0</v>
      </c>
      <c r="BI45" t="s">
        <v>734</v>
      </c>
      <c r="BJ45" s="11"/>
      <c r="BK45" s="11"/>
      <c r="BL45" s="11">
        <v>60</v>
      </c>
      <c r="BM45">
        <v>0</v>
      </c>
      <c r="BN45" t="s">
        <v>692</v>
      </c>
      <c r="BO45" t="s">
        <v>694</v>
      </c>
      <c r="BP45" t="s">
        <v>701</v>
      </c>
      <c r="BQ45" t="s">
        <v>705</v>
      </c>
      <c r="BR45" t="s">
        <v>706</v>
      </c>
      <c r="BS45" t="s">
        <v>707</v>
      </c>
      <c r="CR45"/>
      <c r="CS45"/>
      <c r="CT45"/>
    </row>
    <row r="46" spans="1:98" x14ac:dyDescent="0.4">
      <c r="A46" s="2" t="s">
        <v>69</v>
      </c>
      <c r="B46" t="str">
        <f>_xlfn.TEXTAFTER(Table1[[#This Row],[VEHIDCODE]],"_")</f>
        <v>USA_Amtrak_SPV_200</v>
      </c>
      <c r="C46" t="s">
        <v>737</v>
      </c>
      <c r="D46" t="b">
        <f>OR(ISNUMBER(SEARCH("wagon_",Table1[[#This Row],[FILENAMES_EXPECTED]])),ISNUMBER(SEARCH("coach_",Table1[[#This Row],[FILENAMES_EXPECTED]])))</f>
        <v>0</v>
      </c>
      <c r="E46" t="str">
        <f>"item_"&amp;Table1[[#This Row],[VEHIDCODE]]</f>
        <v>item_rbd_USA_Amtrak_SPV_200</v>
      </c>
      <c r="F46" t="str">
        <f>"str_"&amp;Table1[[#This Row],[VEHIDCODE]]</f>
        <v>str_rbd_USA_Amtrak_SPV_200</v>
      </c>
      <c r="O46" s="2" t="b">
        <v>1</v>
      </c>
      <c r="AJ46" s="2"/>
      <c r="AK46" s="2" t="b">
        <f>LEN(_xlfn.CONCAT(Table1[[#This Row],[TRACK_TYPE_STANDARD_GAUGE_RAILTYPE_OHLE]:[TRACK_TYPE_MTRO]]))&gt;0</f>
        <v>1</v>
      </c>
      <c r="AL46">
        <v>8</v>
      </c>
      <c r="AM46" t="s">
        <v>18</v>
      </c>
      <c r="AN46">
        <v>0</v>
      </c>
      <c r="AO46" t="s">
        <v>35</v>
      </c>
      <c r="AP46">
        <v>86</v>
      </c>
      <c r="AQ46">
        <v>1979</v>
      </c>
      <c r="AR46">
        <v>8</v>
      </c>
      <c r="AS46" s="2" t="s">
        <v>24</v>
      </c>
      <c r="AT46" t="b">
        <v>1</v>
      </c>
      <c r="AV46" s="2"/>
      <c r="AW46">
        <v>45</v>
      </c>
      <c r="AX46">
        <v>1</v>
      </c>
      <c r="AY46">
        <v>360</v>
      </c>
      <c r="AZ46" t="s">
        <v>711</v>
      </c>
      <c r="BA46">
        <v>130</v>
      </c>
      <c r="BB46" s="2">
        <v>0.26</v>
      </c>
      <c r="BC46" t="s">
        <v>928</v>
      </c>
      <c r="BD46" t="s">
        <v>922</v>
      </c>
      <c r="BE46" t="s">
        <v>940</v>
      </c>
      <c r="BF46" s="7">
        <v>15</v>
      </c>
      <c r="BG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">
        <v>0</v>
      </c>
      <c r="BI46" t="s">
        <v>734</v>
      </c>
      <c r="BJ46" s="11"/>
      <c r="BK46" s="11"/>
      <c r="BL46" s="11">
        <v>58</v>
      </c>
      <c r="BM46">
        <v>0</v>
      </c>
      <c r="BN46" t="s">
        <v>692</v>
      </c>
      <c r="BO46" t="s">
        <v>694</v>
      </c>
      <c r="BP46" t="s">
        <v>701</v>
      </c>
      <c r="BQ46" t="s">
        <v>705</v>
      </c>
      <c r="BR46" t="s">
        <v>706</v>
      </c>
      <c r="BS46" t="s">
        <v>707</v>
      </c>
      <c r="CR46"/>
      <c r="CS46"/>
      <c r="CT46"/>
    </row>
    <row r="47" spans="1:98" x14ac:dyDescent="0.4">
      <c r="A47" s="2" t="s">
        <v>70</v>
      </c>
      <c r="B47" t="str">
        <f>_xlfn.TEXTAFTER(Table1[[#This Row],[VEHIDCODE]],"_")</f>
        <v>Finland_VR_Dm12</v>
      </c>
      <c r="C47" t="s">
        <v>737</v>
      </c>
      <c r="D47" t="b">
        <f>OR(ISNUMBER(SEARCH("wagon_",Table1[[#This Row],[FILENAMES_EXPECTED]])),ISNUMBER(SEARCH("coach_",Table1[[#This Row],[FILENAMES_EXPECTED]])))</f>
        <v>0</v>
      </c>
      <c r="E47" t="str">
        <f>"item_"&amp;Table1[[#This Row],[VEHIDCODE]]</f>
        <v>item_rbd_Finland_VR_Dm12</v>
      </c>
      <c r="F47" t="str">
        <f>"str_"&amp;Table1[[#This Row],[VEHIDCODE]]</f>
        <v>str_rbd_Finland_VR_Dm12</v>
      </c>
      <c r="AG47" s="2" t="b">
        <v>1</v>
      </c>
      <c r="AJ47" s="2"/>
      <c r="AK47" s="2" t="b">
        <f>LEN(_xlfn.CONCAT(Table1[[#This Row],[TRACK_TYPE_STANDARD_GAUGE_RAILTYPE_OHLE]:[TRACK_TYPE_MTRO]]))&gt;0</f>
        <v>1</v>
      </c>
      <c r="AL47">
        <v>8</v>
      </c>
      <c r="AM47" t="s">
        <v>18</v>
      </c>
      <c r="AN47">
        <v>0</v>
      </c>
      <c r="AO47" t="s">
        <v>35</v>
      </c>
      <c r="AP47">
        <v>63</v>
      </c>
      <c r="AQ47">
        <v>2005</v>
      </c>
      <c r="AR47">
        <v>8</v>
      </c>
      <c r="AS47" s="2" t="s">
        <v>24</v>
      </c>
      <c r="AT47" t="b">
        <v>1</v>
      </c>
      <c r="AV47" s="2"/>
      <c r="AW47" t="s">
        <v>21</v>
      </c>
      <c r="AX47">
        <v>1</v>
      </c>
      <c r="AY47">
        <v>710</v>
      </c>
      <c r="AZ47" t="s">
        <v>711</v>
      </c>
      <c r="BA47">
        <v>120</v>
      </c>
      <c r="BB47" s="2">
        <v>0.35</v>
      </c>
      <c r="BC47" t="s">
        <v>927</v>
      </c>
      <c r="BD47" t="s">
        <v>922</v>
      </c>
      <c r="BE47" t="s">
        <v>940</v>
      </c>
      <c r="BF47" s="7">
        <v>15</v>
      </c>
      <c r="BG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">
        <v>0</v>
      </c>
      <c r="BI47" t="s">
        <v>734</v>
      </c>
      <c r="BJ47" s="11"/>
      <c r="BK47" s="11"/>
      <c r="BL47" s="11">
        <v>48</v>
      </c>
      <c r="BM47">
        <v>0</v>
      </c>
      <c r="BN47" t="s">
        <v>692</v>
      </c>
      <c r="BO47" t="s">
        <v>694</v>
      </c>
      <c r="BP47" t="s">
        <v>701</v>
      </c>
      <c r="BQ47" t="s">
        <v>705</v>
      </c>
      <c r="BR47" t="s">
        <v>706</v>
      </c>
      <c r="BS47" t="s">
        <v>707</v>
      </c>
      <c r="CR47"/>
      <c r="CS47"/>
      <c r="CT47"/>
    </row>
    <row r="48" spans="1:98" x14ac:dyDescent="0.4">
      <c r="A48" s="2" t="s">
        <v>71</v>
      </c>
      <c r="B48" t="str">
        <f>_xlfn.TEXTAFTER(Table1[[#This Row],[VEHIDCODE]],"_")</f>
        <v>Czech_Republic_CD_840</v>
      </c>
      <c r="C48" t="s">
        <v>737</v>
      </c>
      <c r="D48" t="b">
        <f>OR(ISNUMBER(SEARCH("wagon_",Table1[[#This Row],[FILENAMES_EXPECTED]])),ISNUMBER(SEARCH("coach_",Table1[[#This Row],[FILENAMES_EXPECTED]])))</f>
        <v>0</v>
      </c>
      <c r="E48" t="str">
        <f>"item_"&amp;Table1[[#This Row],[VEHIDCODE]]</f>
        <v>item_rbd_Czech_Republic_CD_840</v>
      </c>
      <c r="F48" t="str">
        <f>"str_"&amp;Table1[[#This Row],[VEHIDCODE]]</f>
        <v>str_rbd_Czech_Republic_CD_840</v>
      </c>
      <c r="O48" s="2" t="b">
        <v>1</v>
      </c>
      <c r="AJ48" s="2"/>
      <c r="AK48" s="2" t="b">
        <f>LEN(_xlfn.CONCAT(Table1[[#This Row],[TRACK_TYPE_STANDARD_GAUGE_RAILTYPE_OHLE]:[TRACK_TYPE_MTRO]]))&gt;0</f>
        <v>1</v>
      </c>
      <c r="AL48">
        <v>8</v>
      </c>
      <c r="AM48" t="s">
        <v>18</v>
      </c>
      <c r="AN48">
        <v>0</v>
      </c>
      <c r="AO48" t="s">
        <v>35</v>
      </c>
      <c r="AP48">
        <v>71</v>
      </c>
      <c r="AQ48">
        <v>2011</v>
      </c>
      <c r="AR48">
        <v>8</v>
      </c>
      <c r="AS48" s="2" t="s">
        <v>24</v>
      </c>
      <c r="AT48" t="b">
        <v>1</v>
      </c>
      <c r="AV48" s="2"/>
      <c r="AW48" t="s">
        <v>21</v>
      </c>
      <c r="AX48">
        <v>1</v>
      </c>
      <c r="AY48">
        <v>710</v>
      </c>
      <c r="AZ48" t="s">
        <v>711</v>
      </c>
      <c r="BA48">
        <v>120</v>
      </c>
      <c r="BB48" s="2">
        <v>0.37</v>
      </c>
      <c r="BC48" t="s">
        <v>929</v>
      </c>
      <c r="BD48" t="s">
        <v>922</v>
      </c>
      <c r="BE48" t="s">
        <v>940</v>
      </c>
      <c r="BF48" s="7">
        <v>15</v>
      </c>
      <c r="BG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">
        <v>0</v>
      </c>
      <c r="BI48" t="s">
        <v>734</v>
      </c>
      <c r="BJ48" s="11"/>
      <c r="BK48" s="11"/>
      <c r="BL48" s="11">
        <v>43</v>
      </c>
      <c r="BM48">
        <v>0</v>
      </c>
      <c r="BN48" t="s">
        <v>692</v>
      </c>
      <c r="BO48" t="s">
        <v>694</v>
      </c>
      <c r="BP48" t="s">
        <v>701</v>
      </c>
      <c r="BQ48" t="s">
        <v>705</v>
      </c>
      <c r="BR48" t="s">
        <v>706</v>
      </c>
      <c r="BS48" t="s">
        <v>707</v>
      </c>
      <c r="CR48"/>
      <c r="CS48"/>
      <c r="CT48"/>
    </row>
    <row r="49" spans="1:98" x14ac:dyDescent="0.4">
      <c r="A49" s="2" t="s">
        <v>72</v>
      </c>
      <c r="B49" t="str">
        <f>_xlfn.TEXTAFTER(Table1[[#This Row],[VEHIDCODE]],"_")</f>
        <v>Italy_FS_ALn_668</v>
      </c>
      <c r="C49" t="s">
        <v>737</v>
      </c>
      <c r="D49" t="b">
        <f>OR(ISNUMBER(SEARCH("wagon_",Table1[[#This Row],[FILENAMES_EXPECTED]])),ISNUMBER(SEARCH("coach_",Table1[[#This Row],[FILENAMES_EXPECTED]])))</f>
        <v>0</v>
      </c>
      <c r="E49" t="str">
        <f>"item_"&amp;Table1[[#This Row],[VEHIDCODE]]</f>
        <v>item_rbd_Italy_FS_ALn_668</v>
      </c>
      <c r="F49" t="str">
        <f>"str_"&amp;Table1[[#This Row],[VEHIDCODE]]</f>
        <v>str_rbd_Italy_FS_ALn_668</v>
      </c>
      <c r="O49" s="2" t="b">
        <v>1</v>
      </c>
      <c r="AJ49" s="2"/>
      <c r="AK49" s="2" t="b">
        <f>LEN(_xlfn.CONCAT(Table1[[#This Row],[TRACK_TYPE_STANDARD_GAUGE_RAILTYPE_OHLE]:[TRACK_TYPE_MTRO]]))&gt;0</f>
        <v>1</v>
      </c>
      <c r="AL49">
        <v>8</v>
      </c>
      <c r="AM49" t="s">
        <v>18</v>
      </c>
      <c r="AN49">
        <v>0</v>
      </c>
      <c r="AO49" t="s">
        <v>35</v>
      </c>
      <c r="AP49">
        <v>68</v>
      </c>
      <c r="AQ49">
        <v>1956</v>
      </c>
      <c r="AR49">
        <v>8</v>
      </c>
      <c r="AS49" s="2" t="s">
        <v>24</v>
      </c>
      <c r="AT49" t="b">
        <v>1</v>
      </c>
      <c r="AV49" s="2"/>
      <c r="AW49">
        <v>45</v>
      </c>
      <c r="AX49">
        <v>1</v>
      </c>
      <c r="AY49">
        <v>335</v>
      </c>
      <c r="AZ49" t="s">
        <v>711</v>
      </c>
      <c r="BA49">
        <v>110</v>
      </c>
      <c r="BB49" s="2">
        <v>0.23</v>
      </c>
      <c r="BC49" t="s">
        <v>924</v>
      </c>
      <c r="BD49" t="s">
        <v>922</v>
      </c>
      <c r="BE49" t="s">
        <v>940</v>
      </c>
      <c r="BF49" s="7">
        <v>25</v>
      </c>
      <c r="BG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">
        <v>0</v>
      </c>
      <c r="BI49" t="s">
        <v>734</v>
      </c>
      <c r="BJ49" s="11"/>
      <c r="BK49" s="11"/>
      <c r="BL49" s="11">
        <v>32</v>
      </c>
      <c r="BM49">
        <v>0</v>
      </c>
      <c r="BN49" t="s">
        <v>692</v>
      </c>
      <c r="BO49" t="s">
        <v>694</v>
      </c>
      <c r="BP49" t="s">
        <v>701</v>
      </c>
      <c r="BQ49" t="s">
        <v>705</v>
      </c>
      <c r="BR49" t="s">
        <v>706</v>
      </c>
      <c r="BS49" t="s">
        <v>707</v>
      </c>
      <c r="CR49"/>
      <c r="CS49"/>
      <c r="CT49"/>
    </row>
    <row r="50" spans="1:98" x14ac:dyDescent="0.4">
      <c r="A50" s="2" t="s">
        <v>73</v>
      </c>
      <c r="B50" t="str">
        <f>_xlfn.TEXTAFTER(Table1[[#This Row],[VEHIDCODE]],"_")</f>
        <v>Czech_Republic_CD_M400</v>
      </c>
      <c r="C50" t="s">
        <v>738</v>
      </c>
      <c r="D50" t="b">
        <f>OR(ISNUMBER(SEARCH("wagon_",Table1[[#This Row],[FILENAMES_EXPECTED]])),ISNUMBER(SEARCH("coach_",Table1[[#This Row],[FILENAMES_EXPECTED]])))</f>
        <v>0</v>
      </c>
      <c r="E50" t="str">
        <f>"item_"&amp;Table1[[#This Row],[VEHIDCODE]]</f>
        <v>item_rbe_Czech_Republic_CD_M400</v>
      </c>
      <c r="F50" t="str">
        <f>"str_"&amp;Table1[[#This Row],[VEHIDCODE]]</f>
        <v>str_rbe_Czech_Republic_CD_M400</v>
      </c>
      <c r="K50" t="b">
        <v>1</v>
      </c>
      <c r="AJ50" s="2"/>
      <c r="AK50" s="2" t="b">
        <f>LEN(_xlfn.CONCAT(Table1[[#This Row],[TRACK_TYPE_STANDARD_GAUGE_RAILTYPE_OHLE]:[TRACK_TYPE_MTRO]]))&gt;0</f>
        <v>1</v>
      </c>
      <c r="AL50">
        <v>7</v>
      </c>
      <c r="AM50" t="s">
        <v>18</v>
      </c>
      <c r="AN50">
        <v>0</v>
      </c>
      <c r="AO50" t="s">
        <v>74</v>
      </c>
      <c r="AP50">
        <v>40</v>
      </c>
      <c r="AQ50">
        <v>1903</v>
      </c>
      <c r="AR50">
        <v>7</v>
      </c>
      <c r="AS50" s="2" t="s">
        <v>24</v>
      </c>
      <c r="AT50" t="b">
        <v>1</v>
      </c>
      <c r="AV50" s="2"/>
      <c r="AW50">
        <v>45</v>
      </c>
      <c r="AX50">
        <v>1</v>
      </c>
      <c r="AY50">
        <v>150</v>
      </c>
      <c r="AZ50" t="s">
        <v>709</v>
      </c>
      <c r="BA50">
        <v>35</v>
      </c>
      <c r="BB50" s="2">
        <v>0.33</v>
      </c>
      <c r="BC50" t="s">
        <v>929</v>
      </c>
      <c r="BD50" t="s">
        <v>922</v>
      </c>
      <c r="BE50" t="s">
        <v>940</v>
      </c>
      <c r="BF50" s="7">
        <v>15</v>
      </c>
      <c r="BG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0">
        <v>0</v>
      </c>
      <c r="BI50" t="s">
        <v>734</v>
      </c>
      <c r="BJ50" s="11"/>
      <c r="BK50" s="11"/>
      <c r="BL50" s="11">
        <v>23</v>
      </c>
      <c r="BM50">
        <v>0</v>
      </c>
      <c r="BN50" t="s">
        <v>692</v>
      </c>
      <c r="BO50" t="s">
        <v>694</v>
      </c>
      <c r="BP50" t="s">
        <v>701</v>
      </c>
      <c r="BQ50" t="s">
        <v>705</v>
      </c>
      <c r="BR50" t="s">
        <v>706</v>
      </c>
      <c r="BS50" t="s">
        <v>707</v>
      </c>
      <c r="CR50"/>
      <c r="CS50"/>
      <c r="CT50"/>
    </row>
    <row r="51" spans="1:98" x14ac:dyDescent="0.4">
      <c r="A51" s="2" t="s">
        <v>75</v>
      </c>
      <c r="B51" t="str">
        <f>_xlfn.TEXTAFTER(Table1[[#This Row],[VEHIDCODE]],"_")</f>
        <v>France_SNCF_Z_7100</v>
      </c>
      <c r="C51" t="s">
        <v>738</v>
      </c>
      <c r="D51" t="b">
        <f>OR(ISNUMBER(SEARCH("wagon_",Table1[[#This Row],[FILENAMES_EXPECTED]])),ISNUMBER(SEARCH("coach_",Table1[[#This Row],[FILENAMES_EXPECTED]])))</f>
        <v>0</v>
      </c>
      <c r="E51" t="str">
        <f>"item_"&amp;Table1[[#This Row],[VEHIDCODE]]</f>
        <v>item_rbe_France_SNCF_Z_7100</v>
      </c>
      <c r="F51" t="str">
        <f>"str_"&amp;Table1[[#This Row],[VEHIDCODE]]</f>
        <v>str_rbe_France_SNCF_Z_7100</v>
      </c>
      <c r="K51" t="b">
        <v>1</v>
      </c>
      <c r="AJ51" s="2"/>
      <c r="AK51" s="2" t="b">
        <f>LEN(_xlfn.CONCAT(Table1[[#This Row],[TRACK_TYPE_STANDARD_GAUGE_RAILTYPE_OHLE]:[TRACK_TYPE_MTRO]]))&gt;0</f>
        <v>1</v>
      </c>
      <c r="AL51">
        <v>8</v>
      </c>
      <c r="AM51" t="s">
        <v>18</v>
      </c>
      <c r="AN51">
        <v>0</v>
      </c>
      <c r="AO51" t="s">
        <v>74</v>
      </c>
      <c r="AP51">
        <v>70</v>
      </c>
      <c r="AQ51">
        <v>1960</v>
      </c>
      <c r="AR51">
        <v>8</v>
      </c>
      <c r="AS51" s="2" t="s">
        <v>24</v>
      </c>
      <c r="AT51" t="b">
        <v>1</v>
      </c>
      <c r="AV51" s="2"/>
      <c r="AW51">
        <v>45</v>
      </c>
      <c r="AX51">
        <v>1</v>
      </c>
      <c r="AY51">
        <v>1260</v>
      </c>
      <c r="AZ51" t="s">
        <v>709</v>
      </c>
      <c r="BA51">
        <v>130</v>
      </c>
      <c r="BB51" s="2">
        <v>0.21</v>
      </c>
      <c r="BC51" t="s">
        <v>923</v>
      </c>
      <c r="BD51" t="s">
        <v>922</v>
      </c>
      <c r="BE51" t="s">
        <v>940</v>
      </c>
      <c r="BF51" s="7">
        <v>15</v>
      </c>
      <c r="BG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">
        <v>0</v>
      </c>
      <c r="BI51" t="s">
        <v>734</v>
      </c>
      <c r="BJ51" s="11"/>
      <c r="BK51" s="11"/>
      <c r="BL51" s="11">
        <v>58</v>
      </c>
      <c r="BM51">
        <v>0</v>
      </c>
      <c r="BN51" t="s">
        <v>692</v>
      </c>
      <c r="BO51" t="s">
        <v>694</v>
      </c>
      <c r="BP51" t="s">
        <v>701</v>
      </c>
      <c r="BQ51" t="s">
        <v>705</v>
      </c>
      <c r="BR51" t="s">
        <v>706</v>
      </c>
      <c r="BS51" t="s">
        <v>707</v>
      </c>
      <c r="CR51"/>
      <c r="CS51"/>
      <c r="CT51"/>
    </row>
    <row r="52" spans="1:98" x14ac:dyDescent="0.4">
      <c r="A52" s="2" t="s">
        <v>76</v>
      </c>
      <c r="B52" t="str">
        <f>_xlfn.TEXTAFTER(Table1[[#This Row],[VEHIDCODE]],"_")</f>
        <v>Germany_Buckower_Kleinbahn_Nr_1_3</v>
      </c>
      <c r="C52" t="s">
        <v>738</v>
      </c>
      <c r="D52" t="b">
        <f>OR(ISNUMBER(SEARCH("wagon_",Table1[[#This Row],[FILENAMES_EXPECTED]])),ISNUMBER(SEARCH("coach_",Table1[[#This Row],[FILENAMES_EXPECTED]])))</f>
        <v>0</v>
      </c>
      <c r="E52" t="str">
        <f>"item_"&amp;Table1[[#This Row],[VEHIDCODE]]</f>
        <v>item_rbe_Germany_Buckower_Kleinbahn_Nr_1_3</v>
      </c>
      <c r="F52" t="str">
        <f>"str_"&amp;Table1[[#This Row],[VEHIDCODE]]</f>
        <v>str_rbe_Germany_Buckower_Kleinbahn_Nr_1_3</v>
      </c>
      <c r="K52" t="b">
        <v>1</v>
      </c>
      <c r="AJ52" s="2"/>
      <c r="AK52" s="2" t="b">
        <f>LEN(_xlfn.CONCAT(Table1[[#This Row],[TRACK_TYPE_STANDARD_GAUGE_RAILTYPE_OHLE]:[TRACK_TYPE_MTRO]]))&gt;0</f>
        <v>1</v>
      </c>
      <c r="AL52">
        <v>4</v>
      </c>
      <c r="AM52" t="s">
        <v>18</v>
      </c>
      <c r="AN52">
        <v>0</v>
      </c>
      <c r="AO52" t="s">
        <v>74</v>
      </c>
      <c r="AP52">
        <v>50</v>
      </c>
      <c r="AQ52">
        <v>1930</v>
      </c>
      <c r="AR52">
        <v>4</v>
      </c>
      <c r="AS52" s="2" t="s">
        <v>24</v>
      </c>
      <c r="AT52" t="b">
        <v>1</v>
      </c>
      <c r="AV52" s="2"/>
      <c r="AW52">
        <v>45</v>
      </c>
      <c r="AX52">
        <v>1</v>
      </c>
      <c r="AY52">
        <v>175</v>
      </c>
      <c r="AZ52" t="s">
        <v>709</v>
      </c>
      <c r="BA52">
        <v>50</v>
      </c>
      <c r="BB52" s="2">
        <v>0.08</v>
      </c>
      <c r="BC52" t="s">
        <v>923</v>
      </c>
      <c r="BD52" t="s">
        <v>922</v>
      </c>
      <c r="BE52" t="s">
        <v>940</v>
      </c>
      <c r="BF52" s="7">
        <v>15</v>
      </c>
      <c r="BG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">
        <v>-3</v>
      </c>
      <c r="BI52" t="s">
        <v>734</v>
      </c>
      <c r="BJ52" s="11"/>
      <c r="BK52" s="11"/>
      <c r="BL52" s="11">
        <v>23</v>
      </c>
      <c r="BM52">
        <v>0</v>
      </c>
      <c r="BN52" t="s">
        <v>692</v>
      </c>
      <c r="BO52" t="s">
        <v>694</v>
      </c>
      <c r="BP52" t="s">
        <v>701</v>
      </c>
      <c r="BQ52" t="s">
        <v>705</v>
      </c>
      <c r="BR52" t="s">
        <v>706</v>
      </c>
      <c r="BS52" t="s">
        <v>707</v>
      </c>
      <c r="CR52"/>
      <c r="CS52"/>
      <c r="CT52"/>
    </row>
    <row r="53" spans="1:98" x14ac:dyDescent="0.4">
      <c r="A53" s="2" t="s">
        <v>77</v>
      </c>
      <c r="B53" t="str">
        <f>_xlfn.TEXTAFTER(Table1[[#This Row],[VEHIDCODE]],"_")</f>
        <v>Germany_DB_4792</v>
      </c>
      <c r="C53" t="s">
        <v>738</v>
      </c>
      <c r="D53" t="b">
        <f>OR(ISNUMBER(SEARCH("wagon_",Table1[[#This Row],[FILENAMES_EXPECTED]])),ISNUMBER(SEARCH("coach_",Table1[[#This Row],[FILENAMES_EXPECTED]])))</f>
        <v>0</v>
      </c>
      <c r="E53" t="str">
        <f>"item_"&amp;Table1[[#This Row],[VEHIDCODE]]</f>
        <v>item_rbe_Germany_DB_4792</v>
      </c>
      <c r="F53" t="str">
        <f>"str_"&amp;Table1[[#This Row],[VEHIDCODE]]</f>
        <v>str_rbe_Germany_DB_4792</v>
      </c>
      <c r="K53" t="b">
        <v>1</v>
      </c>
      <c r="AJ53" s="2"/>
      <c r="AK53" s="2" t="b">
        <f>LEN(_xlfn.CONCAT(Table1[[#This Row],[TRACK_TYPE_STANDARD_GAUGE_RAILTYPE_OHLE]:[TRACK_TYPE_MTRO]]))&gt;0</f>
        <v>1</v>
      </c>
      <c r="AL53">
        <v>5</v>
      </c>
      <c r="AM53" t="s">
        <v>18</v>
      </c>
      <c r="AN53">
        <v>0</v>
      </c>
      <c r="AO53" t="s">
        <v>74</v>
      </c>
      <c r="AP53">
        <v>24</v>
      </c>
      <c r="AQ53">
        <v>1982</v>
      </c>
      <c r="AR53">
        <v>5</v>
      </c>
      <c r="AS53" s="2" t="s">
        <v>24</v>
      </c>
      <c r="AT53" t="b">
        <v>1</v>
      </c>
      <c r="AV53" s="2"/>
      <c r="AW53">
        <v>45</v>
      </c>
      <c r="AX53">
        <v>1</v>
      </c>
      <c r="AY53">
        <v>160</v>
      </c>
      <c r="AZ53" t="s">
        <v>709</v>
      </c>
      <c r="BA53">
        <v>50</v>
      </c>
      <c r="BB53" s="2">
        <v>0.13</v>
      </c>
      <c r="BC53" t="s">
        <v>923</v>
      </c>
      <c r="BD53" t="s">
        <v>922</v>
      </c>
      <c r="BE53" t="s">
        <v>940</v>
      </c>
      <c r="BF53" s="7">
        <v>15</v>
      </c>
      <c r="BG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">
        <v>-3</v>
      </c>
      <c r="BI53" t="s">
        <v>734</v>
      </c>
      <c r="BJ53" s="11"/>
      <c r="BK53" s="11"/>
      <c r="BL53" s="11">
        <v>20</v>
      </c>
      <c r="BM53">
        <v>0</v>
      </c>
      <c r="BN53" t="s">
        <v>692</v>
      </c>
      <c r="BO53" t="s">
        <v>694</v>
      </c>
      <c r="BP53" t="s">
        <v>701</v>
      </c>
      <c r="BQ53" t="s">
        <v>705</v>
      </c>
      <c r="BR53" t="s">
        <v>706</v>
      </c>
      <c r="BS53" t="s">
        <v>707</v>
      </c>
      <c r="CR53"/>
      <c r="CS53"/>
      <c r="CT53"/>
    </row>
    <row r="54" spans="1:98" x14ac:dyDescent="0.4">
      <c r="A54" s="2" t="s">
        <v>78</v>
      </c>
      <c r="B54" t="str">
        <f>_xlfn.TEXTAFTER(Table1[[#This Row],[VEHIDCODE]],"_")</f>
        <v>Slovakia_ZSSK_490</v>
      </c>
      <c r="C54" t="s">
        <v>738</v>
      </c>
      <c r="D54" t="b">
        <f>OR(ISNUMBER(SEARCH("wagon_",Table1[[#This Row],[FILENAMES_EXPECTED]])),ISNUMBER(SEARCH("coach_",Table1[[#This Row],[FILENAMES_EXPECTED]])))</f>
        <v>0</v>
      </c>
      <c r="E54" t="str">
        <f>"item_"&amp;Table1[[#This Row],[VEHIDCODE]]</f>
        <v>item_rbe_Slovakia_ZSSK_490</v>
      </c>
      <c r="F54" t="str">
        <f>"str_"&amp;Table1[[#This Row],[VEHIDCODE]]</f>
        <v>str_rbe_Slovakia_ZSSK_490</v>
      </c>
      <c r="K54" t="b">
        <v>1</v>
      </c>
      <c r="AJ54" s="2"/>
      <c r="AK54" s="2" t="b">
        <f>LEN(_xlfn.CONCAT(Table1[[#This Row],[TRACK_TYPE_STANDARD_GAUGE_RAILTYPE_OHLE]:[TRACK_TYPE_MTRO]]))&gt;0</f>
        <v>1</v>
      </c>
      <c r="AL54">
        <v>7</v>
      </c>
      <c r="AM54" t="s">
        <v>18</v>
      </c>
      <c r="AN54">
        <v>0</v>
      </c>
      <c r="AO54" t="s">
        <v>74</v>
      </c>
      <c r="AP54">
        <v>48</v>
      </c>
      <c r="AQ54">
        <v>1930</v>
      </c>
      <c r="AR54">
        <v>7</v>
      </c>
      <c r="AS54" s="2" t="s">
        <v>24</v>
      </c>
      <c r="AT54" t="b">
        <v>1</v>
      </c>
      <c r="AV54" s="2"/>
      <c r="AW54">
        <v>45</v>
      </c>
      <c r="AX54">
        <v>1</v>
      </c>
      <c r="AY54">
        <v>270</v>
      </c>
      <c r="AZ54" t="s">
        <v>709</v>
      </c>
      <c r="BA54">
        <v>40</v>
      </c>
      <c r="BB54" s="2">
        <v>0.08</v>
      </c>
      <c r="BC54" t="s">
        <v>929</v>
      </c>
      <c r="BD54" t="s">
        <v>922</v>
      </c>
      <c r="BE54" t="s">
        <v>940</v>
      </c>
      <c r="BF54" s="7">
        <v>15</v>
      </c>
      <c r="BG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">
        <v>0</v>
      </c>
      <c r="BI54" t="s">
        <v>734</v>
      </c>
      <c r="BJ54" s="11"/>
      <c r="BK54" s="11"/>
      <c r="BL54" s="11">
        <v>45</v>
      </c>
      <c r="BM54">
        <v>0</v>
      </c>
      <c r="BN54" t="s">
        <v>692</v>
      </c>
      <c r="BO54" t="s">
        <v>694</v>
      </c>
      <c r="BP54" t="s">
        <v>701</v>
      </c>
      <c r="BQ54" t="s">
        <v>705</v>
      </c>
      <c r="BR54" t="s">
        <v>706</v>
      </c>
      <c r="BS54" t="s">
        <v>707</v>
      </c>
      <c r="CR54"/>
      <c r="CS54"/>
      <c r="CT54"/>
    </row>
    <row r="55" spans="1:98" x14ac:dyDescent="0.4">
      <c r="A55" s="2" t="s">
        <v>79</v>
      </c>
      <c r="B55" t="str">
        <f>_xlfn.TEXTAFTER(Table1[[#This Row],[VEHIDCODE]],"_")</f>
        <v>Italy_FS_ALe_840</v>
      </c>
      <c r="C55" t="s">
        <v>738</v>
      </c>
      <c r="D55" t="b">
        <f>OR(ISNUMBER(SEARCH("wagon_",Table1[[#This Row],[FILENAMES_EXPECTED]])),ISNUMBER(SEARCH("coach_",Table1[[#This Row],[FILENAMES_EXPECTED]])))</f>
        <v>0</v>
      </c>
      <c r="E55" t="str">
        <f>"item_"&amp;Table1[[#This Row],[VEHIDCODE]]</f>
        <v>item_rbe_Italy_FS_ALe_840</v>
      </c>
      <c r="F55" t="str">
        <f>"str_"&amp;Table1[[#This Row],[VEHIDCODE]]</f>
        <v>str_rbe_Italy_FS_ALe_840</v>
      </c>
      <c r="G55" t="b">
        <v>1</v>
      </c>
      <c r="AJ55" s="2"/>
      <c r="AK55" s="2" t="b">
        <f>LEN(_xlfn.CONCAT(Table1[[#This Row],[TRACK_TYPE_STANDARD_GAUGE_RAILTYPE_OHLE]:[TRACK_TYPE_MTRO]]))&gt;0</f>
        <v>1</v>
      </c>
      <c r="AL55">
        <v>8</v>
      </c>
      <c r="AM55" t="s">
        <v>18</v>
      </c>
      <c r="AN55">
        <v>0</v>
      </c>
      <c r="AO55" t="s">
        <v>74</v>
      </c>
      <c r="AP55">
        <v>84</v>
      </c>
      <c r="AQ55">
        <v>1949</v>
      </c>
      <c r="AR55">
        <v>8</v>
      </c>
      <c r="AS55" s="2" t="s">
        <v>24</v>
      </c>
      <c r="AT55" t="b">
        <v>1</v>
      </c>
      <c r="AV55" s="2"/>
      <c r="AW55">
        <v>45</v>
      </c>
      <c r="AX55">
        <v>1</v>
      </c>
      <c r="AY55">
        <v>800</v>
      </c>
      <c r="AZ55" t="s">
        <v>709</v>
      </c>
      <c r="BA55">
        <v>150</v>
      </c>
      <c r="BB55" s="2">
        <v>0.21</v>
      </c>
      <c r="BC55" t="s">
        <v>924</v>
      </c>
      <c r="BD55" t="s">
        <v>922</v>
      </c>
      <c r="BE55" t="s">
        <v>940</v>
      </c>
      <c r="BF55" s="7">
        <v>15</v>
      </c>
      <c r="BG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">
        <v>-3</v>
      </c>
      <c r="BI55" t="s">
        <v>734</v>
      </c>
      <c r="BJ55" s="11"/>
      <c r="BK55" s="11"/>
      <c r="BL55" s="11">
        <v>58</v>
      </c>
      <c r="BM55">
        <v>0</v>
      </c>
      <c r="BN55" t="s">
        <v>692</v>
      </c>
      <c r="BO55" t="s">
        <v>694</v>
      </c>
      <c r="BP55" t="s">
        <v>701</v>
      </c>
      <c r="BQ55" t="s">
        <v>705</v>
      </c>
      <c r="BR55" t="s">
        <v>706</v>
      </c>
      <c r="BS55" t="s">
        <v>707</v>
      </c>
      <c r="CR55"/>
      <c r="CS55"/>
      <c r="CT55"/>
    </row>
    <row r="56" spans="1:98" x14ac:dyDescent="0.4">
      <c r="A56" s="2" t="s">
        <v>80</v>
      </c>
      <c r="B56" t="str">
        <f>_xlfn.TEXTAFTER(Table1[[#This Row],[VEHIDCODE]],"_")</f>
        <v>Italy_FG_ALe_80</v>
      </c>
      <c r="C56" t="s">
        <v>738</v>
      </c>
      <c r="D56" t="b">
        <f>OR(ISNUMBER(SEARCH("wagon_",Table1[[#This Row],[FILENAMES_EXPECTED]])),ISNUMBER(SEARCH("coach_",Table1[[#This Row],[FILENAMES_EXPECTED]])))</f>
        <v>0</v>
      </c>
      <c r="E56" t="str">
        <f>"item_"&amp;Table1[[#This Row],[VEHIDCODE]]</f>
        <v>item_rbe_Italy_FG_ALe_80</v>
      </c>
      <c r="F56" t="str">
        <f>"str_"&amp;Table1[[#This Row],[VEHIDCODE]]</f>
        <v>str_rbe_Italy_FG_ALe_80</v>
      </c>
      <c r="G56" t="b">
        <v>1</v>
      </c>
      <c r="AJ56" s="2"/>
      <c r="AK56" s="2" t="b">
        <f>LEN(_xlfn.CONCAT(Table1[[#This Row],[TRACK_TYPE_STANDARD_GAUGE_RAILTYPE_OHLE]:[TRACK_TYPE_MTRO]]))&gt;0</f>
        <v>1</v>
      </c>
      <c r="AL56">
        <v>7</v>
      </c>
      <c r="AM56" t="s">
        <v>18</v>
      </c>
      <c r="AN56">
        <v>0</v>
      </c>
      <c r="AO56" t="s">
        <v>74</v>
      </c>
      <c r="AP56">
        <v>80</v>
      </c>
      <c r="AQ56">
        <v>1981</v>
      </c>
      <c r="AR56">
        <v>7</v>
      </c>
      <c r="AS56" s="2" t="s">
        <v>24</v>
      </c>
      <c r="AT56" t="b">
        <v>1</v>
      </c>
      <c r="AV56" s="2"/>
      <c r="AW56">
        <v>45</v>
      </c>
      <c r="AX56">
        <v>1</v>
      </c>
      <c r="AY56">
        <v>720</v>
      </c>
      <c r="AZ56" t="s">
        <v>709</v>
      </c>
      <c r="BA56">
        <v>120</v>
      </c>
      <c r="BB56" s="2">
        <v>0.17</v>
      </c>
      <c r="BC56" t="s">
        <v>924</v>
      </c>
      <c r="BD56" t="s">
        <v>922</v>
      </c>
      <c r="BE56" t="s">
        <v>940</v>
      </c>
      <c r="BF56" s="7">
        <v>15</v>
      </c>
      <c r="BG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6">
        <v>0</v>
      </c>
      <c r="BI56" t="s">
        <v>734</v>
      </c>
      <c r="BJ56" s="11"/>
      <c r="BK56" s="11"/>
      <c r="BL56" s="11">
        <v>49</v>
      </c>
      <c r="BM56">
        <v>0</v>
      </c>
      <c r="BN56" t="s">
        <v>692</v>
      </c>
      <c r="BO56" t="s">
        <v>694</v>
      </c>
      <c r="BP56" t="s">
        <v>701</v>
      </c>
      <c r="BQ56" t="s">
        <v>705</v>
      </c>
      <c r="BR56" t="s">
        <v>706</v>
      </c>
      <c r="BS56" t="s">
        <v>707</v>
      </c>
      <c r="CR56"/>
      <c r="CS56"/>
      <c r="CT56"/>
    </row>
    <row r="57" spans="1:98" x14ac:dyDescent="0.4">
      <c r="A57" s="2" t="s">
        <v>81</v>
      </c>
      <c r="B57" t="str">
        <f>_xlfn.TEXTAFTER(Table1[[#This Row],[VEHIDCODE]],"_")</f>
        <v>Italy_FS_E623</v>
      </c>
      <c r="C57" t="s">
        <v>738</v>
      </c>
      <c r="D57" t="b">
        <f>OR(ISNUMBER(SEARCH("wagon_",Table1[[#This Row],[FILENAMES_EXPECTED]])),ISNUMBER(SEARCH("coach_",Table1[[#This Row],[FILENAMES_EXPECTED]])))</f>
        <v>0</v>
      </c>
      <c r="E57" t="str">
        <f>"item_"&amp;Table1[[#This Row],[VEHIDCODE]]</f>
        <v>item_rbe_Italy_FS_E623</v>
      </c>
      <c r="F57" t="str">
        <f>"str_"&amp;Table1[[#This Row],[VEHIDCODE]]</f>
        <v>str_rbe_Italy_FS_E623</v>
      </c>
      <c r="G57" t="b">
        <v>1</v>
      </c>
      <c r="AJ57" s="2"/>
      <c r="AK57" s="2" t="b">
        <f>LEN(_xlfn.CONCAT(Table1[[#This Row],[TRACK_TYPE_STANDARD_GAUGE_RAILTYPE_OHLE]:[TRACK_TYPE_MTRO]]))&gt;0</f>
        <v>1</v>
      </c>
      <c r="AL57">
        <v>8</v>
      </c>
      <c r="AM57" t="s">
        <v>18</v>
      </c>
      <c r="AN57">
        <v>0</v>
      </c>
      <c r="AO57" t="s">
        <v>74</v>
      </c>
      <c r="AP57">
        <v>54</v>
      </c>
      <c r="AQ57">
        <v>1950</v>
      </c>
      <c r="AR57">
        <v>8</v>
      </c>
      <c r="AS57" s="2" t="s">
        <v>24</v>
      </c>
      <c r="AT57" t="b">
        <v>1</v>
      </c>
      <c r="AV57" s="2"/>
      <c r="AW57">
        <v>45</v>
      </c>
      <c r="AX57">
        <v>1</v>
      </c>
      <c r="AY57">
        <v>965</v>
      </c>
      <c r="AZ57" t="s">
        <v>709</v>
      </c>
      <c r="BA57">
        <v>110</v>
      </c>
      <c r="BB57" s="2">
        <v>0.08</v>
      </c>
      <c r="BC57" t="s">
        <v>924</v>
      </c>
      <c r="BD57" t="s">
        <v>922</v>
      </c>
      <c r="BE57" t="s">
        <v>940</v>
      </c>
      <c r="BF57" s="7">
        <v>15</v>
      </c>
      <c r="BG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7">
        <v>0</v>
      </c>
      <c r="BI57" t="s">
        <v>734</v>
      </c>
      <c r="BJ57" s="11"/>
      <c r="BK57" s="11"/>
      <c r="BL57" s="11">
        <v>66</v>
      </c>
      <c r="BM57">
        <v>0</v>
      </c>
      <c r="BN57" t="s">
        <v>692</v>
      </c>
      <c r="BO57" t="s">
        <v>694</v>
      </c>
      <c r="BP57" t="s">
        <v>701</v>
      </c>
      <c r="BQ57" t="s">
        <v>705</v>
      </c>
      <c r="BR57" t="s">
        <v>706</v>
      </c>
      <c r="BS57" t="s">
        <v>707</v>
      </c>
      <c r="CR57"/>
      <c r="CS57"/>
      <c r="CT57"/>
    </row>
    <row r="58" spans="1:98" x14ac:dyDescent="0.4">
      <c r="A58" s="2" t="s">
        <v>82</v>
      </c>
      <c r="B58" t="str">
        <f>_xlfn.TEXTAFTER(Table1[[#This Row],[VEHIDCODE]],"_")</f>
        <v>Morocco_ONCFM_ZAB1000</v>
      </c>
      <c r="C58" t="s">
        <v>738</v>
      </c>
      <c r="D58" t="b">
        <f>OR(ISNUMBER(SEARCH("wagon_",Table1[[#This Row],[FILENAMES_EXPECTED]])),ISNUMBER(SEARCH("coach_",Table1[[#This Row],[FILENAMES_EXPECTED]])))</f>
        <v>0</v>
      </c>
      <c r="E58" t="str">
        <f>"item_"&amp;Table1[[#This Row],[VEHIDCODE]]</f>
        <v>item_rbe_Morocco_ONCFM_ZAB1000</v>
      </c>
      <c r="F58" t="str">
        <f>"str_"&amp;Table1[[#This Row],[VEHIDCODE]]</f>
        <v>str_rbe_Morocco_ONCFM_ZAB1000</v>
      </c>
      <c r="G58" t="b">
        <v>1</v>
      </c>
      <c r="AJ58" s="2"/>
      <c r="AK58" s="2" t="b">
        <f>LEN(_xlfn.CONCAT(Table1[[#This Row],[TRACK_TYPE_STANDARD_GAUGE_RAILTYPE_OHLE]:[TRACK_TYPE_MTRO]]))&gt;0</f>
        <v>1</v>
      </c>
      <c r="AL58">
        <v>8</v>
      </c>
      <c r="AM58" t="s">
        <v>18</v>
      </c>
      <c r="AN58">
        <v>0</v>
      </c>
      <c r="AO58" t="s">
        <v>74</v>
      </c>
      <c r="AP58">
        <v>44</v>
      </c>
      <c r="AQ58">
        <v>1925</v>
      </c>
      <c r="AR58">
        <v>8</v>
      </c>
      <c r="AS58" s="2" t="s">
        <v>24</v>
      </c>
      <c r="AT58" t="b">
        <v>1</v>
      </c>
      <c r="AV58" s="2"/>
      <c r="AW58">
        <v>45</v>
      </c>
      <c r="AX58">
        <v>1</v>
      </c>
      <c r="AY58">
        <v>480</v>
      </c>
      <c r="AZ58" t="s">
        <v>709</v>
      </c>
      <c r="BA58">
        <v>85</v>
      </c>
      <c r="BB58" s="2">
        <v>0.13</v>
      </c>
      <c r="BC58" t="s">
        <v>926</v>
      </c>
      <c r="BD58" t="s">
        <v>922</v>
      </c>
      <c r="BE58" t="s">
        <v>940</v>
      </c>
      <c r="BF58" s="7">
        <v>15</v>
      </c>
      <c r="BG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8">
        <v>-3</v>
      </c>
      <c r="BI58" t="s">
        <v>734</v>
      </c>
      <c r="BJ58" s="11"/>
      <c r="BK58" s="11"/>
      <c r="BL58" s="11">
        <v>40</v>
      </c>
      <c r="BM58">
        <v>0</v>
      </c>
      <c r="BN58" t="s">
        <v>692</v>
      </c>
      <c r="BO58" t="s">
        <v>694</v>
      </c>
      <c r="BP58" t="s">
        <v>701</v>
      </c>
      <c r="BQ58" t="s">
        <v>705</v>
      </c>
      <c r="BR58" t="s">
        <v>706</v>
      </c>
      <c r="BS58" t="s">
        <v>707</v>
      </c>
      <c r="CR58"/>
      <c r="CS58"/>
      <c r="CT58"/>
    </row>
    <row r="59" spans="1:98" x14ac:dyDescent="0.4">
      <c r="A59" s="2" t="s">
        <v>83</v>
      </c>
      <c r="B59" t="str">
        <f>_xlfn.TEXTAFTER(Table1[[#This Row],[VEHIDCODE]],"_")</f>
        <v>Poland_PKP_EN81</v>
      </c>
      <c r="C59" t="s">
        <v>738</v>
      </c>
      <c r="D59" t="b">
        <f>OR(ISNUMBER(SEARCH("wagon_",Table1[[#This Row],[FILENAMES_EXPECTED]])),ISNUMBER(SEARCH("coach_",Table1[[#This Row],[FILENAMES_EXPECTED]])))</f>
        <v>0</v>
      </c>
      <c r="E59" t="str">
        <f>"item_"&amp;Table1[[#This Row],[VEHIDCODE]]</f>
        <v>item_rbe_Poland_PKP_EN81</v>
      </c>
      <c r="F59" t="str">
        <f>"str_"&amp;Table1[[#This Row],[VEHIDCODE]]</f>
        <v>str_rbe_Poland_PKP_EN81</v>
      </c>
      <c r="G59" t="b">
        <v>1</v>
      </c>
      <c r="AJ59" s="2"/>
      <c r="AK59" s="2" t="b">
        <f>LEN(_xlfn.CONCAT(Table1[[#This Row],[TRACK_TYPE_STANDARD_GAUGE_RAILTYPE_OHLE]:[TRACK_TYPE_MTRO]]))&gt;0</f>
        <v>1</v>
      </c>
      <c r="AL59">
        <v>8</v>
      </c>
      <c r="AM59" t="s">
        <v>18</v>
      </c>
      <c r="AN59">
        <v>0</v>
      </c>
      <c r="AO59" t="s">
        <v>74</v>
      </c>
      <c r="AP59">
        <v>60</v>
      </c>
      <c r="AQ59">
        <v>2005</v>
      </c>
      <c r="AR59">
        <v>8</v>
      </c>
      <c r="AS59" s="2" t="s">
        <v>24</v>
      </c>
      <c r="AT59" t="b">
        <v>1</v>
      </c>
      <c r="AV59" s="2"/>
      <c r="AW59" t="s">
        <v>21</v>
      </c>
      <c r="AX59">
        <v>1</v>
      </c>
      <c r="AY59">
        <v>750</v>
      </c>
      <c r="AZ59" t="s">
        <v>709</v>
      </c>
      <c r="BA59">
        <v>120</v>
      </c>
      <c r="BB59" s="2">
        <v>0.08</v>
      </c>
      <c r="BC59" t="s">
        <v>929</v>
      </c>
      <c r="BD59" t="s">
        <v>922</v>
      </c>
      <c r="BE59" t="s">
        <v>940</v>
      </c>
      <c r="BF59" s="7">
        <v>15</v>
      </c>
      <c r="BG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9">
        <v>0</v>
      </c>
      <c r="BI59" t="s">
        <v>734</v>
      </c>
      <c r="BJ59" s="11"/>
      <c r="BK59" s="11"/>
      <c r="BL59" s="11">
        <v>53</v>
      </c>
      <c r="BM59">
        <v>0</v>
      </c>
      <c r="BN59" t="s">
        <v>692</v>
      </c>
      <c r="BO59" t="s">
        <v>694</v>
      </c>
      <c r="BP59" t="s">
        <v>701</v>
      </c>
      <c r="BQ59" t="s">
        <v>705</v>
      </c>
      <c r="BR59" t="s">
        <v>706</v>
      </c>
      <c r="BS59" t="s">
        <v>707</v>
      </c>
      <c r="CR59"/>
      <c r="CS59"/>
      <c r="CT59"/>
    </row>
    <row r="60" spans="1:98" x14ac:dyDescent="0.4">
      <c r="A60" s="2" t="s">
        <v>84</v>
      </c>
      <c r="B60" t="str">
        <f>_xlfn.TEXTAFTER(Table1[[#This Row],[VEHIDCODE]],"_")</f>
        <v>Austria_OBB_4855</v>
      </c>
      <c r="C60" t="s">
        <v>738</v>
      </c>
      <c r="D60" t="b">
        <f>OR(ISNUMBER(SEARCH("wagon_",Table1[[#This Row],[FILENAMES_EXPECTED]])),ISNUMBER(SEARCH("coach_",Table1[[#This Row],[FILENAMES_EXPECTED]])))</f>
        <v>0</v>
      </c>
      <c r="E60" t="str">
        <f>"item_"&amp;Table1[[#This Row],[VEHIDCODE]]</f>
        <v>item_rbe_Austria_OBB_4855</v>
      </c>
      <c r="F60" t="str">
        <f>"str_"&amp;Table1[[#This Row],[VEHIDCODE]]</f>
        <v>str_rbe_Austria_OBB_4855</v>
      </c>
      <c r="I60" t="b">
        <v>1</v>
      </c>
      <c r="AJ60" s="2"/>
      <c r="AK60" s="2" t="b">
        <f>LEN(_xlfn.CONCAT(Table1[[#This Row],[TRACK_TYPE_STANDARD_GAUGE_RAILTYPE_OHLE]:[TRACK_TYPE_MTRO]]))&gt;0</f>
        <v>1</v>
      </c>
      <c r="AL60">
        <v>8</v>
      </c>
      <c r="AM60" t="s">
        <v>18</v>
      </c>
      <c r="AN60">
        <v>0</v>
      </c>
      <c r="AO60" t="s">
        <v>74</v>
      </c>
      <c r="AP60">
        <v>64</v>
      </c>
      <c r="AQ60">
        <v>1989</v>
      </c>
      <c r="AR60">
        <v>8</v>
      </c>
      <c r="AS60" s="2" t="s">
        <v>24</v>
      </c>
      <c r="AT60" t="b">
        <v>1</v>
      </c>
      <c r="AV60" s="2"/>
      <c r="AW60">
        <v>45</v>
      </c>
      <c r="AX60">
        <v>1</v>
      </c>
      <c r="AY60">
        <v>643</v>
      </c>
      <c r="AZ60" t="s">
        <v>709</v>
      </c>
      <c r="BA60">
        <v>120</v>
      </c>
      <c r="BB60" s="2">
        <v>0.21</v>
      </c>
      <c r="BC60" t="s">
        <v>923</v>
      </c>
      <c r="BD60" t="s">
        <v>922</v>
      </c>
      <c r="BE60" t="s">
        <v>940</v>
      </c>
      <c r="BF60" s="7">
        <v>15</v>
      </c>
      <c r="BG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0">
        <v>0</v>
      </c>
      <c r="BI60" t="s">
        <v>734</v>
      </c>
      <c r="BJ60" s="11"/>
      <c r="BK60" s="11"/>
      <c r="BL60" s="11">
        <v>42</v>
      </c>
      <c r="BM60">
        <v>0</v>
      </c>
      <c r="BN60" t="s">
        <v>692</v>
      </c>
      <c r="BO60" t="s">
        <v>694</v>
      </c>
      <c r="BP60" t="s">
        <v>701</v>
      </c>
      <c r="BQ60" t="s">
        <v>705</v>
      </c>
      <c r="BR60" t="s">
        <v>706</v>
      </c>
      <c r="BS60" t="s">
        <v>707</v>
      </c>
      <c r="CR60"/>
      <c r="CS60"/>
      <c r="CT60"/>
    </row>
    <row r="61" spans="1:98" x14ac:dyDescent="0.4">
      <c r="A61" s="2" t="s">
        <v>85</v>
      </c>
      <c r="B61" t="str">
        <f>_xlfn.TEXTAFTER(Table1[[#This Row],[VEHIDCODE]],"_")</f>
        <v>Austria_MBS_ET_10109</v>
      </c>
      <c r="C61" t="s">
        <v>738</v>
      </c>
      <c r="D61" t="b">
        <f>OR(ISNUMBER(SEARCH("wagon_",Table1[[#This Row],[FILENAMES_EXPECTED]])),ISNUMBER(SEARCH("coach_",Table1[[#This Row],[FILENAMES_EXPECTED]])))</f>
        <v>0</v>
      </c>
      <c r="E61" t="str">
        <f>"item_"&amp;Table1[[#This Row],[VEHIDCODE]]</f>
        <v>item_rbe_Austria_MBS_ET_10109</v>
      </c>
      <c r="F61" t="str">
        <f>"str_"&amp;Table1[[#This Row],[VEHIDCODE]]</f>
        <v>str_rbe_Austria_MBS_ET_10109</v>
      </c>
      <c r="I61" t="b">
        <v>1</v>
      </c>
      <c r="AJ61" s="2"/>
      <c r="AK61" s="2" t="b">
        <f>LEN(_xlfn.CONCAT(Table1[[#This Row],[TRACK_TYPE_STANDARD_GAUGE_RAILTYPE_OHLE]:[TRACK_TYPE_MTRO]]))&gt;0</f>
        <v>1</v>
      </c>
      <c r="AL61">
        <v>8</v>
      </c>
      <c r="AM61" t="s">
        <v>18</v>
      </c>
      <c r="AN61">
        <v>0</v>
      </c>
      <c r="AO61" t="s">
        <v>74</v>
      </c>
      <c r="AP61">
        <v>56</v>
      </c>
      <c r="AQ61">
        <v>2001</v>
      </c>
      <c r="AR61">
        <v>8</v>
      </c>
      <c r="AS61" s="2" t="s">
        <v>24</v>
      </c>
      <c r="AT61" t="b">
        <v>1</v>
      </c>
      <c r="AV61" s="2"/>
      <c r="AW61" t="s">
        <v>21</v>
      </c>
      <c r="AX61">
        <v>1</v>
      </c>
      <c r="AY61">
        <v>1180</v>
      </c>
      <c r="AZ61" t="s">
        <v>709</v>
      </c>
      <c r="BA61">
        <v>140</v>
      </c>
      <c r="BB61" s="2">
        <v>0.28999999999999998</v>
      </c>
      <c r="BC61" t="s">
        <v>923</v>
      </c>
      <c r="BD61" t="s">
        <v>922</v>
      </c>
      <c r="BE61" t="s">
        <v>940</v>
      </c>
      <c r="BF61" s="7">
        <v>15</v>
      </c>
      <c r="BG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">
        <v>0</v>
      </c>
      <c r="BI61" t="s">
        <v>734</v>
      </c>
      <c r="BJ61" s="11"/>
      <c r="BK61" s="11"/>
      <c r="BL61" s="11">
        <v>25</v>
      </c>
      <c r="BM61">
        <v>0</v>
      </c>
      <c r="BN61" t="s">
        <v>692</v>
      </c>
      <c r="BO61" t="s">
        <v>694</v>
      </c>
      <c r="BP61" t="s">
        <v>701</v>
      </c>
      <c r="BQ61" t="s">
        <v>705</v>
      </c>
      <c r="BR61" t="s">
        <v>706</v>
      </c>
      <c r="BS61" t="s">
        <v>707</v>
      </c>
      <c r="CR61"/>
      <c r="CS61"/>
      <c r="CT61"/>
    </row>
    <row r="62" spans="1:98" x14ac:dyDescent="0.4">
      <c r="A62" s="2" t="s">
        <v>86</v>
      </c>
      <c r="B62" t="str">
        <f>_xlfn.TEXTAFTER(Table1[[#This Row],[VEHIDCODE]],"_")</f>
        <v>Germany_DB_ET_85</v>
      </c>
      <c r="C62" t="s">
        <v>738</v>
      </c>
      <c r="D62" t="b">
        <f>OR(ISNUMBER(SEARCH("wagon_",Table1[[#This Row],[FILENAMES_EXPECTED]])),ISNUMBER(SEARCH("coach_",Table1[[#This Row],[FILENAMES_EXPECTED]])))</f>
        <v>0</v>
      </c>
      <c r="E62" t="str">
        <f>"item_"&amp;Table1[[#This Row],[VEHIDCODE]]</f>
        <v>item_rbe_Germany_DB_ET_85</v>
      </c>
      <c r="F62" t="str">
        <f>"str_"&amp;Table1[[#This Row],[VEHIDCODE]]</f>
        <v>str_rbe_Germany_DB_ET_85</v>
      </c>
      <c r="I62" t="b">
        <v>1</v>
      </c>
      <c r="AJ62" s="2"/>
      <c r="AK62" s="2" t="b">
        <f>LEN(_xlfn.CONCAT(Table1[[#This Row],[TRACK_TYPE_STANDARD_GAUGE_RAILTYPE_OHLE]:[TRACK_TYPE_MTRO]]))&gt;0</f>
        <v>1</v>
      </c>
      <c r="AL62">
        <v>8</v>
      </c>
      <c r="AM62" t="s">
        <v>18</v>
      </c>
      <c r="AN62">
        <v>0</v>
      </c>
      <c r="AO62" t="s">
        <v>74</v>
      </c>
      <c r="AP62">
        <v>75</v>
      </c>
      <c r="AQ62">
        <v>1927</v>
      </c>
      <c r="AR62">
        <v>8</v>
      </c>
      <c r="AS62" s="2" t="s">
        <v>24</v>
      </c>
      <c r="AT62" t="b">
        <v>1</v>
      </c>
      <c r="AV62" s="2"/>
      <c r="AW62">
        <v>45</v>
      </c>
      <c r="AX62">
        <v>1</v>
      </c>
      <c r="AY62">
        <v>740</v>
      </c>
      <c r="AZ62" t="s">
        <v>709</v>
      </c>
      <c r="BA62">
        <v>75</v>
      </c>
      <c r="BB62" s="2">
        <v>0.16</v>
      </c>
      <c r="BC62" t="s">
        <v>923</v>
      </c>
      <c r="BD62" t="s">
        <v>922</v>
      </c>
      <c r="BE62" t="s">
        <v>940</v>
      </c>
      <c r="BF62" s="7">
        <v>15</v>
      </c>
      <c r="BG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">
        <v>-3</v>
      </c>
      <c r="BI62" t="s">
        <v>734</v>
      </c>
      <c r="BJ62" s="11"/>
      <c r="BK62" s="11"/>
      <c r="BL62" s="11">
        <v>61</v>
      </c>
      <c r="BM62">
        <v>0</v>
      </c>
      <c r="BN62" t="s">
        <v>692</v>
      </c>
      <c r="BO62" t="s">
        <v>694</v>
      </c>
      <c r="BP62" t="s">
        <v>701</v>
      </c>
      <c r="BQ62" t="s">
        <v>705</v>
      </c>
      <c r="BR62" t="s">
        <v>706</v>
      </c>
      <c r="BS62" t="s">
        <v>707</v>
      </c>
      <c r="CR62"/>
      <c r="CS62"/>
      <c r="CT62"/>
    </row>
    <row r="63" spans="1:98" x14ac:dyDescent="0.4">
      <c r="A63" s="2" t="s">
        <v>87</v>
      </c>
      <c r="B63" t="str">
        <f>_xlfn.TEXTAFTER(Table1[[#This Row],[VEHIDCODE]],"_")</f>
        <v>Sweden_SJ_X16</v>
      </c>
      <c r="C63" t="s">
        <v>738</v>
      </c>
      <c r="D63" t="b">
        <f>OR(ISNUMBER(SEARCH("wagon_",Table1[[#This Row],[FILENAMES_EXPECTED]])),ISNUMBER(SEARCH("coach_",Table1[[#This Row],[FILENAMES_EXPECTED]])))</f>
        <v>0</v>
      </c>
      <c r="E63" t="str">
        <f>"item_"&amp;Table1[[#This Row],[VEHIDCODE]]</f>
        <v>item_rbe_Sweden_SJ_X16</v>
      </c>
      <c r="F63" t="str">
        <f>"str_"&amp;Table1[[#This Row],[VEHIDCODE]]</f>
        <v>str_rbe_Sweden_SJ_X16</v>
      </c>
      <c r="I63" t="b">
        <v>1</v>
      </c>
      <c r="AJ63" s="2"/>
      <c r="AK63" s="2" t="b">
        <f>LEN(_xlfn.CONCAT(Table1[[#This Row],[TRACK_TYPE_STANDARD_GAUGE_RAILTYPE_OHLE]:[TRACK_TYPE_MTRO]]))&gt;0</f>
        <v>1</v>
      </c>
      <c r="AL63">
        <v>6</v>
      </c>
      <c r="AM63" t="s">
        <v>18</v>
      </c>
      <c r="AN63">
        <v>0</v>
      </c>
      <c r="AO63" t="s">
        <v>74</v>
      </c>
      <c r="AP63">
        <v>55</v>
      </c>
      <c r="AQ63">
        <v>1955</v>
      </c>
      <c r="AR63">
        <v>6</v>
      </c>
      <c r="AS63" s="2" t="s">
        <v>24</v>
      </c>
      <c r="AT63" t="b">
        <v>1</v>
      </c>
      <c r="AV63" s="2"/>
      <c r="AW63">
        <v>45</v>
      </c>
      <c r="AX63">
        <v>1</v>
      </c>
      <c r="AY63">
        <v>230</v>
      </c>
      <c r="AZ63" t="s">
        <v>709</v>
      </c>
      <c r="BA63">
        <v>110</v>
      </c>
      <c r="BB63" s="2">
        <v>0.34</v>
      </c>
      <c r="BC63" t="s">
        <v>927</v>
      </c>
      <c r="BD63" t="s">
        <v>922</v>
      </c>
      <c r="BE63" t="s">
        <v>940</v>
      </c>
      <c r="BF63" s="7">
        <v>15</v>
      </c>
      <c r="BG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">
        <v>0</v>
      </c>
      <c r="BI63" t="s">
        <v>734</v>
      </c>
      <c r="BJ63" s="11"/>
      <c r="BK63" s="11"/>
      <c r="BL63" s="11">
        <v>21</v>
      </c>
      <c r="BM63">
        <v>0</v>
      </c>
      <c r="BN63" t="s">
        <v>692</v>
      </c>
      <c r="BO63" t="s">
        <v>694</v>
      </c>
      <c r="BP63" t="s">
        <v>701</v>
      </c>
      <c r="BQ63" t="s">
        <v>705</v>
      </c>
      <c r="BR63" t="s">
        <v>706</v>
      </c>
      <c r="BS63" t="s">
        <v>707</v>
      </c>
      <c r="CR63"/>
      <c r="CS63"/>
      <c r="CT63"/>
    </row>
    <row r="64" spans="1:98" x14ac:dyDescent="0.4">
      <c r="A64" s="2" t="s">
        <v>88</v>
      </c>
      <c r="B64" t="str">
        <f>_xlfn.TEXTAFTER(Table1[[#This Row],[VEHIDCODE]],"_")</f>
        <v>USA_Pennsylvania_Railroad_Silverliner_II</v>
      </c>
      <c r="C64" t="s">
        <v>738</v>
      </c>
      <c r="D64" t="b">
        <f>OR(ISNUMBER(SEARCH("wagon_",Table1[[#This Row],[FILENAMES_EXPECTED]])),ISNUMBER(SEARCH("coach_",Table1[[#This Row],[FILENAMES_EXPECTED]])))</f>
        <v>0</v>
      </c>
      <c r="E64" t="str">
        <f>"item_"&amp;Table1[[#This Row],[VEHIDCODE]]</f>
        <v>item_rbe_USA_Pennsylvania_Railroad_Silverliner_II</v>
      </c>
      <c r="F64" t="str">
        <f>"str_"&amp;Table1[[#This Row],[VEHIDCODE]]</f>
        <v>str_rbe_USA_Pennsylvania_Railroad_Silverliner_II</v>
      </c>
      <c r="I64" t="b">
        <v>1</v>
      </c>
      <c r="AJ64" s="2"/>
      <c r="AK64" s="2" t="b">
        <f>LEN(_xlfn.CONCAT(Table1[[#This Row],[TRACK_TYPE_STANDARD_GAUGE_RAILTYPE_OHLE]:[TRACK_TYPE_MTRO]]))&gt;0</f>
        <v>1</v>
      </c>
      <c r="AL64">
        <v>8</v>
      </c>
      <c r="AM64" t="s">
        <v>18</v>
      </c>
      <c r="AN64">
        <v>0</v>
      </c>
      <c r="AO64" t="s">
        <v>74</v>
      </c>
      <c r="AP64">
        <v>124</v>
      </c>
      <c r="AQ64">
        <v>1963</v>
      </c>
      <c r="AR64">
        <v>8</v>
      </c>
      <c r="AS64" s="2" t="s">
        <v>24</v>
      </c>
      <c r="AT64" t="b">
        <v>1</v>
      </c>
      <c r="AV64" s="2"/>
      <c r="AW64">
        <v>45</v>
      </c>
      <c r="AX64">
        <v>1</v>
      </c>
      <c r="AY64">
        <v>550</v>
      </c>
      <c r="AZ64" t="s">
        <v>709</v>
      </c>
      <c r="BA64">
        <v>160</v>
      </c>
      <c r="BB64" s="2">
        <v>0.18</v>
      </c>
      <c r="BC64" t="s">
        <v>928</v>
      </c>
      <c r="BD64" t="s">
        <v>922</v>
      </c>
      <c r="BE64" t="s">
        <v>940</v>
      </c>
      <c r="BF64" s="7">
        <v>15</v>
      </c>
      <c r="BG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4">
        <v>0</v>
      </c>
      <c r="BI64" t="s">
        <v>734</v>
      </c>
      <c r="BJ64" s="11"/>
      <c r="BK64" s="11"/>
      <c r="BL64" s="11">
        <v>46</v>
      </c>
      <c r="BM64">
        <v>0</v>
      </c>
      <c r="BN64" t="s">
        <v>692</v>
      </c>
      <c r="BO64" t="s">
        <v>694</v>
      </c>
      <c r="BP64" t="s">
        <v>701</v>
      </c>
      <c r="BQ64" t="s">
        <v>705</v>
      </c>
      <c r="BR64" t="s">
        <v>706</v>
      </c>
      <c r="BS64" t="s">
        <v>707</v>
      </c>
      <c r="CR64"/>
      <c r="CS64"/>
      <c r="CT64"/>
    </row>
    <row r="65" spans="1:98" x14ac:dyDescent="0.4">
      <c r="A65" s="2" t="s">
        <v>89</v>
      </c>
      <c r="B65" t="str">
        <f>_xlfn.TEXTAFTER(Table1[[#This Row],[VEHIDCODE]],"_")</f>
        <v>USA_SEPTA_Silverliner_V</v>
      </c>
      <c r="C65" t="s">
        <v>738</v>
      </c>
      <c r="D65" t="b">
        <f>OR(ISNUMBER(SEARCH("wagon_",Table1[[#This Row],[FILENAMES_EXPECTED]])),ISNUMBER(SEARCH("coach_",Table1[[#This Row],[FILENAMES_EXPECTED]])))</f>
        <v>0</v>
      </c>
      <c r="E65" t="str">
        <f>"item_"&amp;Table1[[#This Row],[VEHIDCODE]]</f>
        <v>item_rbe_USA_SEPTA_Silverliner_V</v>
      </c>
      <c r="F65" t="str">
        <f>"str_"&amp;Table1[[#This Row],[VEHIDCODE]]</f>
        <v>str_rbe_USA_SEPTA_Silverliner_V</v>
      </c>
      <c r="G65" t="b">
        <v>1</v>
      </c>
      <c r="AJ65" s="2"/>
      <c r="AK65" s="2" t="b">
        <f>LEN(_xlfn.CONCAT(Table1[[#This Row],[TRACK_TYPE_STANDARD_GAUGE_RAILTYPE_OHLE]:[TRACK_TYPE_MTRO]]))&gt;0</f>
        <v>1</v>
      </c>
      <c r="AL65">
        <v>8</v>
      </c>
      <c r="AM65" t="s">
        <v>18</v>
      </c>
      <c r="AN65">
        <v>0</v>
      </c>
      <c r="AO65" t="s">
        <v>74</v>
      </c>
      <c r="AP65">
        <v>110</v>
      </c>
      <c r="AQ65">
        <v>2010</v>
      </c>
      <c r="AR65">
        <v>8</v>
      </c>
      <c r="AS65" s="2" t="s">
        <v>24</v>
      </c>
      <c r="AT65" t="b">
        <v>1</v>
      </c>
      <c r="AV65" s="2"/>
      <c r="AW65" t="s">
        <v>21</v>
      </c>
      <c r="AX65">
        <v>1</v>
      </c>
      <c r="AY65">
        <v>680</v>
      </c>
      <c r="AZ65" t="s">
        <v>709</v>
      </c>
      <c r="BA65">
        <v>180</v>
      </c>
      <c r="BB65" s="2">
        <v>0.17</v>
      </c>
      <c r="BC65" t="s">
        <v>928</v>
      </c>
      <c r="BD65" t="s">
        <v>922</v>
      </c>
      <c r="BE65" t="s">
        <v>940</v>
      </c>
      <c r="BF65" s="7">
        <v>15</v>
      </c>
      <c r="BG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5">
        <v>0</v>
      </c>
      <c r="BI65" t="s">
        <v>734</v>
      </c>
      <c r="BJ65" s="11"/>
      <c r="BK65" s="11"/>
      <c r="BL65" s="11">
        <v>66</v>
      </c>
      <c r="BM65">
        <v>0</v>
      </c>
      <c r="BN65" t="s">
        <v>692</v>
      </c>
      <c r="BO65" t="s">
        <v>694</v>
      </c>
      <c r="BP65" t="s">
        <v>701</v>
      </c>
      <c r="BQ65" t="s">
        <v>705</v>
      </c>
      <c r="BR65" t="s">
        <v>706</v>
      </c>
      <c r="BS65" t="s">
        <v>707</v>
      </c>
      <c r="CR65"/>
      <c r="CS65"/>
      <c r="CT65"/>
    </row>
    <row r="66" spans="1:98" x14ac:dyDescent="0.4">
      <c r="A66" s="2" t="s">
        <v>90</v>
      </c>
      <c r="B66" t="str">
        <f>_xlfn.TEXTAFTER(Table1[[#This Row],[VEHIDCODE]],"_")</f>
        <v>Belgium_Le_Belge</v>
      </c>
      <c r="C66" t="s">
        <v>739</v>
      </c>
      <c r="D66" t="b">
        <f>OR(ISNUMBER(SEARCH("wagon_",Table1[[#This Row],[FILENAMES_EXPECTED]])),ISNUMBER(SEARCH("coach_",Table1[[#This Row],[FILENAMES_EXPECTED]])))</f>
        <v>0</v>
      </c>
      <c r="E66" t="str">
        <f>"item_"&amp;Table1[[#This Row],[VEHIDCODE]]</f>
        <v>item_steam_Belgium_Le_Belge</v>
      </c>
      <c r="F66" t="str">
        <f>"str_"&amp;Table1[[#This Row],[VEHIDCODE]]</f>
        <v>str_steam_Belgium_Le_Belge</v>
      </c>
      <c r="O66" s="2" t="b">
        <v>1</v>
      </c>
      <c r="AJ66" s="2"/>
      <c r="AK66" s="2" t="b">
        <f>LEN(_xlfn.CONCAT(Table1[[#This Row],[TRACK_TYPE_STANDARD_GAUGE_RAILTYPE_OHLE]:[TRACK_TYPE_MTRO]]))&gt;0</f>
        <v>1</v>
      </c>
      <c r="AL66">
        <v>7</v>
      </c>
      <c r="AM66" t="s">
        <v>20</v>
      </c>
      <c r="AN66">
        <v>0</v>
      </c>
      <c r="AO66" t="s">
        <v>23</v>
      </c>
      <c r="AP66">
        <v>0</v>
      </c>
      <c r="AQ66">
        <v>1835</v>
      </c>
      <c r="AR66">
        <v>7</v>
      </c>
      <c r="AS66" s="2" t="s">
        <v>20</v>
      </c>
      <c r="AT66" t="b">
        <v>1</v>
      </c>
      <c r="AV66" s="2"/>
      <c r="AW66">
        <v>45</v>
      </c>
      <c r="AX66">
        <v>1</v>
      </c>
      <c r="AY66">
        <v>50</v>
      </c>
      <c r="AZ66" t="s">
        <v>710</v>
      </c>
      <c r="BA66">
        <v>35</v>
      </c>
      <c r="BB66" s="2">
        <v>0.09</v>
      </c>
      <c r="BC66" t="s">
        <v>923</v>
      </c>
      <c r="BD66" t="s">
        <v>922</v>
      </c>
      <c r="BE66" t="s">
        <v>940</v>
      </c>
      <c r="BF66" s="7">
        <v>40</v>
      </c>
      <c r="BG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66">
        <v>-3</v>
      </c>
      <c r="BI66" t="s">
        <v>734</v>
      </c>
      <c r="BJ66" s="11"/>
      <c r="BK66" s="11"/>
      <c r="BL66" s="11">
        <v>16</v>
      </c>
      <c r="BM66">
        <v>0</v>
      </c>
      <c r="BN66" t="s">
        <v>692</v>
      </c>
      <c r="BO66" t="s">
        <v>694</v>
      </c>
      <c r="BP66" t="s">
        <v>701</v>
      </c>
      <c r="BQ66" t="s">
        <v>705</v>
      </c>
      <c r="BR66" t="s">
        <v>706</v>
      </c>
      <c r="BS66" t="s">
        <v>707</v>
      </c>
      <c r="CR66"/>
      <c r="CS66"/>
      <c r="CT66"/>
    </row>
    <row r="67" spans="1:98" x14ac:dyDescent="0.4">
      <c r="A67" s="2" t="s">
        <v>91</v>
      </c>
      <c r="B67" t="str">
        <f>_xlfn.TEXTAFTER(Table1[[#This Row],[VEHIDCODE]],"_")</f>
        <v>USA_4_4_0_American</v>
      </c>
      <c r="C67" t="s">
        <v>739</v>
      </c>
      <c r="D67" t="b">
        <f>OR(ISNUMBER(SEARCH("wagon_",Table1[[#This Row],[FILENAMES_EXPECTED]])),ISNUMBER(SEARCH("coach_",Table1[[#This Row],[FILENAMES_EXPECTED]])))</f>
        <v>0</v>
      </c>
      <c r="E67" t="str">
        <f>"item_"&amp;Table1[[#This Row],[VEHIDCODE]]</f>
        <v>item_steam_USA_4_4_0_American</v>
      </c>
      <c r="F67" t="str">
        <f>"str_"&amp;Table1[[#This Row],[VEHIDCODE]]</f>
        <v>str_steam_USA_4_4_0_American</v>
      </c>
      <c r="O67" s="2" t="b">
        <v>1</v>
      </c>
      <c r="AJ67" s="2"/>
      <c r="AK67" s="2" t="b">
        <f>LEN(_xlfn.CONCAT(Table1[[#This Row],[TRACK_TYPE_STANDARD_GAUGE_RAILTYPE_OHLE]:[TRACK_TYPE_MTRO]]))&gt;0</f>
        <v>1</v>
      </c>
      <c r="AL67">
        <v>8</v>
      </c>
      <c r="AM67" t="s">
        <v>20</v>
      </c>
      <c r="AN67">
        <v>0</v>
      </c>
      <c r="AO67" t="s">
        <v>23</v>
      </c>
      <c r="AP67">
        <v>0</v>
      </c>
      <c r="AQ67">
        <v>1848</v>
      </c>
      <c r="AR67">
        <v>6</v>
      </c>
      <c r="AS67" s="2" t="s">
        <v>20</v>
      </c>
      <c r="AT67" t="b">
        <v>1</v>
      </c>
      <c r="AV67" s="2"/>
      <c r="AW67">
        <v>45</v>
      </c>
      <c r="AX67">
        <v>1</v>
      </c>
      <c r="AY67">
        <v>650</v>
      </c>
      <c r="AZ67" t="s">
        <v>710</v>
      </c>
      <c r="BA67">
        <v>96</v>
      </c>
      <c r="BB67" s="2">
        <v>7.0000000000000007E-2</v>
      </c>
      <c r="BC67" t="s">
        <v>928</v>
      </c>
      <c r="BD67" t="s">
        <v>922</v>
      </c>
      <c r="BE67" t="s">
        <v>940</v>
      </c>
      <c r="BF67" s="7">
        <v>40</v>
      </c>
      <c r="BG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67">
        <v>0</v>
      </c>
      <c r="BI67" t="s">
        <v>734</v>
      </c>
      <c r="BJ67" s="11"/>
      <c r="BK67" s="11"/>
      <c r="BL67" s="11">
        <v>60</v>
      </c>
      <c r="BM67">
        <v>0</v>
      </c>
      <c r="BN67" t="s">
        <v>692</v>
      </c>
      <c r="BO67" t="s">
        <v>694</v>
      </c>
      <c r="BP67" t="s">
        <v>701</v>
      </c>
      <c r="BQ67" t="s">
        <v>705</v>
      </c>
      <c r="BR67" t="s">
        <v>706</v>
      </c>
      <c r="BS67" t="s">
        <v>707</v>
      </c>
      <c r="CR67"/>
      <c r="CS67"/>
      <c r="CT67"/>
    </row>
    <row r="68" spans="1:98" x14ac:dyDescent="0.4">
      <c r="A68" s="2" t="s">
        <v>92</v>
      </c>
      <c r="B68" t="str">
        <f>_xlfn.TEXTAFTER(Table1[[#This Row],[VEHIDCODE]],"_")</f>
        <v>Switzerland_SBB_Ec_2_5</v>
      </c>
      <c r="C68" t="s">
        <v>739</v>
      </c>
      <c r="D68" t="b">
        <f>OR(ISNUMBER(SEARCH("wagon_",Table1[[#This Row],[FILENAMES_EXPECTED]])),ISNUMBER(SEARCH("coach_",Table1[[#This Row],[FILENAMES_EXPECTED]])))</f>
        <v>0</v>
      </c>
      <c r="E68" t="str">
        <f>"item_"&amp;Table1[[#This Row],[VEHIDCODE]]</f>
        <v>item_steam_Switzerland_SBB_Ec_2_5</v>
      </c>
      <c r="F68" t="str">
        <f>"str_"&amp;Table1[[#This Row],[VEHIDCODE]]</f>
        <v>str_steam_Switzerland_SBB_Ec_2_5</v>
      </c>
      <c r="O68" s="2" t="b">
        <v>1</v>
      </c>
      <c r="AJ68" s="2"/>
      <c r="AK68" s="2" t="b">
        <f>LEN(_xlfn.CONCAT(Table1[[#This Row],[TRACK_TYPE_STANDARD_GAUGE_RAILTYPE_OHLE]:[TRACK_TYPE_MTRO]]))&gt;0</f>
        <v>1</v>
      </c>
      <c r="AL68">
        <v>5</v>
      </c>
      <c r="AM68" t="s">
        <v>20</v>
      </c>
      <c r="AN68">
        <v>0</v>
      </c>
      <c r="AO68" t="s">
        <v>23</v>
      </c>
      <c r="AP68">
        <v>0</v>
      </c>
      <c r="AQ68">
        <v>1854</v>
      </c>
      <c r="AR68">
        <v>5</v>
      </c>
      <c r="AS68" s="2" t="s">
        <v>20</v>
      </c>
      <c r="AT68" t="b">
        <v>1</v>
      </c>
      <c r="AV68" s="2"/>
      <c r="AW68">
        <v>45</v>
      </c>
      <c r="AX68">
        <v>1</v>
      </c>
      <c r="AY68">
        <v>400</v>
      </c>
      <c r="AZ68" t="s">
        <v>710</v>
      </c>
      <c r="BA68">
        <v>60</v>
      </c>
      <c r="BB68" s="2">
        <v>0.1</v>
      </c>
      <c r="BC68" t="s">
        <v>923</v>
      </c>
      <c r="BD68" t="s">
        <v>922</v>
      </c>
      <c r="BE68" t="s">
        <v>940</v>
      </c>
      <c r="BF68" s="7">
        <v>40</v>
      </c>
      <c r="BG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68">
        <v>-3</v>
      </c>
      <c r="BI68" t="s">
        <v>734</v>
      </c>
      <c r="BJ68" s="11"/>
      <c r="BK68" s="11"/>
      <c r="BL68" s="11">
        <v>46</v>
      </c>
      <c r="BM68">
        <v>0</v>
      </c>
      <c r="BN68" t="s">
        <v>692</v>
      </c>
      <c r="BO68" t="s">
        <v>694</v>
      </c>
      <c r="BP68" t="s">
        <v>701</v>
      </c>
      <c r="BQ68" t="s">
        <v>705</v>
      </c>
      <c r="BR68" t="s">
        <v>706</v>
      </c>
      <c r="BS68" t="s">
        <v>707</v>
      </c>
      <c r="CR68"/>
      <c r="CS68"/>
      <c r="CT68"/>
    </row>
    <row r="69" spans="1:98" x14ac:dyDescent="0.4">
      <c r="A69" s="2" t="s">
        <v>93</v>
      </c>
      <c r="B69" t="str">
        <f>_xlfn.TEXTAFTER(Table1[[#This Row],[VEHIDCODE]],"_")</f>
        <v>USA_4_6_0_Ten_wheeler</v>
      </c>
      <c r="C69" t="s">
        <v>739</v>
      </c>
      <c r="D69" t="b">
        <f>OR(ISNUMBER(SEARCH("wagon_",Table1[[#This Row],[FILENAMES_EXPECTED]])),ISNUMBER(SEARCH("coach_",Table1[[#This Row],[FILENAMES_EXPECTED]])))</f>
        <v>0</v>
      </c>
      <c r="E69" t="str">
        <f>"item_"&amp;Table1[[#This Row],[VEHIDCODE]]</f>
        <v>item_steam_USA_4_6_0_Ten_wheeler</v>
      </c>
      <c r="F69" t="str">
        <f>"str_"&amp;Table1[[#This Row],[VEHIDCODE]]</f>
        <v>str_steam_USA_4_6_0_Ten_wheeler</v>
      </c>
      <c r="O69" s="2" t="b">
        <v>1</v>
      </c>
      <c r="AJ69" s="2"/>
      <c r="AK69" s="2" t="b">
        <f>LEN(_xlfn.CONCAT(Table1[[#This Row],[TRACK_TYPE_STANDARD_GAUGE_RAILTYPE_OHLE]:[TRACK_TYPE_MTRO]]))&gt;0</f>
        <v>1</v>
      </c>
      <c r="AL69">
        <v>8</v>
      </c>
      <c r="AM69" t="s">
        <v>20</v>
      </c>
      <c r="AN69">
        <v>0</v>
      </c>
      <c r="AO69" t="s">
        <v>23</v>
      </c>
      <c r="AP69">
        <v>0</v>
      </c>
      <c r="AQ69">
        <v>1869</v>
      </c>
      <c r="AR69">
        <v>7</v>
      </c>
      <c r="AS69" s="2" t="s">
        <v>20</v>
      </c>
      <c r="AT69" t="b">
        <v>1</v>
      </c>
      <c r="AV69" s="2"/>
      <c r="AW69">
        <v>45</v>
      </c>
      <c r="AX69">
        <v>1</v>
      </c>
      <c r="AY69">
        <v>700</v>
      </c>
      <c r="AZ69" t="s">
        <v>710</v>
      </c>
      <c r="BA69">
        <v>96</v>
      </c>
      <c r="BB69" s="2">
        <v>0.08</v>
      </c>
      <c r="BC69" t="s">
        <v>928</v>
      </c>
      <c r="BD69" t="s">
        <v>922</v>
      </c>
      <c r="BE69" t="s">
        <v>940</v>
      </c>
      <c r="BF69" s="7">
        <v>40</v>
      </c>
      <c r="BG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69">
        <v>0</v>
      </c>
      <c r="BI69" t="s">
        <v>734</v>
      </c>
      <c r="BJ69" s="11"/>
      <c r="BK69" s="11"/>
      <c r="BL69" s="11">
        <v>69</v>
      </c>
      <c r="BM69">
        <v>0</v>
      </c>
      <c r="BN69" t="s">
        <v>692</v>
      </c>
      <c r="BO69" t="s">
        <v>694</v>
      </c>
      <c r="BP69" t="s">
        <v>701</v>
      </c>
      <c r="BQ69" t="s">
        <v>705</v>
      </c>
      <c r="BR69" t="s">
        <v>706</v>
      </c>
      <c r="BS69" t="s">
        <v>707</v>
      </c>
      <c r="CR69"/>
      <c r="CS69"/>
      <c r="CT69"/>
    </row>
    <row r="70" spans="1:98" x14ac:dyDescent="0.4">
      <c r="A70" s="2" t="s">
        <v>94</v>
      </c>
      <c r="B70" t="str">
        <f>_xlfn.TEXTAFTER(Table1[[#This Row],[VEHIDCODE]],"_")</f>
        <v>USA_2_8_0_Consolidation</v>
      </c>
      <c r="C70" t="s">
        <v>739</v>
      </c>
      <c r="D70" t="b">
        <f>OR(ISNUMBER(SEARCH("wagon_",Table1[[#This Row],[FILENAMES_EXPECTED]])),ISNUMBER(SEARCH("coach_",Table1[[#This Row],[FILENAMES_EXPECTED]])))</f>
        <v>0</v>
      </c>
      <c r="E70" t="str">
        <f>"item_"&amp;Table1[[#This Row],[VEHIDCODE]]</f>
        <v>item_steam_USA_2_8_0_Consolidation</v>
      </c>
      <c r="F70" t="str">
        <f>"str_"&amp;Table1[[#This Row],[VEHIDCODE]]</f>
        <v>str_steam_USA_2_8_0_Consolidation</v>
      </c>
      <c r="O70" s="2" t="b">
        <v>1</v>
      </c>
      <c r="AJ70" s="2"/>
      <c r="AK70" s="2" t="b">
        <f>LEN(_xlfn.CONCAT(Table1[[#This Row],[TRACK_TYPE_STANDARD_GAUGE_RAILTYPE_OHLE]:[TRACK_TYPE_MTRO]]))&gt;0</f>
        <v>1</v>
      </c>
      <c r="AL70">
        <v>10</v>
      </c>
      <c r="AM70" t="s">
        <v>20</v>
      </c>
      <c r="AN70">
        <v>0</v>
      </c>
      <c r="AO70" t="s">
        <v>23</v>
      </c>
      <c r="AP70">
        <v>0</v>
      </c>
      <c r="AQ70">
        <v>1875</v>
      </c>
      <c r="AR70">
        <v>8</v>
      </c>
      <c r="AS70" s="2" t="s">
        <v>20</v>
      </c>
      <c r="AT70" t="b">
        <v>1</v>
      </c>
      <c r="AV70" s="2"/>
      <c r="AW70">
        <v>45</v>
      </c>
      <c r="AX70">
        <v>1</v>
      </c>
      <c r="AY70">
        <v>1000</v>
      </c>
      <c r="AZ70" t="s">
        <v>710</v>
      </c>
      <c r="BA70">
        <v>80</v>
      </c>
      <c r="BB70" s="2">
        <v>0.13</v>
      </c>
      <c r="BC70" t="s">
        <v>928</v>
      </c>
      <c r="BD70" t="s">
        <v>922</v>
      </c>
      <c r="BE70" t="s">
        <v>940</v>
      </c>
      <c r="BF70" s="7">
        <v>40</v>
      </c>
      <c r="BG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0">
        <v>0</v>
      </c>
      <c r="BI70" t="s">
        <v>734</v>
      </c>
      <c r="BJ70" s="11"/>
      <c r="BK70" s="11"/>
      <c r="BL70" s="11">
        <v>126</v>
      </c>
      <c r="BM70">
        <v>0</v>
      </c>
      <c r="BN70" t="s">
        <v>692</v>
      </c>
      <c r="BO70" t="s">
        <v>694</v>
      </c>
      <c r="BP70" t="s">
        <v>701</v>
      </c>
      <c r="BQ70" t="s">
        <v>705</v>
      </c>
      <c r="BR70" t="s">
        <v>706</v>
      </c>
      <c r="BS70" t="s">
        <v>707</v>
      </c>
      <c r="CR70"/>
      <c r="CS70"/>
      <c r="CT70"/>
    </row>
    <row r="71" spans="1:98" x14ac:dyDescent="0.4">
      <c r="A71" s="2" t="s">
        <v>95</v>
      </c>
      <c r="B71" t="str">
        <f>_xlfn.TEXTAFTER(Table1[[#This Row],[VEHIDCODE]],"_")</f>
        <v>Hungary_MAV_377</v>
      </c>
      <c r="C71" t="s">
        <v>739</v>
      </c>
      <c r="D71" t="b">
        <f>OR(ISNUMBER(SEARCH("wagon_",Table1[[#This Row],[FILENAMES_EXPECTED]])),ISNUMBER(SEARCH("coach_",Table1[[#This Row],[FILENAMES_EXPECTED]])))</f>
        <v>0</v>
      </c>
      <c r="E71" t="str">
        <f>"item_"&amp;Table1[[#This Row],[VEHIDCODE]]</f>
        <v>item_steam_Hungary_MAV_377</v>
      </c>
      <c r="F71" t="str">
        <f>"str_"&amp;Table1[[#This Row],[VEHIDCODE]]</f>
        <v>str_steam_Hungary_MAV_377</v>
      </c>
      <c r="O71" s="2" t="b">
        <v>1</v>
      </c>
      <c r="AJ71" s="2"/>
      <c r="AK71" s="2" t="b">
        <f>LEN(_xlfn.CONCAT(Table1[[#This Row],[TRACK_TYPE_STANDARD_GAUGE_RAILTYPE_OHLE]:[TRACK_TYPE_MTRO]]))&gt;0</f>
        <v>1</v>
      </c>
      <c r="AL71">
        <v>6</v>
      </c>
      <c r="AM71" t="s">
        <v>20</v>
      </c>
      <c r="AN71">
        <v>0</v>
      </c>
      <c r="AO71" t="s">
        <v>23</v>
      </c>
      <c r="AP71">
        <v>0</v>
      </c>
      <c r="AQ71">
        <v>1885</v>
      </c>
      <c r="AR71">
        <v>6</v>
      </c>
      <c r="AS71" s="2" t="s">
        <v>20</v>
      </c>
      <c r="AT71" t="b">
        <v>1</v>
      </c>
      <c r="AV71" s="2"/>
      <c r="AW71">
        <v>45</v>
      </c>
      <c r="AX71">
        <v>0</v>
      </c>
      <c r="AY71">
        <v>300</v>
      </c>
      <c r="AZ71" t="s">
        <v>710</v>
      </c>
      <c r="BA71">
        <v>45</v>
      </c>
      <c r="BB71" s="2">
        <v>0.21</v>
      </c>
      <c r="BC71" t="s">
        <v>929</v>
      </c>
      <c r="BD71" t="s">
        <v>922</v>
      </c>
      <c r="BE71" t="s">
        <v>940</v>
      </c>
      <c r="BF71" s="7">
        <v>40</v>
      </c>
      <c r="BG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1">
        <v>-3</v>
      </c>
      <c r="BI71" t="s">
        <v>734</v>
      </c>
      <c r="BJ71" s="11"/>
      <c r="BK71" s="11"/>
      <c r="BL71" s="11">
        <v>27</v>
      </c>
      <c r="BM71">
        <v>0</v>
      </c>
      <c r="BN71" t="s">
        <v>692</v>
      </c>
      <c r="BO71" t="s">
        <v>694</v>
      </c>
      <c r="BP71" t="s">
        <v>701</v>
      </c>
      <c r="BQ71" t="s">
        <v>705</v>
      </c>
      <c r="BR71" t="s">
        <v>706</v>
      </c>
      <c r="BS71" t="s">
        <v>707</v>
      </c>
      <c r="CR71"/>
      <c r="CS71"/>
      <c r="CT71"/>
    </row>
    <row r="72" spans="1:98" x14ac:dyDescent="0.4">
      <c r="A72" s="2" t="s">
        <v>96</v>
      </c>
      <c r="B72" t="str">
        <f>_xlfn.TEXTAFTER(Table1[[#This Row],[VEHIDCODE]],"_")</f>
        <v>Austria_KkStB_99</v>
      </c>
      <c r="C72" t="s">
        <v>739</v>
      </c>
      <c r="D72" t="b">
        <f>OR(ISNUMBER(SEARCH("wagon_",Table1[[#This Row],[FILENAMES_EXPECTED]])),ISNUMBER(SEARCH("coach_",Table1[[#This Row],[FILENAMES_EXPECTED]])))</f>
        <v>0</v>
      </c>
      <c r="E72" t="str">
        <f>"item_"&amp;Table1[[#This Row],[VEHIDCODE]]</f>
        <v>item_steam_Austria_KkStB_99</v>
      </c>
      <c r="F72" t="str">
        <f>"str_"&amp;Table1[[#This Row],[VEHIDCODE]]</f>
        <v>str_steam_Austria_KkStB_99</v>
      </c>
      <c r="O72" s="2" t="b">
        <v>1</v>
      </c>
      <c r="AJ72" s="2"/>
      <c r="AK72" s="2" t="b">
        <f>LEN(_xlfn.CONCAT(Table1[[#This Row],[TRACK_TYPE_STANDARD_GAUGE_RAILTYPE_OHLE]:[TRACK_TYPE_MTRO]]))&gt;0</f>
        <v>1</v>
      </c>
      <c r="AL72">
        <v>6</v>
      </c>
      <c r="AM72" t="s">
        <v>20</v>
      </c>
      <c r="AN72">
        <v>0</v>
      </c>
      <c r="AO72" t="s">
        <v>23</v>
      </c>
      <c r="AP72">
        <v>0</v>
      </c>
      <c r="AQ72">
        <v>1897</v>
      </c>
      <c r="AR72">
        <v>6</v>
      </c>
      <c r="AS72" s="2" t="s">
        <v>20</v>
      </c>
      <c r="AT72" t="b">
        <v>1</v>
      </c>
      <c r="AV72" s="2"/>
      <c r="AW72">
        <v>45</v>
      </c>
      <c r="AX72">
        <v>1</v>
      </c>
      <c r="AY72">
        <v>575</v>
      </c>
      <c r="AZ72" t="s">
        <v>710</v>
      </c>
      <c r="BA72">
        <v>50</v>
      </c>
      <c r="BB72" s="2">
        <v>0.23</v>
      </c>
      <c r="BC72" t="s">
        <v>923</v>
      </c>
      <c r="BD72" t="s">
        <v>922</v>
      </c>
      <c r="BE72" t="s">
        <v>940</v>
      </c>
      <c r="BF72" s="7">
        <v>40</v>
      </c>
      <c r="BG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2">
        <v>-3</v>
      </c>
      <c r="BI72" t="s">
        <v>734</v>
      </c>
      <c r="BJ72" s="11"/>
      <c r="BK72" s="11"/>
      <c r="BL72" s="11">
        <v>52</v>
      </c>
      <c r="BM72">
        <v>0</v>
      </c>
      <c r="BN72" t="s">
        <v>692</v>
      </c>
      <c r="BO72" t="s">
        <v>694</v>
      </c>
      <c r="BP72" t="s">
        <v>701</v>
      </c>
      <c r="BQ72" t="s">
        <v>705</v>
      </c>
      <c r="BR72" t="s">
        <v>706</v>
      </c>
      <c r="BS72" t="s">
        <v>707</v>
      </c>
      <c r="CR72"/>
      <c r="CS72"/>
      <c r="CT72"/>
    </row>
    <row r="73" spans="1:98" x14ac:dyDescent="0.4">
      <c r="A73" s="2" t="s">
        <v>97</v>
      </c>
      <c r="B73" t="str">
        <f>_xlfn.TEXTAFTER(Table1[[#This Row],[VEHIDCODE]],"_")</f>
        <v>UK_Caledonian_Railway_439</v>
      </c>
      <c r="C73" t="s">
        <v>739</v>
      </c>
      <c r="D73" t="b">
        <f>OR(ISNUMBER(SEARCH("wagon_",Table1[[#This Row],[FILENAMES_EXPECTED]])),ISNUMBER(SEARCH("coach_",Table1[[#This Row],[FILENAMES_EXPECTED]])))</f>
        <v>0</v>
      </c>
      <c r="E73" t="str">
        <f>"item_"&amp;Table1[[#This Row],[VEHIDCODE]]</f>
        <v>item_steam_UK_Caledonian_Railway_439</v>
      </c>
      <c r="F73" t="str">
        <f>"str_"&amp;Table1[[#This Row],[VEHIDCODE]]</f>
        <v>str_steam_UK_Caledonian_Railway_439</v>
      </c>
      <c r="O73" s="2" t="b">
        <v>1</v>
      </c>
      <c r="AJ73" s="2"/>
      <c r="AK73" s="2" t="b">
        <f>LEN(_xlfn.CONCAT(Table1[[#This Row],[TRACK_TYPE_STANDARD_GAUGE_RAILTYPE_OHLE]:[TRACK_TYPE_MTRO]]))&gt;0</f>
        <v>1</v>
      </c>
      <c r="AL73">
        <v>7</v>
      </c>
      <c r="AM73" t="s">
        <v>20</v>
      </c>
      <c r="AN73">
        <v>0</v>
      </c>
      <c r="AO73" t="s">
        <v>23</v>
      </c>
      <c r="AP73">
        <v>0</v>
      </c>
      <c r="AQ73">
        <v>1899</v>
      </c>
      <c r="AR73">
        <v>7</v>
      </c>
      <c r="AS73" s="2" t="s">
        <v>20</v>
      </c>
      <c r="AT73" t="b">
        <v>1</v>
      </c>
      <c r="AV73" s="2"/>
      <c r="AW73">
        <v>45</v>
      </c>
      <c r="AX73">
        <v>0</v>
      </c>
      <c r="AY73">
        <v>540</v>
      </c>
      <c r="AZ73" t="s">
        <v>710</v>
      </c>
      <c r="BA73">
        <v>80</v>
      </c>
      <c r="BB73" s="2">
        <v>0.16</v>
      </c>
      <c r="BC73" t="s">
        <v>927</v>
      </c>
      <c r="BD73" t="s">
        <v>922</v>
      </c>
      <c r="BE73" t="s">
        <v>940</v>
      </c>
      <c r="BF73" s="7">
        <v>40</v>
      </c>
      <c r="BG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3">
        <v>-3</v>
      </c>
      <c r="BI73" t="s">
        <v>734</v>
      </c>
      <c r="BJ73" s="11"/>
      <c r="BK73" s="11"/>
      <c r="BL73" s="11">
        <v>53</v>
      </c>
      <c r="BM73">
        <v>0</v>
      </c>
      <c r="BN73" t="s">
        <v>692</v>
      </c>
      <c r="BO73" t="s">
        <v>694</v>
      </c>
      <c r="BP73" t="s">
        <v>701</v>
      </c>
      <c r="BQ73" t="s">
        <v>705</v>
      </c>
      <c r="BR73" t="s">
        <v>706</v>
      </c>
      <c r="BS73" t="s">
        <v>707</v>
      </c>
      <c r="CR73"/>
      <c r="CS73"/>
      <c r="CT73"/>
    </row>
    <row r="74" spans="1:98" x14ac:dyDescent="0.4">
      <c r="A74" s="2" t="s">
        <v>98</v>
      </c>
      <c r="B74" t="str">
        <f>_xlfn.TEXTAFTER(Table1[[#This Row],[VEHIDCODE]],"_")</f>
        <v>Switzerland_SBB_A_3_5</v>
      </c>
      <c r="C74" t="s">
        <v>739</v>
      </c>
      <c r="D74" t="b">
        <f>OR(ISNUMBER(SEARCH("wagon_",Table1[[#This Row],[FILENAMES_EXPECTED]])),ISNUMBER(SEARCH("coach_",Table1[[#This Row],[FILENAMES_EXPECTED]])))</f>
        <v>0</v>
      </c>
      <c r="E74" t="str">
        <f>"item_"&amp;Table1[[#This Row],[VEHIDCODE]]</f>
        <v>item_steam_Switzerland_SBB_A_3_5</v>
      </c>
      <c r="F74" t="str">
        <f>"str_"&amp;Table1[[#This Row],[VEHIDCODE]]</f>
        <v>str_steam_Switzerland_SBB_A_3_5</v>
      </c>
      <c r="O74" s="2" t="b">
        <v>1</v>
      </c>
      <c r="AJ74" s="2"/>
      <c r="AK74" s="2" t="b">
        <f>LEN(_xlfn.CONCAT(Table1[[#This Row],[TRACK_TYPE_STANDARD_GAUGE_RAILTYPE_OHLE]:[TRACK_TYPE_MTRO]]))&gt;0</f>
        <v>1</v>
      </c>
      <c r="AL74">
        <v>8</v>
      </c>
      <c r="AM74" t="s">
        <v>20</v>
      </c>
      <c r="AN74">
        <v>0</v>
      </c>
      <c r="AO74" t="s">
        <v>23</v>
      </c>
      <c r="AP74">
        <v>0</v>
      </c>
      <c r="AQ74">
        <v>1902</v>
      </c>
      <c r="AR74">
        <v>8</v>
      </c>
      <c r="AS74" s="2" t="s">
        <v>20</v>
      </c>
      <c r="AT74" t="b">
        <v>1</v>
      </c>
      <c r="AV74" s="2"/>
      <c r="AW74">
        <v>45</v>
      </c>
      <c r="AX74">
        <v>1</v>
      </c>
      <c r="AY74">
        <v>1340</v>
      </c>
      <c r="AZ74" t="s">
        <v>710</v>
      </c>
      <c r="BA74">
        <v>100</v>
      </c>
      <c r="BB74" s="2">
        <v>0.12</v>
      </c>
      <c r="BC74" t="s">
        <v>923</v>
      </c>
      <c r="BD74" t="s">
        <v>922</v>
      </c>
      <c r="BE74" t="s">
        <v>940</v>
      </c>
      <c r="BF74" s="7">
        <v>40</v>
      </c>
      <c r="BG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4">
        <v>0</v>
      </c>
      <c r="BI74" t="s">
        <v>734</v>
      </c>
      <c r="BJ74" s="11"/>
      <c r="BK74" s="11"/>
      <c r="BL74" s="11">
        <v>106</v>
      </c>
      <c r="BM74">
        <v>0</v>
      </c>
      <c r="BN74" t="s">
        <v>692</v>
      </c>
      <c r="BO74" t="s">
        <v>694</v>
      </c>
      <c r="BP74" t="s">
        <v>701</v>
      </c>
      <c r="BQ74" t="s">
        <v>705</v>
      </c>
      <c r="BR74" t="s">
        <v>706</v>
      </c>
      <c r="BS74" t="s">
        <v>707</v>
      </c>
      <c r="CR74"/>
      <c r="CS74"/>
      <c r="CT74"/>
    </row>
    <row r="75" spans="1:98" x14ac:dyDescent="0.4">
      <c r="A75" s="2" t="s">
        <v>99</v>
      </c>
      <c r="B75" t="str">
        <f>_xlfn.TEXTAFTER(Table1[[#This Row],[VEHIDCODE]],"_")</f>
        <v>Switzerland_SBB_E_3_3</v>
      </c>
      <c r="C75" t="s">
        <v>739</v>
      </c>
      <c r="D75" t="b">
        <f>OR(ISNUMBER(SEARCH("wagon_",Table1[[#This Row],[FILENAMES_EXPECTED]])),ISNUMBER(SEARCH("coach_",Table1[[#This Row],[FILENAMES_EXPECTED]])))</f>
        <v>0</v>
      </c>
      <c r="E75" t="str">
        <f>"item_"&amp;Table1[[#This Row],[VEHIDCODE]]</f>
        <v>item_steam_Switzerland_SBB_E_3_3</v>
      </c>
      <c r="F75" t="str">
        <f>"str_"&amp;Table1[[#This Row],[VEHIDCODE]]</f>
        <v>str_steam_Switzerland_SBB_E_3_3</v>
      </c>
      <c r="O75" s="2" t="b">
        <v>1</v>
      </c>
      <c r="AJ75" s="2"/>
      <c r="AK75" s="2" t="b">
        <f>LEN(_xlfn.CONCAT(Table1[[#This Row],[TRACK_TYPE_STANDARD_GAUGE_RAILTYPE_OHLE]:[TRACK_TYPE_MTRO]]))&gt;0</f>
        <v>1</v>
      </c>
      <c r="AL75">
        <v>6</v>
      </c>
      <c r="AM75" t="s">
        <v>20</v>
      </c>
      <c r="AN75">
        <v>0</v>
      </c>
      <c r="AO75" t="s">
        <v>23</v>
      </c>
      <c r="AP75">
        <v>0</v>
      </c>
      <c r="AQ75">
        <v>1902</v>
      </c>
      <c r="AR75">
        <v>6</v>
      </c>
      <c r="AS75" s="2" t="s">
        <v>20</v>
      </c>
      <c r="AT75" t="b">
        <v>1</v>
      </c>
      <c r="AV75" s="2"/>
      <c r="AW75">
        <v>45</v>
      </c>
      <c r="AX75">
        <v>1</v>
      </c>
      <c r="AY75">
        <v>350</v>
      </c>
      <c r="AZ75" t="s">
        <v>710</v>
      </c>
      <c r="BA75">
        <v>45</v>
      </c>
      <c r="BB75" s="2">
        <v>0.19</v>
      </c>
      <c r="BC75" t="s">
        <v>923</v>
      </c>
      <c r="BD75" t="s">
        <v>922</v>
      </c>
      <c r="BE75" t="s">
        <v>940</v>
      </c>
      <c r="BF75" s="7">
        <v>40</v>
      </c>
      <c r="BG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5">
        <v>0</v>
      </c>
      <c r="BI75" t="s">
        <v>734</v>
      </c>
      <c r="BJ75" s="11"/>
      <c r="BK75" s="11"/>
      <c r="BL75" s="11">
        <v>35</v>
      </c>
      <c r="BM75">
        <v>0</v>
      </c>
      <c r="BN75" t="s">
        <v>692</v>
      </c>
      <c r="BO75" t="s">
        <v>694</v>
      </c>
      <c r="BP75" t="s">
        <v>701</v>
      </c>
      <c r="BQ75" t="s">
        <v>705</v>
      </c>
      <c r="BR75" t="s">
        <v>706</v>
      </c>
      <c r="BS75" t="s">
        <v>707</v>
      </c>
      <c r="CR75"/>
      <c r="CS75"/>
      <c r="CT75"/>
    </row>
    <row r="76" spans="1:98" x14ac:dyDescent="0.4">
      <c r="A76" s="2" t="s">
        <v>100</v>
      </c>
      <c r="B76" t="str">
        <f>_xlfn.TEXTAFTER(Table1[[#This Row],[VEHIDCODE]],"_")</f>
        <v>Austria_KkStB_299</v>
      </c>
      <c r="C76" t="s">
        <v>739</v>
      </c>
      <c r="D76" t="b">
        <f>OR(ISNUMBER(SEARCH("wagon_",Table1[[#This Row],[FILENAMES_EXPECTED]])),ISNUMBER(SEARCH("coach_",Table1[[#This Row],[FILENAMES_EXPECTED]])))</f>
        <v>0</v>
      </c>
      <c r="E76" t="str">
        <f>"item_"&amp;Table1[[#This Row],[VEHIDCODE]]</f>
        <v>item_steam_Austria_KkStB_299</v>
      </c>
      <c r="F76" t="str">
        <f>"str_"&amp;Table1[[#This Row],[VEHIDCODE]]</f>
        <v>str_steam_Austria_KkStB_299</v>
      </c>
      <c r="O76" s="2" t="b">
        <v>1</v>
      </c>
      <c r="AJ76" s="2"/>
      <c r="AK76" s="2" t="b">
        <f>LEN(_xlfn.CONCAT(Table1[[#This Row],[TRACK_TYPE_STANDARD_GAUGE_RAILTYPE_OHLE]:[TRACK_TYPE_MTRO]]))&gt;0</f>
        <v>1</v>
      </c>
      <c r="AL76">
        <v>7</v>
      </c>
      <c r="AM76" t="s">
        <v>20</v>
      </c>
      <c r="AN76">
        <v>0</v>
      </c>
      <c r="AO76" t="s">
        <v>23</v>
      </c>
      <c r="AP76">
        <v>0</v>
      </c>
      <c r="AQ76">
        <v>1904</v>
      </c>
      <c r="AR76">
        <v>7</v>
      </c>
      <c r="AS76" s="2" t="s">
        <v>20</v>
      </c>
      <c r="AT76" t="b">
        <v>1</v>
      </c>
      <c r="AV76" s="2"/>
      <c r="AW76">
        <v>45</v>
      </c>
      <c r="AX76">
        <v>1</v>
      </c>
      <c r="AY76">
        <v>820</v>
      </c>
      <c r="AZ76" t="s">
        <v>710</v>
      </c>
      <c r="BA76">
        <v>80</v>
      </c>
      <c r="BB76" s="2">
        <v>0.14000000000000001</v>
      </c>
      <c r="BC76" t="s">
        <v>923</v>
      </c>
      <c r="BD76" t="s">
        <v>922</v>
      </c>
      <c r="BE76" t="s">
        <v>940</v>
      </c>
      <c r="BF76" s="7">
        <v>40</v>
      </c>
      <c r="BG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6">
        <v>0</v>
      </c>
      <c r="BI76" t="s">
        <v>734</v>
      </c>
      <c r="BJ76" s="11"/>
      <c r="BK76" s="11"/>
      <c r="BL76" s="11">
        <v>67</v>
      </c>
      <c r="BM76">
        <v>0</v>
      </c>
      <c r="BN76" t="s">
        <v>692</v>
      </c>
      <c r="BO76" t="s">
        <v>694</v>
      </c>
      <c r="BP76" t="s">
        <v>701</v>
      </c>
      <c r="BQ76" t="s">
        <v>705</v>
      </c>
      <c r="BR76" t="s">
        <v>706</v>
      </c>
      <c r="BS76" t="s">
        <v>707</v>
      </c>
      <c r="CR76"/>
      <c r="CS76"/>
      <c r="CT76"/>
    </row>
    <row r="77" spans="1:98" x14ac:dyDescent="0.4">
      <c r="A77" s="2" t="s">
        <v>101</v>
      </c>
      <c r="B77" t="str">
        <f>_xlfn.TEXTAFTER(Table1[[#This Row],[VEHIDCODE]],"_")</f>
        <v>New_Zealand_NZR_X_Class</v>
      </c>
      <c r="C77" t="s">
        <v>739</v>
      </c>
      <c r="D77" t="b">
        <f>OR(ISNUMBER(SEARCH("wagon_",Table1[[#This Row],[FILENAMES_EXPECTED]])),ISNUMBER(SEARCH("coach_",Table1[[#This Row],[FILENAMES_EXPECTED]])))</f>
        <v>0</v>
      </c>
      <c r="E77" t="str">
        <f>"item_"&amp;Table1[[#This Row],[VEHIDCODE]]</f>
        <v>item_steam_New_Zealand_NZR_X_Class</v>
      </c>
      <c r="F77" t="str">
        <f>"str_"&amp;Table1[[#This Row],[VEHIDCODE]]</f>
        <v>str_steam_New_Zealand_NZR_X_Class</v>
      </c>
      <c r="X77" s="2" t="b">
        <v>1</v>
      </c>
      <c r="AJ77" s="2"/>
      <c r="AK77" s="2" t="b">
        <f>LEN(_xlfn.CONCAT(Table1[[#This Row],[TRACK_TYPE_STANDARD_GAUGE_RAILTYPE_OHLE]:[TRACK_TYPE_MTRO]]))&gt;0</f>
        <v>1</v>
      </c>
      <c r="AL77">
        <v>12</v>
      </c>
      <c r="AM77" t="s">
        <v>20</v>
      </c>
      <c r="AN77">
        <v>0</v>
      </c>
      <c r="AO77" t="s">
        <v>23</v>
      </c>
      <c r="AP77">
        <v>0</v>
      </c>
      <c r="AQ77">
        <v>1908</v>
      </c>
      <c r="AR77">
        <v>8</v>
      </c>
      <c r="AS77" s="2" t="s">
        <v>20</v>
      </c>
      <c r="AT77" t="b">
        <v>1</v>
      </c>
      <c r="AV77" s="2"/>
      <c r="AW77">
        <v>45</v>
      </c>
      <c r="AX77">
        <v>1</v>
      </c>
      <c r="AY77">
        <v>1500</v>
      </c>
      <c r="AZ77" t="s">
        <v>710</v>
      </c>
      <c r="BA77">
        <v>50</v>
      </c>
      <c r="BB77" s="2">
        <v>0.15</v>
      </c>
      <c r="BC77" t="s">
        <v>925</v>
      </c>
      <c r="BD77" t="s">
        <v>922</v>
      </c>
      <c r="BE77" t="s">
        <v>940</v>
      </c>
      <c r="BF77" s="7">
        <v>40</v>
      </c>
      <c r="BG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7">
        <v>0</v>
      </c>
      <c r="BI77" t="s">
        <v>734</v>
      </c>
      <c r="BJ77" s="11"/>
      <c r="BK77" s="11"/>
      <c r="BL77" s="11">
        <v>94</v>
      </c>
      <c r="BM77">
        <v>0</v>
      </c>
      <c r="BN77" t="s">
        <v>692</v>
      </c>
      <c r="BO77" t="s">
        <v>694</v>
      </c>
      <c r="BP77" t="s">
        <v>701</v>
      </c>
      <c r="BQ77" t="s">
        <v>705</v>
      </c>
      <c r="BR77" t="s">
        <v>706</v>
      </c>
      <c r="BS77" t="s">
        <v>707</v>
      </c>
      <c r="CR77"/>
      <c r="CS77"/>
      <c r="CT77"/>
    </row>
    <row r="78" spans="1:98" x14ac:dyDescent="0.4">
      <c r="A78" s="2" t="s">
        <v>102</v>
      </c>
      <c r="B78" t="str">
        <f>_xlfn.TEXTAFTER(Table1[[#This Row],[VEHIDCODE]],"_")</f>
        <v>Croatia_HZ_51</v>
      </c>
      <c r="C78" t="s">
        <v>739</v>
      </c>
      <c r="D78" t="b">
        <f>OR(ISNUMBER(SEARCH("wagon_",Table1[[#This Row],[FILENAMES_EXPECTED]])),ISNUMBER(SEARCH("coach_",Table1[[#This Row],[FILENAMES_EXPECTED]])))</f>
        <v>0</v>
      </c>
      <c r="E78" t="str">
        <f>"item_"&amp;Table1[[#This Row],[VEHIDCODE]]</f>
        <v>item_steam_Croatia_HZ_51</v>
      </c>
      <c r="F78" t="str">
        <f>"str_"&amp;Table1[[#This Row],[VEHIDCODE]]</f>
        <v>str_steam_Croatia_HZ_51</v>
      </c>
      <c r="O78" s="2" t="b">
        <v>1</v>
      </c>
      <c r="AJ78" s="2"/>
      <c r="AK78" s="2" t="b">
        <f>LEN(_xlfn.CONCAT(Table1[[#This Row],[TRACK_TYPE_STANDARD_GAUGE_RAILTYPE_OHLE]:[TRACK_TYPE_MTRO]]))&gt;0</f>
        <v>1</v>
      </c>
      <c r="AL78">
        <v>6</v>
      </c>
      <c r="AM78" t="s">
        <v>20</v>
      </c>
      <c r="AN78">
        <v>0</v>
      </c>
      <c r="AO78" t="s">
        <v>23</v>
      </c>
      <c r="AP78">
        <v>0</v>
      </c>
      <c r="AQ78">
        <v>1914</v>
      </c>
      <c r="AR78">
        <v>6</v>
      </c>
      <c r="AS78" s="2" t="s">
        <v>20</v>
      </c>
      <c r="AT78" t="b">
        <v>1</v>
      </c>
      <c r="AV78" s="2"/>
      <c r="AW78">
        <v>45</v>
      </c>
      <c r="AX78">
        <v>0</v>
      </c>
      <c r="AY78">
        <v>570</v>
      </c>
      <c r="AZ78" t="s">
        <v>710</v>
      </c>
      <c r="BA78">
        <v>60</v>
      </c>
      <c r="BB78" s="2">
        <v>0.11</v>
      </c>
      <c r="BC78" t="s">
        <v>929</v>
      </c>
      <c r="BD78" t="s">
        <v>922</v>
      </c>
      <c r="BE78" t="s">
        <v>940</v>
      </c>
      <c r="BF78" s="7">
        <v>40</v>
      </c>
      <c r="BG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8">
        <v>-3</v>
      </c>
      <c r="BI78" t="s">
        <v>734</v>
      </c>
      <c r="BJ78" s="11"/>
      <c r="BK78" s="11"/>
      <c r="BL78" s="11">
        <v>52</v>
      </c>
      <c r="BM78">
        <v>0</v>
      </c>
      <c r="BN78" t="s">
        <v>692</v>
      </c>
      <c r="BO78" t="s">
        <v>694</v>
      </c>
      <c r="BP78" t="s">
        <v>701</v>
      </c>
      <c r="BQ78" t="s">
        <v>705</v>
      </c>
      <c r="BR78" t="s">
        <v>706</v>
      </c>
      <c r="BS78" t="s">
        <v>707</v>
      </c>
      <c r="CR78"/>
      <c r="CS78"/>
      <c r="CT78"/>
    </row>
    <row r="79" spans="1:98" x14ac:dyDescent="0.4">
      <c r="A79" s="2" t="s">
        <v>103</v>
      </c>
      <c r="B79" t="str">
        <f>_xlfn.TEXTAFTER(Table1[[#This Row],[VEHIDCODE]],"_")</f>
        <v>Italy_FS_880</v>
      </c>
      <c r="C79" t="s">
        <v>739</v>
      </c>
      <c r="D79" t="b">
        <f>OR(ISNUMBER(SEARCH("wagon_",Table1[[#This Row],[FILENAMES_EXPECTED]])),ISNUMBER(SEARCH("coach_",Table1[[#This Row],[FILENAMES_EXPECTED]])))</f>
        <v>0</v>
      </c>
      <c r="E79" t="str">
        <f>"item_"&amp;Table1[[#This Row],[VEHIDCODE]]</f>
        <v>item_steam_Italy_FS_880</v>
      </c>
      <c r="F79" t="str">
        <f>"str_"&amp;Table1[[#This Row],[VEHIDCODE]]</f>
        <v>str_steam_Italy_FS_880</v>
      </c>
      <c r="O79" s="2" t="b">
        <v>1</v>
      </c>
      <c r="AJ79" s="2"/>
      <c r="AK79" s="2" t="b">
        <f>LEN(_xlfn.CONCAT(Table1[[#This Row],[TRACK_TYPE_STANDARD_GAUGE_RAILTYPE_OHLE]:[TRACK_TYPE_MTRO]]))&gt;0</f>
        <v>1</v>
      </c>
      <c r="AL79">
        <v>6</v>
      </c>
      <c r="AM79" t="s">
        <v>20</v>
      </c>
      <c r="AN79">
        <v>0</v>
      </c>
      <c r="AO79" t="s">
        <v>23</v>
      </c>
      <c r="AP79">
        <v>0</v>
      </c>
      <c r="AQ79">
        <v>1916</v>
      </c>
      <c r="AR79">
        <v>6</v>
      </c>
      <c r="AS79" s="2" t="s">
        <v>20</v>
      </c>
      <c r="AT79" t="b">
        <v>1</v>
      </c>
      <c r="AV79" s="2"/>
      <c r="AW79">
        <v>45</v>
      </c>
      <c r="AX79">
        <v>1</v>
      </c>
      <c r="AY79">
        <v>500</v>
      </c>
      <c r="AZ79" t="s">
        <v>710</v>
      </c>
      <c r="BA79">
        <v>75</v>
      </c>
      <c r="BB79" s="2">
        <v>0.1</v>
      </c>
      <c r="BC79" t="s">
        <v>924</v>
      </c>
      <c r="BD79" t="s">
        <v>922</v>
      </c>
      <c r="BE79" t="s">
        <v>940</v>
      </c>
      <c r="BF79" s="7">
        <v>40</v>
      </c>
      <c r="BG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79">
        <v>-3</v>
      </c>
      <c r="BI79" t="s">
        <v>734</v>
      </c>
      <c r="BJ79" s="11"/>
      <c r="BK79" s="11"/>
      <c r="BL79" s="11">
        <v>144</v>
      </c>
      <c r="BM79">
        <v>0</v>
      </c>
      <c r="BN79" t="s">
        <v>692</v>
      </c>
      <c r="BO79" t="s">
        <v>694</v>
      </c>
      <c r="BP79" t="s">
        <v>701</v>
      </c>
      <c r="BQ79" t="s">
        <v>705</v>
      </c>
      <c r="BR79" t="s">
        <v>706</v>
      </c>
      <c r="BS79" t="s">
        <v>707</v>
      </c>
      <c r="CR79"/>
      <c r="CS79"/>
      <c r="CT79"/>
    </row>
    <row r="80" spans="1:98" x14ac:dyDescent="0.4">
      <c r="A80" s="2" t="s">
        <v>104</v>
      </c>
      <c r="B80" t="str">
        <f>_xlfn.TEXTAFTER(Table1[[#This Row],[VEHIDCODE]],"_")</f>
        <v>Argentina_FCNEA_11B_2_8_0</v>
      </c>
      <c r="C80" t="s">
        <v>739</v>
      </c>
      <c r="D80" t="b">
        <f>OR(ISNUMBER(SEARCH("wagon_",Table1[[#This Row],[FILENAMES_EXPECTED]])),ISNUMBER(SEARCH("coach_",Table1[[#This Row],[FILENAMES_EXPECTED]])))</f>
        <v>0</v>
      </c>
      <c r="E80" t="str">
        <f>"item_"&amp;Table1[[#This Row],[VEHIDCODE]]</f>
        <v>item_steam_Argentina_FCNEA_11B_2_8_0</v>
      </c>
      <c r="F80" t="str">
        <f>"str_"&amp;Table1[[#This Row],[VEHIDCODE]]</f>
        <v>str_steam_Argentina_FCNEA_11B_2_8_0</v>
      </c>
      <c r="O80" s="2" t="b">
        <v>1</v>
      </c>
      <c r="AJ80" s="2"/>
      <c r="AK80" s="2" t="b">
        <f>LEN(_xlfn.CONCAT(Table1[[#This Row],[TRACK_TYPE_STANDARD_GAUGE_RAILTYPE_OHLE]:[TRACK_TYPE_MTRO]]))&gt;0</f>
        <v>1</v>
      </c>
      <c r="AL80">
        <v>8</v>
      </c>
      <c r="AM80" t="s">
        <v>20</v>
      </c>
      <c r="AN80">
        <v>0</v>
      </c>
      <c r="AO80" t="s">
        <v>23</v>
      </c>
      <c r="AP80">
        <v>0</v>
      </c>
      <c r="AQ80">
        <v>1920</v>
      </c>
      <c r="AR80">
        <v>7</v>
      </c>
      <c r="AS80" s="2" t="s">
        <v>20</v>
      </c>
      <c r="AT80" t="b">
        <v>1</v>
      </c>
      <c r="AV80" s="2"/>
      <c r="AW80">
        <v>45</v>
      </c>
      <c r="AX80">
        <v>1</v>
      </c>
      <c r="AY80">
        <v>930</v>
      </c>
      <c r="AZ80" t="s">
        <v>710</v>
      </c>
      <c r="BA80">
        <v>64</v>
      </c>
      <c r="BB80" s="2">
        <v>0.11</v>
      </c>
      <c r="BC80" t="s">
        <v>930</v>
      </c>
      <c r="BD80" t="s">
        <v>922</v>
      </c>
      <c r="BE80" t="s">
        <v>940</v>
      </c>
      <c r="BF80" s="7">
        <v>40</v>
      </c>
      <c r="BG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0">
        <v>0</v>
      </c>
      <c r="BI80" t="s">
        <v>734</v>
      </c>
      <c r="BJ80" s="11"/>
      <c r="BK80" s="11"/>
      <c r="BL80" s="11">
        <v>97</v>
      </c>
      <c r="BM80">
        <v>0</v>
      </c>
      <c r="BN80" t="s">
        <v>692</v>
      </c>
      <c r="BO80" t="s">
        <v>694</v>
      </c>
      <c r="BP80" t="s">
        <v>701</v>
      </c>
      <c r="BQ80" t="s">
        <v>705</v>
      </c>
      <c r="BR80" t="s">
        <v>706</v>
      </c>
      <c r="BS80" t="s">
        <v>707</v>
      </c>
      <c r="CR80"/>
      <c r="CS80"/>
      <c r="CT80"/>
    </row>
    <row r="81" spans="1:98" x14ac:dyDescent="0.4">
      <c r="A81" s="2" t="s">
        <v>105</v>
      </c>
      <c r="B81" t="str">
        <f>_xlfn.TEXTAFTER(Table1[[#This Row],[VEHIDCODE]],"_")</f>
        <v>France_SNCF_140C</v>
      </c>
      <c r="C81" t="s">
        <v>739</v>
      </c>
      <c r="D81" t="b">
        <f>OR(ISNUMBER(SEARCH("wagon_",Table1[[#This Row],[FILENAMES_EXPECTED]])),ISNUMBER(SEARCH("coach_",Table1[[#This Row],[FILENAMES_EXPECTED]])))</f>
        <v>0</v>
      </c>
      <c r="E81" t="str">
        <f>"item_"&amp;Table1[[#This Row],[VEHIDCODE]]</f>
        <v>item_steam_France_SNCF_140C</v>
      </c>
      <c r="F81" t="str">
        <f>"str_"&amp;Table1[[#This Row],[VEHIDCODE]]</f>
        <v>str_steam_France_SNCF_140C</v>
      </c>
      <c r="O81" s="2" t="b">
        <v>1</v>
      </c>
      <c r="AJ81" s="2"/>
      <c r="AK81" s="2" t="b">
        <f>LEN(_xlfn.CONCAT(Table1[[#This Row],[TRACK_TYPE_STANDARD_GAUGE_RAILTYPE_OHLE]:[TRACK_TYPE_MTRO]]))&gt;0</f>
        <v>1</v>
      </c>
      <c r="AL81">
        <v>8</v>
      </c>
      <c r="AM81" t="s">
        <v>20</v>
      </c>
      <c r="AN81">
        <v>0</v>
      </c>
      <c r="AO81" t="s">
        <v>23</v>
      </c>
      <c r="AP81">
        <v>0</v>
      </c>
      <c r="AQ81">
        <v>1920</v>
      </c>
      <c r="AR81">
        <v>6</v>
      </c>
      <c r="AS81" s="2" t="s">
        <v>20</v>
      </c>
      <c r="AT81" t="b">
        <v>1</v>
      </c>
      <c r="AV81" s="2"/>
      <c r="AW81">
        <v>45</v>
      </c>
      <c r="AX81">
        <v>1</v>
      </c>
      <c r="AY81">
        <v>1500</v>
      </c>
      <c r="AZ81" t="s">
        <v>710</v>
      </c>
      <c r="BA81">
        <v>80</v>
      </c>
      <c r="BB81" s="2">
        <v>0.16</v>
      </c>
      <c r="BC81" t="s">
        <v>923</v>
      </c>
      <c r="BD81" t="s">
        <v>922</v>
      </c>
      <c r="BE81" t="s">
        <v>940</v>
      </c>
      <c r="BF81" s="7">
        <v>40</v>
      </c>
      <c r="BG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1">
        <v>0</v>
      </c>
      <c r="BI81" t="s">
        <v>734</v>
      </c>
      <c r="BJ81" s="11"/>
      <c r="BK81" s="11"/>
      <c r="BL81" s="11">
        <v>126</v>
      </c>
      <c r="BM81">
        <v>0</v>
      </c>
      <c r="BN81" t="s">
        <v>692</v>
      </c>
      <c r="BO81" t="s">
        <v>694</v>
      </c>
      <c r="BP81" t="s">
        <v>701</v>
      </c>
      <c r="BQ81" t="s">
        <v>705</v>
      </c>
      <c r="BR81" t="s">
        <v>706</v>
      </c>
      <c r="BS81" t="s">
        <v>707</v>
      </c>
      <c r="CR81"/>
      <c r="CS81"/>
      <c r="CT81"/>
    </row>
    <row r="82" spans="1:98" x14ac:dyDescent="0.4">
      <c r="A82" s="2" t="s">
        <v>106</v>
      </c>
      <c r="B82" t="str">
        <f>_xlfn.TEXTAFTER(Table1[[#This Row],[VEHIDCODE]],"_")</f>
        <v>France_SNCF_141TA</v>
      </c>
      <c r="C82" t="s">
        <v>739</v>
      </c>
      <c r="D82" t="b">
        <f>OR(ISNUMBER(SEARCH("wagon_",Table1[[#This Row],[FILENAMES_EXPECTED]])),ISNUMBER(SEARCH("coach_",Table1[[#This Row],[FILENAMES_EXPECTED]])))</f>
        <v>0</v>
      </c>
      <c r="E82" t="str">
        <f>"item_"&amp;Table1[[#This Row],[VEHIDCODE]]</f>
        <v>item_steam_France_SNCF_141TA</v>
      </c>
      <c r="F82" t="str">
        <f>"str_"&amp;Table1[[#This Row],[VEHIDCODE]]</f>
        <v>str_steam_France_SNCF_141TA</v>
      </c>
      <c r="O82" s="2" t="b">
        <v>1</v>
      </c>
      <c r="AJ82" s="2"/>
      <c r="AK82" s="2" t="b">
        <f>LEN(_xlfn.CONCAT(Table1[[#This Row],[TRACK_TYPE_STANDARD_GAUGE_RAILTYPE_OHLE]:[TRACK_TYPE_MTRO]]))&gt;0</f>
        <v>1</v>
      </c>
      <c r="AL82">
        <v>6</v>
      </c>
      <c r="AM82" t="s">
        <v>20</v>
      </c>
      <c r="AN82">
        <v>0</v>
      </c>
      <c r="AO82" t="s">
        <v>23</v>
      </c>
      <c r="AP82">
        <v>0</v>
      </c>
      <c r="AQ82">
        <v>1922</v>
      </c>
      <c r="AR82">
        <v>6</v>
      </c>
      <c r="AS82" s="2" t="s">
        <v>20</v>
      </c>
      <c r="AT82" t="b">
        <v>1</v>
      </c>
      <c r="AV82" s="2"/>
      <c r="AW82">
        <v>45</v>
      </c>
      <c r="AX82">
        <v>1</v>
      </c>
      <c r="AY82">
        <v>1360</v>
      </c>
      <c r="AZ82" t="s">
        <v>710</v>
      </c>
      <c r="BA82">
        <v>70</v>
      </c>
      <c r="BB82" s="2">
        <v>0.25</v>
      </c>
      <c r="BC82" t="s">
        <v>923</v>
      </c>
      <c r="BD82" t="s">
        <v>922</v>
      </c>
      <c r="BE82" t="s">
        <v>940</v>
      </c>
      <c r="BF82" s="7">
        <v>40</v>
      </c>
      <c r="BG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2">
        <v>-3</v>
      </c>
      <c r="BI82" t="s">
        <v>734</v>
      </c>
      <c r="BJ82" s="11"/>
      <c r="BK82" s="11"/>
      <c r="BL82" s="11">
        <v>94</v>
      </c>
      <c r="BM82">
        <v>0</v>
      </c>
      <c r="BN82" t="s">
        <v>692</v>
      </c>
      <c r="BO82" t="s">
        <v>694</v>
      </c>
      <c r="BP82" t="s">
        <v>701</v>
      </c>
      <c r="BQ82" t="s">
        <v>705</v>
      </c>
      <c r="BR82" t="s">
        <v>706</v>
      </c>
      <c r="BS82" t="s">
        <v>707</v>
      </c>
      <c r="CR82"/>
      <c r="CS82"/>
      <c r="CT82"/>
    </row>
    <row r="83" spans="1:98" x14ac:dyDescent="0.4">
      <c r="A83" s="2" t="s">
        <v>107</v>
      </c>
      <c r="B83" t="str">
        <f>_xlfn.TEXTAFTER(Table1[[#This Row],[VEHIDCODE]],"_")</f>
        <v>UK_GWR_4900</v>
      </c>
      <c r="C83" t="s">
        <v>739</v>
      </c>
      <c r="D83" t="b">
        <f>OR(ISNUMBER(SEARCH("wagon_",Table1[[#This Row],[FILENAMES_EXPECTED]])),ISNUMBER(SEARCH("coach_",Table1[[#This Row],[FILENAMES_EXPECTED]])))</f>
        <v>0</v>
      </c>
      <c r="E83" t="str">
        <f>"item_"&amp;Table1[[#This Row],[VEHIDCODE]]</f>
        <v>item_steam_UK_GWR_4900</v>
      </c>
      <c r="F83" t="str">
        <f>"str_"&amp;Table1[[#This Row],[VEHIDCODE]]</f>
        <v>str_steam_UK_GWR_4900</v>
      </c>
      <c r="O83" s="2" t="b">
        <v>1</v>
      </c>
      <c r="AJ83" s="2"/>
      <c r="AK83" s="2" t="b">
        <f>LEN(_xlfn.CONCAT(Table1[[#This Row],[TRACK_TYPE_STANDARD_GAUGE_RAILTYPE_OHLE]:[TRACK_TYPE_MTRO]]))&gt;0</f>
        <v>1</v>
      </c>
      <c r="AL83">
        <v>12</v>
      </c>
      <c r="AM83" t="s">
        <v>20</v>
      </c>
      <c r="AN83">
        <v>0</v>
      </c>
      <c r="AO83" t="s">
        <v>23</v>
      </c>
      <c r="AP83">
        <v>0</v>
      </c>
      <c r="AQ83">
        <v>1924</v>
      </c>
      <c r="AR83">
        <v>8</v>
      </c>
      <c r="AS83" s="2" t="s">
        <v>20</v>
      </c>
      <c r="AT83" t="b">
        <v>1</v>
      </c>
      <c r="AV83" s="2"/>
      <c r="AW83">
        <v>45</v>
      </c>
      <c r="AX83">
        <v>0</v>
      </c>
      <c r="AY83">
        <v>1750</v>
      </c>
      <c r="AZ83" t="s">
        <v>710</v>
      </c>
      <c r="BA83">
        <v>96</v>
      </c>
      <c r="BB83" s="2">
        <v>0.1</v>
      </c>
      <c r="BC83" t="s">
        <v>927</v>
      </c>
      <c r="BD83" t="s">
        <v>922</v>
      </c>
      <c r="BE83" t="s">
        <v>940</v>
      </c>
      <c r="BF83" s="7">
        <v>40</v>
      </c>
      <c r="BG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3">
        <v>0</v>
      </c>
      <c r="BI83" t="s">
        <v>734</v>
      </c>
      <c r="BJ83" s="11"/>
      <c r="BK83" s="11"/>
      <c r="BL83" s="11">
        <v>122</v>
      </c>
      <c r="BM83">
        <v>0</v>
      </c>
      <c r="BN83" t="s">
        <v>692</v>
      </c>
      <c r="BO83" t="s">
        <v>694</v>
      </c>
      <c r="BP83" t="s">
        <v>701</v>
      </c>
      <c r="BQ83" t="s">
        <v>705</v>
      </c>
      <c r="BR83" t="s">
        <v>706</v>
      </c>
      <c r="BS83" t="s">
        <v>707</v>
      </c>
      <c r="CR83"/>
      <c r="CS83"/>
      <c r="CT83"/>
    </row>
    <row r="84" spans="1:98" x14ac:dyDescent="0.4">
      <c r="A84" s="2" t="s">
        <v>108</v>
      </c>
      <c r="B84" t="str">
        <f>_xlfn.TEXTAFTER(Table1[[#This Row],[VEHIDCODE]],"_")</f>
        <v>UK_GWR_5700</v>
      </c>
      <c r="C84" t="s">
        <v>739</v>
      </c>
      <c r="D84" t="b">
        <f>OR(ISNUMBER(SEARCH("wagon_",Table1[[#This Row],[FILENAMES_EXPECTED]])),ISNUMBER(SEARCH("coach_",Table1[[#This Row],[FILENAMES_EXPECTED]])))</f>
        <v>0</v>
      </c>
      <c r="E84" t="str">
        <f>"item_"&amp;Table1[[#This Row],[VEHIDCODE]]</f>
        <v>item_steam_UK_GWR_5700</v>
      </c>
      <c r="F84" t="str">
        <f>"str_"&amp;Table1[[#This Row],[VEHIDCODE]]</f>
        <v>str_steam_UK_GWR_5700</v>
      </c>
      <c r="O84" s="2" t="b">
        <v>1</v>
      </c>
      <c r="AJ84" s="2"/>
      <c r="AK84" s="2" t="b">
        <f>LEN(_xlfn.CONCAT(Table1[[#This Row],[TRACK_TYPE_STANDARD_GAUGE_RAILTYPE_OHLE]:[TRACK_TYPE_MTRO]]))&gt;0</f>
        <v>1</v>
      </c>
      <c r="AL84">
        <v>6</v>
      </c>
      <c r="AM84" t="s">
        <v>20</v>
      </c>
      <c r="AN84">
        <v>0</v>
      </c>
      <c r="AO84" t="s">
        <v>23</v>
      </c>
      <c r="AP84">
        <v>0</v>
      </c>
      <c r="AQ84">
        <v>1929</v>
      </c>
      <c r="AR84">
        <v>6</v>
      </c>
      <c r="AS84" s="2" t="s">
        <v>20</v>
      </c>
      <c r="AT84" t="b">
        <v>1</v>
      </c>
      <c r="AV84" s="2"/>
      <c r="AW84">
        <v>45</v>
      </c>
      <c r="AX84">
        <v>0</v>
      </c>
      <c r="AY84">
        <v>700</v>
      </c>
      <c r="AZ84" t="s">
        <v>710</v>
      </c>
      <c r="BA84">
        <v>72</v>
      </c>
      <c r="BB84" s="2">
        <v>0.21</v>
      </c>
      <c r="BC84" t="s">
        <v>927</v>
      </c>
      <c r="BD84" t="s">
        <v>922</v>
      </c>
      <c r="BE84" t="s">
        <v>940</v>
      </c>
      <c r="BF84" s="7">
        <v>40</v>
      </c>
      <c r="BG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4">
        <v>-3</v>
      </c>
      <c r="BI84" t="s">
        <v>734</v>
      </c>
      <c r="BJ84" s="11"/>
      <c r="BK84" s="11"/>
      <c r="BL84" s="11">
        <v>48</v>
      </c>
      <c r="BM84">
        <v>0</v>
      </c>
      <c r="BN84" t="s">
        <v>692</v>
      </c>
      <c r="BO84" t="s">
        <v>694</v>
      </c>
      <c r="BP84" t="s">
        <v>701</v>
      </c>
      <c r="BQ84" t="s">
        <v>705</v>
      </c>
      <c r="BR84" t="s">
        <v>706</v>
      </c>
      <c r="BS84" t="s">
        <v>707</v>
      </c>
      <c r="CR84"/>
      <c r="CS84"/>
      <c r="CT84"/>
    </row>
    <row r="85" spans="1:98" x14ac:dyDescent="0.4">
      <c r="A85" s="2" t="s">
        <v>109</v>
      </c>
      <c r="B85" t="str">
        <f>_xlfn.TEXTAFTER(Table1[[#This Row],[VEHIDCODE]],"_")</f>
        <v>Netherlands_NS_6300</v>
      </c>
      <c r="C85" t="s">
        <v>739</v>
      </c>
      <c r="D85" t="b">
        <f>OR(ISNUMBER(SEARCH("wagon_",Table1[[#This Row],[FILENAMES_EXPECTED]])),ISNUMBER(SEARCH("coach_",Table1[[#This Row],[FILENAMES_EXPECTED]])))</f>
        <v>0</v>
      </c>
      <c r="E85" t="str">
        <f>"item_"&amp;Table1[[#This Row],[VEHIDCODE]]</f>
        <v>item_steam_Netherlands_NS_6300</v>
      </c>
      <c r="F85" t="str">
        <f>"str_"&amp;Table1[[#This Row],[VEHIDCODE]]</f>
        <v>str_steam_Netherlands_NS_6300</v>
      </c>
      <c r="O85" s="2" t="b">
        <v>1</v>
      </c>
      <c r="AJ85" s="2"/>
      <c r="AK85" s="2" t="b">
        <f>LEN(_xlfn.CONCAT(Table1[[#This Row],[TRACK_TYPE_STANDARD_GAUGE_RAILTYPE_OHLE]:[TRACK_TYPE_MTRO]]))&gt;0</f>
        <v>1</v>
      </c>
      <c r="AL85">
        <v>8</v>
      </c>
      <c r="AM85" t="s">
        <v>20</v>
      </c>
      <c r="AN85">
        <v>0</v>
      </c>
      <c r="AO85" t="s">
        <v>23</v>
      </c>
      <c r="AP85">
        <v>0</v>
      </c>
      <c r="AQ85">
        <v>1930</v>
      </c>
      <c r="AR85">
        <v>8</v>
      </c>
      <c r="AS85" s="2" t="s">
        <v>20</v>
      </c>
      <c r="AT85" t="b">
        <v>1</v>
      </c>
      <c r="AV85" s="2"/>
      <c r="AW85">
        <v>45</v>
      </c>
      <c r="AX85">
        <v>1</v>
      </c>
      <c r="AY85">
        <v>1609</v>
      </c>
      <c r="AZ85" t="s">
        <v>710</v>
      </c>
      <c r="BA85">
        <v>90</v>
      </c>
      <c r="BB85" s="2">
        <v>0.11</v>
      </c>
      <c r="BC85" t="s">
        <v>923</v>
      </c>
      <c r="BD85" t="s">
        <v>922</v>
      </c>
      <c r="BE85" t="s">
        <v>940</v>
      </c>
      <c r="BF85" s="7">
        <v>40</v>
      </c>
      <c r="BG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5">
        <v>0</v>
      </c>
      <c r="BI85" t="s">
        <v>734</v>
      </c>
      <c r="BJ85" s="11"/>
      <c r="BK85" s="11"/>
      <c r="BL85" s="11">
        <v>127</v>
      </c>
      <c r="BM85">
        <v>0</v>
      </c>
      <c r="BN85" t="s">
        <v>692</v>
      </c>
      <c r="BO85" t="s">
        <v>694</v>
      </c>
      <c r="BP85" t="s">
        <v>701</v>
      </c>
      <c r="BQ85" t="s">
        <v>705</v>
      </c>
      <c r="BR85" t="s">
        <v>706</v>
      </c>
      <c r="BS85" t="s">
        <v>707</v>
      </c>
      <c r="CR85"/>
      <c r="CS85"/>
      <c r="CT85"/>
    </row>
    <row r="86" spans="1:98" x14ac:dyDescent="0.4">
      <c r="A86" s="2" t="s">
        <v>110</v>
      </c>
      <c r="B86" t="str">
        <f>_xlfn.TEXTAFTER(Table1[[#This Row],[VEHIDCODE]],"_")</f>
        <v>USA_AT_SF_5000</v>
      </c>
      <c r="C86" t="s">
        <v>739</v>
      </c>
      <c r="D86" t="b">
        <f>OR(ISNUMBER(SEARCH("wagon_",Table1[[#This Row],[FILENAMES_EXPECTED]])),ISNUMBER(SEARCH("coach_",Table1[[#This Row],[FILENAMES_EXPECTED]])))</f>
        <v>0</v>
      </c>
      <c r="E86" t="str">
        <f>"item_"&amp;Table1[[#This Row],[VEHIDCODE]]</f>
        <v>item_steam_USA_AT_SF_5000</v>
      </c>
      <c r="F86" t="str">
        <f>"str_"&amp;Table1[[#This Row],[VEHIDCODE]]</f>
        <v>str_steam_USA_AT_SF_5000</v>
      </c>
      <c r="O86" s="2" t="b">
        <v>1</v>
      </c>
      <c r="AJ86" s="2"/>
      <c r="AK86" s="2" t="b">
        <f>LEN(_xlfn.CONCAT(Table1[[#This Row],[TRACK_TYPE_STANDARD_GAUGE_RAILTYPE_OHLE]:[TRACK_TYPE_MTRO]]))&gt;0</f>
        <v>1</v>
      </c>
      <c r="AL86">
        <v>12</v>
      </c>
      <c r="AM86" t="s">
        <v>20</v>
      </c>
      <c r="AN86">
        <v>0</v>
      </c>
      <c r="AO86" t="s">
        <v>23</v>
      </c>
      <c r="AP86">
        <v>0</v>
      </c>
      <c r="AQ86">
        <v>1930</v>
      </c>
      <c r="AR86">
        <v>8</v>
      </c>
      <c r="AS86" s="2" t="s">
        <v>20</v>
      </c>
      <c r="AT86" t="b">
        <v>1</v>
      </c>
      <c r="AV86" s="2"/>
      <c r="AW86">
        <v>45</v>
      </c>
      <c r="AX86">
        <v>1</v>
      </c>
      <c r="AY86">
        <v>5700</v>
      </c>
      <c r="AZ86" t="s">
        <v>710</v>
      </c>
      <c r="BA86">
        <v>100</v>
      </c>
      <c r="BB86" s="2">
        <v>0.12</v>
      </c>
      <c r="BC86" t="s">
        <v>928</v>
      </c>
      <c r="BD86" t="s">
        <v>922</v>
      </c>
      <c r="BE86" t="s">
        <v>940</v>
      </c>
      <c r="BF86" s="7">
        <v>40</v>
      </c>
      <c r="BG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6">
        <v>0</v>
      </c>
      <c r="BI86" t="s">
        <v>734</v>
      </c>
      <c r="BJ86" s="11"/>
      <c r="BK86" s="11"/>
      <c r="BL86" s="11">
        <v>398</v>
      </c>
      <c r="BM86">
        <v>0</v>
      </c>
      <c r="BN86" t="s">
        <v>692</v>
      </c>
      <c r="BO86" t="s">
        <v>694</v>
      </c>
      <c r="BP86" t="s">
        <v>701</v>
      </c>
      <c r="BQ86" t="s">
        <v>705</v>
      </c>
      <c r="BR86" t="s">
        <v>706</v>
      </c>
      <c r="BS86" t="s">
        <v>707</v>
      </c>
      <c r="CR86"/>
      <c r="CS86"/>
      <c r="CT86"/>
    </row>
    <row r="87" spans="1:98" x14ac:dyDescent="0.4">
      <c r="A87" s="2" t="s">
        <v>111</v>
      </c>
      <c r="B87" t="str">
        <f>_xlfn.TEXTAFTER(Table1[[#This Row],[VEHIDCODE]],"_")</f>
        <v>Germany_Prussian_S10</v>
      </c>
      <c r="C87" t="s">
        <v>739</v>
      </c>
      <c r="D87" t="b">
        <f>OR(ISNUMBER(SEARCH("wagon_",Table1[[#This Row],[FILENAMES_EXPECTED]])),ISNUMBER(SEARCH("coach_",Table1[[#This Row],[FILENAMES_EXPECTED]])))</f>
        <v>0</v>
      </c>
      <c r="E87" t="str">
        <f>"item_"&amp;Table1[[#This Row],[VEHIDCODE]]</f>
        <v>item_steam_Germany_Prussian_S10</v>
      </c>
      <c r="F87" t="str">
        <f>"str_"&amp;Table1[[#This Row],[VEHIDCODE]]</f>
        <v>str_steam_Germany_Prussian_S10</v>
      </c>
      <c r="O87" s="2" t="b">
        <v>1</v>
      </c>
      <c r="AJ87" s="2"/>
      <c r="AK87" s="2" t="b">
        <f>LEN(_xlfn.CONCAT(Table1[[#This Row],[TRACK_TYPE_STANDARD_GAUGE_RAILTYPE_OHLE]:[TRACK_TYPE_MTRO]]))&gt;0</f>
        <v>1</v>
      </c>
      <c r="AL87">
        <v>8</v>
      </c>
      <c r="AM87" t="s">
        <v>20</v>
      </c>
      <c r="AN87">
        <v>0</v>
      </c>
      <c r="AO87" t="s">
        <v>23</v>
      </c>
      <c r="AP87">
        <v>0</v>
      </c>
      <c r="AQ87">
        <v>1910</v>
      </c>
      <c r="AR87">
        <v>8</v>
      </c>
      <c r="AS87" s="2" t="s">
        <v>20</v>
      </c>
      <c r="AT87" t="b">
        <v>1</v>
      </c>
      <c r="AV87" s="2"/>
      <c r="AW87">
        <v>45</v>
      </c>
      <c r="AX87">
        <v>1</v>
      </c>
      <c r="AY87">
        <v>1155</v>
      </c>
      <c r="AZ87" t="s">
        <v>710</v>
      </c>
      <c r="BA87">
        <v>110</v>
      </c>
      <c r="BB87" s="2">
        <v>0.1</v>
      </c>
      <c r="BC87" t="s">
        <v>923</v>
      </c>
      <c r="BD87" t="s">
        <v>922</v>
      </c>
      <c r="BE87" t="s">
        <v>940</v>
      </c>
      <c r="BF87" s="7">
        <v>40</v>
      </c>
      <c r="BG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7">
        <v>0</v>
      </c>
      <c r="BI87" t="s">
        <v>734</v>
      </c>
      <c r="BJ87" s="11"/>
      <c r="BK87" s="11"/>
      <c r="BL87" s="11">
        <v>77</v>
      </c>
      <c r="BM87">
        <v>0</v>
      </c>
      <c r="BN87" t="s">
        <v>692</v>
      </c>
      <c r="BO87" t="s">
        <v>694</v>
      </c>
      <c r="BP87" t="s">
        <v>701</v>
      </c>
      <c r="BQ87" t="s">
        <v>705</v>
      </c>
      <c r="BR87" t="s">
        <v>706</v>
      </c>
      <c r="BS87" t="s">
        <v>707</v>
      </c>
      <c r="CR87"/>
      <c r="CS87"/>
      <c r="CT87"/>
    </row>
    <row r="88" spans="1:98" x14ac:dyDescent="0.4">
      <c r="A88" s="2" t="s">
        <v>112</v>
      </c>
      <c r="B88" t="str">
        <f>_xlfn.TEXTAFTER(Table1[[#This Row],[VEHIDCODE]],"_")</f>
        <v>UK_LMS_5MT_Black_Five</v>
      </c>
      <c r="C88" t="s">
        <v>739</v>
      </c>
      <c r="D88" t="b">
        <f>OR(ISNUMBER(SEARCH("wagon_",Table1[[#This Row],[FILENAMES_EXPECTED]])),ISNUMBER(SEARCH("coach_",Table1[[#This Row],[FILENAMES_EXPECTED]])))</f>
        <v>0</v>
      </c>
      <c r="E88" t="str">
        <f>"item_"&amp;Table1[[#This Row],[VEHIDCODE]]</f>
        <v>item_steam_UK_LMS_5MT_Black_Five</v>
      </c>
      <c r="F88" t="str">
        <f>"str_"&amp;Table1[[#This Row],[VEHIDCODE]]</f>
        <v>str_steam_UK_LMS_5MT_Black_Five</v>
      </c>
      <c r="O88" s="2" t="b">
        <v>1</v>
      </c>
      <c r="AJ88" s="2"/>
      <c r="AK88" s="2" t="b">
        <f>LEN(_xlfn.CONCAT(Table1[[#This Row],[TRACK_TYPE_STANDARD_GAUGE_RAILTYPE_OHLE]:[TRACK_TYPE_MTRO]]))&gt;0</f>
        <v>1</v>
      </c>
      <c r="AL88">
        <v>10</v>
      </c>
      <c r="AM88" t="s">
        <v>20</v>
      </c>
      <c r="AN88">
        <v>0</v>
      </c>
      <c r="AO88" t="s">
        <v>23</v>
      </c>
      <c r="AP88">
        <v>0</v>
      </c>
      <c r="AQ88">
        <v>1934</v>
      </c>
      <c r="AR88">
        <v>8</v>
      </c>
      <c r="AS88" s="2" t="s">
        <v>20</v>
      </c>
      <c r="AT88" t="b">
        <v>1</v>
      </c>
      <c r="AV88" s="2"/>
      <c r="AW88">
        <v>45</v>
      </c>
      <c r="AX88">
        <v>1</v>
      </c>
      <c r="AY88">
        <v>1600</v>
      </c>
      <c r="AZ88" t="s">
        <v>710</v>
      </c>
      <c r="BA88">
        <v>115</v>
      </c>
      <c r="BB88" s="2">
        <v>0.15</v>
      </c>
      <c r="BC88" t="s">
        <v>927</v>
      </c>
      <c r="BD88" t="s">
        <v>922</v>
      </c>
      <c r="BE88" t="s">
        <v>940</v>
      </c>
      <c r="BF88" s="7">
        <v>40</v>
      </c>
      <c r="BG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8">
        <v>0</v>
      </c>
      <c r="BI88" t="s">
        <v>734</v>
      </c>
      <c r="BJ88" s="11"/>
      <c r="BK88" s="11"/>
      <c r="BL88" s="11">
        <v>75</v>
      </c>
      <c r="BM88">
        <v>0</v>
      </c>
      <c r="BN88" t="s">
        <v>692</v>
      </c>
      <c r="BO88" t="s">
        <v>694</v>
      </c>
      <c r="BP88" t="s">
        <v>701</v>
      </c>
      <c r="BQ88" t="s">
        <v>705</v>
      </c>
      <c r="BR88" t="s">
        <v>706</v>
      </c>
      <c r="BS88" t="s">
        <v>707</v>
      </c>
      <c r="CR88"/>
      <c r="CS88"/>
      <c r="CT88"/>
    </row>
    <row r="89" spans="1:98" x14ac:dyDescent="0.4">
      <c r="A89" s="2" t="s">
        <v>113</v>
      </c>
      <c r="B89" t="str">
        <f>_xlfn.TEXTAFTER(Table1[[#This Row],[VEHIDCODE]],"_")</f>
        <v>Russia_RZD_9P</v>
      </c>
      <c r="C89" t="s">
        <v>739</v>
      </c>
      <c r="D89" t="b">
        <f>OR(ISNUMBER(SEARCH("wagon_",Table1[[#This Row],[FILENAMES_EXPECTED]])),ISNUMBER(SEARCH("coach_",Table1[[#This Row],[FILENAMES_EXPECTED]])))</f>
        <v>0</v>
      </c>
      <c r="E89" t="str">
        <f>"item_"&amp;Table1[[#This Row],[VEHIDCODE]]</f>
        <v>item_steam_Russia_RZD_9P</v>
      </c>
      <c r="F89" t="str">
        <f>"str_"&amp;Table1[[#This Row],[VEHIDCODE]]</f>
        <v>str_steam_Russia_RZD_9P</v>
      </c>
      <c r="AG89" s="2" t="b">
        <v>1</v>
      </c>
      <c r="AJ89" s="2"/>
      <c r="AK89" s="2" t="b">
        <f>LEN(_xlfn.CONCAT(Table1[[#This Row],[TRACK_TYPE_STANDARD_GAUGE_RAILTYPE_OHLE]:[TRACK_TYPE_MTRO]]))&gt;0</f>
        <v>1</v>
      </c>
      <c r="AL89">
        <v>6</v>
      </c>
      <c r="AM89" t="s">
        <v>20</v>
      </c>
      <c r="AN89">
        <v>0</v>
      </c>
      <c r="AO89" t="s">
        <v>23</v>
      </c>
      <c r="AP89">
        <v>0</v>
      </c>
      <c r="AQ89">
        <v>1934</v>
      </c>
      <c r="AR89">
        <v>6</v>
      </c>
      <c r="AS89" s="2" t="s">
        <v>20</v>
      </c>
      <c r="AT89" t="b">
        <v>1</v>
      </c>
      <c r="AV89" s="2"/>
      <c r="AW89">
        <v>45</v>
      </c>
      <c r="AX89">
        <v>1</v>
      </c>
      <c r="AY89">
        <v>320</v>
      </c>
      <c r="AZ89" t="s">
        <v>710</v>
      </c>
      <c r="BA89">
        <v>35</v>
      </c>
      <c r="BB89" s="2">
        <v>0.13</v>
      </c>
      <c r="BC89" t="s">
        <v>931</v>
      </c>
      <c r="BD89" t="s">
        <v>922</v>
      </c>
      <c r="BE89" t="s">
        <v>940</v>
      </c>
      <c r="BF89" s="7">
        <v>40</v>
      </c>
      <c r="BG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89">
        <v>-3</v>
      </c>
      <c r="BI89" t="s">
        <v>734</v>
      </c>
      <c r="BJ89" s="11"/>
      <c r="BK89" s="11"/>
      <c r="BL89" s="11">
        <v>52</v>
      </c>
      <c r="BM89">
        <v>0</v>
      </c>
      <c r="BN89" t="s">
        <v>692</v>
      </c>
      <c r="BO89" t="s">
        <v>694</v>
      </c>
      <c r="BP89" t="s">
        <v>701</v>
      </c>
      <c r="BQ89" t="s">
        <v>705</v>
      </c>
      <c r="BR89" t="s">
        <v>706</v>
      </c>
      <c r="BS89" t="s">
        <v>707</v>
      </c>
      <c r="CR89"/>
      <c r="CS89"/>
      <c r="CT89"/>
    </row>
    <row r="90" spans="1:98" x14ac:dyDescent="0.4">
      <c r="A90" s="2" t="s">
        <v>114</v>
      </c>
      <c r="B90" t="str">
        <f>_xlfn.TEXTAFTER(Table1[[#This Row],[VEHIDCODE]],"_")</f>
        <v>UK_LNER_A4_Gresley</v>
      </c>
      <c r="C90" t="s">
        <v>739</v>
      </c>
      <c r="D90" t="b">
        <f>OR(ISNUMBER(SEARCH("wagon_",Table1[[#This Row],[FILENAMES_EXPECTED]])),ISNUMBER(SEARCH("coach_",Table1[[#This Row],[FILENAMES_EXPECTED]])))</f>
        <v>0</v>
      </c>
      <c r="E90" t="str">
        <f>"item_"&amp;Table1[[#This Row],[VEHIDCODE]]</f>
        <v>item_steam_UK_LNER_A4_Gresley</v>
      </c>
      <c r="F90" t="str">
        <f>"str_"&amp;Table1[[#This Row],[VEHIDCODE]]</f>
        <v>str_steam_UK_LNER_A4_Gresley</v>
      </c>
      <c r="O90" s="2" t="b">
        <v>1</v>
      </c>
      <c r="AJ90" s="2"/>
      <c r="AK90" s="2" t="b">
        <f>LEN(_xlfn.CONCAT(Table1[[#This Row],[TRACK_TYPE_STANDARD_GAUGE_RAILTYPE_OHLE]:[TRACK_TYPE_MTRO]]))&gt;0</f>
        <v>1</v>
      </c>
      <c r="AL90">
        <v>12</v>
      </c>
      <c r="AM90" t="s">
        <v>20</v>
      </c>
      <c r="AN90">
        <v>0</v>
      </c>
      <c r="AO90" t="s">
        <v>23</v>
      </c>
      <c r="AP90">
        <v>0</v>
      </c>
      <c r="AQ90">
        <v>1935</v>
      </c>
      <c r="AR90">
        <v>8</v>
      </c>
      <c r="AS90" s="2" t="s">
        <v>20</v>
      </c>
      <c r="AT90" t="b">
        <v>1</v>
      </c>
      <c r="AV90" s="2"/>
      <c r="AW90">
        <v>45</v>
      </c>
      <c r="AX90">
        <v>1</v>
      </c>
      <c r="AY90">
        <v>2000</v>
      </c>
      <c r="AZ90" t="s">
        <v>710</v>
      </c>
      <c r="BA90">
        <v>160</v>
      </c>
      <c r="BB90" s="2">
        <v>0.09</v>
      </c>
      <c r="BC90" t="s">
        <v>927</v>
      </c>
      <c r="BD90" t="s">
        <v>922</v>
      </c>
      <c r="BE90" t="s">
        <v>940</v>
      </c>
      <c r="BF90" s="7">
        <v>40</v>
      </c>
      <c r="BG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0">
        <v>0</v>
      </c>
      <c r="BI90" t="s">
        <v>734</v>
      </c>
      <c r="BJ90" s="11"/>
      <c r="BK90" s="11"/>
      <c r="BL90" s="11">
        <v>170</v>
      </c>
      <c r="BM90">
        <v>0</v>
      </c>
      <c r="BN90" t="s">
        <v>692</v>
      </c>
      <c r="BO90" t="s">
        <v>694</v>
      </c>
      <c r="BP90" t="s">
        <v>701</v>
      </c>
      <c r="BQ90" t="s">
        <v>705</v>
      </c>
      <c r="BR90" t="s">
        <v>706</v>
      </c>
      <c r="BS90" t="s">
        <v>707</v>
      </c>
      <c r="CR90"/>
      <c r="CS90"/>
      <c r="CT90"/>
    </row>
    <row r="91" spans="1:98" x14ac:dyDescent="0.4">
      <c r="A91" s="2" t="s">
        <v>115</v>
      </c>
      <c r="B91" t="str">
        <f>_xlfn.TEXTAFTER(Table1[[#This Row],[VEHIDCODE]],"_")</f>
        <v>Canada_CPR_Royal_Hudson</v>
      </c>
      <c r="C91" t="s">
        <v>739</v>
      </c>
      <c r="D91" t="b">
        <f>OR(ISNUMBER(SEARCH("wagon_",Table1[[#This Row],[FILENAMES_EXPECTED]])),ISNUMBER(SEARCH("coach_",Table1[[#This Row],[FILENAMES_EXPECTED]])))</f>
        <v>0</v>
      </c>
      <c r="E91" t="str">
        <f>"item_"&amp;Table1[[#This Row],[VEHIDCODE]]</f>
        <v>item_steam_Canada_CPR_Royal_Hudson</v>
      </c>
      <c r="F91" t="str">
        <f>"str_"&amp;Table1[[#This Row],[VEHIDCODE]]</f>
        <v>str_steam_Canada_CPR_Royal_Hudson</v>
      </c>
      <c r="O91" s="2" t="b">
        <v>1</v>
      </c>
      <c r="AJ91" s="2"/>
      <c r="AK91" s="2" t="b">
        <f>LEN(_xlfn.CONCAT(Table1[[#This Row],[TRACK_TYPE_STANDARD_GAUGE_RAILTYPE_OHLE]:[TRACK_TYPE_MTRO]]))&gt;0</f>
        <v>1</v>
      </c>
      <c r="AL91">
        <v>12</v>
      </c>
      <c r="AM91" t="s">
        <v>20</v>
      </c>
      <c r="AN91">
        <v>0</v>
      </c>
      <c r="AO91" t="s">
        <v>23</v>
      </c>
      <c r="AP91">
        <v>0</v>
      </c>
      <c r="AQ91">
        <v>1937</v>
      </c>
      <c r="AR91">
        <v>8</v>
      </c>
      <c r="AS91" s="2" t="s">
        <v>20</v>
      </c>
      <c r="AT91" t="b">
        <v>1</v>
      </c>
      <c r="AV91" s="2"/>
      <c r="AW91">
        <v>45</v>
      </c>
      <c r="AX91">
        <v>1</v>
      </c>
      <c r="AY91">
        <v>4500</v>
      </c>
      <c r="AZ91" t="s">
        <v>710</v>
      </c>
      <c r="BA91">
        <v>144</v>
      </c>
      <c r="BB91" s="2">
        <v>0.06</v>
      </c>
      <c r="BC91" t="s">
        <v>928</v>
      </c>
      <c r="BD91" t="s">
        <v>922</v>
      </c>
      <c r="BE91" t="s">
        <v>940</v>
      </c>
      <c r="BF91" s="7">
        <v>40</v>
      </c>
      <c r="BG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1">
        <v>0</v>
      </c>
      <c r="BI91" t="s">
        <v>734</v>
      </c>
      <c r="BJ91" s="11"/>
      <c r="BK91" s="11"/>
      <c r="BL91" s="11">
        <v>294</v>
      </c>
      <c r="BM91">
        <v>0</v>
      </c>
      <c r="BN91" t="s">
        <v>692</v>
      </c>
      <c r="BO91" t="s">
        <v>694</v>
      </c>
      <c r="BP91" t="s">
        <v>701</v>
      </c>
      <c r="BQ91" t="s">
        <v>705</v>
      </c>
      <c r="BR91" t="s">
        <v>706</v>
      </c>
      <c r="BS91" t="s">
        <v>707</v>
      </c>
      <c r="CR91"/>
      <c r="CS91"/>
      <c r="CT91"/>
    </row>
    <row r="92" spans="1:98" x14ac:dyDescent="0.4">
      <c r="A92" s="2" t="s">
        <v>116</v>
      </c>
      <c r="B92" t="str">
        <f>_xlfn.TEXTAFTER(Table1[[#This Row],[VEHIDCODE]],"_")</f>
        <v>Denmark_DSB_E</v>
      </c>
      <c r="C92" t="s">
        <v>739</v>
      </c>
      <c r="D92" t="b">
        <f>OR(ISNUMBER(SEARCH("wagon_",Table1[[#This Row],[FILENAMES_EXPECTED]])),ISNUMBER(SEARCH("coach_",Table1[[#This Row],[FILENAMES_EXPECTED]])))</f>
        <v>0</v>
      </c>
      <c r="E92" t="str">
        <f>"item_"&amp;Table1[[#This Row],[VEHIDCODE]]</f>
        <v>item_steam_Denmark_DSB_E</v>
      </c>
      <c r="F92" t="str">
        <f>"str_"&amp;Table1[[#This Row],[VEHIDCODE]]</f>
        <v>str_steam_Denmark_DSB_E</v>
      </c>
      <c r="O92" s="2" t="b">
        <v>1</v>
      </c>
      <c r="AJ92" s="2"/>
      <c r="AK92" s="2" t="b">
        <f>LEN(_xlfn.CONCAT(Table1[[#This Row],[TRACK_TYPE_STANDARD_GAUGE_RAILTYPE_OHLE]:[TRACK_TYPE_MTRO]]))&gt;0</f>
        <v>1</v>
      </c>
      <c r="AL92">
        <v>8</v>
      </c>
      <c r="AM92" t="s">
        <v>20</v>
      </c>
      <c r="AN92">
        <v>0</v>
      </c>
      <c r="AO92" t="s">
        <v>23</v>
      </c>
      <c r="AP92">
        <v>0</v>
      </c>
      <c r="AQ92">
        <v>1937</v>
      </c>
      <c r="AR92">
        <v>6</v>
      </c>
      <c r="AS92" s="2" t="s">
        <v>20</v>
      </c>
      <c r="AT92" t="b">
        <v>1</v>
      </c>
      <c r="AV92" s="2"/>
      <c r="AW92">
        <v>45</v>
      </c>
      <c r="AX92">
        <v>1</v>
      </c>
      <c r="AY92">
        <v>1529</v>
      </c>
      <c r="AZ92" t="s">
        <v>710</v>
      </c>
      <c r="BA92">
        <v>110</v>
      </c>
      <c r="BB92" s="2">
        <v>0.06</v>
      </c>
      <c r="BC92" t="s">
        <v>927</v>
      </c>
      <c r="BD92" t="s">
        <v>922</v>
      </c>
      <c r="BE92" t="s">
        <v>940</v>
      </c>
      <c r="BF92" s="7">
        <v>40</v>
      </c>
      <c r="BG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2">
        <v>-3</v>
      </c>
      <c r="BI92" t="s">
        <v>734</v>
      </c>
      <c r="BJ92" s="11"/>
      <c r="BK92" s="11"/>
      <c r="BL92" s="11">
        <v>137</v>
      </c>
      <c r="BM92">
        <v>0</v>
      </c>
      <c r="BN92" t="s">
        <v>692</v>
      </c>
      <c r="BO92" t="s">
        <v>694</v>
      </c>
      <c r="BP92" t="s">
        <v>701</v>
      </c>
      <c r="BQ92" t="s">
        <v>705</v>
      </c>
      <c r="BR92" t="s">
        <v>706</v>
      </c>
      <c r="BS92" t="s">
        <v>707</v>
      </c>
      <c r="CR92"/>
      <c r="CS92"/>
      <c r="CT92"/>
    </row>
    <row r="93" spans="1:98" x14ac:dyDescent="0.4">
      <c r="A93" s="2" t="s">
        <v>117</v>
      </c>
      <c r="B93" t="str">
        <f>_xlfn.TEXTAFTER(Table1[[#This Row],[VEHIDCODE]],"_")</f>
        <v>Germany_DB_52</v>
      </c>
      <c r="C93" t="s">
        <v>739</v>
      </c>
      <c r="D93" t="b">
        <f>OR(ISNUMBER(SEARCH("wagon_",Table1[[#This Row],[FILENAMES_EXPECTED]])),ISNUMBER(SEARCH("coach_",Table1[[#This Row],[FILENAMES_EXPECTED]])))</f>
        <v>0</v>
      </c>
      <c r="E93" t="str">
        <f>"item_"&amp;Table1[[#This Row],[VEHIDCODE]]</f>
        <v>item_steam_Germany_DB_52</v>
      </c>
      <c r="F93" t="str">
        <f>"str_"&amp;Table1[[#This Row],[VEHIDCODE]]</f>
        <v>str_steam_Germany_DB_52</v>
      </c>
      <c r="O93" s="2" t="b">
        <v>1</v>
      </c>
      <c r="AJ93" s="2"/>
      <c r="AK93" s="2" t="b">
        <f>LEN(_xlfn.CONCAT(Table1[[#This Row],[TRACK_TYPE_STANDARD_GAUGE_RAILTYPE_OHLE]:[TRACK_TYPE_MTRO]]))&gt;0</f>
        <v>1</v>
      </c>
      <c r="AL93">
        <v>12</v>
      </c>
      <c r="AM93" t="s">
        <v>20</v>
      </c>
      <c r="AN93">
        <v>0</v>
      </c>
      <c r="AO93" t="s">
        <v>23</v>
      </c>
      <c r="AP93">
        <v>0</v>
      </c>
      <c r="AQ93">
        <v>1937</v>
      </c>
      <c r="AR93">
        <v>8</v>
      </c>
      <c r="AS93" s="2" t="s">
        <v>20</v>
      </c>
      <c r="AT93" t="b">
        <v>1</v>
      </c>
      <c r="AV93" s="2"/>
      <c r="AW93">
        <v>45</v>
      </c>
      <c r="AX93">
        <v>1</v>
      </c>
      <c r="AY93">
        <v>1600</v>
      </c>
      <c r="AZ93" t="s">
        <v>710</v>
      </c>
      <c r="BA93">
        <v>80</v>
      </c>
      <c r="BB93" s="2">
        <v>0.16</v>
      </c>
      <c r="BC93" t="s">
        <v>923</v>
      </c>
      <c r="BD93" t="s">
        <v>922</v>
      </c>
      <c r="BE93" t="s">
        <v>940</v>
      </c>
      <c r="BF93" s="7">
        <v>40</v>
      </c>
      <c r="BG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3">
        <v>0</v>
      </c>
      <c r="BI93" t="s">
        <v>734</v>
      </c>
      <c r="BJ93" s="11"/>
      <c r="BK93" s="11"/>
      <c r="BL93" s="11">
        <v>103</v>
      </c>
      <c r="BM93">
        <v>0</v>
      </c>
      <c r="BN93" t="s">
        <v>692</v>
      </c>
      <c r="BO93" t="s">
        <v>694</v>
      </c>
      <c r="BP93" t="s">
        <v>701</v>
      </c>
      <c r="BQ93" t="s">
        <v>705</v>
      </c>
      <c r="BR93" t="s">
        <v>706</v>
      </c>
      <c r="BS93" t="s">
        <v>707</v>
      </c>
      <c r="CR93"/>
      <c r="CS93"/>
      <c r="CT93"/>
    </row>
    <row r="94" spans="1:98" x14ac:dyDescent="0.4">
      <c r="A94" s="2" t="s">
        <v>118</v>
      </c>
      <c r="B94" t="str">
        <f>_xlfn.TEXTAFTER(Table1[[#This Row],[VEHIDCODE]],"_")</f>
        <v>UK_LNER_A1_Peppercorn</v>
      </c>
      <c r="C94" t="s">
        <v>739</v>
      </c>
      <c r="D94" t="b">
        <f>OR(ISNUMBER(SEARCH("wagon_",Table1[[#This Row],[FILENAMES_EXPECTED]])),ISNUMBER(SEARCH("coach_",Table1[[#This Row],[FILENAMES_EXPECTED]])))</f>
        <v>0</v>
      </c>
      <c r="E94" t="str">
        <f>"item_"&amp;Table1[[#This Row],[VEHIDCODE]]</f>
        <v>item_steam_UK_LNER_A1_Peppercorn</v>
      </c>
      <c r="F94" t="str">
        <f>"str_"&amp;Table1[[#This Row],[VEHIDCODE]]</f>
        <v>str_steam_UK_LNER_A1_Peppercorn</v>
      </c>
      <c r="O94" s="2" t="b">
        <v>1</v>
      </c>
      <c r="AJ94" s="2"/>
      <c r="AK94" s="2" t="b">
        <f>LEN(_xlfn.CONCAT(Table1[[#This Row],[TRACK_TYPE_STANDARD_GAUGE_RAILTYPE_OHLE]:[TRACK_TYPE_MTRO]]))&gt;0</f>
        <v>1</v>
      </c>
      <c r="AL94">
        <v>10</v>
      </c>
      <c r="AM94" t="s">
        <v>20</v>
      </c>
      <c r="AN94">
        <v>0</v>
      </c>
      <c r="AO94" t="s">
        <v>23</v>
      </c>
      <c r="AP94">
        <v>0</v>
      </c>
      <c r="AQ94">
        <v>1948</v>
      </c>
      <c r="AR94">
        <v>8</v>
      </c>
      <c r="AS94" s="2" t="s">
        <v>20</v>
      </c>
      <c r="AT94" t="b">
        <v>1</v>
      </c>
      <c r="AV94" s="2"/>
      <c r="AW94">
        <v>45</v>
      </c>
      <c r="AX94">
        <v>1</v>
      </c>
      <c r="AY94">
        <v>2680</v>
      </c>
      <c r="AZ94" t="s">
        <v>710</v>
      </c>
      <c r="BA94">
        <v>160</v>
      </c>
      <c r="BB94" s="2">
        <v>0.1</v>
      </c>
      <c r="BC94" t="s">
        <v>927</v>
      </c>
      <c r="BD94" t="s">
        <v>922</v>
      </c>
      <c r="BE94" t="s">
        <v>940</v>
      </c>
      <c r="BF94" s="7">
        <v>40</v>
      </c>
      <c r="BG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4">
        <v>0</v>
      </c>
      <c r="BI94" t="s">
        <v>734</v>
      </c>
      <c r="BJ94" s="11"/>
      <c r="BK94" s="11"/>
      <c r="BL94" s="11">
        <v>168</v>
      </c>
      <c r="BM94">
        <v>0</v>
      </c>
      <c r="BN94" t="s">
        <v>692</v>
      </c>
      <c r="BO94" t="s">
        <v>694</v>
      </c>
      <c r="BP94" t="s">
        <v>701</v>
      </c>
      <c r="BQ94" t="s">
        <v>705</v>
      </c>
      <c r="BR94" t="s">
        <v>706</v>
      </c>
      <c r="BS94" t="s">
        <v>707</v>
      </c>
      <c r="CR94"/>
      <c r="CS94"/>
      <c r="CT94"/>
    </row>
    <row r="95" spans="1:98" x14ac:dyDescent="0.4">
      <c r="A95" s="2" t="s">
        <v>119</v>
      </c>
      <c r="B95" t="str">
        <f>_xlfn.TEXTAFTER(Table1[[#This Row],[VEHIDCODE]],"_")</f>
        <v>South_Africa_SAR_25</v>
      </c>
      <c r="C95" t="s">
        <v>739</v>
      </c>
      <c r="D95" t="b">
        <f>OR(ISNUMBER(SEARCH("wagon_",Table1[[#This Row],[FILENAMES_EXPECTED]])),ISNUMBER(SEARCH("coach_",Table1[[#This Row],[FILENAMES_EXPECTED]])))</f>
        <v>0</v>
      </c>
      <c r="E95" t="str">
        <f>"item_"&amp;Table1[[#This Row],[VEHIDCODE]]</f>
        <v>item_steam_South_Africa_SAR_25</v>
      </c>
      <c r="F95" t="str">
        <f>"str_"&amp;Table1[[#This Row],[VEHIDCODE]]</f>
        <v>str_steam_South_Africa_SAR_25</v>
      </c>
      <c r="X95" s="2" t="b">
        <v>1</v>
      </c>
      <c r="AJ95" s="2"/>
      <c r="AK95" s="2" t="b">
        <f>LEN(_xlfn.CONCAT(Table1[[#This Row],[TRACK_TYPE_STANDARD_GAUGE_RAILTYPE_OHLE]:[TRACK_TYPE_MTRO]]))&gt;0</f>
        <v>1</v>
      </c>
      <c r="AL95">
        <v>10</v>
      </c>
      <c r="AM95" t="s">
        <v>20</v>
      </c>
      <c r="AN95">
        <v>0</v>
      </c>
      <c r="AO95" t="s">
        <v>23</v>
      </c>
      <c r="AP95">
        <v>0</v>
      </c>
      <c r="AQ95">
        <v>1953</v>
      </c>
      <c r="AR95">
        <v>8</v>
      </c>
      <c r="AS95" s="2" t="s">
        <v>20</v>
      </c>
      <c r="AT95" t="b">
        <v>1</v>
      </c>
      <c r="AV95" s="2"/>
      <c r="AW95">
        <v>45</v>
      </c>
      <c r="AX95">
        <v>1</v>
      </c>
      <c r="AY95">
        <v>5100</v>
      </c>
      <c r="AZ95" t="s">
        <v>710</v>
      </c>
      <c r="BA95">
        <v>110</v>
      </c>
      <c r="BB95" s="2">
        <v>0.1</v>
      </c>
      <c r="BC95" t="s">
        <v>926</v>
      </c>
      <c r="BD95" t="s">
        <v>922</v>
      </c>
      <c r="BE95" t="s">
        <v>940</v>
      </c>
      <c r="BF95" s="7">
        <v>40</v>
      </c>
      <c r="BG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5">
        <v>0</v>
      </c>
      <c r="BI95" t="s">
        <v>734</v>
      </c>
      <c r="BJ95" s="11"/>
      <c r="BK95" s="11"/>
      <c r="BL95" s="11">
        <v>236</v>
      </c>
      <c r="BM95">
        <v>0</v>
      </c>
      <c r="BN95" t="s">
        <v>692</v>
      </c>
      <c r="BO95" t="s">
        <v>694</v>
      </c>
      <c r="BP95" t="s">
        <v>701</v>
      </c>
      <c r="BQ95" t="s">
        <v>705</v>
      </c>
      <c r="BR95" t="s">
        <v>706</v>
      </c>
      <c r="BS95" t="s">
        <v>707</v>
      </c>
      <c r="CR95"/>
      <c r="CS95"/>
      <c r="CT95"/>
    </row>
    <row r="96" spans="1:98" x14ac:dyDescent="0.4">
      <c r="A96" s="2" t="s">
        <v>120</v>
      </c>
      <c r="B96" t="str">
        <f>_xlfn.TEXTAFTER(Table1[[#This Row],[VEHIDCODE]],"_")</f>
        <v>Russia_RZD_P36</v>
      </c>
      <c r="C96" t="s">
        <v>739</v>
      </c>
      <c r="D96" t="b">
        <f>OR(ISNUMBER(SEARCH("wagon_",Table1[[#This Row],[FILENAMES_EXPECTED]])),ISNUMBER(SEARCH("coach_",Table1[[#This Row],[FILENAMES_EXPECTED]])))</f>
        <v>0</v>
      </c>
      <c r="E96" t="str">
        <f>"item_"&amp;Table1[[#This Row],[VEHIDCODE]]</f>
        <v>item_steam_Russia_RZD_P36</v>
      </c>
      <c r="F96" t="str">
        <f>"str_"&amp;Table1[[#This Row],[VEHIDCODE]]</f>
        <v>str_steam_Russia_RZD_P36</v>
      </c>
      <c r="AG96" s="2" t="b">
        <v>1</v>
      </c>
      <c r="AJ96" s="2"/>
      <c r="AK96" s="2" t="b">
        <f>LEN(_xlfn.CONCAT(Table1[[#This Row],[TRACK_TYPE_STANDARD_GAUGE_RAILTYPE_OHLE]:[TRACK_TYPE_MTRO]]))&gt;0</f>
        <v>1</v>
      </c>
      <c r="AL96">
        <v>12</v>
      </c>
      <c r="AM96" t="s">
        <v>20</v>
      </c>
      <c r="AN96">
        <v>0</v>
      </c>
      <c r="AO96" t="s">
        <v>23</v>
      </c>
      <c r="AP96">
        <v>0</v>
      </c>
      <c r="AQ96">
        <v>1953</v>
      </c>
      <c r="AR96">
        <v>8</v>
      </c>
      <c r="AS96" s="2" t="s">
        <v>20</v>
      </c>
      <c r="AT96" t="b">
        <v>1</v>
      </c>
      <c r="AV96" s="2"/>
      <c r="AW96">
        <v>45</v>
      </c>
      <c r="AX96">
        <v>1</v>
      </c>
      <c r="AY96">
        <v>3125</v>
      </c>
      <c r="AZ96" t="s">
        <v>710</v>
      </c>
      <c r="BA96">
        <v>125</v>
      </c>
      <c r="BB96" s="2">
        <v>0.06</v>
      </c>
      <c r="BC96" t="s">
        <v>931</v>
      </c>
      <c r="BD96" t="s">
        <v>922</v>
      </c>
      <c r="BE96" t="s">
        <v>940</v>
      </c>
      <c r="BF96" s="7">
        <v>40</v>
      </c>
      <c r="BG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6">
        <v>0</v>
      </c>
      <c r="BI96" t="s">
        <v>734</v>
      </c>
      <c r="BJ96" s="11"/>
      <c r="BK96" s="11"/>
      <c r="BL96" s="11">
        <v>245</v>
      </c>
      <c r="BM96">
        <v>0</v>
      </c>
      <c r="BN96" t="s">
        <v>692</v>
      </c>
      <c r="BO96" t="s">
        <v>694</v>
      </c>
      <c r="BP96" t="s">
        <v>701</v>
      </c>
      <c r="BQ96" t="s">
        <v>705</v>
      </c>
      <c r="BR96" t="s">
        <v>706</v>
      </c>
      <c r="BS96" t="s">
        <v>707</v>
      </c>
      <c r="CR96"/>
      <c r="CS96"/>
      <c r="CT96"/>
    </row>
    <row r="97" spans="1:98" x14ac:dyDescent="0.4">
      <c r="A97" s="2" t="s">
        <v>121</v>
      </c>
      <c r="B97" t="str">
        <f>_xlfn.TEXTAFTER(Table1[[#This Row],[VEHIDCODE]],"_")</f>
        <v>France_SNCF_150B</v>
      </c>
      <c r="C97" t="s">
        <v>739</v>
      </c>
      <c r="D97" t="b">
        <f>OR(ISNUMBER(SEARCH("wagon_",Table1[[#This Row],[FILENAMES_EXPECTED]])),ISNUMBER(SEARCH("coach_",Table1[[#This Row],[FILENAMES_EXPECTED]])))</f>
        <v>0</v>
      </c>
      <c r="E97" t="str">
        <f>"item_"&amp;Table1[[#This Row],[VEHIDCODE]]</f>
        <v>item_steam_France_SNCF_150B</v>
      </c>
      <c r="F97" t="str">
        <f>"str_"&amp;Table1[[#This Row],[VEHIDCODE]]</f>
        <v>str_steam_France_SNCF_150B</v>
      </c>
      <c r="O97" s="2" t="b">
        <v>1</v>
      </c>
      <c r="AJ97" s="2"/>
      <c r="AK97" s="2" t="b">
        <f>LEN(_xlfn.CONCAT(Table1[[#This Row],[TRACK_TYPE_STANDARD_GAUGE_RAILTYPE_OHLE]:[TRACK_TYPE_MTRO]]))&gt;0</f>
        <v>1</v>
      </c>
      <c r="AL97">
        <v>10</v>
      </c>
      <c r="AM97" t="s">
        <v>20</v>
      </c>
      <c r="AN97">
        <v>0</v>
      </c>
      <c r="AO97" t="s">
        <v>23</v>
      </c>
      <c r="AP97">
        <v>0</v>
      </c>
      <c r="AQ97">
        <v>1934</v>
      </c>
      <c r="AR97">
        <v>8</v>
      </c>
      <c r="AS97" s="2" t="s">
        <v>20</v>
      </c>
      <c r="AT97" t="b">
        <v>1</v>
      </c>
      <c r="AV97" s="2"/>
      <c r="AW97">
        <v>45</v>
      </c>
      <c r="AX97">
        <v>1</v>
      </c>
      <c r="AY97">
        <v>2260</v>
      </c>
      <c r="AZ97" t="s">
        <v>710</v>
      </c>
      <c r="BA97">
        <v>105</v>
      </c>
      <c r="BB97" s="2">
        <v>0.22</v>
      </c>
      <c r="BC97" t="s">
        <v>923</v>
      </c>
      <c r="BD97" t="s">
        <v>922</v>
      </c>
      <c r="BE97" t="s">
        <v>940</v>
      </c>
      <c r="BF97" s="7">
        <v>40</v>
      </c>
      <c r="BG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7">
        <v>0</v>
      </c>
      <c r="BI97" t="s">
        <v>734</v>
      </c>
      <c r="BJ97" s="11"/>
      <c r="BK97" s="11"/>
      <c r="BL97" s="11">
        <v>119</v>
      </c>
      <c r="BM97">
        <v>0</v>
      </c>
      <c r="BN97" t="s">
        <v>692</v>
      </c>
      <c r="BO97" t="s">
        <v>694</v>
      </c>
      <c r="BP97" t="s">
        <v>701</v>
      </c>
      <c r="BQ97" t="s">
        <v>705</v>
      </c>
      <c r="BR97" t="s">
        <v>706</v>
      </c>
      <c r="BS97" t="s">
        <v>707</v>
      </c>
      <c r="CR97"/>
      <c r="CS97"/>
      <c r="CT97"/>
    </row>
    <row r="98" spans="1:98" x14ac:dyDescent="0.4">
      <c r="A98" s="2" t="s">
        <v>122</v>
      </c>
      <c r="B98" t="str">
        <f>_xlfn.TEXTAFTER(Table1[[#This Row],[VEHIDCODE]],"_")</f>
        <v>Italy_FS_895</v>
      </c>
      <c r="C98" t="s">
        <v>739</v>
      </c>
      <c r="D98" t="b">
        <f>OR(ISNUMBER(SEARCH("wagon_",Table1[[#This Row],[FILENAMES_EXPECTED]])),ISNUMBER(SEARCH("coach_",Table1[[#This Row],[FILENAMES_EXPECTED]])))</f>
        <v>0</v>
      </c>
      <c r="E98" t="str">
        <f>"item_"&amp;Table1[[#This Row],[VEHIDCODE]]</f>
        <v>item_steam_Italy_FS_895</v>
      </c>
      <c r="F98" t="str">
        <f>"str_"&amp;Table1[[#This Row],[VEHIDCODE]]</f>
        <v>str_steam_Italy_FS_895</v>
      </c>
      <c r="O98" s="2" t="b">
        <v>1</v>
      </c>
      <c r="AJ98" s="2"/>
      <c r="AK98" s="2" t="b">
        <f>LEN(_xlfn.CONCAT(Table1[[#This Row],[TRACK_TYPE_STANDARD_GAUGE_RAILTYPE_OHLE]:[TRACK_TYPE_MTRO]]))&gt;0</f>
        <v>1</v>
      </c>
      <c r="AL98">
        <v>5</v>
      </c>
      <c r="AM98" t="s">
        <v>20</v>
      </c>
      <c r="AN98">
        <v>0</v>
      </c>
      <c r="AO98" t="s">
        <v>23</v>
      </c>
      <c r="AP98">
        <v>0</v>
      </c>
      <c r="AQ98">
        <v>1908</v>
      </c>
      <c r="AR98">
        <v>5</v>
      </c>
      <c r="AS98" s="2" t="s">
        <v>20</v>
      </c>
      <c r="AT98" t="b">
        <v>1</v>
      </c>
      <c r="AV98" s="2"/>
      <c r="AW98">
        <v>45</v>
      </c>
      <c r="AX98">
        <v>1</v>
      </c>
      <c r="AY98">
        <v>500</v>
      </c>
      <c r="AZ98" t="s">
        <v>710</v>
      </c>
      <c r="BA98">
        <v>40</v>
      </c>
      <c r="BB98" s="2">
        <v>0.21</v>
      </c>
      <c r="BC98" t="s">
        <v>924</v>
      </c>
      <c r="BD98" t="s">
        <v>922</v>
      </c>
      <c r="BE98" t="s">
        <v>940</v>
      </c>
      <c r="BF98" s="7">
        <v>40</v>
      </c>
      <c r="BG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8">
        <v>-3</v>
      </c>
      <c r="BI98" t="s">
        <v>734</v>
      </c>
      <c r="BJ98" s="11"/>
      <c r="BK98" s="11"/>
      <c r="BL98" s="11">
        <v>59</v>
      </c>
      <c r="BM98">
        <v>0</v>
      </c>
      <c r="BN98" t="s">
        <v>692</v>
      </c>
      <c r="BO98" t="s">
        <v>694</v>
      </c>
      <c r="BP98" t="s">
        <v>701</v>
      </c>
      <c r="BQ98" t="s">
        <v>705</v>
      </c>
      <c r="BR98" t="s">
        <v>706</v>
      </c>
      <c r="BS98" t="s">
        <v>707</v>
      </c>
      <c r="CR98"/>
      <c r="CS98"/>
      <c r="CT98"/>
    </row>
    <row r="99" spans="1:98" x14ac:dyDescent="0.4">
      <c r="A99" s="2" t="s">
        <v>123</v>
      </c>
      <c r="B99" t="str">
        <f>_xlfn.TEXTAFTER(Table1[[#This Row],[VEHIDCODE]],"_")</f>
        <v>Poland_PKP_Okz32</v>
      </c>
      <c r="C99" t="s">
        <v>739</v>
      </c>
      <c r="D99" t="b">
        <f>OR(ISNUMBER(SEARCH("wagon_",Table1[[#This Row],[FILENAMES_EXPECTED]])),ISNUMBER(SEARCH("coach_",Table1[[#This Row],[FILENAMES_EXPECTED]])))</f>
        <v>0</v>
      </c>
      <c r="E99" t="str">
        <f>"item_"&amp;Table1[[#This Row],[VEHIDCODE]]</f>
        <v>item_steam_Poland_PKP_Okz32</v>
      </c>
      <c r="F99" t="str">
        <f>"str_"&amp;Table1[[#This Row],[VEHIDCODE]]</f>
        <v>str_steam_Poland_PKP_Okz32</v>
      </c>
      <c r="O99" s="2" t="b">
        <v>1</v>
      </c>
      <c r="AJ99" s="2"/>
      <c r="AK99" s="2" t="b">
        <f>LEN(_xlfn.CONCAT(Table1[[#This Row],[TRACK_TYPE_STANDARD_GAUGE_RAILTYPE_OHLE]:[TRACK_TYPE_MTRO]]))&gt;0</f>
        <v>1</v>
      </c>
      <c r="AL99">
        <v>7</v>
      </c>
      <c r="AM99" t="s">
        <v>20</v>
      </c>
      <c r="AN99">
        <v>0</v>
      </c>
      <c r="AO99" t="s">
        <v>23</v>
      </c>
      <c r="AP99">
        <v>0</v>
      </c>
      <c r="AQ99">
        <v>1934</v>
      </c>
      <c r="AR99">
        <v>7</v>
      </c>
      <c r="AS99" s="2" t="s">
        <v>20</v>
      </c>
      <c r="AT99" t="b">
        <v>1</v>
      </c>
      <c r="AV99" s="2"/>
      <c r="AW99">
        <v>45</v>
      </c>
      <c r="AX99">
        <v>0</v>
      </c>
      <c r="AY99">
        <v>1868</v>
      </c>
      <c r="AZ99" t="s">
        <v>710</v>
      </c>
      <c r="BA99">
        <v>75</v>
      </c>
      <c r="BB99" s="2">
        <v>0.11</v>
      </c>
      <c r="BC99" t="s">
        <v>929</v>
      </c>
      <c r="BD99" t="s">
        <v>922</v>
      </c>
      <c r="BE99" t="s">
        <v>940</v>
      </c>
      <c r="BF99" s="7">
        <v>40</v>
      </c>
      <c r="BG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99">
        <v>-3</v>
      </c>
      <c r="BI99" t="s">
        <v>734</v>
      </c>
      <c r="BJ99" s="11"/>
      <c r="BK99" s="11"/>
      <c r="BL99" s="11">
        <v>111</v>
      </c>
      <c r="BM99">
        <v>0</v>
      </c>
      <c r="BN99" t="s">
        <v>692</v>
      </c>
      <c r="BO99" t="s">
        <v>694</v>
      </c>
      <c r="BP99" t="s">
        <v>701</v>
      </c>
      <c r="BQ99" t="s">
        <v>705</v>
      </c>
      <c r="BR99" t="s">
        <v>706</v>
      </c>
      <c r="BS99" t="s">
        <v>707</v>
      </c>
      <c r="CR99"/>
      <c r="CS99"/>
      <c r="CT99"/>
    </row>
    <row r="100" spans="1:98" x14ac:dyDescent="0.4">
      <c r="A100" s="2" t="s">
        <v>124</v>
      </c>
      <c r="B100" t="str">
        <f>_xlfn.TEXTAFTER(Table1[[#This Row],[VEHIDCODE]],"_")</f>
        <v>Switzerland_SBB_C_5_6</v>
      </c>
      <c r="C100" t="s">
        <v>739</v>
      </c>
      <c r="D100" t="b">
        <f>OR(ISNUMBER(SEARCH("wagon_",Table1[[#This Row],[FILENAMES_EXPECTED]])),ISNUMBER(SEARCH("coach_",Table1[[#This Row],[FILENAMES_EXPECTED]])))</f>
        <v>0</v>
      </c>
      <c r="E100" t="str">
        <f>"item_"&amp;Table1[[#This Row],[VEHIDCODE]]</f>
        <v>item_steam_Switzerland_SBB_C_5_6</v>
      </c>
      <c r="F100" t="str">
        <f>"str_"&amp;Table1[[#This Row],[VEHIDCODE]]</f>
        <v>str_steam_Switzerland_SBB_C_5_6</v>
      </c>
      <c r="O100" s="2" t="b">
        <v>1</v>
      </c>
      <c r="AJ100" s="2"/>
      <c r="AK100" s="2" t="b">
        <f>LEN(_xlfn.CONCAT(Table1[[#This Row],[TRACK_TYPE_STANDARD_GAUGE_RAILTYPE_OHLE]:[TRACK_TYPE_MTRO]]))&gt;0</f>
        <v>1</v>
      </c>
      <c r="AL100">
        <v>8</v>
      </c>
      <c r="AM100" t="s">
        <v>20</v>
      </c>
      <c r="AN100">
        <v>0</v>
      </c>
      <c r="AO100" t="s">
        <v>23</v>
      </c>
      <c r="AP100">
        <v>0</v>
      </c>
      <c r="AQ100">
        <v>1913</v>
      </c>
      <c r="AR100">
        <v>8</v>
      </c>
      <c r="AS100" s="2" t="s">
        <v>20</v>
      </c>
      <c r="AT100" t="b">
        <v>1</v>
      </c>
      <c r="AV100" s="2"/>
      <c r="AW100">
        <v>45</v>
      </c>
      <c r="AX100">
        <v>1</v>
      </c>
      <c r="AY100">
        <v>1620</v>
      </c>
      <c r="AZ100" t="s">
        <v>710</v>
      </c>
      <c r="BA100">
        <v>65</v>
      </c>
      <c r="BB100" s="2">
        <v>0.17</v>
      </c>
      <c r="BC100" t="s">
        <v>923</v>
      </c>
      <c r="BD100" t="s">
        <v>922</v>
      </c>
      <c r="BE100" t="s">
        <v>940</v>
      </c>
      <c r="BF100" s="7">
        <v>40</v>
      </c>
      <c r="BG1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0">
        <v>0</v>
      </c>
      <c r="BI100" t="s">
        <v>734</v>
      </c>
      <c r="BJ100" s="11"/>
      <c r="BK100" s="11"/>
      <c r="BL100" s="11">
        <v>128</v>
      </c>
      <c r="BM100">
        <v>0</v>
      </c>
      <c r="BN100" t="s">
        <v>692</v>
      </c>
      <c r="BO100" t="s">
        <v>694</v>
      </c>
      <c r="BP100" t="s">
        <v>701</v>
      </c>
      <c r="BQ100" t="s">
        <v>705</v>
      </c>
      <c r="BR100" t="s">
        <v>706</v>
      </c>
      <c r="BS100" t="s">
        <v>707</v>
      </c>
      <c r="CR100"/>
      <c r="CS100"/>
      <c r="CT100"/>
    </row>
    <row r="101" spans="1:98" x14ac:dyDescent="0.4">
      <c r="A101" s="2" t="s">
        <v>125</v>
      </c>
      <c r="B101" t="str">
        <f>_xlfn.TEXTAFTER(Table1[[#This Row],[VEHIDCODE]],"_")</f>
        <v>USA_UP_4000_Big_Boy</v>
      </c>
      <c r="C101" t="s">
        <v>739</v>
      </c>
      <c r="D101" t="b">
        <f>OR(ISNUMBER(SEARCH("wagon_",Table1[[#This Row],[FILENAMES_EXPECTED]])),ISNUMBER(SEARCH("coach_",Table1[[#This Row],[FILENAMES_EXPECTED]])))</f>
        <v>0</v>
      </c>
      <c r="E101" t="str">
        <f>"item_"&amp;Table1[[#This Row],[VEHIDCODE]]</f>
        <v>item_steam_USA_UP_4000_Big_Boy</v>
      </c>
      <c r="F101" t="str">
        <f>"str_"&amp;Table1[[#This Row],[VEHIDCODE]]</f>
        <v>str_steam_USA_UP_4000_Big_Boy</v>
      </c>
      <c r="O101" s="2" t="b">
        <v>1</v>
      </c>
      <c r="AJ101" s="2"/>
      <c r="AK101" s="2" t="b">
        <f>LEN(_xlfn.CONCAT(Table1[[#This Row],[TRACK_TYPE_STANDARD_GAUGE_RAILTYPE_OHLE]:[TRACK_TYPE_MTRO]]))&gt;0</f>
        <v>1</v>
      </c>
      <c r="AL101">
        <v>6</v>
      </c>
      <c r="AM101" t="s">
        <v>20</v>
      </c>
      <c r="AN101">
        <v>0</v>
      </c>
      <c r="AO101" t="s">
        <v>23</v>
      </c>
      <c r="AP101">
        <v>0</v>
      </c>
      <c r="AQ101">
        <v>1941</v>
      </c>
      <c r="AR101">
        <v>8</v>
      </c>
      <c r="AS101" s="2" t="s">
        <v>20</v>
      </c>
      <c r="AT101" t="b">
        <v>1</v>
      </c>
      <c r="AV101" s="2"/>
      <c r="AW101">
        <v>45</v>
      </c>
      <c r="AX101">
        <v>1</v>
      </c>
      <c r="AY101">
        <v>6290</v>
      </c>
      <c r="AZ101" t="s">
        <v>710</v>
      </c>
      <c r="BA101">
        <v>128</v>
      </c>
      <c r="BB101" s="2">
        <v>0.1</v>
      </c>
      <c r="BC101" t="s">
        <v>928</v>
      </c>
      <c r="BD101" t="s">
        <v>922</v>
      </c>
      <c r="BE101" t="s">
        <v>940</v>
      </c>
      <c r="BF101" s="7">
        <v>40</v>
      </c>
      <c r="BG1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1">
        <v>0</v>
      </c>
      <c r="BI101" t="s">
        <v>734</v>
      </c>
      <c r="BJ101" s="11"/>
      <c r="BK101" s="11"/>
      <c r="BL101" s="11">
        <v>603</v>
      </c>
      <c r="BM101">
        <v>0</v>
      </c>
      <c r="BN101" t="s">
        <v>692</v>
      </c>
      <c r="BO101" t="s">
        <v>694</v>
      </c>
      <c r="BP101" t="s">
        <v>701</v>
      </c>
      <c r="BQ101" t="s">
        <v>705</v>
      </c>
      <c r="BR101" t="s">
        <v>706</v>
      </c>
      <c r="BS101" t="s">
        <v>707</v>
      </c>
      <c r="CR101"/>
      <c r="CS101"/>
      <c r="CT101"/>
    </row>
    <row r="102" spans="1:98" x14ac:dyDescent="0.4">
      <c r="A102" s="2" t="s">
        <v>126</v>
      </c>
      <c r="B102" t="str">
        <f>_xlfn.TEXTAFTER(Table1[[#This Row],[VEHIDCODE]],"_")</f>
        <v>Netherlands_NRS_11</v>
      </c>
      <c r="C102" t="s">
        <v>739</v>
      </c>
      <c r="D102" t="b">
        <f>OR(ISNUMBER(SEARCH("wagon_",Table1[[#This Row],[FILENAMES_EXPECTED]])),ISNUMBER(SEARCH("coach_",Table1[[#This Row],[FILENAMES_EXPECTED]])))</f>
        <v>0</v>
      </c>
      <c r="E102" t="str">
        <f>"item_"&amp;Table1[[#This Row],[VEHIDCODE]]</f>
        <v>item_steam_Netherlands_NRS_11</v>
      </c>
      <c r="F102" t="str">
        <f>"str_"&amp;Table1[[#This Row],[VEHIDCODE]]</f>
        <v>str_steam_Netherlands_NRS_11</v>
      </c>
      <c r="O102" s="2" t="b">
        <v>1</v>
      </c>
      <c r="AJ102" s="2"/>
      <c r="AK102" s="2" t="b">
        <f>LEN(_xlfn.CONCAT(Table1[[#This Row],[TRACK_TYPE_STANDARD_GAUGE_RAILTYPE_OHLE]:[TRACK_TYPE_MTRO]]))&gt;0</f>
        <v>1</v>
      </c>
      <c r="AL102">
        <v>6</v>
      </c>
      <c r="AM102" t="s">
        <v>18</v>
      </c>
      <c r="AN102">
        <v>0</v>
      </c>
      <c r="AO102" t="s">
        <v>23</v>
      </c>
      <c r="AP102">
        <v>0</v>
      </c>
      <c r="AQ102">
        <v>1844</v>
      </c>
      <c r="AR102">
        <v>4</v>
      </c>
      <c r="AS102" s="2" t="s">
        <v>20</v>
      </c>
      <c r="AT102" t="b">
        <v>1</v>
      </c>
      <c r="AV102" s="2"/>
      <c r="AW102">
        <v>45</v>
      </c>
      <c r="AX102">
        <v>1</v>
      </c>
      <c r="AY102">
        <v>218</v>
      </c>
      <c r="AZ102" t="s">
        <v>710</v>
      </c>
      <c r="BA102">
        <v>40</v>
      </c>
      <c r="BB102" s="2">
        <v>0.03</v>
      </c>
      <c r="BC102" t="s">
        <v>923</v>
      </c>
      <c r="BD102" t="s">
        <v>922</v>
      </c>
      <c r="BE102" t="s">
        <v>940</v>
      </c>
      <c r="BF102" s="7">
        <v>40</v>
      </c>
      <c r="BG1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2">
        <v>0</v>
      </c>
      <c r="BI102" t="s">
        <v>734</v>
      </c>
      <c r="BJ102" s="11"/>
      <c r="BK102" s="11"/>
      <c r="BL102" s="11">
        <v>31</v>
      </c>
      <c r="BM102">
        <v>0</v>
      </c>
      <c r="BN102" t="s">
        <v>692</v>
      </c>
      <c r="BO102" t="s">
        <v>694</v>
      </c>
      <c r="BP102" t="s">
        <v>701</v>
      </c>
      <c r="BQ102" t="s">
        <v>705</v>
      </c>
      <c r="BR102" t="s">
        <v>706</v>
      </c>
      <c r="BS102" t="s">
        <v>707</v>
      </c>
      <c r="CR102"/>
      <c r="CS102"/>
      <c r="CT102"/>
    </row>
    <row r="103" spans="1:98" x14ac:dyDescent="0.4">
      <c r="A103" s="2" t="s">
        <v>127</v>
      </c>
      <c r="B103" t="str">
        <f>_xlfn.TEXTAFTER(Table1[[#This Row],[VEHIDCODE]],"_")</f>
        <v>UK_GWR_Iron_DUKe_Class</v>
      </c>
      <c r="C103" t="s">
        <v>739</v>
      </c>
      <c r="D103" t="b">
        <f>OR(ISNUMBER(SEARCH("wagon_",Table1[[#This Row],[FILENAMES_EXPECTED]])),ISNUMBER(SEARCH("coach_",Table1[[#This Row],[FILENAMES_EXPECTED]])))</f>
        <v>0</v>
      </c>
      <c r="E103" t="str">
        <f>"item_"&amp;Table1[[#This Row],[VEHIDCODE]]</f>
        <v>item_steam_UK_GWR_Iron_DUKe_Class</v>
      </c>
      <c r="F103" t="str">
        <f>"str_"&amp;Table1[[#This Row],[VEHIDCODE]]</f>
        <v>str_steam_UK_GWR_Iron_DUKe_Class</v>
      </c>
      <c r="O103" s="2" t="b">
        <v>1</v>
      </c>
      <c r="AJ103" s="2"/>
      <c r="AK103" s="2" t="b">
        <f>LEN(_xlfn.CONCAT(Table1[[#This Row],[TRACK_TYPE_STANDARD_GAUGE_RAILTYPE_OHLE]:[TRACK_TYPE_MTRO]]))&gt;0</f>
        <v>1</v>
      </c>
      <c r="AL103">
        <v>8</v>
      </c>
      <c r="AM103" t="s">
        <v>18</v>
      </c>
      <c r="AN103">
        <v>0</v>
      </c>
      <c r="AO103" t="s">
        <v>23</v>
      </c>
      <c r="AP103">
        <v>0</v>
      </c>
      <c r="AQ103">
        <v>1846</v>
      </c>
      <c r="AR103">
        <v>8</v>
      </c>
      <c r="AS103" s="2" t="s">
        <v>20</v>
      </c>
      <c r="AT103" t="b">
        <v>1</v>
      </c>
      <c r="AV103" s="2"/>
      <c r="AW103">
        <v>45</v>
      </c>
      <c r="AX103">
        <v>1</v>
      </c>
      <c r="AY103">
        <v>507</v>
      </c>
      <c r="AZ103" t="s">
        <v>710</v>
      </c>
      <c r="BA103">
        <v>128</v>
      </c>
      <c r="BB103" s="2">
        <v>0.1</v>
      </c>
      <c r="BC103" t="s">
        <v>927</v>
      </c>
      <c r="BD103" t="s">
        <v>922</v>
      </c>
      <c r="BE103" t="s">
        <v>940</v>
      </c>
      <c r="BF103" s="7">
        <v>40</v>
      </c>
      <c r="BG1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3">
        <v>0</v>
      </c>
      <c r="BI103" t="s">
        <v>734</v>
      </c>
      <c r="BJ103" s="11"/>
      <c r="BK103" s="11"/>
      <c r="BL103" s="11">
        <v>44</v>
      </c>
      <c r="BM103">
        <v>0</v>
      </c>
      <c r="BN103" t="s">
        <v>692</v>
      </c>
      <c r="BO103" t="s">
        <v>694</v>
      </c>
      <c r="BP103" t="s">
        <v>701</v>
      </c>
      <c r="BQ103" t="s">
        <v>705</v>
      </c>
      <c r="BR103" t="s">
        <v>706</v>
      </c>
      <c r="BS103" t="s">
        <v>707</v>
      </c>
      <c r="CR103"/>
      <c r="CS103"/>
      <c r="CT103"/>
    </row>
    <row r="104" spans="1:98" x14ac:dyDescent="0.4">
      <c r="A104" s="2" t="s">
        <v>128</v>
      </c>
      <c r="B104" t="str">
        <f>_xlfn.TEXTAFTER(Table1[[#This Row],[VEHIDCODE]],"_")</f>
        <v>Australia_Sidney_Railway_Locomotive_No1</v>
      </c>
      <c r="C104" t="s">
        <v>739</v>
      </c>
      <c r="D104" t="b">
        <f>OR(ISNUMBER(SEARCH("wagon_",Table1[[#This Row],[FILENAMES_EXPECTED]])),ISNUMBER(SEARCH("coach_",Table1[[#This Row],[FILENAMES_EXPECTED]])))</f>
        <v>0</v>
      </c>
      <c r="E104" t="str">
        <f>"item_"&amp;Table1[[#This Row],[VEHIDCODE]]</f>
        <v>item_steam_Australia_Sidney_Railway_Locomotive_No1</v>
      </c>
      <c r="F104" t="str">
        <f>"str_"&amp;Table1[[#This Row],[VEHIDCODE]]</f>
        <v>str_steam_Australia_Sidney_Railway_Locomotive_No1</v>
      </c>
      <c r="O104" s="2" t="b">
        <v>1</v>
      </c>
      <c r="AJ104" s="2"/>
      <c r="AK104" s="2" t="b">
        <f>LEN(_xlfn.CONCAT(Table1[[#This Row],[TRACK_TYPE_STANDARD_GAUGE_RAILTYPE_OHLE]:[TRACK_TYPE_MTRO]]))&gt;0</f>
        <v>1</v>
      </c>
      <c r="AL104">
        <v>8</v>
      </c>
      <c r="AM104" t="s">
        <v>18</v>
      </c>
      <c r="AN104">
        <v>0</v>
      </c>
      <c r="AO104" t="s">
        <v>23</v>
      </c>
      <c r="AP104">
        <v>0</v>
      </c>
      <c r="AQ104">
        <v>1855</v>
      </c>
      <c r="AR104">
        <v>5</v>
      </c>
      <c r="AS104" s="2" t="s">
        <v>20</v>
      </c>
      <c r="AT104" t="b">
        <v>1</v>
      </c>
      <c r="AV104" s="2"/>
      <c r="AW104">
        <v>45</v>
      </c>
      <c r="AX104">
        <v>1</v>
      </c>
      <c r="AY104">
        <v>119</v>
      </c>
      <c r="AZ104" t="s">
        <v>710</v>
      </c>
      <c r="BA104">
        <v>25</v>
      </c>
      <c r="BB104" s="2">
        <v>0.1</v>
      </c>
      <c r="BC104" t="s">
        <v>925</v>
      </c>
      <c r="BD104" t="s">
        <v>922</v>
      </c>
      <c r="BE104" t="s">
        <v>940</v>
      </c>
      <c r="BF104" s="7">
        <v>40</v>
      </c>
      <c r="BG1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4">
        <v>0</v>
      </c>
      <c r="BI104" t="s">
        <v>734</v>
      </c>
      <c r="BJ104" s="11"/>
      <c r="BK104" s="11"/>
      <c r="BL104" s="11">
        <v>38</v>
      </c>
      <c r="BM104">
        <v>0</v>
      </c>
      <c r="BN104" t="s">
        <v>692</v>
      </c>
      <c r="BO104" t="s">
        <v>694</v>
      </c>
      <c r="BP104" t="s">
        <v>701</v>
      </c>
      <c r="BQ104" t="s">
        <v>705</v>
      </c>
      <c r="BR104" t="s">
        <v>706</v>
      </c>
      <c r="BS104" t="s">
        <v>707</v>
      </c>
      <c r="CR104"/>
      <c r="CS104"/>
      <c r="CT104"/>
    </row>
    <row r="105" spans="1:98" x14ac:dyDescent="0.4">
      <c r="A105" s="2" t="s">
        <v>129</v>
      </c>
      <c r="B105" t="str">
        <f>_xlfn.TEXTAFTER(Table1[[#This Row],[VEHIDCODE]],"_")</f>
        <v>USA_Central_Pacific_4_2_2</v>
      </c>
      <c r="C105" t="s">
        <v>739</v>
      </c>
      <c r="D105" t="b">
        <f>OR(ISNUMBER(SEARCH("wagon_",Table1[[#This Row],[FILENAMES_EXPECTED]])),ISNUMBER(SEARCH("coach_",Table1[[#This Row],[FILENAMES_EXPECTED]])))</f>
        <v>0</v>
      </c>
      <c r="E105" t="str">
        <f>"item_"&amp;Table1[[#This Row],[VEHIDCODE]]</f>
        <v>item_steam_USA_Central_Pacific_4_2_2</v>
      </c>
      <c r="F105" t="str">
        <f>"str_"&amp;Table1[[#This Row],[VEHIDCODE]]</f>
        <v>str_steam_USA_Central_Pacific_4_2_2</v>
      </c>
      <c r="O105" s="2" t="b">
        <v>1</v>
      </c>
      <c r="AJ105" s="2"/>
      <c r="AK105" s="2" t="b">
        <f>LEN(_xlfn.CONCAT(Table1[[#This Row],[TRACK_TYPE_STANDARD_GAUGE_RAILTYPE_OHLE]:[TRACK_TYPE_MTRO]]))&gt;0</f>
        <v>1</v>
      </c>
      <c r="AL105">
        <v>6</v>
      </c>
      <c r="AM105" t="s">
        <v>18</v>
      </c>
      <c r="AN105">
        <v>0</v>
      </c>
      <c r="AO105" t="s">
        <v>23</v>
      </c>
      <c r="AP105">
        <v>0</v>
      </c>
      <c r="AQ105">
        <v>1863</v>
      </c>
      <c r="AR105">
        <v>5</v>
      </c>
      <c r="AS105" s="2" t="s">
        <v>20</v>
      </c>
      <c r="AT105" t="b">
        <v>1</v>
      </c>
      <c r="AV105" s="2"/>
      <c r="AW105">
        <v>45</v>
      </c>
      <c r="AX105">
        <v>1</v>
      </c>
      <c r="AY105">
        <v>126</v>
      </c>
      <c r="AZ105" t="s">
        <v>710</v>
      </c>
      <c r="BA105">
        <v>80</v>
      </c>
      <c r="BB105" s="2">
        <v>0.14000000000000001</v>
      </c>
      <c r="BC105" t="s">
        <v>928</v>
      </c>
      <c r="BD105" t="s">
        <v>922</v>
      </c>
      <c r="BE105" t="s">
        <v>940</v>
      </c>
      <c r="BF105" s="7">
        <v>40</v>
      </c>
      <c r="BG1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5">
        <v>0</v>
      </c>
      <c r="BI105" t="s">
        <v>734</v>
      </c>
      <c r="BJ105" s="11"/>
      <c r="BK105" s="11"/>
      <c r="BL105" s="11">
        <v>18</v>
      </c>
      <c r="BM105">
        <v>0</v>
      </c>
      <c r="BN105" t="s">
        <v>692</v>
      </c>
      <c r="BO105" t="s">
        <v>694</v>
      </c>
      <c r="BP105" t="s">
        <v>701</v>
      </c>
      <c r="BQ105" t="s">
        <v>705</v>
      </c>
      <c r="BR105" t="s">
        <v>706</v>
      </c>
      <c r="BS105" t="s">
        <v>707</v>
      </c>
      <c r="CR105"/>
      <c r="CS105"/>
      <c r="CT105"/>
    </row>
    <row r="106" spans="1:98" x14ac:dyDescent="0.4">
      <c r="A106" s="2" t="s">
        <v>130</v>
      </c>
      <c r="B106" t="str">
        <f>_xlfn.TEXTAFTER(Table1[[#This Row],[VEHIDCODE]],"_")</f>
        <v>Netherlands_NS_700</v>
      </c>
      <c r="C106" t="s">
        <v>739</v>
      </c>
      <c r="D106" t="b">
        <f>OR(ISNUMBER(SEARCH("wagon_",Table1[[#This Row],[FILENAMES_EXPECTED]])),ISNUMBER(SEARCH("coach_",Table1[[#This Row],[FILENAMES_EXPECTED]])))</f>
        <v>0</v>
      </c>
      <c r="E106" t="str">
        <f>"item_"&amp;Table1[[#This Row],[VEHIDCODE]]</f>
        <v>item_steam_Netherlands_NS_700</v>
      </c>
      <c r="F106" t="str">
        <f>"str_"&amp;Table1[[#This Row],[VEHIDCODE]]</f>
        <v>str_steam_Netherlands_NS_700</v>
      </c>
      <c r="O106" s="2" t="b">
        <v>1</v>
      </c>
      <c r="AJ106" s="2"/>
      <c r="AK106" s="2" t="b">
        <f>LEN(_xlfn.CONCAT(Table1[[#This Row],[TRACK_TYPE_STANDARD_GAUGE_RAILTYPE_OHLE]:[TRACK_TYPE_MTRO]]))&gt;0</f>
        <v>1</v>
      </c>
      <c r="AL106">
        <v>6</v>
      </c>
      <c r="AM106" t="s">
        <v>18</v>
      </c>
      <c r="AN106">
        <v>0</v>
      </c>
      <c r="AO106" t="s">
        <v>23</v>
      </c>
      <c r="AP106">
        <v>0</v>
      </c>
      <c r="AQ106">
        <v>1865</v>
      </c>
      <c r="AR106">
        <v>5</v>
      </c>
      <c r="AS106" s="2" t="s">
        <v>20</v>
      </c>
      <c r="AT106" t="b">
        <v>1</v>
      </c>
      <c r="AV106" s="2"/>
      <c r="AW106">
        <v>45</v>
      </c>
      <c r="AX106">
        <v>1</v>
      </c>
      <c r="AY106">
        <v>320</v>
      </c>
      <c r="AZ106" t="s">
        <v>710</v>
      </c>
      <c r="BA106">
        <v>80</v>
      </c>
      <c r="BB106" s="2">
        <v>7.0000000000000007E-2</v>
      </c>
      <c r="BC106" t="s">
        <v>923</v>
      </c>
      <c r="BD106" t="s">
        <v>922</v>
      </c>
      <c r="BE106" t="s">
        <v>940</v>
      </c>
      <c r="BF106" s="7">
        <v>40</v>
      </c>
      <c r="BG1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6">
        <v>0</v>
      </c>
      <c r="BI106" t="s">
        <v>734</v>
      </c>
      <c r="BJ106" s="11"/>
      <c r="BK106" s="11"/>
      <c r="BL106" s="11">
        <v>49</v>
      </c>
      <c r="BM106">
        <v>0</v>
      </c>
      <c r="BN106" t="s">
        <v>692</v>
      </c>
      <c r="BO106" t="s">
        <v>694</v>
      </c>
      <c r="BP106" t="s">
        <v>701</v>
      </c>
      <c r="BQ106" t="s">
        <v>705</v>
      </c>
      <c r="BR106" t="s">
        <v>706</v>
      </c>
      <c r="BS106" t="s">
        <v>707</v>
      </c>
      <c r="CR106"/>
      <c r="CS106"/>
      <c r="CT106"/>
    </row>
    <row r="107" spans="1:98" x14ac:dyDescent="0.4">
      <c r="A107" s="2" t="s">
        <v>131</v>
      </c>
      <c r="B107" t="str">
        <f>_xlfn.TEXTAFTER(Table1[[#This Row],[VEHIDCODE]],"_")</f>
        <v>South_Africa_Natal_Government_Railways_2_6_0T</v>
      </c>
      <c r="C107" t="s">
        <v>739</v>
      </c>
      <c r="D107" t="b">
        <f>OR(ISNUMBER(SEARCH("wagon_",Table1[[#This Row],[FILENAMES_EXPECTED]])),ISNUMBER(SEARCH("coach_",Table1[[#This Row],[FILENAMES_EXPECTED]])))</f>
        <v>0</v>
      </c>
      <c r="E107" t="str">
        <f>"item_"&amp;Table1[[#This Row],[VEHIDCODE]]</f>
        <v>item_steam_South_Africa_Natal_Government_Railways_2_6_0T</v>
      </c>
      <c r="F107" t="str">
        <f>"str_"&amp;Table1[[#This Row],[VEHIDCODE]]</f>
        <v>str_steam_South_Africa_Natal_Government_Railways_2_6_0T</v>
      </c>
      <c r="O107" s="2" t="b">
        <v>1</v>
      </c>
      <c r="AJ107" s="2"/>
      <c r="AK107" s="2" t="b">
        <f>LEN(_xlfn.CONCAT(Table1[[#This Row],[TRACK_TYPE_STANDARD_GAUGE_RAILTYPE_OHLE]:[TRACK_TYPE_MTRO]]))&gt;0</f>
        <v>1</v>
      </c>
      <c r="AL107">
        <v>5</v>
      </c>
      <c r="AM107" t="s">
        <v>18</v>
      </c>
      <c r="AN107">
        <v>0</v>
      </c>
      <c r="AO107" t="s">
        <v>23</v>
      </c>
      <c r="AP107">
        <v>0</v>
      </c>
      <c r="AQ107">
        <v>1876</v>
      </c>
      <c r="AR107">
        <v>5</v>
      </c>
      <c r="AS107" s="2" t="s">
        <v>20</v>
      </c>
      <c r="AT107" t="b">
        <v>1</v>
      </c>
      <c r="AV107" s="2"/>
      <c r="AW107">
        <v>45</v>
      </c>
      <c r="AX107">
        <v>1</v>
      </c>
      <c r="AY107">
        <v>96</v>
      </c>
      <c r="AZ107" t="s">
        <v>710</v>
      </c>
      <c r="BA107">
        <v>15</v>
      </c>
      <c r="BB107" s="2">
        <v>0.17</v>
      </c>
      <c r="BC107" t="s">
        <v>926</v>
      </c>
      <c r="BD107" t="s">
        <v>922</v>
      </c>
      <c r="BE107" t="s">
        <v>940</v>
      </c>
      <c r="BF107" s="7">
        <v>40</v>
      </c>
      <c r="BG1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7">
        <v>0</v>
      </c>
      <c r="BI107" t="s">
        <v>734</v>
      </c>
      <c r="BJ107" s="11"/>
      <c r="BK107" s="11"/>
      <c r="BL107" s="11">
        <v>26</v>
      </c>
      <c r="BM107">
        <v>0</v>
      </c>
      <c r="BN107" t="s">
        <v>692</v>
      </c>
      <c r="BO107" t="s">
        <v>694</v>
      </c>
      <c r="BP107" t="s">
        <v>701</v>
      </c>
      <c r="BQ107" t="s">
        <v>705</v>
      </c>
      <c r="BR107" t="s">
        <v>706</v>
      </c>
      <c r="BS107" t="s">
        <v>707</v>
      </c>
      <c r="CR107"/>
      <c r="CS107"/>
      <c r="CT107"/>
    </row>
    <row r="108" spans="1:98" x14ac:dyDescent="0.4">
      <c r="A108" s="2" t="s">
        <v>132</v>
      </c>
      <c r="B108" t="str">
        <f>_xlfn.TEXTAFTER(Table1[[#This Row],[VEHIDCODE]],"_")</f>
        <v>Australia_NSWGR_Z25_Class</v>
      </c>
      <c r="C108" t="s">
        <v>739</v>
      </c>
      <c r="D108" t="b">
        <f>OR(ISNUMBER(SEARCH("wagon_",Table1[[#This Row],[FILENAMES_EXPECTED]])),ISNUMBER(SEARCH("coach_",Table1[[#This Row],[FILENAMES_EXPECTED]])))</f>
        <v>0</v>
      </c>
      <c r="E108" t="str">
        <f>"item_"&amp;Table1[[#This Row],[VEHIDCODE]]</f>
        <v>item_steam_Australia_NSWGR_Z25_Class</v>
      </c>
      <c r="F108" t="str">
        <f>"str_"&amp;Table1[[#This Row],[VEHIDCODE]]</f>
        <v>str_steam_Australia_NSWGR_Z25_Class</v>
      </c>
      <c r="O108" s="2" t="b">
        <v>1</v>
      </c>
      <c r="AJ108" s="2"/>
      <c r="AK108" s="2" t="b">
        <f>LEN(_xlfn.CONCAT(Table1[[#This Row],[TRACK_TYPE_STANDARD_GAUGE_RAILTYPE_OHLE]:[TRACK_TYPE_MTRO]]))&gt;0</f>
        <v>1</v>
      </c>
      <c r="AL108">
        <v>8</v>
      </c>
      <c r="AM108" t="s">
        <v>18</v>
      </c>
      <c r="AN108">
        <v>0</v>
      </c>
      <c r="AO108" t="s">
        <v>23</v>
      </c>
      <c r="AP108">
        <v>0</v>
      </c>
      <c r="AQ108">
        <v>1881</v>
      </c>
      <c r="AR108">
        <v>7</v>
      </c>
      <c r="AS108" s="2" t="s">
        <v>20</v>
      </c>
      <c r="AT108" t="b">
        <v>1</v>
      </c>
      <c r="AV108" s="2"/>
      <c r="AW108">
        <v>45</v>
      </c>
      <c r="AX108">
        <v>1</v>
      </c>
      <c r="AY108">
        <v>650</v>
      </c>
      <c r="AZ108" t="s">
        <v>710</v>
      </c>
      <c r="BA108">
        <v>80</v>
      </c>
      <c r="BB108" s="2">
        <v>0.23</v>
      </c>
      <c r="BC108" t="s">
        <v>925</v>
      </c>
      <c r="BD108" t="s">
        <v>922</v>
      </c>
      <c r="BE108" t="s">
        <v>940</v>
      </c>
      <c r="BF108" s="7">
        <v>40</v>
      </c>
      <c r="BG1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8">
        <v>0</v>
      </c>
      <c r="BI108" t="s">
        <v>734</v>
      </c>
      <c r="BJ108" s="11"/>
      <c r="BK108" s="11"/>
      <c r="BL108" s="11">
        <v>43</v>
      </c>
      <c r="BM108">
        <v>0</v>
      </c>
      <c r="BN108" t="s">
        <v>692</v>
      </c>
      <c r="BO108" t="s">
        <v>694</v>
      </c>
      <c r="BP108" t="s">
        <v>701</v>
      </c>
      <c r="BQ108" t="s">
        <v>705</v>
      </c>
      <c r="BR108" t="s">
        <v>706</v>
      </c>
      <c r="BS108" t="s">
        <v>707</v>
      </c>
      <c r="CR108"/>
      <c r="CS108"/>
      <c r="CT108"/>
    </row>
    <row r="109" spans="1:98" x14ac:dyDescent="0.4">
      <c r="A109" s="2" t="s">
        <v>133</v>
      </c>
      <c r="B109" t="str">
        <f>_xlfn.TEXTAFTER(Table1[[#This Row],[VEHIDCODE]],"_")</f>
        <v>Canada_Canadian_Pacific_374</v>
      </c>
      <c r="C109" t="s">
        <v>739</v>
      </c>
      <c r="D109" t="b">
        <f>OR(ISNUMBER(SEARCH("wagon_",Table1[[#This Row],[FILENAMES_EXPECTED]])),ISNUMBER(SEARCH("coach_",Table1[[#This Row],[FILENAMES_EXPECTED]])))</f>
        <v>0</v>
      </c>
      <c r="E109" t="str">
        <f>"item_"&amp;Table1[[#This Row],[VEHIDCODE]]</f>
        <v>item_steam_Canada_Canadian_Pacific_374</v>
      </c>
      <c r="F109" t="str">
        <f>"str_"&amp;Table1[[#This Row],[VEHIDCODE]]</f>
        <v>str_steam_Canada_Canadian_Pacific_374</v>
      </c>
      <c r="O109" s="2" t="b">
        <v>1</v>
      </c>
      <c r="AJ109" s="2"/>
      <c r="AK109" s="2" t="b">
        <f>LEN(_xlfn.CONCAT(Table1[[#This Row],[TRACK_TYPE_STANDARD_GAUGE_RAILTYPE_OHLE]:[TRACK_TYPE_MTRO]]))&gt;0</f>
        <v>1</v>
      </c>
      <c r="AL109">
        <v>8</v>
      </c>
      <c r="AM109" t="s">
        <v>18</v>
      </c>
      <c r="AN109">
        <v>0</v>
      </c>
      <c r="AO109" t="s">
        <v>23</v>
      </c>
      <c r="AP109">
        <v>0</v>
      </c>
      <c r="AQ109">
        <v>1886</v>
      </c>
      <c r="AR109">
        <v>6</v>
      </c>
      <c r="AS109" s="2" t="s">
        <v>20</v>
      </c>
      <c r="AT109" t="b">
        <v>1</v>
      </c>
      <c r="AV109" s="2"/>
      <c r="AW109">
        <v>45</v>
      </c>
      <c r="AX109">
        <v>1</v>
      </c>
      <c r="AY109">
        <v>670</v>
      </c>
      <c r="AZ109" t="s">
        <v>710</v>
      </c>
      <c r="BA109">
        <v>104</v>
      </c>
      <c r="BB109" s="2">
        <v>0.13</v>
      </c>
      <c r="BC109" t="s">
        <v>928</v>
      </c>
      <c r="BD109" t="s">
        <v>922</v>
      </c>
      <c r="BE109" t="s">
        <v>940</v>
      </c>
      <c r="BF109" s="7">
        <v>40</v>
      </c>
      <c r="BG1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09">
        <v>0</v>
      </c>
      <c r="BI109" t="s">
        <v>734</v>
      </c>
      <c r="BJ109" s="11"/>
      <c r="BK109" s="11"/>
      <c r="BL109" s="11">
        <v>52</v>
      </c>
      <c r="BM109">
        <v>0</v>
      </c>
      <c r="BN109" t="s">
        <v>692</v>
      </c>
      <c r="BO109" t="s">
        <v>694</v>
      </c>
      <c r="BP109" t="s">
        <v>701</v>
      </c>
      <c r="BQ109" t="s">
        <v>705</v>
      </c>
      <c r="BR109" t="s">
        <v>706</v>
      </c>
      <c r="BS109" t="s">
        <v>707</v>
      </c>
      <c r="CR109"/>
      <c r="CS109"/>
      <c r="CT109"/>
    </row>
    <row r="110" spans="1:98" x14ac:dyDescent="0.4">
      <c r="A110" s="2" t="s">
        <v>134</v>
      </c>
      <c r="B110" t="str">
        <f>_xlfn.TEXTAFTER(Table1[[#This Row],[VEHIDCODE]],"_")</f>
        <v>South_Africa_PPR_35_tonner_4_6_0T</v>
      </c>
      <c r="C110" t="s">
        <v>739</v>
      </c>
      <c r="D110" t="b">
        <f>OR(ISNUMBER(SEARCH("wagon_",Table1[[#This Row],[FILENAMES_EXPECTED]])),ISNUMBER(SEARCH("coach_",Table1[[#This Row],[FILENAMES_EXPECTED]])))</f>
        <v>0</v>
      </c>
      <c r="E110" t="str">
        <f>"item_"&amp;Table1[[#This Row],[VEHIDCODE]]</f>
        <v>item_steam_South_Africa_PPR_35_tonner_4_6_0T</v>
      </c>
      <c r="F110" t="str">
        <f>"str_"&amp;Table1[[#This Row],[VEHIDCODE]]</f>
        <v>str_steam_South_Africa_PPR_35_tonner_4_6_0T</v>
      </c>
      <c r="O110" s="2" t="b">
        <v>1</v>
      </c>
      <c r="AJ110" s="2"/>
      <c r="AK110" s="2" t="b">
        <f>LEN(_xlfn.CONCAT(Table1[[#This Row],[TRACK_TYPE_STANDARD_GAUGE_RAILTYPE_OHLE]:[TRACK_TYPE_MTRO]]))&gt;0</f>
        <v>1</v>
      </c>
      <c r="AL110">
        <v>5</v>
      </c>
      <c r="AM110" t="s">
        <v>18</v>
      </c>
      <c r="AN110">
        <v>0</v>
      </c>
      <c r="AO110" t="s">
        <v>23</v>
      </c>
      <c r="AP110">
        <v>0</v>
      </c>
      <c r="AQ110">
        <v>1887</v>
      </c>
      <c r="AR110">
        <v>5</v>
      </c>
      <c r="AS110" s="2" t="s">
        <v>20</v>
      </c>
      <c r="AT110" t="b">
        <v>1</v>
      </c>
      <c r="AV110" s="2"/>
      <c r="AW110">
        <v>45</v>
      </c>
      <c r="AX110">
        <v>1</v>
      </c>
      <c r="AY110">
        <v>88</v>
      </c>
      <c r="AZ110" t="s">
        <v>710</v>
      </c>
      <c r="BA110">
        <v>60</v>
      </c>
      <c r="BB110" s="2">
        <v>0.12</v>
      </c>
      <c r="BC110" t="s">
        <v>926</v>
      </c>
      <c r="BD110" t="s">
        <v>922</v>
      </c>
      <c r="BE110" t="s">
        <v>940</v>
      </c>
      <c r="BF110" s="7">
        <v>40</v>
      </c>
      <c r="BG1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0">
        <v>0</v>
      </c>
      <c r="BI110" t="s">
        <v>734</v>
      </c>
      <c r="BJ110" s="11"/>
      <c r="BK110" s="11"/>
      <c r="BL110" s="11">
        <v>36</v>
      </c>
      <c r="BM110">
        <v>0</v>
      </c>
      <c r="BN110" t="s">
        <v>692</v>
      </c>
      <c r="BO110" t="s">
        <v>694</v>
      </c>
      <c r="BP110" t="s">
        <v>701</v>
      </c>
      <c r="BQ110" t="s">
        <v>705</v>
      </c>
      <c r="BR110" t="s">
        <v>706</v>
      </c>
      <c r="BS110" t="s">
        <v>707</v>
      </c>
      <c r="CR110"/>
      <c r="CS110"/>
      <c r="CT110"/>
    </row>
    <row r="111" spans="1:98" x14ac:dyDescent="0.4">
      <c r="A111" s="2" t="s">
        <v>135</v>
      </c>
      <c r="B111" t="str">
        <f>_xlfn.TEXTAFTER(Table1[[#This Row],[VEHIDCODE]],"_")</f>
        <v>Spain_RENFE_Class_040</v>
      </c>
      <c r="C111" t="s">
        <v>739</v>
      </c>
      <c r="D111" t="b">
        <f>OR(ISNUMBER(SEARCH("wagon_",Table1[[#This Row],[FILENAMES_EXPECTED]])),ISNUMBER(SEARCH("coach_",Table1[[#This Row],[FILENAMES_EXPECTED]])))</f>
        <v>0</v>
      </c>
      <c r="E111" t="str">
        <f>"item_"&amp;Table1[[#This Row],[VEHIDCODE]]</f>
        <v>item_steam_Spain_RENFE_Class_040</v>
      </c>
      <c r="F111" t="str">
        <f>"str_"&amp;Table1[[#This Row],[VEHIDCODE]]</f>
        <v>str_steam_Spain_RENFE_Class_040</v>
      </c>
      <c r="O111" s="2" t="b">
        <v>1</v>
      </c>
      <c r="AJ111" s="2"/>
      <c r="AK111" s="2" t="b">
        <f>LEN(_xlfn.CONCAT(Table1[[#This Row],[TRACK_TYPE_STANDARD_GAUGE_RAILTYPE_OHLE]:[TRACK_TYPE_MTRO]]))&gt;0</f>
        <v>1</v>
      </c>
      <c r="AL111">
        <v>6</v>
      </c>
      <c r="AM111" t="s">
        <v>18</v>
      </c>
      <c r="AN111">
        <v>0</v>
      </c>
      <c r="AO111" t="s">
        <v>23</v>
      </c>
      <c r="AP111">
        <v>0</v>
      </c>
      <c r="AQ111">
        <v>1891</v>
      </c>
      <c r="AR111">
        <v>6</v>
      </c>
      <c r="AS111" s="2" t="s">
        <v>20</v>
      </c>
      <c r="AT111" t="b">
        <v>1</v>
      </c>
      <c r="AV111" s="2"/>
      <c r="AW111">
        <v>45</v>
      </c>
      <c r="AX111">
        <v>1</v>
      </c>
      <c r="AY111">
        <v>665</v>
      </c>
      <c r="AZ111" t="s">
        <v>710</v>
      </c>
      <c r="BA111">
        <v>80</v>
      </c>
      <c r="BB111" s="2">
        <v>0.1</v>
      </c>
      <c r="BC111" t="s">
        <v>924</v>
      </c>
      <c r="BD111" t="s">
        <v>922</v>
      </c>
      <c r="BE111" t="s">
        <v>940</v>
      </c>
      <c r="BF111" s="7">
        <v>40</v>
      </c>
      <c r="BG1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1">
        <v>0</v>
      </c>
      <c r="BI111" t="s">
        <v>734</v>
      </c>
      <c r="BJ111" s="11"/>
      <c r="BK111" s="11"/>
      <c r="BL111" s="11">
        <v>73</v>
      </c>
      <c r="BM111">
        <v>0</v>
      </c>
      <c r="BN111" t="s">
        <v>692</v>
      </c>
      <c r="BO111" t="s">
        <v>694</v>
      </c>
      <c r="BP111" t="s">
        <v>701</v>
      </c>
      <c r="BQ111" t="s">
        <v>705</v>
      </c>
      <c r="BR111" t="s">
        <v>706</v>
      </c>
      <c r="BS111" t="s">
        <v>707</v>
      </c>
      <c r="CR111"/>
      <c r="CS111"/>
      <c r="CT111"/>
    </row>
    <row r="112" spans="1:98" x14ac:dyDescent="0.4">
      <c r="A112" s="2" t="s">
        <v>136</v>
      </c>
      <c r="B112" t="str">
        <f>_xlfn.TEXTAFTER(Table1[[#This Row],[VEHIDCODE]],"_")</f>
        <v>Germany_Saxon_IV_K</v>
      </c>
      <c r="C112" t="s">
        <v>739</v>
      </c>
      <c r="D112" t="b">
        <f>OR(ISNUMBER(SEARCH("wagon_",Table1[[#This Row],[FILENAMES_EXPECTED]])),ISNUMBER(SEARCH("coach_",Table1[[#This Row],[FILENAMES_EXPECTED]])))</f>
        <v>0</v>
      </c>
      <c r="E112" t="str">
        <f>"item_"&amp;Table1[[#This Row],[VEHIDCODE]]</f>
        <v>item_steam_Germany_Saxon_IV_K</v>
      </c>
      <c r="F112" t="str">
        <f>"str_"&amp;Table1[[#This Row],[VEHIDCODE]]</f>
        <v>str_steam_Germany_Saxon_IV_K</v>
      </c>
      <c r="O112" s="2" t="b">
        <v>1</v>
      </c>
      <c r="AJ112" s="2"/>
      <c r="AK112" s="2" t="b">
        <f>LEN(_xlfn.CONCAT(Table1[[#This Row],[TRACK_TYPE_STANDARD_GAUGE_RAILTYPE_OHLE]:[TRACK_TYPE_MTRO]]))&gt;0</f>
        <v>1</v>
      </c>
      <c r="AL112">
        <v>6</v>
      </c>
      <c r="AM112" t="s">
        <v>18</v>
      </c>
      <c r="AN112">
        <v>0</v>
      </c>
      <c r="AO112" t="s">
        <v>23</v>
      </c>
      <c r="AP112">
        <v>0</v>
      </c>
      <c r="AQ112">
        <v>1892</v>
      </c>
      <c r="AR112">
        <v>6</v>
      </c>
      <c r="AS112" s="2" t="s">
        <v>20</v>
      </c>
      <c r="AT112" t="b">
        <v>1</v>
      </c>
      <c r="AV112" s="2"/>
      <c r="AW112">
        <v>45</v>
      </c>
      <c r="AX112">
        <v>1</v>
      </c>
      <c r="AY112">
        <v>206</v>
      </c>
      <c r="AZ112" t="s">
        <v>710</v>
      </c>
      <c r="BA112">
        <v>30</v>
      </c>
      <c r="BB112" s="2">
        <v>0.14000000000000001</v>
      </c>
      <c r="BC112" t="s">
        <v>923</v>
      </c>
      <c r="BD112" t="s">
        <v>922</v>
      </c>
      <c r="BE112" t="s">
        <v>940</v>
      </c>
      <c r="BF112" s="7">
        <v>40</v>
      </c>
      <c r="BG1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2">
        <v>0</v>
      </c>
      <c r="BI112" t="s">
        <v>734</v>
      </c>
      <c r="BJ112" s="11"/>
      <c r="BK112" s="11"/>
      <c r="BL112" s="11">
        <v>27</v>
      </c>
      <c r="BM112">
        <v>0</v>
      </c>
      <c r="BN112" t="s">
        <v>692</v>
      </c>
      <c r="BO112" t="s">
        <v>694</v>
      </c>
      <c r="BP112" t="s">
        <v>701</v>
      </c>
      <c r="BQ112" t="s">
        <v>705</v>
      </c>
      <c r="BR112" t="s">
        <v>706</v>
      </c>
      <c r="BS112" t="s">
        <v>707</v>
      </c>
      <c r="CR112"/>
      <c r="CS112"/>
      <c r="CT112"/>
    </row>
    <row r="113" spans="1:98" x14ac:dyDescent="0.4">
      <c r="A113" s="2" t="s">
        <v>137</v>
      </c>
      <c r="B113" t="str">
        <f>_xlfn.TEXTAFTER(Table1[[#This Row],[VEHIDCODE]],"_")</f>
        <v>Germany_Prussian_S_3</v>
      </c>
      <c r="C113" t="s">
        <v>739</v>
      </c>
      <c r="D113" t="b">
        <f>OR(ISNUMBER(SEARCH("wagon_",Table1[[#This Row],[FILENAMES_EXPECTED]])),ISNUMBER(SEARCH("coach_",Table1[[#This Row],[FILENAMES_EXPECTED]])))</f>
        <v>0</v>
      </c>
      <c r="E113" t="str">
        <f>"item_"&amp;Table1[[#This Row],[VEHIDCODE]]</f>
        <v>item_steam_Germany_Prussian_S_3</v>
      </c>
      <c r="F113" t="str">
        <f>"str_"&amp;Table1[[#This Row],[VEHIDCODE]]</f>
        <v>str_steam_Germany_Prussian_S_3</v>
      </c>
      <c r="O113" s="2" t="b">
        <v>1</v>
      </c>
      <c r="AJ113" s="2"/>
      <c r="AK113" s="2" t="b">
        <f>LEN(_xlfn.CONCAT(Table1[[#This Row],[TRACK_TYPE_STANDARD_GAUGE_RAILTYPE_OHLE]:[TRACK_TYPE_MTRO]]))&gt;0</f>
        <v>1</v>
      </c>
      <c r="AL113">
        <v>8</v>
      </c>
      <c r="AM113" t="s">
        <v>18</v>
      </c>
      <c r="AN113">
        <v>0</v>
      </c>
      <c r="AO113" t="s">
        <v>23</v>
      </c>
      <c r="AP113">
        <v>0</v>
      </c>
      <c r="AQ113">
        <v>1893</v>
      </c>
      <c r="AR113">
        <v>7</v>
      </c>
      <c r="AS113" s="2" t="s">
        <v>20</v>
      </c>
      <c r="AT113" t="b">
        <v>1</v>
      </c>
      <c r="AV113" s="2"/>
      <c r="AW113">
        <v>45</v>
      </c>
      <c r="AX113">
        <v>1</v>
      </c>
      <c r="AY113">
        <v>580</v>
      </c>
      <c r="AZ113" t="s">
        <v>710</v>
      </c>
      <c r="BA113">
        <v>100</v>
      </c>
      <c r="BB113" s="2">
        <v>0.13</v>
      </c>
      <c r="BC113" t="s">
        <v>923</v>
      </c>
      <c r="BD113" t="s">
        <v>922</v>
      </c>
      <c r="BE113" t="s">
        <v>940</v>
      </c>
      <c r="BF113" s="7">
        <v>40</v>
      </c>
      <c r="BG1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3">
        <v>0</v>
      </c>
      <c r="BI113" t="s">
        <v>734</v>
      </c>
      <c r="BJ113" s="11"/>
      <c r="BK113" s="11"/>
      <c r="BL113" s="11">
        <v>50</v>
      </c>
      <c r="BM113">
        <v>0</v>
      </c>
      <c r="BN113" t="s">
        <v>692</v>
      </c>
      <c r="BO113" t="s">
        <v>694</v>
      </c>
      <c r="BP113" t="s">
        <v>701</v>
      </c>
      <c r="BQ113" t="s">
        <v>705</v>
      </c>
      <c r="BR113" t="s">
        <v>706</v>
      </c>
      <c r="BS113" t="s">
        <v>707</v>
      </c>
      <c r="CR113"/>
      <c r="CS113"/>
      <c r="CT113"/>
    </row>
    <row r="114" spans="1:98" x14ac:dyDescent="0.4">
      <c r="A114" s="2" t="s">
        <v>138</v>
      </c>
      <c r="B114" t="str">
        <f>_xlfn.TEXTAFTER(Table1[[#This Row],[VEHIDCODE]],"_")</f>
        <v>Norway_NSB_Class_XXI</v>
      </c>
      <c r="C114" t="s">
        <v>739</v>
      </c>
      <c r="D114" t="b">
        <f>OR(ISNUMBER(SEARCH("wagon_",Table1[[#This Row],[FILENAMES_EXPECTED]])),ISNUMBER(SEARCH("coach_",Table1[[#This Row],[FILENAMES_EXPECTED]])))</f>
        <v>0</v>
      </c>
      <c r="E114" t="str">
        <f>"item_"&amp;Table1[[#This Row],[VEHIDCODE]]</f>
        <v>item_steam_Norway_NSB_Class_XXI</v>
      </c>
      <c r="F114" t="str">
        <f>"str_"&amp;Table1[[#This Row],[VEHIDCODE]]</f>
        <v>str_steam_Norway_NSB_Class_XXI</v>
      </c>
      <c r="O114" s="2" t="b">
        <v>1</v>
      </c>
      <c r="AJ114" s="2"/>
      <c r="AK114" s="2" t="b">
        <f>LEN(_xlfn.CONCAT(Table1[[#This Row],[TRACK_TYPE_STANDARD_GAUGE_RAILTYPE_OHLE]:[TRACK_TYPE_MTRO]]))&gt;0</f>
        <v>1</v>
      </c>
      <c r="AL114">
        <v>7</v>
      </c>
      <c r="AM114" t="s">
        <v>18</v>
      </c>
      <c r="AN114">
        <v>0</v>
      </c>
      <c r="AO114" t="s">
        <v>23</v>
      </c>
      <c r="AP114">
        <v>0</v>
      </c>
      <c r="AQ114">
        <v>1894</v>
      </c>
      <c r="AR114">
        <v>7</v>
      </c>
      <c r="AS114" s="2" t="s">
        <v>20</v>
      </c>
      <c r="AT114" t="b">
        <v>1</v>
      </c>
      <c r="AV114" s="2"/>
      <c r="AW114">
        <v>45</v>
      </c>
      <c r="AX114">
        <v>0</v>
      </c>
      <c r="AY114">
        <v>98</v>
      </c>
      <c r="AZ114" t="s">
        <v>710</v>
      </c>
      <c r="BA114">
        <v>40</v>
      </c>
      <c r="BB114" s="2">
        <v>0.17</v>
      </c>
      <c r="BC114" t="s">
        <v>927</v>
      </c>
      <c r="BD114" t="s">
        <v>922</v>
      </c>
      <c r="BE114" t="s">
        <v>940</v>
      </c>
      <c r="BF114" s="7">
        <v>40</v>
      </c>
      <c r="BG1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4">
        <v>0</v>
      </c>
      <c r="BI114" t="s">
        <v>734</v>
      </c>
      <c r="BJ114" s="11"/>
      <c r="BK114" s="11"/>
      <c r="BL114" s="11">
        <v>19</v>
      </c>
      <c r="BM114">
        <v>0</v>
      </c>
      <c r="BN114" t="s">
        <v>692</v>
      </c>
      <c r="BO114" t="s">
        <v>694</v>
      </c>
      <c r="BP114" t="s">
        <v>701</v>
      </c>
      <c r="BQ114" t="s">
        <v>705</v>
      </c>
      <c r="BR114" t="s">
        <v>706</v>
      </c>
      <c r="BS114" t="s">
        <v>707</v>
      </c>
      <c r="CR114"/>
      <c r="CS114"/>
      <c r="CT114"/>
    </row>
    <row r="115" spans="1:98" x14ac:dyDescent="0.4">
      <c r="A115" s="2" t="s">
        <v>139</v>
      </c>
      <c r="B115" t="str">
        <f>_xlfn.TEXTAFTER(Table1[[#This Row],[VEHIDCODE]],"_")</f>
        <v>USA_PRR_D16</v>
      </c>
      <c r="C115" t="s">
        <v>739</v>
      </c>
      <c r="D115" t="b">
        <f>OR(ISNUMBER(SEARCH("wagon_",Table1[[#This Row],[FILENAMES_EXPECTED]])),ISNUMBER(SEARCH("coach_",Table1[[#This Row],[FILENAMES_EXPECTED]])))</f>
        <v>0</v>
      </c>
      <c r="E115" t="str">
        <f>"item_"&amp;Table1[[#This Row],[VEHIDCODE]]</f>
        <v>item_steam_USA_PRR_D16</v>
      </c>
      <c r="F115" t="str">
        <f>"str_"&amp;Table1[[#This Row],[VEHIDCODE]]</f>
        <v>str_steam_USA_PRR_D16</v>
      </c>
      <c r="O115" s="2" t="b">
        <v>1</v>
      </c>
      <c r="AJ115" s="2"/>
      <c r="AK115" s="2" t="b">
        <f>LEN(_xlfn.CONCAT(Table1[[#This Row],[TRACK_TYPE_STANDARD_GAUGE_RAILTYPE_OHLE]:[TRACK_TYPE_MTRO]]))&gt;0</f>
        <v>1</v>
      </c>
      <c r="AL115">
        <v>8</v>
      </c>
      <c r="AM115" t="s">
        <v>18</v>
      </c>
      <c r="AN115">
        <v>0</v>
      </c>
      <c r="AO115" t="s">
        <v>23</v>
      </c>
      <c r="AP115">
        <v>0</v>
      </c>
      <c r="AQ115">
        <v>1895</v>
      </c>
      <c r="AR115">
        <v>7</v>
      </c>
      <c r="AS115" s="2" t="s">
        <v>20</v>
      </c>
      <c r="AT115" t="b">
        <v>1</v>
      </c>
      <c r="AV115" s="2"/>
      <c r="AW115">
        <v>45</v>
      </c>
      <c r="AX115">
        <v>1</v>
      </c>
      <c r="AY115">
        <v>1090</v>
      </c>
      <c r="AZ115" t="s">
        <v>710</v>
      </c>
      <c r="BA115">
        <v>128</v>
      </c>
      <c r="BB115" s="2">
        <v>0.17</v>
      </c>
      <c r="BC115" t="s">
        <v>928</v>
      </c>
      <c r="BD115" t="s">
        <v>922</v>
      </c>
      <c r="BE115" t="s">
        <v>940</v>
      </c>
      <c r="BF115" s="7">
        <v>40</v>
      </c>
      <c r="BG1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5">
        <v>0</v>
      </c>
      <c r="BI115" t="s">
        <v>734</v>
      </c>
      <c r="BJ115" s="11"/>
      <c r="BK115" s="11"/>
      <c r="BL115" s="11">
        <v>64</v>
      </c>
      <c r="BM115">
        <v>0</v>
      </c>
      <c r="BN115" t="s">
        <v>692</v>
      </c>
      <c r="BO115" t="s">
        <v>694</v>
      </c>
      <c r="BP115" t="s">
        <v>701</v>
      </c>
      <c r="BQ115" t="s">
        <v>705</v>
      </c>
      <c r="BR115" t="s">
        <v>706</v>
      </c>
      <c r="BS115" t="s">
        <v>707</v>
      </c>
      <c r="CR115"/>
      <c r="CS115"/>
      <c r="CT115"/>
    </row>
    <row r="116" spans="1:98" x14ac:dyDescent="0.4">
      <c r="A116" s="2" t="s">
        <v>140</v>
      </c>
      <c r="B116" t="str">
        <f>_xlfn.TEXTAFTER(Table1[[#This Row],[VEHIDCODE]],"_")</f>
        <v>Netherlands_NS_8100</v>
      </c>
      <c r="C116" t="s">
        <v>739</v>
      </c>
      <c r="D116" t="b">
        <f>OR(ISNUMBER(SEARCH("wagon_",Table1[[#This Row],[FILENAMES_EXPECTED]])),ISNUMBER(SEARCH("coach_",Table1[[#This Row],[FILENAMES_EXPECTED]])))</f>
        <v>0</v>
      </c>
      <c r="E116" t="str">
        <f>"item_"&amp;Table1[[#This Row],[VEHIDCODE]]</f>
        <v>item_steam_Netherlands_NS_8100</v>
      </c>
      <c r="F116" t="str">
        <f>"str_"&amp;Table1[[#This Row],[VEHIDCODE]]</f>
        <v>str_steam_Netherlands_NS_8100</v>
      </c>
      <c r="O116" s="2" t="b">
        <v>1</v>
      </c>
      <c r="AJ116" s="2"/>
      <c r="AK116" s="2" t="b">
        <f>LEN(_xlfn.CONCAT(Table1[[#This Row],[TRACK_TYPE_STANDARD_GAUGE_RAILTYPE_OHLE]:[TRACK_TYPE_MTRO]]))&gt;0</f>
        <v>1</v>
      </c>
      <c r="AL116">
        <v>4</v>
      </c>
      <c r="AM116" t="s">
        <v>18</v>
      </c>
      <c r="AN116">
        <v>0</v>
      </c>
      <c r="AO116" t="s">
        <v>23</v>
      </c>
      <c r="AP116">
        <v>0</v>
      </c>
      <c r="AQ116">
        <v>1901</v>
      </c>
      <c r="AR116">
        <v>4</v>
      </c>
      <c r="AS116" s="2" t="s">
        <v>20</v>
      </c>
      <c r="AT116" t="b">
        <v>1</v>
      </c>
      <c r="AV116" s="2"/>
      <c r="AW116">
        <v>45</v>
      </c>
      <c r="AX116">
        <v>1</v>
      </c>
      <c r="AY116">
        <v>290</v>
      </c>
      <c r="AZ116" t="s">
        <v>710</v>
      </c>
      <c r="BA116">
        <v>45</v>
      </c>
      <c r="BB116" s="2">
        <v>0.14000000000000001</v>
      </c>
      <c r="BC116" t="s">
        <v>923</v>
      </c>
      <c r="BD116" t="s">
        <v>922</v>
      </c>
      <c r="BE116" t="s">
        <v>940</v>
      </c>
      <c r="BF116" s="7">
        <v>40</v>
      </c>
      <c r="BG1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6">
        <v>0</v>
      </c>
      <c r="BI116" t="s">
        <v>734</v>
      </c>
      <c r="BJ116" s="11"/>
      <c r="BK116" s="11"/>
      <c r="BL116" s="11">
        <v>33</v>
      </c>
      <c r="BM116">
        <v>0</v>
      </c>
      <c r="BN116" t="s">
        <v>692</v>
      </c>
      <c r="BO116" t="s">
        <v>694</v>
      </c>
      <c r="BP116" t="s">
        <v>701</v>
      </c>
      <c r="BQ116" t="s">
        <v>705</v>
      </c>
      <c r="BR116" t="s">
        <v>706</v>
      </c>
      <c r="BS116" t="s">
        <v>707</v>
      </c>
      <c r="CR116"/>
      <c r="CS116"/>
      <c r="CT116"/>
    </row>
    <row r="117" spans="1:98" x14ac:dyDescent="0.4">
      <c r="A117" s="2" t="s">
        <v>141</v>
      </c>
      <c r="B117" t="str">
        <f>_xlfn.TEXTAFTER(Table1[[#This Row],[VEHIDCODE]],"_")</f>
        <v>South_Africa_SAR_MD_Class</v>
      </c>
      <c r="C117" t="s">
        <v>739</v>
      </c>
      <c r="D117" t="b">
        <f>OR(ISNUMBER(SEARCH("wagon_",Table1[[#This Row],[FILENAMES_EXPECTED]])),ISNUMBER(SEARCH("coach_",Table1[[#This Row],[FILENAMES_EXPECTED]])))</f>
        <v>0</v>
      </c>
      <c r="E117" t="str">
        <f>"item_"&amp;Table1[[#This Row],[VEHIDCODE]]</f>
        <v>item_steam_South_Africa_SAR_MD_Class</v>
      </c>
      <c r="F117" t="str">
        <f>"str_"&amp;Table1[[#This Row],[VEHIDCODE]]</f>
        <v>str_steam_South_Africa_SAR_MD_Class</v>
      </c>
      <c r="X117" s="2" t="b">
        <v>1</v>
      </c>
      <c r="AJ117" s="2"/>
      <c r="AK117" s="2" t="b">
        <f>LEN(_xlfn.CONCAT(Table1[[#This Row],[TRACK_TYPE_STANDARD_GAUGE_RAILTYPE_OHLE]:[TRACK_TYPE_MTRO]]))&gt;0</f>
        <v>1</v>
      </c>
      <c r="AL117">
        <v>10</v>
      </c>
      <c r="AM117" t="s">
        <v>18</v>
      </c>
      <c r="AN117">
        <v>0</v>
      </c>
      <c r="AO117" t="s">
        <v>23</v>
      </c>
      <c r="AP117">
        <v>0</v>
      </c>
      <c r="AQ117">
        <v>1910</v>
      </c>
      <c r="AR117">
        <v>8</v>
      </c>
      <c r="AS117" s="2" t="s">
        <v>20</v>
      </c>
      <c r="AT117" t="b">
        <v>1</v>
      </c>
      <c r="AV117" s="2"/>
      <c r="AW117">
        <v>45</v>
      </c>
      <c r="AX117">
        <v>1</v>
      </c>
      <c r="AY117">
        <v>1360</v>
      </c>
      <c r="AZ117" t="s">
        <v>710</v>
      </c>
      <c r="BA117">
        <v>65</v>
      </c>
      <c r="BB117" s="2">
        <v>0.2</v>
      </c>
      <c r="BC117" t="s">
        <v>926</v>
      </c>
      <c r="BD117" t="s">
        <v>922</v>
      </c>
      <c r="BE117" t="s">
        <v>940</v>
      </c>
      <c r="BF117" s="7">
        <v>40</v>
      </c>
      <c r="BG1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7">
        <v>0</v>
      </c>
      <c r="BI117" t="s">
        <v>734</v>
      </c>
      <c r="BJ117" s="11"/>
      <c r="BK117" s="11"/>
      <c r="BL117" s="11">
        <v>102</v>
      </c>
      <c r="BM117">
        <v>0</v>
      </c>
      <c r="BN117" t="s">
        <v>692</v>
      </c>
      <c r="BO117" t="s">
        <v>694</v>
      </c>
      <c r="BP117" t="s">
        <v>701</v>
      </c>
      <c r="BQ117" t="s">
        <v>705</v>
      </c>
      <c r="BR117" t="s">
        <v>706</v>
      </c>
      <c r="BS117" t="s">
        <v>707</v>
      </c>
      <c r="CR117"/>
      <c r="CS117"/>
      <c r="CT117"/>
    </row>
    <row r="118" spans="1:98" x14ac:dyDescent="0.4">
      <c r="A118" s="2" t="s">
        <v>142</v>
      </c>
      <c r="B118" t="str">
        <f>_xlfn.TEXTAFTER(Table1[[#This Row],[VEHIDCODE]],"_")</f>
        <v>Angola_South_West_African_2_8_0</v>
      </c>
      <c r="C118" t="s">
        <v>739</v>
      </c>
      <c r="D118" t="b">
        <f>OR(ISNUMBER(SEARCH("wagon_",Table1[[#This Row],[FILENAMES_EXPECTED]])),ISNUMBER(SEARCH("coach_",Table1[[#This Row],[FILENAMES_EXPECTED]])))</f>
        <v>0</v>
      </c>
      <c r="E118" t="str">
        <f>"item_"&amp;Table1[[#This Row],[VEHIDCODE]]</f>
        <v>item_steam_Angola_South_West_African_2_8_0</v>
      </c>
      <c r="F118" t="str">
        <f>"str_"&amp;Table1[[#This Row],[VEHIDCODE]]</f>
        <v>str_steam_Angola_South_West_African_2_8_0</v>
      </c>
      <c r="O118" s="2" t="b">
        <v>1</v>
      </c>
      <c r="AJ118" s="2"/>
      <c r="AK118" s="2" t="b">
        <f>LEN(_xlfn.CONCAT(Table1[[#This Row],[TRACK_TYPE_STANDARD_GAUGE_RAILTYPE_OHLE]:[TRACK_TYPE_MTRO]]))&gt;0</f>
        <v>1</v>
      </c>
      <c r="AL118">
        <v>8</v>
      </c>
      <c r="AM118" t="s">
        <v>18</v>
      </c>
      <c r="AN118">
        <v>0</v>
      </c>
      <c r="AO118" t="s">
        <v>23</v>
      </c>
      <c r="AP118">
        <v>0</v>
      </c>
      <c r="AQ118">
        <v>1911</v>
      </c>
      <c r="AR118">
        <v>6</v>
      </c>
      <c r="AS118" s="2" t="s">
        <v>20</v>
      </c>
      <c r="AT118" t="b">
        <v>1</v>
      </c>
      <c r="AV118" s="2"/>
      <c r="AW118">
        <v>45</v>
      </c>
      <c r="AX118">
        <v>1</v>
      </c>
      <c r="AY118">
        <v>640</v>
      </c>
      <c r="AZ118" t="s">
        <v>710</v>
      </c>
      <c r="BA118">
        <v>60</v>
      </c>
      <c r="BB118" s="2">
        <v>0.09</v>
      </c>
      <c r="BC118" t="s">
        <v>926</v>
      </c>
      <c r="BD118" t="s">
        <v>922</v>
      </c>
      <c r="BE118" t="s">
        <v>940</v>
      </c>
      <c r="BF118" s="7">
        <v>40</v>
      </c>
      <c r="BG1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8">
        <v>0</v>
      </c>
      <c r="BI118" t="s">
        <v>734</v>
      </c>
      <c r="BJ118" s="11"/>
      <c r="BK118" s="11"/>
      <c r="BL118" s="11">
        <v>67</v>
      </c>
      <c r="BM118">
        <v>0</v>
      </c>
      <c r="BN118" t="s">
        <v>692</v>
      </c>
      <c r="BO118" t="s">
        <v>694</v>
      </c>
      <c r="BP118" t="s">
        <v>701</v>
      </c>
      <c r="BQ118" t="s">
        <v>705</v>
      </c>
      <c r="BR118" t="s">
        <v>706</v>
      </c>
      <c r="BS118" t="s">
        <v>707</v>
      </c>
      <c r="CR118"/>
      <c r="CS118"/>
      <c r="CT118"/>
    </row>
    <row r="119" spans="1:98" x14ac:dyDescent="0.4">
      <c r="A119" s="2" t="s">
        <v>143</v>
      </c>
      <c r="B119" t="str">
        <f>_xlfn.TEXTAFTER(Table1[[#This Row],[VEHIDCODE]],"_")</f>
        <v>UK_LNER_N7</v>
      </c>
      <c r="C119" t="s">
        <v>739</v>
      </c>
      <c r="D119" t="b">
        <f>OR(ISNUMBER(SEARCH("wagon_",Table1[[#This Row],[FILENAMES_EXPECTED]])),ISNUMBER(SEARCH("coach_",Table1[[#This Row],[FILENAMES_EXPECTED]])))</f>
        <v>0</v>
      </c>
      <c r="E119" t="str">
        <f>"item_"&amp;Table1[[#This Row],[VEHIDCODE]]</f>
        <v>item_steam_UK_LNER_N7</v>
      </c>
      <c r="F119" t="str">
        <f>"str_"&amp;Table1[[#This Row],[VEHIDCODE]]</f>
        <v>str_steam_UK_LNER_N7</v>
      </c>
      <c r="O119" s="2" t="b">
        <v>1</v>
      </c>
      <c r="AJ119" s="2"/>
      <c r="AK119" s="2" t="b">
        <f>LEN(_xlfn.CONCAT(Table1[[#This Row],[TRACK_TYPE_STANDARD_GAUGE_RAILTYPE_OHLE]:[TRACK_TYPE_MTRO]]))&gt;0</f>
        <v>1</v>
      </c>
      <c r="AL119">
        <v>6</v>
      </c>
      <c r="AM119" t="s">
        <v>18</v>
      </c>
      <c r="AN119">
        <v>0</v>
      </c>
      <c r="AO119" t="s">
        <v>23</v>
      </c>
      <c r="AP119">
        <v>0</v>
      </c>
      <c r="AQ119">
        <v>1915</v>
      </c>
      <c r="AR119">
        <v>6</v>
      </c>
      <c r="AS119" s="2" t="s">
        <v>20</v>
      </c>
      <c r="AT119" t="b">
        <v>1</v>
      </c>
      <c r="AV119" s="2"/>
      <c r="AW119">
        <v>45</v>
      </c>
      <c r="AX119">
        <v>1</v>
      </c>
      <c r="AY119">
        <v>680</v>
      </c>
      <c r="AZ119" t="s">
        <v>710</v>
      </c>
      <c r="BA119">
        <v>90</v>
      </c>
      <c r="BB119" s="2">
        <v>0.14000000000000001</v>
      </c>
      <c r="BC119" t="s">
        <v>927</v>
      </c>
      <c r="BD119" t="s">
        <v>922</v>
      </c>
      <c r="BE119" t="s">
        <v>940</v>
      </c>
      <c r="BF119" s="7">
        <v>40</v>
      </c>
      <c r="BG1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19">
        <v>0</v>
      </c>
      <c r="BI119" t="s">
        <v>734</v>
      </c>
      <c r="BJ119" s="11"/>
      <c r="BK119" s="11"/>
      <c r="BL119" s="11">
        <v>63</v>
      </c>
      <c r="BM119">
        <v>0</v>
      </c>
      <c r="BN119" t="s">
        <v>692</v>
      </c>
      <c r="BO119" t="s">
        <v>694</v>
      </c>
      <c r="BP119" t="s">
        <v>701</v>
      </c>
      <c r="BQ119" t="s">
        <v>705</v>
      </c>
      <c r="BR119" t="s">
        <v>706</v>
      </c>
      <c r="BS119" t="s">
        <v>707</v>
      </c>
      <c r="CR119"/>
      <c r="CS119"/>
      <c r="CT119"/>
    </row>
    <row r="120" spans="1:98" x14ac:dyDescent="0.4">
      <c r="A120" s="2" t="s">
        <v>144</v>
      </c>
      <c r="B120" t="str">
        <f>_xlfn.TEXTAFTER(Table1[[#This Row],[VEHIDCODE]],"_")</f>
        <v>Germany_Saxon_XX_HV</v>
      </c>
      <c r="C120" t="s">
        <v>739</v>
      </c>
      <c r="D120" t="b">
        <f>OR(ISNUMBER(SEARCH("wagon_",Table1[[#This Row],[FILENAMES_EXPECTED]])),ISNUMBER(SEARCH("coach_",Table1[[#This Row],[FILENAMES_EXPECTED]])))</f>
        <v>0</v>
      </c>
      <c r="E120" t="str">
        <f>"item_"&amp;Table1[[#This Row],[VEHIDCODE]]</f>
        <v>item_steam_Germany_Saxon_XX_HV</v>
      </c>
      <c r="F120" t="str">
        <f>"str_"&amp;Table1[[#This Row],[VEHIDCODE]]</f>
        <v>str_steam_Germany_Saxon_XX_HV</v>
      </c>
      <c r="O120" s="2" t="b">
        <v>1</v>
      </c>
      <c r="AJ120" s="2"/>
      <c r="AK120" s="2" t="b">
        <f>LEN(_xlfn.CONCAT(Table1[[#This Row],[TRACK_TYPE_STANDARD_GAUGE_RAILTYPE_OHLE]:[TRACK_TYPE_MTRO]]))&gt;0</f>
        <v>1</v>
      </c>
      <c r="AL120">
        <v>12</v>
      </c>
      <c r="AM120" t="s">
        <v>18</v>
      </c>
      <c r="AN120">
        <v>0</v>
      </c>
      <c r="AO120" t="s">
        <v>23</v>
      </c>
      <c r="AP120">
        <v>0</v>
      </c>
      <c r="AQ120">
        <v>1918</v>
      </c>
      <c r="AR120">
        <v>8</v>
      </c>
      <c r="AS120" s="2" t="s">
        <v>20</v>
      </c>
      <c r="AT120" t="b">
        <v>1</v>
      </c>
      <c r="AV120" s="2"/>
      <c r="AW120">
        <v>45</v>
      </c>
      <c r="AX120">
        <v>1</v>
      </c>
      <c r="AY120">
        <v>1800</v>
      </c>
      <c r="AZ120" t="s">
        <v>710</v>
      </c>
      <c r="BA120">
        <v>120</v>
      </c>
      <c r="BB120" s="2">
        <v>0.23</v>
      </c>
      <c r="BC120" t="s">
        <v>923</v>
      </c>
      <c r="BD120" t="s">
        <v>922</v>
      </c>
      <c r="BE120" t="s">
        <v>940</v>
      </c>
      <c r="BF120" s="7">
        <v>40</v>
      </c>
      <c r="BG1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20">
        <v>0</v>
      </c>
      <c r="BI120" t="s">
        <v>734</v>
      </c>
      <c r="BJ120" s="11"/>
      <c r="BK120" s="11"/>
      <c r="BL120" s="11">
        <v>91</v>
      </c>
      <c r="BM120">
        <v>0</v>
      </c>
      <c r="BN120" t="s">
        <v>692</v>
      </c>
      <c r="BO120" t="s">
        <v>694</v>
      </c>
      <c r="BP120" t="s">
        <v>701</v>
      </c>
      <c r="BQ120" t="s">
        <v>705</v>
      </c>
      <c r="BR120" t="s">
        <v>706</v>
      </c>
      <c r="BS120" t="s">
        <v>707</v>
      </c>
      <c r="CR120"/>
      <c r="CS120"/>
      <c r="CT120"/>
    </row>
    <row r="121" spans="1:98" x14ac:dyDescent="0.4">
      <c r="A121" s="2" t="s">
        <v>145</v>
      </c>
      <c r="B121" t="str">
        <f>_xlfn.TEXTAFTER(Table1[[#This Row],[VEHIDCODE]],"_")</f>
        <v>Belgium_NMBS_Type_7</v>
      </c>
      <c r="C121" t="s">
        <v>739</v>
      </c>
      <c r="D121" t="b">
        <f>OR(ISNUMBER(SEARCH("wagon_",Table1[[#This Row],[FILENAMES_EXPECTED]])),ISNUMBER(SEARCH("coach_",Table1[[#This Row],[FILENAMES_EXPECTED]])))</f>
        <v>0</v>
      </c>
      <c r="E121" t="str">
        <f>"item_"&amp;Table1[[#This Row],[VEHIDCODE]]</f>
        <v>item_steam_Belgium_NMBS_Type_7</v>
      </c>
      <c r="F121" t="str">
        <f>"str_"&amp;Table1[[#This Row],[VEHIDCODE]]</f>
        <v>str_steam_Belgium_NMBS_Type_7</v>
      </c>
      <c r="O121" s="2" t="b">
        <v>1</v>
      </c>
      <c r="AJ121" s="2"/>
      <c r="AK121" s="2" t="b">
        <f>LEN(_xlfn.CONCAT(Table1[[#This Row],[TRACK_TYPE_STANDARD_GAUGE_RAILTYPE_OHLE]:[TRACK_TYPE_MTRO]]))&gt;0</f>
        <v>1</v>
      </c>
      <c r="AL121">
        <v>8</v>
      </c>
      <c r="AM121" t="s">
        <v>18</v>
      </c>
      <c r="AN121">
        <v>0</v>
      </c>
      <c r="AO121" t="s">
        <v>23</v>
      </c>
      <c r="AP121">
        <v>0</v>
      </c>
      <c r="AQ121">
        <v>1921</v>
      </c>
      <c r="AR121">
        <v>8</v>
      </c>
      <c r="AS121" s="2" t="s">
        <v>20</v>
      </c>
      <c r="AT121" t="b">
        <v>1</v>
      </c>
      <c r="AV121" s="2"/>
      <c r="AW121">
        <v>45</v>
      </c>
      <c r="AX121">
        <v>1</v>
      </c>
      <c r="AY121">
        <v>2000</v>
      </c>
      <c r="AZ121" t="s">
        <v>710</v>
      </c>
      <c r="BA121">
        <v>110</v>
      </c>
      <c r="BB121" s="2">
        <v>0.12</v>
      </c>
      <c r="BC121" t="s">
        <v>923</v>
      </c>
      <c r="BD121" t="s">
        <v>922</v>
      </c>
      <c r="BE121" t="s">
        <v>940</v>
      </c>
      <c r="BF121" s="7">
        <v>40</v>
      </c>
      <c r="BG1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21">
        <v>0</v>
      </c>
      <c r="BI121" t="s">
        <v>734</v>
      </c>
      <c r="BJ121" s="11"/>
      <c r="BK121" s="11"/>
      <c r="BL121" s="11">
        <v>133</v>
      </c>
      <c r="BM121">
        <v>0</v>
      </c>
      <c r="BN121" t="s">
        <v>692</v>
      </c>
      <c r="BO121" t="s">
        <v>694</v>
      </c>
      <c r="BP121" t="s">
        <v>701</v>
      </c>
      <c r="BQ121" t="s">
        <v>705</v>
      </c>
      <c r="BR121" t="s">
        <v>706</v>
      </c>
      <c r="BS121" t="s">
        <v>707</v>
      </c>
      <c r="CR121"/>
      <c r="CS121"/>
      <c r="CT121"/>
    </row>
    <row r="122" spans="1:98" x14ac:dyDescent="0.4">
      <c r="A122" s="2" t="s">
        <v>146</v>
      </c>
      <c r="B122" t="str">
        <f>_xlfn.TEXTAFTER(Table1[[#This Row],[VEHIDCODE]],"_")</f>
        <v>Ireland_DSER_15</v>
      </c>
      <c r="C122" t="s">
        <v>739</v>
      </c>
      <c r="D122" t="b">
        <f>OR(ISNUMBER(SEARCH("wagon_",Table1[[#This Row],[FILENAMES_EXPECTED]])),ISNUMBER(SEARCH("coach_",Table1[[#This Row],[FILENAMES_EXPECTED]])))</f>
        <v>0</v>
      </c>
      <c r="E122" t="str">
        <f>"item_"&amp;Table1[[#This Row],[VEHIDCODE]]</f>
        <v>item_steam_Ireland_DSER_15</v>
      </c>
      <c r="F122" t="str">
        <f>"str_"&amp;Table1[[#This Row],[VEHIDCODE]]</f>
        <v>str_steam_Ireland_DSER_15</v>
      </c>
      <c r="O122" s="2" t="b">
        <v>1</v>
      </c>
      <c r="AJ122" s="2"/>
      <c r="AK122" s="2" t="b">
        <f>LEN(_xlfn.CONCAT(Table1[[#This Row],[TRACK_TYPE_STANDARD_GAUGE_RAILTYPE_OHLE]:[TRACK_TYPE_MTRO]]))&gt;0</f>
        <v>1</v>
      </c>
      <c r="AL122">
        <v>8</v>
      </c>
      <c r="AM122" t="s">
        <v>18</v>
      </c>
      <c r="AN122">
        <v>0</v>
      </c>
      <c r="AO122" t="s">
        <v>23</v>
      </c>
      <c r="AP122">
        <v>0</v>
      </c>
      <c r="AQ122">
        <v>1922</v>
      </c>
      <c r="AR122">
        <v>7</v>
      </c>
      <c r="AS122" s="2" t="s">
        <v>20</v>
      </c>
      <c r="AT122" t="b">
        <v>1</v>
      </c>
      <c r="AV122" s="2"/>
      <c r="AW122">
        <v>45</v>
      </c>
      <c r="AX122">
        <v>0</v>
      </c>
      <c r="AY122">
        <v>1160</v>
      </c>
      <c r="AZ122" t="s">
        <v>710</v>
      </c>
      <c r="BA122">
        <v>120</v>
      </c>
      <c r="BB122" s="2">
        <v>0.12</v>
      </c>
      <c r="BC122" t="s">
        <v>927</v>
      </c>
      <c r="BD122" t="s">
        <v>922</v>
      </c>
      <c r="BE122" t="s">
        <v>940</v>
      </c>
      <c r="BF122" s="7">
        <v>40</v>
      </c>
      <c r="BG1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22">
        <v>0</v>
      </c>
      <c r="BI122" t="s">
        <v>734</v>
      </c>
      <c r="BJ122" s="11"/>
      <c r="BK122" s="11"/>
      <c r="BL122" s="11">
        <v>84</v>
      </c>
      <c r="BM122">
        <v>0</v>
      </c>
      <c r="BN122" t="s">
        <v>692</v>
      </c>
      <c r="BO122" t="s">
        <v>694</v>
      </c>
      <c r="BP122" t="s">
        <v>701</v>
      </c>
      <c r="BQ122" t="s">
        <v>705</v>
      </c>
      <c r="BR122" t="s">
        <v>706</v>
      </c>
      <c r="BS122" t="s">
        <v>707</v>
      </c>
      <c r="CR122"/>
      <c r="CS122"/>
      <c r="CT122"/>
    </row>
    <row r="123" spans="1:98" x14ac:dyDescent="0.4">
      <c r="A123" s="2" t="s">
        <v>147</v>
      </c>
      <c r="B123" t="str">
        <f>_xlfn.TEXTAFTER(Table1[[#This Row],[VEHIDCODE]],"_")</f>
        <v>USA_Sierra_Railroad_28</v>
      </c>
      <c r="C123" t="s">
        <v>739</v>
      </c>
      <c r="D123" t="b">
        <f>OR(ISNUMBER(SEARCH("wagon_",Table1[[#This Row],[FILENAMES_EXPECTED]])),ISNUMBER(SEARCH("coach_",Table1[[#This Row],[FILENAMES_EXPECTED]])))</f>
        <v>0</v>
      </c>
      <c r="E123" t="str">
        <f>"item_"&amp;Table1[[#This Row],[VEHIDCODE]]</f>
        <v>item_steam_USA_Sierra_Railroad_28</v>
      </c>
      <c r="F123" t="str">
        <f>"str_"&amp;Table1[[#This Row],[VEHIDCODE]]</f>
        <v>str_steam_USA_Sierra_Railroad_28</v>
      </c>
      <c r="O123" s="2" t="b">
        <v>1</v>
      </c>
      <c r="AJ123" s="2"/>
      <c r="AK123" s="2" t="b">
        <f>LEN(_xlfn.CONCAT(Table1[[#This Row],[TRACK_TYPE_STANDARD_GAUGE_RAILTYPE_OHLE]:[TRACK_TYPE_MTRO]]))&gt;0</f>
        <v>1</v>
      </c>
      <c r="AL123">
        <v>8</v>
      </c>
      <c r="AM123" t="s">
        <v>18</v>
      </c>
      <c r="AN123">
        <v>0</v>
      </c>
      <c r="AO123" t="s">
        <v>23</v>
      </c>
      <c r="AP123">
        <v>0</v>
      </c>
      <c r="AQ123">
        <v>1922</v>
      </c>
      <c r="AR123">
        <v>6</v>
      </c>
      <c r="AS123" s="2" t="s">
        <v>20</v>
      </c>
      <c r="AT123" t="b">
        <v>1</v>
      </c>
      <c r="AV123" s="2"/>
      <c r="AW123">
        <v>45</v>
      </c>
      <c r="AX123">
        <v>1</v>
      </c>
      <c r="AY123">
        <v>1622</v>
      </c>
      <c r="AZ123" t="s">
        <v>710</v>
      </c>
      <c r="BA123">
        <v>104</v>
      </c>
      <c r="BB123" s="2">
        <v>0.21</v>
      </c>
      <c r="BC123" t="s">
        <v>928</v>
      </c>
      <c r="BD123" t="s">
        <v>922</v>
      </c>
      <c r="BE123" t="s">
        <v>940</v>
      </c>
      <c r="BF123" s="7">
        <v>40</v>
      </c>
      <c r="BG1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23">
        <v>0</v>
      </c>
      <c r="BI123" t="s">
        <v>734</v>
      </c>
      <c r="BJ123" s="11"/>
      <c r="BK123" s="11"/>
      <c r="BL123" s="11">
        <v>64</v>
      </c>
      <c r="BM123">
        <v>0</v>
      </c>
      <c r="BN123" t="s">
        <v>692</v>
      </c>
      <c r="BO123" t="s">
        <v>694</v>
      </c>
      <c r="BP123" t="s">
        <v>701</v>
      </c>
      <c r="BQ123" t="s">
        <v>705</v>
      </c>
      <c r="BR123" t="s">
        <v>706</v>
      </c>
      <c r="BS123" t="s">
        <v>707</v>
      </c>
      <c r="CR123"/>
      <c r="CS123"/>
      <c r="CT123"/>
    </row>
    <row r="124" spans="1:98" x14ac:dyDescent="0.4">
      <c r="A124" s="2" t="s">
        <v>148</v>
      </c>
      <c r="B124" t="str">
        <f>_xlfn.TEXTAFTER(Table1[[#This Row],[VEHIDCODE]],"_")</f>
        <v>Canada_CN_U_1_Class</v>
      </c>
      <c r="C124" t="s">
        <v>739</v>
      </c>
      <c r="D124" t="b">
        <f>OR(ISNUMBER(SEARCH("wagon_",Table1[[#This Row],[FILENAMES_EXPECTED]])),ISNUMBER(SEARCH("coach_",Table1[[#This Row],[FILENAMES_EXPECTED]])))</f>
        <v>0</v>
      </c>
      <c r="E124" t="str">
        <f>"item_"&amp;Table1[[#This Row],[VEHIDCODE]]</f>
        <v>item_steam_Canada_CN_U_1_Class</v>
      </c>
      <c r="F124" t="str">
        <f>"str_"&amp;Table1[[#This Row],[VEHIDCODE]]</f>
        <v>str_steam_Canada_CN_U_1_Class</v>
      </c>
      <c r="O124" s="2" t="b">
        <v>1</v>
      </c>
      <c r="AJ124" s="2"/>
      <c r="AK124" s="2" t="b">
        <f>LEN(_xlfn.CONCAT(Table1[[#This Row],[TRACK_TYPE_STANDARD_GAUGE_RAILTYPE_OHLE]:[TRACK_TYPE_MTRO]]))&gt;0</f>
        <v>1</v>
      </c>
      <c r="AL124">
        <v>12</v>
      </c>
      <c r="AM124" t="s">
        <v>18</v>
      </c>
      <c r="AN124">
        <v>0</v>
      </c>
      <c r="AO124" t="s">
        <v>23</v>
      </c>
      <c r="AP124">
        <v>0</v>
      </c>
      <c r="AQ124">
        <v>1923</v>
      </c>
      <c r="AR124">
        <v>8</v>
      </c>
      <c r="AS124" s="2" t="s">
        <v>20</v>
      </c>
      <c r="AT124" t="b">
        <v>1</v>
      </c>
      <c r="AV124" s="2"/>
      <c r="AW124">
        <v>45</v>
      </c>
      <c r="AX124">
        <v>1</v>
      </c>
      <c r="AY124">
        <v>2250</v>
      </c>
      <c r="AZ124" t="s">
        <v>710</v>
      </c>
      <c r="BA124">
        <v>130</v>
      </c>
      <c r="BB124" s="2">
        <v>0.08</v>
      </c>
      <c r="BC124" t="s">
        <v>928</v>
      </c>
      <c r="BD124" t="s">
        <v>922</v>
      </c>
      <c r="BE124" t="s">
        <v>940</v>
      </c>
      <c r="BF124" s="7">
        <v>40</v>
      </c>
      <c r="BG1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24">
        <v>0</v>
      </c>
      <c r="BI124" t="s">
        <v>734</v>
      </c>
      <c r="BJ124" s="11"/>
      <c r="BK124" s="11"/>
      <c r="BL124" s="11">
        <v>273</v>
      </c>
      <c r="BM124">
        <v>0</v>
      </c>
      <c r="BN124" t="s">
        <v>692</v>
      </c>
      <c r="BO124" t="s">
        <v>694</v>
      </c>
      <c r="BP124" t="s">
        <v>701</v>
      </c>
      <c r="BQ124" t="s">
        <v>705</v>
      </c>
      <c r="BR124" t="s">
        <v>706</v>
      </c>
      <c r="BS124" t="s">
        <v>707</v>
      </c>
      <c r="CR124"/>
      <c r="CS124"/>
      <c r="CT124"/>
    </row>
    <row r="125" spans="1:98" x14ac:dyDescent="0.4">
      <c r="A125" s="2" t="s">
        <v>149</v>
      </c>
      <c r="B125" t="str">
        <f>_xlfn.TEXTAFTER(Table1[[#This Row],[VEHIDCODE]],"_")</f>
        <v>India_Indian_Railways_XB_Class</v>
      </c>
      <c r="C125" t="s">
        <v>739</v>
      </c>
      <c r="D125" t="b">
        <f>OR(ISNUMBER(SEARCH("wagon_",Table1[[#This Row],[FILENAMES_EXPECTED]])),ISNUMBER(SEARCH("coach_",Table1[[#This Row],[FILENAMES_EXPECTED]])))</f>
        <v>0</v>
      </c>
      <c r="E125" t="str">
        <f>"item_"&amp;Table1[[#This Row],[VEHIDCODE]]</f>
        <v>item_steam_India_Indian_Railways_XB_Class</v>
      </c>
      <c r="F125" t="str">
        <f>"str_"&amp;Table1[[#This Row],[VEHIDCODE]]</f>
        <v>str_steam_India_Indian_Railways_XB_Class</v>
      </c>
      <c r="AG125" s="2" t="b">
        <v>1</v>
      </c>
      <c r="AJ125" s="2"/>
      <c r="AK125" s="2" t="b">
        <f>LEN(_xlfn.CONCAT(Table1[[#This Row],[TRACK_TYPE_STANDARD_GAUGE_RAILTYPE_OHLE]:[TRACK_TYPE_MTRO]]))&gt;0</f>
        <v>1</v>
      </c>
      <c r="AL125">
        <v>14</v>
      </c>
      <c r="AM125" t="s">
        <v>18</v>
      </c>
      <c r="AN125">
        <v>0</v>
      </c>
      <c r="AO125" t="s">
        <v>23</v>
      </c>
      <c r="AP125">
        <v>0</v>
      </c>
      <c r="AQ125">
        <v>1927</v>
      </c>
      <c r="AR125">
        <v>8</v>
      </c>
      <c r="AS125" s="2" t="s">
        <v>20</v>
      </c>
      <c r="AT125" t="b">
        <v>1</v>
      </c>
      <c r="AV125" s="2"/>
      <c r="AW125">
        <v>45</v>
      </c>
      <c r="AX125">
        <v>1</v>
      </c>
      <c r="AY125">
        <v>1510</v>
      </c>
      <c r="AZ125" t="s">
        <v>710</v>
      </c>
      <c r="BA125">
        <v>116</v>
      </c>
      <c r="BB125" s="2">
        <v>0.08</v>
      </c>
      <c r="BC125" t="s">
        <v>931</v>
      </c>
      <c r="BD125" t="s">
        <v>922</v>
      </c>
      <c r="BE125" t="s">
        <v>940</v>
      </c>
      <c r="BF125" s="7">
        <v>40</v>
      </c>
      <c r="BG1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25">
        <v>0</v>
      </c>
      <c r="BI125" t="s">
        <v>734</v>
      </c>
      <c r="BJ125" s="11"/>
      <c r="BK125" s="11"/>
      <c r="BL125" s="11">
        <v>142</v>
      </c>
      <c r="BM125">
        <v>0</v>
      </c>
      <c r="BN125" t="s">
        <v>692</v>
      </c>
      <c r="BO125" t="s">
        <v>694</v>
      </c>
      <c r="BP125" t="s">
        <v>701</v>
      </c>
      <c r="BQ125" t="s">
        <v>705</v>
      </c>
      <c r="BR125" t="s">
        <v>706</v>
      </c>
      <c r="BS125" t="s">
        <v>707</v>
      </c>
      <c r="CR125"/>
      <c r="CS125"/>
      <c r="CT125"/>
    </row>
    <row r="126" spans="1:98" x14ac:dyDescent="0.4">
      <c r="A126" s="2" t="s">
        <v>150</v>
      </c>
      <c r="B126" t="str">
        <f>_xlfn.TEXTAFTER(Table1[[#This Row],[VEHIDCODE]],"_")</f>
        <v>Iraq_Iraqi_State_Railways_PC_Class</v>
      </c>
      <c r="C126" t="s">
        <v>739</v>
      </c>
      <c r="D126" t="b">
        <f>OR(ISNUMBER(SEARCH("wagon_",Table1[[#This Row],[FILENAMES_EXPECTED]])),ISNUMBER(SEARCH("coach_",Table1[[#This Row],[FILENAMES_EXPECTED]])))</f>
        <v>0</v>
      </c>
      <c r="E126" t="str">
        <f>"item_"&amp;Table1[[#This Row],[VEHIDCODE]]</f>
        <v>item_steam_Iraq_Iraqi_State_Railways_PC_Class</v>
      </c>
      <c r="F126" t="str">
        <f>"str_"&amp;Table1[[#This Row],[VEHIDCODE]]</f>
        <v>str_steam_Iraq_Iraqi_State_Railways_PC_Class</v>
      </c>
      <c r="O126" s="2" t="b">
        <v>1</v>
      </c>
      <c r="AJ126" s="2"/>
      <c r="AK126" s="2" t="b">
        <f>LEN(_xlfn.CONCAT(Table1[[#This Row],[TRACK_TYPE_STANDARD_GAUGE_RAILTYPE_OHLE]:[TRACK_TYPE_MTRO]]))&gt;0</f>
        <v>1</v>
      </c>
      <c r="AL126">
        <v>12</v>
      </c>
      <c r="AM126" t="s">
        <v>18</v>
      </c>
      <c r="AN126">
        <v>0</v>
      </c>
      <c r="AO126" t="s">
        <v>23</v>
      </c>
      <c r="AP126">
        <v>0</v>
      </c>
      <c r="AQ126">
        <v>1940</v>
      </c>
      <c r="AR126">
        <v>8</v>
      </c>
      <c r="AS126" s="2" t="s">
        <v>20</v>
      </c>
      <c r="AT126" t="b">
        <v>1</v>
      </c>
      <c r="AV126" s="2"/>
      <c r="AW126">
        <v>45</v>
      </c>
      <c r="AX126">
        <v>1</v>
      </c>
      <c r="AY126">
        <v>1640</v>
      </c>
      <c r="AZ126" t="s">
        <v>710</v>
      </c>
      <c r="BA126">
        <v>140</v>
      </c>
      <c r="BB126" s="2">
        <v>0.14000000000000001</v>
      </c>
      <c r="BC126" t="s">
        <v>931</v>
      </c>
      <c r="BD126" t="s">
        <v>922</v>
      </c>
      <c r="BE126" t="s">
        <v>940</v>
      </c>
      <c r="BF126" s="7">
        <v>40</v>
      </c>
      <c r="BG1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26">
        <v>0</v>
      </c>
      <c r="BI126" t="s">
        <v>734</v>
      </c>
      <c r="BJ126" s="11"/>
      <c r="BK126" s="11"/>
      <c r="BL126" s="11">
        <v>100</v>
      </c>
      <c r="BM126">
        <v>0</v>
      </c>
      <c r="BN126" t="s">
        <v>692</v>
      </c>
      <c r="BO126" t="s">
        <v>694</v>
      </c>
      <c r="BP126" t="s">
        <v>701</v>
      </c>
      <c r="BQ126" t="s">
        <v>705</v>
      </c>
      <c r="BR126" t="s">
        <v>706</v>
      </c>
      <c r="BS126" t="s">
        <v>707</v>
      </c>
      <c r="CR126"/>
      <c r="CS126"/>
      <c r="CT126"/>
    </row>
    <row r="127" spans="1:98" x14ac:dyDescent="0.4">
      <c r="A127" s="2" t="s">
        <v>151</v>
      </c>
      <c r="B127" t="str">
        <f>_xlfn.TEXTAFTER(Table1[[#This Row],[VEHIDCODE]],"_")</f>
        <v>Egypt_ENR_1100</v>
      </c>
      <c r="C127" t="s">
        <v>739</v>
      </c>
      <c r="D127" t="b">
        <f>OR(ISNUMBER(SEARCH("wagon_",Table1[[#This Row],[FILENAMES_EXPECTED]])),ISNUMBER(SEARCH("coach_",Table1[[#This Row],[FILENAMES_EXPECTED]])))</f>
        <v>0</v>
      </c>
      <c r="E127" t="str">
        <f>"item_"&amp;Table1[[#This Row],[VEHIDCODE]]</f>
        <v>item_steam_Egypt_ENR_1100</v>
      </c>
      <c r="F127" t="str">
        <f>"str_"&amp;Table1[[#This Row],[VEHIDCODE]]</f>
        <v>str_steam_Egypt_ENR_1100</v>
      </c>
      <c r="O127" s="2" t="b">
        <v>1</v>
      </c>
      <c r="AJ127" s="2"/>
      <c r="AK127" s="2" t="b">
        <f>LEN(_xlfn.CONCAT(Table1[[#This Row],[TRACK_TYPE_STANDARD_GAUGE_RAILTYPE_OHLE]:[TRACK_TYPE_MTRO]]))&gt;0</f>
        <v>1</v>
      </c>
      <c r="AL127">
        <v>6</v>
      </c>
      <c r="AM127" t="s">
        <v>18</v>
      </c>
      <c r="AN127">
        <v>0</v>
      </c>
      <c r="AO127" t="s">
        <v>23</v>
      </c>
      <c r="AP127">
        <v>0</v>
      </c>
      <c r="AQ127">
        <v>1942</v>
      </c>
      <c r="AR127">
        <v>6</v>
      </c>
      <c r="AS127" s="2" t="s">
        <v>20</v>
      </c>
      <c r="AT127" t="b">
        <v>1</v>
      </c>
      <c r="AV127" s="2"/>
      <c r="AW127">
        <v>45</v>
      </c>
      <c r="AX127">
        <v>1</v>
      </c>
      <c r="AY127">
        <v>560</v>
      </c>
      <c r="AZ127" t="s">
        <v>710</v>
      </c>
      <c r="BA127">
        <v>65</v>
      </c>
      <c r="BB127" s="2">
        <v>0.21</v>
      </c>
      <c r="BC127" t="s">
        <v>926</v>
      </c>
      <c r="BD127" t="s">
        <v>922</v>
      </c>
      <c r="BE127" t="s">
        <v>940</v>
      </c>
      <c r="BF127" s="7">
        <v>40</v>
      </c>
      <c r="BG1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27">
        <v>0</v>
      </c>
      <c r="BI127" t="s">
        <v>734</v>
      </c>
      <c r="BJ127" s="11"/>
      <c r="BK127" s="11"/>
      <c r="BL127" s="11">
        <v>46</v>
      </c>
      <c r="BM127">
        <v>0</v>
      </c>
      <c r="BN127" t="s">
        <v>692</v>
      </c>
      <c r="BO127" t="s">
        <v>694</v>
      </c>
      <c r="BP127" t="s">
        <v>701</v>
      </c>
      <c r="BQ127" t="s">
        <v>705</v>
      </c>
      <c r="BR127" t="s">
        <v>706</v>
      </c>
      <c r="BS127" t="s">
        <v>707</v>
      </c>
      <c r="CR127"/>
      <c r="CS127"/>
      <c r="CT127"/>
    </row>
    <row r="128" spans="1:98" x14ac:dyDescent="0.4">
      <c r="A128" s="2" t="s">
        <v>152</v>
      </c>
      <c r="B128" t="str">
        <f>_xlfn.TEXTAFTER(Table1[[#This Row],[VEHIDCODE]],"_")</f>
        <v>UK_GWR_1600_Class</v>
      </c>
      <c r="C128" t="s">
        <v>739</v>
      </c>
      <c r="D128" t="b">
        <f>OR(ISNUMBER(SEARCH("wagon_",Table1[[#This Row],[FILENAMES_EXPECTED]])),ISNUMBER(SEARCH("coach_",Table1[[#This Row],[FILENAMES_EXPECTED]])))</f>
        <v>0</v>
      </c>
      <c r="E128" t="str">
        <f>"item_"&amp;Table1[[#This Row],[VEHIDCODE]]</f>
        <v>item_steam_UK_GWR_1600_Class</v>
      </c>
      <c r="F128" t="str">
        <f>"str_"&amp;Table1[[#This Row],[VEHIDCODE]]</f>
        <v>str_steam_UK_GWR_1600_Class</v>
      </c>
      <c r="O128" s="2" t="b">
        <v>1</v>
      </c>
      <c r="AJ128" s="2"/>
      <c r="AK128" s="2" t="b">
        <f>LEN(_xlfn.CONCAT(Table1[[#This Row],[TRACK_TYPE_STANDARD_GAUGE_RAILTYPE_OHLE]:[TRACK_TYPE_MTRO]]))&gt;0</f>
        <v>1</v>
      </c>
      <c r="AL128">
        <v>6</v>
      </c>
      <c r="AM128" t="s">
        <v>18</v>
      </c>
      <c r="AN128">
        <v>0</v>
      </c>
      <c r="AO128" t="s">
        <v>23</v>
      </c>
      <c r="AP128">
        <v>0</v>
      </c>
      <c r="AQ128">
        <v>1949</v>
      </c>
      <c r="AR128">
        <v>6</v>
      </c>
      <c r="AS128" s="2" t="s">
        <v>20</v>
      </c>
      <c r="AT128" t="b">
        <v>1</v>
      </c>
      <c r="AV128" s="2"/>
      <c r="AW128">
        <v>45</v>
      </c>
      <c r="AX128">
        <v>0</v>
      </c>
      <c r="AY128">
        <v>690</v>
      </c>
      <c r="AZ128" t="s">
        <v>710</v>
      </c>
      <c r="BA128">
        <v>80</v>
      </c>
      <c r="BB128" s="2">
        <v>0.2</v>
      </c>
      <c r="BC128" t="s">
        <v>927</v>
      </c>
      <c r="BD128" t="s">
        <v>922</v>
      </c>
      <c r="BE128" t="s">
        <v>940</v>
      </c>
      <c r="BF128" s="7">
        <v>40</v>
      </c>
      <c r="BG1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28">
        <v>0</v>
      </c>
      <c r="BI128" t="s">
        <v>734</v>
      </c>
      <c r="BJ128" s="11"/>
      <c r="BK128" s="11"/>
      <c r="BL128" s="11">
        <v>42</v>
      </c>
      <c r="BM128">
        <v>0</v>
      </c>
      <c r="BN128" t="s">
        <v>692</v>
      </c>
      <c r="BO128" t="s">
        <v>694</v>
      </c>
      <c r="BP128" t="s">
        <v>701</v>
      </c>
      <c r="BQ128" t="s">
        <v>705</v>
      </c>
      <c r="BR128" t="s">
        <v>706</v>
      </c>
      <c r="BS128" t="s">
        <v>707</v>
      </c>
      <c r="CR128"/>
      <c r="CS128"/>
      <c r="CT128"/>
    </row>
    <row r="129" spans="1:98" x14ac:dyDescent="0.4">
      <c r="A129" s="2" t="s">
        <v>153</v>
      </c>
      <c r="B129" t="str">
        <f>_xlfn.TEXTAFTER(Table1[[#This Row],[VEHIDCODE]],"_")</f>
        <v>Australia_Victorian_Railways_R_Class</v>
      </c>
      <c r="C129" t="s">
        <v>739</v>
      </c>
      <c r="D129" t="b">
        <f>OR(ISNUMBER(SEARCH("wagon_",Table1[[#This Row],[FILENAMES_EXPECTED]])),ISNUMBER(SEARCH("coach_",Table1[[#This Row],[FILENAMES_EXPECTED]])))</f>
        <v>0</v>
      </c>
      <c r="E129" t="str">
        <f>"item_"&amp;Table1[[#This Row],[VEHIDCODE]]</f>
        <v>item_steam_Australia_Victorian_Railways_R_Class</v>
      </c>
      <c r="F129" t="str">
        <f>"str_"&amp;Table1[[#This Row],[VEHIDCODE]]</f>
        <v>str_steam_Australia_Victorian_Railways_R_Class</v>
      </c>
      <c r="O129" s="2" t="b">
        <v>1</v>
      </c>
      <c r="AJ129" s="2"/>
      <c r="AK129" s="2" t="b">
        <f>LEN(_xlfn.CONCAT(Table1[[#This Row],[TRACK_TYPE_STANDARD_GAUGE_RAILTYPE_OHLE]:[TRACK_TYPE_MTRO]]))&gt;0</f>
        <v>1</v>
      </c>
      <c r="AL129">
        <v>10</v>
      </c>
      <c r="AM129" t="s">
        <v>18</v>
      </c>
      <c r="AN129">
        <v>0</v>
      </c>
      <c r="AO129" t="s">
        <v>23</v>
      </c>
      <c r="AP129">
        <v>0</v>
      </c>
      <c r="AQ129">
        <v>1951</v>
      </c>
      <c r="AR129">
        <v>8</v>
      </c>
      <c r="AS129" s="2" t="s">
        <v>20</v>
      </c>
      <c r="AT129" t="b">
        <v>1</v>
      </c>
      <c r="AV129" s="2"/>
      <c r="AW129">
        <v>45</v>
      </c>
      <c r="AX129">
        <v>1</v>
      </c>
      <c r="AY129">
        <v>2300</v>
      </c>
      <c r="AZ129" t="s">
        <v>710</v>
      </c>
      <c r="BA129">
        <v>120</v>
      </c>
      <c r="BB129" s="2">
        <v>7.0000000000000007E-2</v>
      </c>
      <c r="BC129" t="s">
        <v>925</v>
      </c>
      <c r="BD129" t="s">
        <v>922</v>
      </c>
      <c r="BE129" t="s">
        <v>940</v>
      </c>
      <c r="BF129" s="7">
        <v>40</v>
      </c>
      <c r="BG1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29">
        <v>0</v>
      </c>
      <c r="BI129" t="s">
        <v>734</v>
      </c>
      <c r="BJ129" s="11"/>
      <c r="BK129" s="11"/>
      <c r="BL129" s="11">
        <v>190</v>
      </c>
      <c r="BM129">
        <v>0</v>
      </c>
      <c r="BN129" t="s">
        <v>692</v>
      </c>
      <c r="BO129" t="s">
        <v>694</v>
      </c>
      <c r="BP129" t="s">
        <v>701</v>
      </c>
      <c r="BQ129" t="s">
        <v>705</v>
      </c>
      <c r="BR129" t="s">
        <v>706</v>
      </c>
      <c r="BS129" t="s">
        <v>707</v>
      </c>
      <c r="CR129"/>
      <c r="CS129"/>
      <c r="CT129"/>
    </row>
    <row r="130" spans="1:98" x14ac:dyDescent="0.4">
      <c r="A130" s="2" t="s">
        <v>154</v>
      </c>
      <c r="B130" t="str">
        <f>_xlfn.TEXTAFTER(Table1[[#This Row],[VEHIDCODE]],"_")</f>
        <v>Germany_DB_9977_79</v>
      </c>
      <c r="C130" t="s">
        <v>739</v>
      </c>
      <c r="D130" t="b">
        <f>OR(ISNUMBER(SEARCH("wagon_",Table1[[#This Row],[FILENAMES_EXPECTED]])),ISNUMBER(SEARCH("coach_",Table1[[#This Row],[FILENAMES_EXPECTED]])))</f>
        <v>0</v>
      </c>
      <c r="E130" t="str">
        <f>"item_"&amp;Table1[[#This Row],[VEHIDCODE]]</f>
        <v>item_steam_Germany_DB_9977_79</v>
      </c>
      <c r="F130" t="str">
        <f>"str_"&amp;Table1[[#This Row],[VEHIDCODE]]</f>
        <v>str_steam_Germany_DB_9977_79</v>
      </c>
      <c r="O130" s="2" t="b">
        <v>1</v>
      </c>
      <c r="AJ130" s="2"/>
      <c r="AK130" s="2" t="b">
        <f>LEN(_xlfn.CONCAT(Table1[[#This Row],[TRACK_TYPE_STANDARD_GAUGE_RAILTYPE_OHLE]:[TRACK_TYPE_MTRO]]))&gt;0</f>
        <v>1</v>
      </c>
      <c r="AL130">
        <v>7</v>
      </c>
      <c r="AM130" t="s">
        <v>18</v>
      </c>
      <c r="AN130">
        <v>0</v>
      </c>
      <c r="AO130" t="s">
        <v>23</v>
      </c>
      <c r="AP130">
        <v>0</v>
      </c>
      <c r="AQ130">
        <v>1952</v>
      </c>
      <c r="AR130">
        <v>7</v>
      </c>
      <c r="AS130" s="2" t="s">
        <v>20</v>
      </c>
      <c r="AT130" t="b">
        <v>1</v>
      </c>
      <c r="AV130" s="2"/>
      <c r="AW130">
        <v>45</v>
      </c>
      <c r="AX130">
        <v>1</v>
      </c>
      <c r="AY130">
        <v>600</v>
      </c>
      <c r="AZ130" t="s">
        <v>710</v>
      </c>
      <c r="BA130">
        <v>30</v>
      </c>
      <c r="BB130" s="2">
        <v>0.2</v>
      </c>
      <c r="BC130" t="s">
        <v>923</v>
      </c>
      <c r="BD130" t="s">
        <v>922</v>
      </c>
      <c r="BE130" t="s">
        <v>940</v>
      </c>
      <c r="BF130" s="7">
        <v>40</v>
      </c>
      <c r="BG1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30">
        <v>0</v>
      </c>
      <c r="BI130" t="s">
        <v>734</v>
      </c>
      <c r="BJ130" s="11"/>
      <c r="BK130" s="11"/>
      <c r="BL130" s="11">
        <v>42</v>
      </c>
      <c r="BM130">
        <v>0</v>
      </c>
      <c r="BN130" t="s">
        <v>692</v>
      </c>
      <c r="BO130" t="s">
        <v>694</v>
      </c>
      <c r="BP130" t="s">
        <v>701</v>
      </c>
      <c r="BQ130" t="s">
        <v>705</v>
      </c>
      <c r="BR130" t="s">
        <v>706</v>
      </c>
      <c r="BS130" t="s">
        <v>707</v>
      </c>
      <c r="CR130"/>
      <c r="CS130"/>
      <c r="CT130"/>
    </row>
    <row r="131" spans="1:98" x14ac:dyDescent="0.4">
      <c r="A131" s="2" t="s">
        <v>155</v>
      </c>
      <c r="B131" t="str">
        <f>_xlfn.TEXTAFTER(Table1[[#This Row],[VEHIDCODE]],"_")</f>
        <v>Germany_DB_18_201</v>
      </c>
      <c r="C131" t="s">
        <v>739</v>
      </c>
      <c r="D131" t="b">
        <f>OR(ISNUMBER(SEARCH("wagon_",Table1[[#This Row],[FILENAMES_EXPECTED]])),ISNUMBER(SEARCH("coach_",Table1[[#This Row],[FILENAMES_EXPECTED]])))</f>
        <v>0</v>
      </c>
      <c r="E131" t="str">
        <f>"item_"&amp;Table1[[#This Row],[VEHIDCODE]]</f>
        <v>item_steam_Germany_DB_18_201</v>
      </c>
      <c r="F131" t="str">
        <f>"str_"&amp;Table1[[#This Row],[VEHIDCODE]]</f>
        <v>str_steam_Germany_DB_18_201</v>
      </c>
      <c r="O131" s="2" t="b">
        <v>1</v>
      </c>
      <c r="AJ131" s="2"/>
      <c r="AK131" s="2" t="b">
        <f>LEN(_xlfn.CONCAT(Table1[[#This Row],[TRACK_TYPE_STANDARD_GAUGE_RAILTYPE_OHLE]:[TRACK_TYPE_MTRO]]))&gt;0</f>
        <v>1</v>
      </c>
      <c r="AL131">
        <v>12</v>
      </c>
      <c r="AM131" t="s">
        <v>18</v>
      </c>
      <c r="AN131">
        <v>0</v>
      </c>
      <c r="AO131" t="s">
        <v>23</v>
      </c>
      <c r="AP131">
        <v>0</v>
      </c>
      <c r="AQ131">
        <v>1961</v>
      </c>
      <c r="AR131">
        <v>8</v>
      </c>
      <c r="AS131" s="2" t="s">
        <v>20</v>
      </c>
      <c r="AT131" t="b">
        <v>1</v>
      </c>
      <c r="AV131" s="2"/>
      <c r="AW131">
        <v>45</v>
      </c>
      <c r="AX131">
        <v>1</v>
      </c>
      <c r="AY131">
        <v>2120</v>
      </c>
      <c r="AZ131" t="s">
        <v>710</v>
      </c>
      <c r="BA131">
        <v>180</v>
      </c>
      <c r="BB131" s="2">
        <v>0.06</v>
      </c>
      <c r="BC131" t="s">
        <v>923</v>
      </c>
      <c r="BD131" t="s">
        <v>922</v>
      </c>
      <c r="BE131" t="s">
        <v>940</v>
      </c>
      <c r="BF131" s="7">
        <v>40</v>
      </c>
      <c r="BG1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31">
        <v>0</v>
      </c>
      <c r="BI131" t="s">
        <v>734</v>
      </c>
      <c r="BJ131" s="11"/>
      <c r="BK131" s="11"/>
      <c r="BL131" s="11">
        <v>172</v>
      </c>
      <c r="BM131">
        <v>0</v>
      </c>
      <c r="BN131" t="s">
        <v>692</v>
      </c>
      <c r="BO131" t="s">
        <v>694</v>
      </c>
      <c r="BP131" t="s">
        <v>701</v>
      </c>
      <c r="BQ131" t="s">
        <v>705</v>
      </c>
      <c r="BR131" t="s">
        <v>706</v>
      </c>
      <c r="BS131" t="s">
        <v>707</v>
      </c>
      <c r="CR131"/>
      <c r="CS131"/>
      <c r="CT131"/>
    </row>
    <row r="132" spans="1:98" x14ac:dyDescent="0.4">
      <c r="A132" s="2" t="s">
        <v>156</v>
      </c>
      <c r="B132" t="str">
        <f>_xlfn.TEXTAFTER(Table1[[#This Row],[VEHIDCODE]],"_")</f>
        <v>New_Zealand_NZR_WAB</v>
      </c>
      <c r="C132" t="s">
        <v>739</v>
      </c>
      <c r="D132" t="b">
        <f>OR(ISNUMBER(SEARCH("wagon_",Table1[[#This Row],[FILENAMES_EXPECTED]])),ISNUMBER(SEARCH("coach_",Table1[[#This Row],[FILENAMES_EXPECTED]])))</f>
        <v>0</v>
      </c>
      <c r="E132" t="str">
        <f>"item_"&amp;Table1[[#This Row],[VEHIDCODE]]</f>
        <v>item_steam_New_Zealand_NZR_WAB</v>
      </c>
      <c r="F132" t="str">
        <f>"str_"&amp;Table1[[#This Row],[VEHIDCODE]]</f>
        <v>str_steam_New_Zealand_NZR_WAB</v>
      </c>
      <c r="X132" s="2" t="b">
        <v>1</v>
      </c>
      <c r="AJ132" s="2"/>
      <c r="AK132" s="2" t="b">
        <f>LEN(_xlfn.CONCAT(Table1[[#This Row],[TRACK_TYPE_STANDARD_GAUGE_RAILTYPE_OHLE]:[TRACK_TYPE_MTRO]]))&gt;0</f>
        <v>1</v>
      </c>
      <c r="AL132">
        <v>6</v>
      </c>
      <c r="AM132" t="s">
        <v>20</v>
      </c>
      <c r="AN132">
        <v>0</v>
      </c>
      <c r="AO132" t="s">
        <v>23</v>
      </c>
      <c r="AP132">
        <v>0</v>
      </c>
      <c r="AQ132">
        <v>1923</v>
      </c>
      <c r="AR132">
        <v>6</v>
      </c>
      <c r="AS132" s="2" t="s">
        <v>24</v>
      </c>
      <c r="AT132" t="b">
        <v>1</v>
      </c>
      <c r="AV132" s="2"/>
      <c r="AW132">
        <v>45</v>
      </c>
      <c r="AX132">
        <v>1</v>
      </c>
      <c r="AY132">
        <v>1000</v>
      </c>
      <c r="AZ132" t="s">
        <v>710</v>
      </c>
      <c r="BA132">
        <v>97</v>
      </c>
      <c r="BB132" s="2">
        <v>0.14000000000000001</v>
      </c>
      <c r="BC132" t="s">
        <v>925</v>
      </c>
      <c r="BD132" t="s">
        <v>922</v>
      </c>
      <c r="BE132" t="s">
        <v>940</v>
      </c>
      <c r="BF132" s="7">
        <v>40</v>
      </c>
      <c r="BG1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32">
        <v>0</v>
      </c>
      <c r="BI132" t="s">
        <v>734</v>
      </c>
      <c r="BJ132" s="11"/>
      <c r="BK132" s="11"/>
      <c r="BL132" s="11">
        <v>73</v>
      </c>
      <c r="BM132">
        <v>0</v>
      </c>
      <c r="BN132" t="s">
        <v>692</v>
      </c>
      <c r="BO132" t="s">
        <v>694</v>
      </c>
      <c r="BP132" t="s">
        <v>701</v>
      </c>
      <c r="BQ132" t="s">
        <v>705</v>
      </c>
      <c r="BR132" t="s">
        <v>706</v>
      </c>
      <c r="BS132" t="s">
        <v>707</v>
      </c>
      <c r="CR132"/>
      <c r="CS132"/>
      <c r="CT132"/>
    </row>
    <row r="133" spans="1:98" x14ac:dyDescent="0.4">
      <c r="A133" s="2" t="s">
        <v>157</v>
      </c>
      <c r="B133" t="str">
        <f>_xlfn.TEXTAFTER(Table1[[#This Row],[VEHIDCODE]],"_")</f>
        <v>Australia_NSWGR_D57</v>
      </c>
      <c r="C133" t="s">
        <v>739</v>
      </c>
      <c r="D133" t="b">
        <f>OR(ISNUMBER(SEARCH("wagon_",Table1[[#This Row],[FILENAMES_EXPECTED]])),ISNUMBER(SEARCH("coach_",Table1[[#This Row],[FILENAMES_EXPECTED]])))</f>
        <v>0</v>
      </c>
      <c r="E133" t="str">
        <f>"item_"&amp;Table1[[#This Row],[VEHIDCODE]]</f>
        <v>item_steam_Australia_NSWGR_D57</v>
      </c>
      <c r="F133" t="str">
        <f>"str_"&amp;Table1[[#This Row],[VEHIDCODE]]</f>
        <v>str_steam_Australia_NSWGR_D57</v>
      </c>
      <c r="O133" s="2" t="b">
        <v>1</v>
      </c>
      <c r="AJ133" s="2"/>
      <c r="AK133" s="2" t="b">
        <f>LEN(_xlfn.CONCAT(Table1[[#This Row],[TRACK_TYPE_STANDARD_GAUGE_RAILTYPE_OHLE]:[TRACK_TYPE_MTRO]]))&gt;0</f>
        <v>1</v>
      </c>
      <c r="AL133">
        <v>10</v>
      </c>
      <c r="AM133" t="s">
        <v>20</v>
      </c>
      <c r="AN133">
        <v>0</v>
      </c>
      <c r="AO133" t="s">
        <v>23</v>
      </c>
      <c r="AP133">
        <v>0</v>
      </c>
      <c r="AQ133">
        <v>1929</v>
      </c>
      <c r="AR133">
        <v>8</v>
      </c>
      <c r="AS133" s="2" t="s">
        <v>24</v>
      </c>
      <c r="AT133" t="b">
        <v>1</v>
      </c>
      <c r="AV133" s="2"/>
      <c r="AW133">
        <v>45</v>
      </c>
      <c r="AX133">
        <v>1</v>
      </c>
      <c r="AY133">
        <v>1950</v>
      </c>
      <c r="AZ133" t="s">
        <v>710</v>
      </c>
      <c r="BA133">
        <v>80</v>
      </c>
      <c r="BB133" s="2">
        <v>0.12</v>
      </c>
      <c r="BC133" t="s">
        <v>925</v>
      </c>
      <c r="BD133" t="s">
        <v>922</v>
      </c>
      <c r="BE133" t="s">
        <v>940</v>
      </c>
      <c r="BF133" s="7">
        <v>40</v>
      </c>
      <c r="BG1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33">
        <v>0</v>
      </c>
      <c r="BI133" t="s">
        <v>734</v>
      </c>
      <c r="BJ133" s="11"/>
      <c r="BK133" s="11"/>
      <c r="BL133" s="11">
        <v>231</v>
      </c>
      <c r="BM133">
        <v>0</v>
      </c>
      <c r="BN133" t="s">
        <v>692</v>
      </c>
      <c r="BO133" t="s">
        <v>694</v>
      </c>
      <c r="BP133" t="s">
        <v>701</v>
      </c>
      <c r="BQ133" t="s">
        <v>705</v>
      </c>
      <c r="BR133" t="s">
        <v>706</v>
      </c>
      <c r="BS133" t="s">
        <v>707</v>
      </c>
      <c r="CR133"/>
      <c r="CS133"/>
      <c r="CT133"/>
    </row>
    <row r="134" spans="1:98" x14ac:dyDescent="0.4">
      <c r="A134" s="2" t="s">
        <v>158</v>
      </c>
      <c r="B134" t="str">
        <f>_xlfn.TEXTAFTER(Table1[[#This Row],[VEHIDCODE]],"_")</f>
        <v>Australia_South_Australian_Railways_520</v>
      </c>
      <c r="C134" t="s">
        <v>739</v>
      </c>
      <c r="D134" t="b">
        <f>OR(ISNUMBER(SEARCH("wagon_",Table1[[#This Row],[FILENAMES_EXPECTED]])),ISNUMBER(SEARCH("coach_",Table1[[#This Row],[FILENAMES_EXPECTED]])))</f>
        <v>0</v>
      </c>
      <c r="E134" t="str">
        <f>"item_"&amp;Table1[[#This Row],[VEHIDCODE]]</f>
        <v>item_steam_Australia_South_Australian_Railways_520</v>
      </c>
      <c r="F134" t="str">
        <f>"str_"&amp;Table1[[#This Row],[VEHIDCODE]]</f>
        <v>str_steam_Australia_South_Australian_Railways_520</v>
      </c>
      <c r="O134" s="2" t="b">
        <v>1</v>
      </c>
      <c r="AJ134" s="2"/>
      <c r="AK134" s="2" t="b">
        <f>LEN(_xlfn.CONCAT(Table1[[#This Row],[TRACK_TYPE_STANDARD_GAUGE_RAILTYPE_OHLE]:[TRACK_TYPE_MTRO]]))&gt;0</f>
        <v>1</v>
      </c>
      <c r="AL134">
        <v>10</v>
      </c>
      <c r="AM134" t="s">
        <v>20</v>
      </c>
      <c r="AN134">
        <v>0</v>
      </c>
      <c r="AO134" t="s">
        <v>23</v>
      </c>
      <c r="AP134">
        <v>0</v>
      </c>
      <c r="AQ134">
        <v>1943</v>
      </c>
      <c r="AR134">
        <v>8</v>
      </c>
      <c r="AS134" s="2" t="s">
        <v>24</v>
      </c>
      <c r="AT134" t="b">
        <v>1</v>
      </c>
      <c r="AV134" s="2"/>
      <c r="AW134">
        <v>45</v>
      </c>
      <c r="AX134">
        <v>1</v>
      </c>
      <c r="AY134">
        <v>2600</v>
      </c>
      <c r="AZ134" t="s">
        <v>710</v>
      </c>
      <c r="BA134">
        <v>126</v>
      </c>
      <c r="BB134" s="2">
        <v>7.0000000000000007E-2</v>
      </c>
      <c r="BC134" t="s">
        <v>925</v>
      </c>
      <c r="BD134" t="s">
        <v>922</v>
      </c>
      <c r="BE134" t="s">
        <v>940</v>
      </c>
      <c r="BF134" s="7">
        <v>40</v>
      </c>
      <c r="BG1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34">
        <v>0</v>
      </c>
      <c r="BI134" t="s">
        <v>734</v>
      </c>
      <c r="BJ134" s="11"/>
      <c r="BK134" s="11"/>
      <c r="BL134" s="11">
        <v>204</v>
      </c>
      <c r="BM134">
        <v>0</v>
      </c>
      <c r="BN134" t="s">
        <v>692</v>
      </c>
      <c r="BO134" t="s">
        <v>694</v>
      </c>
      <c r="BP134" t="s">
        <v>701</v>
      </c>
      <c r="BQ134" t="s">
        <v>705</v>
      </c>
      <c r="BR134" t="s">
        <v>706</v>
      </c>
      <c r="BS134" t="s">
        <v>707</v>
      </c>
      <c r="CR134"/>
      <c r="CS134"/>
      <c r="CT134"/>
    </row>
    <row r="135" spans="1:98" x14ac:dyDescent="0.4">
      <c r="A135" s="2" t="s">
        <v>159</v>
      </c>
      <c r="B135" t="str">
        <f>_xlfn.TEXTAFTER(Table1[[#This Row],[VEHIDCODE]],"_")</f>
        <v>Australia_NSWGR_AD60</v>
      </c>
      <c r="C135" t="s">
        <v>739</v>
      </c>
      <c r="D135" t="b">
        <f>OR(ISNUMBER(SEARCH("wagon_",Table1[[#This Row],[FILENAMES_EXPECTED]])),ISNUMBER(SEARCH("coach_",Table1[[#This Row],[FILENAMES_EXPECTED]])))</f>
        <v>0</v>
      </c>
      <c r="E135" t="str">
        <f>"item_"&amp;Table1[[#This Row],[VEHIDCODE]]</f>
        <v>item_steam_Australia_NSWGR_AD60</v>
      </c>
      <c r="F135" t="str">
        <f>"str_"&amp;Table1[[#This Row],[VEHIDCODE]]</f>
        <v>str_steam_Australia_NSWGR_AD60</v>
      </c>
      <c r="O135" s="2" t="b">
        <v>1</v>
      </c>
      <c r="AJ135" s="2"/>
      <c r="AK135" s="2" t="b">
        <f>LEN(_xlfn.CONCAT(Table1[[#This Row],[TRACK_TYPE_STANDARD_GAUGE_RAILTYPE_OHLE]:[TRACK_TYPE_MTRO]]))&gt;0</f>
        <v>1</v>
      </c>
      <c r="AL135">
        <v>12</v>
      </c>
      <c r="AM135" t="s">
        <v>20</v>
      </c>
      <c r="AN135">
        <v>0</v>
      </c>
      <c r="AO135" t="s">
        <v>23</v>
      </c>
      <c r="AP135">
        <v>0</v>
      </c>
      <c r="AQ135">
        <v>1952</v>
      </c>
      <c r="AR135">
        <v>4</v>
      </c>
      <c r="AS135" s="2" t="s">
        <v>24</v>
      </c>
      <c r="AT135" t="b">
        <v>1</v>
      </c>
      <c r="AV135" s="2"/>
      <c r="AW135">
        <v>45</v>
      </c>
      <c r="AX135">
        <v>1</v>
      </c>
      <c r="AY135">
        <v>2980</v>
      </c>
      <c r="AZ135" t="s">
        <v>710</v>
      </c>
      <c r="BA135">
        <v>95</v>
      </c>
      <c r="BB135" s="2">
        <v>0.11</v>
      </c>
      <c r="BC135" t="s">
        <v>925</v>
      </c>
      <c r="BD135" t="s">
        <v>922</v>
      </c>
      <c r="BE135" t="s">
        <v>940</v>
      </c>
      <c r="BF135" s="7">
        <v>40</v>
      </c>
      <c r="BG1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35">
        <v>0</v>
      </c>
      <c r="BI135" t="s">
        <v>734</v>
      </c>
      <c r="BJ135" s="11"/>
      <c r="BK135" s="11"/>
      <c r="BL135" s="11">
        <v>255</v>
      </c>
      <c r="BM135">
        <v>0</v>
      </c>
      <c r="BN135" t="s">
        <v>692</v>
      </c>
      <c r="BO135" t="s">
        <v>694</v>
      </c>
      <c r="BP135" t="s">
        <v>701</v>
      </c>
      <c r="BQ135" t="s">
        <v>705</v>
      </c>
      <c r="BR135" t="s">
        <v>706</v>
      </c>
      <c r="BS135" t="s">
        <v>707</v>
      </c>
      <c r="CR135"/>
      <c r="CS135"/>
      <c r="CT135"/>
    </row>
    <row r="136" spans="1:98" x14ac:dyDescent="0.4">
      <c r="A136" s="2" t="s">
        <v>160</v>
      </c>
      <c r="B136" t="str">
        <f>_xlfn.TEXTAFTER(Table1[[#This Row],[VEHIDCODE]],"_")</f>
        <v>Uruguay_AFE_N1_2_6_0</v>
      </c>
      <c r="C136" t="s">
        <v>739</v>
      </c>
      <c r="D136" t="b">
        <f>OR(ISNUMBER(SEARCH("wagon_",Table1[[#This Row],[FILENAMES_EXPECTED]])),ISNUMBER(SEARCH("coach_",Table1[[#This Row],[FILENAMES_EXPECTED]])))</f>
        <v>0</v>
      </c>
      <c r="E136" t="str">
        <f>"item_"&amp;Table1[[#This Row],[VEHIDCODE]]</f>
        <v>item_steam_Uruguay_AFE_N1_2_6_0</v>
      </c>
      <c r="F136" t="str">
        <f>"str_"&amp;Table1[[#This Row],[VEHIDCODE]]</f>
        <v>str_steam_Uruguay_AFE_N1_2_6_0</v>
      </c>
      <c r="O136" s="2" t="b">
        <v>1</v>
      </c>
      <c r="AJ136" s="2"/>
      <c r="AK136" s="2" t="b">
        <f>LEN(_xlfn.CONCAT(Table1[[#This Row],[TRACK_TYPE_STANDARD_GAUGE_RAILTYPE_OHLE]:[TRACK_TYPE_MTRO]]))&gt;0</f>
        <v>1</v>
      </c>
      <c r="AL136">
        <v>6</v>
      </c>
      <c r="AM136" t="s">
        <v>20</v>
      </c>
      <c r="AN136">
        <v>0</v>
      </c>
      <c r="AO136" t="s">
        <v>23</v>
      </c>
      <c r="AP136">
        <v>0</v>
      </c>
      <c r="AQ136">
        <v>1910</v>
      </c>
      <c r="AR136">
        <v>5</v>
      </c>
      <c r="AS136" s="2" t="s">
        <v>24</v>
      </c>
      <c r="AT136" t="b">
        <v>1</v>
      </c>
      <c r="AV136" s="2"/>
      <c r="AW136">
        <v>45</v>
      </c>
      <c r="AX136">
        <v>1</v>
      </c>
      <c r="AY136">
        <v>700</v>
      </c>
      <c r="AZ136" t="s">
        <v>710</v>
      </c>
      <c r="BA136">
        <v>80</v>
      </c>
      <c r="BB136" s="2">
        <v>0.1</v>
      </c>
      <c r="BC136" t="s">
        <v>930</v>
      </c>
      <c r="BD136" t="s">
        <v>922</v>
      </c>
      <c r="BE136" t="s">
        <v>940</v>
      </c>
      <c r="BF136" s="7">
        <v>40</v>
      </c>
      <c r="BG1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36">
        <v>0</v>
      </c>
      <c r="BI136" t="s">
        <v>734</v>
      </c>
      <c r="BJ136" s="11"/>
      <c r="BK136" s="11"/>
      <c r="BL136" s="11">
        <v>84</v>
      </c>
      <c r="BM136">
        <v>0</v>
      </c>
      <c r="BN136" t="s">
        <v>692</v>
      </c>
      <c r="BO136" t="s">
        <v>694</v>
      </c>
      <c r="BP136" t="s">
        <v>701</v>
      </c>
      <c r="BQ136" t="s">
        <v>705</v>
      </c>
      <c r="BR136" t="s">
        <v>706</v>
      </c>
      <c r="BS136" t="s">
        <v>707</v>
      </c>
      <c r="CR136"/>
      <c r="CS136"/>
      <c r="CT136"/>
    </row>
    <row r="137" spans="1:98" x14ac:dyDescent="0.4">
      <c r="A137" s="2" t="s">
        <v>161</v>
      </c>
      <c r="B137" t="str">
        <f>_xlfn.TEXTAFTER(Table1[[#This Row],[VEHIDCODE]],"_")</f>
        <v>Argentina_FCCA_PS11</v>
      </c>
      <c r="C137" t="s">
        <v>739</v>
      </c>
      <c r="D137" t="b">
        <f>OR(ISNUMBER(SEARCH("wagon_",Table1[[#This Row],[FILENAMES_EXPECTED]])),ISNUMBER(SEARCH("coach_",Table1[[#This Row],[FILENAMES_EXPECTED]])))</f>
        <v>0</v>
      </c>
      <c r="E137" t="str">
        <f>"item_"&amp;Table1[[#This Row],[VEHIDCODE]]</f>
        <v>item_steam_Argentina_FCCA_PS11</v>
      </c>
      <c r="F137" t="str">
        <f>"str_"&amp;Table1[[#This Row],[VEHIDCODE]]</f>
        <v>str_steam_Argentina_FCCA_PS11</v>
      </c>
      <c r="O137" s="2" t="b">
        <v>1</v>
      </c>
      <c r="AJ137" s="2"/>
      <c r="AK137" s="2" t="b">
        <f>LEN(_xlfn.CONCAT(Table1[[#This Row],[TRACK_TYPE_STANDARD_GAUGE_RAILTYPE_OHLE]:[TRACK_TYPE_MTRO]]))&gt;0</f>
        <v>1</v>
      </c>
      <c r="AL137">
        <v>10</v>
      </c>
      <c r="AM137" t="s">
        <v>20</v>
      </c>
      <c r="AN137">
        <v>0</v>
      </c>
      <c r="AO137" t="s">
        <v>23</v>
      </c>
      <c r="AP137">
        <v>0</v>
      </c>
      <c r="AQ137">
        <v>1930</v>
      </c>
      <c r="AR137">
        <v>8</v>
      </c>
      <c r="AS137" s="2" t="s">
        <v>24</v>
      </c>
      <c r="AT137" t="b">
        <v>1</v>
      </c>
      <c r="AV137" s="2"/>
      <c r="AW137">
        <v>45</v>
      </c>
      <c r="AX137">
        <v>1</v>
      </c>
      <c r="AY137">
        <v>1500</v>
      </c>
      <c r="AZ137" t="s">
        <v>710</v>
      </c>
      <c r="BA137">
        <v>160</v>
      </c>
      <c r="BB137" s="2">
        <v>0.08</v>
      </c>
      <c r="BC137" t="s">
        <v>930</v>
      </c>
      <c r="BD137" t="s">
        <v>922</v>
      </c>
      <c r="BE137" t="s">
        <v>940</v>
      </c>
      <c r="BF137" s="7">
        <v>40</v>
      </c>
      <c r="BG1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37">
        <v>0</v>
      </c>
      <c r="BI137" t="s">
        <v>734</v>
      </c>
      <c r="BJ137" s="11"/>
      <c r="BK137" s="11"/>
      <c r="BL137" s="11">
        <v>203</v>
      </c>
      <c r="BM137">
        <v>0</v>
      </c>
      <c r="BN137" t="s">
        <v>692</v>
      </c>
      <c r="BO137" t="s">
        <v>694</v>
      </c>
      <c r="BP137" t="s">
        <v>701</v>
      </c>
      <c r="BQ137" t="s">
        <v>705</v>
      </c>
      <c r="BR137" t="s">
        <v>706</v>
      </c>
      <c r="BS137" t="s">
        <v>707</v>
      </c>
      <c r="CR137"/>
      <c r="CS137"/>
      <c r="CT137"/>
    </row>
    <row r="138" spans="1:98" x14ac:dyDescent="0.4">
      <c r="A138" s="2" t="s">
        <v>162</v>
      </c>
      <c r="B138" t="str">
        <f>_xlfn.TEXTAFTER(Table1[[#This Row],[VEHIDCODE]],"_")</f>
        <v>South_Africa_Harbour_Board_EL_0_4_0</v>
      </c>
      <c r="C138" t="s">
        <v>739</v>
      </c>
      <c r="D138" t="b">
        <f>OR(ISNUMBER(SEARCH("wagon_",Table1[[#This Row],[FILENAMES_EXPECTED]])),ISNUMBER(SEARCH("coach_",Table1[[#This Row],[FILENAMES_EXPECTED]])))</f>
        <v>0</v>
      </c>
      <c r="E138" t="str">
        <f>"item_"&amp;Table1[[#This Row],[VEHIDCODE]]</f>
        <v>item_steam_South_Africa_Harbour_Board_EL_0_4_0</v>
      </c>
      <c r="F138" t="str">
        <f>"str_"&amp;Table1[[#This Row],[VEHIDCODE]]</f>
        <v>str_steam_South_Africa_Harbour_Board_EL_0_4_0</v>
      </c>
      <c r="O138" s="2" t="b">
        <v>1</v>
      </c>
      <c r="AJ138" s="2"/>
      <c r="AK138" s="2" t="b">
        <f>LEN(_xlfn.CONCAT(Table1[[#This Row],[TRACK_TYPE_STANDARD_GAUGE_RAILTYPE_OHLE]:[TRACK_TYPE_MTRO]]))&gt;0</f>
        <v>1</v>
      </c>
      <c r="AL138">
        <v>3</v>
      </c>
      <c r="AM138" t="s">
        <v>20</v>
      </c>
      <c r="AN138">
        <v>0</v>
      </c>
      <c r="AO138" t="s">
        <v>23</v>
      </c>
      <c r="AP138">
        <v>0</v>
      </c>
      <c r="AQ138">
        <v>1873</v>
      </c>
      <c r="AR138">
        <v>3</v>
      </c>
      <c r="AS138" s="2" t="s">
        <v>24</v>
      </c>
      <c r="AT138" t="b">
        <v>1</v>
      </c>
      <c r="AV138" s="2"/>
      <c r="AW138">
        <v>45</v>
      </c>
      <c r="AX138">
        <v>1</v>
      </c>
      <c r="AY138">
        <v>15</v>
      </c>
      <c r="AZ138" t="s">
        <v>710</v>
      </c>
      <c r="BA138">
        <v>16</v>
      </c>
      <c r="BB138" s="2">
        <v>0.06</v>
      </c>
      <c r="BC138" t="s">
        <v>926</v>
      </c>
      <c r="BD138" t="s">
        <v>922</v>
      </c>
      <c r="BE138" t="s">
        <v>940</v>
      </c>
      <c r="BF138" s="7">
        <v>40</v>
      </c>
      <c r="BG1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38">
        <v>0</v>
      </c>
      <c r="BI138" t="s">
        <v>734</v>
      </c>
      <c r="BJ138" s="11"/>
      <c r="BK138" s="11"/>
      <c r="BL138" s="11">
        <v>7</v>
      </c>
      <c r="BM138">
        <v>0</v>
      </c>
      <c r="BN138" t="s">
        <v>692</v>
      </c>
      <c r="BO138" t="s">
        <v>694</v>
      </c>
      <c r="BP138" t="s">
        <v>701</v>
      </c>
      <c r="BQ138" t="s">
        <v>705</v>
      </c>
      <c r="BR138" t="s">
        <v>706</v>
      </c>
      <c r="BS138" t="s">
        <v>707</v>
      </c>
      <c r="CR138"/>
      <c r="CS138"/>
      <c r="CT138"/>
    </row>
    <row r="139" spans="1:98" x14ac:dyDescent="0.4">
      <c r="A139" s="2" t="s">
        <v>163</v>
      </c>
      <c r="B139" t="str">
        <f>_xlfn.TEXTAFTER(Table1[[#This Row],[VEHIDCODE]],"_")</f>
        <v>Mozambique_Beira_Railway_BR6_F2_Falcon</v>
      </c>
      <c r="C139" t="s">
        <v>739</v>
      </c>
      <c r="D139" t="b">
        <f>OR(ISNUMBER(SEARCH("wagon_",Table1[[#This Row],[FILENAMES_EXPECTED]])),ISNUMBER(SEARCH("coach_",Table1[[#This Row],[FILENAMES_EXPECTED]])))</f>
        <v>0</v>
      </c>
      <c r="E139" t="str">
        <f>"item_"&amp;Table1[[#This Row],[VEHIDCODE]]</f>
        <v>item_steam_Mozambique_Beira_Railway_BR6_F2_Falcon</v>
      </c>
      <c r="F139" t="str">
        <f>"str_"&amp;Table1[[#This Row],[VEHIDCODE]]</f>
        <v>str_steam_Mozambique_Beira_Railway_BR6_F2_Falcon</v>
      </c>
      <c r="O139" s="2" t="b">
        <v>1</v>
      </c>
      <c r="AJ139" s="2"/>
      <c r="AK139" s="2" t="b">
        <f>LEN(_xlfn.CONCAT(Table1[[#This Row],[TRACK_TYPE_STANDARD_GAUGE_RAILTYPE_OHLE]:[TRACK_TYPE_MTRO]]))&gt;0</f>
        <v>1</v>
      </c>
      <c r="AL139">
        <v>6</v>
      </c>
      <c r="AM139" t="s">
        <v>20</v>
      </c>
      <c r="AN139">
        <v>0</v>
      </c>
      <c r="AO139" t="s">
        <v>23</v>
      </c>
      <c r="AP139">
        <v>0</v>
      </c>
      <c r="AQ139">
        <v>1895</v>
      </c>
      <c r="AR139">
        <v>4</v>
      </c>
      <c r="AS139" s="2" t="s">
        <v>24</v>
      </c>
      <c r="AT139" t="b">
        <v>1</v>
      </c>
      <c r="AV139" s="2"/>
      <c r="AW139">
        <v>45</v>
      </c>
      <c r="AX139">
        <v>1</v>
      </c>
      <c r="AY139">
        <v>140</v>
      </c>
      <c r="AZ139" t="s">
        <v>710</v>
      </c>
      <c r="BA139">
        <v>40</v>
      </c>
      <c r="BB139" s="2">
        <v>0.08</v>
      </c>
      <c r="BC139" t="s">
        <v>926</v>
      </c>
      <c r="BD139" t="s">
        <v>922</v>
      </c>
      <c r="BE139" t="s">
        <v>940</v>
      </c>
      <c r="BF139" s="7">
        <v>40</v>
      </c>
      <c r="BG1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39">
        <v>0</v>
      </c>
      <c r="BI139" t="s">
        <v>734</v>
      </c>
      <c r="BJ139" s="11"/>
      <c r="BK139" s="11"/>
      <c r="BL139" s="11">
        <v>18</v>
      </c>
      <c r="BM139">
        <v>0</v>
      </c>
      <c r="BN139" t="s">
        <v>692</v>
      </c>
      <c r="BO139" t="s">
        <v>694</v>
      </c>
      <c r="BP139" t="s">
        <v>701</v>
      </c>
      <c r="BQ139" t="s">
        <v>705</v>
      </c>
      <c r="BR139" t="s">
        <v>706</v>
      </c>
      <c r="BS139" t="s">
        <v>707</v>
      </c>
      <c r="CR139"/>
      <c r="CS139"/>
      <c r="CT139"/>
    </row>
    <row r="140" spans="1:98" x14ac:dyDescent="0.4">
      <c r="A140" s="2" t="s">
        <v>164</v>
      </c>
      <c r="B140" t="str">
        <f>_xlfn.TEXTAFTER(Table1[[#This Row],[VEHIDCODE]],"_")</f>
        <v>Eritrea_Eritrean_Railway_R440</v>
      </c>
      <c r="C140" t="s">
        <v>739</v>
      </c>
      <c r="D140" t="b">
        <f>OR(ISNUMBER(SEARCH("wagon_",Table1[[#This Row],[FILENAMES_EXPECTED]])),ISNUMBER(SEARCH("coach_",Table1[[#This Row],[FILENAMES_EXPECTED]])))</f>
        <v>0</v>
      </c>
      <c r="E140" t="str">
        <f>"item_"&amp;Table1[[#This Row],[VEHIDCODE]]</f>
        <v>item_steam_Eritrea_Eritrean_Railway_R440</v>
      </c>
      <c r="F140" t="str">
        <f>"str_"&amp;Table1[[#This Row],[VEHIDCODE]]</f>
        <v>str_steam_Eritrea_Eritrean_Railway_R440</v>
      </c>
      <c r="X140" s="2" t="b">
        <v>1</v>
      </c>
      <c r="AJ140" s="2"/>
      <c r="AK140" s="2" t="b">
        <f>LEN(_xlfn.CONCAT(Table1[[#This Row],[TRACK_TYPE_STANDARD_GAUGE_RAILTYPE_OHLE]:[TRACK_TYPE_MTRO]]))&gt;0</f>
        <v>1</v>
      </c>
      <c r="AL140">
        <v>5</v>
      </c>
      <c r="AM140" t="s">
        <v>20</v>
      </c>
      <c r="AN140">
        <v>0</v>
      </c>
      <c r="AO140" t="s">
        <v>23</v>
      </c>
      <c r="AP140">
        <v>0</v>
      </c>
      <c r="AQ140">
        <v>1911</v>
      </c>
      <c r="AR140">
        <v>5</v>
      </c>
      <c r="AS140" s="2" t="s">
        <v>24</v>
      </c>
      <c r="AT140" t="b">
        <v>1</v>
      </c>
      <c r="AV140" s="2"/>
      <c r="AW140">
        <v>45</v>
      </c>
      <c r="AX140">
        <v>1</v>
      </c>
      <c r="AY140">
        <v>250</v>
      </c>
      <c r="AZ140" t="s">
        <v>710</v>
      </c>
      <c r="BA140">
        <v>40</v>
      </c>
      <c r="BB140" s="2">
        <v>0.14000000000000001</v>
      </c>
      <c r="BC140" t="s">
        <v>926</v>
      </c>
      <c r="BD140" t="s">
        <v>922</v>
      </c>
      <c r="BE140" t="s">
        <v>940</v>
      </c>
      <c r="BF140" s="7">
        <v>40</v>
      </c>
      <c r="BG1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40">
        <v>0</v>
      </c>
      <c r="BI140" t="s">
        <v>734</v>
      </c>
      <c r="BJ140" s="11"/>
      <c r="BK140" s="11"/>
      <c r="BL140" s="11">
        <v>35</v>
      </c>
      <c r="BM140">
        <v>0</v>
      </c>
      <c r="BN140" t="s">
        <v>692</v>
      </c>
      <c r="BO140" t="s">
        <v>694</v>
      </c>
      <c r="BP140" t="s">
        <v>701</v>
      </c>
      <c r="BQ140" t="s">
        <v>705</v>
      </c>
      <c r="BR140" t="s">
        <v>706</v>
      </c>
      <c r="BS140" t="s">
        <v>707</v>
      </c>
      <c r="CR140"/>
      <c r="CS140"/>
      <c r="CT140"/>
    </row>
    <row r="141" spans="1:98" x14ac:dyDescent="0.4">
      <c r="A141" s="2" t="s">
        <v>165</v>
      </c>
      <c r="B141" t="str">
        <f>_xlfn.TEXTAFTER(Table1[[#This Row],[VEHIDCODE]],"_")</f>
        <v>Kenya_East_African_Railway_23</v>
      </c>
      <c r="C141" t="s">
        <v>739</v>
      </c>
      <c r="D141" t="b">
        <f>OR(ISNUMBER(SEARCH("wagon_",Table1[[#This Row],[FILENAMES_EXPECTED]])),ISNUMBER(SEARCH("coach_",Table1[[#This Row],[FILENAMES_EXPECTED]])))</f>
        <v>0</v>
      </c>
      <c r="E141" t="str">
        <f>"item_"&amp;Table1[[#This Row],[VEHIDCODE]]</f>
        <v>item_steam_Kenya_East_African_Railway_23</v>
      </c>
      <c r="F141" t="str">
        <f>"str_"&amp;Table1[[#This Row],[VEHIDCODE]]</f>
        <v>str_steam_Kenya_East_African_Railway_23</v>
      </c>
      <c r="O141" s="2" t="b">
        <v>1</v>
      </c>
      <c r="AJ141" s="2"/>
      <c r="AK141" s="2" t="b">
        <f>LEN(_xlfn.CONCAT(Table1[[#This Row],[TRACK_TYPE_STANDARD_GAUGE_RAILTYPE_OHLE]:[TRACK_TYPE_MTRO]]))&gt;0</f>
        <v>1</v>
      </c>
      <c r="AL141">
        <v>6</v>
      </c>
      <c r="AM141" t="s">
        <v>20</v>
      </c>
      <c r="AN141">
        <v>0</v>
      </c>
      <c r="AO141" t="s">
        <v>23</v>
      </c>
      <c r="AP141">
        <v>0</v>
      </c>
      <c r="AQ141">
        <v>1923</v>
      </c>
      <c r="AR141">
        <v>5</v>
      </c>
      <c r="AS141" s="2" t="s">
        <v>24</v>
      </c>
      <c r="AT141" t="b">
        <v>1</v>
      </c>
      <c r="AV141" s="2"/>
      <c r="AW141">
        <v>45</v>
      </c>
      <c r="AX141">
        <v>1</v>
      </c>
      <c r="AY141">
        <v>339</v>
      </c>
      <c r="AZ141" t="s">
        <v>710</v>
      </c>
      <c r="BA141">
        <v>70</v>
      </c>
      <c r="BB141" s="2">
        <v>0.14000000000000001</v>
      </c>
      <c r="BC141" t="s">
        <v>926</v>
      </c>
      <c r="BD141" t="s">
        <v>922</v>
      </c>
      <c r="BE141" t="s">
        <v>940</v>
      </c>
      <c r="BF141" s="7">
        <v>40</v>
      </c>
      <c r="BG1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41">
        <v>0</v>
      </c>
      <c r="BI141" t="s">
        <v>734</v>
      </c>
      <c r="BJ141" s="11"/>
      <c r="BK141" s="11"/>
      <c r="BL141" s="11">
        <v>79</v>
      </c>
      <c r="BM141">
        <v>0</v>
      </c>
      <c r="BN141" t="s">
        <v>692</v>
      </c>
      <c r="BO141" t="s">
        <v>694</v>
      </c>
      <c r="BP141" t="s">
        <v>701</v>
      </c>
      <c r="BQ141" t="s">
        <v>705</v>
      </c>
      <c r="BR141" t="s">
        <v>706</v>
      </c>
      <c r="BS141" t="s">
        <v>707</v>
      </c>
      <c r="CR141"/>
      <c r="CS141"/>
      <c r="CT141"/>
    </row>
    <row r="142" spans="1:98" x14ac:dyDescent="0.4">
      <c r="A142" s="2" t="s">
        <v>166</v>
      </c>
      <c r="B142" t="str">
        <f>_xlfn.TEXTAFTER(Table1[[#This Row],[VEHIDCODE]],"_")</f>
        <v>Kenya_East_African_Railway_21</v>
      </c>
      <c r="C142" t="s">
        <v>739</v>
      </c>
      <c r="D142" t="b">
        <f>OR(ISNUMBER(SEARCH("wagon_",Table1[[#This Row],[FILENAMES_EXPECTED]])),ISNUMBER(SEARCH("coach_",Table1[[#This Row],[FILENAMES_EXPECTED]])))</f>
        <v>0</v>
      </c>
      <c r="E142" t="str">
        <f>"item_"&amp;Table1[[#This Row],[VEHIDCODE]]</f>
        <v>item_steam_Kenya_East_African_Railway_21</v>
      </c>
      <c r="F142" t="str">
        <f>"str_"&amp;Table1[[#This Row],[VEHIDCODE]]</f>
        <v>str_steam_Kenya_East_African_Railway_21</v>
      </c>
      <c r="O142" s="2" t="b">
        <v>1</v>
      </c>
      <c r="AJ142" s="2"/>
      <c r="AK142" s="2" t="b">
        <f>LEN(_xlfn.CONCAT(Table1[[#This Row],[TRACK_TYPE_STANDARD_GAUGE_RAILTYPE_OHLE]:[TRACK_TYPE_MTRO]]))&gt;0</f>
        <v>1</v>
      </c>
      <c r="AL142">
        <v>6</v>
      </c>
      <c r="AM142" t="s">
        <v>20</v>
      </c>
      <c r="AN142">
        <v>0</v>
      </c>
      <c r="AO142" t="s">
        <v>23</v>
      </c>
      <c r="AP142">
        <v>0</v>
      </c>
      <c r="AQ142">
        <v>1928</v>
      </c>
      <c r="AR142">
        <v>6</v>
      </c>
      <c r="AS142" s="2" t="s">
        <v>24</v>
      </c>
      <c r="AT142" t="b">
        <v>1</v>
      </c>
      <c r="AV142" s="2"/>
      <c r="AW142">
        <v>45</v>
      </c>
      <c r="AX142">
        <v>1</v>
      </c>
      <c r="AY142">
        <v>565</v>
      </c>
      <c r="AZ142" t="s">
        <v>710</v>
      </c>
      <c r="BA142">
        <v>75</v>
      </c>
      <c r="BB142" s="2">
        <v>0.13</v>
      </c>
      <c r="BC142" t="s">
        <v>926</v>
      </c>
      <c r="BD142" t="s">
        <v>922</v>
      </c>
      <c r="BE142" t="s">
        <v>940</v>
      </c>
      <c r="BF142" s="7">
        <v>40</v>
      </c>
      <c r="BG1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42">
        <v>0</v>
      </c>
      <c r="BI142" t="s">
        <v>734</v>
      </c>
      <c r="BJ142" s="11"/>
      <c r="BK142" s="11"/>
      <c r="BL142" s="11">
        <v>85</v>
      </c>
      <c r="BM142">
        <v>0</v>
      </c>
      <c r="BN142" t="s">
        <v>692</v>
      </c>
      <c r="BO142" t="s">
        <v>694</v>
      </c>
      <c r="BP142" t="s">
        <v>701</v>
      </c>
      <c r="BQ142" t="s">
        <v>705</v>
      </c>
      <c r="BR142" t="s">
        <v>706</v>
      </c>
      <c r="BS142" t="s">
        <v>707</v>
      </c>
      <c r="CR142"/>
      <c r="CS142"/>
      <c r="CT142"/>
    </row>
    <row r="143" spans="1:98" x14ac:dyDescent="0.4">
      <c r="A143" s="2" t="s">
        <v>167</v>
      </c>
      <c r="B143" t="str">
        <f>_xlfn.TEXTAFTER(Table1[[#This Row],[VEHIDCODE]],"_")</f>
        <v>Zimbabwe_Zimbabwe_Railways_15</v>
      </c>
      <c r="C143" t="s">
        <v>739</v>
      </c>
      <c r="D143" t="b">
        <f>OR(ISNUMBER(SEARCH("wagon_",Table1[[#This Row],[FILENAMES_EXPECTED]])),ISNUMBER(SEARCH("coach_",Table1[[#This Row],[FILENAMES_EXPECTED]])))</f>
        <v>0</v>
      </c>
      <c r="E143" t="str">
        <f>"item_"&amp;Table1[[#This Row],[VEHIDCODE]]</f>
        <v>item_steam_Zimbabwe_Zimbabwe_Railways_15</v>
      </c>
      <c r="F143" t="str">
        <f>"str_"&amp;Table1[[#This Row],[VEHIDCODE]]</f>
        <v>str_steam_Zimbabwe_Zimbabwe_Railways_15</v>
      </c>
      <c r="X143" s="2" t="b">
        <v>1</v>
      </c>
      <c r="AJ143" s="2"/>
      <c r="AK143" s="2" t="b">
        <f>LEN(_xlfn.CONCAT(Table1[[#This Row],[TRACK_TYPE_STANDARD_GAUGE_RAILTYPE_OHLE]:[TRACK_TYPE_MTRO]]))&gt;0</f>
        <v>1</v>
      </c>
      <c r="AL143">
        <v>12</v>
      </c>
      <c r="AM143" t="s">
        <v>20</v>
      </c>
      <c r="AN143">
        <v>0</v>
      </c>
      <c r="AO143" t="s">
        <v>23</v>
      </c>
      <c r="AP143">
        <v>0</v>
      </c>
      <c r="AQ143">
        <v>1940</v>
      </c>
      <c r="AR143">
        <v>4</v>
      </c>
      <c r="AS143" s="2" t="s">
        <v>24</v>
      </c>
      <c r="AT143" t="b">
        <v>1</v>
      </c>
      <c r="AV143" s="2"/>
      <c r="AW143">
        <v>45</v>
      </c>
      <c r="AX143">
        <v>1</v>
      </c>
      <c r="AY143">
        <v>1150</v>
      </c>
      <c r="AZ143" t="s">
        <v>710</v>
      </c>
      <c r="BA143">
        <v>70</v>
      </c>
      <c r="BB143" s="2">
        <v>0.1</v>
      </c>
      <c r="BC143" t="s">
        <v>926</v>
      </c>
      <c r="BD143" t="s">
        <v>922</v>
      </c>
      <c r="BE143" t="s">
        <v>940</v>
      </c>
      <c r="BF143" s="7">
        <v>40</v>
      </c>
      <c r="BG1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43">
        <v>0</v>
      </c>
      <c r="BI143" t="s">
        <v>734</v>
      </c>
      <c r="BJ143" s="11"/>
      <c r="BK143" s="11"/>
      <c r="BL143" s="11">
        <v>183</v>
      </c>
      <c r="BM143">
        <v>0</v>
      </c>
      <c r="BN143" t="s">
        <v>692</v>
      </c>
      <c r="BO143" t="s">
        <v>694</v>
      </c>
      <c r="BP143" t="s">
        <v>701</v>
      </c>
      <c r="BQ143" t="s">
        <v>705</v>
      </c>
      <c r="BR143" t="s">
        <v>706</v>
      </c>
      <c r="BS143" t="s">
        <v>707</v>
      </c>
      <c r="CR143"/>
      <c r="CS143"/>
      <c r="CT143"/>
    </row>
    <row r="144" spans="1:98" x14ac:dyDescent="0.4">
      <c r="A144" s="2" t="s">
        <v>168</v>
      </c>
      <c r="B144" t="str">
        <f>_xlfn.TEXTAFTER(Table1[[#This Row],[VEHIDCODE]],"_")</f>
        <v>South_Africa_SAR_GMA_4_8_2_2_8_4</v>
      </c>
      <c r="C144" t="s">
        <v>739</v>
      </c>
      <c r="D144" t="b">
        <f>OR(ISNUMBER(SEARCH("wagon_",Table1[[#This Row],[FILENAMES_EXPECTED]])),ISNUMBER(SEARCH("coach_",Table1[[#This Row],[FILENAMES_EXPECTED]])))</f>
        <v>0</v>
      </c>
      <c r="E144" t="str">
        <f>"item_"&amp;Table1[[#This Row],[VEHIDCODE]]</f>
        <v>item_steam_South_Africa_SAR_GMA_4_8_2_2_8_4</v>
      </c>
      <c r="F144" t="str">
        <f>"str_"&amp;Table1[[#This Row],[VEHIDCODE]]</f>
        <v>str_steam_South_Africa_SAR_GMA_4_8_2_2_8_4</v>
      </c>
      <c r="X144" s="2" t="b">
        <v>1</v>
      </c>
      <c r="AJ144" s="2"/>
      <c r="AK144" s="2" t="b">
        <f>LEN(_xlfn.CONCAT(Table1[[#This Row],[TRACK_TYPE_STANDARD_GAUGE_RAILTYPE_OHLE]:[TRACK_TYPE_MTRO]]))&gt;0</f>
        <v>1</v>
      </c>
      <c r="AL144">
        <v>12</v>
      </c>
      <c r="AM144" t="s">
        <v>20</v>
      </c>
      <c r="AN144">
        <v>0</v>
      </c>
      <c r="AO144" t="s">
        <v>23</v>
      </c>
      <c r="AP144">
        <v>0</v>
      </c>
      <c r="AQ144">
        <v>1953</v>
      </c>
      <c r="AR144">
        <v>7</v>
      </c>
      <c r="AS144" s="2" t="s">
        <v>24</v>
      </c>
      <c r="AT144" t="b">
        <v>1</v>
      </c>
      <c r="AV144" s="2"/>
      <c r="AW144">
        <v>45</v>
      </c>
      <c r="AX144">
        <v>1</v>
      </c>
      <c r="AY144">
        <v>3390</v>
      </c>
      <c r="AZ144" t="s">
        <v>710</v>
      </c>
      <c r="BA144">
        <v>95</v>
      </c>
      <c r="BB144" s="2">
        <v>0.13</v>
      </c>
      <c r="BC144" t="s">
        <v>926</v>
      </c>
      <c r="BD144" t="s">
        <v>922</v>
      </c>
      <c r="BE144" t="s">
        <v>940</v>
      </c>
      <c r="BF144" s="7">
        <v>40</v>
      </c>
      <c r="BG1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44">
        <v>0</v>
      </c>
      <c r="BI144" t="s">
        <v>734</v>
      </c>
      <c r="BJ144" s="11"/>
      <c r="BK144" s="11"/>
      <c r="BL144" s="11">
        <v>212</v>
      </c>
      <c r="BM144">
        <v>0</v>
      </c>
      <c r="BN144" t="s">
        <v>692</v>
      </c>
      <c r="BO144" t="s">
        <v>694</v>
      </c>
      <c r="BP144" t="s">
        <v>701</v>
      </c>
      <c r="BQ144" t="s">
        <v>705</v>
      </c>
      <c r="BR144" t="s">
        <v>706</v>
      </c>
      <c r="BS144" t="s">
        <v>707</v>
      </c>
      <c r="CR144"/>
      <c r="CS144"/>
      <c r="CT144"/>
    </row>
    <row r="145" spans="1:98" x14ac:dyDescent="0.4">
      <c r="A145" s="2" t="s">
        <v>169</v>
      </c>
      <c r="B145" t="str">
        <f>_xlfn.TEXTAFTER(Table1[[#This Row],[VEHIDCODE]],"_")</f>
        <v>Kenya_East_African_Railway_31</v>
      </c>
      <c r="C145" t="s">
        <v>739</v>
      </c>
      <c r="D145" t="b">
        <f>OR(ISNUMBER(SEARCH("wagon_",Table1[[#This Row],[FILENAMES_EXPECTED]])),ISNUMBER(SEARCH("coach_",Table1[[#This Row],[FILENAMES_EXPECTED]])))</f>
        <v>0</v>
      </c>
      <c r="E145" t="str">
        <f>"item_"&amp;Table1[[#This Row],[VEHIDCODE]]</f>
        <v>item_steam_Kenya_East_African_Railway_31</v>
      </c>
      <c r="F145" t="str">
        <f>"str_"&amp;Table1[[#This Row],[VEHIDCODE]]</f>
        <v>str_steam_Kenya_East_African_Railway_31</v>
      </c>
      <c r="O145" s="2" t="b">
        <v>1</v>
      </c>
      <c r="AJ145" s="2"/>
      <c r="AK145" s="2" t="b">
        <f>LEN(_xlfn.CONCAT(Table1[[#This Row],[TRACK_TYPE_STANDARD_GAUGE_RAILTYPE_OHLE]:[TRACK_TYPE_MTRO]]))&gt;0</f>
        <v>1</v>
      </c>
      <c r="AL145">
        <v>8</v>
      </c>
      <c r="AM145" t="s">
        <v>20</v>
      </c>
      <c r="AN145">
        <v>0</v>
      </c>
      <c r="AO145" t="s">
        <v>23</v>
      </c>
      <c r="AP145">
        <v>0</v>
      </c>
      <c r="AQ145">
        <v>1955</v>
      </c>
      <c r="AR145">
        <v>7</v>
      </c>
      <c r="AS145" s="2" t="s">
        <v>24</v>
      </c>
      <c r="AT145" t="b">
        <v>1</v>
      </c>
      <c r="AV145" s="2"/>
      <c r="AW145">
        <v>45</v>
      </c>
      <c r="AX145">
        <v>1</v>
      </c>
      <c r="AY145">
        <v>1220</v>
      </c>
      <c r="AZ145" t="s">
        <v>710</v>
      </c>
      <c r="BA145">
        <v>80</v>
      </c>
      <c r="BB145" s="2">
        <v>0.1</v>
      </c>
      <c r="BC145" t="s">
        <v>926</v>
      </c>
      <c r="BD145" t="s">
        <v>922</v>
      </c>
      <c r="BE145" t="s">
        <v>940</v>
      </c>
      <c r="BF145" s="7">
        <v>40</v>
      </c>
      <c r="BG1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45">
        <v>0</v>
      </c>
      <c r="BI145" t="s">
        <v>734</v>
      </c>
      <c r="BJ145" s="11"/>
      <c r="BK145" s="11"/>
      <c r="BL145" s="11">
        <v>115</v>
      </c>
      <c r="BM145">
        <v>0</v>
      </c>
      <c r="BN145" t="s">
        <v>692</v>
      </c>
      <c r="BO145" t="s">
        <v>694</v>
      </c>
      <c r="BP145" t="s">
        <v>701</v>
      </c>
      <c r="BQ145" t="s">
        <v>705</v>
      </c>
      <c r="BR145" t="s">
        <v>706</v>
      </c>
      <c r="BS145" t="s">
        <v>707</v>
      </c>
      <c r="CR145"/>
      <c r="CS145"/>
      <c r="CT145"/>
    </row>
    <row r="146" spans="1:98" x14ac:dyDescent="0.4">
      <c r="A146" s="2" t="s">
        <v>170</v>
      </c>
      <c r="B146" t="str">
        <f>_xlfn.TEXTAFTER(Table1[[#This Row],[VEHIDCODE]],"_")</f>
        <v>India_Fairy_Queen</v>
      </c>
      <c r="C146" t="s">
        <v>739</v>
      </c>
      <c r="D146" t="b">
        <f>OR(ISNUMBER(SEARCH("wagon_",Table1[[#This Row],[FILENAMES_EXPECTED]])),ISNUMBER(SEARCH("coach_",Table1[[#This Row],[FILENAMES_EXPECTED]])))</f>
        <v>0</v>
      </c>
      <c r="E146" t="str">
        <f>"item_"&amp;Table1[[#This Row],[VEHIDCODE]]</f>
        <v>item_steam_India_Fairy_Queen</v>
      </c>
      <c r="F146" t="str">
        <f>"str_"&amp;Table1[[#This Row],[VEHIDCODE]]</f>
        <v>str_steam_India_Fairy_Queen</v>
      </c>
      <c r="AG146" s="2" t="b">
        <v>1</v>
      </c>
      <c r="AJ146" s="2"/>
      <c r="AK146" s="2" t="b">
        <f>LEN(_xlfn.CONCAT(Table1[[#This Row],[TRACK_TYPE_STANDARD_GAUGE_RAILTYPE_OHLE]:[TRACK_TYPE_MTRO]]))&gt;0</f>
        <v>1</v>
      </c>
      <c r="AL146">
        <v>5</v>
      </c>
      <c r="AM146" t="s">
        <v>20</v>
      </c>
      <c r="AN146">
        <v>0</v>
      </c>
      <c r="AO146" t="s">
        <v>23</v>
      </c>
      <c r="AP146">
        <v>0</v>
      </c>
      <c r="AQ146">
        <v>1855</v>
      </c>
      <c r="AR146">
        <v>5</v>
      </c>
      <c r="AS146" s="2" t="s">
        <v>24</v>
      </c>
      <c r="AT146" t="b">
        <v>1</v>
      </c>
      <c r="AV146" s="2"/>
      <c r="AW146">
        <v>45</v>
      </c>
      <c r="AX146">
        <v>1</v>
      </c>
      <c r="AY146">
        <v>130</v>
      </c>
      <c r="AZ146" t="s">
        <v>710</v>
      </c>
      <c r="BA146">
        <v>40</v>
      </c>
      <c r="BB146" s="2">
        <v>0.16</v>
      </c>
      <c r="BC146" t="s">
        <v>931</v>
      </c>
      <c r="BD146" t="s">
        <v>922</v>
      </c>
      <c r="BE146" t="s">
        <v>940</v>
      </c>
      <c r="BF146" s="7">
        <v>40</v>
      </c>
      <c r="BG1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46">
        <v>0</v>
      </c>
      <c r="BI146" t="s">
        <v>734</v>
      </c>
      <c r="BJ146" s="11"/>
      <c r="BK146" s="11"/>
      <c r="BL146" s="11">
        <v>28</v>
      </c>
      <c r="BM146">
        <v>0</v>
      </c>
      <c r="BN146" t="s">
        <v>692</v>
      </c>
      <c r="BO146" t="s">
        <v>694</v>
      </c>
      <c r="BP146" t="s">
        <v>701</v>
      </c>
      <c r="BQ146" t="s">
        <v>705</v>
      </c>
      <c r="BR146" t="s">
        <v>706</v>
      </c>
      <c r="BS146" t="s">
        <v>707</v>
      </c>
      <c r="CR146"/>
      <c r="CS146"/>
      <c r="CT146"/>
    </row>
    <row r="147" spans="1:98" x14ac:dyDescent="0.4">
      <c r="A147" s="2" t="s">
        <v>171</v>
      </c>
      <c r="B147" t="str">
        <f>_xlfn.TEXTAFTER(Table1[[#This Row],[VEHIDCODE]],"_")</f>
        <v>India_DHR_B</v>
      </c>
      <c r="C147" t="s">
        <v>739</v>
      </c>
      <c r="D147" t="b">
        <f>OR(ISNUMBER(SEARCH("wagon_",Table1[[#This Row],[FILENAMES_EXPECTED]])),ISNUMBER(SEARCH("coach_",Table1[[#This Row],[FILENAMES_EXPECTED]])))</f>
        <v>0</v>
      </c>
      <c r="E147" t="str">
        <f>"item_"&amp;Table1[[#This Row],[VEHIDCODE]]</f>
        <v>item_steam_India_DHR_B</v>
      </c>
      <c r="F147" t="str">
        <f>"str_"&amp;Table1[[#This Row],[VEHIDCODE]]</f>
        <v>str_steam_India_DHR_B</v>
      </c>
      <c r="X147" s="2" t="b">
        <v>1</v>
      </c>
      <c r="AJ147" s="2"/>
      <c r="AK147" s="2" t="b">
        <f>LEN(_xlfn.CONCAT(Table1[[#This Row],[TRACK_TYPE_STANDARD_GAUGE_RAILTYPE_OHLE]:[TRACK_TYPE_MTRO]]))&gt;0</f>
        <v>1</v>
      </c>
      <c r="AL147">
        <v>4</v>
      </c>
      <c r="AM147" t="s">
        <v>20</v>
      </c>
      <c r="AN147">
        <v>0</v>
      </c>
      <c r="AO147" t="s">
        <v>23</v>
      </c>
      <c r="AP147">
        <v>0</v>
      </c>
      <c r="AQ147">
        <v>1889</v>
      </c>
      <c r="AR147">
        <v>5</v>
      </c>
      <c r="AS147" s="2" t="s">
        <v>24</v>
      </c>
      <c r="AT147" t="b">
        <v>1</v>
      </c>
      <c r="AV147" s="2"/>
      <c r="AW147">
        <v>45</v>
      </c>
      <c r="AX147">
        <v>1</v>
      </c>
      <c r="AY147">
        <v>165</v>
      </c>
      <c r="AZ147" t="s">
        <v>710</v>
      </c>
      <c r="BA147">
        <v>42</v>
      </c>
      <c r="BB147" s="2">
        <v>0.18</v>
      </c>
      <c r="BC147" t="s">
        <v>931</v>
      </c>
      <c r="BD147" t="s">
        <v>922</v>
      </c>
      <c r="BE147" t="s">
        <v>940</v>
      </c>
      <c r="BF147" s="7">
        <v>40</v>
      </c>
      <c r="BG1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47">
        <v>0</v>
      </c>
      <c r="BI147" t="s">
        <v>734</v>
      </c>
      <c r="BJ147" s="11"/>
      <c r="BK147" s="11"/>
      <c r="BL147" s="11">
        <v>20</v>
      </c>
      <c r="BM147">
        <v>0</v>
      </c>
      <c r="BN147" t="s">
        <v>692</v>
      </c>
      <c r="BO147" t="s">
        <v>694</v>
      </c>
      <c r="BP147" t="s">
        <v>701</v>
      </c>
      <c r="BQ147" t="s">
        <v>705</v>
      </c>
      <c r="BR147" t="s">
        <v>706</v>
      </c>
      <c r="BS147" t="s">
        <v>707</v>
      </c>
      <c r="CR147"/>
      <c r="CS147"/>
      <c r="CT147"/>
    </row>
    <row r="148" spans="1:98" x14ac:dyDescent="0.4">
      <c r="A148" s="2" t="s">
        <v>172</v>
      </c>
      <c r="B148" t="str">
        <f>_xlfn.TEXTAFTER(Table1[[#This Row],[VEHIDCODE]],"_")</f>
        <v>China_China_Railways_H</v>
      </c>
      <c r="C148" t="s">
        <v>739</v>
      </c>
      <c r="D148" t="b">
        <f>OR(ISNUMBER(SEARCH("wagon_",Table1[[#This Row],[FILENAMES_EXPECTED]])),ISNUMBER(SEARCH("coach_",Table1[[#This Row],[FILENAMES_EXPECTED]])))</f>
        <v>0</v>
      </c>
      <c r="E148" t="str">
        <f>"item_"&amp;Table1[[#This Row],[VEHIDCODE]]</f>
        <v>item_steam_China_China_Railways_H</v>
      </c>
      <c r="F148" t="str">
        <f>"str_"&amp;Table1[[#This Row],[VEHIDCODE]]</f>
        <v>str_steam_China_China_Railways_H</v>
      </c>
      <c r="O148" s="2" t="b">
        <v>1</v>
      </c>
      <c r="AJ148" s="2"/>
      <c r="AK148" s="2" t="b">
        <f>LEN(_xlfn.CONCAT(Table1[[#This Row],[TRACK_TYPE_STANDARD_GAUGE_RAILTYPE_OHLE]:[TRACK_TYPE_MTRO]]))&gt;0</f>
        <v>1</v>
      </c>
      <c r="AL148">
        <v>6</v>
      </c>
      <c r="AM148" t="s">
        <v>20</v>
      </c>
      <c r="AN148">
        <v>0</v>
      </c>
      <c r="AO148" t="s">
        <v>23</v>
      </c>
      <c r="AP148">
        <v>0</v>
      </c>
      <c r="AQ148">
        <v>1895</v>
      </c>
      <c r="AR148">
        <v>5</v>
      </c>
      <c r="AS148" s="2" t="s">
        <v>24</v>
      </c>
      <c r="AT148" t="b">
        <v>1</v>
      </c>
      <c r="AV148" s="2"/>
      <c r="AW148">
        <v>45</v>
      </c>
      <c r="AX148">
        <v>1</v>
      </c>
      <c r="AY148">
        <v>720</v>
      </c>
      <c r="AZ148" t="s">
        <v>710</v>
      </c>
      <c r="BA148">
        <v>50</v>
      </c>
      <c r="BB148" s="2">
        <v>0.16</v>
      </c>
      <c r="BC148" t="s">
        <v>931</v>
      </c>
      <c r="BD148" t="s">
        <v>922</v>
      </c>
      <c r="BE148" t="s">
        <v>940</v>
      </c>
      <c r="BF148" s="7">
        <v>40</v>
      </c>
      <c r="BG1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48">
        <v>0</v>
      </c>
      <c r="BI148" t="s">
        <v>734</v>
      </c>
      <c r="BJ148" s="11"/>
      <c r="BK148" s="11"/>
      <c r="BL148" s="11">
        <v>58</v>
      </c>
      <c r="BM148">
        <v>0</v>
      </c>
      <c r="BN148" t="s">
        <v>692</v>
      </c>
      <c r="BO148" t="s">
        <v>694</v>
      </c>
      <c r="BP148" t="s">
        <v>701</v>
      </c>
      <c r="BQ148" t="s">
        <v>705</v>
      </c>
      <c r="BR148" t="s">
        <v>706</v>
      </c>
      <c r="BS148" t="s">
        <v>707</v>
      </c>
      <c r="CR148"/>
      <c r="CS148"/>
      <c r="CT148"/>
    </row>
    <row r="149" spans="1:98" x14ac:dyDescent="0.4">
      <c r="A149" s="2" t="s">
        <v>173</v>
      </c>
      <c r="B149" t="str">
        <f>_xlfn.TEXTAFTER(Table1[[#This Row],[VEHIDCODE]],"_")</f>
        <v>Russia_RZD_U</v>
      </c>
      <c r="C149" t="s">
        <v>739</v>
      </c>
      <c r="D149" t="b">
        <f>OR(ISNUMBER(SEARCH("wagon_",Table1[[#This Row],[FILENAMES_EXPECTED]])),ISNUMBER(SEARCH("coach_",Table1[[#This Row],[FILENAMES_EXPECTED]])))</f>
        <v>0</v>
      </c>
      <c r="E149" t="str">
        <f>"item_"&amp;Table1[[#This Row],[VEHIDCODE]]</f>
        <v>item_steam_Russia_RZD_U</v>
      </c>
      <c r="F149" t="str">
        <f>"str_"&amp;Table1[[#This Row],[VEHIDCODE]]</f>
        <v>str_steam_Russia_RZD_U</v>
      </c>
      <c r="AG149" s="2" t="b">
        <v>1</v>
      </c>
      <c r="AJ149" s="2"/>
      <c r="AK149" s="2" t="b">
        <f>LEN(_xlfn.CONCAT(Table1[[#This Row],[TRACK_TYPE_STANDARD_GAUGE_RAILTYPE_OHLE]:[TRACK_TYPE_MTRO]]))&gt;0</f>
        <v>1</v>
      </c>
      <c r="AL149">
        <v>6</v>
      </c>
      <c r="AM149" t="s">
        <v>20</v>
      </c>
      <c r="AN149">
        <v>0</v>
      </c>
      <c r="AO149" t="s">
        <v>23</v>
      </c>
      <c r="AP149">
        <v>0</v>
      </c>
      <c r="AQ149">
        <v>1906</v>
      </c>
      <c r="AR149">
        <v>5</v>
      </c>
      <c r="AS149" s="2" t="s">
        <v>24</v>
      </c>
      <c r="AT149" t="b">
        <v>1</v>
      </c>
      <c r="AV149" s="2"/>
      <c r="AW149">
        <v>45</v>
      </c>
      <c r="AX149">
        <v>1</v>
      </c>
      <c r="AY149">
        <v>820</v>
      </c>
      <c r="AZ149" t="s">
        <v>710</v>
      </c>
      <c r="BA149">
        <v>115</v>
      </c>
      <c r="BB149" s="2">
        <v>0.13</v>
      </c>
      <c r="BC149" t="s">
        <v>931</v>
      </c>
      <c r="BD149" t="s">
        <v>922</v>
      </c>
      <c r="BE149" t="s">
        <v>940</v>
      </c>
      <c r="BF149" s="7">
        <v>40</v>
      </c>
      <c r="BG1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49">
        <v>0</v>
      </c>
      <c r="BI149" t="s">
        <v>734</v>
      </c>
      <c r="BJ149" s="11"/>
      <c r="BK149" s="11"/>
      <c r="BL149" s="11">
        <v>72</v>
      </c>
      <c r="BM149">
        <v>0</v>
      </c>
      <c r="BN149" t="s">
        <v>692</v>
      </c>
      <c r="BO149" t="s">
        <v>694</v>
      </c>
      <c r="BP149" t="s">
        <v>701</v>
      </c>
      <c r="BQ149" t="s">
        <v>705</v>
      </c>
      <c r="BR149" t="s">
        <v>706</v>
      </c>
      <c r="BS149" t="s">
        <v>707</v>
      </c>
      <c r="CR149"/>
      <c r="CS149"/>
      <c r="CT149"/>
    </row>
    <row r="150" spans="1:98" x14ac:dyDescent="0.4">
      <c r="A150" s="2" t="s">
        <v>174</v>
      </c>
      <c r="B150" t="str">
        <f>_xlfn.TEXTAFTER(Table1[[#This Row],[VEHIDCODE]],"_")</f>
        <v>Russia_RZD_E</v>
      </c>
      <c r="C150" t="s">
        <v>739</v>
      </c>
      <c r="D150" t="b">
        <f>OR(ISNUMBER(SEARCH("wagon_",Table1[[#This Row],[FILENAMES_EXPECTED]])),ISNUMBER(SEARCH("coach_",Table1[[#This Row],[FILENAMES_EXPECTED]])))</f>
        <v>0</v>
      </c>
      <c r="E150" t="str">
        <f>"item_"&amp;Table1[[#This Row],[VEHIDCODE]]</f>
        <v>item_steam_Russia_RZD_E</v>
      </c>
      <c r="F150" t="str">
        <f>"str_"&amp;Table1[[#This Row],[VEHIDCODE]]</f>
        <v>str_steam_Russia_RZD_E</v>
      </c>
      <c r="AG150" s="2" t="b">
        <v>1</v>
      </c>
      <c r="AJ150" s="2"/>
      <c r="AK150" s="2" t="b">
        <f>LEN(_xlfn.CONCAT(Table1[[#This Row],[TRACK_TYPE_STANDARD_GAUGE_RAILTYPE_OHLE]:[TRACK_TYPE_MTRO]]))&gt;0</f>
        <v>1</v>
      </c>
      <c r="AL150">
        <v>6</v>
      </c>
      <c r="AM150" t="s">
        <v>20</v>
      </c>
      <c r="AN150">
        <v>0</v>
      </c>
      <c r="AO150" t="s">
        <v>23</v>
      </c>
      <c r="AP150">
        <v>0</v>
      </c>
      <c r="AQ150">
        <v>1912</v>
      </c>
      <c r="AR150">
        <v>5</v>
      </c>
      <c r="AS150" s="2" t="s">
        <v>24</v>
      </c>
      <c r="AT150" t="b">
        <v>1</v>
      </c>
      <c r="AV150" s="2"/>
      <c r="AW150">
        <v>45</v>
      </c>
      <c r="AX150">
        <v>1</v>
      </c>
      <c r="AY150">
        <v>920</v>
      </c>
      <c r="AZ150" t="s">
        <v>710</v>
      </c>
      <c r="BA150">
        <v>55</v>
      </c>
      <c r="BB150" s="2">
        <v>0.22</v>
      </c>
      <c r="BC150" t="s">
        <v>931</v>
      </c>
      <c r="BD150" t="s">
        <v>922</v>
      </c>
      <c r="BE150" t="s">
        <v>940</v>
      </c>
      <c r="BF150" s="7">
        <v>40</v>
      </c>
      <c r="BG1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50">
        <v>0</v>
      </c>
      <c r="BI150" t="s">
        <v>734</v>
      </c>
      <c r="BJ150" s="11"/>
      <c r="BK150" s="11"/>
      <c r="BL150" s="11">
        <v>82</v>
      </c>
      <c r="BM150">
        <v>0</v>
      </c>
      <c r="BN150" t="s">
        <v>692</v>
      </c>
      <c r="BO150" t="s">
        <v>694</v>
      </c>
      <c r="BP150" t="s">
        <v>701</v>
      </c>
      <c r="BQ150" t="s">
        <v>705</v>
      </c>
      <c r="BR150" t="s">
        <v>706</v>
      </c>
      <c r="BS150" t="s">
        <v>707</v>
      </c>
      <c r="CR150"/>
      <c r="CS150"/>
      <c r="CT150"/>
    </row>
    <row r="151" spans="1:98" x14ac:dyDescent="0.4">
      <c r="A151" s="2" t="s">
        <v>175</v>
      </c>
      <c r="B151" t="str">
        <f>_xlfn.TEXTAFTER(Table1[[#This Row],[VEHIDCODE]],"_")</f>
        <v>Israel_Israel_Railways_H</v>
      </c>
      <c r="C151" t="s">
        <v>739</v>
      </c>
      <c r="D151" t="b">
        <f>OR(ISNUMBER(SEARCH("wagon_",Table1[[#This Row],[FILENAMES_EXPECTED]])),ISNUMBER(SEARCH("coach_",Table1[[#This Row],[FILENAMES_EXPECTED]])))</f>
        <v>0</v>
      </c>
      <c r="E151" t="str">
        <f>"item_"&amp;Table1[[#This Row],[VEHIDCODE]]</f>
        <v>item_steam_Israel_Israel_Railways_H</v>
      </c>
      <c r="F151" t="str">
        <f>"str_"&amp;Table1[[#This Row],[VEHIDCODE]]</f>
        <v>str_steam_Israel_Israel_Railways_H</v>
      </c>
      <c r="O151" s="2" t="b">
        <v>1</v>
      </c>
      <c r="AJ151" s="2"/>
      <c r="AK151" s="2" t="b">
        <f>LEN(_xlfn.CONCAT(Table1[[#This Row],[TRACK_TYPE_STANDARD_GAUGE_RAILTYPE_OHLE]:[TRACK_TYPE_MTRO]]))&gt;0</f>
        <v>1</v>
      </c>
      <c r="AL151">
        <v>6</v>
      </c>
      <c r="AM151" t="s">
        <v>20</v>
      </c>
      <c r="AN151">
        <v>0</v>
      </c>
      <c r="AO151" t="s">
        <v>23</v>
      </c>
      <c r="AP151">
        <v>0</v>
      </c>
      <c r="AQ151">
        <v>1918</v>
      </c>
      <c r="AR151">
        <v>5</v>
      </c>
      <c r="AS151" s="2" t="s">
        <v>24</v>
      </c>
      <c r="AT151" t="b">
        <v>1</v>
      </c>
      <c r="AV151" s="2"/>
      <c r="AW151">
        <v>45</v>
      </c>
      <c r="AX151">
        <v>1</v>
      </c>
      <c r="AY151">
        <v>572</v>
      </c>
      <c r="AZ151" t="s">
        <v>710</v>
      </c>
      <c r="BA151">
        <v>68</v>
      </c>
      <c r="BB151" s="2">
        <v>0.09</v>
      </c>
      <c r="BC151" t="s">
        <v>931</v>
      </c>
      <c r="BD151" t="s">
        <v>922</v>
      </c>
      <c r="BE151" t="s">
        <v>940</v>
      </c>
      <c r="BF151" s="7">
        <v>40</v>
      </c>
      <c r="BG1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51">
        <v>0</v>
      </c>
      <c r="BI151" t="s">
        <v>734</v>
      </c>
      <c r="BJ151" s="11"/>
      <c r="BK151" s="11"/>
      <c r="BL151" s="11">
        <v>119</v>
      </c>
      <c r="BM151">
        <v>0</v>
      </c>
      <c r="BN151" t="s">
        <v>692</v>
      </c>
      <c r="BO151" t="s">
        <v>694</v>
      </c>
      <c r="BP151" t="s">
        <v>701</v>
      </c>
      <c r="BQ151" t="s">
        <v>705</v>
      </c>
      <c r="BR151" t="s">
        <v>706</v>
      </c>
      <c r="BS151" t="s">
        <v>707</v>
      </c>
      <c r="CR151"/>
      <c r="CS151"/>
      <c r="CT151"/>
    </row>
    <row r="152" spans="1:98" x14ac:dyDescent="0.4">
      <c r="A152" s="2" t="s">
        <v>176</v>
      </c>
      <c r="B152" t="str">
        <f>_xlfn.TEXTAFTER(Table1[[#This Row],[VEHIDCODE]],"_")</f>
        <v>Italy_FS_480</v>
      </c>
      <c r="C152" t="s">
        <v>739</v>
      </c>
      <c r="D152" t="b">
        <f>OR(ISNUMBER(SEARCH("wagon_",Table1[[#This Row],[FILENAMES_EXPECTED]])),ISNUMBER(SEARCH("coach_",Table1[[#This Row],[FILENAMES_EXPECTED]])))</f>
        <v>0</v>
      </c>
      <c r="E152" t="str">
        <f>"item_"&amp;Table1[[#This Row],[VEHIDCODE]]</f>
        <v>item_steam_Italy_FS_480</v>
      </c>
      <c r="F152" t="str">
        <f>"str_"&amp;Table1[[#This Row],[VEHIDCODE]]</f>
        <v>str_steam_Italy_FS_480</v>
      </c>
      <c r="O152" s="2" t="b">
        <v>1</v>
      </c>
      <c r="AJ152" s="2"/>
      <c r="AK152" s="2" t="b">
        <f>LEN(_xlfn.CONCAT(Table1[[#This Row],[TRACK_TYPE_STANDARD_GAUGE_RAILTYPE_OHLE]:[TRACK_TYPE_MTRO]]))&gt;0</f>
        <v>1</v>
      </c>
      <c r="AL152">
        <v>8</v>
      </c>
      <c r="AM152" t="s">
        <v>20</v>
      </c>
      <c r="AN152">
        <v>0</v>
      </c>
      <c r="AO152" t="s">
        <v>23</v>
      </c>
      <c r="AP152">
        <v>0</v>
      </c>
      <c r="AQ152">
        <v>1923</v>
      </c>
      <c r="AR152">
        <v>6</v>
      </c>
      <c r="AS152" s="2" t="s">
        <v>24</v>
      </c>
      <c r="AT152" t="b">
        <v>1</v>
      </c>
      <c r="AV152" s="2"/>
      <c r="AW152">
        <v>45</v>
      </c>
      <c r="AX152">
        <v>1</v>
      </c>
      <c r="AY152">
        <v>1500</v>
      </c>
      <c r="AZ152" t="s">
        <v>710</v>
      </c>
      <c r="BA152">
        <v>70</v>
      </c>
      <c r="BB152" s="2">
        <v>0.13</v>
      </c>
      <c r="BC152" t="s">
        <v>924</v>
      </c>
      <c r="BD152" t="s">
        <v>922</v>
      </c>
      <c r="BE152" t="s">
        <v>940</v>
      </c>
      <c r="BF152" s="7">
        <v>40</v>
      </c>
      <c r="BG1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52">
        <v>0</v>
      </c>
      <c r="BI152" t="s">
        <v>734</v>
      </c>
      <c r="BJ152" s="11"/>
      <c r="BK152" s="11"/>
      <c r="BL152" s="11">
        <v>134</v>
      </c>
      <c r="BM152">
        <v>0</v>
      </c>
      <c r="BN152" t="s">
        <v>692</v>
      </c>
      <c r="BO152" t="s">
        <v>694</v>
      </c>
      <c r="BP152" t="s">
        <v>701</v>
      </c>
      <c r="BQ152" t="s">
        <v>705</v>
      </c>
      <c r="BR152" t="s">
        <v>706</v>
      </c>
      <c r="BS152" t="s">
        <v>707</v>
      </c>
      <c r="CR152"/>
      <c r="CS152"/>
      <c r="CT152"/>
    </row>
    <row r="153" spans="1:98" x14ac:dyDescent="0.4">
      <c r="A153" s="2" t="s">
        <v>177</v>
      </c>
      <c r="B153" t="str">
        <f>_xlfn.TEXTAFTER(Table1[[#This Row],[VEHIDCODE]],"_")</f>
        <v>Italy_FS_691</v>
      </c>
      <c r="C153" t="s">
        <v>739</v>
      </c>
      <c r="D153" t="b">
        <f>OR(ISNUMBER(SEARCH("wagon_",Table1[[#This Row],[FILENAMES_EXPECTED]])),ISNUMBER(SEARCH("coach_",Table1[[#This Row],[FILENAMES_EXPECTED]])))</f>
        <v>0</v>
      </c>
      <c r="E153" t="str">
        <f>"item_"&amp;Table1[[#This Row],[VEHIDCODE]]</f>
        <v>item_steam_Italy_FS_691</v>
      </c>
      <c r="F153" t="str">
        <f>"str_"&amp;Table1[[#This Row],[VEHIDCODE]]</f>
        <v>str_steam_Italy_FS_691</v>
      </c>
      <c r="O153" s="2" t="b">
        <v>1</v>
      </c>
      <c r="AJ153" s="2"/>
      <c r="AK153" s="2" t="b">
        <f>LEN(_xlfn.CONCAT(Table1[[#This Row],[TRACK_TYPE_STANDARD_GAUGE_RAILTYPE_OHLE]:[TRACK_TYPE_MTRO]]))&gt;0</f>
        <v>1</v>
      </c>
      <c r="AL153">
        <v>8</v>
      </c>
      <c r="AM153" t="s">
        <v>20</v>
      </c>
      <c r="AN153">
        <v>0</v>
      </c>
      <c r="AO153" t="s">
        <v>23</v>
      </c>
      <c r="AP153">
        <v>0</v>
      </c>
      <c r="AQ153">
        <v>1928</v>
      </c>
      <c r="AR153">
        <v>6</v>
      </c>
      <c r="AS153" s="2" t="s">
        <v>24</v>
      </c>
      <c r="AT153" t="b">
        <v>1</v>
      </c>
      <c r="AV153" s="2"/>
      <c r="AW153">
        <v>45</v>
      </c>
      <c r="AX153">
        <v>1</v>
      </c>
      <c r="AY153">
        <v>1820</v>
      </c>
      <c r="AZ153" t="s">
        <v>710</v>
      </c>
      <c r="BA153">
        <v>130</v>
      </c>
      <c r="BB153" s="2">
        <v>0.1</v>
      </c>
      <c r="BC153" t="s">
        <v>924</v>
      </c>
      <c r="BD153" t="s">
        <v>922</v>
      </c>
      <c r="BE153" t="s">
        <v>940</v>
      </c>
      <c r="BF153" s="7">
        <v>40</v>
      </c>
      <c r="BG1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53">
        <v>0</v>
      </c>
      <c r="BI153" t="s">
        <v>734</v>
      </c>
      <c r="BJ153" s="11"/>
      <c r="BK153" s="11"/>
      <c r="BL153" s="11">
        <v>144</v>
      </c>
      <c r="BM153">
        <v>0</v>
      </c>
      <c r="BN153" t="s">
        <v>692</v>
      </c>
      <c r="BO153" t="s">
        <v>694</v>
      </c>
      <c r="BP153" t="s">
        <v>701</v>
      </c>
      <c r="BQ153" t="s">
        <v>705</v>
      </c>
      <c r="BR153" t="s">
        <v>706</v>
      </c>
      <c r="BS153" t="s">
        <v>707</v>
      </c>
      <c r="CR153"/>
      <c r="CS153"/>
      <c r="CT153"/>
    </row>
    <row r="154" spans="1:98" x14ac:dyDescent="0.4">
      <c r="A154" s="2" t="s">
        <v>178</v>
      </c>
      <c r="B154" t="str">
        <f>_xlfn.TEXTAFTER(Table1[[#This Row],[VEHIDCODE]],"_")</f>
        <v>Greece_SEK_Lb</v>
      </c>
      <c r="C154" t="s">
        <v>739</v>
      </c>
      <c r="D154" t="b">
        <f>OR(ISNUMBER(SEARCH("wagon_",Table1[[#This Row],[FILENAMES_EXPECTED]])),ISNUMBER(SEARCH("coach_",Table1[[#This Row],[FILENAMES_EXPECTED]])))</f>
        <v>0</v>
      </c>
      <c r="E154" t="str">
        <f>"item_"&amp;Table1[[#This Row],[VEHIDCODE]]</f>
        <v>item_steam_Greece_SEK_Lb</v>
      </c>
      <c r="F154" t="str">
        <f>"str_"&amp;Table1[[#This Row],[VEHIDCODE]]</f>
        <v>str_steam_Greece_SEK_Lb</v>
      </c>
      <c r="O154" s="2" t="b">
        <v>1</v>
      </c>
      <c r="AJ154" s="2"/>
      <c r="AK154" s="2" t="b">
        <f>LEN(_xlfn.CONCAT(Table1[[#This Row],[TRACK_TYPE_STANDARD_GAUGE_RAILTYPE_OHLE]:[TRACK_TYPE_MTRO]]))&gt;0</f>
        <v>1</v>
      </c>
      <c r="AL154">
        <v>8</v>
      </c>
      <c r="AM154" t="s">
        <v>20</v>
      </c>
      <c r="AN154">
        <v>0</v>
      </c>
      <c r="AO154" t="s">
        <v>23</v>
      </c>
      <c r="AP154">
        <v>0</v>
      </c>
      <c r="AQ154">
        <v>1943</v>
      </c>
      <c r="AR154">
        <v>7</v>
      </c>
      <c r="AS154" s="2" t="s">
        <v>24</v>
      </c>
      <c r="AT154" t="b">
        <v>1</v>
      </c>
      <c r="AV154" s="2"/>
      <c r="AW154">
        <v>45</v>
      </c>
      <c r="AX154">
        <v>1</v>
      </c>
      <c r="AY154">
        <v>1250</v>
      </c>
      <c r="AZ154" t="s">
        <v>710</v>
      </c>
      <c r="BA154">
        <v>65</v>
      </c>
      <c r="BB154" s="2">
        <v>0.11</v>
      </c>
      <c r="BC154" t="s">
        <v>924</v>
      </c>
      <c r="BD154" t="s">
        <v>922</v>
      </c>
      <c r="BE154" t="s">
        <v>940</v>
      </c>
      <c r="BF154" s="7">
        <v>40</v>
      </c>
      <c r="BG1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54">
        <v>0</v>
      </c>
      <c r="BI154" t="s">
        <v>734</v>
      </c>
      <c r="BJ154" s="11"/>
      <c r="BK154" s="11"/>
      <c r="BL154" s="11">
        <v>136</v>
      </c>
      <c r="BM154">
        <v>0</v>
      </c>
      <c r="BN154" t="s">
        <v>692</v>
      </c>
      <c r="BO154" t="s">
        <v>694</v>
      </c>
      <c r="BP154" t="s">
        <v>701</v>
      </c>
      <c r="BQ154" t="s">
        <v>705</v>
      </c>
      <c r="BR154" t="s">
        <v>706</v>
      </c>
      <c r="BS154" t="s">
        <v>707</v>
      </c>
      <c r="CR154"/>
      <c r="CS154"/>
      <c r="CT154"/>
    </row>
    <row r="155" spans="1:98" x14ac:dyDescent="0.4">
      <c r="A155" s="2" t="s">
        <v>179</v>
      </c>
      <c r="B155" t="str">
        <f>_xlfn.TEXTAFTER(Table1[[#This Row],[VEHIDCODE]],"_")</f>
        <v>Albania_HSH_01</v>
      </c>
      <c r="C155" t="s">
        <v>739</v>
      </c>
      <c r="D155" t="b">
        <f>OR(ISNUMBER(SEARCH("wagon_",Table1[[#This Row],[FILENAMES_EXPECTED]])),ISNUMBER(SEARCH("coach_",Table1[[#This Row],[FILENAMES_EXPECTED]])))</f>
        <v>0</v>
      </c>
      <c r="E155" t="str">
        <f>"item_"&amp;Table1[[#This Row],[VEHIDCODE]]</f>
        <v>item_steam_Albania_HSH_01</v>
      </c>
      <c r="F155" t="str">
        <f>"str_"&amp;Table1[[#This Row],[VEHIDCODE]]</f>
        <v>str_steam_Albania_HSH_01</v>
      </c>
      <c r="O155" s="2" t="b">
        <v>1</v>
      </c>
      <c r="AJ155" s="2"/>
      <c r="AK155" s="2" t="b">
        <f>LEN(_xlfn.CONCAT(Table1[[#This Row],[TRACK_TYPE_STANDARD_GAUGE_RAILTYPE_OHLE]:[TRACK_TYPE_MTRO]]))&gt;0</f>
        <v>1</v>
      </c>
      <c r="AL155">
        <v>5</v>
      </c>
      <c r="AM155" t="s">
        <v>20</v>
      </c>
      <c r="AN155">
        <v>0</v>
      </c>
      <c r="AO155" t="s">
        <v>23</v>
      </c>
      <c r="AP155">
        <v>0</v>
      </c>
      <c r="AQ155">
        <v>1951</v>
      </c>
      <c r="AR155">
        <v>5</v>
      </c>
      <c r="AS155" s="2" t="s">
        <v>24</v>
      </c>
      <c r="AT155" t="b">
        <v>1</v>
      </c>
      <c r="AV155" s="2"/>
      <c r="AW155">
        <v>45</v>
      </c>
      <c r="AX155">
        <v>1</v>
      </c>
      <c r="AY155">
        <v>1060</v>
      </c>
      <c r="AZ155" t="s">
        <v>710</v>
      </c>
      <c r="BA155">
        <v>80</v>
      </c>
      <c r="BB155" s="2">
        <v>0.14000000000000001</v>
      </c>
      <c r="BC155" t="s">
        <v>924</v>
      </c>
      <c r="BD155" t="s">
        <v>922</v>
      </c>
      <c r="BE155" t="s">
        <v>940</v>
      </c>
      <c r="BF155" s="7">
        <v>40</v>
      </c>
      <c r="BG1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55">
        <v>0</v>
      </c>
      <c r="BI155" t="s">
        <v>734</v>
      </c>
      <c r="BJ155" s="11"/>
      <c r="BK155" s="11"/>
      <c r="BL155" s="11">
        <v>78</v>
      </c>
      <c r="BM155">
        <v>0</v>
      </c>
      <c r="BN155" t="s">
        <v>692</v>
      </c>
      <c r="BO155" t="s">
        <v>694</v>
      </c>
      <c r="BP155" t="s">
        <v>701</v>
      </c>
      <c r="BQ155" t="s">
        <v>705</v>
      </c>
      <c r="BR155" t="s">
        <v>706</v>
      </c>
      <c r="BS155" t="s">
        <v>707</v>
      </c>
      <c r="CR155"/>
      <c r="CS155"/>
      <c r="CT155"/>
    </row>
    <row r="156" spans="1:98" x14ac:dyDescent="0.4">
      <c r="A156" s="2" t="s">
        <v>180</v>
      </c>
      <c r="B156" t="str">
        <f>_xlfn.TEXTAFTER(Table1[[#This Row],[VEHIDCODE]],"_")</f>
        <v>Spain_RENFE_242F</v>
      </c>
      <c r="C156" t="s">
        <v>739</v>
      </c>
      <c r="D156" t="b">
        <f>OR(ISNUMBER(SEARCH("wagon_",Table1[[#This Row],[FILENAMES_EXPECTED]])),ISNUMBER(SEARCH("coach_",Table1[[#This Row],[FILENAMES_EXPECTED]])))</f>
        <v>0</v>
      </c>
      <c r="E156" t="str">
        <f>"item_"&amp;Table1[[#This Row],[VEHIDCODE]]</f>
        <v>item_steam_Spain_RENFE_242F</v>
      </c>
      <c r="F156" t="str">
        <f>"str_"&amp;Table1[[#This Row],[VEHIDCODE]]</f>
        <v>str_steam_Spain_RENFE_242F</v>
      </c>
      <c r="O156" s="2" t="b">
        <v>1</v>
      </c>
      <c r="AJ156" s="2"/>
      <c r="AK156" s="2" t="b">
        <f>LEN(_xlfn.CONCAT(Table1[[#This Row],[TRACK_TYPE_STANDARD_GAUGE_RAILTYPE_OHLE]:[TRACK_TYPE_MTRO]]))&gt;0</f>
        <v>1</v>
      </c>
      <c r="AL156">
        <v>10</v>
      </c>
      <c r="AM156" t="s">
        <v>20</v>
      </c>
      <c r="AN156">
        <v>0</v>
      </c>
      <c r="AO156" t="s">
        <v>23</v>
      </c>
      <c r="AP156">
        <v>0</v>
      </c>
      <c r="AQ156">
        <v>1955</v>
      </c>
      <c r="AR156">
        <v>8</v>
      </c>
      <c r="AS156" s="2" t="s">
        <v>24</v>
      </c>
      <c r="AT156" t="b">
        <v>1</v>
      </c>
      <c r="AV156" s="2"/>
      <c r="AW156">
        <v>45</v>
      </c>
      <c r="AX156">
        <v>1</v>
      </c>
      <c r="AY156">
        <v>2780</v>
      </c>
      <c r="AZ156" t="s">
        <v>710</v>
      </c>
      <c r="BA156">
        <v>150</v>
      </c>
      <c r="BB156" s="2">
        <v>0.11</v>
      </c>
      <c r="BC156" t="s">
        <v>924</v>
      </c>
      <c r="BD156" t="s">
        <v>922</v>
      </c>
      <c r="BE156" t="s">
        <v>940</v>
      </c>
      <c r="BF156" s="7">
        <v>40</v>
      </c>
      <c r="BG1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56">
        <v>0</v>
      </c>
      <c r="BI156" t="s">
        <v>734</v>
      </c>
      <c r="BJ156" s="11"/>
      <c r="BK156" s="11"/>
      <c r="BL156" s="11">
        <v>143</v>
      </c>
      <c r="BM156">
        <v>0</v>
      </c>
      <c r="BN156" t="s">
        <v>692</v>
      </c>
      <c r="BO156" t="s">
        <v>694</v>
      </c>
      <c r="BP156" t="s">
        <v>701</v>
      </c>
      <c r="BQ156" t="s">
        <v>705</v>
      </c>
      <c r="BR156" t="s">
        <v>706</v>
      </c>
      <c r="BS156" t="s">
        <v>707</v>
      </c>
      <c r="CR156"/>
      <c r="CS156"/>
      <c r="CT156"/>
    </row>
    <row r="157" spans="1:98" x14ac:dyDescent="0.4">
      <c r="A157" s="2" t="s">
        <v>181</v>
      </c>
      <c r="B157" t="str">
        <f>_xlfn.TEXTAFTER(Table1[[#This Row],[VEHIDCODE]],"_")</f>
        <v>Czech_Republic_CD_5341</v>
      </c>
      <c r="C157" t="s">
        <v>739</v>
      </c>
      <c r="D157" t="b">
        <f>OR(ISNUMBER(SEARCH("wagon_",Table1[[#This Row],[FILENAMES_EXPECTED]])),ISNUMBER(SEARCH("coach_",Table1[[#This Row],[FILENAMES_EXPECTED]])))</f>
        <v>0</v>
      </c>
      <c r="E157" t="str">
        <f>"item_"&amp;Table1[[#This Row],[VEHIDCODE]]</f>
        <v>item_steam_Czech_Republic_CD_5341</v>
      </c>
      <c r="F157" t="str">
        <f>"str_"&amp;Table1[[#This Row],[VEHIDCODE]]</f>
        <v>str_steam_Czech_Republic_CD_5341</v>
      </c>
      <c r="O157" s="2" t="b">
        <v>1</v>
      </c>
      <c r="AJ157" s="2"/>
      <c r="AK157" s="2" t="b">
        <f>LEN(_xlfn.CONCAT(Table1[[#This Row],[TRACK_TYPE_STANDARD_GAUGE_RAILTYPE_OHLE]:[TRACK_TYPE_MTRO]]))&gt;0</f>
        <v>1</v>
      </c>
      <c r="AL157">
        <v>6</v>
      </c>
      <c r="AM157" t="s">
        <v>20</v>
      </c>
      <c r="AN157">
        <v>0</v>
      </c>
      <c r="AO157" t="s">
        <v>23</v>
      </c>
      <c r="AP157">
        <v>0</v>
      </c>
      <c r="AQ157">
        <v>1910</v>
      </c>
      <c r="AR157">
        <v>7</v>
      </c>
      <c r="AS157" s="2" t="s">
        <v>24</v>
      </c>
      <c r="AT157" t="b">
        <v>1</v>
      </c>
      <c r="AV157" s="2"/>
      <c r="AW157">
        <v>45</v>
      </c>
      <c r="AX157">
        <v>0</v>
      </c>
      <c r="AY157">
        <v>1100</v>
      </c>
      <c r="AZ157" t="s">
        <v>710</v>
      </c>
      <c r="BA157">
        <v>60</v>
      </c>
      <c r="BB157" s="2">
        <v>0.31</v>
      </c>
      <c r="BC157" t="s">
        <v>929</v>
      </c>
      <c r="BD157" t="s">
        <v>922</v>
      </c>
      <c r="BE157" t="s">
        <v>940</v>
      </c>
      <c r="BF157" s="7">
        <v>40</v>
      </c>
      <c r="BG1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57">
        <v>0</v>
      </c>
      <c r="BI157" t="s">
        <v>734</v>
      </c>
      <c r="BJ157" s="11"/>
      <c r="BK157" s="11"/>
      <c r="BL157" s="11">
        <v>107</v>
      </c>
      <c r="BM157">
        <v>0</v>
      </c>
      <c r="BN157" t="s">
        <v>692</v>
      </c>
      <c r="BO157" t="s">
        <v>694</v>
      </c>
      <c r="BP157" t="s">
        <v>701</v>
      </c>
      <c r="BQ157" t="s">
        <v>705</v>
      </c>
      <c r="BR157" t="s">
        <v>706</v>
      </c>
      <c r="BS157" t="s">
        <v>707</v>
      </c>
      <c r="CR157"/>
      <c r="CS157"/>
      <c r="CT157"/>
    </row>
    <row r="158" spans="1:98" x14ac:dyDescent="0.4">
      <c r="A158" s="2" t="s">
        <v>182</v>
      </c>
      <c r="B158" t="str">
        <f>_xlfn.TEXTAFTER(Table1[[#This Row],[VEHIDCODE]],"_")</f>
        <v>Poland_PKP_Ok22</v>
      </c>
      <c r="C158" t="s">
        <v>739</v>
      </c>
      <c r="D158" t="b">
        <f>OR(ISNUMBER(SEARCH("wagon_",Table1[[#This Row],[FILENAMES_EXPECTED]])),ISNUMBER(SEARCH("coach_",Table1[[#This Row],[FILENAMES_EXPECTED]])))</f>
        <v>0</v>
      </c>
      <c r="E158" t="str">
        <f>"item_"&amp;Table1[[#This Row],[VEHIDCODE]]</f>
        <v>item_steam_Poland_PKP_Ok22</v>
      </c>
      <c r="F158" t="str">
        <f>"str_"&amp;Table1[[#This Row],[VEHIDCODE]]</f>
        <v>str_steam_Poland_PKP_Ok22</v>
      </c>
      <c r="O158" s="2" t="b">
        <v>1</v>
      </c>
      <c r="AJ158" s="2"/>
      <c r="AK158" s="2" t="b">
        <f>LEN(_xlfn.CONCAT(Table1[[#This Row],[TRACK_TYPE_STANDARD_GAUGE_RAILTYPE_OHLE]:[TRACK_TYPE_MTRO]]))&gt;0</f>
        <v>1</v>
      </c>
      <c r="AL158">
        <v>6</v>
      </c>
      <c r="AM158" t="s">
        <v>20</v>
      </c>
      <c r="AN158">
        <v>0</v>
      </c>
      <c r="AO158" t="s">
        <v>23</v>
      </c>
      <c r="AP158">
        <v>0</v>
      </c>
      <c r="AQ158">
        <v>1923</v>
      </c>
      <c r="AR158">
        <v>6</v>
      </c>
      <c r="AS158" s="2" t="s">
        <v>24</v>
      </c>
      <c r="AT158" t="b">
        <v>1</v>
      </c>
      <c r="AV158" s="2"/>
      <c r="AW158">
        <v>45</v>
      </c>
      <c r="AX158">
        <v>1</v>
      </c>
      <c r="AY158">
        <v>980</v>
      </c>
      <c r="AZ158" t="s">
        <v>710</v>
      </c>
      <c r="BA158">
        <v>100</v>
      </c>
      <c r="BB158" s="2">
        <v>0.06</v>
      </c>
      <c r="BC158" t="s">
        <v>929</v>
      </c>
      <c r="BD158" t="s">
        <v>922</v>
      </c>
      <c r="BE158" t="s">
        <v>940</v>
      </c>
      <c r="BF158" s="7">
        <v>40</v>
      </c>
      <c r="BG1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58">
        <v>0</v>
      </c>
      <c r="BI158" t="s">
        <v>734</v>
      </c>
      <c r="BJ158" s="11"/>
      <c r="BK158" s="11"/>
      <c r="BL158" s="11">
        <v>133</v>
      </c>
      <c r="BM158">
        <v>0</v>
      </c>
      <c r="BN158" t="s">
        <v>692</v>
      </c>
      <c r="BO158" t="s">
        <v>694</v>
      </c>
      <c r="BP158" t="s">
        <v>701</v>
      </c>
      <c r="BQ158" t="s">
        <v>705</v>
      </c>
      <c r="BR158" t="s">
        <v>706</v>
      </c>
      <c r="BS158" t="s">
        <v>707</v>
      </c>
      <c r="CR158"/>
      <c r="CS158"/>
      <c r="CT158"/>
    </row>
    <row r="159" spans="1:98" x14ac:dyDescent="0.4">
      <c r="A159" s="2" t="s">
        <v>183</v>
      </c>
      <c r="B159" t="str">
        <f>_xlfn.TEXTAFTER(Table1[[#This Row],[VEHIDCODE]],"_")</f>
        <v>Croatia_HZ_11</v>
      </c>
      <c r="C159" t="s">
        <v>739</v>
      </c>
      <c r="D159" t="b">
        <f>OR(ISNUMBER(SEARCH("wagon_",Table1[[#This Row],[FILENAMES_EXPECTED]])),ISNUMBER(SEARCH("coach_",Table1[[#This Row],[FILENAMES_EXPECTED]])))</f>
        <v>0</v>
      </c>
      <c r="E159" t="str">
        <f>"item_"&amp;Table1[[#This Row],[VEHIDCODE]]</f>
        <v>item_steam_Croatia_HZ_11</v>
      </c>
      <c r="F159" t="str">
        <f>"str_"&amp;Table1[[#This Row],[VEHIDCODE]]</f>
        <v>str_steam_Croatia_HZ_11</v>
      </c>
      <c r="O159" s="2" t="b">
        <v>1</v>
      </c>
      <c r="AJ159" s="2"/>
      <c r="AK159" s="2" t="b">
        <f>LEN(_xlfn.CONCAT(Table1[[#This Row],[TRACK_TYPE_STANDARD_GAUGE_RAILTYPE_OHLE]:[TRACK_TYPE_MTRO]]))&gt;0</f>
        <v>1</v>
      </c>
      <c r="AL159">
        <v>8</v>
      </c>
      <c r="AM159" t="s">
        <v>20</v>
      </c>
      <c r="AN159">
        <v>0</v>
      </c>
      <c r="AO159" t="s">
        <v>23</v>
      </c>
      <c r="AP159">
        <v>0</v>
      </c>
      <c r="AQ159">
        <v>1924</v>
      </c>
      <c r="AR159">
        <v>7</v>
      </c>
      <c r="AS159" s="2" t="s">
        <v>24</v>
      </c>
      <c r="AT159" t="b">
        <v>1</v>
      </c>
      <c r="AV159" s="2"/>
      <c r="AW159">
        <v>45</v>
      </c>
      <c r="AX159">
        <v>1</v>
      </c>
      <c r="AY159">
        <v>1160</v>
      </c>
      <c r="AZ159" t="s">
        <v>710</v>
      </c>
      <c r="BA159">
        <v>90</v>
      </c>
      <c r="BB159" s="2">
        <v>0.13</v>
      </c>
      <c r="BC159" t="s">
        <v>929</v>
      </c>
      <c r="BD159" t="s">
        <v>922</v>
      </c>
      <c r="BE159" t="s">
        <v>940</v>
      </c>
      <c r="BF159" s="7">
        <v>40</v>
      </c>
      <c r="BG1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59">
        <v>0</v>
      </c>
      <c r="BI159" t="s">
        <v>734</v>
      </c>
      <c r="BJ159" s="11"/>
      <c r="BK159" s="11"/>
      <c r="BL159" s="11">
        <v>137</v>
      </c>
      <c r="BM159">
        <v>0</v>
      </c>
      <c r="BN159" t="s">
        <v>692</v>
      </c>
      <c r="BO159" t="s">
        <v>694</v>
      </c>
      <c r="BP159" t="s">
        <v>701</v>
      </c>
      <c r="BQ159" t="s">
        <v>705</v>
      </c>
      <c r="BR159" t="s">
        <v>706</v>
      </c>
      <c r="BS159" t="s">
        <v>707</v>
      </c>
      <c r="CR159"/>
      <c r="CS159"/>
      <c r="CT159"/>
    </row>
    <row r="160" spans="1:98" x14ac:dyDescent="0.4">
      <c r="A160" s="2" t="s">
        <v>184</v>
      </c>
      <c r="B160" t="str">
        <f>_xlfn.TEXTAFTER(Table1[[#This Row],[VEHIDCODE]],"_")</f>
        <v>Hungary_MAV_242</v>
      </c>
      <c r="C160" t="s">
        <v>739</v>
      </c>
      <c r="D160" t="b">
        <f>OR(ISNUMBER(SEARCH("wagon_",Table1[[#This Row],[FILENAMES_EXPECTED]])),ISNUMBER(SEARCH("coach_",Table1[[#This Row],[FILENAMES_EXPECTED]])))</f>
        <v>0</v>
      </c>
      <c r="E160" t="str">
        <f>"item_"&amp;Table1[[#This Row],[VEHIDCODE]]</f>
        <v>item_steam_Hungary_MAV_242</v>
      </c>
      <c r="F160" t="str">
        <f>"str_"&amp;Table1[[#This Row],[VEHIDCODE]]</f>
        <v>str_steam_Hungary_MAV_242</v>
      </c>
      <c r="O160" s="2" t="b">
        <v>1</v>
      </c>
      <c r="AJ160" s="2"/>
      <c r="AK160" s="2" t="b">
        <f>LEN(_xlfn.CONCAT(Table1[[#This Row],[TRACK_TYPE_STANDARD_GAUGE_RAILTYPE_OHLE]:[TRACK_TYPE_MTRO]]))&gt;0</f>
        <v>1</v>
      </c>
      <c r="AL160">
        <v>7</v>
      </c>
      <c r="AM160" t="s">
        <v>20</v>
      </c>
      <c r="AN160">
        <v>0</v>
      </c>
      <c r="AO160" t="s">
        <v>23</v>
      </c>
      <c r="AP160">
        <v>0</v>
      </c>
      <c r="AQ160">
        <v>1936</v>
      </c>
      <c r="AR160">
        <v>7</v>
      </c>
      <c r="AS160" s="2" t="s">
        <v>24</v>
      </c>
      <c r="AT160" t="b">
        <v>1</v>
      </c>
      <c r="AV160" s="2"/>
      <c r="AW160">
        <v>45</v>
      </c>
      <c r="AX160">
        <v>1</v>
      </c>
      <c r="AY160">
        <v>618</v>
      </c>
      <c r="AZ160" t="s">
        <v>710</v>
      </c>
      <c r="BA160">
        <v>120</v>
      </c>
      <c r="BB160" s="2">
        <v>0.08</v>
      </c>
      <c r="BC160" t="s">
        <v>929</v>
      </c>
      <c r="BD160" t="s">
        <v>922</v>
      </c>
      <c r="BE160" t="s">
        <v>940</v>
      </c>
      <c r="BF160" s="7">
        <v>40</v>
      </c>
      <c r="BG1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60">
        <v>0</v>
      </c>
      <c r="BI160" t="s">
        <v>734</v>
      </c>
      <c r="BJ160" s="11"/>
      <c r="BK160" s="11"/>
      <c r="BL160" s="11">
        <v>85</v>
      </c>
      <c r="BM160">
        <v>0</v>
      </c>
      <c r="BN160" t="s">
        <v>692</v>
      </c>
      <c r="BO160" t="s">
        <v>694</v>
      </c>
      <c r="BP160" t="s">
        <v>701</v>
      </c>
      <c r="BQ160" t="s">
        <v>705</v>
      </c>
      <c r="BR160" t="s">
        <v>706</v>
      </c>
      <c r="BS160" t="s">
        <v>707</v>
      </c>
      <c r="CR160"/>
      <c r="CS160"/>
      <c r="CT160"/>
    </row>
    <row r="161" spans="1:98" x14ac:dyDescent="0.4">
      <c r="A161" s="2" t="s">
        <v>185</v>
      </c>
      <c r="B161" t="str">
        <f>_xlfn.TEXTAFTER(Table1[[#This Row],[VEHIDCODE]],"_")</f>
        <v>Czech_Republic_CD_4590</v>
      </c>
      <c r="C161" t="s">
        <v>739</v>
      </c>
      <c r="D161" t="b">
        <f>OR(ISNUMBER(SEARCH("wagon_",Table1[[#This Row],[FILENAMES_EXPECTED]])),ISNUMBER(SEARCH("coach_",Table1[[#This Row],[FILENAMES_EXPECTED]])))</f>
        <v>0</v>
      </c>
      <c r="E161" t="str">
        <f>"item_"&amp;Table1[[#This Row],[VEHIDCODE]]</f>
        <v>item_steam_Czech_Republic_CD_4590</v>
      </c>
      <c r="F161" t="str">
        <f>"str_"&amp;Table1[[#This Row],[VEHIDCODE]]</f>
        <v>str_steam_Czech_Republic_CD_4590</v>
      </c>
      <c r="O161" s="2" t="b">
        <v>1</v>
      </c>
      <c r="AJ161" s="2"/>
      <c r="AK161" s="2" t="b">
        <f>LEN(_xlfn.CONCAT(Table1[[#This Row],[TRACK_TYPE_STANDARD_GAUGE_RAILTYPE_OHLE]:[TRACK_TYPE_MTRO]]))&gt;0</f>
        <v>1</v>
      </c>
      <c r="AL161">
        <v>6</v>
      </c>
      <c r="AM161" t="s">
        <v>20</v>
      </c>
      <c r="AN161">
        <v>0</v>
      </c>
      <c r="AO161" t="s">
        <v>23</v>
      </c>
      <c r="AP161">
        <v>0</v>
      </c>
      <c r="AQ161">
        <v>1946</v>
      </c>
      <c r="AR161">
        <v>5</v>
      </c>
      <c r="AS161" s="2" t="s">
        <v>24</v>
      </c>
      <c r="AT161" t="b">
        <v>1</v>
      </c>
      <c r="AV161" s="2"/>
      <c r="AW161">
        <v>45</v>
      </c>
      <c r="AX161">
        <v>0</v>
      </c>
      <c r="AY161">
        <v>1857</v>
      </c>
      <c r="AZ161" t="s">
        <v>710</v>
      </c>
      <c r="BA161">
        <v>80</v>
      </c>
      <c r="BB161" s="2">
        <v>0.2</v>
      </c>
      <c r="BC161" t="s">
        <v>929</v>
      </c>
      <c r="BD161" t="s">
        <v>922</v>
      </c>
      <c r="BE161" t="s">
        <v>940</v>
      </c>
      <c r="BF161" s="7">
        <v>40</v>
      </c>
      <c r="BG1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61">
        <v>0</v>
      </c>
      <c r="BI161" t="s">
        <v>734</v>
      </c>
      <c r="BJ161" s="11"/>
      <c r="BK161" s="11"/>
      <c r="BL161" s="11">
        <v>103</v>
      </c>
      <c r="BM161">
        <v>0</v>
      </c>
      <c r="BN161" t="s">
        <v>692</v>
      </c>
      <c r="BO161" t="s">
        <v>694</v>
      </c>
      <c r="BP161" t="s">
        <v>701</v>
      </c>
      <c r="BQ161" t="s">
        <v>705</v>
      </c>
      <c r="BR161" t="s">
        <v>706</v>
      </c>
      <c r="BS161" t="s">
        <v>707</v>
      </c>
      <c r="CR161"/>
      <c r="CS161"/>
      <c r="CT161"/>
    </row>
    <row r="162" spans="1:98" x14ac:dyDescent="0.4">
      <c r="A162" s="2" t="s">
        <v>186</v>
      </c>
      <c r="B162" t="str">
        <f>_xlfn.TEXTAFTER(Table1[[#This Row],[VEHIDCODE]],"_")</f>
        <v>Poland_PKP_OI49</v>
      </c>
      <c r="C162" t="s">
        <v>739</v>
      </c>
      <c r="D162" t="b">
        <f>OR(ISNUMBER(SEARCH("wagon_",Table1[[#This Row],[FILENAMES_EXPECTED]])),ISNUMBER(SEARCH("coach_",Table1[[#This Row],[FILENAMES_EXPECTED]])))</f>
        <v>0</v>
      </c>
      <c r="E162" t="str">
        <f>"item_"&amp;Table1[[#This Row],[VEHIDCODE]]</f>
        <v>item_steam_Poland_PKP_OI49</v>
      </c>
      <c r="F162" t="str">
        <f>"str_"&amp;Table1[[#This Row],[VEHIDCODE]]</f>
        <v>str_steam_Poland_PKP_OI49</v>
      </c>
      <c r="O162" s="2" t="b">
        <v>1</v>
      </c>
      <c r="AJ162" s="2"/>
      <c r="AK162" s="2" t="b">
        <f>LEN(_xlfn.CONCAT(Table1[[#This Row],[TRACK_TYPE_STANDARD_GAUGE_RAILTYPE_OHLE]:[TRACK_TYPE_MTRO]]))&gt;0</f>
        <v>1</v>
      </c>
      <c r="AL162">
        <v>8</v>
      </c>
      <c r="AM162" t="s">
        <v>20</v>
      </c>
      <c r="AN162">
        <v>0</v>
      </c>
      <c r="AO162" t="s">
        <v>23</v>
      </c>
      <c r="AP162">
        <v>0</v>
      </c>
      <c r="AQ162">
        <v>1951</v>
      </c>
      <c r="AR162">
        <v>7</v>
      </c>
      <c r="AS162" s="2" t="s">
        <v>24</v>
      </c>
      <c r="AT162" t="b">
        <v>1</v>
      </c>
      <c r="AV162" s="2"/>
      <c r="AW162">
        <v>45</v>
      </c>
      <c r="AX162">
        <v>1</v>
      </c>
      <c r="AY162">
        <v>1290</v>
      </c>
      <c r="AZ162" t="s">
        <v>710</v>
      </c>
      <c r="BA162">
        <v>100</v>
      </c>
      <c r="BB162" s="2">
        <v>0.1</v>
      </c>
      <c r="BC162" t="s">
        <v>929</v>
      </c>
      <c r="BD162" t="s">
        <v>922</v>
      </c>
      <c r="BE162" t="s">
        <v>940</v>
      </c>
      <c r="BF162" s="7">
        <v>40</v>
      </c>
      <c r="BG1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62">
        <v>0</v>
      </c>
      <c r="BI162" t="s">
        <v>734</v>
      </c>
      <c r="BJ162" s="11"/>
      <c r="BK162" s="11"/>
      <c r="BL162" s="11">
        <v>125</v>
      </c>
      <c r="BM162">
        <v>0</v>
      </c>
      <c r="BN162" t="s">
        <v>692</v>
      </c>
      <c r="BO162" t="s">
        <v>694</v>
      </c>
      <c r="BP162" t="s">
        <v>701</v>
      </c>
      <c r="BQ162" t="s">
        <v>705</v>
      </c>
      <c r="BR162" t="s">
        <v>706</v>
      </c>
      <c r="BS162" t="s">
        <v>707</v>
      </c>
      <c r="CR162"/>
      <c r="CS162"/>
      <c r="CT162"/>
    </row>
    <row r="163" spans="1:98" x14ac:dyDescent="0.4">
      <c r="A163" s="2" t="s">
        <v>187</v>
      </c>
      <c r="B163" t="str">
        <f>_xlfn.TEXTAFTER(Table1[[#This Row],[VEHIDCODE]],"_")</f>
        <v>Austria_KKStB_310</v>
      </c>
      <c r="C163" t="s">
        <v>739</v>
      </c>
      <c r="D163" t="b">
        <f>OR(ISNUMBER(SEARCH("wagon_",Table1[[#This Row],[FILENAMES_EXPECTED]])),ISNUMBER(SEARCH("coach_",Table1[[#This Row],[FILENAMES_EXPECTED]])))</f>
        <v>0</v>
      </c>
      <c r="E163" t="str">
        <f>"item_"&amp;Table1[[#This Row],[VEHIDCODE]]</f>
        <v>item_steam_Austria_KKStB_310</v>
      </c>
      <c r="F163" t="str">
        <f>"str_"&amp;Table1[[#This Row],[VEHIDCODE]]</f>
        <v>str_steam_Austria_KKStB_310</v>
      </c>
      <c r="O163" s="2" t="b">
        <v>1</v>
      </c>
      <c r="AJ163" s="2"/>
      <c r="AK163" s="2" t="b">
        <f>LEN(_xlfn.CONCAT(Table1[[#This Row],[TRACK_TYPE_STANDARD_GAUGE_RAILTYPE_OHLE]:[TRACK_TYPE_MTRO]]))&gt;0</f>
        <v>1</v>
      </c>
      <c r="AL163">
        <v>8</v>
      </c>
      <c r="AM163" t="s">
        <v>20</v>
      </c>
      <c r="AN163">
        <v>0</v>
      </c>
      <c r="AO163" t="s">
        <v>23</v>
      </c>
      <c r="AP163">
        <v>0</v>
      </c>
      <c r="AQ163">
        <v>1911</v>
      </c>
      <c r="AR163">
        <v>7</v>
      </c>
      <c r="AS163" s="2" t="s">
        <v>24</v>
      </c>
      <c r="AT163" t="b">
        <v>1</v>
      </c>
      <c r="AV163" s="2"/>
      <c r="AW163">
        <v>45</v>
      </c>
      <c r="AX163">
        <v>1</v>
      </c>
      <c r="AY163">
        <v>1885</v>
      </c>
      <c r="AZ163" t="s">
        <v>710</v>
      </c>
      <c r="BA163">
        <v>100</v>
      </c>
      <c r="BB163" s="2">
        <v>0.17</v>
      </c>
      <c r="BC163" t="s">
        <v>923</v>
      </c>
      <c r="BD163" t="s">
        <v>922</v>
      </c>
      <c r="BE163" t="s">
        <v>940</v>
      </c>
      <c r="BF163" s="7">
        <v>40</v>
      </c>
      <c r="BG1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63">
        <v>0</v>
      </c>
      <c r="BI163" t="s">
        <v>734</v>
      </c>
      <c r="BJ163" s="11"/>
      <c r="BK163" s="11"/>
      <c r="BL163" s="11">
        <v>138</v>
      </c>
      <c r="BM163">
        <v>0</v>
      </c>
      <c r="BN163" t="s">
        <v>692</v>
      </c>
      <c r="BO163" t="s">
        <v>694</v>
      </c>
      <c r="BP163" t="s">
        <v>701</v>
      </c>
      <c r="BQ163" t="s">
        <v>705</v>
      </c>
      <c r="BR163" t="s">
        <v>706</v>
      </c>
      <c r="BS163" t="s">
        <v>707</v>
      </c>
      <c r="CR163"/>
      <c r="CS163"/>
      <c r="CT163"/>
    </row>
    <row r="164" spans="1:98" x14ac:dyDescent="0.4">
      <c r="A164" s="2" t="s">
        <v>188</v>
      </c>
      <c r="B164" t="str">
        <f>_xlfn.TEXTAFTER(Table1[[#This Row],[VEHIDCODE]],"_")</f>
        <v>USA_Southern_Pacific_GS_4_Daylight</v>
      </c>
      <c r="C164" t="s">
        <v>739</v>
      </c>
      <c r="D164" t="b">
        <f>OR(ISNUMBER(SEARCH("wagon_",Table1[[#This Row],[FILENAMES_EXPECTED]])),ISNUMBER(SEARCH("coach_",Table1[[#This Row],[FILENAMES_EXPECTED]])))</f>
        <v>0</v>
      </c>
      <c r="E164" t="str">
        <f>"item_"&amp;Table1[[#This Row],[VEHIDCODE]]</f>
        <v>item_steam_USA_Southern_Pacific_GS_4_Daylight</v>
      </c>
      <c r="F164" t="str">
        <f>"str_"&amp;Table1[[#This Row],[VEHIDCODE]]</f>
        <v>str_steam_USA_Southern_Pacific_GS_4_Daylight</v>
      </c>
      <c r="O164" s="2" t="b">
        <v>1</v>
      </c>
      <c r="AJ164" s="2"/>
      <c r="AK164" s="2" t="b">
        <f>LEN(_xlfn.CONCAT(Table1[[#This Row],[TRACK_TYPE_STANDARD_GAUGE_RAILTYPE_OHLE]:[TRACK_TYPE_MTRO]]))&gt;0</f>
        <v>1</v>
      </c>
      <c r="AL164">
        <v>12</v>
      </c>
      <c r="AM164" t="s">
        <v>20</v>
      </c>
      <c r="AN164">
        <v>0</v>
      </c>
      <c r="AO164" t="s">
        <v>23</v>
      </c>
      <c r="AP164">
        <v>0</v>
      </c>
      <c r="AQ164">
        <v>1941</v>
      </c>
      <c r="AR164">
        <v>8</v>
      </c>
      <c r="AS164" s="2" t="s">
        <v>24</v>
      </c>
      <c r="AT164" t="b">
        <v>1</v>
      </c>
      <c r="AV164" s="2"/>
      <c r="AW164">
        <v>45</v>
      </c>
      <c r="AX164">
        <v>1</v>
      </c>
      <c r="AY164">
        <v>5500</v>
      </c>
      <c r="AZ164" t="s">
        <v>710</v>
      </c>
      <c r="BA164">
        <v>177</v>
      </c>
      <c r="BB164" s="2">
        <v>0.09</v>
      </c>
      <c r="BC164" t="s">
        <v>928</v>
      </c>
      <c r="BD164" t="s">
        <v>922</v>
      </c>
      <c r="BE164" t="s">
        <v>940</v>
      </c>
      <c r="BF164" s="7">
        <v>40</v>
      </c>
      <c r="BG1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64">
        <v>0</v>
      </c>
      <c r="BI164" t="s">
        <v>734</v>
      </c>
      <c r="BJ164" s="11"/>
      <c r="BK164" s="11"/>
      <c r="BL164" s="11">
        <v>390</v>
      </c>
      <c r="BM164">
        <v>0</v>
      </c>
      <c r="BN164" t="s">
        <v>692</v>
      </c>
      <c r="BO164" t="s">
        <v>694</v>
      </c>
      <c r="BP164" t="s">
        <v>701</v>
      </c>
      <c r="BQ164" t="s">
        <v>705</v>
      </c>
      <c r="BR164" t="s">
        <v>706</v>
      </c>
      <c r="BS164" t="s">
        <v>707</v>
      </c>
      <c r="CR164"/>
      <c r="CS164"/>
      <c r="CT164"/>
    </row>
    <row r="165" spans="1:98" x14ac:dyDescent="0.4">
      <c r="A165" s="2" t="s">
        <v>189</v>
      </c>
      <c r="B165" t="str">
        <f>_xlfn.TEXTAFTER(Table1[[#This Row],[VEHIDCODE]],"_")</f>
        <v>Ireland_GS_WR_101</v>
      </c>
      <c r="C165" t="s">
        <v>739</v>
      </c>
      <c r="D165" t="b">
        <f>OR(ISNUMBER(SEARCH("wagon_",Table1[[#This Row],[FILENAMES_EXPECTED]])),ISNUMBER(SEARCH("coach_",Table1[[#This Row],[FILENAMES_EXPECTED]])))</f>
        <v>0</v>
      </c>
      <c r="E165" t="str">
        <f>"item_"&amp;Table1[[#This Row],[VEHIDCODE]]</f>
        <v>item_steam_Ireland_GS_WR_101</v>
      </c>
      <c r="F165" t="str">
        <f>"str_"&amp;Table1[[#This Row],[VEHIDCODE]]</f>
        <v>str_steam_Ireland_GS_WR_101</v>
      </c>
      <c r="O165" s="2" t="b">
        <v>1</v>
      </c>
      <c r="AJ165" s="2"/>
      <c r="AK165" s="2" t="b">
        <f>LEN(_xlfn.CONCAT(Table1[[#This Row],[TRACK_TYPE_STANDARD_GAUGE_RAILTYPE_OHLE]:[TRACK_TYPE_MTRO]]))&gt;0</f>
        <v>1</v>
      </c>
      <c r="AL165">
        <v>6</v>
      </c>
      <c r="AM165" t="s">
        <v>20</v>
      </c>
      <c r="AN165">
        <v>0</v>
      </c>
      <c r="AO165" t="s">
        <v>23</v>
      </c>
      <c r="AP165">
        <v>0</v>
      </c>
      <c r="AQ165">
        <v>1866</v>
      </c>
      <c r="AR165">
        <v>5</v>
      </c>
      <c r="AS165" s="2" t="s">
        <v>20</v>
      </c>
      <c r="AT165" t="b">
        <v>1</v>
      </c>
      <c r="AV165" s="2"/>
      <c r="AW165">
        <v>45</v>
      </c>
      <c r="AX165">
        <v>0</v>
      </c>
      <c r="AY165">
        <v>355</v>
      </c>
      <c r="AZ165" t="s">
        <v>710</v>
      </c>
      <c r="BA165">
        <v>60</v>
      </c>
      <c r="BB165" s="2">
        <v>0.13</v>
      </c>
      <c r="BC165" t="s">
        <v>927</v>
      </c>
      <c r="BD165" t="s">
        <v>922</v>
      </c>
      <c r="BE165" t="s">
        <v>940</v>
      </c>
      <c r="BF165" s="7">
        <v>40</v>
      </c>
      <c r="BG1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65">
        <v>0</v>
      </c>
      <c r="BI165" t="s">
        <v>734</v>
      </c>
      <c r="BJ165" s="11"/>
      <c r="BK165" s="11"/>
      <c r="BL165" s="11">
        <v>57</v>
      </c>
      <c r="BM165">
        <v>0</v>
      </c>
      <c r="BN165" t="s">
        <v>692</v>
      </c>
      <c r="BO165" t="s">
        <v>694</v>
      </c>
      <c r="BP165" t="s">
        <v>701</v>
      </c>
      <c r="BQ165" t="s">
        <v>705</v>
      </c>
      <c r="BR165" t="s">
        <v>706</v>
      </c>
      <c r="BS165" t="s">
        <v>707</v>
      </c>
      <c r="CR165"/>
      <c r="CS165"/>
      <c r="CT165"/>
    </row>
    <row r="166" spans="1:98" x14ac:dyDescent="0.4">
      <c r="A166" s="2" t="s">
        <v>190</v>
      </c>
      <c r="B166" t="str">
        <f>_xlfn.TEXTAFTER(Table1[[#This Row],[VEHIDCODE]],"_")</f>
        <v>USA_NYC_H_6A_Light_Mikado</v>
      </c>
      <c r="C166" t="s">
        <v>739</v>
      </c>
      <c r="D166" t="b">
        <f>OR(ISNUMBER(SEARCH("wagon_",Table1[[#This Row],[FILENAMES_EXPECTED]])),ISNUMBER(SEARCH("coach_",Table1[[#This Row],[FILENAMES_EXPECTED]])))</f>
        <v>0</v>
      </c>
      <c r="E166" t="str">
        <f>"item_"&amp;Table1[[#This Row],[VEHIDCODE]]</f>
        <v>item_steam_USA_NYC_H_6A_Light_Mikado</v>
      </c>
      <c r="F166" t="str">
        <f>"str_"&amp;Table1[[#This Row],[VEHIDCODE]]</f>
        <v>str_steam_USA_NYC_H_6A_Light_Mikado</v>
      </c>
      <c r="O166" s="2" t="b">
        <v>1</v>
      </c>
      <c r="AJ166" s="2"/>
      <c r="AK166" s="2" t="b">
        <f>LEN(_xlfn.CONCAT(Table1[[#This Row],[TRACK_TYPE_STANDARD_GAUGE_RAILTYPE_OHLE]:[TRACK_TYPE_MTRO]]))&gt;0</f>
        <v>1</v>
      </c>
      <c r="AL166">
        <v>8</v>
      </c>
      <c r="AM166" t="s">
        <v>20</v>
      </c>
      <c r="AN166">
        <v>0</v>
      </c>
      <c r="AO166" t="s">
        <v>23</v>
      </c>
      <c r="AP166">
        <v>0</v>
      </c>
      <c r="AQ166">
        <v>1914</v>
      </c>
      <c r="AR166">
        <v>6</v>
      </c>
      <c r="AS166" s="2" t="s">
        <v>20</v>
      </c>
      <c r="AT166" t="b">
        <v>1</v>
      </c>
      <c r="AV166" s="2"/>
      <c r="AW166">
        <v>45</v>
      </c>
      <c r="AX166">
        <v>1</v>
      </c>
      <c r="AY166">
        <v>2000</v>
      </c>
      <c r="AZ166" t="s">
        <v>710</v>
      </c>
      <c r="BA166">
        <v>96</v>
      </c>
      <c r="BB166" s="2">
        <v>0.11</v>
      </c>
      <c r="BC166" t="s">
        <v>928</v>
      </c>
      <c r="BD166" t="s">
        <v>922</v>
      </c>
      <c r="BE166" t="s">
        <v>940</v>
      </c>
      <c r="BF166" s="7">
        <v>40</v>
      </c>
      <c r="BG1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66">
        <v>0</v>
      </c>
      <c r="BI166" t="s">
        <v>734</v>
      </c>
      <c r="BJ166" s="11"/>
      <c r="BK166" s="11"/>
      <c r="BL166" s="11">
        <v>217</v>
      </c>
      <c r="BM166">
        <v>0</v>
      </c>
      <c r="BN166" t="s">
        <v>692</v>
      </c>
      <c r="BO166" t="s">
        <v>694</v>
      </c>
      <c r="BP166" t="s">
        <v>701</v>
      </c>
      <c r="BQ166" t="s">
        <v>705</v>
      </c>
      <c r="BR166" t="s">
        <v>706</v>
      </c>
      <c r="BS166" t="s">
        <v>707</v>
      </c>
      <c r="CR166"/>
      <c r="CS166"/>
      <c r="CT166"/>
    </row>
    <row r="167" spans="1:98" x14ac:dyDescent="0.4">
      <c r="A167" s="2" t="s">
        <v>191</v>
      </c>
      <c r="B167" t="str">
        <f>_xlfn.TEXTAFTER(Table1[[#This Row],[VEHIDCODE]],"_")</f>
        <v>Argentina_FCGR_315</v>
      </c>
      <c r="C167" t="s">
        <v>739</v>
      </c>
      <c r="D167" t="b">
        <f>OR(ISNUMBER(SEARCH("wagon_",Table1[[#This Row],[FILENAMES_EXPECTED]])),ISNUMBER(SEARCH("coach_",Table1[[#This Row],[FILENAMES_EXPECTED]])))</f>
        <v>0</v>
      </c>
      <c r="E167" t="str">
        <f>"item_"&amp;Table1[[#This Row],[VEHIDCODE]]</f>
        <v>item_steam_Argentina_FCGR_315</v>
      </c>
      <c r="F167" t="str">
        <f>"str_"&amp;Table1[[#This Row],[VEHIDCODE]]</f>
        <v>str_steam_Argentina_FCGR_315</v>
      </c>
      <c r="O167" s="2" t="b">
        <v>1</v>
      </c>
      <c r="AJ167" s="2"/>
      <c r="AK167" s="2" t="b">
        <f>LEN(_xlfn.CONCAT(Table1[[#This Row],[TRACK_TYPE_STANDARD_GAUGE_RAILTYPE_OHLE]:[TRACK_TYPE_MTRO]]))&gt;0</f>
        <v>1</v>
      </c>
      <c r="AL167">
        <v>4</v>
      </c>
      <c r="AM167" t="s">
        <v>20</v>
      </c>
      <c r="AN167">
        <v>0</v>
      </c>
      <c r="AO167" t="s">
        <v>23</v>
      </c>
      <c r="AP167">
        <v>0</v>
      </c>
      <c r="AQ167">
        <v>1871</v>
      </c>
      <c r="AR167">
        <v>4</v>
      </c>
      <c r="AS167" s="2" t="s">
        <v>20</v>
      </c>
      <c r="AT167" t="b">
        <v>1</v>
      </c>
      <c r="AV167" s="2"/>
      <c r="AW167">
        <v>45</v>
      </c>
      <c r="AX167">
        <v>1</v>
      </c>
      <c r="AY167">
        <v>145</v>
      </c>
      <c r="AZ167" t="s">
        <v>710</v>
      </c>
      <c r="BA167">
        <v>45</v>
      </c>
      <c r="BB167" s="2">
        <v>0.04</v>
      </c>
      <c r="BC167" t="s">
        <v>930</v>
      </c>
      <c r="BD167" t="s">
        <v>922</v>
      </c>
      <c r="BE167" t="s">
        <v>940</v>
      </c>
      <c r="BF167" s="7">
        <v>40</v>
      </c>
      <c r="BG1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67">
        <v>0</v>
      </c>
      <c r="BI167" t="s">
        <v>734</v>
      </c>
      <c r="BJ167" s="11"/>
      <c r="BK167" s="11"/>
      <c r="BL167" s="11">
        <v>48</v>
      </c>
      <c r="BM167">
        <v>0</v>
      </c>
      <c r="BN167" t="s">
        <v>692</v>
      </c>
      <c r="BO167" t="s">
        <v>694</v>
      </c>
      <c r="BP167" t="s">
        <v>701</v>
      </c>
      <c r="BQ167" t="s">
        <v>705</v>
      </c>
      <c r="BR167" t="s">
        <v>706</v>
      </c>
      <c r="BS167" t="s">
        <v>707</v>
      </c>
      <c r="CR167"/>
      <c r="CS167"/>
      <c r="CT167"/>
    </row>
    <row r="168" spans="1:98" x14ac:dyDescent="0.4">
      <c r="A168" s="2" t="s">
        <v>192</v>
      </c>
      <c r="B168" t="str">
        <f>_xlfn.TEXTAFTER(Table1[[#This Row],[VEHIDCODE]],"_")</f>
        <v>Australia_NSWGR_C35</v>
      </c>
      <c r="C168" t="s">
        <v>739</v>
      </c>
      <c r="D168" t="b">
        <f>OR(ISNUMBER(SEARCH("wagon_",Table1[[#This Row],[FILENAMES_EXPECTED]])),ISNUMBER(SEARCH("coach_",Table1[[#This Row],[FILENAMES_EXPECTED]])))</f>
        <v>0</v>
      </c>
      <c r="E168" t="str">
        <f>"item_"&amp;Table1[[#This Row],[VEHIDCODE]]</f>
        <v>item_steam_Australia_NSWGR_C35</v>
      </c>
      <c r="F168" t="str">
        <f>"str_"&amp;Table1[[#This Row],[VEHIDCODE]]</f>
        <v>str_steam_Australia_NSWGR_C35</v>
      </c>
      <c r="O168" s="2" t="b">
        <v>1</v>
      </c>
      <c r="AJ168" s="2"/>
      <c r="AK168" s="2" t="b">
        <f>LEN(_xlfn.CONCAT(Table1[[#This Row],[TRACK_TYPE_STANDARD_GAUGE_RAILTYPE_OHLE]:[TRACK_TYPE_MTRO]]))&gt;0</f>
        <v>1</v>
      </c>
      <c r="AL168">
        <v>8</v>
      </c>
      <c r="AM168" t="s">
        <v>20</v>
      </c>
      <c r="AN168">
        <v>0</v>
      </c>
      <c r="AO168" t="s">
        <v>23</v>
      </c>
      <c r="AP168">
        <v>0</v>
      </c>
      <c r="AQ168">
        <v>1914</v>
      </c>
      <c r="AR168">
        <v>6</v>
      </c>
      <c r="AS168" s="2" t="s">
        <v>20</v>
      </c>
      <c r="AT168" t="b">
        <v>1</v>
      </c>
      <c r="AV168" s="2"/>
      <c r="AW168">
        <v>45</v>
      </c>
      <c r="AX168">
        <v>1</v>
      </c>
      <c r="AY168">
        <v>1150</v>
      </c>
      <c r="AZ168" t="s">
        <v>710</v>
      </c>
      <c r="BA168">
        <v>80</v>
      </c>
      <c r="BB168" s="2">
        <v>0.1</v>
      </c>
      <c r="BC168" t="s">
        <v>925</v>
      </c>
      <c r="BD168" t="s">
        <v>922</v>
      </c>
      <c r="BE168" t="s">
        <v>940</v>
      </c>
      <c r="BF168" s="7">
        <v>40</v>
      </c>
      <c r="BG1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68">
        <v>0</v>
      </c>
      <c r="BI168" t="s">
        <v>734</v>
      </c>
      <c r="BJ168" s="11"/>
      <c r="BK168" s="11"/>
      <c r="BL168" s="11">
        <v>126</v>
      </c>
      <c r="BM168">
        <v>0</v>
      </c>
      <c r="BN168" t="s">
        <v>692</v>
      </c>
      <c r="BO168" t="s">
        <v>694</v>
      </c>
      <c r="BP168" t="s">
        <v>701</v>
      </c>
      <c r="BQ168" t="s">
        <v>705</v>
      </c>
      <c r="BR168" t="s">
        <v>706</v>
      </c>
      <c r="BS168" t="s">
        <v>707</v>
      </c>
      <c r="CR168"/>
      <c r="CS168"/>
      <c r="CT168"/>
    </row>
    <row r="169" spans="1:98" x14ac:dyDescent="0.4">
      <c r="A169" s="2" t="s">
        <v>193</v>
      </c>
      <c r="B169" t="str">
        <f>_xlfn.TEXTAFTER(Table1[[#This Row],[VEHIDCODE]],"_")</f>
        <v>Belgium_NMBS_SNCB_Type_29</v>
      </c>
      <c r="C169" t="s">
        <v>739</v>
      </c>
      <c r="D169" t="b">
        <f>OR(ISNUMBER(SEARCH("wagon_",Table1[[#This Row],[FILENAMES_EXPECTED]])),ISNUMBER(SEARCH("coach_",Table1[[#This Row],[FILENAMES_EXPECTED]])))</f>
        <v>0</v>
      </c>
      <c r="E169" t="str">
        <f>"item_"&amp;Table1[[#This Row],[VEHIDCODE]]</f>
        <v>item_steam_Belgium_NMBS_SNCB_Type_29</v>
      </c>
      <c r="F169" t="str">
        <f>"str_"&amp;Table1[[#This Row],[VEHIDCODE]]</f>
        <v>str_steam_Belgium_NMBS_SNCB_Type_29</v>
      </c>
      <c r="O169" s="2" t="b">
        <v>1</v>
      </c>
      <c r="AJ169" s="2"/>
      <c r="AK169" s="2" t="b">
        <f>LEN(_xlfn.CONCAT(Table1[[#This Row],[TRACK_TYPE_STANDARD_GAUGE_RAILTYPE_OHLE]:[TRACK_TYPE_MTRO]]))&gt;0</f>
        <v>1</v>
      </c>
      <c r="AL169">
        <v>8</v>
      </c>
      <c r="AM169" t="s">
        <v>20</v>
      </c>
      <c r="AN169">
        <v>0</v>
      </c>
      <c r="AO169" t="s">
        <v>23</v>
      </c>
      <c r="AP169">
        <v>0</v>
      </c>
      <c r="AQ169">
        <v>1945</v>
      </c>
      <c r="AR169">
        <v>7</v>
      </c>
      <c r="AS169" s="2" t="s">
        <v>20</v>
      </c>
      <c r="AT169" t="b">
        <v>1</v>
      </c>
      <c r="AV169" s="2"/>
      <c r="AW169">
        <v>45</v>
      </c>
      <c r="AX169">
        <v>1</v>
      </c>
      <c r="AY169">
        <v>2000</v>
      </c>
      <c r="AZ169" t="s">
        <v>710</v>
      </c>
      <c r="BA169">
        <v>96</v>
      </c>
      <c r="BB169" s="2">
        <v>0.15</v>
      </c>
      <c r="BC169" t="s">
        <v>923</v>
      </c>
      <c r="BD169" t="s">
        <v>922</v>
      </c>
      <c r="BE169" t="s">
        <v>940</v>
      </c>
      <c r="BF169" s="7">
        <v>40</v>
      </c>
      <c r="BG1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69">
        <v>0</v>
      </c>
      <c r="BI169" t="s">
        <v>734</v>
      </c>
      <c r="BJ169" s="11"/>
      <c r="BK169" s="11"/>
      <c r="BL169" s="11">
        <v>127</v>
      </c>
      <c r="BM169">
        <v>0</v>
      </c>
      <c r="BN169" t="s">
        <v>692</v>
      </c>
      <c r="BO169" t="s">
        <v>694</v>
      </c>
      <c r="BP169" t="s">
        <v>701</v>
      </c>
      <c r="BQ169" t="s">
        <v>705</v>
      </c>
      <c r="BR169" t="s">
        <v>706</v>
      </c>
      <c r="BS169" t="s">
        <v>707</v>
      </c>
      <c r="CR169"/>
      <c r="CS169"/>
      <c r="CT169"/>
    </row>
    <row r="170" spans="1:98" x14ac:dyDescent="0.4">
      <c r="A170" s="2" t="s">
        <v>194</v>
      </c>
      <c r="B170" t="str">
        <f>_xlfn.TEXTAFTER(Table1[[#This Row],[VEHIDCODE]],"_")</f>
        <v>Chile_FCAB_4_8_2</v>
      </c>
      <c r="C170" t="s">
        <v>739</v>
      </c>
      <c r="D170" t="b">
        <f>OR(ISNUMBER(SEARCH("wagon_",Table1[[#This Row],[FILENAMES_EXPECTED]])),ISNUMBER(SEARCH("coach_",Table1[[#This Row],[FILENAMES_EXPECTED]])))</f>
        <v>0</v>
      </c>
      <c r="E170" t="str">
        <f>"item_"&amp;Table1[[#This Row],[VEHIDCODE]]</f>
        <v>item_steam_Chile_FCAB_4_8_2</v>
      </c>
      <c r="F170" t="str">
        <f>"str_"&amp;Table1[[#This Row],[VEHIDCODE]]</f>
        <v>str_steam_Chile_FCAB_4_8_2</v>
      </c>
      <c r="X170" s="2" t="b">
        <v>1</v>
      </c>
      <c r="AJ170" s="2"/>
      <c r="AK170" s="2" t="b">
        <f>LEN(_xlfn.CONCAT(Table1[[#This Row],[TRACK_TYPE_STANDARD_GAUGE_RAILTYPE_OHLE]:[TRACK_TYPE_MTRO]]))&gt;0</f>
        <v>1</v>
      </c>
      <c r="AL170">
        <v>8</v>
      </c>
      <c r="AM170" t="s">
        <v>20</v>
      </c>
      <c r="AN170">
        <v>0</v>
      </c>
      <c r="AO170" t="s">
        <v>23</v>
      </c>
      <c r="AP170">
        <v>0</v>
      </c>
      <c r="AQ170">
        <v>1954</v>
      </c>
      <c r="AR170">
        <v>7</v>
      </c>
      <c r="AS170" s="2" t="s">
        <v>20</v>
      </c>
      <c r="AT170" t="b">
        <v>1</v>
      </c>
      <c r="AV170" s="2"/>
      <c r="AW170">
        <v>45</v>
      </c>
      <c r="AX170">
        <v>1</v>
      </c>
      <c r="AY170">
        <v>1457</v>
      </c>
      <c r="AZ170" t="s">
        <v>710</v>
      </c>
      <c r="BA170">
        <v>85</v>
      </c>
      <c r="BB170" s="2">
        <v>0.1</v>
      </c>
      <c r="BC170" t="s">
        <v>930</v>
      </c>
      <c r="BD170" t="s">
        <v>922</v>
      </c>
      <c r="BE170" t="s">
        <v>940</v>
      </c>
      <c r="BF170" s="7">
        <v>40</v>
      </c>
      <c r="BG1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70">
        <v>0</v>
      </c>
      <c r="BI170" t="s">
        <v>734</v>
      </c>
      <c r="BJ170" s="11"/>
      <c r="BK170" s="11"/>
      <c r="BL170" s="11">
        <v>146</v>
      </c>
      <c r="BM170">
        <v>0</v>
      </c>
      <c r="BN170" t="s">
        <v>692</v>
      </c>
      <c r="BO170" t="s">
        <v>694</v>
      </c>
      <c r="BP170" t="s">
        <v>701</v>
      </c>
      <c r="BQ170" t="s">
        <v>705</v>
      </c>
      <c r="BR170" t="s">
        <v>706</v>
      </c>
      <c r="BS170" t="s">
        <v>707</v>
      </c>
      <c r="CR170"/>
      <c r="CS170"/>
      <c r="CT170"/>
    </row>
    <row r="171" spans="1:98" x14ac:dyDescent="0.4">
      <c r="A171" s="2" t="s">
        <v>195</v>
      </c>
      <c r="B171" t="str">
        <f>_xlfn.TEXTAFTER(Table1[[#This Row],[VEHIDCODE]],"_")</f>
        <v>China_Railways_QJ</v>
      </c>
      <c r="C171" t="s">
        <v>739</v>
      </c>
      <c r="D171" t="b">
        <f>OR(ISNUMBER(SEARCH("wagon_",Table1[[#This Row],[FILENAMES_EXPECTED]])),ISNUMBER(SEARCH("coach_",Table1[[#This Row],[FILENAMES_EXPECTED]])))</f>
        <v>0</v>
      </c>
      <c r="E171" t="str">
        <f>"item_"&amp;Table1[[#This Row],[VEHIDCODE]]</f>
        <v>item_steam_China_Railways_QJ</v>
      </c>
      <c r="F171" t="str">
        <f>"str_"&amp;Table1[[#This Row],[VEHIDCODE]]</f>
        <v>str_steam_China_Railways_QJ</v>
      </c>
      <c r="O171" s="2" t="b">
        <v>1</v>
      </c>
      <c r="AJ171" s="2"/>
      <c r="AK171" s="2" t="b">
        <f>LEN(_xlfn.CONCAT(Table1[[#This Row],[TRACK_TYPE_STANDARD_GAUGE_RAILTYPE_OHLE]:[TRACK_TYPE_MTRO]]))&gt;0</f>
        <v>1</v>
      </c>
      <c r="AL171">
        <v>12</v>
      </c>
      <c r="AM171" t="s">
        <v>20</v>
      </c>
      <c r="AN171">
        <v>0</v>
      </c>
      <c r="AO171" t="s">
        <v>23</v>
      </c>
      <c r="AP171">
        <v>0</v>
      </c>
      <c r="AQ171">
        <v>1956</v>
      </c>
      <c r="AR171">
        <v>8</v>
      </c>
      <c r="AS171" s="2" t="s">
        <v>24</v>
      </c>
      <c r="AT171" t="b">
        <v>1</v>
      </c>
      <c r="AV171" s="2"/>
      <c r="AW171">
        <v>45</v>
      </c>
      <c r="AX171">
        <v>1</v>
      </c>
      <c r="AY171">
        <v>3580</v>
      </c>
      <c r="AZ171" t="s">
        <v>710</v>
      </c>
      <c r="BA171">
        <v>80</v>
      </c>
      <c r="BB171" s="2">
        <v>0.21</v>
      </c>
      <c r="BC171" t="s">
        <v>931</v>
      </c>
      <c r="BD171" t="s">
        <v>922</v>
      </c>
      <c r="BE171" t="s">
        <v>940</v>
      </c>
      <c r="BF171" s="7">
        <v>40</v>
      </c>
      <c r="BG1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171">
        <v>0</v>
      </c>
      <c r="BI171" t="s">
        <v>734</v>
      </c>
      <c r="BJ171" s="11"/>
      <c r="BK171" s="11"/>
      <c r="BL171" s="11">
        <v>133</v>
      </c>
      <c r="BM171">
        <v>0</v>
      </c>
      <c r="BN171" t="s">
        <v>692</v>
      </c>
      <c r="BO171" t="s">
        <v>694</v>
      </c>
      <c r="BP171" t="s">
        <v>701</v>
      </c>
      <c r="BQ171" t="s">
        <v>705</v>
      </c>
      <c r="BR171" t="s">
        <v>706</v>
      </c>
      <c r="BS171" t="s">
        <v>707</v>
      </c>
      <c r="CR171"/>
      <c r="CS171"/>
      <c r="CT171"/>
    </row>
    <row r="172" spans="1:98" x14ac:dyDescent="0.4">
      <c r="A172" s="2" t="s">
        <v>196</v>
      </c>
      <c r="B172" t="str">
        <f>_xlfn.TEXTAFTER(Table1[[#This Row],[VEHIDCODE]],"_")</f>
        <v>Germany_DB_Kof_II</v>
      </c>
      <c r="C172" t="s">
        <v>740</v>
      </c>
      <c r="D172" t="b">
        <f>OR(ISNUMBER(SEARCH("wagon_",Table1[[#This Row],[FILENAMES_EXPECTED]])),ISNUMBER(SEARCH("coach_",Table1[[#This Row],[FILENAMES_EXPECTED]])))</f>
        <v>0</v>
      </c>
      <c r="E172" t="str">
        <f>"item_"&amp;Table1[[#This Row],[VEHIDCODE]]</f>
        <v>item_diesel_Germany_DB_Kof_II</v>
      </c>
      <c r="F172" t="str">
        <f>"str_"&amp;Table1[[#This Row],[VEHIDCODE]]</f>
        <v>str_diesel_Germany_DB_Kof_II</v>
      </c>
      <c r="O172" s="2" t="b">
        <v>1</v>
      </c>
      <c r="AJ172" s="2"/>
      <c r="AK172" s="2" t="b">
        <f>LEN(_xlfn.CONCAT(Table1[[#This Row],[TRACK_TYPE_STANDARD_GAUGE_RAILTYPE_OHLE]:[TRACK_TYPE_MTRO]]))&gt;0</f>
        <v>1</v>
      </c>
      <c r="AL172">
        <v>4</v>
      </c>
      <c r="AM172" t="s">
        <v>20</v>
      </c>
      <c r="AN172">
        <v>0</v>
      </c>
      <c r="AO172" t="s">
        <v>35</v>
      </c>
      <c r="AP172">
        <v>0</v>
      </c>
      <c r="AQ172">
        <v>1930</v>
      </c>
      <c r="AR172">
        <v>4</v>
      </c>
      <c r="AS172" s="2" t="s">
        <v>20</v>
      </c>
      <c r="AT172" t="b">
        <v>1</v>
      </c>
      <c r="AV172" s="2"/>
      <c r="AW172">
        <v>45</v>
      </c>
      <c r="AX172">
        <v>1</v>
      </c>
      <c r="AY172">
        <v>95</v>
      </c>
      <c r="AZ172" t="s">
        <v>711</v>
      </c>
      <c r="BA172">
        <v>30</v>
      </c>
      <c r="BB172" s="2">
        <v>0.39</v>
      </c>
      <c r="BC172" t="s">
        <v>923</v>
      </c>
      <c r="BD172" t="s">
        <v>922</v>
      </c>
      <c r="BE172" t="s">
        <v>940</v>
      </c>
      <c r="BF172" s="7">
        <v>40</v>
      </c>
      <c r="BG1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72">
        <v>0</v>
      </c>
      <c r="BI172" t="s">
        <v>734</v>
      </c>
      <c r="BJ172" s="11"/>
      <c r="BK172" s="11"/>
      <c r="BL172" s="11">
        <v>18</v>
      </c>
      <c r="BM172">
        <v>0</v>
      </c>
      <c r="BN172" t="s">
        <v>692</v>
      </c>
      <c r="BO172" t="s">
        <v>694</v>
      </c>
      <c r="BP172" t="s">
        <v>701</v>
      </c>
      <c r="BQ172" t="s">
        <v>705</v>
      </c>
      <c r="BR172" t="s">
        <v>706</v>
      </c>
      <c r="BS172" t="s">
        <v>707</v>
      </c>
      <c r="CR172"/>
      <c r="CS172"/>
      <c r="CT172"/>
    </row>
    <row r="173" spans="1:98" x14ac:dyDescent="0.4">
      <c r="A173" s="2" t="s">
        <v>197</v>
      </c>
      <c r="B173" t="str">
        <f>_xlfn.TEXTAFTER(Table1[[#This Row],[VEHIDCODE]],"_")</f>
        <v>USA_CNJ_ALCo_GE_IR_Boxcab</v>
      </c>
      <c r="C173" t="s">
        <v>740</v>
      </c>
      <c r="D173" t="b">
        <f>OR(ISNUMBER(SEARCH("wagon_",Table1[[#This Row],[FILENAMES_EXPECTED]])),ISNUMBER(SEARCH("coach_",Table1[[#This Row],[FILENAMES_EXPECTED]])))</f>
        <v>0</v>
      </c>
      <c r="E173" t="str">
        <f>"item_"&amp;Table1[[#This Row],[VEHIDCODE]]</f>
        <v>item_diesel_USA_CNJ_ALCo_GE_IR_Boxcab</v>
      </c>
      <c r="F173" t="str">
        <f>"str_"&amp;Table1[[#This Row],[VEHIDCODE]]</f>
        <v>str_diesel_USA_CNJ_ALCo_GE_IR_Boxcab</v>
      </c>
      <c r="O173" s="2" t="b">
        <v>1</v>
      </c>
      <c r="AJ173" s="2"/>
      <c r="AK173" s="2" t="b">
        <f>LEN(_xlfn.CONCAT(Table1[[#This Row],[TRACK_TYPE_STANDARD_GAUGE_RAILTYPE_OHLE]:[TRACK_TYPE_MTRO]]))&gt;0</f>
        <v>1</v>
      </c>
      <c r="AL173">
        <v>4</v>
      </c>
      <c r="AM173" t="s">
        <v>20</v>
      </c>
      <c r="AN173">
        <v>0</v>
      </c>
      <c r="AO173" t="s">
        <v>35</v>
      </c>
      <c r="AP173">
        <v>0</v>
      </c>
      <c r="AQ173">
        <v>1931</v>
      </c>
      <c r="AR173">
        <v>4</v>
      </c>
      <c r="AS173" s="2" t="s">
        <v>20</v>
      </c>
      <c r="AT173" t="b">
        <v>1</v>
      </c>
      <c r="AV173" s="2"/>
      <c r="AW173">
        <v>45</v>
      </c>
      <c r="AX173">
        <v>1</v>
      </c>
      <c r="AY173">
        <v>300</v>
      </c>
      <c r="AZ173" t="s">
        <v>711</v>
      </c>
      <c r="BA173">
        <v>100</v>
      </c>
      <c r="BB173" s="2">
        <v>0.11</v>
      </c>
      <c r="BC173" t="s">
        <v>928</v>
      </c>
      <c r="BD173" t="s">
        <v>922</v>
      </c>
      <c r="BE173" t="s">
        <v>940</v>
      </c>
      <c r="BF173" s="7">
        <v>40</v>
      </c>
      <c r="BG1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73">
        <v>0</v>
      </c>
      <c r="BI173" t="s">
        <v>734</v>
      </c>
      <c r="BJ173" s="11"/>
      <c r="BK173" s="11"/>
      <c r="BL173" s="11">
        <v>61</v>
      </c>
      <c r="BM173">
        <v>0</v>
      </c>
      <c r="BN173" t="s">
        <v>692</v>
      </c>
      <c r="BO173" t="s">
        <v>694</v>
      </c>
      <c r="BP173" t="s">
        <v>701</v>
      </c>
      <c r="BQ173" t="s">
        <v>705</v>
      </c>
      <c r="BR173" t="s">
        <v>706</v>
      </c>
      <c r="BS173" t="s">
        <v>707</v>
      </c>
      <c r="CR173"/>
      <c r="CS173"/>
      <c r="CT173"/>
    </row>
    <row r="174" spans="1:98" x14ac:dyDescent="0.4">
      <c r="A174" s="2" t="s">
        <v>198</v>
      </c>
      <c r="B174" t="str">
        <f>_xlfn.TEXTAFTER(Table1[[#This Row],[VEHIDCODE]],"_")</f>
        <v>Netherlands_NS_200</v>
      </c>
      <c r="C174" t="s">
        <v>740</v>
      </c>
      <c r="D174" t="b">
        <f>OR(ISNUMBER(SEARCH("wagon_",Table1[[#This Row],[FILENAMES_EXPECTED]])),ISNUMBER(SEARCH("coach_",Table1[[#This Row],[FILENAMES_EXPECTED]])))</f>
        <v>0</v>
      </c>
      <c r="E174" t="str">
        <f>"item_"&amp;Table1[[#This Row],[VEHIDCODE]]</f>
        <v>item_diesel_Netherlands_NS_200</v>
      </c>
      <c r="F174" t="str">
        <f>"str_"&amp;Table1[[#This Row],[VEHIDCODE]]</f>
        <v>str_diesel_Netherlands_NS_200</v>
      </c>
      <c r="O174" s="2" t="b">
        <v>1</v>
      </c>
      <c r="AJ174" s="2"/>
      <c r="AK174" s="2" t="b">
        <f>LEN(_xlfn.CONCAT(Table1[[#This Row],[TRACK_TYPE_STANDARD_GAUGE_RAILTYPE_OHLE]:[TRACK_TYPE_MTRO]]))&gt;0</f>
        <v>1</v>
      </c>
      <c r="AL174">
        <v>4</v>
      </c>
      <c r="AM174" t="s">
        <v>20</v>
      </c>
      <c r="AN174">
        <v>0</v>
      </c>
      <c r="AO174" t="s">
        <v>35</v>
      </c>
      <c r="AP174">
        <v>0</v>
      </c>
      <c r="AQ174">
        <v>1934</v>
      </c>
      <c r="AR174">
        <v>4</v>
      </c>
      <c r="AS174" s="2" t="s">
        <v>20</v>
      </c>
      <c r="AT174" t="b">
        <v>1</v>
      </c>
      <c r="AV174" s="2"/>
      <c r="AW174">
        <v>45</v>
      </c>
      <c r="AX174">
        <v>1</v>
      </c>
      <c r="AY174">
        <v>72</v>
      </c>
      <c r="AZ174" t="s">
        <v>711</v>
      </c>
      <c r="BA174">
        <v>60</v>
      </c>
      <c r="BB174" s="2">
        <v>0.19</v>
      </c>
      <c r="BC174" t="s">
        <v>923</v>
      </c>
      <c r="BD174" t="s">
        <v>922</v>
      </c>
      <c r="BE174" t="s">
        <v>940</v>
      </c>
      <c r="BF174" s="7">
        <v>40</v>
      </c>
      <c r="BG1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74">
        <v>0</v>
      </c>
      <c r="BI174" t="s">
        <v>734</v>
      </c>
      <c r="BJ174" s="11"/>
      <c r="BK174" s="11"/>
      <c r="BL174" s="11">
        <v>21</v>
      </c>
      <c r="BM174">
        <v>0</v>
      </c>
      <c r="BN174" t="s">
        <v>692</v>
      </c>
      <c r="BO174" t="s">
        <v>694</v>
      </c>
      <c r="BP174" t="s">
        <v>701</v>
      </c>
      <c r="BQ174" t="s">
        <v>705</v>
      </c>
      <c r="BR174" t="s">
        <v>706</v>
      </c>
      <c r="BS174" t="s">
        <v>707</v>
      </c>
      <c r="CR174"/>
      <c r="CS174"/>
      <c r="CT174"/>
    </row>
    <row r="175" spans="1:98" x14ac:dyDescent="0.4">
      <c r="A175" s="2" t="s">
        <v>199</v>
      </c>
      <c r="B175" t="str">
        <f>_xlfn.TEXTAFTER(Table1[[#This Row],[VEHIDCODE]],"_")</f>
        <v>Germany_DB_270</v>
      </c>
      <c r="C175" t="s">
        <v>740</v>
      </c>
      <c r="D175" t="b">
        <f>OR(ISNUMBER(SEARCH("wagon_",Table1[[#This Row],[FILENAMES_EXPECTED]])),ISNUMBER(SEARCH("coach_",Table1[[#This Row],[FILENAMES_EXPECTED]])))</f>
        <v>0</v>
      </c>
      <c r="E175" t="str">
        <f>"item_"&amp;Table1[[#This Row],[VEHIDCODE]]</f>
        <v>item_diesel_Germany_DB_270</v>
      </c>
      <c r="F175" t="str">
        <f>"str_"&amp;Table1[[#This Row],[VEHIDCODE]]</f>
        <v>str_diesel_Germany_DB_270</v>
      </c>
      <c r="O175" s="2" t="b">
        <v>1</v>
      </c>
      <c r="AJ175" s="2"/>
      <c r="AK175" s="2" t="b">
        <f>LEN(_xlfn.CONCAT(Table1[[#This Row],[TRACK_TYPE_STANDARD_GAUGE_RAILTYPE_OHLE]:[TRACK_TYPE_MTRO]]))&gt;0</f>
        <v>1</v>
      </c>
      <c r="AL175">
        <v>5</v>
      </c>
      <c r="AM175" t="s">
        <v>20</v>
      </c>
      <c r="AN175">
        <v>0</v>
      </c>
      <c r="AO175" t="s">
        <v>35</v>
      </c>
      <c r="AP175">
        <v>0</v>
      </c>
      <c r="AQ175">
        <v>1936</v>
      </c>
      <c r="AR175">
        <v>5</v>
      </c>
      <c r="AS175" s="2" t="s">
        <v>20</v>
      </c>
      <c r="AT175" t="b">
        <v>1</v>
      </c>
      <c r="AV175" s="2"/>
      <c r="AW175">
        <v>45</v>
      </c>
      <c r="AX175">
        <v>1</v>
      </c>
      <c r="AY175">
        <v>200</v>
      </c>
      <c r="AZ175" t="s">
        <v>711</v>
      </c>
      <c r="BA175">
        <v>55</v>
      </c>
      <c r="BB175" s="2">
        <v>0.31</v>
      </c>
      <c r="BC175" t="s">
        <v>923</v>
      </c>
      <c r="BD175" t="s">
        <v>922</v>
      </c>
      <c r="BE175" t="s">
        <v>940</v>
      </c>
      <c r="BF175" s="7">
        <v>40</v>
      </c>
      <c r="BG1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75">
        <v>0</v>
      </c>
      <c r="BI175" t="s">
        <v>734</v>
      </c>
      <c r="BJ175" s="11"/>
      <c r="BK175" s="11"/>
      <c r="BL175" s="11">
        <v>26</v>
      </c>
      <c r="BM175">
        <v>0</v>
      </c>
      <c r="BN175" t="s">
        <v>692</v>
      </c>
      <c r="BO175" t="s">
        <v>694</v>
      </c>
      <c r="BP175" t="s">
        <v>701</v>
      </c>
      <c r="BQ175" t="s">
        <v>705</v>
      </c>
      <c r="BR175" t="s">
        <v>706</v>
      </c>
      <c r="BS175" t="s">
        <v>707</v>
      </c>
      <c r="CR175"/>
      <c r="CS175"/>
      <c r="CT175"/>
    </row>
    <row r="176" spans="1:98" x14ac:dyDescent="0.4">
      <c r="A176" s="2" t="s">
        <v>200</v>
      </c>
      <c r="B176" t="str">
        <f>_xlfn.TEXTAFTER(Table1[[#This Row],[VEHIDCODE]],"_")</f>
        <v>Switzerland_SBB_Am_4_6</v>
      </c>
      <c r="C176" t="s">
        <v>740</v>
      </c>
      <c r="D176" t="b">
        <f>OR(ISNUMBER(SEARCH("wagon_",Table1[[#This Row],[FILENAMES_EXPECTED]])),ISNUMBER(SEARCH("coach_",Table1[[#This Row],[FILENAMES_EXPECTED]])))</f>
        <v>0</v>
      </c>
      <c r="E176" t="str">
        <f>"item_"&amp;Table1[[#This Row],[VEHIDCODE]]</f>
        <v>item_diesel_Switzerland_SBB_Am_4_6</v>
      </c>
      <c r="F176" t="str">
        <f>"str_"&amp;Table1[[#This Row],[VEHIDCODE]]</f>
        <v>str_diesel_Switzerland_SBB_Am_4_6</v>
      </c>
      <c r="O176" s="2" t="b">
        <v>1</v>
      </c>
      <c r="AJ176" s="2"/>
      <c r="AK176" s="2" t="b">
        <f>LEN(_xlfn.CONCAT(Table1[[#This Row],[TRACK_TYPE_STANDARD_GAUGE_RAILTYPE_OHLE]:[TRACK_TYPE_MTRO]]))&gt;0</f>
        <v>1</v>
      </c>
      <c r="AL176">
        <v>8</v>
      </c>
      <c r="AM176" t="s">
        <v>20</v>
      </c>
      <c r="AN176">
        <v>0</v>
      </c>
      <c r="AO176" t="s">
        <v>35</v>
      </c>
      <c r="AP176">
        <v>0</v>
      </c>
      <c r="AQ176">
        <v>1938</v>
      </c>
      <c r="AR176">
        <v>8</v>
      </c>
      <c r="AS176" s="2" t="s">
        <v>20</v>
      </c>
      <c r="AT176" t="b">
        <v>1</v>
      </c>
      <c r="AV176" s="2"/>
      <c r="AW176">
        <v>45</v>
      </c>
      <c r="AX176">
        <v>1</v>
      </c>
      <c r="AY176">
        <v>2170</v>
      </c>
      <c r="AZ176" t="s">
        <v>711</v>
      </c>
      <c r="BA176">
        <v>110</v>
      </c>
      <c r="BB176" s="2">
        <v>0.14000000000000001</v>
      </c>
      <c r="BC176" t="s">
        <v>923</v>
      </c>
      <c r="BD176" t="s">
        <v>922</v>
      </c>
      <c r="BE176" t="s">
        <v>940</v>
      </c>
      <c r="BF176" s="7">
        <v>40</v>
      </c>
      <c r="BG1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76">
        <v>0</v>
      </c>
      <c r="BI176" t="s">
        <v>734</v>
      </c>
      <c r="BJ176" s="11"/>
      <c r="BK176" s="11"/>
      <c r="BL176" s="11">
        <v>92</v>
      </c>
      <c r="BM176">
        <v>0</v>
      </c>
      <c r="BN176" t="s">
        <v>692</v>
      </c>
      <c r="BO176" t="s">
        <v>694</v>
      </c>
      <c r="BP176" t="s">
        <v>701</v>
      </c>
      <c r="BQ176" t="s">
        <v>705</v>
      </c>
      <c r="BR176" t="s">
        <v>706</v>
      </c>
      <c r="BS176" t="s">
        <v>707</v>
      </c>
      <c r="CR176"/>
      <c r="CS176"/>
      <c r="CT176"/>
    </row>
    <row r="177" spans="1:98" x14ac:dyDescent="0.4">
      <c r="A177" s="2" t="s">
        <v>201</v>
      </c>
      <c r="B177" t="str">
        <f>_xlfn.TEXTAFTER(Table1[[#This Row],[VEHIDCODE]],"_")</f>
        <v>Australia_NSWGR_79</v>
      </c>
      <c r="C177" t="s">
        <v>740</v>
      </c>
      <c r="D177" t="b">
        <f>OR(ISNUMBER(SEARCH("wagon_",Table1[[#This Row],[FILENAMES_EXPECTED]])),ISNUMBER(SEARCH("coach_",Table1[[#This Row],[FILENAMES_EXPECTED]])))</f>
        <v>0</v>
      </c>
      <c r="E177" t="str">
        <f>"item_"&amp;Table1[[#This Row],[VEHIDCODE]]</f>
        <v>item_diesel_Australia_NSWGR_79</v>
      </c>
      <c r="F177" t="str">
        <f>"str_"&amp;Table1[[#This Row],[VEHIDCODE]]</f>
        <v>str_diesel_Australia_NSWGR_79</v>
      </c>
      <c r="O177" s="2" t="b">
        <v>1</v>
      </c>
      <c r="AJ177" s="2"/>
      <c r="AK177" s="2" t="b">
        <f>LEN(_xlfn.CONCAT(Table1[[#This Row],[TRACK_TYPE_STANDARD_GAUGE_RAILTYPE_OHLE]:[TRACK_TYPE_MTRO]]))&gt;0</f>
        <v>1</v>
      </c>
      <c r="AL177">
        <v>5</v>
      </c>
      <c r="AM177" t="s">
        <v>20</v>
      </c>
      <c r="AN177">
        <v>0</v>
      </c>
      <c r="AO177" t="s">
        <v>35</v>
      </c>
      <c r="AP177">
        <v>0</v>
      </c>
      <c r="AQ177">
        <v>1940</v>
      </c>
      <c r="AR177">
        <v>5</v>
      </c>
      <c r="AS177" s="2" t="s">
        <v>20</v>
      </c>
      <c r="AT177" t="b">
        <v>1</v>
      </c>
      <c r="AV177" s="2"/>
      <c r="AW177">
        <v>45</v>
      </c>
      <c r="AX177">
        <v>1</v>
      </c>
      <c r="AY177">
        <v>380</v>
      </c>
      <c r="AZ177" t="s">
        <v>711</v>
      </c>
      <c r="BA177">
        <v>56</v>
      </c>
      <c r="BB177" s="2">
        <v>0.15</v>
      </c>
      <c r="BC177" t="s">
        <v>925</v>
      </c>
      <c r="BD177" t="s">
        <v>922</v>
      </c>
      <c r="BE177" t="s">
        <v>940</v>
      </c>
      <c r="BF177" s="7">
        <v>40</v>
      </c>
      <c r="BG1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77">
        <v>0</v>
      </c>
      <c r="BI177" t="s">
        <v>734</v>
      </c>
      <c r="BJ177" s="11"/>
      <c r="BK177" s="11"/>
      <c r="BL177" s="11">
        <v>40</v>
      </c>
      <c r="BM177">
        <v>0</v>
      </c>
      <c r="BN177" t="s">
        <v>692</v>
      </c>
      <c r="BO177" t="s">
        <v>694</v>
      </c>
      <c r="BP177" t="s">
        <v>701</v>
      </c>
      <c r="BQ177" t="s">
        <v>705</v>
      </c>
      <c r="BR177" t="s">
        <v>706</v>
      </c>
      <c r="BS177" t="s">
        <v>707</v>
      </c>
      <c r="CR177"/>
      <c r="CS177"/>
      <c r="CT177"/>
    </row>
    <row r="178" spans="1:98" x14ac:dyDescent="0.4">
      <c r="A178" s="2" t="s">
        <v>202</v>
      </c>
      <c r="B178" t="str">
        <f>_xlfn.TEXTAFTER(Table1[[#This Row],[VEHIDCODE]],"_")</f>
        <v>USA_Western_Pacific_ALCO_S_2</v>
      </c>
      <c r="C178" t="s">
        <v>740</v>
      </c>
      <c r="D178" t="b">
        <f>OR(ISNUMBER(SEARCH("wagon_",Table1[[#This Row],[FILENAMES_EXPECTED]])),ISNUMBER(SEARCH("coach_",Table1[[#This Row],[FILENAMES_EXPECTED]])))</f>
        <v>0</v>
      </c>
      <c r="E178" t="str">
        <f>"item_"&amp;Table1[[#This Row],[VEHIDCODE]]</f>
        <v>item_diesel_USA_Western_Pacific_ALCO_S_2</v>
      </c>
      <c r="F178" t="str">
        <f>"str_"&amp;Table1[[#This Row],[VEHIDCODE]]</f>
        <v>str_diesel_USA_Western_Pacific_ALCO_S_2</v>
      </c>
      <c r="O178" s="2" t="b">
        <v>1</v>
      </c>
      <c r="AJ178" s="2"/>
      <c r="AK178" s="2" t="b">
        <f>LEN(_xlfn.CONCAT(Table1[[#This Row],[TRACK_TYPE_STANDARD_GAUGE_RAILTYPE_OHLE]:[TRACK_TYPE_MTRO]]))&gt;0</f>
        <v>1</v>
      </c>
      <c r="AL178">
        <v>6</v>
      </c>
      <c r="AM178" t="s">
        <v>20</v>
      </c>
      <c r="AN178">
        <v>0</v>
      </c>
      <c r="AO178" t="s">
        <v>35</v>
      </c>
      <c r="AP178">
        <v>0</v>
      </c>
      <c r="AQ178">
        <v>1940</v>
      </c>
      <c r="AR178">
        <v>6</v>
      </c>
      <c r="AS178" s="2" t="s">
        <v>20</v>
      </c>
      <c r="AT178" t="b">
        <v>1</v>
      </c>
      <c r="AV178" s="2"/>
      <c r="AW178">
        <v>45</v>
      </c>
      <c r="AX178">
        <v>1</v>
      </c>
      <c r="AY178">
        <v>1000</v>
      </c>
      <c r="AZ178" t="s">
        <v>711</v>
      </c>
      <c r="BA178">
        <v>96</v>
      </c>
      <c r="BB178" s="2">
        <v>0.15</v>
      </c>
      <c r="BC178" t="s">
        <v>928</v>
      </c>
      <c r="BD178" t="s">
        <v>922</v>
      </c>
      <c r="BE178" t="s">
        <v>940</v>
      </c>
      <c r="BF178" s="7">
        <v>40</v>
      </c>
      <c r="BG1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78">
        <v>0</v>
      </c>
      <c r="BI178" t="s">
        <v>734</v>
      </c>
      <c r="BJ178" s="11"/>
      <c r="BK178" s="11"/>
      <c r="BL178" s="11">
        <v>104</v>
      </c>
      <c r="BM178">
        <v>0</v>
      </c>
      <c r="BN178" t="s">
        <v>692</v>
      </c>
      <c r="BO178" t="s">
        <v>694</v>
      </c>
      <c r="BP178" t="s">
        <v>701</v>
      </c>
      <c r="BQ178" t="s">
        <v>705</v>
      </c>
      <c r="BR178" t="s">
        <v>706</v>
      </c>
      <c r="BS178" t="s">
        <v>707</v>
      </c>
      <c r="CR178"/>
      <c r="CS178"/>
      <c r="CT178"/>
    </row>
    <row r="179" spans="1:98" x14ac:dyDescent="0.4">
      <c r="A179" s="2" t="s">
        <v>203</v>
      </c>
      <c r="B179" t="str">
        <f>_xlfn.TEXTAFTER(Table1[[#This Row],[VEHIDCODE]],"_")</f>
        <v>USA_AT_SF_EMD_F3</v>
      </c>
      <c r="C179" t="s">
        <v>740</v>
      </c>
      <c r="D179" t="b">
        <f>OR(ISNUMBER(SEARCH("wagon_",Table1[[#This Row],[FILENAMES_EXPECTED]])),ISNUMBER(SEARCH("coach_",Table1[[#This Row],[FILENAMES_EXPECTED]])))</f>
        <v>0</v>
      </c>
      <c r="E179" t="str">
        <f>"item_"&amp;Table1[[#This Row],[VEHIDCODE]]</f>
        <v>item_diesel_USA_AT_SF_EMD_F3</v>
      </c>
      <c r="F179" t="str">
        <f>"str_"&amp;Table1[[#This Row],[VEHIDCODE]]</f>
        <v>str_diesel_USA_AT_SF_EMD_F3</v>
      </c>
      <c r="O179" s="2" t="b">
        <v>1</v>
      </c>
      <c r="AJ179" s="2"/>
      <c r="AK179" s="2" t="b">
        <f>LEN(_xlfn.CONCAT(Table1[[#This Row],[TRACK_TYPE_STANDARD_GAUGE_RAILTYPE_OHLE]:[TRACK_TYPE_MTRO]]))&gt;0</f>
        <v>1</v>
      </c>
      <c r="AL179">
        <v>7</v>
      </c>
      <c r="AM179" t="s">
        <v>20</v>
      </c>
      <c r="AN179">
        <v>0</v>
      </c>
      <c r="AO179" t="s">
        <v>35</v>
      </c>
      <c r="AP179">
        <v>0</v>
      </c>
      <c r="AQ179">
        <v>1946</v>
      </c>
      <c r="AR179">
        <v>7</v>
      </c>
      <c r="AS179" s="2" t="s">
        <v>20</v>
      </c>
      <c r="AT179" t="b">
        <v>1</v>
      </c>
      <c r="AV179" s="2"/>
      <c r="AW179">
        <v>45</v>
      </c>
      <c r="AX179">
        <v>1</v>
      </c>
      <c r="AY179">
        <v>1500</v>
      </c>
      <c r="AZ179" t="s">
        <v>711</v>
      </c>
      <c r="BA179">
        <v>105</v>
      </c>
      <c r="BB179" s="2">
        <v>0.16</v>
      </c>
      <c r="BC179" t="s">
        <v>928</v>
      </c>
      <c r="BD179" t="s">
        <v>922</v>
      </c>
      <c r="BE179" t="s">
        <v>940</v>
      </c>
      <c r="BF179" s="7">
        <v>40</v>
      </c>
      <c r="BG1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79">
        <v>-3</v>
      </c>
      <c r="BI179" t="s">
        <v>734</v>
      </c>
      <c r="BJ179" s="11"/>
      <c r="BK179" s="11"/>
      <c r="BL179" s="11">
        <v>139</v>
      </c>
      <c r="BM179">
        <v>0</v>
      </c>
      <c r="BN179" t="s">
        <v>692</v>
      </c>
      <c r="BO179" t="s">
        <v>694</v>
      </c>
      <c r="BP179" t="s">
        <v>701</v>
      </c>
      <c r="BQ179" t="s">
        <v>705</v>
      </c>
      <c r="BR179" t="s">
        <v>706</v>
      </c>
      <c r="BS179" t="s">
        <v>707</v>
      </c>
      <c r="CR179"/>
      <c r="CS179"/>
      <c r="CT179"/>
    </row>
    <row r="180" spans="1:98" x14ac:dyDescent="0.4">
      <c r="A180" s="2" t="s">
        <v>204</v>
      </c>
      <c r="B180" t="str">
        <f>_xlfn.TEXTAFTER(Table1[[#This Row],[VEHIDCODE]],"_")</f>
        <v>USA_UP_EMD_E8</v>
      </c>
      <c r="C180" t="s">
        <v>740</v>
      </c>
      <c r="D180" t="b">
        <f>OR(ISNUMBER(SEARCH("wagon_",Table1[[#This Row],[FILENAMES_EXPECTED]])),ISNUMBER(SEARCH("coach_",Table1[[#This Row],[FILENAMES_EXPECTED]])))</f>
        <v>0</v>
      </c>
      <c r="E180" t="str">
        <f>"item_"&amp;Table1[[#This Row],[VEHIDCODE]]</f>
        <v>item_diesel_USA_UP_EMD_E8</v>
      </c>
      <c r="F180" t="str">
        <f>"str_"&amp;Table1[[#This Row],[VEHIDCODE]]</f>
        <v>str_diesel_USA_UP_EMD_E8</v>
      </c>
      <c r="O180" s="2" t="b">
        <v>1</v>
      </c>
      <c r="AJ180" s="2"/>
      <c r="AK180" s="2" t="b">
        <f>LEN(_xlfn.CONCAT(Table1[[#This Row],[TRACK_TYPE_STANDARD_GAUGE_RAILTYPE_OHLE]:[TRACK_TYPE_MTRO]]))&gt;0</f>
        <v>1</v>
      </c>
      <c r="AL180">
        <v>8</v>
      </c>
      <c r="AM180" t="s">
        <v>20</v>
      </c>
      <c r="AN180">
        <v>0</v>
      </c>
      <c r="AO180" t="s">
        <v>35</v>
      </c>
      <c r="AP180">
        <v>0</v>
      </c>
      <c r="AQ180">
        <v>1949</v>
      </c>
      <c r="AR180">
        <v>8</v>
      </c>
      <c r="AS180" s="2" t="s">
        <v>20</v>
      </c>
      <c r="AT180" t="b">
        <v>1</v>
      </c>
      <c r="AV180" s="2"/>
      <c r="AW180">
        <v>45</v>
      </c>
      <c r="AX180">
        <v>1</v>
      </c>
      <c r="AY180">
        <v>2250</v>
      </c>
      <c r="AZ180" t="s">
        <v>711</v>
      </c>
      <c r="BA180">
        <v>152</v>
      </c>
      <c r="BB180" s="2">
        <v>0.13</v>
      </c>
      <c r="BC180" t="s">
        <v>928</v>
      </c>
      <c r="BD180" t="s">
        <v>922</v>
      </c>
      <c r="BE180" t="s">
        <v>940</v>
      </c>
      <c r="BF180" s="7">
        <v>40</v>
      </c>
      <c r="BG1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0">
        <v>-3</v>
      </c>
      <c r="BI180" t="s">
        <v>734</v>
      </c>
      <c r="BJ180" s="11"/>
      <c r="BK180" s="11"/>
      <c r="BL180" s="11">
        <v>155</v>
      </c>
      <c r="BM180">
        <v>0</v>
      </c>
      <c r="BN180" t="s">
        <v>692</v>
      </c>
      <c r="BO180" t="s">
        <v>694</v>
      </c>
      <c r="BP180" t="s">
        <v>701</v>
      </c>
      <c r="BQ180" t="s">
        <v>705</v>
      </c>
      <c r="BR180" t="s">
        <v>706</v>
      </c>
      <c r="BS180" t="s">
        <v>707</v>
      </c>
      <c r="CR180"/>
      <c r="CS180"/>
      <c r="CT180"/>
    </row>
    <row r="181" spans="1:98" x14ac:dyDescent="0.4">
      <c r="A181" s="2" t="s">
        <v>205</v>
      </c>
      <c r="B181" t="str">
        <f>_xlfn.TEXTAFTER(Table1[[#This Row],[VEHIDCODE]],"_")</f>
        <v>Brazil_EFCB_ALCO_RS_3</v>
      </c>
      <c r="C181" t="s">
        <v>740</v>
      </c>
      <c r="D181" t="b">
        <f>OR(ISNUMBER(SEARCH("wagon_",Table1[[#This Row],[FILENAMES_EXPECTED]])),ISNUMBER(SEARCH("coach_",Table1[[#This Row],[FILENAMES_EXPECTED]])))</f>
        <v>0</v>
      </c>
      <c r="E181" t="str">
        <f>"item_"&amp;Table1[[#This Row],[VEHIDCODE]]</f>
        <v>item_diesel_Brazil_EFCB_ALCO_RS_3</v>
      </c>
      <c r="F181" t="str">
        <f>"str_"&amp;Table1[[#This Row],[VEHIDCODE]]</f>
        <v>str_diesel_Brazil_EFCB_ALCO_RS_3</v>
      </c>
      <c r="O181" s="2" t="b">
        <v>1</v>
      </c>
      <c r="AJ181" s="2"/>
      <c r="AK181" s="2" t="b">
        <f>LEN(_xlfn.CONCAT(Table1[[#This Row],[TRACK_TYPE_STANDARD_GAUGE_RAILTYPE_OHLE]:[TRACK_TYPE_MTRO]]))&gt;0</f>
        <v>1</v>
      </c>
      <c r="AL181">
        <v>7</v>
      </c>
      <c r="AM181" t="s">
        <v>20</v>
      </c>
      <c r="AN181">
        <v>0</v>
      </c>
      <c r="AO181" t="s">
        <v>35</v>
      </c>
      <c r="AP181">
        <v>0</v>
      </c>
      <c r="AQ181">
        <v>1950</v>
      </c>
      <c r="AR181">
        <v>7</v>
      </c>
      <c r="AS181" s="2" t="s">
        <v>20</v>
      </c>
      <c r="AT181" t="b">
        <v>1</v>
      </c>
      <c r="AV181" s="2"/>
      <c r="AW181">
        <v>45</v>
      </c>
      <c r="AX181">
        <v>1</v>
      </c>
      <c r="AY181">
        <v>1600</v>
      </c>
      <c r="AZ181" t="s">
        <v>711</v>
      </c>
      <c r="BA181">
        <v>104</v>
      </c>
      <c r="BB181" s="2">
        <v>0.1</v>
      </c>
      <c r="BC181" t="s">
        <v>930</v>
      </c>
      <c r="BD181" t="s">
        <v>922</v>
      </c>
      <c r="BE181" t="s">
        <v>940</v>
      </c>
      <c r="BF181" s="7">
        <v>40</v>
      </c>
      <c r="BG1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1">
        <v>0</v>
      </c>
      <c r="BI181" t="s">
        <v>734</v>
      </c>
      <c r="BJ181" s="11"/>
      <c r="BK181" s="11"/>
      <c r="BL181" s="11">
        <v>103</v>
      </c>
      <c r="BM181">
        <v>0</v>
      </c>
      <c r="BN181" t="s">
        <v>692</v>
      </c>
      <c r="BO181" t="s">
        <v>694</v>
      </c>
      <c r="BP181" t="s">
        <v>701</v>
      </c>
      <c r="BQ181" t="s">
        <v>705</v>
      </c>
      <c r="BR181" t="s">
        <v>706</v>
      </c>
      <c r="BS181" t="s">
        <v>707</v>
      </c>
      <c r="CR181"/>
      <c r="CS181"/>
      <c r="CT181"/>
    </row>
    <row r="182" spans="1:98" x14ac:dyDescent="0.4">
      <c r="A182" s="2" t="s">
        <v>206</v>
      </c>
      <c r="B182" t="str">
        <f>_xlfn.TEXTAFTER(Table1[[#This Row],[VEHIDCODE]],"_")</f>
        <v>Netherlands_NS_600</v>
      </c>
      <c r="C182" t="s">
        <v>740</v>
      </c>
      <c r="D182" t="b">
        <f>OR(ISNUMBER(SEARCH("wagon_",Table1[[#This Row],[FILENAMES_EXPECTED]])),ISNUMBER(SEARCH("coach_",Table1[[#This Row],[FILENAMES_EXPECTED]])))</f>
        <v>0</v>
      </c>
      <c r="E182" t="str">
        <f>"item_"&amp;Table1[[#This Row],[VEHIDCODE]]</f>
        <v>item_diesel_Netherlands_NS_600</v>
      </c>
      <c r="F182" t="str">
        <f>"str_"&amp;Table1[[#This Row],[VEHIDCODE]]</f>
        <v>str_diesel_Netherlands_NS_600</v>
      </c>
      <c r="O182" s="2" t="b">
        <v>1</v>
      </c>
      <c r="AJ182" s="2"/>
      <c r="AK182" s="2" t="b">
        <f>LEN(_xlfn.CONCAT(Table1[[#This Row],[TRACK_TYPE_STANDARD_GAUGE_RAILTYPE_OHLE]:[TRACK_TYPE_MTRO]]))&gt;0</f>
        <v>1</v>
      </c>
      <c r="AL182">
        <v>5</v>
      </c>
      <c r="AM182" t="s">
        <v>20</v>
      </c>
      <c r="AN182">
        <v>0</v>
      </c>
      <c r="AO182" t="s">
        <v>35</v>
      </c>
      <c r="AP182">
        <v>0</v>
      </c>
      <c r="AQ182">
        <v>1950</v>
      </c>
      <c r="AR182">
        <v>5</v>
      </c>
      <c r="AS182" s="2" t="s">
        <v>20</v>
      </c>
      <c r="AT182" t="b">
        <v>1</v>
      </c>
      <c r="AV182" s="2"/>
      <c r="AW182">
        <v>45</v>
      </c>
      <c r="AX182">
        <v>1</v>
      </c>
      <c r="AY182">
        <v>400</v>
      </c>
      <c r="AZ182" t="s">
        <v>711</v>
      </c>
      <c r="BA182">
        <v>30</v>
      </c>
      <c r="BB182" s="2">
        <v>0.3</v>
      </c>
      <c r="BC182" t="s">
        <v>923</v>
      </c>
      <c r="BD182" t="s">
        <v>922</v>
      </c>
      <c r="BE182" t="s">
        <v>940</v>
      </c>
      <c r="BF182" s="7">
        <v>40</v>
      </c>
      <c r="BG1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2">
        <v>0</v>
      </c>
      <c r="BI182" t="s">
        <v>734</v>
      </c>
      <c r="BJ182" s="11"/>
      <c r="BK182" s="11"/>
      <c r="BL182" s="11">
        <v>47</v>
      </c>
      <c r="BM182">
        <v>0</v>
      </c>
      <c r="BN182" t="s">
        <v>692</v>
      </c>
      <c r="BO182" t="s">
        <v>694</v>
      </c>
      <c r="BP182" t="s">
        <v>701</v>
      </c>
      <c r="BQ182" t="s">
        <v>705</v>
      </c>
      <c r="BR182" t="s">
        <v>706</v>
      </c>
      <c r="BS182" t="s">
        <v>707</v>
      </c>
      <c r="CR182"/>
      <c r="CS182"/>
      <c r="CT182"/>
    </row>
    <row r="183" spans="1:98" x14ac:dyDescent="0.4">
      <c r="A183" s="2" t="s">
        <v>207</v>
      </c>
      <c r="B183" t="str">
        <f>_xlfn.TEXTAFTER(Table1[[#This Row],[VEHIDCODE]],"_")</f>
        <v>USA_Pennsylvania_Railroad_RF_16_Sharknose</v>
      </c>
      <c r="C183" t="s">
        <v>740</v>
      </c>
      <c r="D183" t="b">
        <f>OR(ISNUMBER(SEARCH("wagon_",Table1[[#This Row],[FILENAMES_EXPECTED]])),ISNUMBER(SEARCH("coach_",Table1[[#This Row],[FILENAMES_EXPECTED]])))</f>
        <v>0</v>
      </c>
      <c r="E183" t="str">
        <f>"item_"&amp;Table1[[#This Row],[VEHIDCODE]]</f>
        <v>item_diesel_USA_Pennsylvania_Railroad_RF_16_Sharknose</v>
      </c>
      <c r="F183" t="str">
        <f>"str_"&amp;Table1[[#This Row],[VEHIDCODE]]</f>
        <v>str_diesel_USA_Pennsylvania_Railroad_RF_16_Sharknose</v>
      </c>
      <c r="O183" s="2" t="b">
        <v>1</v>
      </c>
      <c r="AJ183" s="2"/>
      <c r="AK183" s="2" t="b">
        <f>LEN(_xlfn.CONCAT(Table1[[#This Row],[TRACK_TYPE_STANDARD_GAUGE_RAILTYPE_OHLE]:[TRACK_TYPE_MTRO]]))&gt;0</f>
        <v>1</v>
      </c>
      <c r="AL183">
        <v>7</v>
      </c>
      <c r="AM183" t="s">
        <v>20</v>
      </c>
      <c r="AN183">
        <v>0</v>
      </c>
      <c r="AO183" t="s">
        <v>35</v>
      </c>
      <c r="AP183">
        <v>0</v>
      </c>
      <c r="AQ183">
        <v>1950</v>
      </c>
      <c r="AR183">
        <v>7</v>
      </c>
      <c r="AS183" s="2" t="s">
        <v>20</v>
      </c>
      <c r="AT183" t="b">
        <v>1</v>
      </c>
      <c r="AV183" s="2"/>
      <c r="AW183">
        <v>45</v>
      </c>
      <c r="AX183">
        <v>1</v>
      </c>
      <c r="AY183">
        <v>1600</v>
      </c>
      <c r="AZ183" t="s">
        <v>711</v>
      </c>
      <c r="BA183">
        <v>140</v>
      </c>
      <c r="BB183" s="2">
        <v>0.16</v>
      </c>
      <c r="BC183" t="s">
        <v>928</v>
      </c>
      <c r="BD183" t="s">
        <v>922</v>
      </c>
      <c r="BE183" t="s">
        <v>940</v>
      </c>
      <c r="BF183" s="7">
        <v>40</v>
      </c>
      <c r="BG1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3">
        <v>-3</v>
      </c>
      <c r="BI183" t="s">
        <v>734</v>
      </c>
      <c r="BJ183" s="11"/>
      <c r="BK183" s="11"/>
      <c r="BL183" s="11">
        <v>121</v>
      </c>
      <c r="BM183">
        <v>0</v>
      </c>
      <c r="BN183" t="s">
        <v>692</v>
      </c>
      <c r="BO183" t="s">
        <v>694</v>
      </c>
      <c r="BP183" t="s">
        <v>701</v>
      </c>
      <c r="BQ183" t="s">
        <v>705</v>
      </c>
      <c r="BR183" t="s">
        <v>706</v>
      </c>
      <c r="BS183" t="s">
        <v>707</v>
      </c>
      <c r="CR183"/>
      <c r="CS183"/>
      <c r="CT183"/>
    </row>
    <row r="184" spans="1:98" x14ac:dyDescent="0.4">
      <c r="A184" s="2" t="s">
        <v>208</v>
      </c>
      <c r="B184" t="str">
        <f>_xlfn.TEXTAFTER(Table1[[#This Row],[VEHIDCODE]],"_")</f>
        <v>Uruguay_AFE_1500</v>
      </c>
      <c r="C184" t="s">
        <v>740</v>
      </c>
      <c r="D184" t="b">
        <f>OR(ISNUMBER(SEARCH("wagon_",Table1[[#This Row],[FILENAMES_EXPECTED]])),ISNUMBER(SEARCH("coach_",Table1[[#This Row],[FILENAMES_EXPECTED]])))</f>
        <v>0</v>
      </c>
      <c r="E184" t="str">
        <f>"item_"&amp;Table1[[#This Row],[VEHIDCODE]]</f>
        <v>item_diesel_Uruguay_AFE_1500</v>
      </c>
      <c r="F184" t="str">
        <f>"str_"&amp;Table1[[#This Row],[VEHIDCODE]]</f>
        <v>str_diesel_Uruguay_AFE_1500</v>
      </c>
      <c r="O184" s="2" t="b">
        <v>1</v>
      </c>
      <c r="AJ184" s="2"/>
      <c r="AK184" s="2" t="b">
        <f>LEN(_xlfn.CONCAT(Table1[[#This Row],[TRACK_TYPE_STANDARD_GAUGE_RAILTYPE_OHLE]:[TRACK_TYPE_MTRO]]))&gt;0</f>
        <v>1</v>
      </c>
      <c r="AL184">
        <v>8</v>
      </c>
      <c r="AM184" t="s">
        <v>20</v>
      </c>
      <c r="AN184">
        <v>0</v>
      </c>
      <c r="AO184" t="s">
        <v>35</v>
      </c>
      <c r="AP184">
        <v>0</v>
      </c>
      <c r="AQ184">
        <v>1952</v>
      </c>
      <c r="AR184">
        <v>8</v>
      </c>
      <c r="AS184" s="2" t="s">
        <v>20</v>
      </c>
      <c r="AT184" t="b">
        <v>1</v>
      </c>
      <c r="AV184" s="2"/>
      <c r="AW184">
        <v>45</v>
      </c>
      <c r="AX184">
        <v>1</v>
      </c>
      <c r="AY184">
        <v>1500</v>
      </c>
      <c r="AZ184" t="s">
        <v>711</v>
      </c>
      <c r="BA184">
        <v>110</v>
      </c>
      <c r="BB184" s="2">
        <v>0.18</v>
      </c>
      <c r="BC184" t="s">
        <v>930</v>
      </c>
      <c r="BD184" t="s">
        <v>922</v>
      </c>
      <c r="BE184" t="s">
        <v>940</v>
      </c>
      <c r="BF184" s="7">
        <v>40</v>
      </c>
      <c r="BG1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4">
        <v>0</v>
      </c>
      <c r="BI184" t="s">
        <v>734</v>
      </c>
      <c r="BJ184" s="11"/>
      <c r="BK184" s="11"/>
      <c r="BL184" s="11">
        <v>112</v>
      </c>
      <c r="BM184">
        <v>0</v>
      </c>
      <c r="BN184" t="s">
        <v>692</v>
      </c>
      <c r="BO184" t="s">
        <v>694</v>
      </c>
      <c r="BP184" t="s">
        <v>701</v>
      </c>
      <c r="BQ184" t="s">
        <v>705</v>
      </c>
      <c r="BR184" t="s">
        <v>706</v>
      </c>
      <c r="BS184" t="s">
        <v>707</v>
      </c>
      <c r="CR184"/>
      <c r="CS184"/>
      <c r="CT184"/>
    </row>
    <row r="185" spans="1:98" x14ac:dyDescent="0.4">
      <c r="A185" s="2" t="s">
        <v>209</v>
      </c>
      <c r="B185" t="str">
        <f>_xlfn.TEXTAFTER(Table1[[#This Row],[VEHIDCODE]],"_")</f>
        <v>Canada_CPR_Trainmaster</v>
      </c>
      <c r="C185" t="s">
        <v>740</v>
      </c>
      <c r="D185" t="b">
        <f>OR(ISNUMBER(SEARCH("wagon_",Table1[[#This Row],[FILENAMES_EXPECTED]])),ISNUMBER(SEARCH("coach_",Table1[[#This Row],[FILENAMES_EXPECTED]])))</f>
        <v>0</v>
      </c>
      <c r="E185" t="str">
        <f>"item_"&amp;Table1[[#This Row],[VEHIDCODE]]</f>
        <v>item_diesel_Canada_CPR_Trainmaster</v>
      </c>
      <c r="F185" t="str">
        <f>"str_"&amp;Table1[[#This Row],[VEHIDCODE]]</f>
        <v>str_diesel_Canada_CPR_Trainmaster</v>
      </c>
      <c r="O185" s="2" t="b">
        <v>1</v>
      </c>
      <c r="AJ185" s="2"/>
      <c r="AK185" s="2" t="b">
        <f>LEN(_xlfn.CONCAT(Table1[[#This Row],[TRACK_TYPE_STANDARD_GAUGE_RAILTYPE_OHLE]:[TRACK_TYPE_MTRO]]))&gt;0</f>
        <v>1</v>
      </c>
      <c r="AL185">
        <v>8</v>
      </c>
      <c r="AM185" t="s">
        <v>20</v>
      </c>
      <c r="AN185">
        <v>0</v>
      </c>
      <c r="AO185" t="s">
        <v>35</v>
      </c>
      <c r="AP185">
        <v>0</v>
      </c>
      <c r="AQ185">
        <v>1953</v>
      </c>
      <c r="AR185">
        <v>8</v>
      </c>
      <c r="AS185" s="2" t="s">
        <v>20</v>
      </c>
      <c r="AT185" t="b">
        <v>1</v>
      </c>
      <c r="AV185" s="2"/>
      <c r="AW185">
        <v>45</v>
      </c>
      <c r="AX185">
        <v>1</v>
      </c>
      <c r="AY185">
        <v>2400</v>
      </c>
      <c r="AZ185" t="s">
        <v>711</v>
      </c>
      <c r="BA185">
        <v>105</v>
      </c>
      <c r="BB185" s="2">
        <v>0.28999999999999998</v>
      </c>
      <c r="BC185" t="s">
        <v>928</v>
      </c>
      <c r="BD185" t="s">
        <v>922</v>
      </c>
      <c r="BE185" t="s">
        <v>940</v>
      </c>
      <c r="BF185" s="7">
        <v>40</v>
      </c>
      <c r="BG1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5">
        <v>0</v>
      </c>
      <c r="BI185" t="s">
        <v>734</v>
      </c>
      <c r="BJ185" s="11"/>
      <c r="BK185" s="11"/>
      <c r="BL185" s="11">
        <v>170</v>
      </c>
      <c r="BM185">
        <v>0</v>
      </c>
      <c r="BN185" t="s">
        <v>692</v>
      </c>
      <c r="BO185" t="s">
        <v>694</v>
      </c>
      <c r="BP185" t="s">
        <v>701</v>
      </c>
      <c r="BQ185" t="s">
        <v>705</v>
      </c>
      <c r="BR185" t="s">
        <v>706</v>
      </c>
      <c r="BS185" t="s">
        <v>707</v>
      </c>
      <c r="CR185"/>
      <c r="CS185"/>
      <c r="CT185"/>
    </row>
    <row r="186" spans="1:98" x14ac:dyDescent="0.4">
      <c r="A186" s="2" t="s">
        <v>210</v>
      </c>
      <c r="B186" t="str">
        <f>_xlfn.TEXTAFTER(Table1[[#This Row],[VEHIDCODE]],"_")</f>
        <v>Liberia_Liberia_Railways_Class_08</v>
      </c>
      <c r="C186" t="s">
        <v>740</v>
      </c>
      <c r="D186" t="b">
        <f>OR(ISNUMBER(SEARCH("wagon_",Table1[[#This Row],[FILENAMES_EXPECTED]])),ISNUMBER(SEARCH("coach_",Table1[[#This Row],[FILENAMES_EXPECTED]])))</f>
        <v>0</v>
      </c>
      <c r="E186" t="str">
        <f>"item_"&amp;Table1[[#This Row],[VEHIDCODE]]</f>
        <v>item_diesel_Liberia_Liberia_Railways_Class_08</v>
      </c>
      <c r="F186" t="str">
        <f>"str_"&amp;Table1[[#This Row],[VEHIDCODE]]</f>
        <v>str_diesel_Liberia_Liberia_Railways_Class_08</v>
      </c>
      <c r="O186" s="2" t="b">
        <v>1</v>
      </c>
      <c r="AJ186" s="2"/>
      <c r="AK186" s="2" t="b">
        <f>LEN(_xlfn.CONCAT(Table1[[#This Row],[TRACK_TYPE_STANDARD_GAUGE_RAILTYPE_OHLE]:[TRACK_TYPE_MTRO]]))&gt;0</f>
        <v>1</v>
      </c>
      <c r="AL186">
        <v>5</v>
      </c>
      <c r="AM186" t="s">
        <v>20</v>
      </c>
      <c r="AN186">
        <v>0</v>
      </c>
      <c r="AO186" t="s">
        <v>35</v>
      </c>
      <c r="AP186">
        <v>0</v>
      </c>
      <c r="AQ186">
        <v>1953</v>
      </c>
      <c r="AR186">
        <v>5</v>
      </c>
      <c r="AS186" s="2" t="s">
        <v>20</v>
      </c>
      <c r="AT186" t="b">
        <v>1</v>
      </c>
      <c r="AV186" s="2"/>
      <c r="AW186">
        <v>45</v>
      </c>
      <c r="AX186">
        <v>1</v>
      </c>
      <c r="AY186">
        <v>350</v>
      </c>
      <c r="AZ186" t="s">
        <v>711</v>
      </c>
      <c r="BA186">
        <v>35</v>
      </c>
      <c r="BB186" s="2">
        <v>0.32</v>
      </c>
      <c r="BC186" t="s">
        <v>926</v>
      </c>
      <c r="BD186" t="s">
        <v>922</v>
      </c>
      <c r="BE186" t="s">
        <v>940</v>
      </c>
      <c r="BF186" s="7">
        <v>40</v>
      </c>
      <c r="BG1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6">
        <v>0</v>
      </c>
      <c r="BI186" t="s">
        <v>734</v>
      </c>
      <c r="BJ186" s="11"/>
      <c r="BK186" s="11"/>
      <c r="BL186" s="11">
        <v>50</v>
      </c>
      <c r="BM186">
        <v>0</v>
      </c>
      <c r="BN186" t="s">
        <v>692</v>
      </c>
      <c r="BO186" t="s">
        <v>694</v>
      </c>
      <c r="BP186" t="s">
        <v>701</v>
      </c>
      <c r="BQ186" t="s">
        <v>705</v>
      </c>
      <c r="BR186" t="s">
        <v>706</v>
      </c>
      <c r="BS186" t="s">
        <v>707</v>
      </c>
      <c r="CR186"/>
      <c r="CS186"/>
      <c r="CT186"/>
    </row>
    <row r="187" spans="1:98" x14ac:dyDescent="0.4">
      <c r="A187" s="2" t="s">
        <v>211</v>
      </c>
      <c r="B187" t="str">
        <f>_xlfn.TEXTAFTER(Table1[[#This Row],[VEHIDCODE]],"_")</f>
        <v>Austria_OBB_2060</v>
      </c>
      <c r="C187" t="s">
        <v>740</v>
      </c>
      <c r="D187" t="b">
        <f>OR(ISNUMBER(SEARCH("wagon_",Table1[[#This Row],[FILENAMES_EXPECTED]])),ISNUMBER(SEARCH("coach_",Table1[[#This Row],[FILENAMES_EXPECTED]])))</f>
        <v>0</v>
      </c>
      <c r="E187" t="str">
        <f>"item_"&amp;Table1[[#This Row],[VEHIDCODE]]</f>
        <v>item_diesel_Austria_OBB_2060</v>
      </c>
      <c r="F187" t="str">
        <f>"str_"&amp;Table1[[#This Row],[VEHIDCODE]]</f>
        <v>str_diesel_Austria_OBB_2060</v>
      </c>
      <c r="O187" s="2" t="b">
        <v>1</v>
      </c>
      <c r="AJ187" s="2"/>
      <c r="AK187" s="2" t="b">
        <f>LEN(_xlfn.CONCAT(Table1[[#This Row],[TRACK_TYPE_STANDARD_GAUGE_RAILTYPE_OHLE]:[TRACK_TYPE_MTRO]]))&gt;0</f>
        <v>1</v>
      </c>
      <c r="AL187">
        <v>5</v>
      </c>
      <c r="AM187" t="s">
        <v>20</v>
      </c>
      <c r="AN187">
        <v>0</v>
      </c>
      <c r="AO187" t="s">
        <v>35</v>
      </c>
      <c r="AP187">
        <v>0</v>
      </c>
      <c r="AQ187">
        <v>1954</v>
      </c>
      <c r="AR187">
        <v>5</v>
      </c>
      <c r="AS187" s="2" t="s">
        <v>20</v>
      </c>
      <c r="AT187" t="b">
        <v>1</v>
      </c>
      <c r="AV187" s="2"/>
      <c r="AW187">
        <v>45</v>
      </c>
      <c r="AX187">
        <v>1</v>
      </c>
      <c r="AY187">
        <v>200</v>
      </c>
      <c r="AZ187" t="s">
        <v>711</v>
      </c>
      <c r="BA187">
        <v>60</v>
      </c>
      <c r="BB187" s="2">
        <v>0.28000000000000003</v>
      </c>
      <c r="BC187" t="s">
        <v>923</v>
      </c>
      <c r="BD187" t="s">
        <v>922</v>
      </c>
      <c r="BE187" t="s">
        <v>940</v>
      </c>
      <c r="BF187" s="7">
        <v>40</v>
      </c>
      <c r="BG1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7">
        <v>0</v>
      </c>
      <c r="BI187" t="s">
        <v>734</v>
      </c>
      <c r="BJ187" s="11"/>
      <c r="BK187" s="11"/>
      <c r="BL187" s="11">
        <v>28</v>
      </c>
      <c r="BM187">
        <v>0</v>
      </c>
      <c r="BN187" t="s">
        <v>692</v>
      </c>
      <c r="BO187" t="s">
        <v>694</v>
      </c>
      <c r="BP187" t="s">
        <v>701</v>
      </c>
      <c r="BQ187" t="s">
        <v>705</v>
      </c>
      <c r="BR187" t="s">
        <v>706</v>
      </c>
      <c r="BS187" t="s">
        <v>707</v>
      </c>
      <c r="CR187"/>
      <c r="CS187"/>
      <c r="CT187"/>
    </row>
    <row r="188" spans="1:98" x14ac:dyDescent="0.4">
      <c r="A188" s="2" t="s">
        <v>212</v>
      </c>
      <c r="B188" t="str">
        <f>_xlfn.TEXTAFTER(Table1[[#This Row],[VEHIDCODE]],"_")</f>
        <v>Canada_CNR_SW1200</v>
      </c>
      <c r="C188" t="s">
        <v>740</v>
      </c>
      <c r="D188" t="b">
        <f>OR(ISNUMBER(SEARCH("wagon_",Table1[[#This Row],[FILENAMES_EXPECTED]])),ISNUMBER(SEARCH("coach_",Table1[[#This Row],[FILENAMES_EXPECTED]])))</f>
        <v>0</v>
      </c>
      <c r="E188" t="str">
        <f>"item_"&amp;Table1[[#This Row],[VEHIDCODE]]</f>
        <v>item_diesel_Canada_CNR_SW1200</v>
      </c>
      <c r="F188" t="str">
        <f>"str_"&amp;Table1[[#This Row],[VEHIDCODE]]</f>
        <v>str_diesel_Canada_CNR_SW1200</v>
      </c>
      <c r="O188" s="2" t="b">
        <v>1</v>
      </c>
      <c r="AJ188" s="2"/>
      <c r="AK188" s="2" t="b">
        <f>LEN(_xlfn.CONCAT(Table1[[#This Row],[TRACK_TYPE_STANDARD_GAUGE_RAILTYPE_OHLE]:[TRACK_TYPE_MTRO]]))&gt;0</f>
        <v>1</v>
      </c>
      <c r="AL188">
        <v>6</v>
      </c>
      <c r="AM188" t="s">
        <v>20</v>
      </c>
      <c r="AN188">
        <v>0</v>
      </c>
      <c r="AO188" t="s">
        <v>35</v>
      </c>
      <c r="AP188">
        <v>0</v>
      </c>
      <c r="AQ188">
        <v>1954</v>
      </c>
      <c r="AR188">
        <v>6</v>
      </c>
      <c r="AS188" s="2" t="s">
        <v>20</v>
      </c>
      <c r="AT188" t="b">
        <v>1</v>
      </c>
      <c r="AV188" s="2"/>
      <c r="AW188">
        <v>45</v>
      </c>
      <c r="AX188">
        <v>1</v>
      </c>
      <c r="AY188">
        <v>1200</v>
      </c>
      <c r="AZ188" t="s">
        <v>711</v>
      </c>
      <c r="BA188">
        <v>104</v>
      </c>
      <c r="BB188" s="2">
        <v>0.14000000000000001</v>
      </c>
      <c r="BC188" t="s">
        <v>928</v>
      </c>
      <c r="BD188" t="s">
        <v>922</v>
      </c>
      <c r="BE188" t="s">
        <v>940</v>
      </c>
      <c r="BF188" s="7">
        <v>40</v>
      </c>
      <c r="BG1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8">
        <v>0</v>
      </c>
      <c r="BI188" t="s">
        <v>734</v>
      </c>
      <c r="BJ188" s="11"/>
      <c r="BK188" s="11"/>
      <c r="BL188" s="11">
        <v>111</v>
      </c>
      <c r="BM188">
        <v>0</v>
      </c>
      <c r="BN188" t="s">
        <v>692</v>
      </c>
      <c r="BO188" t="s">
        <v>694</v>
      </c>
      <c r="BP188" t="s">
        <v>701</v>
      </c>
      <c r="BQ188" t="s">
        <v>705</v>
      </c>
      <c r="BR188" t="s">
        <v>706</v>
      </c>
      <c r="BS188" t="s">
        <v>707</v>
      </c>
      <c r="CR188"/>
      <c r="CS188"/>
      <c r="CT188"/>
    </row>
    <row r="189" spans="1:98" x14ac:dyDescent="0.4">
      <c r="A189" s="2" t="s">
        <v>213</v>
      </c>
      <c r="B189" t="str">
        <f>_xlfn.TEXTAFTER(Table1[[#This Row],[VEHIDCODE]],"_")</f>
        <v>Canada_VIA_Rail_FP9</v>
      </c>
      <c r="C189" t="s">
        <v>740</v>
      </c>
      <c r="D189" t="b">
        <f>OR(ISNUMBER(SEARCH("wagon_",Table1[[#This Row],[FILENAMES_EXPECTED]])),ISNUMBER(SEARCH("coach_",Table1[[#This Row],[FILENAMES_EXPECTED]])))</f>
        <v>0</v>
      </c>
      <c r="E189" t="str">
        <f>"item_"&amp;Table1[[#This Row],[VEHIDCODE]]</f>
        <v>item_diesel_Canada_VIA_Rail_FP9</v>
      </c>
      <c r="F189" t="str">
        <f>"str_"&amp;Table1[[#This Row],[VEHIDCODE]]</f>
        <v>str_diesel_Canada_VIA_Rail_FP9</v>
      </c>
      <c r="O189" s="2" t="b">
        <v>1</v>
      </c>
      <c r="AJ189" s="2"/>
      <c r="AK189" s="2" t="b">
        <f>LEN(_xlfn.CONCAT(Table1[[#This Row],[TRACK_TYPE_STANDARD_GAUGE_RAILTYPE_OHLE]:[TRACK_TYPE_MTRO]]))&gt;0</f>
        <v>1</v>
      </c>
      <c r="AL189">
        <v>8</v>
      </c>
      <c r="AM189" t="s">
        <v>20</v>
      </c>
      <c r="AN189">
        <v>0</v>
      </c>
      <c r="AO189" t="s">
        <v>35</v>
      </c>
      <c r="AP189">
        <v>0</v>
      </c>
      <c r="AQ189">
        <v>1954</v>
      </c>
      <c r="AR189">
        <v>8</v>
      </c>
      <c r="AS189" s="2" t="s">
        <v>20</v>
      </c>
      <c r="AT189" t="b">
        <v>1</v>
      </c>
      <c r="AV189" s="2"/>
      <c r="AW189">
        <v>45</v>
      </c>
      <c r="AX189">
        <v>1</v>
      </c>
      <c r="AY189">
        <v>1750</v>
      </c>
      <c r="AZ189" t="s">
        <v>711</v>
      </c>
      <c r="BA189">
        <v>144</v>
      </c>
      <c r="BB189" s="2">
        <v>0.19</v>
      </c>
      <c r="BC189" t="s">
        <v>928</v>
      </c>
      <c r="BD189" t="s">
        <v>922</v>
      </c>
      <c r="BE189" t="s">
        <v>940</v>
      </c>
      <c r="BF189" s="7">
        <v>40</v>
      </c>
      <c r="BG1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89">
        <v>-3</v>
      </c>
      <c r="BI189" t="s">
        <v>734</v>
      </c>
      <c r="BJ189" s="11"/>
      <c r="BK189" s="11"/>
      <c r="BL189" s="11">
        <v>104</v>
      </c>
      <c r="BM189">
        <v>0</v>
      </c>
      <c r="BN189" t="s">
        <v>692</v>
      </c>
      <c r="BO189" t="s">
        <v>694</v>
      </c>
      <c r="BP189" t="s">
        <v>701</v>
      </c>
      <c r="BQ189" t="s">
        <v>705</v>
      </c>
      <c r="BR189" t="s">
        <v>706</v>
      </c>
      <c r="BS189" t="s">
        <v>707</v>
      </c>
      <c r="CR189"/>
      <c r="CS189"/>
      <c r="CT189"/>
    </row>
    <row r="190" spans="1:98" x14ac:dyDescent="0.4">
      <c r="A190" s="2" t="s">
        <v>214</v>
      </c>
      <c r="B190" t="str">
        <f>_xlfn.TEXTAFTER(Table1[[#This Row],[VEHIDCODE]],"_")</f>
        <v>Hungary_MAV_M44</v>
      </c>
      <c r="C190" t="s">
        <v>740</v>
      </c>
      <c r="D190" t="b">
        <f>OR(ISNUMBER(SEARCH("wagon_",Table1[[#This Row],[FILENAMES_EXPECTED]])),ISNUMBER(SEARCH("coach_",Table1[[#This Row],[FILENAMES_EXPECTED]])))</f>
        <v>0</v>
      </c>
      <c r="E190" t="str">
        <f>"item_"&amp;Table1[[#This Row],[VEHIDCODE]]</f>
        <v>item_diesel_Hungary_MAV_M44</v>
      </c>
      <c r="F190" t="str">
        <f>"str_"&amp;Table1[[#This Row],[VEHIDCODE]]</f>
        <v>str_diesel_Hungary_MAV_M44</v>
      </c>
      <c r="O190" s="2" t="b">
        <v>1</v>
      </c>
      <c r="AJ190" s="2"/>
      <c r="AK190" s="2" t="b">
        <f>LEN(_xlfn.CONCAT(Table1[[#This Row],[TRACK_TYPE_STANDARD_GAUGE_RAILTYPE_OHLE]:[TRACK_TYPE_MTRO]]))&gt;0</f>
        <v>1</v>
      </c>
      <c r="AL190">
        <v>6</v>
      </c>
      <c r="AM190" t="s">
        <v>20</v>
      </c>
      <c r="AN190">
        <v>0</v>
      </c>
      <c r="AO190" t="s">
        <v>35</v>
      </c>
      <c r="AP190">
        <v>0</v>
      </c>
      <c r="AQ190">
        <v>1954</v>
      </c>
      <c r="AR190">
        <v>6</v>
      </c>
      <c r="AS190" s="2" t="s">
        <v>20</v>
      </c>
      <c r="AT190" t="b">
        <v>1</v>
      </c>
      <c r="AV190" s="2"/>
      <c r="AW190">
        <v>45</v>
      </c>
      <c r="AX190">
        <v>0</v>
      </c>
      <c r="AY190">
        <v>590</v>
      </c>
      <c r="AZ190" t="s">
        <v>711</v>
      </c>
      <c r="BA190">
        <v>80</v>
      </c>
      <c r="BB190" s="2">
        <v>0.3</v>
      </c>
      <c r="BC190" t="s">
        <v>929</v>
      </c>
      <c r="BD190" t="s">
        <v>922</v>
      </c>
      <c r="BE190" t="s">
        <v>940</v>
      </c>
      <c r="BF190" s="7">
        <v>40</v>
      </c>
      <c r="BG1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0">
        <v>0</v>
      </c>
      <c r="BI190" t="s">
        <v>734</v>
      </c>
      <c r="BJ190" s="11"/>
      <c r="BK190" s="11"/>
      <c r="BL190" s="11">
        <v>55</v>
      </c>
      <c r="BM190">
        <v>0</v>
      </c>
      <c r="BN190" t="s">
        <v>692</v>
      </c>
      <c r="BO190" t="s">
        <v>694</v>
      </c>
      <c r="BP190" t="s">
        <v>701</v>
      </c>
      <c r="BQ190" t="s">
        <v>705</v>
      </c>
      <c r="BR190" t="s">
        <v>706</v>
      </c>
      <c r="BS190" t="s">
        <v>707</v>
      </c>
      <c r="CR190"/>
      <c r="CS190"/>
      <c r="CT190"/>
    </row>
    <row r="191" spans="1:98" x14ac:dyDescent="0.4">
      <c r="A191" s="2" t="s">
        <v>215</v>
      </c>
      <c r="B191" t="str">
        <f>_xlfn.TEXTAFTER(Table1[[#This Row],[VEHIDCODE]],"_")</f>
        <v>Hungary_MAV_M28</v>
      </c>
      <c r="C191" t="s">
        <v>740</v>
      </c>
      <c r="D191" t="b">
        <f>OR(ISNUMBER(SEARCH("wagon_",Table1[[#This Row],[FILENAMES_EXPECTED]])),ISNUMBER(SEARCH("coach_",Table1[[#This Row],[FILENAMES_EXPECTED]])))</f>
        <v>0</v>
      </c>
      <c r="E191" t="str">
        <f>"item_"&amp;Table1[[#This Row],[VEHIDCODE]]</f>
        <v>item_diesel_Hungary_MAV_M28</v>
      </c>
      <c r="F191" t="str">
        <f>"str_"&amp;Table1[[#This Row],[VEHIDCODE]]</f>
        <v>str_diesel_Hungary_MAV_M28</v>
      </c>
      <c r="O191" s="2" t="b">
        <v>1</v>
      </c>
      <c r="AJ191" s="2"/>
      <c r="AK191" s="2" t="b">
        <f>LEN(_xlfn.CONCAT(Table1[[#This Row],[TRACK_TYPE_STANDARD_GAUGE_RAILTYPE_OHLE]:[TRACK_TYPE_MTRO]]))&gt;0</f>
        <v>1</v>
      </c>
      <c r="AL191">
        <v>4</v>
      </c>
      <c r="AM191" t="s">
        <v>20</v>
      </c>
      <c r="AN191">
        <v>0</v>
      </c>
      <c r="AO191" t="s">
        <v>35</v>
      </c>
      <c r="AP191">
        <v>0</v>
      </c>
      <c r="AQ191">
        <v>1955</v>
      </c>
      <c r="AR191">
        <v>4</v>
      </c>
      <c r="AS191" s="2" t="s">
        <v>20</v>
      </c>
      <c r="AT191" t="b">
        <v>1</v>
      </c>
      <c r="AV191" s="2"/>
      <c r="AW191">
        <v>45</v>
      </c>
      <c r="AX191">
        <v>0</v>
      </c>
      <c r="AY191">
        <v>197</v>
      </c>
      <c r="AZ191" t="s">
        <v>711</v>
      </c>
      <c r="BA191">
        <v>50</v>
      </c>
      <c r="BB191" s="2">
        <v>0.32</v>
      </c>
      <c r="BC191" t="s">
        <v>929</v>
      </c>
      <c r="BD191" t="s">
        <v>922</v>
      </c>
      <c r="BE191" t="s">
        <v>940</v>
      </c>
      <c r="BF191" s="7">
        <v>40</v>
      </c>
      <c r="BG1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1">
        <v>0</v>
      </c>
      <c r="BI191" t="s">
        <v>734</v>
      </c>
      <c r="BJ191" s="11"/>
      <c r="BK191" s="11"/>
      <c r="BL191" s="11">
        <v>19</v>
      </c>
      <c r="BM191">
        <v>0</v>
      </c>
      <c r="BN191" t="s">
        <v>692</v>
      </c>
      <c r="BO191" t="s">
        <v>694</v>
      </c>
      <c r="BP191" t="s">
        <v>701</v>
      </c>
      <c r="BQ191" t="s">
        <v>705</v>
      </c>
      <c r="BR191" t="s">
        <v>706</v>
      </c>
      <c r="BS191" t="s">
        <v>707</v>
      </c>
      <c r="CR191"/>
      <c r="CS191"/>
      <c r="CT191"/>
    </row>
    <row r="192" spans="1:98" x14ac:dyDescent="0.4">
      <c r="A192" s="2" t="s">
        <v>216</v>
      </c>
      <c r="B192" t="str">
        <f>_xlfn.TEXTAFTER(Table1[[#This Row],[VEHIDCODE]],"_")</f>
        <v>Belgium_NMBS_SNCB_83</v>
      </c>
      <c r="C192" t="s">
        <v>740</v>
      </c>
      <c r="D192" t="b">
        <f>OR(ISNUMBER(SEARCH("wagon_",Table1[[#This Row],[FILENAMES_EXPECTED]])),ISNUMBER(SEARCH("coach_",Table1[[#This Row],[FILENAMES_EXPECTED]])))</f>
        <v>0</v>
      </c>
      <c r="E192" t="str">
        <f>"item_"&amp;Table1[[#This Row],[VEHIDCODE]]</f>
        <v>item_diesel_Belgium_NMBS_SNCB_83</v>
      </c>
      <c r="F192" t="str">
        <f>"str_"&amp;Table1[[#This Row],[VEHIDCODE]]</f>
        <v>str_diesel_Belgium_NMBS_SNCB_83</v>
      </c>
      <c r="O192" s="2" t="b">
        <v>1</v>
      </c>
      <c r="AJ192" s="2"/>
      <c r="AK192" s="2" t="b">
        <f>LEN(_xlfn.CONCAT(Table1[[#This Row],[TRACK_TYPE_STANDARD_GAUGE_RAILTYPE_OHLE]:[TRACK_TYPE_MTRO]]))&gt;0</f>
        <v>1</v>
      </c>
      <c r="AL192">
        <v>5</v>
      </c>
      <c r="AM192" t="s">
        <v>20</v>
      </c>
      <c r="AN192">
        <v>0</v>
      </c>
      <c r="AO192" t="s">
        <v>35</v>
      </c>
      <c r="AP192">
        <v>0</v>
      </c>
      <c r="AQ192">
        <v>1956</v>
      </c>
      <c r="AR192">
        <v>5</v>
      </c>
      <c r="AS192" s="2" t="s">
        <v>20</v>
      </c>
      <c r="AT192" t="b">
        <v>1</v>
      </c>
      <c r="AV192" s="2"/>
      <c r="AW192">
        <v>45</v>
      </c>
      <c r="AX192">
        <v>1</v>
      </c>
      <c r="AY192">
        <v>440</v>
      </c>
      <c r="AZ192" t="s">
        <v>711</v>
      </c>
      <c r="BA192">
        <v>50</v>
      </c>
      <c r="BB192" s="2">
        <v>0.39</v>
      </c>
      <c r="BC192" t="s">
        <v>923</v>
      </c>
      <c r="BD192" t="s">
        <v>922</v>
      </c>
      <c r="BE192" t="s">
        <v>940</v>
      </c>
      <c r="BF192" s="7">
        <v>40</v>
      </c>
      <c r="BG1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2">
        <v>0</v>
      </c>
      <c r="BI192" t="s">
        <v>734</v>
      </c>
      <c r="BJ192" s="11"/>
      <c r="BK192" s="11"/>
      <c r="BL192" s="11">
        <v>40</v>
      </c>
      <c r="BM192">
        <v>0</v>
      </c>
      <c r="BN192" t="s">
        <v>692</v>
      </c>
      <c r="BO192" t="s">
        <v>694</v>
      </c>
      <c r="BP192" t="s">
        <v>701</v>
      </c>
      <c r="BQ192" t="s">
        <v>705</v>
      </c>
      <c r="BR192" t="s">
        <v>706</v>
      </c>
      <c r="BS192" t="s">
        <v>707</v>
      </c>
      <c r="CR192"/>
      <c r="CS192"/>
      <c r="CT192"/>
    </row>
    <row r="193" spans="1:98" x14ac:dyDescent="0.4">
      <c r="A193" s="2" t="s">
        <v>217</v>
      </c>
      <c r="B193" t="str">
        <f>_xlfn.TEXTAFTER(Table1[[#This Row],[VEHIDCODE]],"_")</f>
        <v>Germany_DB_220</v>
      </c>
      <c r="C193" t="s">
        <v>740</v>
      </c>
      <c r="D193" t="b">
        <f>OR(ISNUMBER(SEARCH("wagon_",Table1[[#This Row],[FILENAMES_EXPECTED]])),ISNUMBER(SEARCH("coach_",Table1[[#This Row],[FILENAMES_EXPECTED]])))</f>
        <v>0</v>
      </c>
      <c r="E193" t="str">
        <f>"item_"&amp;Table1[[#This Row],[VEHIDCODE]]</f>
        <v>item_diesel_Germany_DB_220</v>
      </c>
      <c r="F193" t="str">
        <f>"str_"&amp;Table1[[#This Row],[VEHIDCODE]]</f>
        <v>str_diesel_Germany_DB_220</v>
      </c>
      <c r="O193" s="2" t="b">
        <v>1</v>
      </c>
      <c r="AJ193" s="2"/>
      <c r="AK193" s="2" t="b">
        <f>LEN(_xlfn.CONCAT(Table1[[#This Row],[TRACK_TYPE_STANDARD_GAUGE_RAILTYPE_OHLE]:[TRACK_TYPE_MTRO]]))&gt;0</f>
        <v>1</v>
      </c>
      <c r="AL193">
        <v>8</v>
      </c>
      <c r="AM193" t="s">
        <v>20</v>
      </c>
      <c r="AN193">
        <v>0</v>
      </c>
      <c r="AO193" t="s">
        <v>35</v>
      </c>
      <c r="AP193">
        <v>0</v>
      </c>
      <c r="AQ193">
        <v>1956</v>
      </c>
      <c r="AR193">
        <v>8</v>
      </c>
      <c r="AS193" s="2" t="s">
        <v>20</v>
      </c>
      <c r="AT193" t="b">
        <v>1</v>
      </c>
      <c r="AV193" s="2"/>
      <c r="AW193">
        <v>45</v>
      </c>
      <c r="AX193">
        <v>1</v>
      </c>
      <c r="AY193">
        <v>2169</v>
      </c>
      <c r="AZ193" t="s">
        <v>711</v>
      </c>
      <c r="BA193">
        <v>140</v>
      </c>
      <c r="BB193" s="2">
        <v>0.28999999999999998</v>
      </c>
      <c r="BC193" t="s">
        <v>923</v>
      </c>
      <c r="BD193" t="s">
        <v>922</v>
      </c>
      <c r="BE193" t="s">
        <v>940</v>
      </c>
      <c r="BF193" s="7">
        <v>40</v>
      </c>
      <c r="BG1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3">
        <v>0</v>
      </c>
      <c r="BI193" t="s">
        <v>734</v>
      </c>
      <c r="BJ193" s="11"/>
      <c r="BK193" s="11"/>
      <c r="BL193" s="11">
        <v>81</v>
      </c>
      <c r="BM193">
        <v>0</v>
      </c>
      <c r="BN193" t="s">
        <v>692</v>
      </c>
      <c r="BO193" t="s">
        <v>694</v>
      </c>
      <c r="BP193" t="s">
        <v>701</v>
      </c>
      <c r="BQ193" t="s">
        <v>705</v>
      </c>
      <c r="BR193" t="s">
        <v>706</v>
      </c>
      <c r="BS193" t="s">
        <v>707</v>
      </c>
      <c r="CR193"/>
      <c r="CS193"/>
      <c r="CT193"/>
    </row>
    <row r="194" spans="1:98" x14ac:dyDescent="0.4">
      <c r="A194" s="2" t="s">
        <v>218</v>
      </c>
      <c r="B194" t="str">
        <f>_xlfn.TEXTAFTER(Table1[[#This Row],[VEHIDCODE]],"_")</f>
        <v>USA_Amtrak_FL9</v>
      </c>
      <c r="C194" t="s">
        <v>740</v>
      </c>
      <c r="D194" t="b">
        <f>OR(ISNUMBER(SEARCH("wagon_",Table1[[#This Row],[FILENAMES_EXPECTED]])),ISNUMBER(SEARCH("coach_",Table1[[#This Row],[FILENAMES_EXPECTED]])))</f>
        <v>0</v>
      </c>
      <c r="E194" t="str">
        <f>"item_"&amp;Table1[[#This Row],[VEHIDCODE]]</f>
        <v>item_diesel_USA_Amtrak_FL9</v>
      </c>
      <c r="F194" t="str">
        <f>"str_"&amp;Table1[[#This Row],[VEHIDCODE]]</f>
        <v>str_diesel_USA_Amtrak_FL9</v>
      </c>
      <c r="O194" s="2" t="b">
        <v>1</v>
      </c>
      <c r="AJ194" s="2"/>
      <c r="AK194" s="2" t="b">
        <f>LEN(_xlfn.CONCAT(Table1[[#This Row],[TRACK_TYPE_STANDARD_GAUGE_RAILTYPE_OHLE]:[TRACK_TYPE_MTRO]]))&gt;0</f>
        <v>1</v>
      </c>
      <c r="AL194">
        <v>8</v>
      </c>
      <c r="AM194" t="s">
        <v>20</v>
      </c>
      <c r="AN194">
        <v>0</v>
      </c>
      <c r="AO194" t="s">
        <v>35</v>
      </c>
      <c r="AP194">
        <v>0</v>
      </c>
      <c r="AQ194">
        <v>1956</v>
      </c>
      <c r="AR194">
        <v>8</v>
      </c>
      <c r="AS194" s="2" t="s">
        <v>20</v>
      </c>
      <c r="AT194" t="b">
        <v>1</v>
      </c>
      <c r="AV194" s="2"/>
      <c r="AW194">
        <v>45</v>
      </c>
      <c r="AX194">
        <v>1</v>
      </c>
      <c r="AY194">
        <v>1750</v>
      </c>
      <c r="AZ194" t="s">
        <v>711</v>
      </c>
      <c r="BA194">
        <v>144</v>
      </c>
      <c r="BB194" s="2">
        <v>0.2</v>
      </c>
      <c r="BC194" t="s">
        <v>928</v>
      </c>
      <c r="BD194" t="s">
        <v>922</v>
      </c>
      <c r="BE194" t="s">
        <v>940</v>
      </c>
      <c r="BF194" s="7">
        <v>40</v>
      </c>
      <c r="BG1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4">
        <v>0</v>
      </c>
      <c r="BI194" t="s">
        <v>734</v>
      </c>
      <c r="BJ194" s="11"/>
      <c r="BK194" s="11"/>
      <c r="BL194" s="11">
        <v>130</v>
      </c>
      <c r="BM194">
        <v>0</v>
      </c>
      <c r="BN194" t="s">
        <v>692</v>
      </c>
      <c r="BO194" t="s">
        <v>694</v>
      </c>
      <c r="BP194" t="s">
        <v>701</v>
      </c>
      <c r="BQ194" t="s">
        <v>705</v>
      </c>
      <c r="BR194" t="s">
        <v>706</v>
      </c>
      <c r="BS194" t="s">
        <v>707</v>
      </c>
      <c r="CR194"/>
      <c r="CS194"/>
      <c r="CT194"/>
    </row>
    <row r="195" spans="1:98" x14ac:dyDescent="0.4">
      <c r="A195" s="2" t="s">
        <v>219</v>
      </c>
      <c r="B195" t="str">
        <f>_xlfn.TEXTAFTER(Table1[[#This Row],[VEHIDCODE]],"_")</f>
        <v>Czech_Republic_CD_720_ChME2</v>
      </c>
      <c r="C195" t="s">
        <v>740</v>
      </c>
      <c r="D195" t="b">
        <f>OR(ISNUMBER(SEARCH("wagon_",Table1[[#This Row],[FILENAMES_EXPECTED]])),ISNUMBER(SEARCH("coach_",Table1[[#This Row],[FILENAMES_EXPECTED]])))</f>
        <v>0</v>
      </c>
      <c r="E195" t="str">
        <f>"item_"&amp;Table1[[#This Row],[VEHIDCODE]]</f>
        <v>item_diesel_Czech_Republic_CD_720_ChME2</v>
      </c>
      <c r="F195" t="str">
        <f>"str_"&amp;Table1[[#This Row],[VEHIDCODE]]</f>
        <v>str_diesel_Czech_Republic_CD_720_ChME2</v>
      </c>
      <c r="O195" s="2" t="b">
        <v>1</v>
      </c>
      <c r="AJ195" s="2"/>
      <c r="AK195" s="2" t="b">
        <f>LEN(_xlfn.CONCAT(Table1[[#This Row],[TRACK_TYPE_STANDARD_GAUGE_RAILTYPE_OHLE]:[TRACK_TYPE_MTRO]]))&gt;0</f>
        <v>1</v>
      </c>
      <c r="AL195">
        <v>6</v>
      </c>
      <c r="AM195" t="s">
        <v>20</v>
      </c>
      <c r="AN195">
        <v>0</v>
      </c>
      <c r="AO195" t="s">
        <v>35</v>
      </c>
      <c r="AP195">
        <v>0</v>
      </c>
      <c r="AQ195">
        <v>1958</v>
      </c>
      <c r="AR195">
        <v>6</v>
      </c>
      <c r="AS195" s="2" t="s">
        <v>20</v>
      </c>
      <c r="AT195" t="b">
        <v>1</v>
      </c>
      <c r="AV195" s="2"/>
      <c r="AW195">
        <v>45</v>
      </c>
      <c r="AX195">
        <v>0</v>
      </c>
      <c r="AY195">
        <v>740</v>
      </c>
      <c r="AZ195" t="s">
        <v>711</v>
      </c>
      <c r="BA195">
        <v>80</v>
      </c>
      <c r="BB195" s="2">
        <v>0.28000000000000003</v>
      </c>
      <c r="BC195" t="s">
        <v>929</v>
      </c>
      <c r="BD195" t="s">
        <v>922</v>
      </c>
      <c r="BE195" t="s">
        <v>940</v>
      </c>
      <c r="BF195" s="7">
        <v>40</v>
      </c>
      <c r="BG1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5">
        <v>0</v>
      </c>
      <c r="BI195" t="s">
        <v>734</v>
      </c>
      <c r="BJ195" s="11"/>
      <c r="BK195" s="11"/>
      <c r="BL195" s="11">
        <v>61</v>
      </c>
      <c r="BM195">
        <v>0</v>
      </c>
      <c r="BN195" t="s">
        <v>692</v>
      </c>
      <c r="BO195" t="s">
        <v>694</v>
      </c>
      <c r="BP195" t="s">
        <v>701</v>
      </c>
      <c r="BQ195" t="s">
        <v>705</v>
      </c>
      <c r="BR195" t="s">
        <v>706</v>
      </c>
      <c r="BS195" t="s">
        <v>707</v>
      </c>
      <c r="CR195"/>
      <c r="CS195"/>
      <c r="CT195"/>
    </row>
    <row r="196" spans="1:98" x14ac:dyDescent="0.4">
      <c r="A196" s="2" t="s">
        <v>220</v>
      </c>
      <c r="B196" t="str">
        <f>_xlfn.TEXTAFTER(Table1[[#This Row],[VEHIDCODE]],"_")</f>
        <v>Finland_VR_Dr12</v>
      </c>
      <c r="C196" t="s">
        <v>740</v>
      </c>
      <c r="D196" t="b">
        <f>OR(ISNUMBER(SEARCH("wagon_",Table1[[#This Row],[FILENAMES_EXPECTED]])),ISNUMBER(SEARCH("coach_",Table1[[#This Row],[FILENAMES_EXPECTED]])))</f>
        <v>0</v>
      </c>
      <c r="E196" t="str">
        <f>"item_"&amp;Table1[[#This Row],[VEHIDCODE]]</f>
        <v>item_diesel_Finland_VR_Dr12</v>
      </c>
      <c r="F196" t="str">
        <f>"str_"&amp;Table1[[#This Row],[VEHIDCODE]]</f>
        <v>str_diesel_Finland_VR_Dr12</v>
      </c>
      <c r="AG196" s="2" t="b">
        <v>1</v>
      </c>
      <c r="AJ196" s="2"/>
      <c r="AK196" s="2" t="b">
        <f>LEN(_xlfn.CONCAT(Table1[[#This Row],[TRACK_TYPE_STANDARD_GAUGE_RAILTYPE_OHLE]:[TRACK_TYPE_MTRO]]))&gt;0</f>
        <v>1</v>
      </c>
      <c r="AL196">
        <v>8</v>
      </c>
      <c r="AM196" t="s">
        <v>20</v>
      </c>
      <c r="AN196">
        <v>0</v>
      </c>
      <c r="AO196" t="s">
        <v>35</v>
      </c>
      <c r="AP196">
        <v>0</v>
      </c>
      <c r="AQ196">
        <v>1959</v>
      </c>
      <c r="AR196">
        <v>8</v>
      </c>
      <c r="AS196" s="2" t="s">
        <v>20</v>
      </c>
      <c r="AT196" t="b">
        <v>1</v>
      </c>
      <c r="AV196" s="2"/>
      <c r="AW196">
        <v>45</v>
      </c>
      <c r="AX196">
        <v>1</v>
      </c>
      <c r="AY196">
        <v>1900</v>
      </c>
      <c r="AZ196" t="s">
        <v>711</v>
      </c>
      <c r="BA196">
        <v>120</v>
      </c>
      <c r="BB196" s="2">
        <v>0.18</v>
      </c>
      <c r="BC196" t="s">
        <v>927</v>
      </c>
      <c r="BD196" t="s">
        <v>922</v>
      </c>
      <c r="BE196" t="s">
        <v>940</v>
      </c>
      <c r="BF196" s="7">
        <v>40</v>
      </c>
      <c r="BG1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6">
        <v>0</v>
      </c>
      <c r="BI196" t="s">
        <v>734</v>
      </c>
      <c r="BJ196" s="11"/>
      <c r="BK196" s="11"/>
      <c r="BL196" s="11">
        <v>122</v>
      </c>
      <c r="BM196">
        <v>0</v>
      </c>
      <c r="BN196" t="s">
        <v>692</v>
      </c>
      <c r="BO196" t="s">
        <v>694</v>
      </c>
      <c r="BP196" t="s">
        <v>701</v>
      </c>
      <c r="BQ196" t="s">
        <v>705</v>
      </c>
      <c r="BR196" t="s">
        <v>706</v>
      </c>
      <c r="BS196" t="s">
        <v>707</v>
      </c>
      <c r="CR196"/>
      <c r="CS196"/>
      <c r="CT196"/>
    </row>
    <row r="197" spans="1:98" x14ac:dyDescent="0.4">
      <c r="A197" s="2" t="s">
        <v>221</v>
      </c>
      <c r="B197" t="str">
        <f>_xlfn.TEXTAFTER(Table1[[#This Row],[VEHIDCODE]],"_")</f>
        <v>Romania_CFR_060_DA</v>
      </c>
      <c r="C197" t="s">
        <v>740</v>
      </c>
      <c r="D197" t="b">
        <f>OR(ISNUMBER(SEARCH("wagon_",Table1[[#This Row],[FILENAMES_EXPECTED]])),ISNUMBER(SEARCH("coach_",Table1[[#This Row],[FILENAMES_EXPECTED]])))</f>
        <v>0</v>
      </c>
      <c r="E197" t="str">
        <f>"item_"&amp;Table1[[#This Row],[VEHIDCODE]]</f>
        <v>item_diesel_Romania_CFR_060_DA</v>
      </c>
      <c r="F197" t="str">
        <f>"str_"&amp;Table1[[#This Row],[VEHIDCODE]]</f>
        <v>str_diesel_Romania_CFR_060_DA</v>
      </c>
      <c r="O197" s="2" t="b">
        <v>1</v>
      </c>
      <c r="AJ197" s="2"/>
      <c r="AK197" s="2" t="b">
        <f>LEN(_xlfn.CONCAT(Table1[[#This Row],[TRACK_TYPE_STANDARD_GAUGE_RAILTYPE_OHLE]:[TRACK_TYPE_MTRO]]))&gt;0</f>
        <v>1</v>
      </c>
      <c r="AL197">
        <v>8</v>
      </c>
      <c r="AM197" t="s">
        <v>20</v>
      </c>
      <c r="AN197">
        <v>0</v>
      </c>
      <c r="AO197" t="s">
        <v>35</v>
      </c>
      <c r="AP197">
        <v>0</v>
      </c>
      <c r="AQ197">
        <v>1959</v>
      </c>
      <c r="AR197">
        <v>8</v>
      </c>
      <c r="AS197" s="2" t="s">
        <v>20</v>
      </c>
      <c r="AT197" t="b">
        <v>1</v>
      </c>
      <c r="AV197" s="2"/>
      <c r="AW197">
        <v>45</v>
      </c>
      <c r="AX197">
        <v>0</v>
      </c>
      <c r="AY197">
        <v>2070</v>
      </c>
      <c r="AZ197" t="s">
        <v>711</v>
      </c>
      <c r="BA197">
        <v>100</v>
      </c>
      <c r="BB197" s="2">
        <v>0.27</v>
      </c>
      <c r="BC197" t="s">
        <v>929</v>
      </c>
      <c r="BD197" t="s">
        <v>922</v>
      </c>
      <c r="BE197" t="s">
        <v>940</v>
      </c>
      <c r="BF197" s="7">
        <v>40</v>
      </c>
      <c r="BG1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7">
        <v>0</v>
      </c>
      <c r="BI197" t="s">
        <v>734</v>
      </c>
      <c r="BJ197" s="11"/>
      <c r="BK197" s="11"/>
      <c r="BL197" s="11">
        <v>116</v>
      </c>
      <c r="BM197">
        <v>0</v>
      </c>
      <c r="BN197" t="s">
        <v>692</v>
      </c>
      <c r="BO197" t="s">
        <v>694</v>
      </c>
      <c r="BP197" t="s">
        <v>701</v>
      </c>
      <c r="BQ197" t="s">
        <v>705</v>
      </c>
      <c r="BR197" t="s">
        <v>706</v>
      </c>
      <c r="BS197" t="s">
        <v>707</v>
      </c>
      <c r="CR197"/>
      <c r="CS197"/>
      <c r="CT197"/>
    </row>
    <row r="198" spans="1:98" x14ac:dyDescent="0.4">
      <c r="A198" s="2" t="s">
        <v>222</v>
      </c>
      <c r="B198" t="str">
        <f>_xlfn.TEXTAFTER(Table1[[#This Row],[VEHIDCODE]],"_")</f>
        <v>Brazil_BF_EMD_GL8</v>
      </c>
      <c r="C198" t="s">
        <v>740</v>
      </c>
      <c r="D198" t="b">
        <f>OR(ISNUMBER(SEARCH("wagon_",Table1[[#This Row],[FILENAMES_EXPECTED]])),ISNUMBER(SEARCH("coach_",Table1[[#This Row],[FILENAMES_EXPECTED]])))</f>
        <v>0</v>
      </c>
      <c r="E198" t="str">
        <f>"item_"&amp;Table1[[#This Row],[VEHIDCODE]]</f>
        <v>item_diesel_Brazil_BF_EMD_GL8</v>
      </c>
      <c r="F198" t="str">
        <f>"str_"&amp;Table1[[#This Row],[VEHIDCODE]]</f>
        <v>str_diesel_Brazil_BF_EMD_GL8</v>
      </c>
      <c r="O198" s="2" t="b">
        <v>1</v>
      </c>
      <c r="AJ198" s="2"/>
      <c r="AK198" s="2" t="b">
        <f>LEN(_xlfn.CONCAT(Table1[[#This Row],[TRACK_TYPE_STANDARD_GAUGE_RAILTYPE_OHLE]:[TRACK_TYPE_MTRO]]))&gt;0</f>
        <v>1</v>
      </c>
      <c r="AL198">
        <v>5</v>
      </c>
      <c r="AM198" t="s">
        <v>20</v>
      </c>
      <c r="AN198">
        <v>0</v>
      </c>
      <c r="AO198" t="s">
        <v>35</v>
      </c>
      <c r="AP198">
        <v>0</v>
      </c>
      <c r="AQ198">
        <v>1960</v>
      </c>
      <c r="AR198">
        <v>5</v>
      </c>
      <c r="AS198" s="2" t="s">
        <v>20</v>
      </c>
      <c r="AT198" t="b">
        <v>1</v>
      </c>
      <c r="AV198" s="2"/>
      <c r="AW198">
        <v>45</v>
      </c>
      <c r="AX198">
        <v>1</v>
      </c>
      <c r="AY198">
        <v>875</v>
      </c>
      <c r="AZ198" t="s">
        <v>711</v>
      </c>
      <c r="BA198">
        <v>124</v>
      </c>
      <c r="BB198" s="2">
        <v>0.13</v>
      </c>
      <c r="BC198" t="s">
        <v>930</v>
      </c>
      <c r="BD198" t="s">
        <v>922</v>
      </c>
      <c r="BE198" t="s">
        <v>940</v>
      </c>
      <c r="BF198" s="7">
        <v>40</v>
      </c>
      <c r="BG1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8">
        <v>0</v>
      </c>
      <c r="BI198" t="s">
        <v>734</v>
      </c>
      <c r="BJ198" s="11"/>
      <c r="BK198" s="11"/>
      <c r="BL198" s="11">
        <v>64</v>
      </c>
      <c r="BM198">
        <v>0</v>
      </c>
      <c r="BN198" t="s">
        <v>692</v>
      </c>
      <c r="BO198" t="s">
        <v>694</v>
      </c>
      <c r="BP198" t="s">
        <v>701</v>
      </c>
      <c r="BQ198" t="s">
        <v>705</v>
      </c>
      <c r="BR198" t="s">
        <v>706</v>
      </c>
      <c r="BS198" t="s">
        <v>707</v>
      </c>
      <c r="CR198"/>
      <c r="CS198"/>
      <c r="CT198"/>
    </row>
    <row r="199" spans="1:98" x14ac:dyDescent="0.4">
      <c r="A199" s="2" t="s">
        <v>223</v>
      </c>
      <c r="B199" t="str">
        <f>_xlfn.TEXTAFTER(Table1[[#This Row],[VEHIDCODE]],"_")</f>
        <v>Brazil_EFVM_ML4000</v>
      </c>
      <c r="C199" t="s">
        <v>740</v>
      </c>
      <c r="D199" t="b">
        <f>OR(ISNUMBER(SEARCH("wagon_",Table1[[#This Row],[FILENAMES_EXPECTED]])),ISNUMBER(SEARCH("coach_",Table1[[#This Row],[FILENAMES_EXPECTED]])))</f>
        <v>0</v>
      </c>
      <c r="E199" t="str">
        <f>"item_"&amp;Table1[[#This Row],[VEHIDCODE]]</f>
        <v>item_diesel_Brazil_EFVM_ML4000</v>
      </c>
      <c r="F199" t="str">
        <f>"str_"&amp;Table1[[#This Row],[VEHIDCODE]]</f>
        <v>str_diesel_Brazil_EFVM_ML4000</v>
      </c>
      <c r="O199" s="2" t="b">
        <v>1</v>
      </c>
      <c r="AJ199" s="2"/>
      <c r="AK199" s="2" t="b">
        <f>LEN(_xlfn.CONCAT(Table1[[#This Row],[TRACK_TYPE_STANDARD_GAUGE_RAILTYPE_OHLE]:[TRACK_TYPE_MTRO]]))&gt;0</f>
        <v>1</v>
      </c>
      <c r="AL199">
        <v>8</v>
      </c>
      <c r="AM199" t="s">
        <v>20</v>
      </c>
      <c r="AN199">
        <v>0</v>
      </c>
      <c r="AO199" t="s">
        <v>35</v>
      </c>
      <c r="AP199">
        <v>0</v>
      </c>
      <c r="AQ199">
        <v>1960</v>
      </c>
      <c r="AR199">
        <v>8</v>
      </c>
      <c r="AS199" s="2" t="s">
        <v>20</v>
      </c>
      <c r="AT199" t="b">
        <v>1</v>
      </c>
      <c r="AV199" s="2"/>
      <c r="AW199">
        <v>45</v>
      </c>
      <c r="AX199">
        <v>1</v>
      </c>
      <c r="AY199">
        <v>4000</v>
      </c>
      <c r="AZ199" t="s">
        <v>711</v>
      </c>
      <c r="BA199">
        <v>110</v>
      </c>
      <c r="BB199" s="2">
        <v>0.28999999999999998</v>
      </c>
      <c r="BC199" t="s">
        <v>930</v>
      </c>
      <c r="BD199" t="s">
        <v>922</v>
      </c>
      <c r="BE199" t="s">
        <v>940</v>
      </c>
      <c r="BF199" s="7">
        <v>40</v>
      </c>
      <c r="BG1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199">
        <v>0</v>
      </c>
      <c r="BI199" t="s">
        <v>734</v>
      </c>
      <c r="BJ199" s="11"/>
      <c r="BK199" s="11"/>
      <c r="BL199" s="11">
        <v>156</v>
      </c>
      <c r="BM199">
        <v>0</v>
      </c>
      <c r="BN199" t="s">
        <v>692</v>
      </c>
      <c r="BO199" t="s">
        <v>694</v>
      </c>
      <c r="BP199" t="s">
        <v>701</v>
      </c>
      <c r="BQ199" t="s">
        <v>705</v>
      </c>
      <c r="BR199" t="s">
        <v>706</v>
      </c>
      <c r="BS199" t="s">
        <v>707</v>
      </c>
      <c r="CR199"/>
      <c r="CS199"/>
      <c r="CT199"/>
    </row>
    <row r="200" spans="1:98" x14ac:dyDescent="0.4">
      <c r="A200" s="2" t="s">
        <v>224</v>
      </c>
      <c r="B200" t="str">
        <f>_xlfn.TEXTAFTER(Table1[[#This Row],[VEHIDCODE]],"_")</f>
        <v>Russia_RZD_TEP60</v>
      </c>
      <c r="C200" t="s">
        <v>740</v>
      </c>
      <c r="D200" t="b">
        <f>OR(ISNUMBER(SEARCH("wagon_",Table1[[#This Row],[FILENAMES_EXPECTED]])),ISNUMBER(SEARCH("coach_",Table1[[#This Row],[FILENAMES_EXPECTED]])))</f>
        <v>0</v>
      </c>
      <c r="E200" t="str">
        <f>"item_"&amp;Table1[[#This Row],[VEHIDCODE]]</f>
        <v>item_diesel_Russia_RZD_TEP60</v>
      </c>
      <c r="F200" t="str">
        <f>"str_"&amp;Table1[[#This Row],[VEHIDCODE]]</f>
        <v>str_diesel_Russia_RZD_TEP60</v>
      </c>
      <c r="AG200" s="2" t="b">
        <v>1</v>
      </c>
      <c r="AJ200" s="2"/>
      <c r="AK200" s="2" t="b">
        <f>LEN(_xlfn.CONCAT(Table1[[#This Row],[TRACK_TYPE_STANDARD_GAUGE_RAILTYPE_OHLE]:[TRACK_TYPE_MTRO]]))&gt;0</f>
        <v>1</v>
      </c>
      <c r="AL200">
        <v>8</v>
      </c>
      <c r="AM200" t="s">
        <v>20</v>
      </c>
      <c r="AN200">
        <v>0</v>
      </c>
      <c r="AO200" t="s">
        <v>35</v>
      </c>
      <c r="AP200">
        <v>0</v>
      </c>
      <c r="AQ200">
        <v>1960</v>
      </c>
      <c r="AR200">
        <v>8</v>
      </c>
      <c r="AS200" s="2" t="s">
        <v>20</v>
      </c>
      <c r="AT200" t="b">
        <v>1</v>
      </c>
      <c r="AV200" s="2"/>
      <c r="AW200">
        <v>45</v>
      </c>
      <c r="AX200">
        <v>1</v>
      </c>
      <c r="AY200">
        <v>2960</v>
      </c>
      <c r="AZ200" t="s">
        <v>711</v>
      </c>
      <c r="BA200">
        <v>160</v>
      </c>
      <c r="BB200" s="2">
        <v>0.15</v>
      </c>
      <c r="BC200" t="s">
        <v>931</v>
      </c>
      <c r="BD200" t="s">
        <v>922</v>
      </c>
      <c r="BE200" t="s">
        <v>940</v>
      </c>
      <c r="BF200" s="7">
        <v>40</v>
      </c>
      <c r="BG2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0">
        <v>0</v>
      </c>
      <c r="BI200" t="s">
        <v>734</v>
      </c>
      <c r="BJ200" s="11"/>
      <c r="BK200" s="11"/>
      <c r="BL200" s="11">
        <v>130</v>
      </c>
      <c r="BM200">
        <v>0</v>
      </c>
      <c r="BN200" t="s">
        <v>692</v>
      </c>
      <c r="BO200" t="s">
        <v>694</v>
      </c>
      <c r="BP200" t="s">
        <v>701</v>
      </c>
      <c r="BQ200" t="s">
        <v>705</v>
      </c>
      <c r="BR200" t="s">
        <v>706</v>
      </c>
      <c r="BS200" t="s">
        <v>707</v>
      </c>
      <c r="CR200"/>
      <c r="CS200"/>
      <c r="CT200"/>
    </row>
    <row r="201" spans="1:98" x14ac:dyDescent="0.4">
      <c r="A201" s="2" t="s">
        <v>225</v>
      </c>
      <c r="B201" t="str">
        <f>_xlfn.TEXTAFTER(Table1[[#This Row],[VEHIDCODE]],"_")</f>
        <v>Belgium_NMBS_SNCB_62</v>
      </c>
      <c r="C201" t="s">
        <v>740</v>
      </c>
      <c r="D201" t="b">
        <f>OR(ISNUMBER(SEARCH("wagon_",Table1[[#This Row],[FILENAMES_EXPECTED]])),ISNUMBER(SEARCH("coach_",Table1[[#This Row],[FILENAMES_EXPECTED]])))</f>
        <v>0</v>
      </c>
      <c r="E201" t="str">
        <f>"item_"&amp;Table1[[#This Row],[VEHIDCODE]]</f>
        <v>item_diesel_Belgium_NMBS_SNCB_62</v>
      </c>
      <c r="F201" t="str">
        <f>"str_"&amp;Table1[[#This Row],[VEHIDCODE]]</f>
        <v>str_diesel_Belgium_NMBS_SNCB_62</v>
      </c>
      <c r="O201" s="2" t="b">
        <v>1</v>
      </c>
      <c r="AJ201" s="2"/>
      <c r="AK201" s="2" t="b">
        <f>LEN(_xlfn.CONCAT(Table1[[#This Row],[TRACK_TYPE_STANDARD_GAUGE_RAILTYPE_OHLE]:[TRACK_TYPE_MTRO]]))&gt;0</f>
        <v>1</v>
      </c>
      <c r="AL201">
        <v>8</v>
      </c>
      <c r="AM201" t="s">
        <v>20</v>
      </c>
      <c r="AN201">
        <v>0</v>
      </c>
      <c r="AO201" t="s">
        <v>35</v>
      </c>
      <c r="AP201">
        <v>0</v>
      </c>
      <c r="AQ201">
        <v>1961</v>
      </c>
      <c r="AR201">
        <v>8</v>
      </c>
      <c r="AS201" s="2" t="s">
        <v>20</v>
      </c>
      <c r="AT201" t="b">
        <v>1</v>
      </c>
      <c r="AV201" s="2"/>
      <c r="AW201">
        <v>45</v>
      </c>
      <c r="AX201">
        <v>1</v>
      </c>
      <c r="AY201">
        <v>1408</v>
      </c>
      <c r="AZ201" t="s">
        <v>711</v>
      </c>
      <c r="BA201">
        <v>120</v>
      </c>
      <c r="BB201" s="2">
        <v>0.27</v>
      </c>
      <c r="BC201" t="s">
        <v>923</v>
      </c>
      <c r="BD201" t="s">
        <v>922</v>
      </c>
      <c r="BE201" t="s">
        <v>940</v>
      </c>
      <c r="BF201" s="7">
        <v>40</v>
      </c>
      <c r="BG2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1">
        <v>0</v>
      </c>
      <c r="BI201" t="s">
        <v>734</v>
      </c>
      <c r="BJ201" s="11"/>
      <c r="BK201" s="11"/>
      <c r="BL201" s="11">
        <v>80</v>
      </c>
      <c r="BM201">
        <v>0</v>
      </c>
      <c r="BN201" t="s">
        <v>692</v>
      </c>
      <c r="BO201" t="s">
        <v>694</v>
      </c>
      <c r="BP201" t="s">
        <v>701</v>
      </c>
      <c r="BQ201" t="s">
        <v>705</v>
      </c>
      <c r="BR201" t="s">
        <v>706</v>
      </c>
      <c r="BS201" t="s">
        <v>707</v>
      </c>
      <c r="CR201"/>
      <c r="CS201"/>
      <c r="CT201"/>
    </row>
    <row r="202" spans="1:98" x14ac:dyDescent="0.4">
      <c r="A202" s="2" t="s">
        <v>226</v>
      </c>
      <c r="B202" t="str">
        <f>_xlfn.TEXTAFTER(Table1[[#This Row],[VEHIDCODE]],"_")</f>
        <v>Denmark_DSB_MaK_100</v>
      </c>
      <c r="C202" t="s">
        <v>740</v>
      </c>
      <c r="D202" t="b">
        <f>OR(ISNUMBER(SEARCH("wagon_",Table1[[#This Row],[FILENAMES_EXPECTED]])),ISNUMBER(SEARCH("coach_",Table1[[#This Row],[FILENAMES_EXPECTED]])))</f>
        <v>0</v>
      </c>
      <c r="E202" t="str">
        <f>"item_"&amp;Table1[[#This Row],[VEHIDCODE]]</f>
        <v>item_diesel_Denmark_DSB_MaK_100</v>
      </c>
      <c r="F202" t="str">
        <f>"str_"&amp;Table1[[#This Row],[VEHIDCODE]]</f>
        <v>str_diesel_Denmark_DSB_MaK_100</v>
      </c>
      <c r="O202" s="2" t="b">
        <v>1</v>
      </c>
      <c r="AJ202" s="2"/>
      <c r="AK202" s="2" t="b">
        <f>LEN(_xlfn.CONCAT(Table1[[#This Row],[TRACK_TYPE_STANDARD_GAUGE_RAILTYPE_OHLE]:[TRACK_TYPE_MTRO]]))&gt;0</f>
        <v>1</v>
      </c>
      <c r="AL202">
        <v>7</v>
      </c>
      <c r="AM202" t="s">
        <v>20</v>
      </c>
      <c r="AN202">
        <v>0</v>
      </c>
      <c r="AO202" t="s">
        <v>35</v>
      </c>
      <c r="AP202">
        <v>0</v>
      </c>
      <c r="AQ202">
        <v>1962</v>
      </c>
      <c r="AR202">
        <v>7</v>
      </c>
      <c r="AS202" s="2" t="s">
        <v>20</v>
      </c>
      <c r="AT202" t="b">
        <v>1</v>
      </c>
      <c r="AV202" s="2"/>
      <c r="AW202">
        <v>45</v>
      </c>
      <c r="AX202">
        <v>0</v>
      </c>
      <c r="AY202">
        <v>650</v>
      </c>
      <c r="AZ202" t="s">
        <v>711</v>
      </c>
      <c r="BA202">
        <v>75</v>
      </c>
      <c r="BB202" s="2">
        <v>0.21</v>
      </c>
      <c r="BC202" t="s">
        <v>927</v>
      </c>
      <c r="BD202" t="s">
        <v>922</v>
      </c>
      <c r="BE202" t="s">
        <v>940</v>
      </c>
      <c r="BF202" s="7">
        <v>40</v>
      </c>
      <c r="BG2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2">
        <v>0</v>
      </c>
      <c r="BI202" t="s">
        <v>734</v>
      </c>
      <c r="BJ202" s="11"/>
      <c r="BK202" s="11"/>
      <c r="BL202" s="11">
        <v>45</v>
      </c>
      <c r="BM202">
        <v>0</v>
      </c>
      <c r="BN202" t="s">
        <v>692</v>
      </c>
      <c r="BO202" t="s">
        <v>694</v>
      </c>
      <c r="BP202" t="s">
        <v>701</v>
      </c>
      <c r="BQ202" t="s">
        <v>705</v>
      </c>
      <c r="BR202" t="s">
        <v>706</v>
      </c>
      <c r="BS202" t="s">
        <v>707</v>
      </c>
      <c r="CR202"/>
      <c r="CS202"/>
      <c r="CT202"/>
    </row>
    <row r="203" spans="1:98" x14ac:dyDescent="0.4">
      <c r="A203" s="2" t="s">
        <v>227</v>
      </c>
      <c r="B203" t="str">
        <f>_xlfn.TEXTAFTER(Table1[[#This Row],[VEHIDCODE]],"_")</f>
        <v>India_Indian_Railways_WDM_2</v>
      </c>
      <c r="C203" t="s">
        <v>740</v>
      </c>
      <c r="D203" t="b">
        <f>OR(ISNUMBER(SEARCH("wagon_",Table1[[#This Row],[FILENAMES_EXPECTED]])),ISNUMBER(SEARCH("coach_",Table1[[#This Row],[FILENAMES_EXPECTED]])))</f>
        <v>0</v>
      </c>
      <c r="E203" t="str">
        <f>"item_"&amp;Table1[[#This Row],[VEHIDCODE]]</f>
        <v>item_diesel_India_Indian_Railways_WDM_2</v>
      </c>
      <c r="F203" t="str">
        <f>"str_"&amp;Table1[[#This Row],[VEHIDCODE]]</f>
        <v>str_diesel_India_Indian_Railways_WDM_2</v>
      </c>
      <c r="AG203" s="2" t="b">
        <v>1</v>
      </c>
      <c r="AJ203" s="2"/>
      <c r="AK203" s="2" t="b">
        <f>LEN(_xlfn.CONCAT(Table1[[#This Row],[TRACK_TYPE_STANDARD_GAUGE_RAILTYPE_OHLE]:[TRACK_TYPE_MTRO]]))&gt;0</f>
        <v>1</v>
      </c>
      <c r="AL203">
        <v>7</v>
      </c>
      <c r="AM203" t="s">
        <v>20</v>
      </c>
      <c r="AN203">
        <v>0</v>
      </c>
      <c r="AO203" t="s">
        <v>35</v>
      </c>
      <c r="AP203">
        <v>0</v>
      </c>
      <c r="AQ203">
        <v>1963</v>
      </c>
      <c r="AR203">
        <v>7</v>
      </c>
      <c r="AS203" s="2" t="s">
        <v>20</v>
      </c>
      <c r="AT203" t="b">
        <v>1</v>
      </c>
      <c r="AV203" s="2"/>
      <c r="AW203">
        <v>45</v>
      </c>
      <c r="AX203">
        <v>1</v>
      </c>
      <c r="AY203">
        <v>2400</v>
      </c>
      <c r="AZ203" t="s">
        <v>711</v>
      </c>
      <c r="BA203">
        <v>120</v>
      </c>
      <c r="BB203" s="2">
        <v>0.27</v>
      </c>
      <c r="BC203" t="s">
        <v>931</v>
      </c>
      <c r="BD203" t="s">
        <v>922</v>
      </c>
      <c r="BE203" t="s">
        <v>940</v>
      </c>
      <c r="BF203" s="7">
        <v>40</v>
      </c>
      <c r="BG2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3">
        <v>0</v>
      </c>
      <c r="BI203" t="s">
        <v>734</v>
      </c>
      <c r="BJ203" s="11"/>
      <c r="BK203" s="11"/>
      <c r="BL203" s="11">
        <v>113</v>
      </c>
      <c r="BM203">
        <v>0</v>
      </c>
      <c r="BN203" t="s">
        <v>692</v>
      </c>
      <c r="BO203" t="s">
        <v>694</v>
      </c>
      <c r="BP203" t="s">
        <v>701</v>
      </c>
      <c r="BQ203" t="s">
        <v>705</v>
      </c>
      <c r="BR203" t="s">
        <v>706</v>
      </c>
      <c r="BS203" t="s">
        <v>707</v>
      </c>
      <c r="CR203"/>
      <c r="CS203"/>
      <c r="CT203"/>
    </row>
    <row r="204" spans="1:98" x14ac:dyDescent="0.4">
      <c r="A204" s="2" t="s">
        <v>228</v>
      </c>
      <c r="B204" t="str">
        <f>_xlfn.TEXTAFTER(Table1[[#This Row],[VEHIDCODE]],"_")</f>
        <v>UK_BR_14</v>
      </c>
      <c r="C204" t="s">
        <v>740</v>
      </c>
      <c r="D204" t="b">
        <f>OR(ISNUMBER(SEARCH("wagon_",Table1[[#This Row],[FILENAMES_EXPECTED]])),ISNUMBER(SEARCH("coach_",Table1[[#This Row],[FILENAMES_EXPECTED]])))</f>
        <v>0</v>
      </c>
      <c r="E204" t="str">
        <f>"item_"&amp;Table1[[#This Row],[VEHIDCODE]]</f>
        <v>item_diesel_UK_BR_14</v>
      </c>
      <c r="F204" t="str">
        <f>"str_"&amp;Table1[[#This Row],[VEHIDCODE]]</f>
        <v>str_diesel_UK_BR_14</v>
      </c>
      <c r="O204" s="2" t="b">
        <v>1</v>
      </c>
      <c r="AJ204" s="2"/>
      <c r="AK204" s="2" t="b">
        <f>LEN(_xlfn.CONCAT(Table1[[#This Row],[TRACK_TYPE_STANDARD_GAUGE_RAILTYPE_OHLE]:[TRACK_TYPE_MTRO]]))&gt;0</f>
        <v>1</v>
      </c>
      <c r="AL204">
        <v>6</v>
      </c>
      <c r="AM204" t="s">
        <v>20</v>
      </c>
      <c r="AN204">
        <v>0</v>
      </c>
      <c r="AO204" t="s">
        <v>35</v>
      </c>
      <c r="AP204">
        <v>0</v>
      </c>
      <c r="AQ204">
        <v>1964</v>
      </c>
      <c r="AR204">
        <v>6</v>
      </c>
      <c r="AS204" s="2" t="s">
        <v>20</v>
      </c>
      <c r="AT204" t="b">
        <v>1</v>
      </c>
      <c r="AV204" s="2"/>
      <c r="AW204">
        <v>45</v>
      </c>
      <c r="AX204">
        <v>0</v>
      </c>
      <c r="AY204">
        <v>650</v>
      </c>
      <c r="AZ204" t="s">
        <v>711</v>
      </c>
      <c r="BA204">
        <v>64</v>
      </c>
      <c r="BB204" s="2">
        <v>0.28000000000000003</v>
      </c>
      <c r="BC204" t="s">
        <v>927</v>
      </c>
      <c r="BD204" t="s">
        <v>922</v>
      </c>
      <c r="BE204" t="s">
        <v>940</v>
      </c>
      <c r="BF204" s="7">
        <v>40</v>
      </c>
      <c r="BG2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4">
        <v>0</v>
      </c>
      <c r="BI204" t="s">
        <v>734</v>
      </c>
      <c r="BJ204" s="11"/>
      <c r="BK204" s="11"/>
      <c r="BL204" s="11">
        <v>49</v>
      </c>
      <c r="BM204">
        <v>0</v>
      </c>
      <c r="BN204" t="s">
        <v>692</v>
      </c>
      <c r="BO204" t="s">
        <v>694</v>
      </c>
      <c r="BP204" t="s">
        <v>701</v>
      </c>
      <c r="BQ204" t="s">
        <v>705</v>
      </c>
      <c r="BR204" t="s">
        <v>706</v>
      </c>
      <c r="BS204" t="s">
        <v>707</v>
      </c>
      <c r="CR204"/>
      <c r="CS204"/>
      <c r="CT204"/>
    </row>
    <row r="205" spans="1:98" x14ac:dyDescent="0.4">
      <c r="A205" s="2" t="s">
        <v>229</v>
      </c>
      <c r="B205" t="str">
        <f>_xlfn.TEXTAFTER(Table1[[#This Row],[VEHIDCODE]],"_")</f>
        <v>Russia_RZD_ChME3</v>
      </c>
      <c r="C205" t="s">
        <v>740</v>
      </c>
      <c r="D205" t="b">
        <f>OR(ISNUMBER(SEARCH("wagon_",Table1[[#This Row],[FILENAMES_EXPECTED]])),ISNUMBER(SEARCH("coach_",Table1[[#This Row],[FILENAMES_EXPECTED]])))</f>
        <v>0</v>
      </c>
      <c r="E205" t="str">
        <f>"item_"&amp;Table1[[#This Row],[VEHIDCODE]]</f>
        <v>item_diesel_Russia_RZD_ChME3</v>
      </c>
      <c r="F205" t="str">
        <f>"str_"&amp;Table1[[#This Row],[VEHIDCODE]]</f>
        <v>str_diesel_Russia_RZD_ChME3</v>
      </c>
      <c r="AG205" s="2" t="b">
        <v>1</v>
      </c>
      <c r="AJ205" s="2"/>
      <c r="AK205" s="2" t="b">
        <f>LEN(_xlfn.CONCAT(Table1[[#This Row],[TRACK_TYPE_STANDARD_GAUGE_RAILTYPE_OHLE]:[TRACK_TYPE_MTRO]]))&gt;0</f>
        <v>1</v>
      </c>
      <c r="AL205">
        <v>8</v>
      </c>
      <c r="AM205" t="s">
        <v>20</v>
      </c>
      <c r="AN205">
        <v>0</v>
      </c>
      <c r="AO205" t="s">
        <v>35</v>
      </c>
      <c r="AP205">
        <v>0</v>
      </c>
      <c r="AQ205">
        <v>1964</v>
      </c>
      <c r="AR205">
        <v>8</v>
      </c>
      <c r="AS205" s="2" t="s">
        <v>20</v>
      </c>
      <c r="AT205" t="b">
        <v>1</v>
      </c>
      <c r="AV205" s="2"/>
      <c r="AW205">
        <v>45</v>
      </c>
      <c r="AX205">
        <v>1</v>
      </c>
      <c r="AY205">
        <v>1250</v>
      </c>
      <c r="AZ205" t="s">
        <v>711</v>
      </c>
      <c r="BA205">
        <v>95</v>
      </c>
      <c r="BB205" s="2">
        <v>0.28999999999999998</v>
      </c>
      <c r="BC205" t="s">
        <v>931</v>
      </c>
      <c r="BD205" t="s">
        <v>922</v>
      </c>
      <c r="BE205" t="s">
        <v>940</v>
      </c>
      <c r="BF205" s="7">
        <v>40</v>
      </c>
      <c r="BG2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5">
        <v>0</v>
      </c>
      <c r="BI205" t="s">
        <v>734</v>
      </c>
      <c r="BJ205" s="11"/>
      <c r="BK205" s="11"/>
      <c r="BL205" s="11">
        <v>123</v>
      </c>
      <c r="BM205">
        <v>0</v>
      </c>
      <c r="BN205" t="s">
        <v>692</v>
      </c>
      <c r="BO205" t="s">
        <v>694</v>
      </c>
      <c r="BP205" t="s">
        <v>701</v>
      </c>
      <c r="BQ205" t="s">
        <v>705</v>
      </c>
      <c r="BR205" t="s">
        <v>706</v>
      </c>
      <c r="BS205" t="s">
        <v>707</v>
      </c>
      <c r="CR205"/>
      <c r="CS205"/>
      <c r="CT205"/>
    </row>
    <row r="206" spans="1:98" x14ac:dyDescent="0.4">
      <c r="A206" s="2" t="s">
        <v>230</v>
      </c>
      <c r="B206" t="str">
        <f>_xlfn.TEXTAFTER(Table1[[#This Row],[VEHIDCODE]],"_")</f>
        <v>Argentina_MF_GM_EMD_J16CW_AC</v>
      </c>
      <c r="C206" t="s">
        <v>740</v>
      </c>
      <c r="D206" t="b">
        <f>OR(ISNUMBER(SEARCH("wagon_",Table1[[#This Row],[FILENAMES_EXPECTED]])),ISNUMBER(SEARCH("coach_",Table1[[#This Row],[FILENAMES_EXPECTED]])))</f>
        <v>0</v>
      </c>
      <c r="E206" t="str">
        <f>"item_"&amp;Table1[[#This Row],[VEHIDCODE]]</f>
        <v>item_diesel_Argentina_MF_GM_EMD_J16CW_AC</v>
      </c>
      <c r="F206" t="str">
        <f>"str_"&amp;Table1[[#This Row],[VEHIDCODE]]</f>
        <v>str_diesel_Argentina_MF_GM_EMD_J16CW_AC</v>
      </c>
      <c r="O206" s="2" t="b">
        <v>1</v>
      </c>
      <c r="AJ206" s="2"/>
      <c r="AK206" s="2" t="b">
        <f>LEN(_xlfn.CONCAT(Table1[[#This Row],[TRACK_TYPE_STANDARD_GAUGE_RAILTYPE_OHLE]:[TRACK_TYPE_MTRO]]))&gt;0</f>
        <v>1</v>
      </c>
      <c r="AL206">
        <v>8</v>
      </c>
      <c r="AM206" t="s">
        <v>20</v>
      </c>
      <c r="AN206">
        <v>0</v>
      </c>
      <c r="AO206" t="s">
        <v>35</v>
      </c>
      <c r="AP206">
        <v>0</v>
      </c>
      <c r="AQ206">
        <v>1965</v>
      </c>
      <c r="AR206">
        <v>8</v>
      </c>
      <c r="AS206" s="2" t="s">
        <v>20</v>
      </c>
      <c r="AT206" t="b">
        <v>1</v>
      </c>
      <c r="AV206" s="2"/>
      <c r="AW206">
        <v>45</v>
      </c>
      <c r="AX206">
        <v>1</v>
      </c>
      <c r="AY206">
        <v>1870</v>
      </c>
      <c r="AZ206" t="s">
        <v>711</v>
      </c>
      <c r="BA206">
        <v>120</v>
      </c>
      <c r="BB206" s="2">
        <v>0.21</v>
      </c>
      <c r="BC206" t="s">
        <v>930</v>
      </c>
      <c r="BD206" t="s">
        <v>922</v>
      </c>
      <c r="BE206" t="s">
        <v>940</v>
      </c>
      <c r="BF206" s="7">
        <v>40</v>
      </c>
      <c r="BG2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6">
        <v>0</v>
      </c>
      <c r="BI206" t="s">
        <v>734</v>
      </c>
      <c r="BJ206" s="11"/>
      <c r="BK206" s="11"/>
      <c r="BL206" s="11">
        <v>112</v>
      </c>
      <c r="BM206">
        <v>0</v>
      </c>
      <c r="BN206" t="s">
        <v>692</v>
      </c>
      <c r="BO206" t="s">
        <v>694</v>
      </c>
      <c r="BP206" t="s">
        <v>701</v>
      </c>
      <c r="BQ206" t="s">
        <v>705</v>
      </c>
      <c r="BR206" t="s">
        <v>706</v>
      </c>
      <c r="BS206" t="s">
        <v>707</v>
      </c>
      <c r="CR206"/>
      <c r="CS206"/>
      <c r="CT206"/>
    </row>
    <row r="207" spans="1:98" x14ac:dyDescent="0.4">
      <c r="A207" s="2" t="s">
        <v>231</v>
      </c>
      <c r="B207" t="str">
        <f>_xlfn.TEXTAFTER(Table1[[#This Row],[VEHIDCODE]],"_")</f>
        <v>Russia_RZD_M62</v>
      </c>
      <c r="C207" t="s">
        <v>740</v>
      </c>
      <c r="D207" t="b">
        <f>OR(ISNUMBER(SEARCH("wagon_",Table1[[#This Row],[FILENAMES_EXPECTED]])),ISNUMBER(SEARCH("coach_",Table1[[#This Row],[FILENAMES_EXPECTED]])))</f>
        <v>0</v>
      </c>
      <c r="E207" t="str">
        <f>"item_"&amp;Table1[[#This Row],[VEHIDCODE]]</f>
        <v>item_diesel_Russia_RZD_M62</v>
      </c>
      <c r="F207" t="str">
        <f>"str_"&amp;Table1[[#This Row],[VEHIDCODE]]</f>
        <v>str_diesel_Russia_RZD_M62</v>
      </c>
      <c r="AG207" s="2" t="b">
        <v>1</v>
      </c>
      <c r="AJ207" s="2"/>
      <c r="AK207" s="2" t="b">
        <f>LEN(_xlfn.CONCAT(Table1[[#This Row],[TRACK_TYPE_STANDARD_GAUGE_RAILTYPE_OHLE]:[TRACK_TYPE_MTRO]]))&gt;0</f>
        <v>1</v>
      </c>
      <c r="AL207">
        <v>8</v>
      </c>
      <c r="AM207" t="s">
        <v>20</v>
      </c>
      <c r="AN207">
        <v>0</v>
      </c>
      <c r="AO207" t="s">
        <v>35</v>
      </c>
      <c r="AP207">
        <v>0</v>
      </c>
      <c r="AQ207">
        <v>1965</v>
      </c>
      <c r="AR207">
        <v>8</v>
      </c>
      <c r="AS207" s="2" t="s">
        <v>20</v>
      </c>
      <c r="AT207" t="b">
        <v>1</v>
      </c>
      <c r="AV207" s="2"/>
      <c r="AW207">
        <v>45</v>
      </c>
      <c r="AX207">
        <v>1</v>
      </c>
      <c r="AY207">
        <v>1970</v>
      </c>
      <c r="AZ207" t="s">
        <v>711</v>
      </c>
      <c r="BA207">
        <v>100</v>
      </c>
      <c r="BB207" s="2">
        <v>0.3</v>
      </c>
      <c r="BC207" t="s">
        <v>931</v>
      </c>
      <c r="BD207" t="s">
        <v>922</v>
      </c>
      <c r="BE207" t="s">
        <v>940</v>
      </c>
      <c r="BF207" s="7">
        <v>40</v>
      </c>
      <c r="BG2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7">
        <v>0</v>
      </c>
      <c r="BI207" t="s">
        <v>734</v>
      </c>
      <c r="BJ207" s="11"/>
      <c r="BK207" s="11"/>
      <c r="BL207" s="11">
        <v>116</v>
      </c>
      <c r="BM207">
        <v>0</v>
      </c>
      <c r="BN207" t="s">
        <v>692</v>
      </c>
      <c r="BO207" t="s">
        <v>694</v>
      </c>
      <c r="BP207" t="s">
        <v>701</v>
      </c>
      <c r="BQ207" t="s">
        <v>705</v>
      </c>
      <c r="BR207" t="s">
        <v>706</v>
      </c>
      <c r="BS207" t="s">
        <v>707</v>
      </c>
      <c r="CR207"/>
      <c r="CS207"/>
      <c r="CT207"/>
    </row>
    <row r="208" spans="1:98" x14ac:dyDescent="0.4">
      <c r="A208" s="2" t="s">
        <v>232</v>
      </c>
      <c r="B208" t="str">
        <f>_xlfn.TEXTAFTER(Table1[[#This Row],[VEHIDCODE]],"_")</f>
        <v>Australia_NSWGR_422</v>
      </c>
      <c r="C208" t="s">
        <v>740</v>
      </c>
      <c r="D208" t="b">
        <f>OR(ISNUMBER(SEARCH("wagon_",Table1[[#This Row],[FILENAMES_EXPECTED]])),ISNUMBER(SEARCH("coach_",Table1[[#This Row],[FILENAMES_EXPECTED]])))</f>
        <v>0</v>
      </c>
      <c r="E208" t="str">
        <f>"item_"&amp;Table1[[#This Row],[VEHIDCODE]]</f>
        <v>item_diesel_Australia_NSWGR_422</v>
      </c>
      <c r="F208" t="str">
        <f>"str_"&amp;Table1[[#This Row],[VEHIDCODE]]</f>
        <v>str_diesel_Australia_NSWGR_422</v>
      </c>
      <c r="O208" s="2" t="b">
        <v>1</v>
      </c>
      <c r="AJ208" s="2"/>
      <c r="AK208" s="2" t="b">
        <f>LEN(_xlfn.CONCAT(Table1[[#This Row],[TRACK_TYPE_STANDARD_GAUGE_RAILTYPE_OHLE]:[TRACK_TYPE_MTRO]]))&gt;0</f>
        <v>1</v>
      </c>
      <c r="AL208">
        <v>8</v>
      </c>
      <c r="AM208" t="s">
        <v>20</v>
      </c>
      <c r="AN208">
        <v>0</v>
      </c>
      <c r="AO208" t="s">
        <v>35</v>
      </c>
      <c r="AP208">
        <v>0</v>
      </c>
      <c r="AQ208">
        <v>1969</v>
      </c>
      <c r="AR208">
        <v>8</v>
      </c>
      <c r="AS208" s="2" t="s">
        <v>20</v>
      </c>
      <c r="AT208" t="b">
        <v>1</v>
      </c>
      <c r="AV208" s="2"/>
      <c r="AW208">
        <v>45</v>
      </c>
      <c r="AX208">
        <v>1</v>
      </c>
      <c r="AY208">
        <v>2200</v>
      </c>
      <c r="AZ208" t="s">
        <v>711</v>
      </c>
      <c r="BA208">
        <v>124</v>
      </c>
      <c r="BB208" s="2">
        <v>0.25</v>
      </c>
      <c r="BC208" t="s">
        <v>925</v>
      </c>
      <c r="BD208" t="s">
        <v>922</v>
      </c>
      <c r="BE208" t="s">
        <v>940</v>
      </c>
      <c r="BF208" s="7">
        <v>40</v>
      </c>
      <c r="BG2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8">
        <v>0</v>
      </c>
      <c r="BI208" t="s">
        <v>734</v>
      </c>
      <c r="BJ208" s="11"/>
      <c r="BK208" s="11"/>
      <c r="BL208" s="11">
        <v>110</v>
      </c>
      <c r="BM208">
        <v>0</v>
      </c>
      <c r="BN208" t="s">
        <v>692</v>
      </c>
      <c r="BO208" t="s">
        <v>694</v>
      </c>
      <c r="BP208" t="s">
        <v>701</v>
      </c>
      <c r="BQ208" t="s">
        <v>705</v>
      </c>
      <c r="BR208" t="s">
        <v>706</v>
      </c>
      <c r="BS208" t="s">
        <v>707</v>
      </c>
      <c r="CR208"/>
      <c r="CS208"/>
      <c r="CT208"/>
    </row>
    <row r="209" spans="1:98" x14ac:dyDescent="0.4">
      <c r="A209" s="2" t="s">
        <v>233</v>
      </c>
      <c r="B209" t="str">
        <f>_xlfn.TEXTAFTER(Table1[[#This Row],[VEHIDCODE]],"_")</f>
        <v>Egypt_ENR_G22W</v>
      </c>
      <c r="C209" t="s">
        <v>740</v>
      </c>
      <c r="D209" t="b">
        <f>OR(ISNUMBER(SEARCH("wagon_",Table1[[#This Row],[FILENAMES_EXPECTED]])),ISNUMBER(SEARCH("coach_",Table1[[#This Row],[FILENAMES_EXPECTED]])))</f>
        <v>0</v>
      </c>
      <c r="E209" t="str">
        <f>"item_"&amp;Table1[[#This Row],[VEHIDCODE]]</f>
        <v>item_diesel_Egypt_ENR_G22W</v>
      </c>
      <c r="F209" t="str">
        <f>"str_"&amp;Table1[[#This Row],[VEHIDCODE]]</f>
        <v>str_diesel_Egypt_ENR_G22W</v>
      </c>
      <c r="O209" s="2" t="b">
        <v>1</v>
      </c>
      <c r="AJ209" s="2"/>
      <c r="AK209" s="2" t="b">
        <f>LEN(_xlfn.CONCAT(Table1[[#This Row],[TRACK_TYPE_STANDARD_GAUGE_RAILTYPE_OHLE]:[TRACK_TYPE_MTRO]]))&gt;0</f>
        <v>1</v>
      </c>
      <c r="AL209">
        <v>8</v>
      </c>
      <c r="AM209" t="s">
        <v>20</v>
      </c>
      <c r="AN209">
        <v>0</v>
      </c>
      <c r="AO209" t="s">
        <v>35</v>
      </c>
      <c r="AP209">
        <v>0</v>
      </c>
      <c r="AQ209">
        <v>1969</v>
      </c>
      <c r="AR209">
        <v>8</v>
      </c>
      <c r="AS209" s="2" t="s">
        <v>20</v>
      </c>
      <c r="AT209" t="b">
        <v>1</v>
      </c>
      <c r="AV209" s="2"/>
      <c r="AW209">
        <v>45</v>
      </c>
      <c r="AX209">
        <v>1</v>
      </c>
      <c r="AY209">
        <v>1650</v>
      </c>
      <c r="AZ209" t="s">
        <v>711</v>
      </c>
      <c r="BA209">
        <v>160</v>
      </c>
      <c r="BB209" s="2">
        <v>0.21</v>
      </c>
      <c r="BC209" t="s">
        <v>926</v>
      </c>
      <c r="BD209" t="s">
        <v>922</v>
      </c>
      <c r="BE209" t="s">
        <v>940</v>
      </c>
      <c r="BF209" s="7">
        <v>40</v>
      </c>
      <c r="BG2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09">
        <v>0</v>
      </c>
      <c r="BI209" t="s">
        <v>734</v>
      </c>
      <c r="BJ209" s="11"/>
      <c r="BK209" s="11"/>
      <c r="BL209" s="11">
        <v>72</v>
      </c>
      <c r="BM209">
        <v>0</v>
      </c>
      <c r="BN209" t="s">
        <v>692</v>
      </c>
      <c r="BO209" t="s">
        <v>694</v>
      </c>
      <c r="BP209" t="s">
        <v>701</v>
      </c>
      <c r="BQ209" t="s">
        <v>705</v>
      </c>
      <c r="BR209" t="s">
        <v>706</v>
      </c>
      <c r="BS209" t="s">
        <v>707</v>
      </c>
      <c r="CR209"/>
      <c r="CS209"/>
      <c r="CT209"/>
    </row>
    <row r="210" spans="1:98" x14ac:dyDescent="0.4">
      <c r="A210" s="2" t="s">
        <v>234</v>
      </c>
      <c r="B210" t="str">
        <f>_xlfn.TEXTAFTER(Table1[[#This Row],[VEHIDCODE]],"_")</f>
        <v>USA_UP_EMD_DDA40X</v>
      </c>
      <c r="C210" t="s">
        <v>740</v>
      </c>
      <c r="D210" t="b">
        <f>OR(ISNUMBER(SEARCH("wagon_",Table1[[#This Row],[FILENAMES_EXPECTED]])),ISNUMBER(SEARCH("coach_",Table1[[#This Row],[FILENAMES_EXPECTED]])))</f>
        <v>0</v>
      </c>
      <c r="E210" t="str">
        <f>"item_"&amp;Table1[[#This Row],[VEHIDCODE]]</f>
        <v>item_diesel_USA_UP_EMD_DDA40X</v>
      </c>
      <c r="F210" t="str">
        <f>"str_"&amp;Table1[[#This Row],[VEHIDCODE]]</f>
        <v>str_diesel_USA_UP_EMD_DDA40X</v>
      </c>
      <c r="O210" s="2" t="b">
        <v>1</v>
      </c>
      <c r="AJ210" s="2"/>
      <c r="AK210" s="2" t="b">
        <f>LEN(_xlfn.CONCAT(Table1[[#This Row],[TRACK_TYPE_STANDARD_GAUGE_RAILTYPE_OHLE]:[TRACK_TYPE_MTRO]]))&gt;0</f>
        <v>1</v>
      </c>
      <c r="AL210">
        <v>4</v>
      </c>
      <c r="AM210" t="s">
        <v>20</v>
      </c>
      <c r="AN210">
        <v>0</v>
      </c>
      <c r="AO210" t="s">
        <v>35</v>
      </c>
      <c r="AP210">
        <v>0</v>
      </c>
      <c r="AQ210">
        <v>1969</v>
      </c>
      <c r="AR210">
        <v>8</v>
      </c>
      <c r="AS210" s="2" t="s">
        <v>20</v>
      </c>
      <c r="AT210" t="b">
        <v>1</v>
      </c>
      <c r="AV210" s="2"/>
      <c r="AW210">
        <v>45</v>
      </c>
      <c r="AX210">
        <v>1</v>
      </c>
      <c r="AY210">
        <v>6600</v>
      </c>
      <c r="AZ210" t="s">
        <v>711</v>
      </c>
      <c r="BA210">
        <v>144</v>
      </c>
      <c r="BB210" s="2">
        <v>0.19</v>
      </c>
      <c r="BC210" t="s">
        <v>928</v>
      </c>
      <c r="BD210" t="s">
        <v>922</v>
      </c>
      <c r="BE210" t="s">
        <v>940</v>
      </c>
      <c r="BF210" s="7">
        <v>40</v>
      </c>
      <c r="BG2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0">
        <v>0</v>
      </c>
      <c r="BI210" t="s">
        <v>734</v>
      </c>
      <c r="BJ210" s="11"/>
      <c r="BK210" s="11"/>
      <c r="BL210" s="11">
        <v>261</v>
      </c>
      <c r="BM210">
        <v>0</v>
      </c>
      <c r="BN210" t="s">
        <v>692</v>
      </c>
      <c r="BO210" t="s">
        <v>694</v>
      </c>
      <c r="BP210" t="s">
        <v>701</v>
      </c>
      <c r="BQ210" t="s">
        <v>705</v>
      </c>
      <c r="BR210" t="s">
        <v>706</v>
      </c>
      <c r="BS210" t="s">
        <v>707</v>
      </c>
      <c r="CR210"/>
      <c r="CS210"/>
      <c r="CT210"/>
    </row>
    <row r="211" spans="1:98" x14ac:dyDescent="0.4">
      <c r="A211" s="2" t="s">
        <v>235</v>
      </c>
      <c r="B211" t="str">
        <f>_xlfn.TEXTAFTER(Table1[[#This Row],[VEHIDCODE]],"_")</f>
        <v>Australia_Queensland_Rail_2100</v>
      </c>
      <c r="C211" t="s">
        <v>740</v>
      </c>
      <c r="D211" t="b">
        <f>OR(ISNUMBER(SEARCH("wagon_",Table1[[#This Row],[FILENAMES_EXPECTED]])),ISNUMBER(SEARCH("coach_",Table1[[#This Row],[FILENAMES_EXPECTED]])))</f>
        <v>0</v>
      </c>
      <c r="E211" t="str">
        <f>"item_"&amp;Table1[[#This Row],[VEHIDCODE]]</f>
        <v>item_diesel_Australia_Queensland_Rail_2100</v>
      </c>
      <c r="F211" t="str">
        <f>"str_"&amp;Table1[[#This Row],[VEHIDCODE]]</f>
        <v>str_diesel_Australia_Queensland_Rail_2100</v>
      </c>
      <c r="X211" s="2" t="b">
        <v>1</v>
      </c>
      <c r="AJ211" s="2"/>
      <c r="AK211" s="2" t="b">
        <f>LEN(_xlfn.CONCAT(Table1[[#This Row],[TRACK_TYPE_STANDARD_GAUGE_RAILTYPE_OHLE]:[TRACK_TYPE_MTRO]]))&gt;0</f>
        <v>1</v>
      </c>
      <c r="AL211">
        <v>8</v>
      </c>
      <c r="AM211" t="s">
        <v>20</v>
      </c>
      <c r="AN211">
        <v>0</v>
      </c>
      <c r="AO211" t="s">
        <v>35</v>
      </c>
      <c r="AP211">
        <v>0</v>
      </c>
      <c r="AQ211">
        <v>1970</v>
      </c>
      <c r="AR211">
        <v>8</v>
      </c>
      <c r="AS211" s="2" t="s">
        <v>20</v>
      </c>
      <c r="AT211" t="b">
        <v>1</v>
      </c>
      <c r="AV211" s="2"/>
      <c r="AW211">
        <v>45</v>
      </c>
      <c r="AX211">
        <v>1</v>
      </c>
      <c r="AY211">
        <v>1950</v>
      </c>
      <c r="AZ211" t="s">
        <v>711</v>
      </c>
      <c r="BA211">
        <v>80</v>
      </c>
      <c r="BB211" s="2">
        <v>0.28999999999999998</v>
      </c>
      <c r="BC211" t="s">
        <v>925</v>
      </c>
      <c r="BD211" t="s">
        <v>922</v>
      </c>
      <c r="BE211" t="s">
        <v>940</v>
      </c>
      <c r="BF211" s="7">
        <v>40</v>
      </c>
      <c r="BG2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1">
        <v>0</v>
      </c>
      <c r="BI211" t="s">
        <v>734</v>
      </c>
      <c r="BJ211" s="11"/>
      <c r="BK211" s="11"/>
      <c r="BL211" s="11">
        <v>98</v>
      </c>
      <c r="BM211">
        <v>0</v>
      </c>
      <c r="BN211" t="s">
        <v>692</v>
      </c>
      <c r="BO211" t="s">
        <v>694</v>
      </c>
      <c r="BP211" t="s">
        <v>701</v>
      </c>
      <c r="BQ211" t="s">
        <v>705</v>
      </c>
      <c r="BR211" t="s">
        <v>706</v>
      </c>
      <c r="BS211" t="s">
        <v>707</v>
      </c>
      <c r="CR211"/>
      <c r="CS211"/>
      <c r="CT211"/>
    </row>
    <row r="212" spans="1:98" x14ac:dyDescent="0.4">
      <c r="A212" s="2" t="s">
        <v>236</v>
      </c>
      <c r="B212" t="str">
        <f>_xlfn.TEXTAFTER(Table1[[#This Row],[VEHIDCODE]],"_")</f>
        <v>Croatia_HZ_2062</v>
      </c>
      <c r="C212" t="s">
        <v>740</v>
      </c>
      <c r="D212" t="b">
        <f>OR(ISNUMBER(SEARCH("wagon_",Table1[[#This Row],[FILENAMES_EXPECTED]])),ISNUMBER(SEARCH("coach_",Table1[[#This Row],[FILENAMES_EXPECTED]])))</f>
        <v>0</v>
      </c>
      <c r="E212" t="str">
        <f>"item_"&amp;Table1[[#This Row],[VEHIDCODE]]</f>
        <v>item_diesel_Croatia_HZ_2062</v>
      </c>
      <c r="F212" t="str">
        <f>"str_"&amp;Table1[[#This Row],[VEHIDCODE]]</f>
        <v>str_diesel_Croatia_HZ_2062</v>
      </c>
      <c r="O212" s="2" t="b">
        <v>1</v>
      </c>
      <c r="AJ212" s="2"/>
      <c r="AK212" s="2" t="b">
        <f>LEN(_xlfn.CONCAT(Table1[[#This Row],[TRACK_TYPE_STANDARD_GAUGE_RAILTYPE_OHLE]:[TRACK_TYPE_MTRO]]))&gt;0</f>
        <v>1</v>
      </c>
      <c r="AL212">
        <v>8</v>
      </c>
      <c r="AM212" t="s">
        <v>20</v>
      </c>
      <c r="AN212">
        <v>0</v>
      </c>
      <c r="AO212" t="s">
        <v>35</v>
      </c>
      <c r="AP212">
        <v>0</v>
      </c>
      <c r="AQ212">
        <v>1972</v>
      </c>
      <c r="AR212">
        <v>8</v>
      </c>
      <c r="AS212" s="2" t="s">
        <v>20</v>
      </c>
      <c r="AT212" t="b">
        <v>1</v>
      </c>
      <c r="AV212" s="2"/>
      <c r="AW212">
        <v>45</v>
      </c>
      <c r="AX212">
        <v>1</v>
      </c>
      <c r="AY212">
        <v>2200</v>
      </c>
      <c r="AZ212" t="s">
        <v>711</v>
      </c>
      <c r="BA212">
        <v>124</v>
      </c>
      <c r="BB212" s="2">
        <v>0.26</v>
      </c>
      <c r="BC212" t="s">
        <v>929</v>
      </c>
      <c r="BD212" t="s">
        <v>922</v>
      </c>
      <c r="BE212" t="s">
        <v>940</v>
      </c>
      <c r="BF212" s="7">
        <v>40</v>
      </c>
      <c r="BG2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2">
        <v>0</v>
      </c>
      <c r="BI212" t="s">
        <v>734</v>
      </c>
      <c r="BJ212" s="11"/>
      <c r="BK212" s="11"/>
      <c r="BL212" s="11">
        <v>103</v>
      </c>
      <c r="BM212">
        <v>0</v>
      </c>
      <c r="BN212" t="s">
        <v>692</v>
      </c>
      <c r="BO212" t="s">
        <v>694</v>
      </c>
      <c r="BP212" t="s">
        <v>701</v>
      </c>
      <c r="BQ212" t="s">
        <v>705</v>
      </c>
      <c r="BR212" t="s">
        <v>706</v>
      </c>
      <c r="BS212" t="s">
        <v>707</v>
      </c>
      <c r="CR212"/>
      <c r="CS212"/>
      <c r="CT212"/>
    </row>
    <row r="213" spans="1:98" x14ac:dyDescent="0.4">
      <c r="A213" s="2" t="s">
        <v>237</v>
      </c>
      <c r="B213" t="str">
        <f>_xlfn.TEXTAFTER(Table1[[#This Row],[VEHIDCODE]],"_")</f>
        <v>Sweden_SJ_V4</v>
      </c>
      <c r="C213" t="s">
        <v>740</v>
      </c>
      <c r="D213" t="b">
        <f>OR(ISNUMBER(SEARCH("wagon_",Table1[[#This Row],[FILENAMES_EXPECTED]])),ISNUMBER(SEARCH("coach_",Table1[[#This Row],[FILENAMES_EXPECTED]])))</f>
        <v>0</v>
      </c>
      <c r="E213" t="str">
        <f>"item_"&amp;Table1[[#This Row],[VEHIDCODE]]</f>
        <v>item_diesel_Sweden_SJ_V4</v>
      </c>
      <c r="F213" t="str">
        <f>"str_"&amp;Table1[[#This Row],[VEHIDCODE]]</f>
        <v>str_diesel_Sweden_SJ_V4</v>
      </c>
      <c r="O213" s="2" t="b">
        <v>1</v>
      </c>
      <c r="AJ213" s="2"/>
      <c r="AK213" s="2" t="b">
        <f>LEN(_xlfn.CONCAT(Table1[[#This Row],[TRACK_TYPE_STANDARD_GAUGE_RAILTYPE_OHLE]:[TRACK_TYPE_MTRO]]))&gt;0</f>
        <v>1</v>
      </c>
      <c r="AL213">
        <v>6</v>
      </c>
      <c r="AM213" t="s">
        <v>20</v>
      </c>
      <c r="AN213">
        <v>0</v>
      </c>
      <c r="AO213" t="s">
        <v>35</v>
      </c>
      <c r="AP213">
        <v>0</v>
      </c>
      <c r="AQ213">
        <v>1972</v>
      </c>
      <c r="AR213">
        <v>6</v>
      </c>
      <c r="AS213" s="2" t="s">
        <v>20</v>
      </c>
      <c r="AT213" t="b">
        <v>1</v>
      </c>
      <c r="AV213" s="2"/>
      <c r="AW213">
        <v>45</v>
      </c>
      <c r="AX213">
        <v>0</v>
      </c>
      <c r="AY213">
        <v>620</v>
      </c>
      <c r="AZ213" t="s">
        <v>711</v>
      </c>
      <c r="BA213">
        <v>70</v>
      </c>
      <c r="BB213" s="2">
        <v>0.3</v>
      </c>
      <c r="BC213" t="s">
        <v>927</v>
      </c>
      <c r="BD213" t="s">
        <v>922</v>
      </c>
      <c r="BE213" t="s">
        <v>940</v>
      </c>
      <c r="BF213" s="7">
        <v>40</v>
      </c>
      <c r="BG2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3">
        <v>0</v>
      </c>
      <c r="BI213" t="s">
        <v>734</v>
      </c>
      <c r="BJ213" s="11"/>
      <c r="BK213" s="11"/>
      <c r="BL213" s="11">
        <v>46</v>
      </c>
      <c r="BM213">
        <v>0</v>
      </c>
      <c r="BN213" t="s">
        <v>692</v>
      </c>
      <c r="BO213" t="s">
        <v>694</v>
      </c>
      <c r="BP213" t="s">
        <v>701</v>
      </c>
      <c r="BQ213" t="s">
        <v>705</v>
      </c>
      <c r="BR213" t="s">
        <v>706</v>
      </c>
      <c r="BS213" t="s">
        <v>707</v>
      </c>
      <c r="CR213"/>
      <c r="CS213"/>
      <c r="CT213"/>
    </row>
    <row r="214" spans="1:98" x14ac:dyDescent="0.4">
      <c r="A214" s="2" t="s">
        <v>238</v>
      </c>
      <c r="B214" t="str">
        <f>_xlfn.TEXTAFTER(Table1[[#This Row],[VEHIDCODE]],"_")</f>
        <v>Canada_CNR_MLW_M420W</v>
      </c>
      <c r="C214" t="s">
        <v>740</v>
      </c>
      <c r="D214" t="b">
        <f>OR(ISNUMBER(SEARCH("wagon_",Table1[[#This Row],[FILENAMES_EXPECTED]])),ISNUMBER(SEARCH("coach_",Table1[[#This Row],[FILENAMES_EXPECTED]])))</f>
        <v>0</v>
      </c>
      <c r="E214" t="str">
        <f>"item_"&amp;Table1[[#This Row],[VEHIDCODE]]</f>
        <v>item_diesel_Canada_CNR_MLW_M420W</v>
      </c>
      <c r="F214" t="str">
        <f>"str_"&amp;Table1[[#This Row],[VEHIDCODE]]</f>
        <v>str_diesel_Canada_CNR_MLW_M420W</v>
      </c>
      <c r="O214" s="2" t="b">
        <v>1</v>
      </c>
      <c r="AJ214" s="2"/>
      <c r="AK214" s="2" t="b">
        <f>LEN(_xlfn.CONCAT(Table1[[#This Row],[TRACK_TYPE_STANDARD_GAUGE_RAILTYPE_OHLE]:[TRACK_TYPE_MTRO]]))&gt;0</f>
        <v>1</v>
      </c>
      <c r="AL214">
        <v>8</v>
      </c>
      <c r="AM214" t="s">
        <v>20</v>
      </c>
      <c r="AN214">
        <v>0</v>
      </c>
      <c r="AO214" t="s">
        <v>35</v>
      </c>
      <c r="AP214">
        <v>0</v>
      </c>
      <c r="AQ214">
        <v>1973</v>
      </c>
      <c r="AR214">
        <v>8</v>
      </c>
      <c r="AS214" s="2" t="s">
        <v>20</v>
      </c>
      <c r="AT214" t="b">
        <v>1</v>
      </c>
      <c r="AV214" s="2"/>
      <c r="AW214">
        <v>45</v>
      </c>
      <c r="AX214">
        <v>1</v>
      </c>
      <c r="AY214">
        <v>2400</v>
      </c>
      <c r="AZ214" t="s">
        <v>711</v>
      </c>
      <c r="BA214">
        <v>108</v>
      </c>
      <c r="BB214" s="2">
        <v>0.13</v>
      </c>
      <c r="BC214" t="s">
        <v>928</v>
      </c>
      <c r="BD214" t="s">
        <v>922</v>
      </c>
      <c r="BE214" t="s">
        <v>940</v>
      </c>
      <c r="BF214" s="7">
        <v>40</v>
      </c>
      <c r="BG2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4">
        <v>0</v>
      </c>
      <c r="BI214" t="s">
        <v>734</v>
      </c>
      <c r="BJ214" s="11"/>
      <c r="BK214" s="11"/>
      <c r="BL214" s="11">
        <v>125</v>
      </c>
      <c r="BM214">
        <v>0</v>
      </c>
      <c r="BN214" t="s">
        <v>692</v>
      </c>
      <c r="BO214" t="s">
        <v>694</v>
      </c>
      <c r="BP214" t="s">
        <v>701</v>
      </c>
      <c r="BQ214" t="s">
        <v>705</v>
      </c>
      <c r="BR214" t="s">
        <v>706</v>
      </c>
      <c r="BS214" t="s">
        <v>707</v>
      </c>
      <c r="CR214"/>
      <c r="CS214"/>
      <c r="CT214"/>
    </row>
    <row r="215" spans="1:98" x14ac:dyDescent="0.4">
      <c r="A215" s="2" t="s">
        <v>239</v>
      </c>
      <c r="B215" t="str">
        <f>_xlfn.TEXTAFTER(Table1[[#This Row],[VEHIDCODE]],"_")</f>
        <v>USA_Amtrack_SDP_40F</v>
      </c>
      <c r="C215" t="s">
        <v>740</v>
      </c>
      <c r="D215" t="b">
        <f>OR(ISNUMBER(SEARCH("wagon_",Table1[[#This Row],[FILENAMES_EXPECTED]])),ISNUMBER(SEARCH("coach_",Table1[[#This Row],[FILENAMES_EXPECTED]])))</f>
        <v>0</v>
      </c>
      <c r="E215" t="str">
        <f>"item_"&amp;Table1[[#This Row],[VEHIDCODE]]</f>
        <v>item_diesel_USA_Amtrack_SDP_40F</v>
      </c>
      <c r="F215" t="str">
        <f>"str_"&amp;Table1[[#This Row],[VEHIDCODE]]</f>
        <v>str_diesel_USA_Amtrack_SDP_40F</v>
      </c>
      <c r="O215" s="2" t="b">
        <v>1</v>
      </c>
      <c r="AJ215" s="2"/>
      <c r="AK215" s="2" t="b">
        <f>LEN(_xlfn.CONCAT(Table1[[#This Row],[TRACK_TYPE_STANDARD_GAUGE_RAILTYPE_OHLE]:[TRACK_TYPE_MTRO]]))&gt;0</f>
        <v>1</v>
      </c>
      <c r="AL215">
        <v>8</v>
      </c>
      <c r="AM215" t="s">
        <v>20</v>
      </c>
      <c r="AN215">
        <v>0</v>
      </c>
      <c r="AO215" t="s">
        <v>35</v>
      </c>
      <c r="AP215">
        <v>0</v>
      </c>
      <c r="AQ215">
        <v>1973</v>
      </c>
      <c r="AR215">
        <v>8</v>
      </c>
      <c r="AS215" s="2" t="s">
        <v>20</v>
      </c>
      <c r="AT215" t="b">
        <v>1</v>
      </c>
      <c r="AV215" s="2"/>
      <c r="AW215">
        <v>45</v>
      </c>
      <c r="AX215">
        <v>1</v>
      </c>
      <c r="AY215">
        <v>3000</v>
      </c>
      <c r="AZ215" t="s">
        <v>711</v>
      </c>
      <c r="BA215">
        <v>153</v>
      </c>
      <c r="BB215" s="2">
        <v>0.15</v>
      </c>
      <c r="BC215" t="s">
        <v>928</v>
      </c>
      <c r="BD215" t="s">
        <v>922</v>
      </c>
      <c r="BE215" t="s">
        <v>940</v>
      </c>
      <c r="BF215" s="7">
        <v>40</v>
      </c>
      <c r="BG2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5">
        <v>-3</v>
      </c>
      <c r="BI215" t="s">
        <v>734</v>
      </c>
      <c r="BJ215" s="11"/>
      <c r="BK215" s="11"/>
      <c r="BL215" s="11">
        <v>131</v>
      </c>
      <c r="BM215">
        <v>0</v>
      </c>
      <c r="BN215" t="s">
        <v>692</v>
      </c>
      <c r="BO215" t="s">
        <v>694</v>
      </c>
      <c r="BP215" t="s">
        <v>701</v>
      </c>
      <c r="BQ215" t="s">
        <v>705</v>
      </c>
      <c r="BR215" t="s">
        <v>706</v>
      </c>
      <c r="BS215" t="s">
        <v>707</v>
      </c>
      <c r="CR215"/>
      <c r="CS215"/>
      <c r="CT215"/>
    </row>
    <row r="216" spans="1:98" x14ac:dyDescent="0.4">
      <c r="A216" s="2" t="s">
        <v>240</v>
      </c>
      <c r="B216" t="str">
        <f>_xlfn.TEXTAFTER(Table1[[#This Row],[VEHIDCODE]],"_")</f>
        <v>China_China_Railways_DFH3</v>
      </c>
      <c r="C216" t="s">
        <v>740</v>
      </c>
      <c r="D216" t="b">
        <f>OR(ISNUMBER(SEARCH("wagon_",Table1[[#This Row],[FILENAMES_EXPECTED]])),ISNUMBER(SEARCH("coach_",Table1[[#This Row],[FILENAMES_EXPECTED]])))</f>
        <v>0</v>
      </c>
      <c r="E216" t="str">
        <f>"item_"&amp;Table1[[#This Row],[VEHIDCODE]]</f>
        <v>item_diesel_China_China_Railways_DFH3</v>
      </c>
      <c r="F216" t="str">
        <f>"str_"&amp;Table1[[#This Row],[VEHIDCODE]]</f>
        <v>str_diesel_China_China_Railways_DFH3</v>
      </c>
      <c r="O216" s="2" t="b">
        <v>1</v>
      </c>
      <c r="AJ216" s="2"/>
      <c r="AK216" s="2" t="b">
        <f>LEN(_xlfn.CONCAT(Table1[[#This Row],[TRACK_TYPE_STANDARD_GAUGE_RAILTYPE_OHLE]:[TRACK_TYPE_MTRO]]))&gt;0</f>
        <v>1</v>
      </c>
      <c r="AL216">
        <v>8</v>
      </c>
      <c r="AM216" t="s">
        <v>20</v>
      </c>
      <c r="AN216">
        <v>0</v>
      </c>
      <c r="AO216" t="s">
        <v>35</v>
      </c>
      <c r="AP216">
        <v>0</v>
      </c>
      <c r="AQ216">
        <v>1976</v>
      </c>
      <c r="AR216">
        <v>8</v>
      </c>
      <c r="AS216" s="2" t="s">
        <v>20</v>
      </c>
      <c r="AT216" t="b">
        <v>1</v>
      </c>
      <c r="AV216" s="2"/>
      <c r="AW216">
        <v>45</v>
      </c>
      <c r="AX216">
        <v>1</v>
      </c>
      <c r="AY216">
        <v>2200</v>
      </c>
      <c r="AZ216" t="s">
        <v>711</v>
      </c>
      <c r="BA216">
        <v>120</v>
      </c>
      <c r="BB216" s="2">
        <v>0.28999999999999998</v>
      </c>
      <c r="BC216" t="s">
        <v>931</v>
      </c>
      <c r="BD216" t="s">
        <v>922</v>
      </c>
      <c r="BE216" t="s">
        <v>940</v>
      </c>
      <c r="BF216" s="7">
        <v>40</v>
      </c>
      <c r="BG2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6">
        <v>0</v>
      </c>
      <c r="BI216" t="s">
        <v>734</v>
      </c>
      <c r="BJ216" s="11"/>
      <c r="BK216" s="11"/>
      <c r="BL216" s="11">
        <v>92</v>
      </c>
      <c r="BM216">
        <v>0</v>
      </c>
      <c r="BN216" t="s">
        <v>692</v>
      </c>
      <c r="BO216" t="s">
        <v>694</v>
      </c>
      <c r="BP216" t="s">
        <v>701</v>
      </c>
      <c r="BQ216" t="s">
        <v>705</v>
      </c>
      <c r="BR216" t="s">
        <v>706</v>
      </c>
      <c r="BS216" t="s">
        <v>707</v>
      </c>
      <c r="CR216"/>
      <c r="CS216"/>
      <c r="CT216"/>
    </row>
    <row r="217" spans="1:98" x14ac:dyDescent="0.4">
      <c r="A217" s="2" t="s">
        <v>241</v>
      </c>
      <c r="B217" t="str">
        <f>_xlfn.TEXTAFTER(Table1[[#This Row],[VEHIDCODE]],"_")</f>
        <v>Panama_Panama_Canal_Railway_EMD_F40PH</v>
      </c>
      <c r="C217" t="s">
        <v>740</v>
      </c>
      <c r="D217" t="b">
        <f>OR(ISNUMBER(SEARCH("wagon_",Table1[[#This Row],[FILENAMES_EXPECTED]])),ISNUMBER(SEARCH("coach_",Table1[[#This Row],[FILENAMES_EXPECTED]])))</f>
        <v>0</v>
      </c>
      <c r="E217" t="str">
        <f>"item_"&amp;Table1[[#This Row],[VEHIDCODE]]</f>
        <v>item_diesel_Panama_Panama_Canal_Railway_EMD_F40PH</v>
      </c>
      <c r="F217" t="str">
        <f>"str_"&amp;Table1[[#This Row],[VEHIDCODE]]</f>
        <v>str_diesel_Panama_Panama_Canal_Railway_EMD_F40PH</v>
      </c>
      <c r="O217" s="2" t="b">
        <v>1</v>
      </c>
      <c r="AJ217" s="2"/>
      <c r="AK217" s="2" t="b">
        <f>LEN(_xlfn.CONCAT(Table1[[#This Row],[TRACK_TYPE_STANDARD_GAUGE_RAILTYPE_OHLE]:[TRACK_TYPE_MTRO]]))&gt;0</f>
        <v>1</v>
      </c>
      <c r="AL217">
        <v>7</v>
      </c>
      <c r="AM217" t="s">
        <v>20</v>
      </c>
      <c r="AN217">
        <v>0</v>
      </c>
      <c r="AO217" t="s">
        <v>35</v>
      </c>
      <c r="AP217">
        <v>0</v>
      </c>
      <c r="AQ217">
        <v>1977</v>
      </c>
      <c r="AR217">
        <v>7</v>
      </c>
      <c r="AS217" s="2" t="s">
        <v>20</v>
      </c>
      <c r="AT217" t="b">
        <v>1</v>
      </c>
      <c r="AV217" s="2"/>
      <c r="AW217">
        <v>45</v>
      </c>
      <c r="AX217">
        <v>1</v>
      </c>
      <c r="AY217">
        <v>3000</v>
      </c>
      <c r="AZ217" t="s">
        <v>711</v>
      </c>
      <c r="BA217">
        <v>165</v>
      </c>
      <c r="BB217" s="2">
        <v>0.1</v>
      </c>
      <c r="BC217" t="s">
        <v>928</v>
      </c>
      <c r="BD217" t="s">
        <v>922</v>
      </c>
      <c r="BE217" t="s">
        <v>940</v>
      </c>
      <c r="BF217" s="7">
        <v>40</v>
      </c>
      <c r="BG2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7">
        <v>0</v>
      </c>
      <c r="BI217" t="s">
        <v>734</v>
      </c>
      <c r="BJ217" s="11"/>
      <c r="BK217" s="11"/>
      <c r="BL217" s="11">
        <v>115</v>
      </c>
      <c r="BM217">
        <v>0</v>
      </c>
      <c r="BN217" t="s">
        <v>692</v>
      </c>
      <c r="BO217" t="s">
        <v>694</v>
      </c>
      <c r="BP217" t="s">
        <v>701</v>
      </c>
      <c r="BQ217" t="s">
        <v>705</v>
      </c>
      <c r="BR217" t="s">
        <v>706</v>
      </c>
      <c r="BS217" t="s">
        <v>707</v>
      </c>
      <c r="CR217"/>
      <c r="CS217"/>
      <c r="CT217"/>
    </row>
    <row r="218" spans="1:98" x14ac:dyDescent="0.4">
      <c r="A218" s="2" t="s">
        <v>242</v>
      </c>
      <c r="B218" t="str">
        <f>_xlfn.TEXTAFTER(Table1[[#This Row],[VEHIDCODE]],"_")</f>
        <v>Portugal_CP_1900</v>
      </c>
      <c r="C218" t="s">
        <v>740</v>
      </c>
      <c r="D218" t="b">
        <f>OR(ISNUMBER(SEARCH("wagon_",Table1[[#This Row],[FILENAMES_EXPECTED]])),ISNUMBER(SEARCH("coach_",Table1[[#This Row],[FILENAMES_EXPECTED]])))</f>
        <v>0</v>
      </c>
      <c r="E218" t="str">
        <f>"item_"&amp;Table1[[#This Row],[VEHIDCODE]]</f>
        <v>item_diesel_Portugal_CP_1900</v>
      </c>
      <c r="F218" t="str">
        <f>"str_"&amp;Table1[[#This Row],[VEHIDCODE]]</f>
        <v>str_diesel_Portugal_CP_1900</v>
      </c>
      <c r="O218" s="2" t="b">
        <v>1</v>
      </c>
      <c r="AJ218" s="2"/>
      <c r="AK218" s="2" t="b">
        <f>LEN(_xlfn.CONCAT(Table1[[#This Row],[TRACK_TYPE_STANDARD_GAUGE_RAILTYPE_OHLE]:[TRACK_TYPE_MTRO]]))&gt;0</f>
        <v>1</v>
      </c>
      <c r="AL218">
        <v>8</v>
      </c>
      <c r="AM218" t="s">
        <v>20</v>
      </c>
      <c r="AN218">
        <v>0</v>
      </c>
      <c r="AO218" t="s">
        <v>35</v>
      </c>
      <c r="AP218">
        <v>0</v>
      </c>
      <c r="AQ218">
        <v>1981</v>
      </c>
      <c r="AR218">
        <v>8</v>
      </c>
      <c r="AS218" s="2" t="s">
        <v>20</v>
      </c>
      <c r="AT218" t="b">
        <v>1</v>
      </c>
      <c r="AV218" s="2"/>
      <c r="AW218">
        <v>45</v>
      </c>
      <c r="AX218">
        <v>1</v>
      </c>
      <c r="AY218">
        <v>2260</v>
      </c>
      <c r="AZ218" t="s">
        <v>711</v>
      </c>
      <c r="BA218">
        <v>100</v>
      </c>
      <c r="BB218" s="2">
        <v>0.34</v>
      </c>
      <c r="BC218" t="s">
        <v>924</v>
      </c>
      <c r="BD218" t="s">
        <v>922</v>
      </c>
      <c r="BE218" t="s">
        <v>940</v>
      </c>
      <c r="BF218" s="7">
        <v>40</v>
      </c>
      <c r="BG2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8">
        <v>0</v>
      </c>
      <c r="BI218" t="s">
        <v>734</v>
      </c>
      <c r="BJ218" s="11"/>
      <c r="BK218" s="11"/>
      <c r="BL218" s="11">
        <v>115</v>
      </c>
      <c r="BM218">
        <v>0</v>
      </c>
      <c r="BN218" t="s">
        <v>692</v>
      </c>
      <c r="BO218" t="s">
        <v>694</v>
      </c>
      <c r="BP218" t="s">
        <v>701</v>
      </c>
      <c r="BQ218" t="s">
        <v>705</v>
      </c>
      <c r="BR218" t="s">
        <v>706</v>
      </c>
      <c r="BS218" t="s">
        <v>707</v>
      </c>
      <c r="CR218"/>
      <c r="CS218"/>
      <c r="CT218"/>
    </row>
    <row r="219" spans="1:98" x14ac:dyDescent="0.4">
      <c r="A219" s="2" t="s">
        <v>243</v>
      </c>
      <c r="B219" t="str">
        <f>_xlfn.TEXTAFTER(Table1[[#This Row],[VEHIDCODE]],"_")</f>
        <v>Finland_VR_Dr16</v>
      </c>
      <c r="C219" t="s">
        <v>740</v>
      </c>
      <c r="D219" t="b">
        <f>OR(ISNUMBER(SEARCH("wagon_",Table1[[#This Row],[FILENAMES_EXPECTED]])),ISNUMBER(SEARCH("coach_",Table1[[#This Row],[FILENAMES_EXPECTED]])))</f>
        <v>0</v>
      </c>
      <c r="E219" t="str">
        <f>"item_"&amp;Table1[[#This Row],[VEHIDCODE]]</f>
        <v>item_diesel_Finland_VR_Dr16</v>
      </c>
      <c r="F219" t="str">
        <f>"str_"&amp;Table1[[#This Row],[VEHIDCODE]]</f>
        <v>str_diesel_Finland_VR_Dr16</v>
      </c>
      <c r="AG219" s="2" t="b">
        <v>1</v>
      </c>
      <c r="AJ219" s="2"/>
      <c r="AK219" s="2" t="b">
        <f>LEN(_xlfn.CONCAT(Table1[[#This Row],[TRACK_TYPE_STANDARD_GAUGE_RAILTYPE_OHLE]:[TRACK_TYPE_MTRO]]))&gt;0</f>
        <v>1</v>
      </c>
      <c r="AL219">
        <v>8</v>
      </c>
      <c r="AM219" t="s">
        <v>20</v>
      </c>
      <c r="AN219">
        <v>0</v>
      </c>
      <c r="AO219" t="s">
        <v>35</v>
      </c>
      <c r="AP219">
        <v>0</v>
      </c>
      <c r="AQ219">
        <v>1985</v>
      </c>
      <c r="AR219">
        <v>8</v>
      </c>
      <c r="AS219" s="2" t="s">
        <v>20</v>
      </c>
      <c r="AT219" t="b">
        <v>1</v>
      </c>
      <c r="AV219" s="2"/>
      <c r="AW219">
        <v>45</v>
      </c>
      <c r="AX219">
        <v>0</v>
      </c>
      <c r="AY219">
        <v>2250</v>
      </c>
      <c r="AZ219" t="s">
        <v>711</v>
      </c>
      <c r="BA219">
        <v>140</v>
      </c>
      <c r="BB219" s="2">
        <v>0.33</v>
      </c>
      <c r="BC219" t="s">
        <v>927</v>
      </c>
      <c r="BD219" t="s">
        <v>922</v>
      </c>
      <c r="BE219" t="s">
        <v>940</v>
      </c>
      <c r="BF219" s="7">
        <v>40</v>
      </c>
      <c r="BG2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19">
        <v>0</v>
      </c>
      <c r="BI219" t="s">
        <v>734</v>
      </c>
      <c r="BJ219" s="11"/>
      <c r="BK219" s="11"/>
      <c r="BL219" s="11">
        <v>82</v>
      </c>
      <c r="BM219">
        <v>0</v>
      </c>
      <c r="BN219" t="s">
        <v>692</v>
      </c>
      <c r="BO219" t="s">
        <v>694</v>
      </c>
      <c r="BP219" t="s">
        <v>701</v>
      </c>
      <c r="BQ219" t="s">
        <v>705</v>
      </c>
      <c r="BR219" t="s">
        <v>706</v>
      </c>
      <c r="BS219" t="s">
        <v>707</v>
      </c>
      <c r="CR219"/>
      <c r="CS219"/>
      <c r="CT219"/>
    </row>
    <row r="220" spans="1:98" x14ac:dyDescent="0.4">
      <c r="A220" s="2" t="s">
        <v>244</v>
      </c>
      <c r="B220" t="str">
        <f>_xlfn.TEXTAFTER(Table1[[#This Row],[VEHIDCODE]],"_")</f>
        <v>Russia_RZD_TEP80</v>
      </c>
      <c r="C220" t="s">
        <v>740</v>
      </c>
      <c r="D220" t="b">
        <f>OR(ISNUMBER(SEARCH("wagon_",Table1[[#This Row],[FILENAMES_EXPECTED]])),ISNUMBER(SEARCH("coach_",Table1[[#This Row],[FILENAMES_EXPECTED]])))</f>
        <v>0</v>
      </c>
      <c r="E220" t="str">
        <f>"item_"&amp;Table1[[#This Row],[VEHIDCODE]]</f>
        <v>item_diesel_Russia_RZD_TEP80</v>
      </c>
      <c r="F220" t="str">
        <f>"str_"&amp;Table1[[#This Row],[VEHIDCODE]]</f>
        <v>str_diesel_Russia_RZD_TEP80</v>
      </c>
      <c r="AG220" s="2" t="b">
        <v>1</v>
      </c>
      <c r="AJ220" s="2"/>
      <c r="AK220" s="2" t="b">
        <f>LEN(_xlfn.CONCAT(Table1[[#This Row],[TRACK_TYPE_STANDARD_GAUGE_RAILTYPE_OHLE]:[TRACK_TYPE_MTRO]]))&gt;0</f>
        <v>1</v>
      </c>
      <c r="AL220">
        <v>8</v>
      </c>
      <c r="AM220" t="s">
        <v>20</v>
      </c>
      <c r="AN220">
        <v>0</v>
      </c>
      <c r="AO220" t="s">
        <v>35</v>
      </c>
      <c r="AP220">
        <v>0</v>
      </c>
      <c r="AQ220">
        <v>1988</v>
      </c>
      <c r="AR220">
        <v>8</v>
      </c>
      <c r="AS220" s="2" t="s">
        <v>20</v>
      </c>
      <c r="AT220" t="b">
        <v>1</v>
      </c>
      <c r="AV220" s="2"/>
      <c r="AW220" t="s">
        <v>21</v>
      </c>
      <c r="AX220">
        <v>1</v>
      </c>
      <c r="AY220">
        <v>6000</v>
      </c>
      <c r="AZ220" t="s">
        <v>711</v>
      </c>
      <c r="BA220">
        <v>160</v>
      </c>
      <c r="BB220" s="2">
        <v>0.13</v>
      </c>
      <c r="BC220" t="s">
        <v>931</v>
      </c>
      <c r="BD220" t="s">
        <v>922</v>
      </c>
      <c r="BE220" t="s">
        <v>940</v>
      </c>
      <c r="BF220" s="7">
        <v>40</v>
      </c>
      <c r="BG2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0">
        <v>0</v>
      </c>
      <c r="BI220" t="s">
        <v>734</v>
      </c>
      <c r="BJ220" s="11"/>
      <c r="BK220" s="11"/>
      <c r="BL220" s="11">
        <v>180</v>
      </c>
      <c r="BM220">
        <v>0</v>
      </c>
      <c r="BN220" t="s">
        <v>692</v>
      </c>
      <c r="BO220" t="s">
        <v>694</v>
      </c>
      <c r="BP220" t="s">
        <v>701</v>
      </c>
      <c r="BQ220" t="s">
        <v>705</v>
      </c>
      <c r="BR220" t="s">
        <v>706</v>
      </c>
      <c r="BS220" t="s">
        <v>707</v>
      </c>
      <c r="CR220"/>
      <c r="CS220"/>
      <c r="CT220"/>
    </row>
    <row r="221" spans="1:98" x14ac:dyDescent="0.4">
      <c r="A221" s="2" t="s">
        <v>245</v>
      </c>
      <c r="B221" t="str">
        <f>_xlfn.TEXTAFTER(Table1[[#This Row],[VEHIDCODE]],"_")</f>
        <v>Australia_Australian_National_AN</v>
      </c>
      <c r="C221" t="s">
        <v>740</v>
      </c>
      <c r="D221" t="b">
        <f>OR(ISNUMBER(SEARCH("wagon_",Table1[[#This Row],[FILENAMES_EXPECTED]])),ISNUMBER(SEARCH("coach_",Table1[[#This Row],[FILENAMES_EXPECTED]])))</f>
        <v>0</v>
      </c>
      <c r="E221" t="str">
        <f>"item_"&amp;Table1[[#This Row],[VEHIDCODE]]</f>
        <v>item_diesel_Australia_Australian_National_AN</v>
      </c>
      <c r="F221" t="str">
        <f>"str_"&amp;Table1[[#This Row],[VEHIDCODE]]</f>
        <v>str_diesel_Australia_Australian_National_AN</v>
      </c>
      <c r="O221" s="2" t="b">
        <v>1</v>
      </c>
      <c r="AJ221" s="2"/>
      <c r="AK221" s="2" t="b">
        <f>LEN(_xlfn.CONCAT(Table1[[#This Row],[TRACK_TYPE_STANDARD_GAUGE_RAILTYPE_OHLE]:[TRACK_TYPE_MTRO]]))&gt;0</f>
        <v>1</v>
      </c>
      <c r="AL221">
        <v>8</v>
      </c>
      <c r="AM221" t="s">
        <v>20</v>
      </c>
      <c r="AN221">
        <v>0</v>
      </c>
      <c r="AO221" t="s">
        <v>35</v>
      </c>
      <c r="AP221">
        <v>0</v>
      </c>
      <c r="AQ221">
        <v>1992</v>
      </c>
      <c r="AR221">
        <v>8</v>
      </c>
      <c r="AS221" s="2" t="s">
        <v>20</v>
      </c>
      <c r="AT221" t="b">
        <v>1</v>
      </c>
      <c r="AV221" s="2"/>
      <c r="AW221">
        <v>45</v>
      </c>
      <c r="AX221">
        <v>1</v>
      </c>
      <c r="AY221">
        <v>4120</v>
      </c>
      <c r="AZ221" t="s">
        <v>711</v>
      </c>
      <c r="BA221">
        <v>150</v>
      </c>
      <c r="BB221" s="2">
        <v>0.25</v>
      </c>
      <c r="BC221" t="s">
        <v>925</v>
      </c>
      <c r="BD221" t="s">
        <v>922</v>
      </c>
      <c r="BE221" t="s">
        <v>940</v>
      </c>
      <c r="BF221" s="7">
        <v>40</v>
      </c>
      <c r="BG2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1">
        <v>0</v>
      </c>
      <c r="BI221" t="s">
        <v>734</v>
      </c>
      <c r="BJ221" s="11"/>
      <c r="BK221" s="11"/>
      <c r="BL221" s="11">
        <v>128</v>
      </c>
      <c r="BM221">
        <v>0</v>
      </c>
      <c r="BN221" t="s">
        <v>692</v>
      </c>
      <c r="BO221" t="s">
        <v>694</v>
      </c>
      <c r="BP221" t="s">
        <v>701</v>
      </c>
      <c r="BQ221" t="s">
        <v>705</v>
      </c>
      <c r="BR221" t="s">
        <v>706</v>
      </c>
      <c r="BS221" t="s">
        <v>707</v>
      </c>
      <c r="CR221"/>
      <c r="CS221"/>
      <c r="CT221"/>
    </row>
    <row r="222" spans="1:98" x14ac:dyDescent="0.4">
      <c r="A222" s="2" t="s">
        <v>246</v>
      </c>
      <c r="B222" t="str">
        <f>_xlfn.TEXTAFTER(Table1[[#This Row],[VEHIDCODE]],"_")</f>
        <v>USA_Amtrak_P42DC_Genesis</v>
      </c>
      <c r="C222" t="s">
        <v>740</v>
      </c>
      <c r="D222" t="b">
        <f>OR(ISNUMBER(SEARCH("wagon_",Table1[[#This Row],[FILENAMES_EXPECTED]])),ISNUMBER(SEARCH("coach_",Table1[[#This Row],[FILENAMES_EXPECTED]])))</f>
        <v>0</v>
      </c>
      <c r="E222" t="str">
        <f>"item_"&amp;Table1[[#This Row],[VEHIDCODE]]</f>
        <v>item_diesel_USA_Amtrak_P42DC_Genesis</v>
      </c>
      <c r="F222" t="str">
        <f>"str_"&amp;Table1[[#This Row],[VEHIDCODE]]</f>
        <v>str_diesel_USA_Amtrak_P42DC_Genesis</v>
      </c>
      <c r="O222" s="2" t="b">
        <v>1</v>
      </c>
      <c r="AJ222" s="2"/>
      <c r="AK222" s="2" t="b">
        <f>LEN(_xlfn.CONCAT(Table1[[#This Row],[TRACK_TYPE_STANDARD_GAUGE_RAILTYPE_OHLE]:[TRACK_TYPE_MTRO]]))&gt;0</f>
        <v>1</v>
      </c>
      <c r="AL222">
        <v>8</v>
      </c>
      <c r="AM222" t="s">
        <v>20</v>
      </c>
      <c r="AN222">
        <v>0</v>
      </c>
      <c r="AO222" t="s">
        <v>35</v>
      </c>
      <c r="AP222">
        <v>0</v>
      </c>
      <c r="AQ222">
        <v>1992</v>
      </c>
      <c r="AR222">
        <v>8</v>
      </c>
      <c r="AS222" s="2" t="s">
        <v>20</v>
      </c>
      <c r="AT222" t="b">
        <v>1</v>
      </c>
      <c r="AV222" s="2"/>
      <c r="AW222" t="s">
        <v>21</v>
      </c>
      <c r="AX222">
        <v>1</v>
      </c>
      <c r="AY222">
        <v>4250</v>
      </c>
      <c r="AZ222" t="s">
        <v>711</v>
      </c>
      <c r="BA222">
        <v>177</v>
      </c>
      <c r="BB222" s="2">
        <v>0.19</v>
      </c>
      <c r="BC222" t="s">
        <v>928</v>
      </c>
      <c r="BD222" t="s">
        <v>922</v>
      </c>
      <c r="BE222" t="s">
        <v>940</v>
      </c>
      <c r="BF222" s="7">
        <v>40</v>
      </c>
      <c r="BG2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2">
        <v>0</v>
      </c>
      <c r="BI222" t="s">
        <v>734</v>
      </c>
      <c r="BJ222" s="11"/>
      <c r="BK222" s="11"/>
      <c r="BL222" s="11">
        <v>134</v>
      </c>
      <c r="BM222">
        <v>0</v>
      </c>
      <c r="BN222" t="s">
        <v>692</v>
      </c>
      <c r="BO222" t="s">
        <v>694</v>
      </c>
      <c r="BP222" t="s">
        <v>701</v>
      </c>
      <c r="BQ222" t="s">
        <v>705</v>
      </c>
      <c r="BR222" t="s">
        <v>706</v>
      </c>
      <c r="BS222" t="s">
        <v>707</v>
      </c>
      <c r="CR222"/>
      <c r="CS222"/>
      <c r="CT222"/>
    </row>
    <row r="223" spans="1:98" x14ac:dyDescent="0.4">
      <c r="A223" s="2" t="s">
        <v>247</v>
      </c>
      <c r="B223" t="str">
        <f>_xlfn.TEXTAFTER(Table1[[#This Row],[VEHIDCODE]],"_")</f>
        <v>Turkey_TCDD_DH7000</v>
      </c>
      <c r="C223" t="s">
        <v>740</v>
      </c>
      <c r="D223" t="b">
        <f>OR(ISNUMBER(SEARCH("wagon_",Table1[[#This Row],[FILENAMES_EXPECTED]])),ISNUMBER(SEARCH("coach_",Table1[[#This Row],[FILENAMES_EXPECTED]])))</f>
        <v>0</v>
      </c>
      <c r="E223" t="str">
        <f>"item_"&amp;Table1[[#This Row],[VEHIDCODE]]</f>
        <v>item_diesel_Turkey_TCDD_DH7000</v>
      </c>
      <c r="F223" t="str">
        <f>"str_"&amp;Table1[[#This Row],[VEHIDCODE]]</f>
        <v>str_diesel_Turkey_TCDD_DH7000</v>
      </c>
      <c r="O223" s="2" t="b">
        <v>1</v>
      </c>
      <c r="AJ223" s="2"/>
      <c r="AK223" s="2" t="b">
        <f>LEN(_xlfn.CONCAT(Table1[[#This Row],[TRACK_TYPE_STANDARD_GAUGE_RAILTYPE_OHLE]:[TRACK_TYPE_MTRO]]))&gt;0</f>
        <v>1</v>
      </c>
      <c r="AL223">
        <v>6</v>
      </c>
      <c r="AM223" t="s">
        <v>20</v>
      </c>
      <c r="AN223">
        <v>0</v>
      </c>
      <c r="AO223" t="s">
        <v>35</v>
      </c>
      <c r="AP223">
        <v>0</v>
      </c>
      <c r="AQ223">
        <v>1994</v>
      </c>
      <c r="AR223">
        <v>6</v>
      </c>
      <c r="AS223" s="2" t="s">
        <v>20</v>
      </c>
      <c r="AT223" t="b">
        <v>1</v>
      </c>
      <c r="AV223" s="2"/>
      <c r="AW223">
        <v>45</v>
      </c>
      <c r="AX223">
        <v>1</v>
      </c>
      <c r="AY223">
        <v>700</v>
      </c>
      <c r="AZ223" t="s">
        <v>711</v>
      </c>
      <c r="BA223">
        <v>40</v>
      </c>
      <c r="BB223" s="2">
        <v>0.28000000000000003</v>
      </c>
      <c r="BC223" t="s">
        <v>931</v>
      </c>
      <c r="BD223" t="s">
        <v>922</v>
      </c>
      <c r="BE223" t="s">
        <v>940</v>
      </c>
      <c r="BF223" s="7">
        <v>40</v>
      </c>
      <c r="BG2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3">
        <v>0</v>
      </c>
      <c r="BI223" t="s">
        <v>734</v>
      </c>
      <c r="BJ223" s="11"/>
      <c r="BK223" s="11"/>
      <c r="BL223" s="11">
        <v>51</v>
      </c>
      <c r="BM223">
        <v>0</v>
      </c>
      <c r="BN223" t="s">
        <v>692</v>
      </c>
      <c r="BO223" t="s">
        <v>694</v>
      </c>
      <c r="BP223" t="s">
        <v>701</v>
      </c>
      <c r="BQ223" t="s">
        <v>705</v>
      </c>
      <c r="BR223" t="s">
        <v>706</v>
      </c>
      <c r="BS223" t="s">
        <v>707</v>
      </c>
      <c r="CR223"/>
      <c r="CS223"/>
      <c r="CT223"/>
    </row>
    <row r="224" spans="1:98" x14ac:dyDescent="0.4">
      <c r="A224" s="2" t="s">
        <v>248</v>
      </c>
      <c r="B224" t="str">
        <f>_xlfn.TEXTAFTER(Table1[[#This Row],[VEHIDCODE]],"_")</f>
        <v>Argentina_MF_GE_U20C</v>
      </c>
      <c r="C224" t="s">
        <v>740</v>
      </c>
      <c r="D224" t="b">
        <f>OR(ISNUMBER(SEARCH("wagon_",Table1[[#This Row],[FILENAMES_EXPECTED]])),ISNUMBER(SEARCH("coach_",Table1[[#This Row],[FILENAMES_EXPECTED]])))</f>
        <v>0</v>
      </c>
      <c r="E224" t="str">
        <f>"item_"&amp;Table1[[#This Row],[VEHIDCODE]]</f>
        <v>item_diesel_Argentina_MF_GE_U20C</v>
      </c>
      <c r="F224" t="str">
        <f>"str_"&amp;Table1[[#This Row],[VEHIDCODE]]</f>
        <v>str_diesel_Argentina_MF_GE_U20C</v>
      </c>
      <c r="O224" s="2" t="b">
        <v>1</v>
      </c>
      <c r="AJ224" s="2"/>
      <c r="AK224" s="2" t="b">
        <f>LEN(_xlfn.CONCAT(Table1[[#This Row],[TRACK_TYPE_STANDARD_GAUGE_RAILTYPE_OHLE]:[TRACK_TYPE_MTRO]]))&gt;0</f>
        <v>1</v>
      </c>
      <c r="AL224">
        <v>8</v>
      </c>
      <c r="AM224" t="s">
        <v>20</v>
      </c>
      <c r="AN224">
        <v>0</v>
      </c>
      <c r="AO224" t="s">
        <v>35</v>
      </c>
      <c r="AP224">
        <v>0</v>
      </c>
      <c r="AQ224">
        <v>1995</v>
      </c>
      <c r="AR224">
        <v>8</v>
      </c>
      <c r="AS224" s="2" t="s">
        <v>20</v>
      </c>
      <c r="AT224" t="b">
        <v>1</v>
      </c>
      <c r="AV224" s="2"/>
      <c r="AW224" t="s">
        <v>21</v>
      </c>
      <c r="AX224">
        <v>1</v>
      </c>
      <c r="AY224">
        <v>2000</v>
      </c>
      <c r="AZ224" t="s">
        <v>711</v>
      </c>
      <c r="BA224">
        <v>104</v>
      </c>
      <c r="BB224" s="2">
        <v>0.28999999999999998</v>
      </c>
      <c r="BC224" t="s">
        <v>930</v>
      </c>
      <c r="BD224" t="s">
        <v>922</v>
      </c>
      <c r="BE224" t="s">
        <v>940</v>
      </c>
      <c r="BF224" s="7">
        <v>40</v>
      </c>
      <c r="BG2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4">
        <v>0</v>
      </c>
      <c r="BI224" t="s">
        <v>734</v>
      </c>
      <c r="BJ224" s="11"/>
      <c r="BK224" s="11"/>
      <c r="BL224" s="11">
        <v>89</v>
      </c>
      <c r="BM224">
        <v>0</v>
      </c>
      <c r="BN224" t="s">
        <v>692</v>
      </c>
      <c r="BO224" t="s">
        <v>694</v>
      </c>
      <c r="BP224" t="s">
        <v>701</v>
      </c>
      <c r="BQ224" t="s">
        <v>705</v>
      </c>
      <c r="BR224" t="s">
        <v>706</v>
      </c>
      <c r="BS224" t="s">
        <v>707</v>
      </c>
      <c r="CR224"/>
      <c r="CS224"/>
      <c r="CT224"/>
    </row>
    <row r="225" spans="1:98" x14ac:dyDescent="0.4">
      <c r="A225" s="2" t="s">
        <v>249</v>
      </c>
      <c r="B225" t="str">
        <f>_xlfn.TEXTAFTER(Table1[[#This Row],[VEHIDCODE]],"_")</f>
        <v>Belgium_NMBS_SNCB_7800</v>
      </c>
      <c r="C225" t="s">
        <v>740</v>
      </c>
      <c r="D225" t="b">
        <f>OR(ISNUMBER(SEARCH("wagon_",Table1[[#This Row],[FILENAMES_EXPECTED]])),ISNUMBER(SEARCH("coach_",Table1[[#This Row],[FILENAMES_EXPECTED]])))</f>
        <v>0</v>
      </c>
      <c r="E225" t="str">
        <f>"item_"&amp;Table1[[#This Row],[VEHIDCODE]]</f>
        <v>item_diesel_Belgium_NMBS_SNCB_7800</v>
      </c>
      <c r="F225" t="str">
        <f>"str_"&amp;Table1[[#This Row],[VEHIDCODE]]</f>
        <v>str_diesel_Belgium_NMBS_SNCB_7800</v>
      </c>
      <c r="O225" s="2" t="b">
        <v>1</v>
      </c>
      <c r="AJ225" s="2"/>
      <c r="AK225" s="2" t="b">
        <f>LEN(_xlfn.CONCAT(Table1[[#This Row],[TRACK_TYPE_STANDARD_GAUGE_RAILTYPE_OHLE]:[TRACK_TYPE_MTRO]]))&gt;0</f>
        <v>1</v>
      </c>
      <c r="AL225">
        <v>7</v>
      </c>
      <c r="AM225" t="s">
        <v>20</v>
      </c>
      <c r="AN225">
        <v>0</v>
      </c>
      <c r="AO225" t="s">
        <v>35</v>
      </c>
      <c r="AP225">
        <v>0</v>
      </c>
      <c r="AQ225">
        <v>1997</v>
      </c>
      <c r="AR225">
        <v>7</v>
      </c>
      <c r="AS225" s="2" t="s">
        <v>20</v>
      </c>
      <c r="AT225" t="b">
        <v>1</v>
      </c>
      <c r="AV225" s="2"/>
      <c r="AW225">
        <v>45</v>
      </c>
      <c r="AX225">
        <v>1</v>
      </c>
      <c r="AY225">
        <v>1500</v>
      </c>
      <c r="AZ225" t="s">
        <v>711</v>
      </c>
      <c r="BA225">
        <v>80</v>
      </c>
      <c r="BB225" s="2">
        <v>0.34</v>
      </c>
      <c r="BC225" t="s">
        <v>923</v>
      </c>
      <c r="BD225" t="s">
        <v>922</v>
      </c>
      <c r="BE225" t="s">
        <v>940</v>
      </c>
      <c r="BF225" s="7">
        <v>40</v>
      </c>
      <c r="BG2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5">
        <v>0</v>
      </c>
      <c r="BI225" t="s">
        <v>734</v>
      </c>
      <c r="BJ225" s="11"/>
      <c r="BK225" s="11"/>
      <c r="BL225" s="11">
        <v>83</v>
      </c>
      <c r="BM225">
        <v>0</v>
      </c>
      <c r="BN225" t="s">
        <v>692</v>
      </c>
      <c r="BO225" t="s">
        <v>694</v>
      </c>
      <c r="BP225" t="s">
        <v>701</v>
      </c>
      <c r="BQ225" t="s">
        <v>705</v>
      </c>
      <c r="BR225" t="s">
        <v>706</v>
      </c>
      <c r="BS225" t="s">
        <v>707</v>
      </c>
      <c r="CR225"/>
      <c r="CS225"/>
      <c r="CT225"/>
    </row>
    <row r="226" spans="1:98" x14ac:dyDescent="0.4">
      <c r="A226" s="2" t="s">
        <v>250</v>
      </c>
      <c r="B226" t="str">
        <f>_xlfn.TEXTAFTER(Table1[[#This Row],[VEHIDCODE]],"_")</f>
        <v>UK_BR_66</v>
      </c>
      <c r="C226" t="s">
        <v>740</v>
      </c>
      <c r="D226" t="b">
        <f>OR(ISNUMBER(SEARCH("wagon_",Table1[[#This Row],[FILENAMES_EXPECTED]])),ISNUMBER(SEARCH("coach_",Table1[[#This Row],[FILENAMES_EXPECTED]])))</f>
        <v>0</v>
      </c>
      <c r="E226" t="str">
        <f>"item_"&amp;Table1[[#This Row],[VEHIDCODE]]</f>
        <v>item_diesel_UK_BR_66</v>
      </c>
      <c r="F226" t="str">
        <f>"str_"&amp;Table1[[#This Row],[VEHIDCODE]]</f>
        <v>str_diesel_UK_BR_66</v>
      </c>
      <c r="O226" s="2" t="b">
        <v>1</v>
      </c>
      <c r="AJ226" s="2"/>
      <c r="AK226" s="2" t="b">
        <f>LEN(_xlfn.CONCAT(Table1[[#This Row],[TRACK_TYPE_STANDARD_GAUGE_RAILTYPE_OHLE]:[TRACK_TYPE_MTRO]]))&gt;0</f>
        <v>1</v>
      </c>
      <c r="AL226">
        <v>8</v>
      </c>
      <c r="AM226" t="s">
        <v>20</v>
      </c>
      <c r="AN226">
        <v>0</v>
      </c>
      <c r="AO226" t="s">
        <v>35</v>
      </c>
      <c r="AP226">
        <v>0</v>
      </c>
      <c r="AQ226">
        <v>1998</v>
      </c>
      <c r="AR226">
        <v>8</v>
      </c>
      <c r="AS226" s="2" t="s">
        <v>20</v>
      </c>
      <c r="AT226" t="b">
        <v>1</v>
      </c>
      <c r="AV226" s="2"/>
      <c r="AW226" t="s">
        <v>21</v>
      </c>
      <c r="AX226">
        <v>0</v>
      </c>
      <c r="AY226">
        <v>3298</v>
      </c>
      <c r="AZ226" t="s">
        <v>711</v>
      </c>
      <c r="BA226">
        <v>120</v>
      </c>
      <c r="BB226" s="2">
        <v>0.32</v>
      </c>
      <c r="BC226" t="s">
        <v>927</v>
      </c>
      <c r="BD226" t="s">
        <v>922</v>
      </c>
      <c r="BE226" t="s">
        <v>940</v>
      </c>
      <c r="BF226" s="7">
        <v>40</v>
      </c>
      <c r="BG2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6">
        <v>0</v>
      </c>
      <c r="BI226" t="s">
        <v>734</v>
      </c>
      <c r="BJ226" s="11"/>
      <c r="BK226" s="11"/>
      <c r="BL226" s="11">
        <v>126</v>
      </c>
      <c r="BM226">
        <v>0</v>
      </c>
      <c r="BN226" t="s">
        <v>692</v>
      </c>
      <c r="BO226" t="s">
        <v>694</v>
      </c>
      <c r="BP226" t="s">
        <v>701</v>
      </c>
      <c r="BQ226" t="s">
        <v>705</v>
      </c>
      <c r="BR226" t="s">
        <v>706</v>
      </c>
      <c r="BS226" t="s">
        <v>707</v>
      </c>
      <c r="CR226"/>
      <c r="CS226"/>
      <c r="CT226"/>
    </row>
    <row r="227" spans="1:98" x14ac:dyDescent="0.4">
      <c r="A227" s="2" t="s">
        <v>251</v>
      </c>
      <c r="B227" t="str">
        <f>_xlfn.TEXTAFTER(Table1[[#This Row],[VEHIDCODE]],"_")</f>
        <v>UK_BR_67</v>
      </c>
      <c r="C227" t="s">
        <v>740</v>
      </c>
      <c r="D227" t="b">
        <f>OR(ISNUMBER(SEARCH("wagon_",Table1[[#This Row],[FILENAMES_EXPECTED]])),ISNUMBER(SEARCH("coach_",Table1[[#This Row],[FILENAMES_EXPECTED]])))</f>
        <v>0</v>
      </c>
      <c r="E227" t="str">
        <f>"item_"&amp;Table1[[#This Row],[VEHIDCODE]]</f>
        <v>item_diesel_UK_BR_67</v>
      </c>
      <c r="F227" t="str">
        <f>"str_"&amp;Table1[[#This Row],[VEHIDCODE]]</f>
        <v>str_diesel_UK_BR_67</v>
      </c>
      <c r="O227" s="2" t="b">
        <v>1</v>
      </c>
      <c r="AJ227" s="2"/>
      <c r="AK227" s="2" t="b">
        <f>LEN(_xlfn.CONCAT(Table1[[#This Row],[TRACK_TYPE_STANDARD_GAUGE_RAILTYPE_OHLE]:[TRACK_TYPE_MTRO]]))&gt;0</f>
        <v>1</v>
      </c>
      <c r="AL227">
        <v>8</v>
      </c>
      <c r="AM227" t="s">
        <v>20</v>
      </c>
      <c r="AN227">
        <v>0</v>
      </c>
      <c r="AO227" t="s">
        <v>35</v>
      </c>
      <c r="AP227">
        <v>0</v>
      </c>
      <c r="AQ227">
        <v>1999</v>
      </c>
      <c r="AR227">
        <v>8</v>
      </c>
      <c r="AS227" s="2" t="s">
        <v>20</v>
      </c>
      <c r="AT227" t="b">
        <v>1</v>
      </c>
      <c r="AV227" s="2"/>
      <c r="AW227" t="s">
        <v>21</v>
      </c>
      <c r="AX227">
        <v>1</v>
      </c>
      <c r="AY227">
        <v>3200</v>
      </c>
      <c r="AZ227" t="s">
        <v>711</v>
      </c>
      <c r="BA227">
        <v>200</v>
      </c>
      <c r="BB227" s="2">
        <v>0.2</v>
      </c>
      <c r="BC227" t="s">
        <v>927</v>
      </c>
      <c r="BD227" t="s">
        <v>922</v>
      </c>
      <c r="BE227" t="s">
        <v>940</v>
      </c>
      <c r="BF227" s="7">
        <v>40</v>
      </c>
      <c r="BG2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7">
        <v>0</v>
      </c>
      <c r="BI227" t="s">
        <v>734</v>
      </c>
      <c r="BJ227" s="11"/>
      <c r="BK227" s="11"/>
      <c r="BL227" s="11">
        <v>88</v>
      </c>
      <c r="BM227">
        <v>0</v>
      </c>
      <c r="BN227" t="s">
        <v>692</v>
      </c>
      <c r="BO227" t="s">
        <v>694</v>
      </c>
      <c r="BP227" t="s">
        <v>701</v>
      </c>
      <c r="BQ227" t="s">
        <v>705</v>
      </c>
      <c r="BR227" t="s">
        <v>706</v>
      </c>
      <c r="BS227" t="s">
        <v>707</v>
      </c>
      <c r="CR227"/>
      <c r="CS227"/>
      <c r="CT227"/>
    </row>
    <row r="228" spans="1:98" x14ac:dyDescent="0.4">
      <c r="A228" s="2" t="s">
        <v>252</v>
      </c>
      <c r="B228" t="str">
        <f>_xlfn.TEXTAFTER(Table1[[#This Row],[VEHIDCODE]],"_")</f>
        <v>Iran_RAI_DE43CA_Prima</v>
      </c>
      <c r="C228" t="s">
        <v>740</v>
      </c>
      <c r="D228" t="b">
        <f>OR(ISNUMBER(SEARCH("wagon_",Table1[[#This Row],[FILENAMES_EXPECTED]])),ISNUMBER(SEARCH("coach_",Table1[[#This Row],[FILENAMES_EXPECTED]])))</f>
        <v>0</v>
      </c>
      <c r="E228" t="str">
        <f>"item_"&amp;Table1[[#This Row],[VEHIDCODE]]</f>
        <v>item_diesel_Iran_RAI_DE43CA_Prima</v>
      </c>
      <c r="F228" t="str">
        <f>"str_"&amp;Table1[[#This Row],[VEHIDCODE]]</f>
        <v>str_diesel_Iran_RAI_DE43CA_Prima</v>
      </c>
      <c r="O228" s="2" t="b">
        <v>1</v>
      </c>
      <c r="AJ228" s="2"/>
      <c r="AK228" s="2" t="b">
        <f>LEN(_xlfn.CONCAT(Table1[[#This Row],[TRACK_TYPE_STANDARD_GAUGE_RAILTYPE_OHLE]:[TRACK_TYPE_MTRO]]))&gt;0</f>
        <v>1</v>
      </c>
      <c r="AL228">
        <v>8</v>
      </c>
      <c r="AM228" t="s">
        <v>20</v>
      </c>
      <c r="AN228">
        <v>0</v>
      </c>
      <c r="AO228" t="s">
        <v>35</v>
      </c>
      <c r="AP228">
        <v>0</v>
      </c>
      <c r="AQ228">
        <v>2002</v>
      </c>
      <c r="AR228">
        <v>8</v>
      </c>
      <c r="AS228" s="2" t="s">
        <v>20</v>
      </c>
      <c r="AT228" t="b">
        <v>1</v>
      </c>
      <c r="AV228" s="2"/>
      <c r="AW228" t="s">
        <v>21</v>
      </c>
      <c r="AX228">
        <v>1</v>
      </c>
      <c r="AY228">
        <v>4300</v>
      </c>
      <c r="AZ228" t="s">
        <v>711</v>
      </c>
      <c r="BA228">
        <v>160</v>
      </c>
      <c r="BB228" s="2">
        <v>0.21</v>
      </c>
      <c r="BC228" t="s">
        <v>931</v>
      </c>
      <c r="BD228" t="s">
        <v>922</v>
      </c>
      <c r="BE228" t="s">
        <v>940</v>
      </c>
      <c r="BF228" s="7">
        <v>40</v>
      </c>
      <c r="BG2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8">
        <v>0</v>
      </c>
      <c r="BI228" t="s">
        <v>734</v>
      </c>
      <c r="BJ228" s="11"/>
      <c r="BK228" s="11"/>
      <c r="BL228" s="11">
        <v>108</v>
      </c>
      <c r="BM228">
        <v>0</v>
      </c>
      <c r="BN228" t="s">
        <v>692</v>
      </c>
      <c r="BO228" t="s">
        <v>694</v>
      </c>
      <c r="BP228" t="s">
        <v>701</v>
      </c>
      <c r="BQ228" t="s">
        <v>705</v>
      </c>
      <c r="BR228" t="s">
        <v>706</v>
      </c>
      <c r="BS228" t="s">
        <v>707</v>
      </c>
      <c r="CR228"/>
      <c r="CS228"/>
      <c r="CT228"/>
    </row>
    <row r="229" spans="1:98" x14ac:dyDescent="0.4">
      <c r="A229" s="2" t="s">
        <v>253</v>
      </c>
      <c r="B229" t="str">
        <f>_xlfn.TEXTAFTER(Table1[[#This Row],[VEHIDCODE]],"_")</f>
        <v>Ukraine_UZ_TEP150</v>
      </c>
      <c r="C229" t="s">
        <v>740</v>
      </c>
      <c r="D229" t="b">
        <f>OR(ISNUMBER(SEARCH("wagon_",Table1[[#This Row],[FILENAMES_EXPECTED]])),ISNUMBER(SEARCH("coach_",Table1[[#This Row],[FILENAMES_EXPECTED]])))</f>
        <v>0</v>
      </c>
      <c r="E229" t="str">
        <f>"item_"&amp;Table1[[#This Row],[VEHIDCODE]]</f>
        <v>item_diesel_Ukraine_UZ_TEP150</v>
      </c>
      <c r="F229" t="str">
        <f>"str_"&amp;Table1[[#This Row],[VEHIDCODE]]</f>
        <v>str_diesel_Ukraine_UZ_TEP150</v>
      </c>
      <c r="AG229" s="2" t="b">
        <v>1</v>
      </c>
      <c r="AJ229" s="2"/>
      <c r="AK229" s="2" t="b">
        <f>LEN(_xlfn.CONCAT(Table1[[#This Row],[TRACK_TYPE_STANDARD_GAUGE_RAILTYPE_OHLE]:[TRACK_TYPE_MTRO]]))&gt;0</f>
        <v>1</v>
      </c>
      <c r="AL229">
        <v>8</v>
      </c>
      <c r="AM229" t="s">
        <v>20</v>
      </c>
      <c r="AN229">
        <v>0</v>
      </c>
      <c r="AO229" t="s">
        <v>35</v>
      </c>
      <c r="AP229">
        <v>0</v>
      </c>
      <c r="AQ229">
        <v>2006</v>
      </c>
      <c r="AR229">
        <v>8</v>
      </c>
      <c r="AS229" s="2" t="s">
        <v>20</v>
      </c>
      <c r="AT229" t="b">
        <v>1</v>
      </c>
      <c r="AV229" s="2"/>
      <c r="AW229" t="s">
        <v>21</v>
      </c>
      <c r="AX229">
        <v>1</v>
      </c>
      <c r="AY229">
        <v>4216</v>
      </c>
      <c r="AZ229" t="s">
        <v>711</v>
      </c>
      <c r="BA229">
        <v>160</v>
      </c>
      <c r="BB229" s="2">
        <v>0.12</v>
      </c>
      <c r="BC229" t="s">
        <v>929</v>
      </c>
      <c r="BD229" t="s">
        <v>922</v>
      </c>
      <c r="BE229" t="s">
        <v>940</v>
      </c>
      <c r="BF229" s="7">
        <v>40</v>
      </c>
      <c r="BG2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29">
        <v>0</v>
      </c>
      <c r="BI229" t="s">
        <v>734</v>
      </c>
      <c r="BJ229" s="11"/>
      <c r="BK229" s="11"/>
      <c r="BL229" s="11">
        <v>135</v>
      </c>
      <c r="BM229">
        <v>0</v>
      </c>
      <c r="BN229" t="s">
        <v>692</v>
      </c>
      <c r="BO229" t="s">
        <v>694</v>
      </c>
      <c r="BP229" t="s">
        <v>701</v>
      </c>
      <c r="BQ229" t="s">
        <v>705</v>
      </c>
      <c r="BR229" t="s">
        <v>706</v>
      </c>
      <c r="BS229" t="s">
        <v>707</v>
      </c>
      <c r="CR229"/>
      <c r="CS229"/>
      <c r="CT229"/>
    </row>
    <row r="230" spans="1:98" x14ac:dyDescent="0.4">
      <c r="A230" s="2" t="s">
        <v>254</v>
      </c>
      <c r="B230" t="str">
        <f>_xlfn.TEXTAFTER(Table1[[#This Row],[VEHIDCODE]],"_")</f>
        <v>China_China_Railways_HXN5</v>
      </c>
      <c r="C230" t="s">
        <v>740</v>
      </c>
      <c r="D230" t="b">
        <f>OR(ISNUMBER(SEARCH("wagon_",Table1[[#This Row],[FILENAMES_EXPECTED]])),ISNUMBER(SEARCH("coach_",Table1[[#This Row],[FILENAMES_EXPECTED]])))</f>
        <v>0</v>
      </c>
      <c r="E230" t="str">
        <f>"item_"&amp;Table1[[#This Row],[VEHIDCODE]]</f>
        <v>item_diesel_China_China_Railways_HXN5</v>
      </c>
      <c r="F230" t="str">
        <f>"str_"&amp;Table1[[#This Row],[VEHIDCODE]]</f>
        <v>str_diesel_China_China_Railways_HXN5</v>
      </c>
      <c r="O230" s="2" t="b">
        <v>1</v>
      </c>
      <c r="AJ230" s="2"/>
      <c r="AK230" s="2" t="b">
        <f>LEN(_xlfn.CONCAT(Table1[[#This Row],[TRACK_TYPE_STANDARD_GAUGE_RAILTYPE_OHLE]:[TRACK_TYPE_MTRO]]))&gt;0</f>
        <v>1</v>
      </c>
      <c r="AL230">
        <v>8</v>
      </c>
      <c r="AM230" t="s">
        <v>20</v>
      </c>
      <c r="AN230">
        <v>0</v>
      </c>
      <c r="AO230" t="s">
        <v>35</v>
      </c>
      <c r="AP230">
        <v>0</v>
      </c>
      <c r="AQ230">
        <v>2008</v>
      </c>
      <c r="AR230">
        <v>8</v>
      </c>
      <c r="AS230" s="2" t="s">
        <v>20</v>
      </c>
      <c r="AT230" t="b">
        <v>1</v>
      </c>
      <c r="AV230" s="2"/>
      <c r="AW230" t="s">
        <v>21</v>
      </c>
      <c r="AX230">
        <v>1</v>
      </c>
      <c r="AY230">
        <v>6250</v>
      </c>
      <c r="AZ230" t="s">
        <v>711</v>
      </c>
      <c r="BA230">
        <v>120</v>
      </c>
      <c r="BB230" s="2">
        <v>0.41</v>
      </c>
      <c r="BC230" t="s">
        <v>931</v>
      </c>
      <c r="BD230" t="s">
        <v>922</v>
      </c>
      <c r="BE230" t="s">
        <v>940</v>
      </c>
      <c r="BF230" s="7">
        <v>40</v>
      </c>
      <c r="BG2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0">
        <v>0</v>
      </c>
      <c r="BI230" t="s">
        <v>734</v>
      </c>
      <c r="BJ230" s="11"/>
      <c r="BK230" s="11"/>
      <c r="BL230" s="11">
        <v>150</v>
      </c>
      <c r="BM230">
        <v>0</v>
      </c>
      <c r="BN230" t="s">
        <v>692</v>
      </c>
      <c r="BO230" t="s">
        <v>694</v>
      </c>
      <c r="BP230" t="s">
        <v>701</v>
      </c>
      <c r="BQ230" t="s">
        <v>705</v>
      </c>
      <c r="BR230" t="s">
        <v>706</v>
      </c>
      <c r="BS230" t="s">
        <v>707</v>
      </c>
      <c r="CR230"/>
      <c r="CS230"/>
      <c r="CT230"/>
    </row>
    <row r="231" spans="1:98" x14ac:dyDescent="0.4">
      <c r="A231" s="2" t="s">
        <v>255</v>
      </c>
      <c r="B231" t="str">
        <f>_xlfn.TEXTAFTER(Table1[[#This Row],[VEHIDCODE]],"_")</f>
        <v>Germany_DB_261_Gravita_10BB</v>
      </c>
      <c r="C231" t="s">
        <v>740</v>
      </c>
      <c r="D231" t="b">
        <f>OR(ISNUMBER(SEARCH("wagon_",Table1[[#This Row],[FILENAMES_EXPECTED]])),ISNUMBER(SEARCH("coach_",Table1[[#This Row],[FILENAMES_EXPECTED]])))</f>
        <v>0</v>
      </c>
      <c r="E231" t="str">
        <f>"item_"&amp;Table1[[#This Row],[VEHIDCODE]]</f>
        <v>item_diesel_Germany_DB_261_Gravita_10BB</v>
      </c>
      <c r="F231" t="str">
        <f>"str_"&amp;Table1[[#This Row],[VEHIDCODE]]</f>
        <v>str_diesel_Germany_DB_261_Gravita_10BB</v>
      </c>
      <c r="O231" s="2" t="b">
        <v>1</v>
      </c>
      <c r="AJ231" s="2"/>
      <c r="AK231" s="2" t="b">
        <f>LEN(_xlfn.CONCAT(Table1[[#This Row],[TRACK_TYPE_STANDARD_GAUGE_RAILTYPE_OHLE]:[TRACK_TYPE_MTRO]]))&gt;0</f>
        <v>1</v>
      </c>
      <c r="AL231">
        <v>8</v>
      </c>
      <c r="AM231" t="s">
        <v>20</v>
      </c>
      <c r="AN231">
        <v>0</v>
      </c>
      <c r="AO231" t="s">
        <v>35</v>
      </c>
      <c r="AP231">
        <v>0</v>
      </c>
      <c r="AQ231">
        <v>2010</v>
      </c>
      <c r="AR231">
        <v>8</v>
      </c>
      <c r="AS231" s="2" t="s">
        <v>20</v>
      </c>
      <c r="AT231" t="b">
        <v>1</v>
      </c>
      <c r="AV231" s="2"/>
      <c r="AW231" t="s">
        <v>21</v>
      </c>
      <c r="AX231">
        <v>1</v>
      </c>
      <c r="AY231">
        <v>1350</v>
      </c>
      <c r="AZ231" t="s">
        <v>711</v>
      </c>
      <c r="BA231">
        <v>100</v>
      </c>
      <c r="BB231" s="2">
        <v>0.32</v>
      </c>
      <c r="BC231" t="s">
        <v>923</v>
      </c>
      <c r="BD231" t="s">
        <v>922</v>
      </c>
      <c r="BE231" t="s">
        <v>940</v>
      </c>
      <c r="BF231" s="7">
        <v>40</v>
      </c>
      <c r="BG2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1">
        <v>0</v>
      </c>
      <c r="BI231" t="s">
        <v>734</v>
      </c>
      <c r="BJ231" s="11"/>
      <c r="BK231" s="11"/>
      <c r="BL231" s="11">
        <v>80</v>
      </c>
      <c r="BM231">
        <v>0</v>
      </c>
      <c r="BN231" t="s">
        <v>692</v>
      </c>
      <c r="BO231" t="s">
        <v>694</v>
      </c>
      <c r="BP231" t="s">
        <v>701</v>
      </c>
      <c r="BQ231" t="s">
        <v>705</v>
      </c>
      <c r="BR231" t="s">
        <v>706</v>
      </c>
      <c r="BS231" t="s">
        <v>707</v>
      </c>
      <c r="CR231"/>
      <c r="CS231"/>
      <c r="CT231"/>
    </row>
    <row r="232" spans="1:98" x14ac:dyDescent="0.4">
      <c r="A232" s="2" t="s">
        <v>256</v>
      </c>
      <c r="B232" t="str">
        <f>_xlfn.TEXTAFTER(Table1[[#This Row],[VEHIDCODE]],"_")</f>
        <v>Russia_RZD_GT1</v>
      </c>
      <c r="C232" t="s">
        <v>740</v>
      </c>
      <c r="D232" t="b">
        <f>OR(ISNUMBER(SEARCH("wagon_",Table1[[#This Row],[FILENAMES_EXPECTED]])),ISNUMBER(SEARCH("coach_",Table1[[#This Row],[FILENAMES_EXPECTED]])))</f>
        <v>0</v>
      </c>
      <c r="E232" t="str">
        <f>"item_"&amp;Table1[[#This Row],[VEHIDCODE]]</f>
        <v>item_diesel_Russia_RZD_GT1</v>
      </c>
      <c r="F232" t="str">
        <f>"str_"&amp;Table1[[#This Row],[VEHIDCODE]]</f>
        <v>str_diesel_Russia_RZD_GT1</v>
      </c>
      <c r="AG232" s="2" t="b">
        <v>1</v>
      </c>
      <c r="AJ232" s="2"/>
      <c r="AK232" s="2" t="b">
        <f>LEN(_xlfn.CONCAT(Table1[[#This Row],[TRACK_TYPE_STANDARD_GAUGE_RAILTYPE_OHLE]:[TRACK_TYPE_MTRO]]))&gt;0</f>
        <v>1</v>
      </c>
      <c r="AL232">
        <v>16</v>
      </c>
      <c r="AM232" t="s">
        <v>20</v>
      </c>
      <c r="AN232">
        <v>0</v>
      </c>
      <c r="AO232" t="s">
        <v>35</v>
      </c>
      <c r="AP232">
        <v>0</v>
      </c>
      <c r="AQ232">
        <v>2011</v>
      </c>
      <c r="AR232">
        <v>8</v>
      </c>
      <c r="AS232" s="2" t="s">
        <v>20</v>
      </c>
      <c r="AT232" t="b">
        <v>1</v>
      </c>
      <c r="AV232" s="2"/>
      <c r="AW232" t="s">
        <v>21</v>
      </c>
      <c r="AX232">
        <v>1</v>
      </c>
      <c r="AY232">
        <v>11130</v>
      </c>
      <c r="AZ232" t="s">
        <v>711</v>
      </c>
      <c r="BA232">
        <v>100</v>
      </c>
      <c r="BB232" s="2">
        <v>0.23</v>
      </c>
      <c r="BC232" t="s">
        <v>931</v>
      </c>
      <c r="BD232" t="s">
        <v>922</v>
      </c>
      <c r="BE232" t="s">
        <v>940</v>
      </c>
      <c r="BF232" s="7">
        <v>40</v>
      </c>
      <c r="BG2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2">
        <v>0</v>
      </c>
      <c r="BI232" t="s">
        <v>734</v>
      </c>
      <c r="BJ232" s="11"/>
      <c r="BK232" s="11"/>
      <c r="BL232" s="11">
        <v>300</v>
      </c>
      <c r="BM232">
        <v>0</v>
      </c>
      <c r="BN232" t="s">
        <v>692</v>
      </c>
      <c r="BO232" t="s">
        <v>694</v>
      </c>
      <c r="BP232" t="s">
        <v>701</v>
      </c>
      <c r="BQ232" t="s">
        <v>705</v>
      </c>
      <c r="BR232" t="s">
        <v>706</v>
      </c>
      <c r="BS232" t="s">
        <v>707</v>
      </c>
      <c r="CR232"/>
      <c r="CS232"/>
      <c r="CT232"/>
    </row>
    <row r="233" spans="1:98" x14ac:dyDescent="0.4">
      <c r="A233" s="2" t="s">
        <v>257</v>
      </c>
      <c r="B233" t="str">
        <f>_xlfn.TEXTAFTER(Table1[[#This Row],[VEHIDCODE]],"_")</f>
        <v>China_MTR_8000</v>
      </c>
      <c r="C233" t="s">
        <v>740</v>
      </c>
      <c r="D233" t="b">
        <f>OR(ISNUMBER(SEARCH("wagon_",Table1[[#This Row],[FILENAMES_EXPECTED]])),ISNUMBER(SEARCH("coach_",Table1[[#This Row],[FILENAMES_EXPECTED]])))</f>
        <v>0</v>
      </c>
      <c r="E233" t="str">
        <f>"item_"&amp;Table1[[#This Row],[VEHIDCODE]]</f>
        <v>item_diesel_China_MTR_8000</v>
      </c>
      <c r="F233" t="str">
        <f>"str_"&amp;Table1[[#This Row],[VEHIDCODE]]</f>
        <v>str_diesel_China_MTR_8000</v>
      </c>
      <c r="O233" s="2" t="b">
        <v>1</v>
      </c>
      <c r="AJ233" s="2"/>
      <c r="AK233" s="2" t="b">
        <f>LEN(_xlfn.CONCAT(Table1[[#This Row],[TRACK_TYPE_STANDARD_GAUGE_RAILTYPE_OHLE]:[TRACK_TYPE_MTRO]]))&gt;0</f>
        <v>1</v>
      </c>
      <c r="AL233">
        <v>8</v>
      </c>
      <c r="AM233" t="s">
        <v>20</v>
      </c>
      <c r="AN233">
        <v>0</v>
      </c>
      <c r="AO233" t="s">
        <v>35</v>
      </c>
      <c r="AP233">
        <v>0</v>
      </c>
      <c r="AQ233">
        <v>2003</v>
      </c>
      <c r="AR233">
        <v>8</v>
      </c>
      <c r="AS233" s="2" t="s">
        <v>20</v>
      </c>
      <c r="AT233" t="b">
        <v>1</v>
      </c>
      <c r="AV233" s="2"/>
      <c r="AW233" t="s">
        <v>21</v>
      </c>
      <c r="AX233">
        <v>1</v>
      </c>
      <c r="AY233">
        <v>2680</v>
      </c>
      <c r="AZ233" t="s">
        <v>711</v>
      </c>
      <c r="BA233">
        <v>140</v>
      </c>
      <c r="BB233" s="2">
        <v>0.28999999999999998</v>
      </c>
      <c r="BC233" t="s">
        <v>931</v>
      </c>
      <c r="BD233" t="s">
        <v>922</v>
      </c>
      <c r="BE233" t="s">
        <v>940</v>
      </c>
      <c r="BF233" s="7">
        <v>40</v>
      </c>
      <c r="BG2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3">
        <v>0</v>
      </c>
      <c r="BI233" t="s">
        <v>734</v>
      </c>
      <c r="BJ233" s="11"/>
      <c r="BK233" s="11"/>
      <c r="BL233" s="11">
        <v>80</v>
      </c>
      <c r="BM233">
        <v>0</v>
      </c>
      <c r="BN233" t="s">
        <v>692</v>
      </c>
      <c r="BO233" t="s">
        <v>694</v>
      </c>
      <c r="BP233" t="s">
        <v>701</v>
      </c>
      <c r="BQ233" t="s">
        <v>705</v>
      </c>
      <c r="BR233" t="s">
        <v>706</v>
      </c>
      <c r="BS233" t="s">
        <v>707</v>
      </c>
      <c r="CR233"/>
      <c r="CS233"/>
      <c r="CT233"/>
    </row>
    <row r="234" spans="1:98" x14ac:dyDescent="0.4">
      <c r="A234" s="2" t="s">
        <v>258</v>
      </c>
      <c r="B234" t="str">
        <f>_xlfn.TEXTAFTER(Table1[[#This Row],[VEHIDCODE]],"_")</f>
        <v>Germany_HVLE_V490</v>
      </c>
      <c r="C234" t="s">
        <v>740</v>
      </c>
      <c r="D234" t="b">
        <f>OR(ISNUMBER(SEARCH("wagon_",Table1[[#This Row],[FILENAMES_EXPECTED]])),ISNUMBER(SEARCH("coach_",Table1[[#This Row],[FILENAMES_EXPECTED]])))</f>
        <v>0</v>
      </c>
      <c r="E234" t="str">
        <f>"item_"&amp;Table1[[#This Row],[VEHIDCODE]]</f>
        <v>item_diesel_Germany_HVLE_V490</v>
      </c>
      <c r="F234" t="str">
        <f>"str_"&amp;Table1[[#This Row],[VEHIDCODE]]</f>
        <v>str_diesel_Germany_HVLE_V490</v>
      </c>
      <c r="O234" s="2" t="b">
        <v>1</v>
      </c>
      <c r="AJ234" s="2"/>
      <c r="AK234" s="2" t="b">
        <f>LEN(_xlfn.CONCAT(Table1[[#This Row],[TRACK_TYPE_STANDARD_GAUGE_RAILTYPE_OHLE]:[TRACK_TYPE_MTRO]]))&gt;0</f>
        <v>1</v>
      </c>
      <c r="AL234">
        <v>8</v>
      </c>
      <c r="AM234" t="s">
        <v>20</v>
      </c>
      <c r="AN234">
        <v>0</v>
      </c>
      <c r="AO234" t="s">
        <v>35</v>
      </c>
      <c r="AP234">
        <v>0</v>
      </c>
      <c r="AQ234">
        <v>2010</v>
      </c>
      <c r="AR234">
        <v>8</v>
      </c>
      <c r="AS234" s="2" t="s">
        <v>20</v>
      </c>
      <c r="AT234" t="b">
        <v>1</v>
      </c>
      <c r="AV234" s="2"/>
      <c r="AW234" t="s">
        <v>21</v>
      </c>
      <c r="AX234">
        <v>1</v>
      </c>
      <c r="AY234">
        <v>4900</v>
      </c>
      <c r="AZ234" t="s">
        <v>711</v>
      </c>
      <c r="BA234">
        <v>140</v>
      </c>
      <c r="BB234" s="2">
        <v>0.35</v>
      </c>
      <c r="BC234" t="s">
        <v>923</v>
      </c>
      <c r="BD234" t="s">
        <v>922</v>
      </c>
      <c r="BE234" t="s">
        <v>940</v>
      </c>
      <c r="BF234" s="7">
        <v>40</v>
      </c>
      <c r="BG2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4">
        <v>0</v>
      </c>
      <c r="BI234" t="s">
        <v>734</v>
      </c>
      <c r="BJ234" s="11"/>
      <c r="BK234" s="11"/>
      <c r="BL234" s="11">
        <v>130</v>
      </c>
      <c r="BM234">
        <v>0</v>
      </c>
      <c r="BN234" t="s">
        <v>692</v>
      </c>
      <c r="BO234" t="s">
        <v>694</v>
      </c>
      <c r="BP234" t="s">
        <v>701</v>
      </c>
      <c r="BQ234" t="s">
        <v>705</v>
      </c>
      <c r="BR234" t="s">
        <v>706</v>
      </c>
      <c r="BS234" t="s">
        <v>707</v>
      </c>
      <c r="CR234"/>
      <c r="CS234"/>
      <c r="CT234"/>
    </row>
    <row r="235" spans="1:98" x14ac:dyDescent="0.4">
      <c r="A235" s="2" t="s">
        <v>259</v>
      </c>
      <c r="B235" t="str">
        <f>_xlfn.TEXTAFTER(Table1[[#This Row],[VEHIDCODE]],"_")</f>
        <v>Russia_RZD_Emch_3</v>
      </c>
      <c r="C235" t="s">
        <v>740</v>
      </c>
      <c r="D235" t="b">
        <f>OR(ISNUMBER(SEARCH("wagon_",Table1[[#This Row],[FILENAMES_EXPECTED]])),ISNUMBER(SEARCH("coach_",Table1[[#This Row],[FILENAMES_EXPECTED]])))</f>
        <v>0</v>
      </c>
      <c r="E235" t="str">
        <f>"item_"&amp;Table1[[#This Row],[VEHIDCODE]]</f>
        <v>item_diesel_Russia_RZD_Emch_3</v>
      </c>
      <c r="F235" t="str">
        <f>"str_"&amp;Table1[[#This Row],[VEHIDCODE]]</f>
        <v>str_diesel_Russia_RZD_Emch_3</v>
      </c>
      <c r="AG235" s="2" t="b">
        <v>1</v>
      </c>
      <c r="AJ235" s="2"/>
      <c r="AK235" s="2" t="b">
        <f>LEN(_xlfn.CONCAT(Table1[[#This Row],[TRACK_TYPE_STANDARD_GAUGE_RAILTYPE_OHLE]:[TRACK_TYPE_MTRO]]))&gt;0</f>
        <v>1</v>
      </c>
      <c r="AL235">
        <v>7</v>
      </c>
      <c r="AM235" t="s">
        <v>20</v>
      </c>
      <c r="AN235">
        <v>0</v>
      </c>
      <c r="AO235" t="s">
        <v>35</v>
      </c>
      <c r="AP235">
        <v>0</v>
      </c>
      <c r="AQ235">
        <v>1926</v>
      </c>
      <c r="AR235">
        <v>7</v>
      </c>
      <c r="AS235" s="2" t="s">
        <v>20</v>
      </c>
      <c r="AT235" t="b">
        <v>1</v>
      </c>
      <c r="AV235" s="2"/>
      <c r="AW235">
        <v>45</v>
      </c>
      <c r="AX235">
        <v>1</v>
      </c>
      <c r="AY235">
        <v>1200</v>
      </c>
      <c r="AZ235" t="s">
        <v>711</v>
      </c>
      <c r="BA235">
        <v>55</v>
      </c>
      <c r="BB235" s="2">
        <v>0.12</v>
      </c>
      <c r="BC235" t="s">
        <v>931</v>
      </c>
      <c r="BD235" t="s">
        <v>922</v>
      </c>
      <c r="BE235" t="s">
        <v>940</v>
      </c>
      <c r="BF235" s="7">
        <v>40</v>
      </c>
      <c r="BG2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5">
        <v>0</v>
      </c>
      <c r="BI235" t="s">
        <v>734</v>
      </c>
      <c r="BJ235" s="11"/>
      <c r="BK235" s="11"/>
      <c r="BL235" s="11">
        <v>125</v>
      </c>
      <c r="BM235">
        <v>0</v>
      </c>
      <c r="BN235" t="s">
        <v>692</v>
      </c>
      <c r="BO235" t="s">
        <v>694</v>
      </c>
      <c r="BP235" t="s">
        <v>701</v>
      </c>
      <c r="BQ235" t="s">
        <v>705</v>
      </c>
      <c r="BR235" t="s">
        <v>706</v>
      </c>
      <c r="BS235" t="s">
        <v>707</v>
      </c>
      <c r="CR235"/>
      <c r="CS235"/>
      <c r="CT235"/>
    </row>
    <row r="236" spans="1:98" x14ac:dyDescent="0.4">
      <c r="A236" s="2" t="s">
        <v>260</v>
      </c>
      <c r="B236" t="str">
        <f>_xlfn.TEXTAFTER(Table1[[#This Row],[VEHIDCODE]],"_")</f>
        <v>Canada_CNR_9000</v>
      </c>
      <c r="C236" t="s">
        <v>740</v>
      </c>
      <c r="D236" t="b">
        <f>OR(ISNUMBER(SEARCH("wagon_",Table1[[#This Row],[FILENAMES_EXPECTED]])),ISNUMBER(SEARCH("coach_",Table1[[#This Row],[FILENAMES_EXPECTED]])))</f>
        <v>0</v>
      </c>
      <c r="E236" t="str">
        <f>"item_"&amp;Table1[[#This Row],[VEHIDCODE]]</f>
        <v>item_diesel_Canada_CNR_9000</v>
      </c>
      <c r="F236" t="str">
        <f>"str_"&amp;Table1[[#This Row],[VEHIDCODE]]</f>
        <v>str_diesel_Canada_CNR_9000</v>
      </c>
      <c r="O236" s="2" t="b">
        <v>1</v>
      </c>
      <c r="AJ236" s="2"/>
      <c r="AK236" s="2" t="b">
        <f>LEN(_xlfn.CONCAT(Table1[[#This Row],[TRACK_TYPE_STANDARD_GAUGE_RAILTYPE_OHLE]:[TRACK_TYPE_MTRO]]))&gt;0</f>
        <v>1</v>
      </c>
      <c r="AL236">
        <v>14</v>
      </c>
      <c r="AM236" t="s">
        <v>20</v>
      </c>
      <c r="AN236">
        <v>0</v>
      </c>
      <c r="AO236" t="s">
        <v>35</v>
      </c>
      <c r="AP236">
        <v>0</v>
      </c>
      <c r="AQ236">
        <v>1928</v>
      </c>
      <c r="AR236">
        <v>7</v>
      </c>
      <c r="AS236" s="2" t="s">
        <v>20</v>
      </c>
      <c r="AT236" t="b">
        <v>1</v>
      </c>
      <c r="AV236" s="2"/>
      <c r="AW236">
        <v>45</v>
      </c>
      <c r="AX236">
        <v>1</v>
      </c>
      <c r="AY236">
        <v>2660</v>
      </c>
      <c r="AZ236" t="s">
        <v>711</v>
      </c>
      <c r="BA236">
        <v>112</v>
      </c>
      <c r="BB236" s="2">
        <v>0.11</v>
      </c>
      <c r="BC236" t="s">
        <v>928</v>
      </c>
      <c r="BD236" t="s">
        <v>922</v>
      </c>
      <c r="BE236" t="s">
        <v>940</v>
      </c>
      <c r="BF236" s="7">
        <v>40</v>
      </c>
      <c r="BG2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6">
        <v>0</v>
      </c>
      <c r="BI236" t="s">
        <v>734</v>
      </c>
      <c r="BJ236" s="11"/>
      <c r="BK236" s="11"/>
      <c r="BL236" s="11">
        <v>335</v>
      </c>
      <c r="BM236">
        <v>0</v>
      </c>
      <c r="BN236" t="s">
        <v>692</v>
      </c>
      <c r="BO236" t="s">
        <v>694</v>
      </c>
      <c r="BP236" t="s">
        <v>701</v>
      </c>
      <c r="BQ236" t="s">
        <v>705</v>
      </c>
      <c r="BR236" t="s">
        <v>706</v>
      </c>
      <c r="BS236" t="s">
        <v>707</v>
      </c>
      <c r="CR236"/>
      <c r="CS236"/>
      <c r="CT236"/>
    </row>
    <row r="237" spans="1:98" x14ac:dyDescent="0.4">
      <c r="A237" s="2" t="s">
        <v>261</v>
      </c>
      <c r="B237" t="str">
        <f>_xlfn.TEXTAFTER(Table1[[#This Row],[VEHIDCODE]],"_")</f>
        <v>UK_LMS_7051_Diesel_Shunter</v>
      </c>
      <c r="C237" t="s">
        <v>740</v>
      </c>
      <c r="D237" t="b">
        <f>OR(ISNUMBER(SEARCH("wagon_",Table1[[#This Row],[FILENAMES_EXPECTED]])),ISNUMBER(SEARCH("coach_",Table1[[#This Row],[FILENAMES_EXPECTED]])))</f>
        <v>0</v>
      </c>
      <c r="E237" t="str">
        <f>"item_"&amp;Table1[[#This Row],[VEHIDCODE]]</f>
        <v>item_diesel_UK_LMS_7051_Diesel_Shunter</v>
      </c>
      <c r="F237" t="str">
        <f>"str_"&amp;Table1[[#This Row],[VEHIDCODE]]</f>
        <v>str_diesel_UK_LMS_7051_Diesel_Shunter</v>
      </c>
      <c r="O237" s="2" t="b">
        <v>1</v>
      </c>
      <c r="AJ237" s="2"/>
      <c r="AK237" s="2" t="b">
        <f>LEN(_xlfn.CONCAT(Table1[[#This Row],[TRACK_TYPE_STANDARD_GAUGE_RAILTYPE_OHLE]:[TRACK_TYPE_MTRO]]))&gt;0</f>
        <v>1</v>
      </c>
      <c r="AL237">
        <v>4</v>
      </c>
      <c r="AM237" t="s">
        <v>20</v>
      </c>
      <c r="AN237">
        <v>0</v>
      </c>
      <c r="AO237" t="s">
        <v>35</v>
      </c>
      <c r="AP237">
        <v>0</v>
      </c>
      <c r="AQ237">
        <v>1932</v>
      </c>
      <c r="AR237">
        <v>4</v>
      </c>
      <c r="AS237" s="2" t="s">
        <v>20</v>
      </c>
      <c r="AT237" t="b">
        <v>1</v>
      </c>
      <c r="AV237" s="2"/>
      <c r="AW237">
        <v>45</v>
      </c>
      <c r="AX237">
        <v>0</v>
      </c>
      <c r="AY237">
        <v>150</v>
      </c>
      <c r="AZ237" t="s">
        <v>711</v>
      </c>
      <c r="BA237">
        <v>48</v>
      </c>
      <c r="BB237" s="2">
        <v>0.21</v>
      </c>
      <c r="BC237" t="s">
        <v>927</v>
      </c>
      <c r="BD237" t="s">
        <v>922</v>
      </c>
      <c r="BE237" t="s">
        <v>940</v>
      </c>
      <c r="BF237" s="7">
        <v>40</v>
      </c>
      <c r="BG2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7">
        <v>0</v>
      </c>
      <c r="BI237" t="s">
        <v>734</v>
      </c>
      <c r="BJ237" s="11"/>
      <c r="BK237" s="11"/>
      <c r="BL237" s="11">
        <v>22</v>
      </c>
      <c r="BM237">
        <v>0</v>
      </c>
      <c r="BN237" t="s">
        <v>692</v>
      </c>
      <c r="BO237" t="s">
        <v>694</v>
      </c>
      <c r="BP237" t="s">
        <v>701</v>
      </c>
      <c r="BQ237" t="s">
        <v>705</v>
      </c>
      <c r="BR237" t="s">
        <v>706</v>
      </c>
      <c r="BS237" t="s">
        <v>707</v>
      </c>
      <c r="CR237"/>
      <c r="CS237"/>
      <c r="CT237"/>
    </row>
    <row r="238" spans="1:98" x14ac:dyDescent="0.4">
      <c r="A238" s="2" t="s">
        <v>262</v>
      </c>
      <c r="B238" t="str">
        <f>_xlfn.TEXTAFTER(Table1[[#This Row],[VEHIDCODE]],"_")</f>
        <v>USA_Rock_Island_EMC_TA</v>
      </c>
      <c r="C238" t="s">
        <v>740</v>
      </c>
      <c r="D238" t="b">
        <f>OR(ISNUMBER(SEARCH("wagon_",Table1[[#This Row],[FILENAMES_EXPECTED]])),ISNUMBER(SEARCH("coach_",Table1[[#This Row],[FILENAMES_EXPECTED]])))</f>
        <v>0</v>
      </c>
      <c r="E238" t="str">
        <f>"item_"&amp;Table1[[#This Row],[VEHIDCODE]]</f>
        <v>item_diesel_USA_Rock_Island_EMC_TA</v>
      </c>
      <c r="F238" t="str">
        <f>"str_"&amp;Table1[[#This Row],[VEHIDCODE]]</f>
        <v>str_diesel_USA_Rock_Island_EMC_TA</v>
      </c>
      <c r="O238" s="2" t="b">
        <v>1</v>
      </c>
      <c r="AJ238" s="2"/>
      <c r="AK238" s="2" t="b">
        <f>LEN(_xlfn.CONCAT(Table1[[#This Row],[TRACK_TYPE_STANDARD_GAUGE_RAILTYPE_OHLE]:[TRACK_TYPE_MTRO]]))&gt;0</f>
        <v>1</v>
      </c>
      <c r="AL238">
        <v>8</v>
      </c>
      <c r="AM238" t="s">
        <v>20</v>
      </c>
      <c r="AN238">
        <v>0</v>
      </c>
      <c r="AO238" t="s">
        <v>35</v>
      </c>
      <c r="AP238">
        <v>0</v>
      </c>
      <c r="AQ238">
        <v>1937</v>
      </c>
      <c r="AR238">
        <v>8</v>
      </c>
      <c r="AS238" s="2" t="s">
        <v>20</v>
      </c>
      <c r="AT238" t="b">
        <v>1</v>
      </c>
      <c r="AV238" s="2"/>
      <c r="AW238">
        <v>45</v>
      </c>
      <c r="AX238">
        <v>1</v>
      </c>
      <c r="AY238">
        <v>1200</v>
      </c>
      <c r="AZ238" t="s">
        <v>711</v>
      </c>
      <c r="BA238">
        <v>180</v>
      </c>
      <c r="BB238" s="2">
        <v>0.12</v>
      </c>
      <c r="BC238" t="s">
        <v>928</v>
      </c>
      <c r="BD238" t="s">
        <v>922</v>
      </c>
      <c r="BE238" t="s">
        <v>940</v>
      </c>
      <c r="BF238" s="7">
        <v>40</v>
      </c>
      <c r="BG2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8">
        <v>0</v>
      </c>
      <c r="BI238" t="s">
        <v>734</v>
      </c>
      <c r="BJ238" s="11"/>
      <c r="BK238" s="11"/>
      <c r="BL238" s="11">
        <v>132</v>
      </c>
      <c r="BM238">
        <v>0</v>
      </c>
      <c r="BN238" t="s">
        <v>692</v>
      </c>
      <c r="BO238" t="s">
        <v>694</v>
      </c>
      <c r="BP238" t="s">
        <v>701</v>
      </c>
      <c r="BQ238" t="s">
        <v>705</v>
      </c>
      <c r="BR238" t="s">
        <v>706</v>
      </c>
      <c r="BS238" t="s">
        <v>707</v>
      </c>
      <c r="CR238"/>
      <c r="CS238"/>
      <c r="CT238"/>
    </row>
    <row r="239" spans="1:98" x14ac:dyDescent="0.4">
      <c r="A239" s="2" t="s">
        <v>263</v>
      </c>
      <c r="B239" t="str">
        <f>_xlfn.TEXTAFTER(Table1[[#This Row],[VEHIDCODE]],"_")</f>
        <v>USA_NYC_Baldwin_VO_660</v>
      </c>
      <c r="C239" t="s">
        <v>740</v>
      </c>
      <c r="D239" t="b">
        <f>OR(ISNUMBER(SEARCH("wagon_",Table1[[#This Row],[FILENAMES_EXPECTED]])),ISNUMBER(SEARCH("coach_",Table1[[#This Row],[FILENAMES_EXPECTED]])))</f>
        <v>0</v>
      </c>
      <c r="E239" t="str">
        <f>"item_"&amp;Table1[[#This Row],[VEHIDCODE]]</f>
        <v>item_diesel_USA_NYC_Baldwin_VO_660</v>
      </c>
      <c r="F239" t="str">
        <f>"str_"&amp;Table1[[#This Row],[VEHIDCODE]]</f>
        <v>str_diesel_USA_NYC_Baldwin_VO_660</v>
      </c>
      <c r="O239" s="2" t="b">
        <v>1</v>
      </c>
      <c r="AJ239" s="2"/>
      <c r="AK239" s="2" t="b">
        <f>LEN(_xlfn.CONCAT(Table1[[#This Row],[TRACK_TYPE_STANDARD_GAUGE_RAILTYPE_OHLE]:[TRACK_TYPE_MTRO]]))&gt;0</f>
        <v>1</v>
      </c>
      <c r="AL239">
        <v>6</v>
      </c>
      <c r="AM239" t="s">
        <v>20</v>
      </c>
      <c r="AN239">
        <v>0</v>
      </c>
      <c r="AO239" t="s">
        <v>35</v>
      </c>
      <c r="AP239">
        <v>0</v>
      </c>
      <c r="AQ239">
        <v>1939</v>
      </c>
      <c r="AR239">
        <v>6</v>
      </c>
      <c r="AS239" s="2" t="s">
        <v>20</v>
      </c>
      <c r="AT239" t="b">
        <v>1</v>
      </c>
      <c r="AV239" s="2"/>
      <c r="AW239">
        <v>45</v>
      </c>
      <c r="AX239">
        <v>1</v>
      </c>
      <c r="AY239">
        <v>660</v>
      </c>
      <c r="AZ239" t="s">
        <v>711</v>
      </c>
      <c r="BA239">
        <v>64</v>
      </c>
      <c r="BB239" s="2">
        <v>0.24</v>
      </c>
      <c r="BC239" t="s">
        <v>928</v>
      </c>
      <c r="BD239" t="s">
        <v>922</v>
      </c>
      <c r="BE239" t="s">
        <v>940</v>
      </c>
      <c r="BF239" s="7">
        <v>40</v>
      </c>
      <c r="BG2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39">
        <v>0</v>
      </c>
      <c r="BI239" t="s">
        <v>734</v>
      </c>
      <c r="BJ239" s="11"/>
      <c r="BK239" s="11"/>
      <c r="BL239" s="11">
        <v>92</v>
      </c>
      <c r="BM239">
        <v>0</v>
      </c>
      <c r="BN239" t="s">
        <v>692</v>
      </c>
      <c r="BO239" t="s">
        <v>694</v>
      </c>
      <c r="BP239" t="s">
        <v>701</v>
      </c>
      <c r="BQ239" t="s">
        <v>705</v>
      </c>
      <c r="BR239" t="s">
        <v>706</v>
      </c>
      <c r="BS239" t="s">
        <v>707</v>
      </c>
      <c r="CR239"/>
      <c r="CS239"/>
      <c r="CT239"/>
    </row>
    <row r="240" spans="1:98" x14ac:dyDescent="0.4">
      <c r="A240" s="2" t="s">
        <v>264</v>
      </c>
      <c r="B240" t="str">
        <f>_xlfn.TEXTAFTER(Table1[[#This Row],[VEHIDCODE]],"_")</f>
        <v>UK_BR_Class_D3_7</v>
      </c>
      <c r="C240" t="s">
        <v>740</v>
      </c>
      <c r="D240" t="b">
        <f>OR(ISNUMBER(SEARCH("wagon_",Table1[[#This Row],[FILENAMES_EXPECTED]])),ISNUMBER(SEARCH("coach_",Table1[[#This Row],[FILENAMES_EXPECTED]])))</f>
        <v>0</v>
      </c>
      <c r="E240" t="str">
        <f>"item_"&amp;Table1[[#This Row],[VEHIDCODE]]</f>
        <v>item_diesel_UK_BR_Class_D3_7</v>
      </c>
      <c r="F240" t="str">
        <f>"str_"&amp;Table1[[#This Row],[VEHIDCODE]]</f>
        <v>str_diesel_UK_BR_Class_D3_7</v>
      </c>
      <c r="O240" s="2" t="b">
        <v>1</v>
      </c>
      <c r="AJ240" s="2"/>
      <c r="AK240" s="2" t="b">
        <f>LEN(_xlfn.CONCAT(Table1[[#This Row],[TRACK_TYPE_STANDARD_GAUGE_RAILTYPE_OHLE]:[TRACK_TYPE_MTRO]]))&gt;0</f>
        <v>1</v>
      </c>
      <c r="AL240">
        <v>5</v>
      </c>
      <c r="AM240" t="s">
        <v>20</v>
      </c>
      <c r="AN240">
        <v>0</v>
      </c>
      <c r="AO240" t="s">
        <v>35</v>
      </c>
      <c r="AP240">
        <v>0</v>
      </c>
      <c r="AQ240">
        <v>1939</v>
      </c>
      <c r="AR240">
        <v>5</v>
      </c>
      <c r="AS240" s="2" t="s">
        <v>20</v>
      </c>
      <c r="AT240" t="b">
        <v>1</v>
      </c>
      <c r="AV240" s="2"/>
      <c r="AW240">
        <v>45</v>
      </c>
      <c r="AX240">
        <v>0</v>
      </c>
      <c r="AY240">
        <v>350</v>
      </c>
      <c r="AZ240" t="s">
        <v>711</v>
      </c>
      <c r="BA240">
        <v>32</v>
      </c>
      <c r="BB240" s="2">
        <v>0.28999999999999998</v>
      </c>
      <c r="BC240" t="s">
        <v>927</v>
      </c>
      <c r="BD240" t="s">
        <v>922</v>
      </c>
      <c r="BE240" t="s">
        <v>940</v>
      </c>
      <c r="BF240" s="7">
        <v>40</v>
      </c>
      <c r="BG2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0">
        <v>0</v>
      </c>
      <c r="BI240" t="s">
        <v>734</v>
      </c>
      <c r="BJ240" s="11"/>
      <c r="BK240" s="11"/>
      <c r="BL240" s="11">
        <v>55</v>
      </c>
      <c r="BM240">
        <v>0</v>
      </c>
      <c r="BN240" t="s">
        <v>692</v>
      </c>
      <c r="BO240" t="s">
        <v>694</v>
      </c>
      <c r="BP240" t="s">
        <v>701</v>
      </c>
      <c r="BQ240" t="s">
        <v>705</v>
      </c>
      <c r="BR240" t="s">
        <v>706</v>
      </c>
      <c r="BS240" t="s">
        <v>707</v>
      </c>
      <c r="CR240"/>
      <c r="CS240"/>
      <c r="CT240"/>
    </row>
    <row r="241" spans="1:98" x14ac:dyDescent="0.4">
      <c r="A241" s="2" t="s">
        <v>265</v>
      </c>
      <c r="B241" t="str">
        <f>_xlfn.TEXTAFTER(Table1[[#This Row],[VEHIDCODE]],"_")</f>
        <v>Australia_Queensland_Railways_DL_Class</v>
      </c>
      <c r="C241" t="s">
        <v>740</v>
      </c>
      <c r="D241" t="b">
        <f>OR(ISNUMBER(SEARCH("wagon_",Table1[[#This Row],[FILENAMES_EXPECTED]])),ISNUMBER(SEARCH("coach_",Table1[[#This Row],[FILENAMES_EXPECTED]])))</f>
        <v>0</v>
      </c>
      <c r="E241" t="str">
        <f>"item_"&amp;Table1[[#This Row],[VEHIDCODE]]</f>
        <v>item_diesel_Australia_Queensland_Railways_DL_Class</v>
      </c>
      <c r="F241" t="str">
        <f>"str_"&amp;Table1[[#This Row],[VEHIDCODE]]</f>
        <v>str_diesel_Australia_Queensland_Railways_DL_Class</v>
      </c>
      <c r="X241" s="2" t="b">
        <v>1</v>
      </c>
      <c r="AJ241" s="2"/>
      <c r="AK241" s="2" t="b">
        <f>LEN(_xlfn.CONCAT(Table1[[#This Row],[TRACK_TYPE_STANDARD_GAUGE_RAILTYPE_OHLE]:[TRACK_TYPE_MTRO]]))&gt;0</f>
        <v>1</v>
      </c>
      <c r="AL241">
        <v>5</v>
      </c>
      <c r="AM241" t="s">
        <v>20</v>
      </c>
      <c r="AN241">
        <v>0</v>
      </c>
      <c r="AO241" t="s">
        <v>35</v>
      </c>
      <c r="AP241">
        <v>0</v>
      </c>
      <c r="AQ241">
        <v>1939</v>
      </c>
      <c r="AR241">
        <v>5</v>
      </c>
      <c r="AS241" s="2" t="s">
        <v>20</v>
      </c>
      <c r="AT241" t="b">
        <v>1</v>
      </c>
      <c r="AV241" s="2"/>
      <c r="AW241">
        <v>45</v>
      </c>
      <c r="AX241">
        <v>1</v>
      </c>
      <c r="AY241">
        <v>150</v>
      </c>
      <c r="AZ241" t="s">
        <v>711</v>
      </c>
      <c r="BA241">
        <v>50</v>
      </c>
      <c r="BB241" s="2">
        <v>0.17</v>
      </c>
      <c r="BC241" t="s">
        <v>925</v>
      </c>
      <c r="BD241" t="s">
        <v>922</v>
      </c>
      <c r="BE241" t="s">
        <v>940</v>
      </c>
      <c r="BF241" s="7">
        <v>40</v>
      </c>
      <c r="BG2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1">
        <v>0</v>
      </c>
      <c r="BI241" t="s">
        <v>734</v>
      </c>
      <c r="BJ241" s="11"/>
      <c r="BK241" s="11"/>
      <c r="BL241" s="11">
        <v>18</v>
      </c>
      <c r="BM241">
        <v>0</v>
      </c>
      <c r="BN241" t="s">
        <v>692</v>
      </c>
      <c r="BO241" t="s">
        <v>694</v>
      </c>
      <c r="BP241" t="s">
        <v>701</v>
      </c>
      <c r="BQ241" t="s">
        <v>705</v>
      </c>
      <c r="BR241" t="s">
        <v>706</v>
      </c>
      <c r="BS241" t="s">
        <v>707</v>
      </c>
      <c r="CR241"/>
      <c r="CS241"/>
      <c r="CT241"/>
    </row>
    <row r="242" spans="1:98" x14ac:dyDescent="0.4">
      <c r="A242" s="2" t="s">
        <v>266</v>
      </c>
      <c r="B242" t="str">
        <f>_xlfn.TEXTAFTER(Table1[[#This Row],[VEHIDCODE]],"_")</f>
        <v>USA_PRR_FM_H_10_44</v>
      </c>
      <c r="C242" t="s">
        <v>740</v>
      </c>
      <c r="D242" t="b">
        <f>OR(ISNUMBER(SEARCH("wagon_",Table1[[#This Row],[FILENAMES_EXPECTED]])),ISNUMBER(SEARCH("coach_",Table1[[#This Row],[FILENAMES_EXPECTED]])))</f>
        <v>0</v>
      </c>
      <c r="E242" t="str">
        <f>"item_"&amp;Table1[[#This Row],[VEHIDCODE]]</f>
        <v>item_diesel_USA_PRR_FM_H_10_44</v>
      </c>
      <c r="F242" t="str">
        <f>"str_"&amp;Table1[[#This Row],[VEHIDCODE]]</f>
        <v>str_diesel_USA_PRR_FM_H_10_44</v>
      </c>
      <c r="O242" s="2" t="b">
        <v>1</v>
      </c>
      <c r="AJ242" s="2"/>
      <c r="AK242" s="2" t="b">
        <f>LEN(_xlfn.CONCAT(Table1[[#This Row],[TRACK_TYPE_STANDARD_GAUGE_RAILTYPE_OHLE]:[TRACK_TYPE_MTRO]]))&gt;0</f>
        <v>1</v>
      </c>
      <c r="AL242">
        <v>6</v>
      </c>
      <c r="AM242" t="s">
        <v>20</v>
      </c>
      <c r="AN242">
        <v>0</v>
      </c>
      <c r="AO242" t="s">
        <v>35</v>
      </c>
      <c r="AP242">
        <v>0</v>
      </c>
      <c r="AQ242">
        <v>1944</v>
      </c>
      <c r="AR242">
        <v>6</v>
      </c>
      <c r="AS242" s="2" t="s">
        <v>20</v>
      </c>
      <c r="AT242" t="b">
        <v>1</v>
      </c>
      <c r="AV242" s="2"/>
      <c r="AW242">
        <v>45</v>
      </c>
      <c r="AX242">
        <v>1</v>
      </c>
      <c r="AY242">
        <v>1000</v>
      </c>
      <c r="AZ242" t="s">
        <v>711</v>
      </c>
      <c r="BA242">
        <v>97</v>
      </c>
      <c r="BB242" s="2">
        <v>0.17</v>
      </c>
      <c r="BC242" t="s">
        <v>928</v>
      </c>
      <c r="BD242" t="s">
        <v>922</v>
      </c>
      <c r="BE242" t="s">
        <v>940</v>
      </c>
      <c r="BF242" s="7">
        <v>40</v>
      </c>
      <c r="BG2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2">
        <v>0</v>
      </c>
      <c r="BI242" t="s">
        <v>734</v>
      </c>
      <c r="BJ242" s="11"/>
      <c r="BK242" s="11"/>
      <c r="BL242" s="11">
        <v>109</v>
      </c>
      <c r="BM242">
        <v>0</v>
      </c>
      <c r="BN242" t="s">
        <v>692</v>
      </c>
      <c r="BO242" t="s">
        <v>694</v>
      </c>
      <c r="BP242" t="s">
        <v>701</v>
      </c>
      <c r="BQ242" t="s">
        <v>705</v>
      </c>
      <c r="BR242" t="s">
        <v>706</v>
      </c>
      <c r="BS242" t="s">
        <v>707</v>
      </c>
      <c r="CR242"/>
      <c r="CS242"/>
      <c r="CT242"/>
    </row>
    <row r="243" spans="1:98" x14ac:dyDescent="0.4">
      <c r="A243" s="2" t="s">
        <v>267</v>
      </c>
      <c r="B243" t="str">
        <f>_xlfn.TEXTAFTER(Table1[[#This Row],[VEHIDCODE]],"_")</f>
        <v>Algeria_SNTF_Baldwin_DRS6_4_1000</v>
      </c>
      <c r="C243" t="s">
        <v>740</v>
      </c>
      <c r="D243" t="b">
        <f>OR(ISNUMBER(SEARCH("wagon_",Table1[[#This Row],[FILENAMES_EXPECTED]])),ISNUMBER(SEARCH("coach_",Table1[[#This Row],[FILENAMES_EXPECTED]])))</f>
        <v>0</v>
      </c>
      <c r="E243" t="str">
        <f>"item_"&amp;Table1[[#This Row],[VEHIDCODE]]</f>
        <v>item_diesel_Algeria_SNTF_Baldwin_DRS6_4_1000</v>
      </c>
      <c r="F243" t="str">
        <f>"str_"&amp;Table1[[#This Row],[VEHIDCODE]]</f>
        <v>str_diesel_Algeria_SNTF_Baldwin_DRS6_4_1000</v>
      </c>
      <c r="O243" s="2" t="b">
        <v>1</v>
      </c>
      <c r="AJ243" s="2"/>
      <c r="AK243" s="2" t="b">
        <f>LEN(_xlfn.CONCAT(Table1[[#This Row],[TRACK_TYPE_STANDARD_GAUGE_RAILTYPE_OHLE]:[TRACK_TYPE_MTRO]]))&gt;0</f>
        <v>1</v>
      </c>
      <c r="AL243">
        <v>7</v>
      </c>
      <c r="AM243" t="s">
        <v>20</v>
      </c>
      <c r="AN243">
        <v>0</v>
      </c>
      <c r="AO243" t="s">
        <v>35</v>
      </c>
      <c r="AP243">
        <v>0</v>
      </c>
      <c r="AQ243">
        <v>1948</v>
      </c>
      <c r="AR243">
        <v>7</v>
      </c>
      <c r="AS243" s="2" t="s">
        <v>20</v>
      </c>
      <c r="AT243" t="b">
        <v>1</v>
      </c>
      <c r="AV243" s="2"/>
      <c r="AW243">
        <v>45</v>
      </c>
      <c r="AX243">
        <v>1</v>
      </c>
      <c r="AY243">
        <v>1000</v>
      </c>
      <c r="AZ243" t="s">
        <v>711</v>
      </c>
      <c r="BA243">
        <v>80</v>
      </c>
      <c r="BB243" s="2">
        <v>0.14000000000000001</v>
      </c>
      <c r="BC243" t="s">
        <v>926</v>
      </c>
      <c r="BD243" t="s">
        <v>922</v>
      </c>
      <c r="BE243" t="s">
        <v>940</v>
      </c>
      <c r="BF243" s="7">
        <v>40</v>
      </c>
      <c r="BG2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3">
        <v>0</v>
      </c>
      <c r="BI243" t="s">
        <v>734</v>
      </c>
      <c r="BJ243" s="11"/>
      <c r="BK243" s="11"/>
      <c r="BL243" s="11">
        <v>92</v>
      </c>
      <c r="BM243">
        <v>0</v>
      </c>
      <c r="BN243" t="s">
        <v>692</v>
      </c>
      <c r="BO243" t="s">
        <v>694</v>
      </c>
      <c r="BP243" t="s">
        <v>701</v>
      </c>
      <c r="BQ243" t="s">
        <v>705</v>
      </c>
      <c r="BR243" t="s">
        <v>706</v>
      </c>
      <c r="BS243" t="s">
        <v>707</v>
      </c>
      <c r="CR243"/>
      <c r="CS243"/>
      <c r="CT243"/>
    </row>
    <row r="244" spans="1:98" x14ac:dyDescent="0.4">
      <c r="A244" s="2" t="s">
        <v>268</v>
      </c>
      <c r="B244" t="str">
        <f>_xlfn.TEXTAFTER(Table1[[#This Row],[VEHIDCODE]],"_")</f>
        <v>Ireland_CIE_113</v>
      </c>
      <c r="C244" t="s">
        <v>740</v>
      </c>
      <c r="D244" t="b">
        <f>OR(ISNUMBER(SEARCH("wagon_",Table1[[#This Row],[FILENAMES_EXPECTED]])),ISNUMBER(SEARCH("coach_",Table1[[#This Row],[FILENAMES_EXPECTED]])))</f>
        <v>0</v>
      </c>
      <c r="E244" t="str">
        <f>"item_"&amp;Table1[[#This Row],[VEHIDCODE]]</f>
        <v>item_diesel_Ireland_CIE_113</v>
      </c>
      <c r="F244" t="str">
        <f>"str_"&amp;Table1[[#This Row],[VEHIDCODE]]</f>
        <v>str_diesel_Ireland_CIE_113</v>
      </c>
      <c r="O244" s="2" t="b">
        <v>1</v>
      </c>
      <c r="AJ244" s="2"/>
      <c r="AK244" s="2" t="b">
        <f>LEN(_xlfn.CONCAT(Table1[[#This Row],[TRACK_TYPE_STANDARD_GAUGE_RAILTYPE_OHLE]:[TRACK_TYPE_MTRO]]))&gt;0</f>
        <v>1</v>
      </c>
      <c r="AL244">
        <v>8</v>
      </c>
      <c r="AM244" t="s">
        <v>20</v>
      </c>
      <c r="AN244">
        <v>0</v>
      </c>
      <c r="AO244" t="s">
        <v>35</v>
      </c>
      <c r="AP244">
        <v>0</v>
      </c>
      <c r="AQ244">
        <v>1950</v>
      </c>
      <c r="AR244">
        <v>8</v>
      </c>
      <c r="AS244" s="2" t="s">
        <v>20</v>
      </c>
      <c r="AT244" t="b">
        <v>1</v>
      </c>
      <c r="AV244" s="2"/>
      <c r="AW244">
        <v>45</v>
      </c>
      <c r="AX244">
        <v>0</v>
      </c>
      <c r="AY244">
        <v>915</v>
      </c>
      <c r="AZ244" t="s">
        <v>711</v>
      </c>
      <c r="BA244">
        <v>88</v>
      </c>
      <c r="BB244" s="2">
        <v>0.25</v>
      </c>
      <c r="BC244" t="s">
        <v>927</v>
      </c>
      <c r="BD244" t="s">
        <v>922</v>
      </c>
      <c r="BE244" t="s">
        <v>940</v>
      </c>
      <c r="BF244" s="7">
        <v>40</v>
      </c>
      <c r="BG2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4">
        <v>0</v>
      </c>
      <c r="BI244" t="s">
        <v>734</v>
      </c>
      <c r="BJ244" s="11"/>
      <c r="BK244" s="11"/>
      <c r="BL244" s="11">
        <v>81</v>
      </c>
      <c r="BM244">
        <v>0</v>
      </c>
      <c r="BN244" t="s">
        <v>692</v>
      </c>
      <c r="BO244" t="s">
        <v>694</v>
      </c>
      <c r="BP244" t="s">
        <v>701</v>
      </c>
      <c r="BQ244" t="s">
        <v>705</v>
      </c>
      <c r="BR244" t="s">
        <v>706</v>
      </c>
      <c r="BS244" t="s">
        <v>707</v>
      </c>
      <c r="CR244"/>
      <c r="CS244"/>
      <c r="CT244"/>
    </row>
    <row r="245" spans="1:98" x14ac:dyDescent="0.4">
      <c r="A245" s="2" t="s">
        <v>269</v>
      </c>
      <c r="B245" t="str">
        <f>_xlfn.TEXTAFTER(Table1[[#This Row],[VEHIDCODE]],"_")</f>
        <v>Brazil_EFC_3300_Baldwin_AS_616</v>
      </c>
      <c r="C245" t="s">
        <v>740</v>
      </c>
      <c r="D245" t="b">
        <f>OR(ISNUMBER(SEARCH("wagon_",Table1[[#This Row],[FILENAMES_EXPECTED]])),ISNUMBER(SEARCH("coach_",Table1[[#This Row],[FILENAMES_EXPECTED]])))</f>
        <v>0</v>
      </c>
      <c r="E245" t="str">
        <f>"item_"&amp;Table1[[#This Row],[VEHIDCODE]]</f>
        <v>item_diesel_Brazil_EFC_3300_Baldwin_AS_616</v>
      </c>
      <c r="F245" t="str">
        <f>"str_"&amp;Table1[[#This Row],[VEHIDCODE]]</f>
        <v>str_diesel_Brazil_EFC_3300_Baldwin_AS_616</v>
      </c>
      <c r="O245" s="2" t="b">
        <v>1</v>
      </c>
      <c r="AJ245" s="2"/>
      <c r="AK245" s="2" t="b">
        <f>LEN(_xlfn.CONCAT(Table1[[#This Row],[TRACK_TYPE_STANDARD_GAUGE_RAILTYPE_OHLE]:[TRACK_TYPE_MTRO]]))&gt;0</f>
        <v>1</v>
      </c>
      <c r="AL245">
        <v>8</v>
      </c>
      <c r="AM245" t="s">
        <v>20</v>
      </c>
      <c r="AN245">
        <v>0</v>
      </c>
      <c r="AO245" t="s">
        <v>35</v>
      </c>
      <c r="AP245">
        <v>0</v>
      </c>
      <c r="AQ245">
        <v>1950</v>
      </c>
      <c r="AR245">
        <v>8</v>
      </c>
      <c r="AS245" s="2" t="s">
        <v>20</v>
      </c>
      <c r="AT245" t="b">
        <v>1</v>
      </c>
      <c r="AV245" s="2"/>
      <c r="AW245">
        <v>45</v>
      </c>
      <c r="AX245">
        <v>1</v>
      </c>
      <c r="AY245">
        <v>1600</v>
      </c>
      <c r="AZ245" t="s">
        <v>711</v>
      </c>
      <c r="BA245">
        <v>100</v>
      </c>
      <c r="BB245" s="2">
        <v>0.24</v>
      </c>
      <c r="BC245" t="s">
        <v>930</v>
      </c>
      <c r="BD245" t="s">
        <v>922</v>
      </c>
      <c r="BE245" t="s">
        <v>940</v>
      </c>
      <c r="BF245" s="7">
        <v>40</v>
      </c>
      <c r="BG2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5">
        <v>0</v>
      </c>
      <c r="BI245" t="s">
        <v>734</v>
      </c>
      <c r="BJ245" s="11"/>
      <c r="BK245" s="11"/>
      <c r="BL245" s="11">
        <v>148</v>
      </c>
      <c r="BM245">
        <v>0</v>
      </c>
      <c r="BN245" t="s">
        <v>692</v>
      </c>
      <c r="BO245" t="s">
        <v>694</v>
      </c>
      <c r="BP245" t="s">
        <v>701</v>
      </c>
      <c r="BQ245" t="s">
        <v>705</v>
      </c>
      <c r="BR245" t="s">
        <v>706</v>
      </c>
      <c r="BS245" t="s">
        <v>707</v>
      </c>
      <c r="CR245"/>
      <c r="CS245"/>
      <c r="CT245"/>
    </row>
    <row r="246" spans="1:98" x14ac:dyDescent="0.4">
      <c r="A246" s="2" t="s">
        <v>270</v>
      </c>
      <c r="B246" t="str">
        <f>_xlfn.TEXTAFTER(Table1[[#This Row],[VEHIDCODE]],"_")</f>
        <v>Mexico_CHP_500_FM_H_16_44</v>
      </c>
      <c r="C246" t="s">
        <v>740</v>
      </c>
      <c r="D246" t="b">
        <f>OR(ISNUMBER(SEARCH("wagon_",Table1[[#This Row],[FILENAMES_EXPECTED]])),ISNUMBER(SEARCH("coach_",Table1[[#This Row],[FILENAMES_EXPECTED]])))</f>
        <v>0</v>
      </c>
      <c r="E246" t="str">
        <f>"item_"&amp;Table1[[#This Row],[VEHIDCODE]]</f>
        <v>item_diesel_Mexico_CHP_500_FM_H_16_44</v>
      </c>
      <c r="F246" t="str">
        <f>"str_"&amp;Table1[[#This Row],[VEHIDCODE]]</f>
        <v>str_diesel_Mexico_CHP_500_FM_H_16_44</v>
      </c>
      <c r="O246" s="2" t="b">
        <v>1</v>
      </c>
      <c r="AJ246" s="2"/>
      <c r="AK246" s="2" t="b">
        <f>LEN(_xlfn.CONCAT(Table1[[#This Row],[TRACK_TYPE_STANDARD_GAUGE_RAILTYPE_OHLE]:[TRACK_TYPE_MTRO]]))&gt;0</f>
        <v>1</v>
      </c>
      <c r="AL246">
        <v>8</v>
      </c>
      <c r="AM246" t="s">
        <v>20</v>
      </c>
      <c r="AN246">
        <v>0</v>
      </c>
      <c r="AO246" t="s">
        <v>35</v>
      </c>
      <c r="AP246">
        <v>0</v>
      </c>
      <c r="AQ246">
        <v>1950</v>
      </c>
      <c r="AR246">
        <v>8</v>
      </c>
      <c r="AS246" s="2" t="s">
        <v>20</v>
      </c>
      <c r="AT246" t="b">
        <v>1</v>
      </c>
      <c r="AV246" s="2"/>
      <c r="AW246">
        <v>45</v>
      </c>
      <c r="AX246">
        <v>1</v>
      </c>
      <c r="AY246">
        <v>1600</v>
      </c>
      <c r="AZ246" t="s">
        <v>711</v>
      </c>
      <c r="BA246">
        <v>105</v>
      </c>
      <c r="BB246" s="2">
        <v>0.17</v>
      </c>
      <c r="BC246" t="s">
        <v>928</v>
      </c>
      <c r="BD246" t="s">
        <v>922</v>
      </c>
      <c r="BE246" t="s">
        <v>940</v>
      </c>
      <c r="BF246" s="7">
        <v>40</v>
      </c>
      <c r="BG2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6">
        <v>0</v>
      </c>
      <c r="BI246" t="s">
        <v>734</v>
      </c>
      <c r="BJ246" s="11"/>
      <c r="BK246" s="11"/>
      <c r="BL246" s="11">
        <v>113</v>
      </c>
      <c r="BM246">
        <v>0</v>
      </c>
      <c r="BN246" t="s">
        <v>692</v>
      </c>
      <c r="BO246" t="s">
        <v>694</v>
      </c>
      <c r="BP246" t="s">
        <v>701</v>
      </c>
      <c r="BQ246" t="s">
        <v>705</v>
      </c>
      <c r="BR246" t="s">
        <v>706</v>
      </c>
      <c r="BS246" t="s">
        <v>707</v>
      </c>
      <c r="CR246"/>
      <c r="CS246"/>
      <c r="CT246"/>
    </row>
    <row r="247" spans="1:98" x14ac:dyDescent="0.4">
      <c r="A247" s="2" t="s">
        <v>271</v>
      </c>
      <c r="B247" t="str">
        <f>_xlfn.TEXTAFTER(Table1[[#This Row],[VEHIDCODE]],"_")</f>
        <v>Australia_South_Australian_Railways_900</v>
      </c>
      <c r="C247" t="s">
        <v>740</v>
      </c>
      <c r="D247" t="b">
        <f>OR(ISNUMBER(SEARCH("wagon_",Table1[[#This Row],[FILENAMES_EXPECTED]])),ISNUMBER(SEARCH("coach_",Table1[[#This Row],[FILENAMES_EXPECTED]])))</f>
        <v>0</v>
      </c>
      <c r="E247" t="str">
        <f>"item_"&amp;Table1[[#This Row],[VEHIDCODE]]</f>
        <v>item_diesel_Australia_South_Australian_Railways_900</v>
      </c>
      <c r="F247" t="str">
        <f>"str_"&amp;Table1[[#This Row],[VEHIDCODE]]</f>
        <v>str_diesel_Australia_South_Australian_Railways_900</v>
      </c>
      <c r="O247" s="2" t="b">
        <v>1</v>
      </c>
      <c r="AJ247" s="2"/>
      <c r="AK247" s="2" t="b">
        <f>LEN(_xlfn.CONCAT(Table1[[#This Row],[TRACK_TYPE_STANDARD_GAUGE_RAILTYPE_OHLE]:[TRACK_TYPE_MTRO]]))&gt;0</f>
        <v>1</v>
      </c>
      <c r="AL247">
        <v>8</v>
      </c>
      <c r="AM247" t="s">
        <v>20</v>
      </c>
      <c r="AN247">
        <v>0</v>
      </c>
      <c r="AO247" t="s">
        <v>35</v>
      </c>
      <c r="AP247">
        <v>0</v>
      </c>
      <c r="AQ247">
        <v>1951</v>
      </c>
      <c r="AR247">
        <v>8</v>
      </c>
      <c r="AS247" s="2" t="s">
        <v>20</v>
      </c>
      <c r="AT247" t="b">
        <v>1</v>
      </c>
      <c r="AV247" s="2"/>
      <c r="AW247">
        <v>45</v>
      </c>
      <c r="AX247">
        <v>1</v>
      </c>
      <c r="AY247">
        <v>1590</v>
      </c>
      <c r="AZ247" t="s">
        <v>711</v>
      </c>
      <c r="BA247">
        <v>119</v>
      </c>
      <c r="BB247" s="2">
        <v>0.12</v>
      </c>
      <c r="BC247" t="s">
        <v>925</v>
      </c>
      <c r="BD247" t="s">
        <v>922</v>
      </c>
      <c r="BE247" t="s">
        <v>940</v>
      </c>
      <c r="BF247" s="7">
        <v>40</v>
      </c>
      <c r="BG2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7">
        <v>0</v>
      </c>
      <c r="BI247" t="s">
        <v>734</v>
      </c>
      <c r="BJ247" s="11"/>
      <c r="BK247" s="11"/>
      <c r="BL247" s="11">
        <v>128</v>
      </c>
      <c r="BM247">
        <v>0</v>
      </c>
      <c r="BN247" t="s">
        <v>692</v>
      </c>
      <c r="BO247" t="s">
        <v>694</v>
      </c>
      <c r="BP247" t="s">
        <v>701</v>
      </c>
      <c r="BQ247" t="s">
        <v>705</v>
      </c>
      <c r="BR247" t="s">
        <v>706</v>
      </c>
      <c r="BS247" t="s">
        <v>707</v>
      </c>
      <c r="CR247"/>
      <c r="CS247"/>
      <c r="CT247"/>
    </row>
    <row r="248" spans="1:98" x14ac:dyDescent="0.4">
      <c r="A248" s="2" t="s">
        <v>272</v>
      </c>
      <c r="B248" t="str">
        <f>_xlfn.TEXTAFTER(Table1[[#This Row],[VEHIDCODE]],"_")</f>
        <v>Sri_Lanka_Sri_Lanka_Railways_M2</v>
      </c>
      <c r="C248" t="s">
        <v>740</v>
      </c>
      <c r="D248" t="b">
        <f>OR(ISNUMBER(SEARCH("wagon_",Table1[[#This Row],[FILENAMES_EXPECTED]])),ISNUMBER(SEARCH("coach_",Table1[[#This Row],[FILENAMES_EXPECTED]])))</f>
        <v>0</v>
      </c>
      <c r="E248" t="str">
        <f>"item_"&amp;Table1[[#This Row],[VEHIDCODE]]</f>
        <v>item_diesel_Sri_Lanka_Sri_Lanka_Railways_M2</v>
      </c>
      <c r="F248" t="str">
        <f>"str_"&amp;Table1[[#This Row],[VEHIDCODE]]</f>
        <v>str_diesel_Sri_Lanka_Sri_Lanka_Railways_M2</v>
      </c>
      <c r="O248" s="2" t="b">
        <v>1</v>
      </c>
      <c r="AJ248" s="2"/>
      <c r="AK248" s="2" t="b">
        <f>LEN(_xlfn.CONCAT(Table1[[#This Row],[TRACK_TYPE_STANDARD_GAUGE_RAILTYPE_OHLE]:[TRACK_TYPE_MTRO]]))&gt;0</f>
        <v>1</v>
      </c>
      <c r="AL248">
        <v>6</v>
      </c>
      <c r="AM248" t="s">
        <v>20</v>
      </c>
      <c r="AN248">
        <v>0</v>
      </c>
      <c r="AO248" t="s">
        <v>35</v>
      </c>
      <c r="AP248">
        <v>0</v>
      </c>
      <c r="AQ248">
        <v>1954</v>
      </c>
      <c r="AR248">
        <v>6</v>
      </c>
      <c r="AS248" s="2" t="s">
        <v>20</v>
      </c>
      <c r="AT248" t="b">
        <v>1</v>
      </c>
      <c r="AV248" s="2"/>
      <c r="AW248">
        <v>45</v>
      </c>
      <c r="AX248">
        <v>1</v>
      </c>
      <c r="AY248">
        <v>1425</v>
      </c>
      <c r="AZ248" t="s">
        <v>711</v>
      </c>
      <c r="BA248">
        <v>112</v>
      </c>
      <c r="BB248" s="2">
        <v>0.24</v>
      </c>
      <c r="BC248" t="s">
        <v>931</v>
      </c>
      <c r="BD248" t="s">
        <v>922</v>
      </c>
      <c r="BE248" t="s">
        <v>940</v>
      </c>
      <c r="BF248" s="7">
        <v>40</v>
      </c>
      <c r="BG2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8">
        <v>0</v>
      </c>
      <c r="BI248" t="s">
        <v>734</v>
      </c>
      <c r="BJ248" s="11"/>
      <c r="BK248" s="11"/>
      <c r="BL248" s="11">
        <v>79</v>
      </c>
      <c r="BM248">
        <v>0</v>
      </c>
      <c r="BN248" t="s">
        <v>692</v>
      </c>
      <c r="BO248" t="s">
        <v>694</v>
      </c>
      <c r="BP248" t="s">
        <v>701</v>
      </c>
      <c r="BQ248" t="s">
        <v>705</v>
      </c>
      <c r="BR248" t="s">
        <v>706</v>
      </c>
      <c r="BS248" t="s">
        <v>707</v>
      </c>
      <c r="CR248"/>
      <c r="CS248"/>
      <c r="CT248"/>
    </row>
    <row r="249" spans="1:98" x14ac:dyDescent="0.4">
      <c r="A249" s="2" t="s">
        <v>273</v>
      </c>
      <c r="B249" t="str">
        <f>_xlfn.TEXTAFTER(Table1[[#This Row],[VEHIDCODE]],"_")</f>
        <v>Ireland_CIE_001</v>
      </c>
      <c r="C249" t="s">
        <v>740</v>
      </c>
      <c r="D249" t="b">
        <f>OR(ISNUMBER(SEARCH("wagon_",Table1[[#This Row],[FILENAMES_EXPECTED]])),ISNUMBER(SEARCH("coach_",Table1[[#This Row],[FILENAMES_EXPECTED]])))</f>
        <v>0</v>
      </c>
      <c r="E249" t="str">
        <f>"item_"&amp;Table1[[#This Row],[VEHIDCODE]]</f>
        <v>item_diesel_Ireland_CIE_001</v>
      </c>
      <c r="F249" t="str">
        <f>"str_"&amp;Table1[[#This Row],[VEHIDCODE]]</f>
        <v>str_diesel_Ireland_CIE_001</v>
      </c>
      <c r="O249" s="2" t="b">
        <v>1</v>
      </c>
      <c r="AJ249" s="2"/>
      <c r="AK249" s="2" t="b">
        <f>LEN(_xlfn.CONCAT(Table1[[#This Row],[TRACK_TYPE_STANDARD_GAUGE_RAILTYPE_OHLE]:[TRACK_TYPE_MTRO]]))&gt;0</f>
        <v>1</v>
      </c>
      <c r="AL249">
        <v>7</v>
      </c>
      <c r="AM249" t="s">
        <v>20</v>
      </c>
      <c r="AN249">
        <v>0</v>
      </c>
      <c r="AO249" t="s">
        <v>35</v>
      </c>
      <c r="AP249">
        <v>0</v>
      </c>
      <c r="AQ249">
        <v>1955</v>
      </c>
      <c r="AR249">
        <v>7</v>
      </c>
      <c r="AS249" s="2" t="s">
        <v>20</v>
      </c>
      <c r="AT249" t="b">
        <v>1</v>
      </c>
      <c r="AV249" s="2"/>
      <c r="AW249">
        <v>45</v>
      </c>
      <c r="AX249">
        <v>0</v>
      </c>
      <c r="AY249">
        <v>1325</v>
      </c>
      <c r="AZ249" t="s">
        <v>711</v>
      </c>
      <c r="BA249">
        <v>120</v>
      </c>
      <c r="BB249" s="2">
        <v>0.33</v>
      </c>
      <c r="BC249" t="s">
        <v>927</v>
      </c>
      <c r="BD249" t="s">
        <v>922</v>
      </c>
      <c r="BE249" t="s">
        <v>940</v>
      </c>
      <c r="BF249" s="7">
        <v>40</v>
      </c>
      <c r="BG2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49">
        <v>0</v>
      </c>
      <c r="BI249" t="s">
        <v>734</v>
      </c>
      <c r="BJ249" s="11"/>
      <c r="BK249" s="11"/>
      <c r="BL249" s="11">
        <v>84</v>
      </c>
      <c r="BM249">
        <v>0</v>
      </c>
      <c r="BN249" t="s">
        <v>692</v>
      </c>
      <c r="BO249" t="s">
        <v>694</v>
      </c>
      <c r="BP249" t="s">
        <v>701</v>
      </c>
      <c r="BQ249" t="s">
        <v>705</v>
      </c>
      <c r="BR249" t="s">
        <v>706</v>
      </c>
      <c r="BS249" t="s">
        <v>707</v>
      </c>
      <c r="CR249"/>
      <c r="CS249"/>
      <c r="CT249"/>
    </row>
    <row r="250" spans="1:98" x14ac:dyDescent="0.4">
      <c r="A250" s="2" t="s">
        <v>274</v>
      </c>
      <c r="B250" t="str">
        <f>_xlfn.TEXTAFTER(Table1[[#This Row],[VEHIDCODE]],"_")</f>
        <v>Italy_FS_D341</v>
      </c>
      <c r="C250" t="s">
        <v>740</v>
      </c>
      <c r="D250" t="b">
        <f>OR(ISNUMBER(SEARCH("wagon_",Table1[[#This Row],[FILENAMES_EXPECTED]])),ISNUMBER(SEARCH("coach_",Table1[[#This Row],[FILENAMES_EXPECTED]])))</f>
        <v>0</v>
      </c>
      <c r="E250" t="str">
        <f>"item_"&amp;Table1[[#This Row],[VEHIDCODE]]</f>
        <v>item_diesel_Italy_FS_D341</v>
      </c>
      <c r="F250" t="str">
        <f>"str_"&amp;Table1[[#This Row],[VEHIDCODE]]</f>
        <v>str_diesel_Italy_FS_D341</v>
      </c>
      <c r="O250" s="2" t="b">
        <v>1</v>
      </c>
      <c r="AJ250" s="2"/>
      <c r="AK250" s="2" t="b">
        <f>LEN(_xlfn.CONCAT(Table1[[#This Row],[TRACK_TYPE_STANDARD_GAUGE_RAILTYPE_OHLE]:[TRACK_TYPE_MTRO]]))&gt;0</f>
        <v>1</v>
      </c>
      <c r="AL250">
        <v>8</v>
      </c>
      <c r="AM250" t="s">
        <v>20</v>
      </c>
      <c r="AN250">
        <v>0</v>
      </c>
      <c r="AO250" t="s">
        <v>35</v>
      </c>
      <c r="AP250">
        <v>0</v>
      </c>
      <c r="AQ250">
        <v>1957</v>
      </c>
      <c r="AR250">
        <v>8</v>
      </c>
      <c r="AS250" s="2" t="s">
        <v>20</v>
      </c>
      <c r="AT250" t="b">
        <v>1</v>
      </c>
      <c r="AV250" s="2"/>
      <c r="AW250">
        <v>45</v>
      </c>
      <c r="AX250">
        <v>1</v>
      </c>
      <c r="AY250">
        <v>1380</v>
      </c>
      <c r="AZ250" t="s">
        <v>711</v>
      </c>
      <c r="BA250">
        <v>110</v>
      </c>
      <c r="BB250" s="2">
        <v>0.26</v>
      </c>
      <c r="BC250" t="s">
        <v>924</v>
      </c>
      <c r="BD250" t="s">
        <v>922</v>
      </c>
      <c r="BE250" t="s">
        <v>940</v>
      </c>
      <c r="BF250" s="7">
        <v>40</v>
      </c>
      <c r="BG2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0">
        <v>0</v>
      </c>
      <c r="BI250" t="s">
        <v>734</v>
      </c>
      <c r="BJ250" s="11"/>
      <c r="BK250" s="11"/>
      <c r="BL250" s="11">
        <v>67</v>
      </c>
      <c r="BM250">
        <v>0</v>
      </c>
      <c r="BN250" t="s">
        <v>692</v>
      </c>
      <c r="BO250" t="s">
        <v>694</v>
      </c>
      <c r="BP250" t="s">
        <v>701</v>
      </c>
      <c r="BQ250" t="s">
        <v>705</v>
      </c>
      <c r="BR250" t="s">
        <v>706</v>
      </c>
      <c r="BS250" t="s">
        <v>707</v>
      </c>
      <c r="CR250"/>
      <c r="CS250"/>
      <c r="CT250"/>
    </row>
    <row r="251" spans="1:98" x14ac:dyDescent="0.4">
      <c r="A251" s="2" t="s">
        <v>275</v>
      </c>
      <c r="B251" t="str">
        <f>_xlfn.TEXTAFTER(Table1[[#This Row],[VEHIDCODE]],"_")</f>
        <v>Australia_NSWGR_44</v>
      </c>
      <c r="C251" t="s">
        <v>740</v>
      </c>
      <c r="D251" t="b">
        <f>OR(ISNUMBER(SEARCH("wagon_",Table1[[#This Row],[FILENAMES_EXPECTED]])),ISNUMBER(SEARCH("coach_",Table1[[#This Row],[FILENAMES_EXPECTED]])))</f>
        <v>0</v>
      </c>
      <c r="E251" t="str">
        <f>"item_"&amp;Table1[[#This Row],[VEHIDCODE]]</f>
        <v>item_diesel_Australia_NSWGR_44</v>
      </c>
      <c r="F251" t="str">
        <f>"str_"&amp;Table1[[#This Row],[VEHIDCODE]]</f>
        <v>str_diesel_Australia_NSWGR_44</v>
      </c>
      <c r="O251" s="2" t="b">
        <v>1</v>
      </c>
      <c r="AJ251" s="2"/>
      <c r="AK251" s="2" t="b">
        <f>LEN(_xlfn.CONCAT(Table1[[#This Row],[TRACK_TYPE_STANDARD_GAUGE_RAILTYPE_OHLE]:[TRACK_TYPE_MTRO]]))&gt;0</f>
        <v>1</v>
      </c>
      <c r="AL251">
        <v>8</v>
      </c>
      <c r="AM251" t="s">
        <v>20</v>
      </c>
      <c r="AN251">
        <v>0</v>
      </c>
      <c r="AO251" t="s">
        <v>35</v>
      </c>
      <c r="AP251">
        <v>0</v>
      </c>
      <c r="AQ251">
        <v>1957</v>
      </c>
      <c r="AR251">
        <v>8</v>
      </c>
      <c r="AS251" s="2" t="s">
        <v>20</v>
      </c>
      <c r="AT251" t="b">
        <v>1</v>
      </c>
      <c r="AV251" s="2"/>
      <c r="AW251">
        <v>45</v>
      </c>
      <c r="AX251">
        <v>1</v>
      </c>
      <c r="AY251">
        <v>1950</v>
      </c>
      <c r="AZ251" t="s">
        <v>711</v>
      </c>
      <c r="BA251">
        <v>129</v>
      </c>
      <c r="BB251" s="2">
        <v>0.19</v>
      </c>
      <c r="BC251" t="s">
        <v>925</v>
      </c>
      <c r="BD251" t="s">
        <v>922</v>
      </c>
      <c r="BE251" t="s">
        <v>940</v>
      </c>
      <c r="BF251" s="7">
        <v>40</v>
      </c>
      <c r="BG2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1">
        <v>0</v>
      </c>
      <c r="BI251" t="s">
        <v>734</v>
      </c>
      <c r="BJ251" s="11"/>
      <c r="BK251" s="11"/>
      <c r="BL251" s="11">
        <v>112</v>
      </c>
      <c r="BM251">
        <v>0</v>
      </c>
      <c r="BN251" t="s">
        <v>692</v>
      </c>
      <c r="BO251" t="s">
        <v>694</v>
      </c>
      <c r="BP251" t="s">
        <v>701</v>
      </c>
      <c r="BQ251" t="s">
        <v>705</v>
      </c>
      <c r="BR251" t="s">
        <v>706</v>
      </c>
      <c r="BS251" t="s">
        <v>707</v>
      </c>
      <c r="CR251"/>
      <c r="CS251"/>
      <c r="CT251"/>
    </row>
    <row r="252" spans="1:98" x14ac:dyDescent="0.4">
      <c r="A252" s="2" t="s">
        <v>276</v>
      </c>
      <c r="B252" t="str">
        <f>_xlfn.TEXTAFTER(Table1[[#This Row],[VEHIDCODE]],"_")</f>
        <v>Zimbabwe_Zimbabwe_Railways_DH_1</v>
      </c>
      <c r="C252" t="s">
        <v>740</v>
      </c>
      <c r="D252" t="b">
        <f>OR(ISNUMBER(SEARCH("wagon_",Table1[[#This Row],[FILENAMES_EXPECTED]])),ISNUMBER(SEARCH("coach_",Table1[[#This Row],[FILENAMES_EXPECTED]])))</f>
        <v>0</v>
      </c>
      <c r="E252" t="str">
        <f>"item_"&amp;Table1[[#This Row],[VEHIDCODE]]</f>
        <v>item_diesel_Zimbabwe_Zimbabwe_Railways_DH_1</v>
      </c>
      <c r="F252" t="str">
        <f>"str_"&amp;Table1[[#This Row],[VEHIDCODE]]</f>
        <v>str_diesel_Zimbabwe_Zimbabwe_Railways_DH_1</v>
      </c>
      <c r="X252" s="2" t="b">
        <v>1</v>
      </c>
      <c r="AJ252" s="2"/>
      <c r="AK252" s="2" t="b">
        <f>LEN(_xlfn.CONCAT(Table1[[#This Row],[TRACK_TYPE_STANDARD_GAUGE_RAILTYPE_OHLE]:[TRACK_TYPE_MTRO]]))&gt;0</f>
        <v>1</v>
      </c>
      <c r="AL252">
        <v>8</v>
      </c>
      <c r="AM252" t="s">
        <v>20</v>
      </c>
      <c r="AN252">
        <v>0</v>
      </c>
      <c r="AO252" t="s">
        <v>35</v>
      </c>
      <c r="AP252">
        <v>0</v>
      </c>
      <c r="AQ252">
        <v>1959</v>
      </c>
      <c r="AR252">
        <v>8</v>
      </c>
      <c r="AS252" s="2" t="s">
        <v>20</v>
      </c>
      <c r="AT252" t="b">
        <v>1</v>
      </c>
      <c r="AV252" s="2"/>
      <c r="AW252">
        <v>45</v>
      </c>
      <c r="AX252">
        <v>1</v>
      </c>
      <c r="AY252">
        <v>1316</v>
      </c>
      <c r="AZ252" t="s">
        <v>711</v>
      </c>
      <c r="BA252">
        <v>89</v>
      </c>
      <c r="BB252" s="2">
        <v>0.26</v>
      </c>
      <c r="BC252" t="s">
        <v>926</v>
      </c>
      <c r="BD252" t="s">
        <v>922</v>
      </c>
      <c r="BE252" t="s">
        <v>940</v>
      </c>
      <c r="BF252" s="7">
        <v>40</v>
      </c>
      <c r="BG2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2">
        <v>0</v>
      </c>
      <c r="BI252" t="s">
        <v>734</v>
      </c>
      <c r="BJ252" s="11"/>
      <c r="BK252" s="11"/>
      <c r="BL252" s="11">
        <v>76</v>
      </c>
      <c r="BM252">
        <v>0</v>
      </c>
      <c r="BN252" t="s">
        <v>692</v>
      </c>
      <c r="BO252" t="s">
        <v>694</v>
      </c>
      <c r="BP252" t="s">
        <v>701</v>
      </c>
      <c r="BQ252" t="s">
        <v>705</v>
      </c>
      <c r="BR252" t="s">
        <v>706</v>
      </c>
      <c r="BS252" t="s">
        <v>707</v>
      </c>
      <c r="CR252"/>
      <c r="CS252"/>
      <c r="CT252"/>
    </row>
    <row r="253" spans="1:98" x14ac:dyDescent="0.4">
      <c r="A253" s="2" t="s">
        <v>277</v>
      </c>
      <c r="B253" t="str">
        <f>_xlfn.TEXTAFTER(Table1[[#This Row],[VEHIDCODE]],"_")</f>
        <v>South_Korea_Korail_6000_EMD_SD18</v>
      </c>
      <c r="C253" t="s">
        <v>740</v>
      </c>
      <c r="D253" t="b">
        <f>OR(ISNUMBER(SEARCH("wagon_",Table1[[#This Row],[FILENAMES_EXPECTED]])),ISNUMBER(SEARCH("coach_",Table1[[#This Row],[FILENAMES_EXPECTED]])))</f>
        <v>0</v>
      </c>
      <c r="E253" t="str">
        <f>"item_"&amp;Table1[[#This Row],[VEHIDCODE]]</f>
        <v>item_diesel_South_Korea_Korail_6000_EMD_SD18</v>
      </c>
      <c r="F253" t="str">
        <f>"str_"&amp;Table1[[#This Row],[VEHIDCODE]]</f>
        <v>str_diesel_South_Korea_Korail_6000_EMD_SD18</v>
      </c>
      <c r="O253" s="2" t="b">
        <v>1</v>
      </c>
      <c r="AJ253" s="2"/>
      <c r="AK253" s="2" t="b">
        <f>LEN(_xlfn.CONCAT(Table1[[#This Row],[TRACK_TYPE_STANDARD_GAUGE_RAILTYPE_OHLE]:[TRACK_TYPE_MTRO]]))&gt;0</f>
        <v>1</v>
      </c>
      <c r="AL253">
        <v>8</v>
      </c>
      <c r="AM253" t="s">
        <v>20</v>
      </c>
      <c r="AN253">
        <v>0</v>
      </c>
      <c r="AO253" t="s">
        <v>35</v>
      </c>
      <c r="AP253">
        <v>0</v>
      </c>
      <c r="AQ253">
        <v>1960</v>
      </c>
      <c r="AR253">
        <v>8</v>
      </c>
      <c r="AS253" s="2" t="s">
        <v>20</v>
      </c>
      <c r="AT253" t="b">
        <v>1</v>
      </c>
      <c r="AV253" s="2"/>
      <c r="AW253">
        <v>45</v>
      </c>
      <c r="AX253">
        <v>1</v>
      </c>
      <c r="AY253">
        <v>1800</v>
      </c>
      <c r="AZ253" t="s">
        <v>711</v>
      </c>
      <c r="BA253">
        <v>104</v>
      </c>
      <c r="BB253" s="2">
        <v>0.09</v>
      </c>
      <c r="BC253" t="s">
        <v>931</v>
      </c>
      <c r="BD253" t="s">
        <v>922</v>
      </c>
      <c r="BE253" t="s">
        <v>940</v>
      </c>
      <c r="BF253" s="7">
        <v>40</v>
      </c>
      <c r="BG2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3">
        <v>0</v>
      </c>
      <c r="BI253" t="s">
        <v>734</v>
      </c>
      <c r="BJ253" s="11"/>
      <c r="BK253" s="11"/>
      <c r="BL253" s="11">
        <v>163</v>
      </c>
      <c r="BM253">
        <v>0</v>
      </c>
      <c r="BN253" t="s">
        <v>692</v>
      </c>
      <c r="BO253" t="s">
        <v>694</v>
      </c>
      <c r="BP253" t="s">
        <v>701</v>
      </c>
      <c r="BQ253" t="s">
        <v>705</v>
      </c>
      <c r="BR253" t="s">
        <v>706</v>
      </c>
      <c r="BS253" t="s">
        <v>707</v>
      </c>
      <c r="CR253"/>
      <c r="CS253"/>
      <c r="CT253"/>
    </row>
    <row r="254" spans="1:98" x14ac:dyDescent="0.4">
      <c r="A254" s="2" t="s">
        <v>278</v>
      </c>
      <c r="B254" t="str">
        <f>_xlfn.TEXTAFTER(Table1[[#This Row],[VEHIDCODE]],"_")</f>
        <v>Italy_FS_D345</v>
      </c>
      <c r="C254" t="s">
        <v>740</v>
      </c>
      <c r="D254" t="b">
        <f>OR(ISNUMBER(SEARCH("wagon_",Table1[[#This Row],[FILENAMES_EXPECTED]])),ISNUMBER(SEARCH("coach_",Table1[[#This Row],[FILENAMES_EXPECTED]])))</f>
        <v>0</v>
      </c>
      <c r="E254" t="str">
        <f>"item_"&amp;Table1[[#This Row],[VEHIDCODE]]</f>
        <v>item_diesel_Italy_FS_D345</v>
      </c>
      <c r="F254" t="str">
        <f>"str_"&amp;Table1[[#This Row],[VEHIDCODE]]</f>
        <v>str_diesel_Italy_FS_D345</v>
      </c>
      <c r="O254" s="2" t="b">
        <v>1</v>
      </c>
      <c r="AJ254" s="2"/>
      <c r="AK254" s="2" t="b">
        <f>LEN(_xlfn.CONCAT(Table1[[#This Row],[TRACK_TYPE_STANDARD_GAUGE_RAILTYPE_OHLE]:[TRACK_TYPE_MTRO]]))&gt;0</f>
        <v>1</v>
      </c>
      <c r="AL254">
        <v>8</v>
      </c>
      <c r="AM254" t="s">
        <v>20</v>
      </c>
      <c r="AN254">
        <v>0</v>
      </c>
      <c r="AO254" t="s">
        <v>35</v>
      </c>
      <c r="AP254">
        <v>0</v>
      </c>
      <c r="AQ254">
        <v>1971</v>
      </c>
      <c r="AR254">
        <v>8</v>
      </c>
      <c r="AS254" s="2" t="s">
        <v>20</v>
      </c>
      <c r="AT254" t="b">
        <v>1</v>
      </c>
      <c r="AV254" s="2"/>
      <c r="AW254">
        <v>45</v>
      </c>
      <c r="AX254">
        <v>1</v>
      </c>
      <c r="AY254">
        <v>1010</v>
      </c>
      <c r="AZ254" t="s">
        <v>711</v>
      </c>
      <c r="BA254">
        <v>130</v>
      </c>
      <c r="BB254" s="2">
        <v>0.3</v>
      </c>
      <c r="BC254" t="s">
        <v>924</v>
      </c>
      <c r="BD254" t="s">
        <v>922</v>
      </c>
      <c r="BE254" t="s">
        <v>940</v>
      </c>
      <c r="BF254" s="7">
        <v>40</v>
      </c>
      <c r="BG2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4">
        <v>0</v>
      </c>
      <c r="BI254" t="s">
        <v>734</v>
      </c>
      <c r="BJ254" s="11"/>
      <c r="BK254" s="11"/>
      <c r="BL254" s="11">
        <v>62</v>
      </c>
      <c r="BM254">
        <v>0</v>
      </c>
      <c r="BN254" t="s">
        <v>692</v>
      </c>
      <c r="BO254" t="s">
        <v>694</v>
      </c>
      <c r="BP254" t="s">
        <v>701</v>
      </c>
      <c r="BQ254" t="s">
        <v>705</v>
      </c>
      <c r="BR254" t="s">
        <v>706</v>
      </c>
      <c r="BS254" t="s">
        <v>707</v>
      </c>
      <c r="CR254"/>
      <c r="CS254"/>
      <c r="CT254"/>
    </row>
    <row r="255" spans="1:98" x14ac:dyDescent="0.4">
      <c r="A255" s="2" t="s">
        <v>279</v>
      </c>
      <c r="B255" t="str">
        <f>_xlfn.TEXTAFTER(Table1[[#This Row],[VEHIDCODE]],"_")</f>
        <v>Norway_NSB_Di4</v>
      </c>
      <c r="C255" t="s">
        <v>740</v>
      </c>
      <c r="D255" t="b">
        <f>OR(ISNUMBER(SEARCH("wagon_",Table1[[#This Row],[FILENAMES_EXPECTED]])),ISNUMBER(SEARCH("coach_",Table1[[#This Row],[FILENAMES_EXPECTED]])))</f>
        <v>0</v>
      </c>
      <c r="E255" t="str">
        <f>"item_"&amp;Table1[[#This Row],[VEHIDCODE]]</f>
        <v>item_diesel_Norway_NSB_Di4</v>
      </c>
      <c r="F255" t="str">
        <f>"str_"&amp;Table1[[#This Row],[VEHIDCODE]]</f>
        <v>str_diesel_Norway_NSB_Di4</v>
      </c>
      <c r="O255" s="2" t="b">
        <v>1</v>
      </c>
      <c r="AJ255" s="2"/>
      <c r="AK255" s="2" t="b">
        <f>LEN(_xlfn.CONCAT(Table1[[#This Row],[TRACK_TYPE_STANDARD_GAUGE_RAILTYPE_OHLE]:[TRACK_TYPE_MTRO]]))&gt;0</f>
        <v>1</v>
      </c>
      <c r="AL255">
        <v>8</v>
      </c>
      <c r="AM255" t="s">
        <v>20</v>
      </c>
      <c r="AN255">
        <v>0</v>
      </c>
      <c r="AO255" t="s">
        <v>35</v>
      </c>
      <c r="AP255">
        <v>0</v>
      </c>
      <c r="AQ255">
        <v>1980</v>
      </c>
      <c r="AR255">
        <v>8</v>
      </c>
      <c r="AS255" s="2" t="s">
        <v>20</v>
      </c>
      <c r="AT255" t="b">
        <v>1</v>
      </c>
      <c r="AV255" s="2"/>
      <c r="AW255">
        <v>45</v>
      </c>
      <c r="AX255">
        <v>1</v>
      </c>
      <c r="AY255">
        <v>3290</v>
      </c>
      <c r="AZ255" t="s">
        <v>711</v>
      </c>
      <c r="BA255">
        <v>140</v>
      </c>
      <c r="BB255" s="2">
        <v>0.32</v>
      </c>
      <c r="BC255" t="s">
        <v>927</v>
      </c>
      <c r="BD255" t="s">
        <v>922</v>
      </c>
      <c r="BE255" t="s">
        <v>940</v>
      </c>
      <c r="BF255" s="7">
        <v>40</v>
      </c>
      <c r="BG2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5">
        <v>0</v>
      </c>
      <c r="BI255" t="s">
        <v>734</v>
      </c>
      <c r="BJ255" s="11"/>
      <c r="BK255" s="11"/>
      <c r="BL255" s="11">
        <v>114</v>
      </c>
      <c r="BM255">
        <v>0</v>
      </c>
      <c r="BN255" t="s">
        <v>692</v>
      </c>
      <c r="BO255" t="s">
        <v>694</v>
      </c>
      <c r="BP255" t="s">
        <v>701</v>
      </c>
      <c r="BQ255" t="s">
        <v>705</v>
      </c>
      <c r="BR255" t="s">
        <v>706</v>
      </c>
      <c r="BS255" t="s">
        <v>707</v>
      </c>
      <c r="CR255"/>
      <c r="CS255"/>
      <c r="CT255"/>
    </row>
    <row r="256" spans="1:98" x14ac:dyDescent="0.4">
      <c r="A256" s="2" t="s">
        <v>280</v>
      </c>
      <c r="B256" t="str">
        <f>_xlfn.TEXTAFTER(Table1[[#This Row],[VEHIDCODE]],"_")</f>
        <v>China_China_Railways_DF8</v>
      </c>
      <c r="C256" t="s">
        <v>740</v>
      </c>
      <c r="D256" t="b">
        <f>OR(ISNUMBER(SEARCH("wagon_",Table1[[#This Row],[FILENAMES_EXPECTED]])),ISNUMBER(SEARCH("coach_",Table1[[#This Row],[FILENAMES_EXPECTED]])))</f>
        <v>0</v>
      </c>
      <c r="E256" t="str">
        <f>"item_"&amp;Table1[[#This Row],[VEHIDCODE]]</f>
        <v>item_diesel_China_China_Railways_DF8</v>
      </c>
      <c r="F256" t="str">
        <f>"str_"&amp;Table1[[#This Row],[VEHIDCODE]]</f>
        <v>str_diesel_China_China_Railways_DF8</v>
      </c>
      <c r="O256" s="2" t="b">
        <v>1</v>
      </c>
      <c r="AJ256" s="2"/>
      <c r="AK256" s="2" t="b">
        <f>LEN(_xlfn.CONCAT(Table1[[#This Row],[TRACK_TYPE_STANDARD_GAUGE_RAILTYPE_OHLE]:[TRACK_TYPE_MTRO]]))&gt;0</f>
        <v>1</v>
      </c>
      <c r="AL256">
        <v>8</v>
      </c>
      <c r="AM256" t="s">
        <v>20</v>
      </c>
      <c r="AN256">
        <v>0</v>
      </c>
      <c r="AO256" t="s">
        <v>35</v>
      </c>
      <c r="AP256">
        <v>0</v>
      </c>
      <c r="AQ256">
        <v>1984</v>
      </c>
      <c r="AR256">
        <v>8</v>
      </c>
      <c r="AS256" s="2" t="s">
        <v>20</v>
      </c>
      <c r="AT256" t="b">
        <v>1</v>
      </c>
      <c r="AV256" s="2"/>
      <c r="AW256">
        <v>45</v>
      </c>
      <c r="AX256">
        <v>1</v>
      </c>
      <c r="AY256">
        <v>4930</v>
      </c>
      <c r="AZ256" t="s">
        <v>711</v>
      </c>
      <c r="BA256">
        <v>100</v>
      </c>
      <c r="BB256" s="2">
        <v>0.35</v>
      </c>
      <c r="BC256" t="s">
        <v>931</v>
      </c>
      <c r="BD256" t="s">
        <v>922</v>
      </c>
      <c r="BE256" t="s">
        <v>940</v>
      </c>
      <c r="BF256" s="7">
        <v>40</v>
      </c>
      <c r="BG2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6">
        <v>0</v>
      </c>
      <c r="BI256" t="s">
        <v>734</v>
      </c>
      <c r="BJ256" s="11"/>
      <c r="BK256" s="11"/>
      <c r="BL256" s="11">
        <v>138</v>
      </c>
      <c r="BM256">
        <v>0</v>
      </c>
      <c r="BN256" t="s">
        <v>692</v>
      </c>
      <c r="BO256" t="s">
        <v>694</v>
      </c>
      <c r="BP256" t="s">
        <v>701</v>
      </c>
      <c r="BQ256" t="s">
        <v>705</v>
      </c>
      <c r="BR256" t="s">
        <v>706</v>
      </c>
      <c r="BS256" t="s">
        <v>707</v>
      </c>
      <c r="CR256"/>
      <c r="CS256"/>
      <c r="CT256"/>
    </row>
    <row r="257" spans="1:98" x14ac:dyDescent="0.4">
      <c r="A257" s="2" t="s">
        <v>281</v>
      </c>
      <c r="B257" t="str">
        <f>_xlfn.TEXTAFTER(Table1[[#This Row],[VEHIDCODE]],"_")</f>
        <v>Australia_Pacific_National_G_Class</v>
      </c>
      <c r="C257" t="s">
        <v>740</v>
      </c>
      <c r="D257" t="b">
        <f>OR(ISNUMBER(SEARCH("wagon_",Table1[[#This Row],[FILENAMES_EXPECTED]])),ISNUMBER(SEARCH("coach_",Table1[[#This Row],[FILENAMES_EXPECTED]])))</f>
        <v>0</v>
      </c>
      <c r="E257" t="str">
        <f>"item_"&amp;Table1[[#This Row],[VEHIDCODE]]</f>
        <v>item_diesel_Australia_Pacific_National_G_Class</v>
      </c>
      <c r="F257" t="str">
        <f>"str_"&amp;Table1[[#This Row],[VEHIDCODE]]</f>
        <v>str_diesel_Australia_Pacific_National_G_Class</v>
      </c>
      <c r="O257" s="2" t="b">
        <v>1</v>
      </c>
      <c r="AJ257" s="2"/>
      <c r="AK257" s="2" t="b">
        <f>LEN(_xlfn.CONCAT(Table1[[#This Row],[TRACK_TYPE_STANDARD_GAUGE_RAILTYPE_OHLE]:[TRACK_TYPE_MTRO]]))&gt;0</f>
        <v>1</v>
      </c>
      <c r="AL257">
        <v>8</v>
      </c>
      <c r="AM257" t="s">
        <v>20</v>
      </c>
      <c r="AN257">
        <v>0</v>
      </c>
      <c r="AO257" t="s">
        <v>35</v>
      </c>
      <c r="AP257">
        <v>0</v>
      </c>
      <c r="AQ257">
        <v>1984</v>
      </c>
      <c r="AR257">
        <v>8</v>
      </c>
      <c r="AS257" s="2" t="s">
        <v>20</v>
      </c>
      <c r="AT257" t="b">
        <v>1</v>
      </c>
      <c r="AV257" s="2"/>
      <c r="AW257">
        <v>45</v>
      </c>
      <c r="AX257">
        <v>1</v>
      </c>
      <c r="AY257">
        <v>3790</v>
      </c>
      <c r="AZ257" t="s">
        <v>711</v>
      </c>
      <c r="BA257">
        <v>114</v>
      </c>
      <c r="BB257" s="2">
        <v>0.27</v>
      </c>
      <c r="BC257" t="s">
        <v>925</v>
      </c>
      <c r="BD257" t="s">
        <v>922</v>
      </c>
      <c r="BE257" t="s">
        <v>940</v>
      </c>
      <c r="BF257" s="7">
        <v>40</v>
      </c>
      <c r="BG2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7">
        <v>0</v>
      </c>
      <c r="BI257" t="s">
        <v>734</v>
      </c>
      <c r="BJ257" s="11"/>
      <c r="BK257" s="11"/>
      <c r="BL257" s="11">
        <v>127</v>
      </c>
      <c r="BM257">
        <v>0</v>
      </c>
      <c r="BN257" t="s">
        <v>692</v>
      </c>
      <c r="BO257" t="s">
        <v>694</v>
      </c>
      <c r="BP257" t="s">
        <v>701</v>
      </c>
      <c r="BQ257" t="s">
        <v>705</v>
      </c>
      <c r="BR257" t="s">
        <v>706</v>
      </c>
      <c r="BS257" t="s">
        <v>707</v>
      </c>
      <c r="CR257"/>
      <c r="CS257"/>
      <c r="CT257"/>
    </row>
    <row r="258" spans="1:98" x14ac:dyDescent="0.4">
      <c r="A258" s="2" t="s">
        <v>282</v>
      </c>
      <c r="B258" t="str">
        <f>_xlfn.TEXTAFTER(Table1[[#This Row],[VEHIDCODE]],"_")</f>
        <v>UK_BR_60</v>
      </c>
      <c r="C258" t="s">
        <v>740</v>
      </c>
      <c r="D258" t="b">
        <f>OR(ISNUMBER(SEARCH("wagon_",Table1[[#This Row],[FILENAMES_EXPECTED]])),ISNUMBER(SEARCH("coach_",Table1[[#This Row],[FILENAMES_EXPECTED]])))</f>
        <v>0</v>
      </c>
      <c r="E258" t="str">
        <f>"item_"&amp;Table1[[#This Row],[VEHIDCODE]]</f>
        <v>item_diesel_UK_BR_60</v>
      </c>
      <c r="F258" t="str">
        <f>"str_"&amp;Table1[[#This Row],[VEHIDCODE]]</f>
        <v>str_diesel_UK_BR_60</v>
      </c>
      <c r="O258" s="2" t="b">
        <v>1</v>
      </c>
      <c r="AJ258" s="2"/>
      <c r="AK258" s="2" t="b">
        <f>LEN(_xlfn.CONCAT(Table1[[#This Row],[TRACK_TYPE_STANDARD_GAUGE_RAILTYPE_OHLE]:[TRACK_TYPE_MTRO]]))&gt;0</f>
        <v>1</v>
      </c>
      <c r="AL258">
        <v>8</v>
      </c>
      <c r="AM258" t="s">
        <v>20</v>
      </c>
      <c r="AN258">
        <v>0</v>
      </c>
      <c r="AO258" t="s">
        <v>35</v>
      </c>
      <c r="AP258">
        <v>0</v>
      </c>
      <c r="AQ258">
        <v>1989</v>
      </c>
      <c r="AR258">
        <v>8</v>
      </c>
      <c r="AS258" s="2" t="s">
        <v>20</v>
      </c>
      <c r="AT258" t="b">
        <v>1</v>
      </c>
      <c r="AV258" s="2"/>
      <c r="AW258">
        <v>45</v>
      </c>
      <c r="AX258">
        <v>0</v>
      </c>
      <c r="AY258">
        <v>3100</v>
      </c>
      <c r="AZ258" t="s">
        <v>711</v>
      </c>
      <c r="BA258">
        <v>97</v>
      </c>
      <c r="BB258" s="2">
        <v>0.36</v>
      </c>
      <c r="BC258" t="s">
        <v>927</v>
      </c>
      <c r="BD258" t="s">
        <v>922</v>
      </c>
      <c r="BE258" t="s">
        <v>940</v>
      </c>
      <c r="BF258" s="7">
        <v>40</v>
      </c>
      <c r="BG2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8">
        <v>0</v>
      </c>
      <c r="BI258" t="s">
        <v>734</v>
      </c>
      <c r="BJ258" s="11"/>
      <c r="BK258" s="11"/>
      <c r="BL258" s="11">
        <v>130</v>
      </c>
      <c r="BM258">
        <v>0</v>
      </c>
      <c r="BN258" t="s">
        <v>692</v>
      </c>
      <c r="BO258" t="s">
        <v>694</v>
      </c>
      <c r="BP258" t="s">
        <v>701</v>
      </c>
      <c r="BQ258" t="s">
        <v>705</v>
      </c>
      <c r="BR258" t="s">
        <v>706</v>
      </c>
      <c r="BS258" t="s">
        <v>707</v>
      </c>
      <c r="CR258"/>
      <c r="CS258"/>
      <c r="CT258"/>
    </row>
    <row r="259" spans="1:98" x14ac:dyDescent="0.4">
      <c r="A259" s="2" t="s">
        <v>283</v>
      </c>
      <c r="B259" t="str">
        <f>_xlfn.TEXTAFTER(Table1[[#This Row],[VEHIDCODE]],"_")</f>
        <v>Australia_Westrail_P_Class</v>
      </c>
      <c r="C259" t="s">
        <v>740</v>
      </c>
      <c r="D259" t="b">
        <f>OR(ISNUMBER(SEARCH("wagon_",Table1[[#This Row],[FILENAMES_EXPECTED]])),ISNUMBER(SEARCH("coach_",Table1[[#This Row],[FILENAMES_EXPECTED]])))</f>
        <v>0</v>
      </c>
      <c r="E259" t="str">
        <f>"item_"&amp;Table1[[#This Row],[VEHIDCODE]]</f>
        <v>item_diesel_Australia_Westrail_P_Class</v>
      </c>
      <c r="F259" t="str">
        <f>"str_"&amp;Table1[[#This Row],[VEHIDCODE]]</f>
        <v>str_diesel_Australia_Westrail_P_Class</v>
      </c>
      <c r="O259" s="2" t="b">
        <v>1</v>
      </c>
      <c r="AJ259" s="2"/>
      <c r="AK259" s="2" t="b">
        <f>LEN(_xlfn.CONCAT(Table1[[#This Row],[TRACK_TYPE_STANDARD_GAUGE_RAILTYPE_OHLE]:[TRACK_TYPE_MTRO]]))&gt;0</f>
        <v>1</v>
      </c>
      <c r="AL259">
        <v>7</v>
      </c>
      <c r="AM259" t="s">
        <v>20</v>
      </c>
      <c r="AN259">
        <v>0</v>
      </c>
      <c r="AO259" t="s">
        <v>35</v>
      </c>
      <c r="AP259">
        <v>0</v>
      </c>
      <c r="AQ259">
        <v>1989</v>
      </c>
      <c r="AR259">
        <v>7</v>
      </c>
      <c r="AS259" s="2" t="s">
        <v>20</v>
      </c>
      <c r="AT259" t="b">
        <v>1</v>
      </c>
      <c r="AV259" s="2"/>
      <c r="AW259">
        <v>45</v>
      </c>
      <c r="AX259">
        <v>1</v>
      </c>
      <c r="AY259">
        <v>2450</v>
      </c>
      <c r="AZ259" t="s">
        <v>711</v>
      </c>
      <c r="BA259">
        <v>90</v>
      </c>
      <c r="BB259" s="2">
        <v>0.38</v>
      </c>
      <c r="BC259" t="s">
        <v>925</v>
      </c>
      <c r="BD259" t="s">
        <v>922</v>
      </c>
      <c r="BE259" t="s">
        <v>940</v>
      </c>
      <c r="BF259" s="7">
        <v>40</v>
      </c>
      <c r="BG2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59">
        <v>0</v>
      </c>
      <c r="BI259" t="s">
        <v>734</v>
      </c>
      <c r="BJ259" s="11"/>
      <c r="BK259" s="11"/>
      <c r="BL259" s="11">
        <v>99</v>
      </c>
      <c r="BM259">
        <v>0</v>
      </c>
      <c r="BN259" t="s">
        <v>692</v>
      </c>
      <c r="BO259" t="s">
        <v>694</v>
      </c>
      <c r="BP259" t="s">
        <v>701</v>
      </c>
      <c r="BQ259" t="s">
        <v>705</v>
      </c>
      <c r="BR259" t="s">
        <v>706</v>
      </c>
      <c r="BS259" t="s">
        <v>707</v>
      </c>
      <c r="CR259"/>
      <c r="CS259"/>
      <c r="CT259"/>
    </row>
    <row r="260" spans="1:98" x14ac:dyDescent="0.4">
      <c r="A260" s="2" t="s">
        <v>284</v>
      </c>
      <c r="B260" t="str">
        <f>_xlfn.TEXTAFTER(Table1[[#This Row],[VEHIDCODE]],"_")</f>
        <v>Saudi_Arabia_Saudi_Railways_4000_EMD_SD70ACS</v>
      </c>
      <c r="C260" t="s">
        <v>740</v>
      </c>
      <c r="D260" t="b">
        <f>OR(ISNUMBER(SEARCH("wagon_",Table1[[#This Row],[FILENAMES_EXPECTED]])),ISNUMBER(SEARCH("coach_",Table1[[#This Row],[FILENAMES_EXPECTED]])))</f>
        <v>0</v>
      </c>
      <c r="E260" t="str">
        <f>"item_"&amp;Table1[[#This Row],[VEHIDCODE]]</f>
        <v>item_diesel_Saudi_Arabia_Saudi_Railways_4000_EMD_SD70ACS</v>
      </c>
      <c r="F260" t="str">
        <f>"str_"&amp;Table1[[#This Row],[VEHIDCODE]]</f>
        <v>str_diesel_Saudi_Arabia_Saudi_Railways_4000_EMD_SD70ACS</v>
      </c>
      <c r="O260" s="2" t="b">
        <v>1</v>
      </c>
      <c r="AJ260" s="2"/>
      <c r="AK260" s="2" t="b">
        <f>LEN(_xlfn.CONCAT(Table1[[#This Row],[TRACK_TYPE_STANDARD_GAUGE_RAILTYPE_OHLE]:[TRACK_TYPE_MTRO]]))&gt;0</f>
        <v>1</v>
      </c>
      <c r="AL260">
        <v>8</v>
      </c>
      <c r="AM260" t="s">
        <v>20</v>
      </c>
      <c r="AN260">
        <v>0</v>
      </c>
      <c r="AO260" t="s">
        <v>35</v>
      </c>
      <c r="AP260">
        <v>0</v>
      </c>
      <c r="AQ260">
        <v>1992</v>
      </c>
      <c r="AR260">
        <v>8</v>
      </c>
      <c r="AS260" s="2" t="s">
        <v>20</v>
      </c>
      <c r="AT260" t="b">
        <v>1</v>
      </c>
      <c r="AV260" s="2"/>
      <c r="AW260">
        <v>45</v>
      </c>
      <c r="AX260">
        <v>1</v>
      </c>
      <c r="AY260">
        <v>4500</v>
      </c>
      <c r="AZ260" t="s">
        <v>711</v>
      </c>
      <c r="BA260">
        <v>110</v>
      </c>
      <c r="BB260" s="2">
        <v>0.5</v>
      </c>
      <c r="BC260" t="s">
        <v>931</v>
      </c>
      <c r="BD260" t="s">
        <v>922</v>
      </c>
      <c r="BE260" t="s">
        <v>940</v>
      </c>
      <c r="BF260" s="7">
        <v>40</v>
      </c>
      <c r="BG2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0">
        <v>0</v>
      </c>
      <c r="BI260" t="s">
        <v>734</v>
      </c>
      <c r="BJ260" s="11"/>
      <c r="BK260" s="11"/>
      <c r="BL260" s="11">
        <v>170</v>
      </c>
      <c r="BM260">
        <v>0</v>
      </c>
      <c r="BN260" t="s">
        <v>692</v>
      </c>
      <c r="BO260" t="s">
        <v>694</v>
      </c>
      <c r="BP260" t="s">
        <v>701</v>
      </c>
      <c r="BQ260" t="s">
        <v>705</v>
      </c>
      <c r="BR260" t="s">
        <v>706</v>
      </c>
      <c r="BS260" t="s">
        <v>707</v>
      </c>
      <c r="CR260"/>
      <c r="CS260"/>
      <c r="CT260"/>
    </row>
    <row r="261" spans="1:98" x14ac:dyDescent="0.4">
      <c r="A261" s="2" t="s">
        <v>285</v>
      </c>
      <c r="B261" t="str">
        <f>_xlfn.TEXTAFTER(Table1[[#This Row],[VEHIDCODE]],"_")</f>
        <v>Ireland_IE_201</v>
      </c>
      <c r="C261" t="s">
        <v>740</v>
      </c>
      <c r="D261" t="b">
        <f>OR(ISNUMBER(SEARCH("wagon_",Table1[[#This Row],[FILENAMES_EXPECTED]])),ISNUMBER(SEARCH("coach_",Table1[[#This Row],[FILENAMES_EXPECTED]])))</f>
        <v>0</v>
      </c>
      <c r="E261" t="str">
        <f>"item_"&amp;Table1[[#This Row],[VEHIDCODE]]</f>
        <v>item_diesel_Ireland_IE_201</v>
      </c>
      <c r="F261" t="str">
        <f>"str_"&amp;Table1[[#This Row],[VEHIDCODE]]</f>
        <v>str_diesel_Ireland_IE_201</v>
      </c>
      <c r="O261" s="2" t="b">
        <v>1</v>
      </c>
      <c r="AJ261" s="2"/>
      <c r="AK261" s="2" t="b">
        <f>LEN(_xlfn.CONCAT(Table1[[#This Row],[TRACK_TYPE_STANDARD_GAUGE_RAILTYPE_OHLE]:[TRACK_TYPE_MTRO]]))&gt;0</f>
        <v>1</v>
      </c>
      <c r="AL261">
        <v>8</v>
      </c>
      <c r="AM261" t="s">
        <v>20</v>
      </c>
      <c r="AN261">
        <v>0</v>
      </c>
      <c r="AO261" t="s">
        <v>35</v>
      </c>
      <c r="AP261">
        <v>0</v>
      </c>
      <c r="AQ261">
        <v>1994</v>
      </c>
      <c r="AR261">
        <v>8</v>
      </c>
      <c r="AS261" s="2" t="s">
        <v>20</v>
      </c>
      <c r="AT261" t="b">
        <v>1</v>
      </c>
      <c r="AV261" s="2"/>
      <c r="AW261">
        <v>45</v>
      </c>
      <c r="AX261">
        <v>1</v>
      </c>
      <c r="AY261">
        <v>3200</v>
      </c>
      <c r="AZ261" t="s">
        <v>711</v>
      </c>
      <c r="BA261">
        <v>164</v>
      </c>
      <c r="BB261" s="2">
        <v>0.17</v>
      </c>
      <c r="BC261" t="s">
        <v>927</v>
      </c>
      <c r="BD261" t="s">
        <v>922</v>
      </c>
      <c r="BE261" t="s">
        <v>940</v>
      </c>
      <c r="BF261" s="7">
        <v>40</v>
      </c>
      <c r="BG2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1">
        <v>0</v>
      </c>
      <c r="BI261" t="s">
        <v>734</v>
      </c>
      <c r="BJ261" s="11"/>
      <c r="BK261" s="11"/>
      <c r="BL261" s="11">
        <v>112</v>
      </c>
      <c r="BM261">
        <v>0</v>
      </c>
      <c r="BN261" t="s">
        <v>692</v>
      </c>
      <c r="BO261" t="s">
        <v>694</v>
      </c>
      <c r="BP261" t="s">
        <v>701</v>
      </c>
      <c r="BQ261" t="s">
        <v>705</v>
      </c>
      <c r="BR261" t="s">
        <v>706</v>
      </c>
      <c r="BS261" t="s">
        <v>707</v>
      </c>
      <c r="CR261"/>
      <c r="CS261"/>
      <c r="CT261"/>
    </row>
    <row r="262" spans="1:98" x14ac:dyDescent="0.4">
      <c r="A262" s="2" t="s">
        <v>286</v>
      </c>
      <c r="B262" t="str">
        <f>_xlfn.TEXTAFTER(Table1[[#This Row],[VEHIDCODE]],"_")</f>
        <v>USA_Metrolink_EMD_F59PH</v>
      </c>
      <c r="C262" t="s">
        <v>740</v>
      </c>
      <c r="D262" t="b">
        <f>OR(ISNUMBER(SEARCH("wagon_",Table1[[#This Row],[FILENAMES_EXPECTED]])),ISNUMBER(SEARCH("coach_",Table1[[#This Row],[FILENAMES_EXPECTED]])))</f>
        <v>0</v>
      </c>
      <c r="E262" t="str">
        <f>"item_"&amp;Table1[[#This Row],[VEHIDCODE]]</f>
        <v>item_diesel_USA_Metrolink_EMD_F59PH</v>
      </c>
      <c r="F262" t="str">
        <f>"str_"&amp;Table1[[#This Row],[VEHIDCODE]]</f>
        <v>str_diesel_USA_Metrolink_EMD_F59PH</v>
      </c>
      <c r="O262" s="2" t="b">
        <v>1</v>
      </c>
      <c r="AJ262" s="2"/>
      <c r="AK262" s="2" t="b">
        <f>LEN(_xlfn.CONCAT(Table1[[#This Row],[TRACK_TYPE_STANDARD_GAUGE_RAILTYPE_OHLE]:[TRACK_TYPE_MTRO]]))&gt;0</f>
        <v>1</v>
      </c>
      <c r="AL262">
        <v>8</v>
      </c>
      <c r="AM262" t="s">
        <v>20</v>
      </c>
      <c r="AN262">
        <v>0</v>
      </c>
      <c r="AO262" t="s">
        <v>35</v>
      </c>
      <c r="AP262">
        <v>0</v>
      </c>
      <c r="AQ262">
        <v>1988</v>
      </c>
      <c r="AR262">
        <v>8</v>
      </c>
      <c r="AS262" s="2" t="s">
        <v>20</v>
      </c>
      <c r="AT262" t="b">
        <v>1</v>
      </c>
      <c r="AV262" s="2"/>
      <c r="AW262">
        <v>45</v>
      </c>
      <c r="AX262">
        <v>1</v>
      </c>
      <c r="AY262">
        <v>3200</v>
      </c>
      <c r="AZ262" t="s">
        <v>711</v>
      </c>
      <c r="BA262">
        <v>177</v>
      </c>
      <c r="BB262" s="2">
        <v>0.22</v>
      </c>
      <c r="BC262" t="s">
        <v>928</v>
      </c>
      <c r="BD262" t="s">
        <v>922</v>
      </c>
      <c r="BE262" t="s">
        <v>940</v>
      </c>
      <c r="BF262" s="7">
        <v>40</v>
      </c>
      <c r="BG2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2">
        <v>0</v>
      </c>
      <c r="BI262" t="s">
        <v>734</v>
      </c>
      <c r="BJ262" s="11"/>
      <c r="BK262" s="11"/>
      <c r="BL262" s="11">
        <v>130</v>
      </c>
      <c r="BM262">
        <v>0</v>
      </c>
      <c r="BN262" t="s">
        <v>692</v>
      </c>
      <c r="BO262" t="s">
        <v>694</v>
      </c>
      <c r="BP262" t="s">
        <v>701</v>
      </c>
      <c r="BQ262" t="s">
        <v>705</v>
      </c>
      <c r="BR262" t="s">
        <v>706</v>
      </c>
      <c r="BS262" t="s">
        <v>707</v>
      </c>
      <c r="CR262"/>
      <c r="CS262"/>
      <c r="CT262"/>
    </row>
    <row r="263" spans="1:98" x14ac:dyDescent="0.4">
      <c r="A263" s="2" t="s">
        <v>287</v>
      </c>
      <c r="B263" t="str">
        <f>_xlfn.TEXTAFTER(Table1[[#This Row],[VEHIDCODE]],"_")</f>
        <v>France_SNCF_461000</v>
      </c>
      <c r="C263" t="s">
        <v>740</v>
      </c>
      <c r="D263" t="b">
        <f>OR(ISNUMBER(SEARCH("wagon_",Table1[[#This Row],[FILENAMES_EXPECTED]])),ISNUMBER(SEARCH("coach_",Table1[[#This Row],[FILENAMES_EXPECTED]])))</f>
        <v>0</v>
      </c>
      <c r="E263" t="str">
        <f>"item_"&amp;Table1[[#This Row],[VEHIDCODE]]</f>
        <v>item_diesel_France_SNCF_461000</v>
      </c>
      <c r="F263" t="str">
        <f>"str_"&amp;Table1[[#This Row],[VEHIDCODE]]</f>
        <v>str_diesel_France_SNCF_461000</v>
      </c>
      <c r="O263" s="2" t="b">
        <v>1</v>
      </c>
      <c r="AJ263" s="2"/>
      <c r="AK263" s="2" t="b">
        <f>LEN(_xlfn.CONCAT(Table1[[#This Row],[TRACK_TYPE_STANDARD_GAUGE_RAILTYPE_OHLE]:[TRACK_TYPE_MTRO]]))&gt;0</f>
        <v>1</v>
      </c>
      <c r="AL263">
        <v>7</v>
      </c>
      <c r="AM263" t="s">
        <v>20</v>
      </c>
      <c r="AN263">
        <v>0</v>
      </c>
      <c r="AO263" t="s">
        <v>35</v>
      </c>
      <c r="AP263">
        <v>0</v>
      </c>
      <c r="AQ263">
        <v>2002</v>
      </c>
      <c r="AR263">
        <v>7</v>
      </c>
      <c r="AS263" s="2" t="s">
        <v>20</v>
      </c>
      <c r="AT263" t="b">
        <v>1</v>
      </c>
      <c r="AV263" s="2"/>
      <c r="AW263" t="s">
        <v>21</v>
      </c>
      <c r="AX263">
        <v>1</v>
      </c>
      <c r="AY263">
        <v>2010</v>
      </c>
      <c r="AZ263" t="s">
        <v>711</v>
      </c>
      <c r="BA263">
        <v>50</v>
      </c>
      <c r="BB263" s="2">
        <v>0.33</v>
      </c>
      <c r="BC263" t="s">
        <v>923</v>
      </c>
      <c r="BD263" t="s">
        <v>922</v>
      </c>
      <c r="BE263" t="s">
        <v>940</v>
      </c>
      <c r="BF263" s="7">
        <v>40</v>
      </c>
      <c r="BG2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3">
        <v>0</v>
      </c>
      <c r="BI263" t="s">
        <v>734</v>
      </c>
      <c r="BJ263" s="11"/>
      <c r="BK263" s="11"/>
      <c r="BL263" s="11">
        <v>86</v>
      </c>
      <c r="BM263">
        <v>0</v>
      </c>
      <c r="BN263" t="s">
        <v>692</v>
      </c>
      <c r="BO263" t="s">
        <v>694</v>
      </c>
      <c r="BP263" t="s">
        <v>701</v>
      </c>
      <c r="BQ263" t="s">
        <v>705</v>
      </c>
      <c r="BR263" t="s">
        <v>706</v>
      </c>
      <c r="BS263" t="s">
        <v>707</v>
      </c>
      <c r="CR263"/>
      <c r="CS263"/>
      <c r="CT263"/>
    </row>
    <row r="264" spans="1:98" x14ac:dyDescent="0.4">
      <c r="A264" s="2" t="s">
        <v>288</v>
      </c>
      <c r="B264" t="str">
        <f>_xlfn.TEXTAFTER(Table1[[#This Row],[VEHIDCODE]],"_")</f>
        <v>Italy_ACT_D_200</v>
      </c>
      <c r="C264" t="s">
        <v>740</v>
      </c>
      <c r="D264" t="b">
        <f>OR(ISNUMBER(SEARCH("wagon_",Table1[[#This Row],[FILENAMES_EXPECTED]])),ISNUMBER(SEARCH("coach_",Table1[[#This Row],[FILENAMES_EXPECTED]])))</f>
        <v>0</v>
      </c>
      <c r="E264" t="str">
        <f>"item_"&amp;Table1[[#This Row],[VEHIDCODE]]</f>
        <v>item_diesel_Italy_ACT_D_200</v>
      </c>
      <c r="F264" t="str">
        <f>"str_"&amp;Table1[[#This Row],[VEHIDCODE]]</f>
        <v>str_diesel_Italy_ACT_D_200</v>
      </c>
      <c r="O264" s="2" t="b">
        <v>1</v>
      </c>
      <c r="AJ264" s="2"/>
      <c r="AK264" s="2" t="b">
        <f>LEN(_xlfn.CONCAT(Table1[[#This Row],[TRACK_TYPE_STANDARD_GAUGE_RAILTYPE_OHLE]:[TRACK_TYPE_MTRO]]))&gt;0</f>
        <v>1</v>
      </c>
      <c r="AL264">
        <v>7</v>
      </c>
      <c r="AM264" t="s">
        <v>20</v>
      </c>
      <c r="AN264">
        <v>0</v>
      </c>
      <c r="AO264" t="s">
        <v>35</v>
      </c>
      <c r="AP264">
        <v>0</v>
      </c>
      <c r="AQ264">
        <v>2003</v>
      </c>
      <c r="AR264">
        <v>7</v>
      </c>
      <c r="AS264" s="2" t="s">
        <v>20</v>
      </c>
      <c r="AT264" t="b">
        <v>1</v>
      </c>
      <c r="AV264" s="2"/>
      <c r="AW264" t="s">
        <v>21</v>
      </c>
      <c r="AX264">
        <v>1</v>
      </c>
      <c r="AY264">
        <v>3000</v>
      </c>
      <c r="AZ264" t="s">
        <v>711</v>
      </c>
      <c r="BA264">
        <v>120</v>
      </c>
      <c r="BB264" s="2">
        <v>0.32</v>
      </c>
      <c r="BC264" t="s">
        <v>924</v>
      </c>
      <c r="BD264" t="s">
        <v>922</v>
      </c>
      <c r="BE264" t="s">
        <v>940</v>
      </c>
      <c r="BF264" s="7">
        <v>40</v>
      </c>
      <c r="BG2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4">
        <v>0</v>
      </c>
      <c r="BI264" t="s">
        <v>734</v>
      </c>
      <c r="BJ264" s="11"/>
      <c r="BK264" s="11"/>
      <c r="BL264" s="11">
        <v>89</v>
      </c>
      <c r="BM264">
        <v>0</v>
      </c>
      <c r="BN264" t="s">
        <v>692</v>
      </c>
      <c r="BO264" t="s">
        <v>694</v>
      </c>
      <c r="BP264" t="s">
        <v>701</v>
      </c>
      <c r="BQ264" t="s">
        <v>705</v>
      </c>
      <c r="BR264" t="s">
        <v>706</v>
      </c>
      <c r="BS264" t="s">
        <v>707</v>
      </c>
      <c r="CR264"/>
      <c r="CS264"/>
      <c r="CT264"/>
    </row>
    <row r="265" spans="1:98" x14ac:dyDescent="0.4">
      <c r="A265" s="2" t="s">
        <v>289</v>
      </c>
      <c r="B265" t="str">
        <f>_xlfn.TEXTAFTER(Table1[[#This Row],[VEHIDCODE]],"_")</f>
        <v>Canada_GO_Transit_MP40PH_3C</v>
      </c>
      <c r="C265" t="s">
        <v>740</v>
      </c>
      <c r="D265" t="b">
        <f>OR(ISNUMBER(SEARCH("wagon_",Table1[[#This Row],[FILENAMES_EXPECTED]])),ISNUMBER(SEARCH("coach_",Table1[[#This Row],[FILENAMES_EXPECTED]])))</f>
        <v>0</v>
      </c>
      <c r="E265" t="str">
        <f>"item_"&amp;Table1[[#This Row],[VEHIDCODE]]</f>
        <v>item_diesel_Canada_GO_Transit_MP40PH_3C</v>
      </c>
      <c r="F265" t="str">
        <f>"str_"&amp;Table1[[#This Row],[VEHIDCODE]]</f>
        <v>str_diesel_Canada_GO_Transit_MP40PH_3C</v>
      </c>
      <c r="O265" s="2" t="b">
        <v>1</v>
      </c>
      <c r="AJ265" s="2"/>
      <c r="AK265" s="2" t="b">
        <f>LEN(_xlfn.CONCAT(Table1[[#This Row],[TRACK_TYPE_STANDARD_GAUGE_RAILTYPE_OHLE]:[TRACK_TYPE_MTRO]]))&gt;0</f>
        <v>1</v>
      </c>
      <c r="AL265">
        <v>8</v>
      </c>
      <c r="AM265" t="s">
        <v>20</v>
      </c>
      <c r="AN265">
        <v>0</v>
      </c>
      <c r="AO265" t="s">
        <v>35</v>
      </c>
      <c r="AP265">
        <v>0</v>
      </c>
      <c r="AQ265">
        <v>2003</v>
      </c>
      <c r="AR265">
        <v>8</v>
      </c>
      <c r="AS265" s="2" t="s">
        <v>20</v>
      </c>
      <c r="AT265" t="b">
        <v>1</v>
      </c>
      <c r="AV265" s="2"/>
      <c r="AW265" t="s">
        <v>21</v>
      </c>
      <c r="AX265">
        <v>1</v>
      </c>
      <c r="AY265">
        <v>4000</v>
      </c>
      <c r="AZ265" t="s">
        <v>711</v>
      </c>
      <c r="BA265">
        <v>174</v>
      </c>
      <c r="BB265" s="2">
        <v>0.3</v>
      </c>
      <c r="BC265" t="s">
        <v>928</v>
      </c>
      <c r="BD265" t="s">
        <v>922</v>
      </c>
      <c r="BE265" t="s">
        <v>940</v>
      </c>
      <c r="BF265" s="7">
        <v>40</v>
      </c>
      <c r="BG2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5">
        <v>0</v>
      </c>
      <c r="BI265" t="s">
        <v>734</v>
      </c>
      <c r="BJ265" s="11"/>
      <c r="BK265" s="11"/>
      <c r="BL265" s="11">
        <v>130</v>
      </c>
      <c r="BM265">
        <v>0</v>
      </c>
      <c r="BN265" t="s">
        <v>692</v>
      </c>
      <c r="BO265" t="s">
        <v>694</v>
      </c>
      <c r="BP265" t="s">
        <v>701</v>
      </c>
      <c r="BQ265" t="s">
        <v>705</v>
      </c>
      <c r="BR265" t="s">
        <v>706</v>
      </c>
      <c r="BS265" t="s">
        <v>707</v>
      </c>
      <c r="CR265"/>
      <c r="CS265"/>
      <c r="CT265"/>
    </row>
    <row r="266" spans="1:98" x14ac:dyDescent="0.4">
      <c r="A266" s="2" t="s">
        <v>290</v>
      </c>
      <c r="B266" t="str">
        <f>_xlfn.TEXTAFTER(Table1[[#This Row],[VEHIDCODE]],"_")</f>
        <v>Spain_RENFE_Class_334</v>
      </c>
      <c r="C266" t="s">
        <v>740</v>
      </c>
      <c r="D266" t="b">
        <f>OR(ISNUMBER(SEARCH("wagon_",Table1[[#This Row],[FILENAMES_EXPECTED]])),ISNUMBER(SEARCH("coach_",Table1[[#This Row],[FILENAMES_EXPECTED]])))</f>
        <v>0</v>
      </c>
      <c r="E266" t="str">
        <f>"item_"&amp;Table1[[#This Row],[VEHIDCODE]]</f>
        <v>item_diesel_Spain_RENFE_Class_334</v>
      </c>
      <c r="F266" t="str">
        <f>"str_"&amp;Table1[[#This Row],[VEHIDCODE]]</f>
        <v>str_diesel_Spain_RENFE_Class_334</v>
      </c>
      <c r="O266" s="2" t="b">
        <v>1</v>
      </c>
      <c r="AJ266" s="2"/>
      <c r="AK266" s="2" t="b">
        <f>LEN(_xlfn.CONCAT(Table1[[#This Row],[TRACK_TYPE_STANDARD_GAUGE_RAILTYPE_OHLE]:[TRACK_TYPE_MTRO]]))&gt;0</f>
        <v>1</v>
      </c>
      <c r="AL266">
        <v>8</v>
      </c>
      <c r="AM266" t="s">
        <v>20</v>
      </c>
      <c r="AN266">
        <v>0</v>
      </c>
      <c r="AO266" t="s">
        <v>35</v>
      </c>
      <c r="AP266">
        <v>0</v>
      </c>
      <c r="AQ266">
        <v>2006</v>
      </c>
      <c r="AR266">
        <v>8</v>
      </c>
      <c r="AS266" s="2" t="s">
        <v>20</v>
      </c>
      <c r="AT266" t="b">
        <v>1</v>
      </c>
      <c r="AV266" s="2"/>
      <c r="AW266" t="s">
        <v>21</v>
      </c>
      <c r="AX266">
        <v>1</v>
      </c>
      <c r="AY266">
        <v>3300</v>
      </c>
      <c r="AZ266" t="s">
        <v>711</v>
      </c>
      <c r="BA266">
        <v>200</v>
      </c>
      <c r="BB266" s="2">
        <v>0.2</v>
      </c>
      <c r="BC266" t="s">
        <v>924</v>
      </c>
      <c r="BD266" t="s">
        <v>922</v>
      </c>
      <c r="BE266" t="s">
        <v>940</v>
      </c>
      <c r="BF266" s="7">
        <v>40</v>
      </c>
      <c r="BG2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6">
        <v>0</v>
      </c>
      <c r="BI266" t="s">
        <v>734</v>
      </c>
      <c r="BJ266" s="11"/>
      <c r="BK266" s="11"/>
      <c r="BL266" s="11">
        <v>90</v>
      </c>
      <c r="BM266">
        <v>0</v>
      </c>
      <c r="BN266" t="s">
        <v>692</v>
      </c>
      <c r="BO266" t="s">
        <v>694</v>
      </c>
      <c r="BP266" t="s">
        <v>701</v>
      </c>
      <c r="BQ266" t="s">
        <v>705</v>
      </c>
      <c r="BR266" t="s">
        <v>706</v>
      </c>
      <c r="BS266" t="s">
        <v>707</v>
      </c>
      <c r="CR266"/>
      <c r="CS266"/>
      <c r="CT266"/>
    </row>
    <row r="267" spans="1:98" x14ac:dyDescent="0.4">
      <c r="A267" s="2" t="s">
        <v>291</v>
      </c>
      <c r="B267" t="str">
        <f>_xlfn.TEXTAFTER(Table1[[#This Row],[VEHIDCODE]],"_")</f>
        <v>Indonesia_Indonesia_Railways_CC300</v>
      </c>
      <c r="C267" t="s">
        <v>740</v>
      </c>
      <c r="D267" t="b">
        <f>OR(ISNUMBER(SEARCH("wagon_",Table1[[#This Row],[FILENAMES_EXPECTED]])),ISNUMBER(SEARCH("coach_",Table1[[#This Row],[FILENAMES_EXPECTED]])))</f>
        <v>0</v>
      </c>
      <c r="E267" t="str">
        <f>"item_"&amp;Table1[[#This Row],[VEHIDCODE]]</f>
        <v>item_diesel_Indonesia_Indonesia_Railways_CC300</v>
      </c>
      <c r="F267" t="str">
        <f>"str_"&amp;Table1[[#This Row],[VEHIDCODE]]</f>
        <v>str_diesel_Indonesia_Indonesia_Railways_CC300</v>
      </c>
      <c r="O267" s="2" t="b">
        <v>1</v>
      </c>
      <c r="AJ267" s="2"/>
      <c r="AK267" s="2" t="b">
        <f>LEN(_xlfn.CONCAT(Table1[[#This Row],[TRACK_TYPE_STANDARD_GAUGE_RAILTYPE_OHLE]:[TRACK_TYPE_MTRO]]))&gt;0</f>
        <v>1</v>
      </c>
      <c r="AL267">
        <v>8</v>
      </c>
      <c r="AM267" t="s">
        <v>20</v>
      </c>
      <c r="AN267">
        <v>0</v>
      </c>
      <c r="AO267" t="s">
        <v>35</v>
      </c>
      <c r="AP267">
        <v>0</v>
      </c>
      <c r="AQ267">
        <v>2011</v>
      </c>
      <c r="AR267">
        <v>8</v>
      </c>
      <c r="AS267" s="2" t="s">
        <v>20</v>
      </c>
      <c r="AT267" t="b">
        <v>1</v>
      </c>
      <c r="AV267" s="2"/>
      <c r="AW267" t="s">
        <v>21</v>
      </c>
      <c r="AX267">
        <v>1</v>
      </c>
      <c r="AY267">
        <v>2500</v>
      </c>
      <c r="AZ267" t="s">
        <v>711</v>
      </c>
      <c r="BA267">
        <v>120</v>
      </c>
      <c r="BB267" s="2">
        <v>0.3</v>
      </c>
      <c r="BC267" t="s">
        <v>925</v>
      </c>
      <c r="BD267" t="s">
        <v>922</v>
      </c>
      <c r="BE267" t="s">
        <v>940</v>
      </c>
      <c r="BF267" s="7">
        <v>40</v>
      </c>
      <c r="BG2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7">
        <v>0</v>
      </c>
      <c r="BI267" t="s">
        <v>734</v>
      </c>
      <c r="BJ267" s="11"/>
      <c r="BK267" s="11"/>
      <c r="BL267" s="11">
        <v>90</v>
      </c>
      <c r="BM267">
        <v>0</v>
      </c>
      <c r="BN267" t="s">
        <v>692</v>
      </c>
      <c r="BO267" t="s">
        <v>694</v>
      </c>
      <c r="BP267" t="s">
        <v>701</v>
      </c>
      <c r="BQ267" t="s">
        <v>705</v>
      </c>
      <c r="BR267" t="s">
        <v>706</v>
      </c>
      <c r="BS267" t="s">
        <v>707</v>
      </c>
      <c r="CR267"/>
      <c r="CS267"/>
      <c r="CT267"/>
    </row>
    <row r="268" spans="1:98" x14ac:dyDescent="0.4">
      <c r="A268" s="2" t="s">
        <v>292</v>
      </c>
      <c r="B268" t="str">
        <f>_xlfn.TEXTAFTER(Table1[[#This Row],[VEHIDCODE]],"_")</f>
        <v>Argentina_Great_Southern_Railway_DH501</v>
      </c>
      <c r="C268" t="s">
        <v>740</v>
      </c>
      <c r="D268" t="b">
        <f>OR(ISNUMBER(SEARCH("wagon_",Table1[[#This Row],[FILENAMES_EXPECTED]])),ISNUMBER(SEARCH("coach_",Table1[[#This Row],[FILENAMES_EXPECTED]])))</f>
        <v>0</v>
      </c>
      <c r="E268" t="str">
        <f>"item_"&amp;Table1[[#This Row],[VEHIDCODE]]</f>
        <v>item_diesel_Argentina_Great_Southern_Railway_DH501</v>
      </c>
      <c r="F268" t="str">
        <f>"str_"&amp;Table1[[#This Row],[VEHIDCODE]]</f>
        <v>str_diesel_Argentina_Great_Southern_Railway_DH501</v>
      </c>
      <c r="O268" s="2" t="b">
        <v>1</v>
      </c>
      <c r="AJ268" s="2"/>
      <c r="AK268" s="2" t="b">
        <f>LEN(_xlfn.CONCAT(Table1[[#This Row],[TRACK_TYPE_STANDARD_GAUGE_RAILTYPE_OHLE]:[TRACK_TYPE_MTRO]]))&gt;0</f>
        <v>1</v>
      </c>
      <c r="AL268">
        <v>6</v>
      </c>
      <c r="AM268" t="s">
        <v>20</v>
      </c>
      <c r="AN268">
        <v>0</v>
      </c>
      <c r="AO268" t="s">
        <v>35</v>
      </c>
      <c r="AP268">
        <v>0</v>
      </c>
      <c r="AQ268">
        <v>1930</v>
      </c>
      <c r="AR268">
        <v>6</v>
      </c>
      <c r="AS268" s="2" t="s">
        <v>20</v>
      </c>
      <c r="AT268" t="b">
        <v>1</v>
      </c>
      <c r="AV268" s="2"/>
      <c r="AW268">
        <v>45</v>
      </c>
      <c r="AX268">
        <v>1</v>
      </c>
      <c r="AY268">
        <v>592</v>
      </c>
      <c r="AZ268" t="s">
        <v>711</v>
      </c>
      <c r="BA268">
        <v>45</v>
      </c>
      <c r="BB268" s="2">
        <v>0.15</v>
      </c>
      <c r="BC268" t="s">
        <v>930</v>
      </c>
      <c r="BD268" t="s">
        <v>922</v>
      </c>
      <c r="BE268" t="s">
        <v>940</v>
      </c>
      <c r="BF268" s="7">
        <v>40</v>
      </c>
      <c r="BG2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8">
        <v>0</v>
      </c>
      <c r="BI268" t="s">
        <v>734</v>
      </c>
      <c r="BJ268" s="11"/>
      <c r="BK268" s="11"/>
      <c r="BL268" s="11">
        <v>72</v>
      </c>
      <c r="BM268">
        <v>0</v>
      </c>
      <c r="BN268" t="s">
        <v>692</v>
      </c>
      <c r="BO268" t="s">
        <v>694</v>
      </c>
      <c r="BP268" t="s">
        <v>701</v>
      </c>
      <c r="BQ268" t="s">
        <v>705</v>
      </c>
      <c r="BR268" t="s">
        <v>706</v>
      </c>
      <c r="BS268" t="s">
        <v>707</v>
      </c>
      <c r="CR268"/>
      <c r="CS268"/>
      <c r="CT268"/>
    </row>
    <row r="269" spans="1:98" x14ac:dyDescent="0.4">
      <c r="A269" s="2" t="s">
        <v>293</v>
      </c>
      <c r="B269" t="str">
        <f>_xlfn.TEXTAFTER(Table1[[#This Row],[VEHIDCODE]],"_")</f>
        <v>Brazil_EE_VFFLB</v>
      </c>
      <c r="C269" t="s">
        <v>740</v>
      </c>
      <c r="D269" t="b">
        <f>OR(ISNUMBER(SEARCH("wagon_",Table1[[#This Row],[FILENAMES_EXPECTED]])),ISNUMBER(SEARCH("coach_",Table1[[#This Row],[FILENAMES_EXPECTED]])))</f>
        <v>0</v>
      </c>
      <c r="E269" t="str">
        <f>"item_"&amp;Table1[[#This Row],[VEHIDCODE]]</f>
        <v>item_diesel_Brazil_EE_VFFLB</v>
      </c>
      <c r="F269" t="str">
        <f>"str_"&amp;Table1[[#This Row],[VEHIDCODE]]</f>
        <v>str_diesel_Brazil_EE_VFFLB</v>
      </c>
      <c r="O269" s="2" t="b">
        <v>1</v>
      </c>
      <c r="AJ269" s="2"/>
      <c r="AK269" s="2" t="b">
        <f>LEN(_xlfn.CONCAT(Table1[[#This Row],[TRACK_TYPE_STANDARD_GAUGE_RAILTYPE_OHLE]:[TRACK_TYPE_MTRO]]))&gt;0</f>
        <v>1</v>
      </c>
      <c r="AL269">
        <v>4</v>
      </c>
      <c r="AM269" t="s">
        <v>20</v>
      </c>
      <c r="AN269">
        <v>0</v>
      </c>
      <c r="AO269" t="s">
        <v>35</v>
      </c>
      <c r="AP269">
        <v>0</v>
      </c>
      <c r="AQ269">
        <v>1938</v>
      </c>
      <c r="AR269">
        <v>4</v>
      </c>
      <c r="AS269" s="2" t="s">
        <v>20</v>
      </c>
      <c r="AT269" t="b">
        <v>1</v>
      </c>
      <c r="AV269" s="2"/>
      <c r="AW269">
        <v>45</v>
      </c>
      <c r="AX269">
        <v>1</v>
      </c>
      <c r="AY269">
        <v>450</v>
      </c>
      <c r="AZ269" t="s">
        <v>711</v>
      </c>
      <c r="BA269">
        <v>76</v>
      </c>
      <c r="BB269" s="2">
        <v>0.22</v>
      </c>
      <c r="BC269" t="s">
        <v>930</v>
      </c>
      <c r="BD269" t="s">
        <v>922</v>
      </c>
      <c r="BE269" t="s">
        <v>940</v>
      </c>
      <c r="BF269" s="7">
        <v>40</v>
      </c>
      <c r="BG2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69">
        <v>0</v>
      </c>
      <c r="BI269" t="s">
        <v>734</v>
      </c>
      <c r="BJ269" s="11"/>
      <c r="BK269" s="11"/>
      <c r="BL269" s="11">
        <v>39</v>
      </c>
      <c r="BM269">
        <v>0</v>
      </c>
      <c r="BN269" t="s">
        <v>692</v>
      </c>
      <c r="BO269" t="s">
        <v>694</v>
      </c>
      <c r="BP269" t="s">
        <v>701</v>
      </c>
      <c r="BQ269" t="s">
        <v>705</v>
      </c>
      <c r="BR269" t="s">
        <v>706</v>
      </c>
      <c r="BS269" t="s">
        <v>707</v>
      </c>
      <c r="CR269"/>
      <c r="CS269"/>
      <c r="CT269"/>
    </row>
    <row r="270" spans="1:98" x14ac:dyDescent="0.4">
      <c r="A270" s="2" t="s">
        <v>294</v>
      </c>
      <c r="B270" t="str">
        <f>_xlfn.TEXTAFTER(Table1[[#This Row],[VEHIDCODE]],"_")</f>
        <v>Chile_EFE_GE_U5B</v>
      </c>
      <c r="C270" t="s">
        <v>740</v>
      </c>
      <c r="D270" t="b">
        <f>OR(ISNUMBER(SEARCH("wagon_",Table1[[#This Row],[FILENAMES_EXPECTED]])),ISNUMBER(SEARCH("coach_",Table1[[#This Row],[FILENAMES_EXPECTED]])))</f>
        <v>0</v>
      </c>
      <c r="E270" t="str">
        <f>"item_"&amp;Table1[[#This Row],[VEHIDCODE]]</f>
        <v>item_diesel_Chile_EFE_GE_U5B</v>
      </c>
      <c r="F270" t="str">
        <f>"str_"&amp;Table1[[#This Row],[VEHIDCODE]]</f>
        <v>str_diesel_Chile_EFE_GE_U5B</v>
      </c>
      <c r="AG270" s="2" t="b">
        <v>1</v>
      </c>
      <c r="AJ270" s="2"/>
      <c r="AK270" s="2" t="b">
        <f>LEN(_xlfn.CONCAT(Table1[[#This Row],[TRACK_TYPE_STANDARD_GAUGE_RAILTYPE_OHLE]:[TRACK_TYPE_MTRO]]))&gt;0</f>
        <v>1</v>
      </c>
      <c r="AL270">
        <v>5</v>
      </c>
      <c r="AM270" t="s">
        <v>20</v>
      </c>
      <c r="AN270">
        <v>0</v>
      </c>
      <c r="AO270" t="s">
        <v>35</v>
      </c>
      <c r="AP270">
        <v>0</v>
      </c>
      <c r="AQ270">
        <v>1961</v>
      </c>
      <c r="AR270">
        <v>5</v>
      </c>
      <c r="AS270" s="2" t="s">
        <v>20</v>
      </c>
      <c r="AT270" t="b">
        <v>1</v>
      </c>
      <c r="AV270" s="2"/>
      <c r="AW270">
        <v>45</v>
      </c>
      <c r="AX270">
        <v>1</v>
      </c>
      <c r="AY270">
        <v>600</v>
      </c>
      <c r="AZ270" t="s">
        <v>711</v>
      </c>
      <c r="BA270">
        <v>64</v>
      </c>
      <c r="BB270" s="2">
        <v>0.18</v>
      </c>
      <c r="BC270" t="s">
        <v>930</v>
      </c>
      <c r="BD270" t="s">
        <v>922</v>
      </c>
      <c r="BE270" t="s">
        <v>940</v>
      </c>
      <c r="BF270" s="7">
        <v>40</v>
      </c>
      <c r="BG2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0">
        <v>0</v>
      </c>
      <c r="BI270" t="s">
        <v>734</v>
      </c>
      <c r="BJ270" s="11"/>
      <c r="BK270" s="11"/>
      <c r="BL270" s="11">
        <v>50</v>
      </c>
      <c r="BM270">
        <v>0</v>
      </c>
      <c r="BN270" t="s">
        <v>692</v>
      </c>
      <c r="BO270" t="s">
        <v>694</v>
      </c>
      <c r="BP270" t="s">
        <v>701</v>
      </c>
      <c r="BQ270" t="s">
        <v>705</v>
      </c>
      <c r="BR270" t="s">
        <v>706</v>
      </c>
      <c r="BS270" t="s">
        <v>707</v>
      </c>
      <c r="CR270"/>
      <c r="CS270"/>
      <c r="CT270"/>
    </row>
    <row r="271" spans="1:98" x14ac:dyDescent="0.4">
      <c r="A271" s="2" t="s">
        <v>295</v>
      </c>
      <c r="B271" t="str">
        <f>_xlfn.TEXTAFTER(Table1[[#This Row],[VEHIDCODE]],"_")</f>
        <v>Peru_Ferrocarril_Central_Andino_Alco_RSD_39</v>
      </c>
      <c r="C271" t="s">
        <v>740</v>
      </c>
      <c r="D271" t="b">
        <f>OR(ISNUMBER(SEARCH("wagon_",Table1[[#This Row],[FILENAMES_EXPECTED]])),ISNUMBER(SEARCH("coach_",Table1[[#This Row],[FILENAMES_EXPECTED]])))</f>
        <v>0</v>
      </c>
      <c r="E271" t="str">
        <f>"item_"&amp;Table1[[#This Row],[VEHIDCODE]]</f>
        <v>item_diesel_Peru_Ferrocarril_Central_Andino_Alco_RSD_39</v>
      </c>
      <c r="F271" t="str">
        <f>"str_"&amp;Table1[[#This Row],[VEHIDCODE]]</f>
        <v>str_diesel_Peru_Ferrocarril_Central_Andino_Alco_RSD_39</v>
      </c>
      <c r="O271" s="2" t="b">
        <v>1</v>
      </c>
      <c r="AJ271" s="2"/>
      <c r="AK271" s="2" t="b">
        <f>LEN(_xlfn.CONCAT(Table1[[#This Row],[TRACK_TYPE_STANDARD_GAUGE_RAILTYPE_OHLE]:[TRACK_TYPE_MTRO]]))&gt;0</f>
        <v>1</v>
      </c>
      <c r="AL271">
        <v>6</v>
      </c>
      <c r="AM271" t="s">
        <v>20</v>
      </c>
      <c r="AN271">
        <v>0</v>
      </c>
      <c r="AO271" t="s">
        <v>35</v>
      </c>
      <c r="AP271">
        <v>0</v>
      </c>
      <c r="AQ271">
        <v>1965</v>
      </c>
      <c r="AR271">
        <v>6</v>
      </c>
      <c r="AS271" s="2" t="s">
        <v>20</v>
      </c>
      <c r="AT271" t="b">
        <v>1</v>
      </c>
      <c r="AV271" s="2"/>
      <c r="AW271">
        <v>45</v>
      </c>
      <c r="AX271">
        <v>1</v>
      </c>
      <c r="AY271">
        <v>1350</v>
      </c>
      <c r="AZ271" t="s">
        <v>711</v>
      </c>
      <c r="BA271">
        <v>120</v>
      </c>
      <c r="BB271" s="2">
        <v>0.17</v>
      </c>
      <c r="BC271" t="s">
        <v>930</v>
      </c>
      <c r="BD271" t="s">
        <v>922</v>
      </c>
      <c r="BE271" t="s">
        <v>940</v>
      </c>
      <c r="BF271" s="7">
        <v>40</v>
      </c>
      <c r="BG2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1">
        <v>0</v>
      </c>
      <c r="BI271" t="s">
        <v>734</v>
      </c>
      <c r="BJ271" s="11"/>
      <c r="BK271" s="11"/>
      <c r="BL271" s="11">
        <v>111</v>
      </c>
      <c r="BM271">
        <v>0</v>
      </c>
      <c r="BN271" t="s">
        <v>692</v>
      </c>
      <c r="BO271" t="s">
        <v>694</v>
      </c>
      <c r="BP271" t="s">
        <v>701</v>
      </c>
      <c r="BQ271" t="s">
        <v>705</v>
      </c>
      <c r="BR271" t="s">
        <v>706</v>
      </c>
      <c r="BS271" t="s">
        <v>707</v>
      </c>
      <c r="CR271"/>
      <c r="CS271"/>
      <c r="CT271"/>
    </row>
    <row r="272" spans="1:98" x14ac:dyDescent="0.4">
      <c r="A272" s="2" t="s">
        <v>296</v>
      </c>
      <c r="B272" t="str">
        <f>_xlfn.TEXTAFTER(Table1[[#This Row],[VEHIDCODE]],"_")</f>
        <v>Brazil_EFVM_EMD_DDM45</v>
      </c>
      <c r="C272" t="s">
        <v>740</v>
      </c>
      <c r="D272" t="b">
        <f>OR(ISNUMBER(SEARCH("wagon_",Table1[[#This Row],[FILENAMES_EXPECTED]])),ISNUMBER(SEARCH("coach_",Table1[[#This Row],[FILENAMES_EXPECTED]])))</f>
        <v>0</v>
      </c>
      <c r="E272" t="str">
        <f>"item_"&amp;Table1[[#This Row],[VEHIDCODE]]</f>
        <v>item_diesel_Brazil_EFVM_EMD_DDM45</v>
      </c>
      <c r="F272" t="str">
        <f>"str_"&amp;Table1[[#This Row],[VEHIDCODE]]</f>
        <v>str_diesel_Brazil_EFVM_EMD_DDM45</v>
      </c>
      <c r="O272" s="2" t="b">
        <v>1</v>
      </c>
      <c r="AJ272" s="2"/>
      <c r="AK272" s="2" t="b">
        <f>LEN(_xlfn.CONCAT(Table1[[#This Row],[TRACK_TYPE_STANDARD_GAUGE_RAILTYPE_OHLE]:[TRACK_TYPE_MTRO]]))&gt;0</f>
        <v>1</v>
      </c>
      <c r="AL272">
        <v>8</v>
      </c>
      <c r="AM272" t="s">
        <v>20</v>
      </c>
      <c r="AN272">
        <v>0</v>
      </c>
      <c r="AO272" t="s">
        <v>35</v>
      </c>
      <c r="AP272">
        <v>0</v>
      </c>
      <c r="AQ272">
        <v>1970</v>
      </c>
      <c r="AR272">
        <v>8</v>
      </c>
      <c r="AS272" s="2" t="s">
        <v>20</v>
      </c>
      <c r="AT272" t="b">
        <v>1</v>
      </c>
      <c r="AV272" s="2"/>
      <c r="AW272">
        <v>45</v>
      </c>
      <c r="AX272">
        <v>1</v>
      </c>
      <c r="AY272">
        <v>3600</v>
      </c>
      <c r="AZ272" t="s">
        <v>711</v>
      </c>
      <c r="BA272">
        <v>85</v>
      </c>
      <c r="BB272" s="2">
        <v>0.24</v>
      </c>
      <c r="BC272" t="s">
        <v>930</v>
      </c>
      <c r="BD272" t="s">
        <v>922</v>
      </c>
      <c r="BE272" t="s">
        <v>940</v>
      </c>
      <c r="BF272" s="7">
        <v>40</v>
      </c>
      <c r="BG2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2">
        <v>0</v>
      </c>
      <c r="BI272" t="s">
        <v>734</v>
      </c>
      <c r="BJ272" s="11"/>
      <c r="BK272" s="11"/>
      <c r="BL272" s="11">
        <v>162</v>
      </c>
      <c r="BM272">
        <v>0</v>
      </c>
      <c r="BN272" t="s">
        <v>692</v>
      </c>
      <c r="BO272" t="s">
        <v>694</v>
      </c>
      <c r="BP272" t="s">
        <v>701</v>
      </c>
      <c r="BQ272" t="s">
        <v>705</v>
      </c>
      <c r="BR272" t="s">
        <v>706</v>
      </c>
      <c r="BS272" t="s">
        <v>707</v>
      </c>
      <c r="CR272"/>
      <c r="CS272"/>
      <c r="CT272"/>
    </row>
    <row r="273" spans="1:98" x14ac:dyDescent="0.4">
      <c r="A273" s="2" t="s">
        <v>297</v>
      </c>
      <c r="B273" t="str">
        <f>_xlfn.TEXTAFTER(Table1[[#This Row],[VEHIDCODE]],"_")</f>
        <v>Peru_Ferrocarril_Central_Andino_GE_C39_8</v>
      </c>
      <c r="C273" t="s">
        <v>740</v>
      </c>
      <c r="D273" t="b">
        <f>OR(ISNUMBER(SEARCH("wagon_",Table1[[#This Row],[FILENAMES_EXPECTED]])),ISNUMBER(SEARCH("coach_",Table1[[#This Row],[FILENAMES_EXPECTED]])))</f>
        <v>0</v>
      </c>
      <c r="E273" t="str">
        <f>"item_"&amp;Table1[[#This Row],[VEHIDCODE]]</f>
        <v>item_diesel_Peru_Ferrocarril_Central_Andino_GE_C39_8</v>
      </c>
      <c r="F273" t="str">
        <f>"str_"&amp;Table1[[#This Row],[VEHIDCODE]]</f>
        <v>str_diesel_Peru_Ferrocarril_Central_Andino_GE_C39_8</v>
      </c>
      <c r="O273" s="2" t="b">
        <v>1</v>
      </c>
      <c r="AJ273" s="2"/>
      <c r="AK273" s="2" t="b">
        <f>LEN(_xlfn.CONCAT(Table1[[#This Row],[TRACK_TYPE_STANDARD_GAUGE_RAILTYPE_OHLE]:[TRACK_TYPE_MTRO]]))&gt;0</f>
        <v>1</v>
      </c>
      <c r="AL273">
        <v>8</v>
      </c>
      <c r="AM273" t="s">
        <v>20</v>
      </c>
      <c r="AN273">
        <v>0</v>
      </c>
      <c r="AO273" t="s">
        <v>35</v>
      </c>
      <c r="AP273">
        <v>0</v>
      </c>
      <c r="AQ273">
        <v>1984</v>
      </c>
      <c r="AR273">
        <v>8</v>
      </c>
      <c r="AS273" s="2" t="s">
        <v>20</v>
      </c>
      <c r="AT273" t="b">
        <v>1</v>
      </c>
      <c r="AV273" s="2"/>
      <c r="AW273">
        <v>45</v>
      </c>
      <c r="AX273">
        <v>1</v>
      </c>
      <c r="AY273">
        <v>3900</v>
      </c>
      <c r="AZ273" t="s">
        <v>711</v>
      </c>
      <c r="BA273">
        <v>110</v>
      </c>
      <c r="BB273" s="2">
        <v>0.28999999999999998</v>
      </c>
      <c r="BC273" t="s">
        <v>930</v>
      </c>
      <c r="BD273" t="s">
        <v>922</v>
      </c>
      <c r="BE273" t="s">
        <v>940</v>
      </c>
      <c r="BF273" s="7">
        <v>40</v>
      </c>
      <c r="BG2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3">
        <v>0</v>
      </c>
      <c r="BI273" t="s">
        <v>734</v>
      </c>
      <c r="BJ273" s="11"/>
      <c r="BK273" s="11"/>
      <c r="BL273" s="11">
        <v>166</v>
      </c>
      <c r="BM273">
        <v>0</v>
      </c>
      <c r="BN273" t="s">
        <v>692</v>
      </c>
      <c r="BO273" t="s">
        <v>694</v>
      </c>
      <c r="BP273" t="s">
        <v>701</v>
      </c>
      <c r="BQ273" t="s">
        <v>705</v>
      </c>
      <c r="BR273" t="s">
        <v>706</v>
      </c>
      <c r="BS273" t="s">
        <v>707</v>
      </c>
      <c r="CR273"/>
      <c r="CS273"/>
      <c r="CT273"/>
    </row>
    <row r="274" spans="1:98" x14ac:dyDescent="0.4">
      <c r="A274" s="2" t="s">
        <v>298</v>
      </c>
      <c r="B274" t="str">
        <f>_xlfn.TEXTAFTER(Table1[[#This Row],[VEHIDCODE]],"_")</f>
        <v>Argentina_SOFSE_3193</v>
      </c>
      <c r="C274" t="s">
        <v>740</v>
      </c>
      <c r="D274" t="b">
        <f>OR(ISNUMBER(SEARCH("wagon_",Table1[[#This Row],[FILENAMES_EXPECTED]])),ISNUMBER(SEARCH("coach_",Table1[[#This Row],[FILENAMES_EXPECTED]])))</f>
        <v>0</v>
      </c>
      <c r="E274" t="str">
        <f>"item_"&amp;Table1[[#This Row],[VEHIDCODE]]</f>
        <v>item_diesel_Argentina_SOFSE_3193</v>
      </c>
      <c r="F274" t="str">
        <f>"str_"&amp;Table1[[#This Row],[VEHIDCODE]]</f>
        <v>str_diesel_Argentina_SOFSE_3193</v>
      </c>
      <c r="O274" s="2" t="b">
        <v>1</v>
      </c>
      <c r="AJ274" s="2"/>
      <c r="AK274" s="2" t="b">
        <f>LEN(_xlfn.CONCAT(Table1[[#This Row],[TRACK_TYPE_STANDARD_GAUGE_RAILTYPE_OHLE]:[TRACK_TYPE_MTRO]]))&gt;0</f>
        <v>1</v>
      </c>
      <c r="AL274">
        <v>7</v>
      </c>
      <c r="AM274" t="s">
        <v>20</v>
      </c>
      <c r="AN274">
        <v>0</v>
      </c>
      <c r="AO274" t="s">
        <v>35</v>
      </c>
      <c r="AP274">
        <v>0</v>
      </c>
      <c r="AQ274">
        <v>1991</v>
      </c>
      <c r="AR274">
        <v>7</v>
      </c>
      <c r="AS274" s="2" t="s">
        <v>20</v>
      </c>
      <c r="AT274" t="b">
        <v>1</v>
      </c>
      <c r="AV274" s="2"/>
      <c r="AW274">
        <v>45</v>
      </c>
      <c r="AX274">
        <v>1</v>
      </c>
      <c r="AY274">
        <v>1876</v>
      </c>
      <c r="AZ274" t="s">
        <v>711</v>
      </c>
      <c r="BA274">
        <v>140</v>
      </c>
      <c r="BB274" s="2">
        <v>0.18</v>
      </c>
      <c r="BC274" t="s">
        <v>930</v>
      </c>
      <c r="BD274" t="s">
        <v>922</v>
      </c>
      <c r="BE274" t="s">
        <v>940</v>
      </c>
      <c r="BF274" s="7">
        <v>40</v>
      </c>
      <c r="BG2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4">
        <v>0</v>
      </c>
      <c r="BI274" t="s">
        <v>734</v>
      </c>
      <c r="BJ274" s="11"/>
      <c r="BK274" s="11"/>
      <c r="BL274" s="11">
        <v>117</v>
      </c>
      <c r="BM274">
        <v>0</v>
      </c>
      <c r="BN274" t="s">
        <v>692</v>
      </c>
      <c r="BO274" t="s">
        <v>694</v>
      </c>
      <c r="BP274" t="s">
        <v>701</v>
      </c>
      <c r="BQ274" t="s">
        <v>705</v>
      </c>
      <c r="BR274" t="s">
        <v>706</v>
      </c>
      <c r="BS274" t="s">
        <v>707</v>
      </c>
      <c r="CR274"/>
      <c r="CS274"/>
      <c r="CT274"/>
    </row>
    <row r="275" spans="1:98" x14ac:dyDescent="0.4">
      <c r="A275" s="2" t="s">
        <v>299</v>
      </c>
      <c r="B275" t="str">
        <f>_xlfn.TEXTAFTER(Table1[[#This Row],[VEHIDCODE]],"_")</f>
        <v>Argentina_SOFSE_CNR_CKD8</v>
      </c>
      <c r="C275" t="s">
        <v>740</v>
      </c>
      <c r="D275" t="b">
        <f>OR(ISNUMBER(SEARCH("wagon_",Table1[[#This Row],[FILENAMES_EXPECTED]])),ISNUMBER(SEARCH("coach_",Table1[[#This Row],[FILENAMES_EXPECTED]])))</f>
        <v>0</v>
      </c>
      <c r="E275" t="str">
        <f>"item_"&amp;Table1[[#This Row],[VEHIDCODE]]</f>
        <v>item_diesel_Argentina_SOFSE_CNR_CKD8</v>
      </c>
      <c r="F275" t="str">
        <f>"str_"&amp;Table1[[#This Row],[VEHIDCODE]]</f>
        <v>str_diesel_Argentina_SOFSE_CNR_CKD8</v>
      </c>
      <c r="O275" s="2" t="b">
        <v>1</v>
      </c>
      <c r="AJ275" s="2"/>
      <c r="AK275" s="2" t="b">
        <f>LEN(_xlfn.CONCAT(Table1[[#This Row],[TRACK_TYPE_STANDARD_GAUGE_RAILTYPE_OHLE]:[TRACK_TYPE_MTRO]]))&gt;0</f>
        <v>1</v>
      </c>
      <c r="AL275">
        <v>8</v>
      </c>
      <c r="AM275" t="s">
        <v>20</v>
      </c>
      <c r="AN275">
        <v>0</v>
      </c>
      <c r="AO275" t="s">
        <v>35</v>
      </c>
      <c r="AP275">
        <v>0</v>
      </c>
      <c r="AQ275">
        <v>2013</v>
      </c>
      <c r="AR275">
        <v>8</v>
      </c>
      <c r="AS275" s="2" t="s">
        <v>20</v>
      </c>
      <c r="AT275" t="b">
        <v>1</v>
      </c>
      <c r="AV275" s="2"/>
      <c r="AW275" t="s">
        <v>21</v>
      </c>
      <c r="AX275">
        <v>1</v>
      </c>
      <c r="AY275">
        <v>2950</v>
      </c>
      <c r="AZ275" t="s">
        <v>711</v>
      </c>
      <c r="BA275">
        <v>160</v>
      </c>
      <c r="BB275" s="2">
        <v>0.32</v>
      </c>
      <c r="BC275" t="s">
        <v>930</v>
      </c>
      <c r="BD275" t="s">
        <v>922</v>
      </c>
      <c r="BE275" t="s">
        <v>940</v>
      </c>
      <c r="BF275" s="7">
        <v>40</v>
      </c>
      <c r="BG2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5">
        <v>0</v>
      </c>
      <c r="BI275" t="s">
        <v>734</v>
      </c>
      <c r="BJ275" s="11"/>
      <c r="BK275" s="11"/>
      <c r="BL275" s="11">
        <v>120</v>
      </c>
      <c r="BM275">
        <v>0</v>
      </c>
      <c r="BN275" t="s">
        <v>692</v>
      </c>
      <c r="BO275" t="s">
        <v>694</v>
      </c>
      <c r="BP275" t="s">
        <v>701</v>
      </c>
      <c r="BQ275" t="s">
        <v>705</v>
      </c>
      <c r="BR275" t="s">
        <v>706</v>
      </c>
      <c r="BS275" t="s">
        <v>707</v>
      </c>
      <c r="CR275"/>
      <c r="CS275"/>
      <c r="CT275"/>
    </row>
    <row r="276" spans="1:98" x14ac:dyDescent="0.4">
      <c r="A276" s="2" t="s">
        <v>300</v>
      </c>
      <c r="B276" t="str">
        <f>_xlfn.TEXTAFTER(Table1[[#This Row],[VEHIDCODE]],"_")</f>
        <v>South_Africa_SAR_DS</v>
      </c>
      <c r="C276" t="s">
        <v>740</v>
      </c>
      <c r="D276" t="b">
        <f>OR(ISNUMBER(SEARCH("wagon_",Table1[[#This Row],[FILENAMES_EXPECTED]])),ISNUMBER(SEARCH("coach_",Table1[[#This Row],[FILENAMES_EXPECTED]])))</f>
        <v>0</v>
      </c>
      <c r="E276" t="str">
        <f>"item_"&amp;Table1[[#This Row],[VEHIDCODE]]</f>
        <v>item_diesel_South_Africa_SAR_DS</v>
      </c>
      <c r="F276" t="str">
        <f>"str_"&amp;Table1[[#This Row],[VEHIDCODE]]</f>
        <v>str_diesel_South_Africa_SAR_DS</v>
      </c>
      <c r="X276" s="2" t="b">
        <v>1</v>
      </c>
      <c r="AJ276" s="2"/>
      <c r="AK276" s="2" t="b">
        <f>LEN(_xlfn.CONCAT(Table1[[#This Row],[TRACK_TYPE_STANDARD_GAUGE_RAILTYPE_OHLE]:[TRACK_TYPE_MTRO]]))&gt;0</f>
        <v>1</v>
      </c>
      <c r="AL276">
        <v>5</v>
      </c>
      <c r="AM276" t="s">
        <v>20</v>
      </c>
      <c r="AN276">
        <v>0</v>
      </c>
      <c r="AO276" t="s">
        <v>35</v>
      </c>
      <c r="AP276">
        <v>0</v>
      </c>
      <c r="AQ276">
        <v>1939</v>
      </c>
      <c r="AR276">
        <v>5</v>
      </c>
      <c r="AS276" s="2" t="s">
        <v>20</v>
      </c>
      <c r="AT276" t="b">
        <v>1</v>
      </c>
      <c r="AV276" s="2"/>
      <c r="AW276">
        <v>45</v>
      </c>
      <c r="AX276">
        <v>1</v>
      </c>
      <c r="AY276">
        <v>410</v>
      </c>
      <c r="AZ276" t="s">
        <v>711</v>
      </c>
      <c r="BA276">
        <v>60</v>
      </c>
      <c r="BB276" s="2">
        <v>0.23</v>
      </c>
      <c r="BC276" t="s">
        <v>926</v>
      </c>
      <c r="BD276" t="s">
        <v>922</v>
      </c>
      <c r="BE276" t="s">
        <v>940</v>
      </c>
      <c r="BF276" s="7">
        <v>40</v>
      </c>
      <c r="BG2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6">
        <v>0</v>
      </c>
      <c r="BI276" t="s">
        <v>734</v>
      </c>
      <c r="BJ276" s="11"/>
      <c r="BK276" s="11"/>
      <c r="BL276" s="11">
        <v>68</v>
      </c>
      <c r="BM276">
        <v>0</v>
      </c>
      <c r="BN276" t="s">
        <v>692</v>
      </c>
      <c r="BO276" t="s">
        <v>694</v>
      </c>
      <c r="BP276" t="s">
        <v>701</v>
      </c>
      <c r="BQ276" t="s">
        <v>705</v>
      </c>
      <c r="BR276" t="s">
        <v>706</v>
      </c>
      <c r="BS276" t="s">
        <v>707</v>
      </c>
      <c r="CR276"/>
      <c r="CS276"/>
      <c r="CT276"/>
    </row>
    <row r="277" spans="1:98" x14ac:dyDescent="0.4">
      <c r="A277" s="2" t="s">
        <v>301</v>
      </c>
      <c r="B277" t="str">
        <f>_xlfn.TEXTAFTER(Table1[[#This Row],[VEHIDCODE]],"_")</f>
        <v>Algeria_SNTF_040_DG</v>
      </c>
      <c r="C277" t="s">
        <v>740</v>
      </c>
      <c r="D277" t="b">
        <f>OR(ISNUMBER(SEARCH("wagon_",Table1[[#This Row],[FILENAMES_EXPECTED]])),ISNUMBER(SEARCH("coach_",Table1[[#This Row],[FILENAMES_EXPECTED]])))</f>
        <v>0</v>
      </c>
      <c r="E277" t="str">
        <f>"item_"&amp;Table1[[#This Row],[VEHIDCODE]]</f>
        <v>item_diesel_Algeria_SNTF_040_DG</v>
      </c>
      <c r="F277" t="str">
        <f>"str_"&amp;Table1[[#This Row],[VEHIDCODE]]</f>
        <v>str_diesel_Algeria_SNTF_040_DG</v>
      </c>
      <c r="O277" s="2" t="b">
        <v>1</v>
      </c>
      <c r="AJ277" s="2"/>
      <c r="AK277" s="2" t="b">
        <f>LEN(_xlfn.CONCAT(Table1[[#This Row],[TRACK_TYPE_STANDARD_GAUGE_RAILTYPE_OHLE]:[TRACK_TYPE_MTRO]]))&gt;0</f>
        <v>1</v>
      </c>
      <c r="AL277">
        <v>6</v>
      </c>
      <c r="AM277" t="s">
        <v>20</v>
      </c>
      <c r="AN277">
        <v>0</v>
      </c>
      <c r="AO277" t="s">
        <v>35</v>
      </c>
      <c r="AP277">
        <v>0</v>
      </c>
      <c r="AQ277">
        <v>1950</v>
      </c>
      <c r="AR277">
        <v>6</v>
      </c>
      <c r="AS277" s="2" t="s">
        <v>20</v>
      </c>
      <c r="AT277" t="b">
        <v>1</v>
      </c>
      <c r="AV277" s="2"/>
      <c r="AW277">
        <v>45</v>
      </c>
      <c r="AX277">
        <v>1</v>
      </c>
      <c r="AY277">
        <v>1600</v>
      </c>
      <c r="AZ277" t="s">
        <v>711</v>
      </c>
      <c r="BA277">
        <v>105</v>
      </c>
      <c r="BB277" s="2">
        <v>0.16</v>
      </c>
      <c r="BC277" t="s">
        <v>926</v>
      </c>
      <c r="BD277" t="s">
        <v>922</v>
      </c>
      <c r="BE277" t="s">
        <v>940</v>
      </c>
      <c r="BF277" s="7">
        <v>40</v>
      </c>
      <c r="BG2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7">
        <v>0</v>
      </c>
      <c r="BI277" t="s">
        <v>734</v>
      </c>
      <c r="BJ277" s="11"/>
      <c r="BK277" s="11"/>
      <c r="BL277" s="11">
        <v>115</v>
      </c>
      <c r="BM277">
        <v>0</v>
      </c>
      <c r="BN277" t="s">
        <v>692</v>
      </c>
      <c r="BO277" t="s">
        <v>694</v>
      </c>
      <c r="BP277" t="s">
        <v>701</v>
      </c>
      <c r="BQ277" t="s">
        <v>705</v>
      </c>
      <c r="BR277" t="s">
        <v>706</v>
      </c>
      <c r="BS277" t="s">
        <v>707</v>
      </c>
      <c r="CR277"/>
      <c r="CS277"/>
      <c r="CT277"/>
    </row>
    <row r="278" spans="1:98" x14ac:dyDescent="0.4">
      <c r="A278" s="2" t="s">
        <v>302</v>
      </c>
      <c r="B278" t="str">
        <f>_xlfn.TEXTAFTER(Table1[[#This Row],[VEHIDCODE]],"_")</f>
        <v>Tunisia_SNCFT_040_DF</v>
      </c>
      <c r="C278" t="s">
        <v>740</v>
      </c>
      <c r="D278" t="b">
        <f>OR(ISNUMBER(SEARCH("wagon_",Table1[[#This Row],[FILENAMES_EXPECTED]])),ISNUMBER(SEARCH("coach_",Table1[[#This Row],[FILENAMES_EXPECTED]])))</f>
        <v>0</v>
      </c>
      <c r="E278" t="str">
        <f>"item_"&amp;Table1[[#This Row],[VEHIDCODE]]</f>
        <v>item_diesel_Tunisia_SNCFT_040_DF</v>
      </c>
      <c r="F278" t="str">
        <f>"str_"&amp;Table1[[#This Row],[VEHIDCODE]]</f>
        <v>str_diesel_Tunisia_SNCFT_040_DF</v>
      </c>
      <c r="O278" s="2" t="b">
        <v>1</v>
      </c>
      <c r="AJ278" s="2"/>
      <c r="AK278" s="2" t="b">
        <f>LEN(_xlfn.CONCAT(Table1[[#This Row],[TRACK_TYPE_STANDARD_GAUGE_RAILTYPE_OHLE]:[TRACK_TYPE_MTRO]]))&gt;0</f>
        <v>1</v>
      </c>
      <c r="AL278">
        <v>5</v>
      </c>
      <c r="AM278" t="s">
        <v>20</v>
      </c>
      <c r="AN278">
        <v>0</v>
      </c>
      <c r="AO278" t="s">
        <v>35</v>
      </c>
      <c r="AP278">
        <v>0</v>
      </c>
      <c r="AQ278">
        <v>1960</v>
      </c>
      <c r="AR278">
        <v>5</v>
      </c>
      <c r="AS278" s="2" t="s">
        <v>20</v>
      </c>
      <c r="AT278" t="b">
        <v>1</v>
      </c>
      <c r="AV278" s="2"/>
      <c r="AW278">
        <v>45</v>
      </c>
      <c r="AX278">
        <v>1</v>
      </c>
      <c r="AY278">
        <v>875</v>
      </c>
      <c r="AZ278" t="s">
        <v>711</v>
      </c>
      <c r="BA278">
        <v>100</v>
      </c>
      <c r="BB278" s="2">
        <v>0.25</v>
      </c>
      <c r="BC278" t="s">
        <v>926</v>
      </c>
      <c r="BD278" t="s">
        <v>922</v>
      </c>
      <c r="BE278" t="s">
        <v>940</v>
      </c>
      <c r="BF278" s="7">
        <v>40</v>
      </c>
      <c r="BG2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8">
        <v>0</v>
      </c>
      <c r="BI278" t="s">
        <v>734</v>
      </c>
      <c r="BJ278" s="11"/>
      <c r="BK278" s="11"/>
      <c r="BL278" s="11">
        <v>62</v>
      </c>
      <c r="BM278">
        <v>0</v>
      </c>
      <c r="BN278" t="s">
        <v>692</v>
      </c>
      <c r="BO278" t="s">
        <v>694</v>
      </c>
      <c r="BP278" t="s">
        <v>701</v>
      </c>
      <c r="BQ278" t="s">
        <v>705</v>
      </c>
      <c r="BR278" t="s">
        <v>706</v>
      </c>
      <c r="BS278" t="s">
        <v>707</v>
      </c>
      <c r="CR278"/>
      <c r="CS278"/>
      <c r="CT278"/>
    </row>
    <row r="279" spans="1:98" x14ac:dyDescent="0.4">
      <c r="A279" s="2" t="s">
        <v>303</v>
      </c>
      <c r="B279" t="str">
        <f>_xlfn.TEXTAFTER(Table1[[#This Row],[VEHIDCODE]],"_")</f>
        <v>Egypt_ENR_TE114E</v>
      </c>
      <c r="C279" t="s">
        <v>740</v>
      </c>
      <c r="D279" t="b">
        <f>OR(ISNUMBER(SEARCH("wagon_",Table1[[#This Row],[FILENAMES_EXPECTED]])),ISNUMBER(SEARCH("coach_",Table1[[#This Row],[FILENAMES_EXPECTED]])))</f>
        <v>0</v>
      </c>
      <c r="E279" t="str">
        <f>"item_"&amp;Table1[[#This Row],[VEHIDCODE]]</f>
        <v>item_diesel_Egypt_ENR_TE114E</v>
      </c>
      <c r="F279" t="str">
        <f>"str_"&amp;Table1[[#This Row],[VEHIDCODE]]</f>
        <v>str_diesel_Egypt_ENR_TE114E</v>
      </c>
      <c r="O279" s="2" t="b">
        <v>1</v>
      </c>
      <c r="AJ279" s="2"/>
      <c r="AK279" s="2" t="b">
        <f>LEN(_xlfn.CONCAT(Table1[[#This Row],[TRACK_TYPE_STANDARD_GAUGE_RAILTYPE_OHLE]:[TRACK_TYPE_MTRO]]))&gt;0</f>
        <v>1</v>
      </c>
      <c r="AL279">
        <v>7</v>
      </c>
      <c r="AM279" t="s">
        <v>20</v>
      </c>
      <c r="AN279">
        <v>0</v>
      </c>
      <c r="AO279" t="s">
        <v>35</v>
      </c>
      <c r="AP279">
        <v>0</v>
      </c>
      <c r="AQ279">
        <v>1974</v>
      </c>
      <c r="AR279">
        <v>7</v>
      </c>
      <c r="AS279" s="2" t="s">
        <v>20</v>
      </c>
      <c r="AT279" t="b">
        <v>1</v>
      </c>
      <c r="AV279" s="2"/>
      <c r="AW279">
        <v>45</v>
      </c>
      <c r="AX279">
        <v>1</v>
      </c>
      <c r="AY279">
        <v>2600</v>
      </c>
      <c r="AZ279" t="s">
        <v>711</v>
      </c>
      <c r="BA279">
        <v>120</v>
      </c>
      <c r="BB279" s="2">
        <v>0.17</v>
      </c>
      <c r="BC279" t="s">
        <v>926</v>
      </c>
      <c r="BD279" t="s">
        <v>922</v>
      </c>
      <c r="BE279" t="s">
        <v>940</v>
      </c>
      <c r="BF279" s="7">
        <v>40</v>
      </c>
      <c r="BG2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79">
        <v>0</v>
      </c>
      <c r="BI279" t="s">
        <v>734</v>
      </c>
      <c r="BJ279" s="11"/>
      <c r="BK279" s="11"/>
      <c r="BL279" s="11">
        <v>120</v>
      </c>
      <c r="BM279">
        <v>0</v>
      </c>
      <c r="BN279" t="s">
        <v>692</v>
      </c>
      <c r="BO279" t="s">
        <v>694</v>
      </c>
      <c r="BP279" t="s">
        <v>701</v>
      </c>
      <c r="BQ279" t="s">
        <v>705</v>
      </c>
      <c r="BR279" t="s">
        <v>706</v>
      </c>
      <c r="BS279" t="s">
        <v>707</v>
      </c>
      <c r="CR279"/>
      <c r="CS279"/>
      <c r="CT279"/>
    </row>
    <row r="280" spans="1:98" x14ac:dyDescent="0.4">
      <c r="A280" s="2" t="s">
        <v>304</v>
      </c>
      <c r="B280" t="str">
        <f>_xlfn.TEXTAFTER(Table1[[#This Row],[VEHIDCODE]],"_")</f>
        <v>Tunisia_SNCFT_040_DJ</v>
      </c>
      <c r="C280" t="s">
        <v>740</v>
      </c>
      <c r="D280" t="b">
        <f>OR(ISNUMBER(SEARCH("wagon_",Table1[[#This Row],[FILENAMES_EXPECTED]])),ISNUMBER(SEARCH("coach_",Table1[[#This Row],[FILENAMES_EXPECTED]])))</f>
        <v>0</v>
      </c>
      <c r="E280" t="str">
        <f>"item_"&amp;Table1[[#This Row],[VEHIDCODE]]</f>
        <v>item_diesel_Tunisia_SNCFT_040_DJ</v>
      </c>
      <c r="F280" t="str">
        <f>"str_"&amp;Table1[[#This Row],[VEHIDCODE]]</f>
        <v>str_diesel_Tunisia_SNCFT_040_DJ</v>
      </c>
      <c r="O280" s="2" t="b">
        <v>1</v>
      </c>
      <c r="AJ280" s="2"/>
      <c r="AK280" s="2" t="b">
        <f>LEN(_xlfn.CONCAT(Table1[[#This Row],[TRACK_TYPE_STANDARD_GAUGE_RAILTYPE_OHLE]:[TRACK_TYPE_MTRO]]))&gt;0</f>
        <v>1</v>
      </c>
      <c r="AL280">
        <v>5</v>
      </c>
      <c r="AM280" t="s">
        <v>20</v>
      </c>
      <c r="AN280">
        <v>0</v>
      </c>
      <c r="AO280" t="s">
        <v>35</v>
      </c>
      <c r="AP280">
        <v>0</v>
      </c>
      <c r="AQ280">
        <v>1977</v>
      </c>
      <c r="AR280">
        <v>5</v>
      </c>
      <c r="AS280" s="2" t="s">
        <v>20</v>
      </c>
      <c r="AT280" t="b">
        <v>1</v>
      </c>
      <c r="AV280" s="2"/>
      <c r="AW280">
        <v>45</v>
      </c>
      <c r="AX280">
        <v>1</v>
      </c>
      <c r="AY280">
        <v>700</v>
      </c>
      <c r="AZ280" t="s">
        <v>711</v>
      </c>
      <c r="BA280">
        <v>100</v>
      </c>
      <c r="BB280" s="2">
        <v>0.28000000000000003</v>
      </c>
      <c r="BC280" t="s">
        <v>926</v>
      </c>
      <c r="BD280" t="s">
        <v>922</v>
      </c>
      <c r="BE280" t="s">
        <v>940</v>
      </c>
      <c r="BF280" s="7">
        <v>40</v>
      </c>
      <c r="BG2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0">
        <v>0</v>
      </c>
      <c r="BI280" t="s">
        <v>734</v>
      </c>
      <c r="BJ280" s="11"/>
      <c r="BK280" s="11"/>
      <c r="BL280" s="11">
        <v>53</v>
      </c>
      <c r="BM280">
        <v>0</v>
      </c>
      <c r="BN280" t="s">
        <v>692</v>
      </c>
      <c r="BO280" t="s">
        <v>694</v>
      </c>
      <c r="BP280" t="s">
        <v>701</v>
      </c>
      <c r="BQ280" t="s">
        <v>705</v>
      </c>
      <c r="BR280" t="s">
        <v>706</v>
      </c>
      <c r="BS280" t="s">
        <v>707</v>
      </c>
      <c r="CR280"/>
      <c r="CS280"/>
      <c r="CT280"/>
    </row>
    <row r="281" spans="1:98" x14ac:dyDescent="0.4">
      <c r="A281" s="2" t="s">
        <v>305</v>
      </c>
      <c r="B281" t="str">
        <f>_xlfn.TEXTAFTER(Table1[[#This Row],[VEHIDCODE]],"_")</f>
        <v>Morocco_ONCF_DF_100</v>
      </c>
      <c r="C281" t="s">
        <v>740</v>
      </c>
      <c r="D281" t="b">
        <f>OR(ISNUMBER(SEARCH("wagon_",Table1[[#This Row],[FILENAMES_EXPECTED]])),ISNUMBER(SEARCH("coach_",Table1[[#This Row],[FILENAMES_EXPECTED]])))</f>
        <v>0</v>
      </c>
      <c r="E281" t="str">
        <f>"item_"&amp;Table1[[#This Row],[VEHIDCODE]]</f>
        <v>item_diesel_Morocco_ONCF_DF_100</v>
      </c>
      <c r="F281" t="str">
        <f>"str_"&amp;Table1[[#This Row],[VEHIDCODE]]</f>
        <v>str_diesel_Morocco_ONCF_DF_100</v>
      </c>
      <c r="O281" s="2" t="b">
        <v>1</v>
      </c>
      <c r="AJ281" s="2"/>
      <c r="AK281" s="2" t="b">
        <f>LEN(_xlfn.CONCAT(Table1[[#This Row],[TRACK_TYPE_STANDARD_GAUGE_RAILTYPE_OHLE]:[TRACK_TYPE_MTRO]]))&gt;0</f>
        <v>1</v>
      </c>
      <c r="AL281">
        <v>8</v>
      </c>
      <c r="AM281" t="s">
        <v>20</v>
      </c>
      <c r="AN281">
        <v>0</v>
      </c>
      <c r="AO281" t="s">
        <v>35</v>
      </c>
      <c r="AP281">
        <v>0</v>
      </c>
      <c r="AQ281">
        <v>1989</v>
      </c>
      <c r="AR281">
        <v>8</v>
      </c>
      <c r="AS281" s="2" t="s">
        <v>20</v>
      </c>
      <c r="AT281" t="b">
        <v>1</v>
      </c>
      <c r="AV281" s="2"/>
      <c r="AW281">
        <v>45</v>
      </c>
      <c r="AX281">
        <v>1</v>
      </c>
      <c r="AY281">
        <v>3400</v>
      </c>
      <c r="AZ281" t="s">
        <v>711</v>
      </c>
      <c r="BA281">
        <v>135</v>
      </c>
      <c r="BB281" s="2">
        <v>0.33</v>
      </c>
      <c r="BC281" t="s">
        <v>926</v>
      </c>
      <c r="BD281" t="s">
        <v>922</v>
      </c>
      <c r="BE281" t="s">
        <v>940</v>
      </c>
      <c r="BF281" s="7">
        <v>40</v>
      </c>
      <c r="BG2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1">
        <v>0</v>
      </c>
      <c r="BI281" t="s">
        <v>734</v>
      </c>
      <c r="BJ281" s="11"/>
      <c r="BK281" s="11"/>
      <c r="BL281" s="11">
        <v>108</v>
      </c>
      <c r="BM281">
        <v>0</v>
      </c>
      <c r="BN281" t="s">
        <v>692</v>
      </c>
      <c r="BO281" t="s">
        <v>694</v>
      </c>
      <c r="BP281" t="s">
        <v>701</v>
      </c>
      <c r="BQ281" t="s">
        <v>705</v>
      </c>
      <c r="BR281" t="s">
        <v>706</v>
      </c>
      <c r="BS281" t="s">
        <v>707</v>
      </c>
      <c r="CR281"/>
      <c r="CS281"/>
      <c r="CT281"/>
    </row>
    <row r="282" spans="1:98" x14ac:dyDescent="0.4">
      <c r="A282" s="2" t="s">
        <v>306</v>
      </c>
      <c r="B282" t="str">
        <f>_xlfn.TEXTAFTER(Table1[[#This Row],[VEHIDCODE]],"_")</f>
        <v>Ukraine_UZ_TEP10L</v>
      </c>
      <c r="C282" t="s">
        <v>740</v>
      </c>
      <c r="D282" t="b">
        <f>OR(ISNUMBER(SEARCH("wagon_",Table1[[#This Row],[FILENAMES_EXPECTED]])),ISNUMBER(SEARCH("coach_",Table1[[#This Row],[FILENAMES_EXPECTED]])))</f>
        <v>0</v>
      </c>
      <c r="E282" t="str">
        <f>"item_"&amp;Table1[[#This Row],[VEHIDCODE]]</f>
        <v>item_diesel_Ukraine_UZ_TEP10L</v>
      </c>
      <c r="F282" t="str">
        <f>"str_"&amp;Table1[[#This Row],[VEHIDCODE]]</f>
        <v>str_diesel_Ukraine_UZ_TEP10L</v>
      </c>
      <c r="AG282" s="2" t="b">
        <v>1</v>
      </c>
      <c r="AJ282" s="2"/>
      <c r="AK282" s="2" t="b">
        <f>LEN(_xlfn.CONCAT(Table1[[#This Row],[TRACK_TYPE_STANDARD_GAUGE_RAILTYPE_OHLE]:[TRACK_TYPE_MTRO]]))&gt;0</f>
        <v>1</v>
      </c>
      <c r="AL282">
        <v>8</v>
      </c>
      <c r="AM282" t="s">
        <v>20</v>
      </c>
      <c r="AN282">
        <v>0</v>
      </c>
      <c r="AO282" t="s">
        <v>35</v>
      </c>
      <c r="AP282">
        <v>0</v>
      </c>
      <c r="AQ282">
        <v>1964</v>
      </c>
      <c r="AR282">
        <v>8</v>
      </c>
      <c r="AS282" s="2" t="s">
        <v>20</v>
      </c>
      <c r="AT282" t="b">
        <v>1</v>
      </c>
      <c r="AV282" s="2"/>
      <c r="AW282">
        <v>45</v>
      </c>
      <c r="AX282">
        <v>1</v>
      </c>
      <c r="AY282">
        <v>2290</v>
      </c>
      <c r="AZ282" t="s">
        <v>711</v>
      </c>
      <c r="BA282">
        <v>140</v>
      </c>
      <c r="BB282" s="2">
        <v>0.13</v>
      </c>
      <c r="BC282" t="s">
        <v>929</v>
      </c>
      <c r="BD282" t="s">
        <v>922</v>
      </c>
      <c r="BE282" t="s">
        <v>940</v>
      </c>
      <c r="BF282" s="7">
        <v>40</v>
      </c>
      <c r="BG2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2">
        <v>0</v>
      </c>
      <c r="BI282" t="s">
        <v>734</v>
      </c>
      <c r="BJ282" s="11"/>
      <c r="BK282" s="11"/>
      <c r="BL282" s="11">
        <v>129</v>
      </c>
      <c r="BM282">
        <v>0</v>
      </c>
      <c r="BN282" t="s">
        <v>692</v>
      </c>
      <c r="BO282" t="s">
        <v>694</v>
      </c>
      <c r="BP282" t="s">
        <v>701</v>
      </c>
      <c r="BQ282" t="s">
        <v>705</v>
      </c>
      <c r="BR282" t="s">
        <v>706</v>
      </c>
      <c r="BS282" t="s">
        <v>707</v>
      </c>
      <c r="CR282"/>
      <c r="CS282"/>
      <c r="CT282"/>
    </row>
    <row r="283" spans="1:98" x14ac:dyDescent="0.4">
      <c r="A283" s="2" t="s">
        <v>307</v>
      </c>
      <c r="B283" t="str">
        <f>_xlfn.TEXTAFTER(Table1[[#This Row],[VEHIDCODE]],"_")</f>
        <v>Belarus_BCh_2TE10M</v>
      </c>
      <c r="C283" t="s">
        <v>740</v>
      </c>
      <c r="D283" t="b">
        <f>OR(ISNUMBER(SEARCH("wagon_",Table1[[#This Row],[FILENAMES_EXPECTED]])),ISNUMBER(SEARCH("coach_",Table1[[#This Row],[FILENAMES_EXPECTED]])))</f>
        <v>0</v>
      </c>
      <c r="E283" t="str">
        <f>"item_"&amp;Table1[[#This Row],[VEHIDCODE]]</f>
        <v>item_diesel_Belarus_BCh_2TE10M</v>
      </c>
      <c r="F283" t="str">
        <f>"str_"&amp;Table1[[#This Row],[VEHIDCODE]]</f>
        <v>str_diesel_Belarus_BCh_2TE10M</v>
      </c>
      <c r="O283" s="2" t="b">
        <v>1</v>
      </c>
      <c r="AJ283" s="2"/>
      <c r="AK283" s="2" t="b">
        <f>LEN(_xlfn.CONCAT(Table1[[#This Row],[TRACK_TYPE_STANDARD_GAUGE_RAILTYPE_OHLE]:[TRACK_TYPE_MTRO]]))&gt;0</f>
        <v>1</v>
      </c>
      <c r="AL283">
        <v>16</v>
      </c>
      <c r="AM283" t="s">
        <v>20</v>
      </c>
      <c r="AN283">
        <v>0</v>
      </c>
      <c r="AO283" t="s">
        <v>35</v>
      </c>
      <c r="AP283">
        <v>0</v>
      </c>
      <c r="AQ283">
        <v>1981</v>
      </c>
      <c r="AR283">
        <v>8</v>
      </c>
      <c r="AS283" s="2" t="s">
        <v>20</v>
      </c>
      <c r="AT283" t="b">
        <v>1</v>
      </c>
      <c r="AV283" s="2"/>
      <c r="AW283">
        <v>45</v>
      </c>
      <c r="AX283">
        <v>0</v>
      </c>
      <c r="AY283">
        <v>6160</v>
      </c>
      <c r="AZ283" t="s">
        <v>711</v>
      </c>
      <c r="BA283">
        <v>100</v>
      </c>
      <c r="BB283" s="2">
        <v>0.18</v>
      </c>
      <c r="BC283" t="s">
        <v>929</v>
      </c>
      <c r="BD283" t="s">
        <v>922</v>
      </c>
      <c r="BE283" t="s">
        <v>940</v>
      </c>
      <c r="BF283" s="7">
        <v>40</v>
      </c>
      <c r="BG2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3">
        <v>0</v>
      </c>
      <c r="BI283" t="s">
        <v>734</v>
      </c>
      <c r="BJ283" s="11"/>
      <c r="BK283" s="11"/>
      <c r="BL283" s="11">
        <v>276</v>
      </c>
      <c r="BM283">
        <v>0</v>
      </c>
      <c r="BN283" t="s">
        <v>692</v>
      </c>
      <c r="BO283" t="s">
        <v>694</v>
      </c>
      <c r="BP283" t="s">
        <v>701</v>
      </c>
      <c r="BQ283" t="s">
        <v>705</v>
      </c>
      <c r="BR283" t="s">
        <v>706</v>
      </c>
      <c r="BS283" t="s">
        <v>707</v>
      </c>
      <c r="CR283"/>
      <c r="CS283"/>
      <c r="CT283"/>
    </row>
    <row r="284" spans="1:98" x14ac:dyDescent="0.4">
      <c r="A284" s="2" t="s">
        <v>308</v>
      </c>
      <c r="B284" t="str">
        <f>_xlfn.TEXTAFTER(Table1[[#This Row],[VEHIDCODE]],"_")</f>
        <v>Poland_PKP_SP32</v>
      </c>
      <c r="C284" t="s">
        <v>740</v>
      </c>
      <c r="D284" t="b">
        <f>OR(ISNUMBER(SEARCH("wagon_",Table1[[#This Row],[FILENAMES_EXPECTED]])),ISNUMBER(SEARCH("coach_",Table1[[#This Row],[FILENAMES_EXPECTED]])))</f>
        <v>0</v>
      </c>
      <c r="E284" t="str">
        <f>"item_"&amp;Table1[[#This Row],[VEHIDCODE]]</f>
        <v>item_diesel_Poland_PKP_SP32</v>
      </c>
      <c r="F284" t="str">
        <f>"str_"&amp;Table1[[#This Row],[VEHIDCODE]]</f>
        <v>str_diesel_Poland_PKP_SP32</v>
      </c>
      <c r="O284" s="2" t="b">
        <v>1</v>
      </c>
      <c r="AJ284" s="2"/>
      <c r="AK284" s="2" t="b">
        <f>LEN(_xlfn.CONCAT(Table1[[#This Row],[TRACK_TYPE_STANDARD_GAUGE_RAILTYPE_OHLE]:[TRACK_TYPE_MTRO]]))&gt;0</f>
        <v>1</v>
      </c>
      <c r="AL284">
        <v>6</v>
      </c>
      <c r="AM284" t="s">
        <v>20</v>
      </c>
      <c r="AN284">
        <v>0</v>
      </c>
      <c r="AO284" t="s">
        <v>35</v>
      </c>
      <c r="AP284">
        <v>0</v>
      </c>
      <c r="AQ284">
        <v>1985</v>
      </c>
      <c r="AR284">
        <v>6</v>
      </c>
      <c r="AS284" s="2" t="s">
        <v>20</v>
      </c>
      <c r="AT284" t="b">
        <v>1</v>
      </c>
      <c r="AV284" s="2"/>
      <c r="AW284">
        <v>45</v>
      </c>
      <c r="AX284">
        <v>1</v>
      </c>
      <c r="AY284">
        <v>1340</v>
      </c>
      <c r="AZ284" t="s">
        <v>711</v>
      </c>
      <c r="BA284">
        <v>100</v>
      </c>
      <c r="BB284" s="2">
        <v>0.25</v>
      </c>
      <c r="BC284" t="s">
        <v>929</v>
      </c>
      <c r="BD284" t="s">
        <v>922</v>
      </c>
      <c r="BE284" t="s">
        <v>940</v>
      </c>
      <c r="BF284" s="7">
        <v>40</v>
      </c>
      <c r="BG2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4">
        <v>0</v>
      </c>
      <c r="BI284" t="s">
        <v>734</v>
      </c>
      <c r="BJ284" s="11"/>
      <c r="BK284" s="11"/>
      <c r="BL284" s="11">
        <v>74</v>
      </c>
      <c r="BM284">
        <v>0</v>
      </c>
      <c r="BN284" t="s">
        <v>692</v>
      </c>
      <c r="BO284" t="s">
        <v>694</v>
      </c>
      <c r="BP284" t="s">
        <v>701</v>
      </c>
      <c r="BQ284" t="s">
        <v>705</v>
      </c>
      <c r="BR284" t="s">
        <v>706</v>
      </c>
      <c r="BS284" t="s">
        <v>707</v>
      </c>
      <c r="CR284"/>
      <c r="CS284"/>
      <c r="CT284"/>
    </row>
    <row r="285" spans="1:98" x14ac:dyDescent="0.4">
      <c r="A285" s="2" t="s">
        <v>309</v>
      </c>
      <c r="B285" t="str">
        <f>_xlfn.TEXTAFTER(Table1[[#This Row],[VEHIDCODE]],"_")</f>
        <v>Ukraine_UZ_2TE126</v>
      </c>
      <c r="C285" t="s">
        <v>740</v>
      </c>
      <c r="D285" t="b">
        <f>OR(ISNUMBER(SEARCH("wagon_",Table1[[#This Row],[FILENAMES_EXPECTED]])),ISNUMBER(SEARCH("coach_",Table1[[#This Row],[FILENAMES_EXPECTED]])))</f>
        <v>0</v>
      </c>
      <c r="E285" t="str">
        <f>"item_"&amp;Table1[[#This Row],[VEHIDCODE]]</f>
        <v>item_diesel_Ukraine_UZ_2TE126</v>
      </c>
      <c r="F285" t="str">
        <f>"str_"&amp;Table1[[#This Row],[VEHIDCODE]]</f>
        <v>str_diesel_Ukraine_UZ_2TE126</v>
      </c>
      <c r="AG285" s="2" t="b">
        <v>1</v>
      </c>
      <c r="AJ285" s="2"/>
      <c r="AK285" s="2" t="b">
        <f>LEN(_xlfn.CONCAT(Table1[[#This Row],[TRACK_TYPE_STANDARD_GAUGE_RAILTYPE_OHLE]:[TRACK_TYPE_MTRO]]))&gt;0</f>
        <v>1</v>
      </c>
      <c r="AL285">
        <v>8</v>
      </c>
      <c r="AM285" t="s">
        <v>20</v>
      </c>
      <c r="AN285">
        <v>0</v>
      </c>
      <c r="AO285" t="s">
        <v>35</v>
      </c>
      <c r="AP285">
        <v>0</v>
      </c>
      <c r="AQ285">
        <v>1987</v>
      </c>
      <c r="AR285">
        <v>8</v>
      </c>
      <c r="AS285" s="2" t="s">
        <v>20</v>
      </c>
      <c r="AT285" t="b">
        <v>1</v>
      </c>
      <c r="AV285" s="2"/>
      <c r="AW285">
        <v>45</v>
      </c>
      <c r="AX285">
        <v>0</v>
      </c>
      <c r="AY285">
        <v>12000</v>
      </c>
      <c r="AZ285" t="s">
        <v>711</v>
      </c>
      <c r="BA285">
        <v>100</v>
      </c>
      <c r="BB285" s="2">
        <v>0.2</v>
      </c>
      <c r="BC285" t="s">
        <v>929</v>
      </c>
      <c r="BD285" t="s">
        <v>922</v>
      </c>
      <c r="BE285" t="s">
        <v>940</v>
      </c>
      <c r="BF285" s="7">
        <v>40</v>
      </c>
      <c r="BG2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5">
        <v>0</v>
      </c>
      <c r="BI285" t="s">
        <v>734</v>
      </c>
      <c r="BJ285" s="11"/>
      <c r="BK285" s="11"/>
      <c r="BL285" s="11">
        <v>460</v>
      </c>
      <c r="BM285">
        <v>0</v>
      </c>
      <c r="BN285" t="s">
        <v>692</v>
      </c>
      <c r="BO285" t="s">
        <v>694</v>
      </c>
      <c r="BP285" t="s">
        <v>701</v>
      </c>
      <c r="BQ285" t="s">
        <v>705</v>
      </c>
      <c r="BR285" t="s">
        <v>706</v>
      </c>
      <c r="BS285" t="s">
        <v>707</v>
      </c>
      <c r="CR285"/>
      <c r="CS285"/>
      <c r="CT285"/>
    </row>
    <row r="286" spans="1:98" x14ac:dyDescent="0.4">
      <c r="A286" s="2" t="s">
        <v>310</v>
      </c>
      <c r="B286" t="str">
        <f>_xlfn.TEXTAFTER(Table1[[#This Row],[VEHIDCODE]],"_")</f>
        <v>Ukraine_UZ_2TE10Ut</v>
      </c>
      <c r="C286" t="s">
        <v>740</v>
      </c>
      <c r="D286" t="b">
        <f>OR(ISNUMBER(SEARCH("wagon_",Table1[[#This Row],[FILENAMES_EXPECTED]])),ISNUMBER(SEARCH("coach_",Table1[[#This Row],[FILENAMES_EXPECTED]])))</f>
        <v>0</v>
      </c>
      <c r="E286" t="str">
        <f>"item_"&amp;Table1[[#This Row],[VEHIDCODE]]</f>
        <v>item_diesel_Ukraine_UZ_2TE10Ut</v>
      </c>
      <c r="F286" t="str">
        <f>"str_"&amp;Table1[[#This Row],[VEHIDCODE]]</f>
        <v>str_diesel_Ukraine_UZ_2TE10Ut</v>
      </c>
      <c r="AG286" s="2" t="b">
        <v>1</v>
      </c>
      <c r="AJ286" s="2"/>
      <c r="AK286" s="2" t="b">
        <f>LEN(_xlfn.CONCAT(Table1[[#This Row],[TRACK_TYPE_STANDARD_GAUGE_RAILTYPE_OHLE]:[TRACK_TYPE_MTRO]]))&gt;0</f>
        <v>1</v>
      </c>
      <c r="AL286">
        <v>16</v>
      </c>
      <c r="AM286" t="s">
        <v>20</v>
      </c>
      <c r="AN286">
        <v>0</v>
      </c>
      <c r="AO286" t="s">
        <v>35</v>
      </c>
      <c r="AP286">
        <v>0</v>
      </c>
      <c r="AQ286">
        <v>1989</v>
      </c>
      <c r="AR286">
        <v>8</v>
      </c>
      <c r="AS286" s="2" t="s">
        <v>20</v>
      </c>
      <c r="AT286" t="b">
        <v>1</v>
      </c>
      <c r="AV286" s="2"/>
      <c r="AW286">
        <v>45</v>
      </c>
      <c r="AX286">
        <v>0</v>
      </c>
      <c r="AY286">
        <v>4560</v>
      </c>
      <c r="AZ286" t="s">
        <v>711</v>
      </c>
      <c r="BA286">
        <v>120</v>
      </c>
      <c r="BB286" s="2">
        <v>0.15</v>
      </c>
      <c r="BC286" t="s">
        <v>929</v>
      </c>
      <c r="BD286" t="s">
        <v>922</v>
      </c>
      <c r="BE286" t="s">
        <v>940</v>
      </c>
      <c r="BF286" s="7">
        <v>40</v>
      </c>
      <c r="BG2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6">
        <v>0</v>
      </c>
      <c r="BI286" t="s">
        <v>734</v>
      </c>
      <c r="BJ286" s="11"/>
      <c r="BK286" s="11"/>
      <c r="BL286" s="11">
        <v>276</v>
      </c>
      <c r="BM286">
        <v>0</v>
      </c>
      <c r="BN286" t="s">
        <v>692</v>
      </c>
      <c r="BO286" t="s">
        <v>694</v>
      </c>
      <c r="BP286" t="s">
        <v>701</v>
      </c>
      <c r="BQ286" t="s">
        <v>705</v>
      </c>
      <c r="BR286" t="s">
        <v>706</v>
      </c>
      <c r="BS286" t="s">
        <v>707</v>
      </c>
      <c r="CR286"/>
      <c r="CS286"/>
      <c r="CT286"/>
    </row>
    <row r="287" spans="1:98" x14ac:dyDescent="0.4">
      <c r="A287" s="2" t="s">
        <v>311</v>
      </c>
      <c r="B287" t="str">
        <f>_xlfn.TEXTAFTER(Table1[[#This Row],[VEHIDCODE]],"_")</f>
        <v>Serbia_ZS_621</v>
      </c>
      <c r="C287" t="s">
        <v>740</v>
      </c>
      <c r="D287" t="b">
        <f>OR(ISNUMBER(SEARCH("wagon_",Table1[[#This Row],[FILENAMES_EXPECTED]])),ISNUMBER(SEARCH("coach_",Table1[[#This Row],[FILENAMES_EXPECTED]])))</f>
        <v>0</v>
      </c>
      <c r="E287" t="str">
        <f>"item_"&amp;Table1[[#This Row],[VEHIDCODE]]</f>
        <v>item_diesel_Serbia_ZS_621</v>
      </c>
      <c r="F287" t="str">
        <f>"str_"&amp;Table1[[#This Row],[VEHIDCODE]]</f>
        <v>str_diesel_Serbia_ZS_621</v>
      </c>
      <c r="O287" s="2" t="b">
        <v>1</v>
      </c>
      <c r="AJ287" s="2"/>
      <c r="AK287" s="2" t="b">
        <f>LEN(_xlfn.CONCAT(Table1[[#This Row],[TRACK_TYPE_STANDARD_GAUGE_RAILTYPE_OHLE]:[TRACK_TYPE_MTRO]]))&gt;0</f>
        <v>1</v>
      </c>
      <c r="AL287">
        <v>4</v>
      </c>
      <c r="AM287" t="s">
        <v>20</v>
      </c>
      <c r="AN287">
        <v>0</v>
      </c>
      <c r="AO287" t="s">
        <v>35</v>
      </c>
      <c r="AP287">
        <v>0</v>
      </c>
      <c r="AQ287">
        <v>1992</v>
      </c>
      <c r="AR287">
        <v>4</v>
      </c>
      <c r="AS287" s="2" t="s">
        <v>20</v>
      </c>
      <c r="AT287" t="b">
        <v>1</v>
      </c>
      <c r="AV287" s="2"/>
      <c r="AW287">
        <v>45</v>
      </c>
      <c r="AX287">
        <v>0</v>
      </c>
      <c r="AY287">
        <v>530</v>
      </c>
      <c r="AZ287" t="s">
        <v>711</v>
      </c>
      <c r="BA287">
        <v>80</v>
      </c>
      <c r="BB287" s="2">
        <v>0.3</v>
      </c>
      <c r="BC287" t="s">
        <v>929</v>
      </c>
      <c r="BD287" t="s">
        <v>922</v>
      </c>
      <c r="BE287" t="s">
        <v>940</v>
      </c>
      <c r="BF287" s="7">
        <v>40</v>
      </c>
      <c r="BG2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7">
        <v>0</v>
      </c>
      <c r="BI287" t="s">
        <v>734</v>
      </c>
      <c r="BJ287" s="11"/>
      <c r="BK287" s="11"/>
      <c r="BL287" s="11">
        <v>36</v>
      </c>
      <c r="BM287">
        <v>0</v>
      </c>
      <c r="BN287" t="s">
        <v>692</v>
      </c>
      <c r="BO287" t="s">
        <v>694</v>
      </c>
      <c r="BP287" t="s">
        <v>701</v>
      </c>
      <c r="BQ287" t="s">
        <v>705</v>
      </c>
      <c r="BR287" t="s">
        <v>706</v>
      </c>
      <c r="BS287" t="s">
        <v>707</v>
      </c>
      <c r="CR287"/>
      <c r="CS287"/>
      <c r="CT287"/>
    </row>
    <row r="288" spans="1:98" x14ac:dyDescent="0.4">
      <c r="A288" s="2" t="s">
        <v>312</v>
      </c>
      <c r="B288" t="str">
        <f>_xlfn.TEXTAFTER(Table1[[#This Row],[VEHIDCODE]],"_")</f>
        <v>Italy_FS_207</v>
      </c>
      <c r="C288" t="s">
        <v>740</v>
      </c>
      <c r="D288" t="b">
        <f>OR(ISNUMBER(SEARCH("wagon_",Table1[[#This Row],[FILENAMES_EXPECTED]])),ISNUMBER(SEARCH("coach_",Table1[[#This Row],[FILENAMES_EXPECTED]])))</f>
        <v>0</v>
      </c>
      <c r="E288" t="str">
        <f>"item_"&amp;Table1[[#This Row],[VEHIDCODE]]</f>
        <v>item_diesel_Italy_FS_207</v>
      </c>
      <c r="F288" t="str">
        <f>"str_"&amp;Table1[[#This Row],[VEHIDCODE]]</f>
        <v>str_diesel_Italy_FS_207</v>
      </c>
      <c r="O288" s="2" t="b">
        <v>1</v>
      </c>
      <c r="AJ288" s="2"/>
      <c r="AK288" s="2" t="b">
        <f>LEN(_xlfn.CONCAT(Table1[[#This Row],[TRACK_TYPE_STANDARD_GAUGE_RAILTYPE_OHLE]:[TRACK_TYPE_MTRO]]))&gt;0</f>
        <v>1</v>
      </c>
      <c r="AL288">
        <v>2</v>
      </c>
      <c r="AM288" t="s">
        <v>20</v>
      </c>
      <c r="AN288">
        <v>0</v>
      </c>
      <c r="AO288" t="s">
        <v>35</v>
      </c>
      <c r="AP288">
        <v>0</v>
      </c>
      <c r="AQ288">
        <v>1931</v>
      </c>
      <c r="AR288">
        <v>2</v>
      </c>
      <c r="AS288" s="2" t="s">
        <v>20</v>
      </c>
      <c r="AT288" t="b">
        <v>1</v>
      </c>
      <c r="AV288" s="2"/>
      <c r="AW288">
        <v>45</v>
      </c>
      <c r="AX288">
        <v>1</v>
      </c>
      <c r="AY288">
        <v>75</v>
      </c>
      <c r="AZ288" t="s">
        <v>711</v>
      </c>
      <c r="BA288">
        <v>30</v>
      </c>
      <c r="BB288" s="2">
        <v>0.27</v>
      </c>
      <c r="BC288" t="s">
        <v>924</v>
      </c>
      <c r="BD288" t="s">
        <v>922</v>
      </c>
      <c r="BE288" t="s">
        <v>940</v>
      </c>
      <c r="BF288" s="7">
        <v>40</v>
      </c>
      <c r="BG2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8">
        <v>0</v>
      </c>
      <c r="BI288" t="s">
        <v>734</v>
      </c>
      <c r="BJ288" s="11"/>
      <c r="BK288" s="11"/>
      <c r="BL288" s="11">
        <v>6</v>
      </c>
      <c r="BM288">
        <v>0</v>
      </c>
      <c r="BN288" t="s">
        <v>692</v>
      </c>
      <c r="BO288" t="s">
        <v>694</v>
      </c>
      <c r="BP288" t="s">
        <v>701</v>
      </c>
      <c r="BQ288" t="s">
        <v>705</v>
      </c>
      <c r="BR288" t="s">
        <v>706</v>
      </c>
      <c r="BS288" t="s">
        <v>707</v>
      </c>
      <c r="CR288"/>
      <c r="CS288"/>
      <c r="CT288"/>
    </row>
    <row r="289" spans="1:98" x14ac:dyDescent="0.4">
      <c r="A289" s="2" t="s">
        <v>313</v>
      </c>
      <c r="B289" t="str">
        <f>_xlfn.TEXTAFTER(Table1[[#This Row],[VEHIDCODE]],"_")</f>
        <v>Russia_RZD_Db</v>
      </c>
      <c r="C289" t="s">
        <v>740</v>
      </c>
      <c r="D289" t="b">
        <f>OR(ISNUMBER(SEARCH("wagon_",Table1[[#This Row],[FILENAMES_EXPECTED]])),ISNUMBER(SEARCH("coach_",Table1[[#This Row],[FILENAMES_EXPECTED]])))</f>
        <v>0</v>
      </c>
      <c r="E289" t="str">
        <f>"item_"&amp;Table1[[#This Row],[VEHIDCODE]]</f>
        <v>item_diesel_Russia_RZD_Db</v>
      </c>
      <c r="F289" t="str">
        <f>"str_"&amp;Table1[[#This Row],[VEHIDCODE]]</f>
        <v>str_diesel_Russia_RZD_Db</v>
      </c>
      <c r="AG289" s="2" t="b">
        <v>1</v>
      </c>
      <c r="AJ289" s="2"/>
      <c r="AK289" s="2" t="b">
        <f>LEN(_xlfn.CONCAT(Table1[[#This Row],[TRACK_TYPE_STANDARD_GAUGE_RAILTYPE_OHLE]:[TRACK_TYPE_MTRO]]))&gt;0</f>
        <v>1</v>
      </c>
      <c r="AL289">
        <v>8</v>
      </c>
      <c r="AM289" t="s">
        <v>20</v>
      </c>
      <c r="AN289">
        <v>0</v>
      </c>
      <c r="AO289" t="s">
        <v>35</v>
      </c>
      <c r="AP289">
        <v>0</v>
      </c>
      <c r="AQ289">
        <v>1945</v>
      </c>
      <c r="AR289">
        <v>8</v>
      </c>
      <c r="AS289" s="2" t="s">
        <v>20</v>
      </c>
      <c r="AT289" t="b">
        <v>1</v>
      </c>
      <c r="AV289" s="2"/>
      <c r="AW289">
        <v>45</v>
      </c>
      <c r="AX289">
        <v>1</v>
      </c>
      <c r="AY289">
        <v>1000</v>
      </c>
      <c r="AZ289" t="s">
        <v>711</v>
      </c>
      <c r="BA289">
        <v>97</v>
      </c>
      <c r="BB289" s="2">
        <v>0.15</v>
      </c>
      <c r="BC289" t="s">
        <v>931</v>
      </c>
      <c r="BD289" t="s">
        <v>922</v>
      </c>
      <c r="BE289" t="s">
        <v>940</v>
      </c>
      <c r="BF289" s="7">
        <v>40</v>
      </c>
      <c r="BG2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89">
        <v>0</v>
      </c>
      <c r="BI289" t="s">
        <v>734</v>
      </c>
      <c r="BJ289" s="11"/>
      <c r="BK289" s="11"/>
      <c r="BL289" s="11">
        <v>117</v>
      </c>
      <c r="BM289">
        <v>0</v>
      </c>
      <c r="BN289" t="s">
        <v>692</v>
      </c>
      <c r="BO289" t="s">
        <v>694</v>
      </c>
      <c r="BP289" t="s">
        <v>701</v>
      </c>
      <c r="BQ289" t="s">
        <v>705</v>
      </c>
      <c r="BR289" t="s">
        <v>706</v>
      </c>
      <c r="BS289" t="s">
        <v>707</v>
      </c>
      <c r="CR289"/>
      <c r="CS289"/>
      <c r="CT289"/>
    </row>
    <row r="290" spans="1:98" x14ac:dyDescent="0.4">
      <c r="A290" s="2" t="s">
        <v>314</v>
      </c>
      <c r="B290" t="str">
        <f>_xlfn.TEXTAFTER(Table1[[#This Row],[VEHIDCODE]],"_")</f>
        <v>Portugal_CP_1500</v>
      </c>
      <c r="C290" t="s">
        <v>740</v>
      </c>
      <c r="D290" t="b">
        <f>OR(ISNUMBER(SEARCH("wagon_",Table1[[#This Row],[FILENAMES_EXPECTED]])),ISNUMBER(SEARCH("coach_",Table1[[#This Row],[FILENAMES_EXPECTED]])))</f>
        <v>0</v>
      </c>
      <c r="E290" t="str">
        <f>"item_"&amp;Table1[[#This Row],[VEHIDCODE]]</f>
        <v>item_diesel_Portugal_CP_1500</v>
      </c>
      <c r="F290" t="str">
        <f>"str_"&amp;Table1[[#This Row],[VEHIDCODE]]</f>
        <v>str_diesel_Portugal_CP_1500</v>
      </c>
      <c r="O290" s="2" t="b">
        <v>1</v>
      </c>
      <c r="AJ290" s="2"/>
      <c r="AK290" s="2" t="b">
        <f>LEN(_xlfn.CONCAT(Table1[[#This Row],[TRACK_TYPE_STANDARD_GAUGE_RAILTYPE_OHLE]:[TRACK_TYPE_MTRO]]))&gt;0</f>
        <v>1</v>
      </c>
      <c r="AL290">
        <v>6</v>
      </c>
      <c r="AM290" t="s">
        <v>20</v>
      </c>
      <c r="AN290">
        <v>0</v>
      </c>
      <c r="AO290" t="s">
        <v>35</v>
      </c>
      <c r="AP290">
        <v>0</v>
      </c>
      <c r="AQ290">
        <v>1948</v>
      </c>
      <c r="AR290">
        <v>6</v>
      </c>
      <c r="AS290" s="2" t="s">
        <v>20</v>
      </c>
      <c r="AT290" t="b">
        <v>1</v>
      </c>
      <c r="AV290" s="2"/>
      <c r="AW290">
        <v>45</v>
      </c>
      <c r="AX290">
        <v>1</v>
      </c>
      <c r="AY290">
        <v>1700</v>
      </c>
      <c r="AZ290" t="s">
        <v>711</v>
      </c>
      <c r="BA290">
        <v>120</v>
      </c>
      <c r="BB290" s="2">
        <v>0.15</v>
      </c>
      <c r="BC290" t="s">
        <v>924</v>
      </c>
      <c r="BD290" t="s">
        <v>922</v>
      </c>
      <c r="BE290" t="s">
        <v>940</v>
      </c>
      <c r="BF290" s="7">
        <v>40</v>
      </c>
      <c r="BG2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0">
        <v>0</v>
      </c>
      <c r="BI290" t="s">
        <v>734</v>
      </c>
      <c r="BJ290" s="11"/>
      <c r="BK290" s="11"/>
      <c r="BL290" s="11">
        <v>111</v>
      </c>
      <c r="BM290">
        <v>0</v>
      </c>
      <c r="BN290" t="s">
        <v>692</v>
      </c>
      <c r="BO290" t="s">
        <v>694</v>
      </c>
      <c r="BP290" t="s">
        <v>701</v>
      </c>
      <c r="BQ290" t="s">
        <v>705</v>
      </c>
      <c r="BR290" t="s">
        <v>706</v>
      </c>
      <c r="BS290" t="s">
        <v>707</v>
      </c>
      <c r="CR290"/>
      <c r="CS290"/>
      <c r="CT290"/>
    </row>
    <row r="291" spans="1:98" x14ac:dyDescent="0.4">
      <c r="A291" s="2" t="s">
        <v>315</v>
      </c>
      <c r="B291" t="str">
        <f>_xlfn.TEXTAFTER(Table1[[#This Row],[VEHIDCODE]],"_")</f>
        <v>France_SNCF_BB_67400</v>
      </c>
      <c r="C291" t="s">
        <v>740</v>
      </c>
      <c r="D291" t="b">
        <f>OR(ISNUMBER(SEARCH("wagon_",Table1[[#This Row],[FILENAMES_EXPECTED]])),ISNUMBER(SEARCH("coach_",Table1[[#This Row],[FILENAMES_EXPECTED]])))</f>
        <v>0</v>
      </c>
      <c r="E291" t="str">
        <f>"item_"&amp;Table1[[#This Row],[VEHIDCODE]]</f>
        <v>item_diesel_France_SNCF_BB_67400</v>
      </c>
      <c r="F291" t="str">
        <f>"str_"&amp;Table1[[#This Row],[VEHIDCODE]]</f>
        <v>str_diesel_France_SNCF_BB_67400</v>
      </c>
      <c r="O291" s="2" t="b">
        <v>1</v>
      </c>
      <c r="AJ291" s="2"/>
      <c r="AK291" s="2" t="b">
        <f>LEN(_xlfn.CONCAT(Table1[[#This Row],[TRACK_TYPE_STANDARD_GAUGE_RAILTYPE_OHLE]:[TRACK_TYPE_MTRO]]))&gt;0</f>
        <v>1</v>
      </c>
      <c r="AL291">
        <v>8</v>
      </c>
      <c r="AM291" t="s">
        <v>20</v>
      </c>
      <c r="AN291">
        <v>0</v>
      </c>
      <c r="AO291" t="s">
        <v>35</v>
      </c>
      <c r="AP291">
        <v>0</v>
      </c>
      <c r="AQ291">
        <v>1969</v>
      </c>
      <c r="AR291">
        <v>8</v>
      </c>
      <c r="AS291" s="2" t="s">
        <v>20</v>
      </c>
      <c r="AT291" t="b">
        <v>1</v>
      </c>
      <c r="AV291" s="2"/>
      <c r="AW291">
        <v>45</v>
      </c>
      <c r="AX291">
        <v>1</v>
      </c>
      <c r="AY291">
        <v>2245</v>
      </c>
      <c r="AZ291" t="s">
        <v>711</v>
      </c>
      <c r="BA291">
        <v>140</v>
      </c>
      <c r="BB291" s="2">
        <v>0.34</v>
      </c>
      <c r="BC291" t="s">
        <v>923</v>
      </c>
      <c r="BD291" t="s">
        <v>922</v>
      </c>
      <c r="BE291" t="s">
        <v>940</v>
      </c>
      <c r="BF291" s="7">
        <v>40</v>
      </c>
      <c r="BG2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1">
        <v>0</v>
      </c>
      <c r="BI291" t="s">
        <v>734</v>
      </c>
      <c r="BJ291" s="11"/>
      <c r="BK291" s="11"/>
      <c r="BL291" s="11">
        <v>83</v>
      </c>
      <c r="BM291">
        <v>0</v>
      </c>
      <c r="BN291" t="s">
        <v>692</v>
      </c>
      <c r="BO291" t="s">
        <v>694</v>
      </c>
      <c r="BP291" t="s">
        <v>701</v>
      </c>
      <c r="BQ291" t="s">
        <v>705</v>
      </c>
      <c r="BR291" t="s">
        <v>706</v>
      </c>
      <c r="BS291" t="s">
        <v>707</v>
      </c>
      <c r="CR291"/>
      <c r="CS291"/>
      <c r="CT291"/>
    </row>
    <row r="292" spans="1:98" x14ac:dyDescent="0.4">
      <c r="A292" s="2" t="s">
        <v>316</v>
      </c>
      <c r="B292" t="str">
        <f>_xlfn.TEXTAFTER(Table1[[#This Row],[VEHIDCODE]],"_")</f>
        <v>Netherlands_NS_6400</v>
      </c>
      <c r="C292" t="s">
        <v>740</v>
      </c>
      <c r="D292" t="b">
        <f>OR(ISNUMBER(SEARCH("wagon_",Table1[[#This Row],[FILENAMES_EXPECTED]])),ISNUMBER(SEARCH("coach_",Table1[[#This Row],[FILENAMES_EXPECTED]])))</f>
        <v>0</v>
      </c>
      <c r="E292" t="str">
        <f>"item_"&amp;Table1[[#This Row],[VEHIDCODE]]</f>
        <v>item_diesel_Netherlands_NS_6400</v>
      </c>
      <c r="F292" t="str">
        <f>"str_"&amp;Table1[[#This Row],[VEHIDCODE]]</f>
        <v>str_diesel_Netherlands_NS_6400</v>
      </c>
      <c r="O292" s="2" t="b">
        <v>1</v>
      </c>
      <c r="AJ292" s="2"/>
      <c r="AK292" s="2" t="b">
        <f>LEN(_xlfn.CONCAT(Table1[[#This Row],[TRACK_TYPE_STANDARD_GAUGE_RAILTYPE_OHLE]:[TRACK_TYPE_MTRO]]))&gt;0</f>
        <v>1</v>
      </c>
      <c r="AL292">
        <v>6</v>
      </c>
      <c r="AM292" t="s">
        <v>20</v>
      </c>
      <c r="AN292">
        <v>0</v>
      </c>
      <c r="AO292" t="s">
        <v>35</v>
      </c>
      <c r="AP292">
        <v>0</v>
      </c>
      <c r="AQ292">
        <v>1988</v>
      </c>
      <c r="AR292">
        <v>6</v>
      </c>
      <c r="AS292" s="2" t="s">
        <v>20</v>
      </c>
      <c r="AT292" t="b">
        <v>1</v>
      </c>
      <c r="AV292" s="2"/>
      <c r="AW292">
        <v>45</v>
      </c>
      <c r="AX292">
        <v>1</v>
      </c>
      <c r="AY292">
        <v>1581</v>
      </c>
      <c r="AZ292" t="s">
        <v>711</v>
      </c>
      <c r="BA292">
        <v>120</v>
      </c>
      <c r="BB292" s="2">
        <v>0.38</v>
      </c>
      <c r="BC292" t="s">
        <v>923</v>
      </c>
      <c r="BD292" t="s">
        <v>922</v>
      </c>
      <c r="BE292" t="s">
        <v>940</v>
      </c>
      <c r="BF292" s="7">
        <v>40</v>
      </c>
      <c r="BG2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2">
        <v>0</v>
      </c>
      <c r="BI292" t="s">
        <v>734</v>
      </c>
      <c r="BJ292" s="11"/>
      <c r="BK292" s="11"/>
      <c r="BL292" s="11">
        <v>80</v>
      </c>
      <c r="BM292">
        <v>0</v>
      </c>
      <c r="BN292" t="s">
        <v>692</v>
      </c>
      <c r="BO292" t="s">
        <v>694</v>
      </c>
      <c r="BP292" t="s">
        <v>701</v>
      </c>
      <c r="BQ292" t="s">
        <v>705</v>
      </c>
      <c r="BR292" t="s">
        <v>706</v>
      </c>
      <c r="BS292" t="s">
        <v>707</v>
      </c>
      <c r="CR292"/>
      <c r="CS292"/>
      <c r="CT292"/>
    </row>
    <row r="293" spans="1:98" x14ac:dyDescent="0.4">
      <c r="A293" s="2" t="s">
        <v>317</v>
      </c>
      <c r="B293" t="str">
        <f>_xlfn.TEXTAFTER(Table1[[#This Row],[VEHIDCODE]],"_")</f>
        <v>Egypt_ENR_2400_GE_ES40ACi</v>
      </c>
      <c r="C293" t="s">
        <v>740</v>
      </c>
      <c r="D293" t="b">
        <f>OR(ISNUMBER(SEARCH("wagon_",Table1[[#This Row],[FILENAMES_EXPECTED]])),ISNUMBER(SEARCH("coach_",Table1[[#This Row],[FILENAMES_EXPECTED]])))</f>
        <v>0</v>
      </c>
      <c r="E293" t="str">
        <f>"item_"&amp;Table1[[#This Row],[VEHIDCODE]]</f>
        <v>item_diesel_Egypt_ENR_2400_GE_ES40ACi</v>
      </c>
      <c r="F293" t="str">
        <f>"str_"&amp;Table1[[#This Row],[VEHIDCODE]]</f>
        <v>str_diesel_Egypt_ENR_2400_GE_ES40ACi</v>
      </c>
      <c r="O293" s="2" t="b">
        <v>1</v>
      </c>
      <c r="AJ293" s="2"/>
      <c r="AK293" s="2" t="b">
        <f>LEN(_xlfn.CONCAT(Table1[[#This Row],[TRACK_TYPE_STANDARD_GAUGE_RAILTYPE_OHLE]:[TRACK_TYPE_MTRO]]))&gt;0</f>
        <v>1</v>
      </c>
      <c r="AL293">
        <v>8</v>
      </c>
      <c r="AM293" t="s">
        <v>20</v>
      </c>
      <c r="AN293">
        <v>0</v>
      </c>
      <c r="AO293" t="s">
        <v>35</v>
      </c>
      <c r="AP293">
        <v>0</v>
      </c>
      <c r="AQ293">
        <v>2009</v>
      </c>
      <c r="AR293">
        <v>8</v>
      </c>
      <c r="AS293" s="2" t="s">
        <v>20</v>
      </c>
      <c r="AT293" t="b">
        <v>1</v>
      </c>
      <c r="AV293" s="2"/>
      <c r="AW293">
        <v>45</v>
      </c>
      <c r="AX293">
        <v>1</v>
      </c>
      <c r="AY293">
        <v>4000</v>
      </c>
      <c r="AZ293" t="s">
        <v>711</v>
      </c>
      <c r="BA293">
        <v>120</v>
      </c>
      <c r="BB293" s="2">
        <v>0.53</v>
      </c>
      <c r="BC293" t="s">
        <v>926</v>
      </c>
      <c r="BD293" t="s">
        <v>922</v>
      </c>
      <c r="BE293" t="s">
        <v>940</v>
      </c>
      <c r="BF293" s="7">
        <v>40</v>
      </c>
      <c r="BG2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3">
        <v>0</v>
      </c>
      <c r="BI293" t="s">
        <v>734</v>
      </c>
      <c r="BJ293" s="11"/>
      <c r="BK293" s="11"/>
      <c r="BL293" s="11">
        <v>138</v>
      </c>
      <c r="BM293">
        <v>0</v>
      </c>
      <c r="BN293" t="s">
        <v>692</v>
      </c>
      <c r="BO293" t="s">
        <v>694</v>
      </c>
      <c r="BP293" t="s">
        <v>701</v>
      </c>
      <c r="BQ293" t="s">
        <v>705</v>
      </c>
      <c r="BR293" t="s">
        <v>706</v>
      </c>
      <c r="BS293" t="s">
        <v>707</v>
      </c>
      <c r="CR293"/>
      <c r="CS293"/>
      <c r="CT293"/>
    </row>
    <row r="294" spans="1:98" x14ac:dyDescent="0.4">
      <c r="A294" s="2" t="s">
        <v>318</v>
      </c>
      <c r="B294" t="str">
        <f>_xlfn.TEXTAFTER(Table1[[#This Row],[VEHIDCODE]],"_")</f>
        <v>South_Africa_SAR_Afro_4000</v>
      </c>
      <c r="C294" t="s">
        <v>740</v>
      </c>
      <c r="D294" t="b">
        <f>OR(ISNUMBER(SEARCH("wagon_",Table1[[#This Row],[FILENAMES_EXPECTED]])),ISNUMBER(SEARCH("coach_",Table1[[#This Row],[FILENAMES_EXPECTED]])))</f>
        <v>0</v>
      </c>
      <c r="E294" t="str">
        <f>"item_"&amp;Table1[[#This Row],[VEHIDCODE]]</f>
        <v>item_diesel_South_Africa_SAR_Afro_4000</v>
      </c>
      <c r="F294" t="str">
        <f>"str_"&amp;Table1[[#This Row],[VEHIDCODE]]</f>
        <v>str_diesel_South_Africa_SAR_Afro_4000</v>
      </c>
      <c r="X294" s="2" t="b">
        <v>1</v>
      </c>
      <c r="AJ294" s="2"/>
      <c r="AK294" s="2" t="b">
        <f>LEN(_xlfn.CONCAT(Table1[[#This Row],[TRACK_TYPE_STANDARD_GAUGE_RAILTYPE_OHLE]:[TRACK_TYPE_MTRO]]))&gt;0</f>
        <v>1</v>
      </c>
      <c r="AL294">
        <v>8</v>
      </c>
      <c r="AM294" t="s">
        <v>20</v>
      </c>
      <c r="AN294">
        <v>0</v>
      </c>
      <c r="AO294" t="s">
        <v>35</v>
      </c>
      <c r="AP294">
        <v>0</v>
      </c>
      <c r="AQ294">
        <v>2014</v>
      </c>
      <c r="AR294">
        <v>8</v>
      </c>
      <c r="AS294" s="2" t="s">
        <v>20</v>
      </c>
      <c r="AT294" t="b">
        <v>1</v>
      </c>
      <c r="AV294" s="2"/>
      <c r="AW294" t="s">
        <v>21</v>
      </c>
      <c r="AX294">
        <v>1</v>
      </c>
      <c r="AY294">
        <v>4262</v>
      </c>
      <c r="AZ294" t="s">
        <v>711</v>
      </c>
      <c r="BA294">
        <v>130</v>
      </c>
      <c r="BB294" s="2">
        <v>0.26</v>
      </c>
      <c r="BC294" t="s">
        <v>926</v>
      </c>
      <c r="BD294" t="s">
        <v>922</v>
      </c>
      <c r="BE294" t="s">
        <v>940</v>
      </c>
      <c r="BF294" s="7">
        <v>40</v>
      </c>
      <c r="BG2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4">
        <v>0</v>
      </c>
      <c r="BI294" t="s">
        <v>734</v>
      </c>
      <c r="BJ294" s="11"/>
      <c r="BK294" s="11"/>
      <c r="BL294" s="11">
        <v>123</v>
      </c>
      <c r="BM294">
        <v>0</v>
      </c>
      <c r="BN294" t="s">
        <v>692</v>
      </c>
      <c r="BO294" t="s">
        <v>694</v>
      </c>
      <c r="BP294" t="s">
        <v>701</v>
      </c>
      <c r="BQ294" t="s">
        <v>705</v>
      </c>
      <c r="BR294" t="s">
        <v>706</v>
      </c>
      <c r="BS294" t="s">
        <v>707</v>
      </c>
      <c r="CR294"/>
      <c r="CS294"/>
      <c r="CT294"/>
    </row>
    <row r="295" spans="1:98" x14ac:dyDescent="0.4">
      <c r="A295" s="2" t="s">
        <v>319</v>
      </c>
      <c r="B295" t="str">
        <f>_xlfn.TEXTAFTER(Table1[[#This Row],[VEHIDCODE]],"_")</f>
        <v>Spain_RENFE_308</v>
      </c>
      <c r="C295" t="s">
        <v>740</v>
      </c>
      <c r="D295" t="b">
        <f>OR(ISNUMBER(SEARCH("wagon_",Table1[[#This Row],[FILENAMES_EXPECTED]])),ISNUMBER(SEARCH("coach_",Table1[[#This Row],[FILENAMES_EXPECTED]])))</f>
        <v>0</v>
      </c>
      <c r="E295" t="str">
        <f>"item_"&amp;Table1[[#This Row],[VEHIDCODE]]</f>
        <v>item_diesel_Spain_RENFE_308</v>
      </c>
      <c r="F295" t="str">
        <f>"str_"&amp;Table1[[#This Row],[VEHIDCODE]]</f>
        <v>str_diesel_Spain_RENFE_308</v>
      </c>
      <c r="O295" s="2" t="b">
        <v>1</v>
      </c>
      <c r="AJ295" s="2"/>
      <c r="AK295" s="2" t="b">
        <f>LEN(_xlfn.CONCAT(Table1[[#This Row],[TRACK_TYPE_STANDARD_GAUGE_RAILTYPE_OHLE]:[TRACK_TYPE_MTRO]]))&gt;0</f>
        <v>1</v>
      </c>
      <c r="AL295">
        <v>5</v>
      </c>
      <c r="AM295" t="s">
        <v>20</v>
      </c>
      <c r="AN295">
        <v>0</v>
      </c>
      <c r="AO295" t="s">
        <v>35</v>
      </c>
      <c r="AP295">
        <v>0</v>
      </c>
      <c r="AQ295">
        <v>1966</v>
      </c>
      <c r="AR295">
        <v>5</v>
      </c>
      <c r="AS295" s="2" t="s">
        <v>20</v>
      </c>
      <c r="AT295" t="b">
        <v>1</v>
      </c>
      <c r="AV295" s="2"/>
      <c r="AW295">
        <v>45</v>
      </c>
      <c r="AX295">
        <v>1</v>
      </c>
      <c r="AY295">
        <v>710</v>
      </c>
      <c r="AZ295" t="s">
        <v>711</v>
      </c>
      <c r="BA295">
        <v>120</v>
      </c>
      <c r="BB295" s="2">
        <v>0.2</v>
      </c>
      <c r="BC295" t="s">
        <v>924</v>
      </c>
      <c r="BD295" t="s">
        <v>922</v>
      </c>
      <c r="BE295" t="s">
        <v>940</v>
      </c>
      <c r="BF295" s="7">
        <v>40</v>
      </c>
      <c r="BG2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5">
        <v>0</v>
      </c>
      <c r="BI295" t="s">
        <v>734</v>
      </c>
      <c r="BJ295" s="11"/>
      <c r="BK295" s="11"/>
      <c r="BL295" s="11">
        <v>64</v>
      </c>
      <c r="BM295">
        <v>0</v>
      </c>
      <c r="BN295" t="s">
        <v>692</v>
      </c>
      <c r="BO295" t="s">
        <v>694</v>
      </c>
      <c r="BP295" t="s">
        <v>701</v>
      </c>
      <c r="BQ295" t="s">
        <v>705</v>
      </c>
      <c r="BR295" t="s">
        <v>706</v>
      </c>
      <c r="BS295" t="s">
        <v>707</v>
      </c>
      <c r="CR295"/>
      <c r="CS295"/>
      <c r="CT295"/>
    </row>
    <row r="296" spans="1:98" x14ac:dyDescent="0.4">
      <c r="A296" s="2" t="s">
        <v>320</v>
      </c>
      <c r="B296" t="str">
        <f>_xlfn.TEXTAFTER(Table1[[#This Row],[VEHIDCODE]],"_")</f>
        <v>Australia_Pacific_National_XR_XRB</v>
      </c>
      <c r="C296" t="s">
        <v>740</v>
      </c>
      <c r="D296" t="b">
        <f>OR(ISNUMBER(SEARCH("wagon_",Table1[[#This Row],[FILENAMES_EXPECTED]])),ISNUMBER(SEARCH("coach_",Table1[[#This Row],[FILENAMES_EXPECTED]])))</f>
        <v>0</v>
      </c>
      <c r="E296" t="str">
        <f>"item_"&amp;Table1[[#This Row],[VEHIDCODE]]</f>
        <v>item_diesel_Australia_Pacific_National_XR_XRB</v>
      </c>
      <c r="F296" t="str">
        <f>"str_"&amp;Table1[[#This Row],[VEHIDCODE]]</f>
        <v>str_diesel_Australia_Pacific_National_XR_XRB</v>
      </c>
      <c r="O296" s="2" t="b">
        <v>1</v>
      </c>
      <c r="AJ296" s="2"/>
      <c r="AK296" s="2" t="b">
        <f>LEN(_xlfn.CONCAT(Table1[[#This Row],[TRACK_TYPE_STANDARD_GAUGE_RAILTYPE_OHLE]:[TRACK_TYPE_MTRO]]))&gt;0</f>
        <v>1</v>
      </c>
      <c r="AL296">
        <v>7</v>
      </c>
      <c r="AM296" t="s">
        <v>20</v>
      </c>
      <c r="AN296">
        <v>0</v>
      </c>
      <c r="AO296" t="s">
        <v>35</v>
      </c>
      <c r="AP296">
        <v>0</v>
      </c>
      <c r="AQ296">
        <v>2002</v>
      </c>
      <c r="AR296">
        <v>7</v>
      </c>
      <c r="AS296" s="2" t="s">
        <v>24</v>
      </c>
      <c r="AT296" t="b">
        <v>1</v>
      </c>
      <c r="AV296" s="2"/>
      <c r="AW296">
        <v>45</v>
      </c>
      <c r="AX296">
        <v>1</v>
      </c>
      <c r="AY296">
        <v>3300</v>
      </c>
      <c r="AZ296" t="s">
        <v>711</v>
      </c>
      <c r="BA296">
        <v>115</v>
      </c>
      <c r="BB296" s="2">
        <v>0.34</v>
      </c>
      <c r="BC296" t="s">
        <v>925</v>
      </c>
      <c r="BD296" t="s">
        <v>922</v>
      </c>
      <c r="BE296" t="s">
        <v>940</v>
      </c>
      <c r="BF296" s="7">
        <v>40</v>
      </c>
      <c r="BG2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6">
        <v>0</v>
      </c>
      <c r="BI296" t="s">
        <v>734</v>
      </c>
      <c r="BJ296" s="11"/>
      <c r="BK296" s="11"/>
      <c r="BL296" s="11">
        <v>124</v>
      </c>
      <c r="BM296">
        <v>0</v>
      </c>
      <c r="BN296" t="s">
        <v>692</v>
      </c>
      <c r="BO296" t="s">
        <v>694</v>
      </c>
      <c r="BP296" t="s">
        <v>701</v>
      </c>
      <c r="BQ296" t="s">
        <v>705</v>
      </c>
      <c r="BR296" t="s">
        <v>706</v>
      </c>
      <c r="BS296" t="s">
        <v>707</v>
      </c>
      <c r="CR296"/>
      <c r="CS296"/>
      <c r="CT296"/>
    </row>
    <row r="297" spans="1:98" x14ac:dyDescent="0.4">
      <c r="A297" s="2" t="s">
        <v>321</v>
      </c>
      <c r="B297" t="str">
        <f>_xlfn.TEXTAFTER(Table1[[#This Row],[VEHIDCODE]],"_")</f>
        <v>Norway_CargoNet_312</v>
      </c>
      <c r="C297" t="s">
        <v>740</v>
      </c>
      <c r="D297" t="b">
        <f>OR(ISNUMBER(SEARCH("wagon_",Table1[[#This Row],[FILENAMES_EXPECTED]])),ISNUMBER(SEARCH("coach_",Table1[[#This Row],[FILENAMES_EXPECTED]])))</f>
        <v>0</v>
      </c>
      <c r="E297" t="str">
        <f>"item_"&amp;Table1[[#This Row],[VEHIDCODE]]</f>
        <v>item_diesel_Norway_CargoNet_312</v>
      </c>
      <c r="F297" t="str">
        <f>"str_"&amp;Table1[[#This Row],[VEHIDCODE]]</f>
        <v>str_diesel_Norway_CargoNet_312</v>
      </c>
      <c r="O297" s="2" t="b">
        <v>1</v>
      </c>
      <c r="AJ297" s="2"/>
      <c r="AK297" s="2" t="b">
        <f>LEN(_xlfn.CONCAT(Table1[[#This Row],[TRACK_TYPE_STANDARD_GAUGE_RAILTYPE_OHLE]:[TRACK_TYPE_MTRO]]))&gt;0</f>
        <v>1</v>
      </c>
      <c r="AL297">
        <v>8</v>
      </c>
      <c r="AM297" t="s">
        <v>20</v>
      </c>
      <c r="AN297">
        <v>0</v>
      </c>
      <c r="AO297" t="s">
        <v>35</v>
      </c>
      <c r="AP297">
        <v>0</v>
      </c>
      <c r="AQ297">
        <v>2006</v>
      </c>
      <c r="AR297">
        <v>8</v>
      </c>
      <c r="AS297" s="2" t="s">
        <v>20</v>
      </c>
      <c r="AT297" t="b">
        <v>1</v>
      </c>
      <c r="AV297" s="2"/>
      <c r="AW297">
        <v>45</v>
      </c>
      <c r="AX297">
        <v>0</v>
      </c>
      <c r="AY297">
        <v>4262</v>
      </c>
      <c r="AZ297" t="s">
        <v>711</v>
      </c>
      <c r="BA297">
        <v>120</v>
      </c>
      <c r="BB297" s="2">
        <v>0.33</v>
      </c>
      <c r="BC297" t="s">
        <v>927</v>
      </c>
      <c r="BD297" t="s">
        <v>922</v>
      </c>
      <c r="BE297" t="s">
        <v>940</v>
      </c>
      <c r="BF297" s="7">
        <v>40</v>
      </c>
      <c r="BG2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7">
        <v>0</v>
      </c>
      <c r="BI297" t="s">
        <v>734</v>
      </c>
      <c r="BJ297" s="11"/>
      <c r="BK297" s="11"/>
      <c r="BL297" s="11">
        <v>123</v>
      </c>
      <c r="BM297">
        <v>0</v>
      </c>
      <c r="BN297" t="s">
        <v>692</v>
      </c>
      <c r="BO297" t="s">
        <v>694</v>
      </c>
      <c r="BP297" t="s">
        <v>701</v>
      </c>
      <c r="BQ297" t="s">
        <v>705</v>
      </c>
      <c r="BR297" t="s">
        <v>706</v>
      </c>
      <c r="BS297" t="s">
        <v>707</v>
      </c>
      <c r="CR297"/>
      <c r="CS297"/>
      <c r="CT297"/>
    </row>
    <row r="298" spans="1:98" x14ac:dyDescent="0.4">
      <c r="A298" s="2" t="s">
        <v>322</v>
      </c>
      <c r="B298" t="str">
        <f>_xlfn.TEXTAFTER(Table1[[#This Row],[VEHIDCODE]],"_")</f>
        <v>Australia_Pacific_National_92</v>
      </c>
      <c r="C298" t="s">
        <v>740</v>
      </c>
      <c r="D298" t="b">
        <f>OR(ISNUMBER(SEARCH("wagon_",Table1[[#This Row],[FILENAMES_EXPECTED]])),ISNUMBER(SEARCH("coach_",Table1[[#This Row],[FILENAMES_EXPECTED]])))</f>
        <v>0</v>
      </c>
      <c r="E298" t="str">
        <f>"item_"&amp;Table1[[#This Row],[VEHIDCODE]]</f>
        <v>item_diesel_Australia_Pacific_National_92</v>
      </c>
      <c r="F298" t="str">
        <f>"str_"&amp;Table1[[#This Row],[VEHIDCODE]]</f>
        <v>str_diesel_Australia_Pacific_National_92</v>
      </c>
      <c r="O298" s="2" t="b">
        <v>1</v>
      </c>
      <c r="AJ298" s="2"/>
      <c r="AK298" s="2" t="b">
        <f>LEN(_xlfn.CONCAT(Table1[[#This Row],[TRACK_TYPE_STANDARD_GAUGE_RAILTYPE_OHLE]:[TRACK_TYPE_MTRO]]))&gt;0</f>
        <v>1</v>
      </c>
      <c r="AL298">
        <v>8</v>
      </c>
      <c r="AM298" t="s">
        <v>20</v>
      </c>
      <c r="AN298">
        <v>0</v>
      </c>
      <c r="AO298" t="s">
        <v>35</v>
      </c>
      <c r="AP298">
        <v>0</v>
      </c>
      <c r="AQ298">
        <v>2008</v>
      </c>
      <c r="AR298">
        <v>8</v>
      </c>
      <c r="AS298" s="2" t="s">
        <v>24</v>
      </c>
      <c r="AT298" t="b">
        <v>1</v>
      </c>
      <c r="AV298" s="2"/>
      <c r="AW298" t="s">
        <v>21</v>
      </c>
      <c r="AX298">
        <v>1</v>
      </c>
      <c r="AY298">
        <v>4520</v>
      </c>
      <c r="AZ298" t="s">
        <v>711</v>
      </c>
      <c r="BA298">
        <v>115</v>
      </c>
      <c r="BB298" s="2">
        <v>0.38</v>
      </c>
      <c r="BC298" t="s">
        <v>925</v>
      </c>
      <c r="BD298" t="s">
        <v>922</v>
      </c>
      <c r="BE298" t="s">
        <v>940</v>
      </c>
      <c r="BF298" s="7">
        <v>40</v>
      </c>
      <c r="BG2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8">
        <v>0</v>
      </c>
      <c r="BI298" t="s">
        <v>734</v>
      </c>
      <c r="BJ298" s="11"/>
      <c r="BK298" s="11"/>
      <c r="BL298" s="11">
        <v>140</v>
      </c>
      <c r="BM298">
        <v>0</v>
      </c>
      <c r="BN298" t="s">
        <v>692</v>
      </c>
      <c r="BO298" t="s">
        <v>694</v>
      </c>
      <c r="BP298" t="s">
        <v>701</v>
      </c>
      <c r="BQ298" t="s">
        <v>705</v>
      </c>
      <c r="BR298" t="s">
        <v>706</v>
      </c>
      <c r="BS298" t="s">
        <v>707</v>
      </c>
      <c r="CR298"/>
      <c r="CS298"/>
      <c r="CT298"/>
    </row>
    <row r="299" spans="1:98" x14ac:dyDescent="0.4">
      <c r="A299" s="2" t="s">
        <v>323</v>
      </c>
      <c r="B299" t="str">
        <f>_xlfn.TEXTAFTER(Table1[[#This Row],[VEHIDCODE]],"_")</f>
        <v>UK_BR_68</v>
      </c>
      <c r="C299" t="s">
        <v>740</v>
      </c>
      <c r="D299" t="b">
        <f>OR(ISNUMBER(SEARCH("wagon_",Table1[[#This Row],[FILENAMES_EXPECTED]])),ISNUMBER(SEARCH("coach_",Table1[[#This Row],[FILENAMES_EXPECTED]])))</f>
        <v>0</v>
      </c>
      <c r="E299" t="str">
        <f>"item_"&amp;Table1[[#This Row],[VEHIDCODE]]</f>
        <v>item_diesel_UK_BR_68</v>
      </c>
      <c r="F299" t="str">
        <f>"str_"&amp;Table1[[#This Row],[VEHIDCODE]]</f>
        <v>str_diesel_UK_BR_68</v>
      </c>
      <c r="O299" s="2" t="b">
        <v>1</v>
      </c>
      <c r="AJ299" s="2"/>
      <c r="AK299" s="2" t="b">
        <f>LEN(_xlfn.CONCAT(Table1[[#This Row],[TRACK_TYPE_STANDARD_GAUGE_RAILTYPE_OHLE]:[TRACK_TYPE_MTRO]]))&gt;0</f>
        <v>1</v>
      </c>
      <c r="AL299">
        <v>8</v>
      </c>
      <c r="AM299" t="s">
        <v>20</v>
      </c>
      <c r="AN299">
        <v>0</v>
      </c>
      <c r="AO299" t="s">
        <v>35</v>
      </c>
      <c r="AP299">
        <v>0</v>
      </c>
      <c r="AQ299">
        <v>2014</v>
      </c>
      <c r="AR299">
        <v>8</v>
      </c>
      <c r="AS299" s="2" t="s">
        <v>20</v>
      </c>
      <c r="AT299" t="b">
        <v>1</v>
      </c>
      <c r="AV299" s="2"/>
      <c r="AW299" t="s">
        <v>21</v>
      </c>
      <c r="AX299">
        <v>1</v>
      </c>
      <c r="AY299">
        <v>3800</v>
      </c>
      <c r="AZ299" t="s">
        <v>711</v>
      </c>
      <c r="BA299">
        <v>160</v>
      </c>
      <c r="BB299" s="2">
        <v>0.37</v>
      </c>
      <c r="BC299" t="s">
        <v>927</v>
      </c>
      <c r="BD299" t="s">
        <v>922</v>
      </c>
      <c r="BE299" t="s">
        <v>940</v>
      </c>
      <c r="BF299" s="7">
        <v>40</v>
      </c>
      <c r="BG2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299">
        <v>0</v>
      </c>
      <c r="BI299" t="s">
        <v>734</v>
      </c>
      <c r="BJ299" s="11"/>
      <c r="BK299" s="11"/>
      <c r="BL299" s="11">
        <v>85</v>
      </c>
      <c r="BM299">
        <v>0</v>
      </c>
      <c r="BN299" t="s">
        <v>692</v>
      </c>
      <c r="BO299" t="s">
        <v>694</v>
      </c>
      <c r="BP299" t="s">
        <v>701</v>
      </c>
      <c r="BQ299" t="s">
        <v>705</v>
      </c>
      <c r="BR299" t="s">
        <v>706</v>
      </c>
      <c r="BS299" t="s">
        <v>707</v>
      </c>
      <c r="CR299"/>
      <c r="CS299"/>
      <c r="CT299"/>
    </row>
    <row r="300" spans="1:98" x14ac:dyDescent="0.4">
      <c r="A300" s="2" t="s">
        <v>324</v>
      </c>
      <c r="B300" t="str">
        <f>_xlfn.TEXTAFTER(Table1[[#This Row],[VEHIDCODE]],"_")</f>
        <v>USA_Amtrak_Charger</v>
      </c>
      <c r="C300" t="s">
        <v>740</v>
      </c>
      <c r="D300" t="b">
        <f>OR(ISNUMBER(SEARCH("wagon_",Table1[[#This Row],[FILENAMES_EXPECTED]])),ISNUMBER(SEARCH("coach_",Table1[[#This Row],[FILENAMES_EXPECTED]])))</f>
        <v>0</v>
      </c>
      <c r="E300" t="str">
        <f>"item_"&amp;Table1[[#This Row],[VEHIDCODE]]</f>
        <v>item_diesel_USA_Amtrak_Charger</v>
      </c>
      <c r="F300" t="str">
        <f>"str_"&amp;Table1[[#This Row],[VEHIDCODE]]</f>
        <v>str_diesel_USA_Amtrak_Charger</v>
      </c>
      <c r="O300" s="2" t="b">
        <v>1</v>
      </c>
      <c r="AJ300" s="2"/>
      <c r="AK300" s="2" t="b">
        <f>LEN(_xlfn.CONCAT(Table1[[#This Row],[TRACK_TYPE_STANDARD_GAUGE_RAILTYPE_OHLE]:[TRACK_TYPE_MTRO]]))&gt;0</f>
        <v>1</v>
      </c>
      <c r="AL300">
        <v>8</v>
      </c>
      <c r="AM300" t="s">
        <v>20</v>
      </c>
      <c r="AN300">
        <v>0</v>
      </c>
      <c r="AO300" t="s">
        <v>35</v>
      </c>
      <c r="AP300">
        <v>0</v>
      </c>
      <c r="AQ300">
        <v>2015</v>
      </c>
      <c r="AR300">
        <v>8</v>
      </c>
      <c r="AS300" s="2" t="s">
        <v>20</v>
      </c>
      <c r="AT300" t="b">
        <v>1</v>
      </c>
      <c r="AV300" s="2"/>
      <c r="AW300" t="s">
        <v>21</v>
      </c>
      <c r="AX300">
        <v>1</v>
      </c>
      <c r="AY300">
        <v>4400</v>
      </c>
      <c r="AZ300" t="s">
        <v>711</v>
      </c>
      <c r="BA300">
        <v>201</v>
      </c>
      <c r="BB300" s="2">
        <v>0.24</v>
      </c>
      <c r="BC300" t="s">
        <v>928</v>
      </c>
      <c r="BD300" t="s">
        <v>922</v>
      </c>
      <c r="BE300" t="s">
        <v>940</v>
      </c>
      <c r="BF300" s="7">
        <v>40</v>
      </c>
      <c r="BG3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300">
        <v>0</v>
      </c>
      <c r="BI300" t="s">
        <v>734</v>
      </c>
      <c r="BJ300" s="11"/>
      <c r="BK300" s="11"/>
      <c r="BL300" s="11">
        <v>120</v>
      </c>
      <c r="BM300">
        <v>0</v>
      </c>
      <c r="BN300" t="s">
        <v>692</v>
      </c>
      <c r="BO300" t="s">
        <v>694</v>
      </c>
      <c r="BP300" t="s">
        <v>701</v>
      </c>
      <c r="BQ300" t="s">
        <v>705</v>
      </c>
      <c r="BR300" t="s">
        <v>706</v>
      </c>
      <c r="BS300" t="s">
        <v>707</v>
      </c>
      <c r="CR300"/>
      <c r="CS300"/>
      <c r="CT300"/>
    </row>
    <row r="301" spans="1:98" x14ac:dyDescent="0.4">
      <c r="A301" s="2" t="s">
        <v>325</v>
      </c>
      <c r="B301" t="str">
        <f>_xlfn.TEXTAFTER(Table1[[#This Row],[VEHIDCODE]],"_")</f>
        <v>Argentina_Le_Brugeoise</v>
      </c>
      <c r="C301" t="s">
        <v>741</v>
      </c>
      <c r="D301" t="b">
        <f>OR(ISNUMBER(SEARCH("wagon_",Table1[[#This Row],[FILENAMES_EXPECTED]])),ISNUMBER(SEARCH("coach_",Table1[[#This Row],[FILENAMES_EXPECTED]])))</f>
        <v>0</v>
      </c>
      <c r="E301" t="str">
        <f>"item_"&amp;Table1[[#This Row],[VEHIDCODE]]</f>
        <v>item_mtro_Argentina_Le_Brugeoise</v>
      </c>
      <c r="F301" t="str">
        <f>"str_"&amp;Table1[[#This Row],[VEHIDCODE]]</f>
        <v>str_mtro_Argentina_Le_Brugeoise</v>
      </c>
      <c r="L301" t="b">
        <v>1</v>
      </c>
      <c r="AJ301" s="2"/>
      <c r="AK301" s="2" t="b">
        <f>LEN(_xlfn.CONCAT(Table1[[#This Row],[TRACK_TYPE_STANDARD_GAUGE_RAILTYPE_OHLE]:[TRACK_TYPE_MTRO]]))&gt;0</f>
        <v>1</v>
      </c>
      <c r="AL301">
        <v>7</v>
      </c>
      <c r="AM301" t="s">
        <v>326</v>
      </c>
      <c r="AN301">
        <v>1</v>
      </c>
      <c r="AO301" t="s">
        <v>19</v>
      </c>
      <c r="AP301">
        <v>142</v>
      </c>
      <c r="AQ301">
        <v>1911</v>
      </c>
      <c r="AR301">
        <v>7</v>
      </c>
      <c r="AS301" s="2" t="s">
        <v>327</v>
      </c>
      <c r="AT301" t="b">
        <v>1</v>
      </c>
      <c r="AU301" t="b">
        <v>1</v>
      </c>
      <c r="AV301" s="2"/>
      <c r="AW301">
        <v>45</v>
      </c>
      <c r="AX301">
        <v>1</v>
      </c>
      <c r="AY301">
        <v>230</v>
      </c>
      <c r="AZ301" t="s">
        <v>709</v>
      </c>
      <c r="BA301">
        <v>50</v>
      </c>
      <c r="BB301" s="2">
        <v>0.16</v>
      </c>
      <c r="BC301" t="s">
        <v>930</v>
      </c>
      <c r="BD301" t="s">
        <v>922</v>
      </c>
      <c r="BE301" t="s">
        <v>940</v>
      </c>
      <c r="BF301" s="7">
        <v>60</v>
      </c>
      <c r="BG3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01">
        <v>0</v>
      </c>
      <c r="BI301" t="s">
        <v>734</v>
      </c>
      <c r="BJ301" s="11">
        <v>142</v>
      </c>
      <c r="BK301" s="11">
        <v>7</v>
      </c>
      <c r="BL301" s="11">
        <v>50</v>
      </c>
      <c r="BM301">
        <v>0</v>
      </c>
      <c r="BN301" t="s">
        <v>692</v>
      </c>
      <c r="BO301" t="s">
        <v>694</v>
      </c>
      <c r="BP301" t="s">
        <v>701</v>
      </c>
      <c r="BQ301" t="s">
        <v>705</v>
      </c>
      <c r="BR301" t="s">
        <v>706</v>
      </c>
      <c r="BS301" t="s">
        <v>707</v>
      </c>
      <c r="CR301"/>
      <c r="CS301"/>
      <c r="CT301"/>
    </row>
    <row r="302" spans="1:98" x14ac:dyDescent="0.4">
      <c r="A302" s="2" t="s">
        <v>328</v>
      </c>
      <c r="B302" t="str">
        <f>_xlfn.TEXTAFTER(Table1[[#This Row],[VEHIDCODE]],"_")</f>
        <v>USA_NY_R1</v>
      </c>
      <c r="C302" t="s">
        <v>741</v>
      </c>
      <c r="D302" t="b">
        <f>OR(ISNUMBER(SEARCH("wagon_",Table1[[#This Row],[FILENAMES_EXPECTED]])),ISNUMBER(SEARCH("coach_",Table1[[#This Row],[FILENAMES_EXPECTED]])))</f>
        <v>0</v>
      </c>
      <c r="E302" t="str">
        <f>"item_"&amp;Table1[[#This Row],[VEHIDCODE]]</f>
        <v>item_mtro_USA_NY_R1</v>
      </c>
      <c r="F302" t="str">
        <f>"str_"&amp;Table1[[#This Row],[VEHIDCODE]]</f>
        <v>str_mtro_USA_NY_R1</v>
      </c>
      <c r="L302" t="b">
        <v>1</v>
      </c>
      <c r="AJ302" s="2"/>
      <c r="AK302" s="2" t="b">
        <f>LEN(_xlfn.CONCAT(Table1[[#This Row],[TRACK_TYPE_STANDARD_GAUGE_RAILTYPE_OHLE]:[TRACK_TYPE_MTRO]]))&gt;0</f>
        <v>1</v>
      </c>
      <c r="AL302">
        <v>8</v>
      </c>
      <c r="AM302" t="s">
        <v>326</v>
      </c>
      <c r="AN302">
        <v>1</v>
      </c>
      <c r="AO302" t="s">
        <v>19</v>
      </c>
      <c r="AP302">
        <v>156</v>
      </c>
      <c r="AQ302">
        <v>1930</v>
      </c>
      <c r="AR302">
        <v>8</v>
      </c>
      <c r="AS302" s="2" t="s">
        <v>327</v>
      </c>
      <c r="AT302" t="b">
        <v>1</v>
      </c>
      <c r="AU302" t="b">
        <v>1</v>
      </c>
      <c r="AV302" s="2"/>
      <c r="AW302">
        <v>45</v>
      </c>
      <c r="AX302">
        <v>1</v>
      </c>
      <c r="AY302">
        <v>380</v>
      </c>
      <c r="AZ302" t="s">
        <v>709</v>
      </c>
      <c r="BA302">
        <v>90</v>
      </c>
      <c r="BB302" s="2">
        <v>0.32</v>
      </c>
      <c r="BC302" t="s">
        <v>928</v>
      </c>
      <c r="BD302" t="s">
        <v>922</v>
      </c>
      <c r="BE302" t="s">
        <v>940</v>
      </c>
      <c r="BF302" s="7">
        <v>60</v>
      </c>
      <c r="BG3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02">
        <v>0</v>
      </c>
      <c r="BI302" t="s">
        <v>734</v>
      </c>
      <c r="BJ302" s="11">
        <v>156</v>
      </c>
      <c r="BK302" s="11">
        <v>8</v>
      </c>
      <c r="BL302" s="11">
        <v>38</v>
      </c>
      <c r="BM302">
        <v>0</v>
      </c>
      <c r="BN302" t="s">
        <v>692</v>
      </c>
      <c r="BO302" t="s">
        <v>694</v>
      </c>
      <c r="BP302" t="s">
        <v>701</v>
      </c>
      <c r="BQ302" t="s">
        <v>705</v>
      </c>
      <c r="BR302" t="s">
        <v>706</v>
      </c>
      <c r="BS302" t="s">
        <v>707</v>
      </c>
      <c r="CR302"/>
      <c r="CS302"/>
      <c r="CT302"/>
    </row>
    <row r="303" spans="1:98" x14ac:dyDescent="0.4">
      <c r="A303" s="2" t="s">
        <v>329</v>
      </c>
      <c r="B303" t="str">
        <f>_xlfn.TEXTAFTER(Table1[[#This Row],[VEHIDCODE]],"_")</f>
        <v>Germany_DB_ET_171</v>
      </c>
      <c r="C303" t="s">
        <v>741</v>
      </c>
      <c r="D303" t="b">
        <f>OR(ISNUMBER(SEARCH("wagon_",Table1[[#This Row],[FILENAMES_EXPECTED]])),ISNUMBER(SEARCH("coach_",Table1[[#This Row],[FILENAMES_EXPECTED]])))</f>
        <v>0</v>
      </c>
      <c r="E303" t="str">
        <f>"item_"&amp;Table1[[#This Row],[VEHIDCODE]]</f>
        <v>item_mtro_Germany_DB_ET_171</v>
      </c>
      <c r="F303" t="str">
        <f>"str_"&amp;Table1[[#This Row],[VEHIDCODE]]</f>
        <v>str_mtro_Germany_DB_ET_171</v>
      </c>
      <c r="L303" t="b">
        <v>1</v>
      </c>
      <c r="AJ303" s="2"/>
      <c r="AK303" s="2" t="b">
        <f>LEN(_xlfn.CONCAT(Table1[[#This Row],[TRACK_TYPE_STANDARD_GAUGE_RAILTYPE_OHLE]:[TRACK_TYPE_MTRO]]))&gt;0</f>
        <v>1</v>
      </c>
      <c r="AL303">
        <v>8</v>
      </c>
      <c r="AM303" t="s">
        <v>326</v>
      </c>
      <c r="AN303">
        <v>1</v>
      </c>
      <c r="AO303" t="s">
        <v>19</v>
      </c>
      <c r="AP303">
        <v>160</v>
      </c>
      <c r="AQ303">
        <v>1942</v>
      </c>
      <c r="AR303">
        <v>8</v>
      </c>
      <c r="AS303" s="2" t="s">
        <v>327</v>
      </c>
      <c r="AT303" t="b">
        <v>1</v>
      </c>
      <c r="AU303" t="b">
        <v>1</v>
      </c>
      <c r="AV303" s="2"/>
      <c r="AW303">
        <v>45</v>
      </c>
      <c r="AX303">
        <v>1</v>
      </c>
      <c r="AY303">
        <v>520</v>
      </c>
      <c r="AZ303" t="s">
        <v>709</v>
      </c>
      <c r="BA303">
        <v>80</v>
      </c>
      <c r="BB303" s="2">
        <v>0.32</v>
      </c>
      <c r="BC303" t="s">
        <v>923</v>
      </c>
      <c r="BD303" t="s">
        <v>922</v>
      </c>
      <c r="BE303" t="s">
        <v>940</v>
      </c>
      <c r="BF303" s="7">
        <v>60</v>
      </c>
      <c r="BG3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03">
        <v>0</v>
      </c>
      <c r="BI303" t="s">
        <v>734</v>
      </c>
      <c r="BJ303" s="11">
        <v>160</v>
      </c>
      <c r="BK303" s="11">
        <v>8</v>
      </c>
      <c r="BL303" s="11">
        <v>44</v>
      </c>
      <c r="BM303">
        <v>0</v>
      </c>
      <c r="BN303" t="s">
        <v>692</v>
      </c>
      <c r="BO303" t="s">
        <v>694</v>
      </c>
      <c r="BP303" t="s">
        <v>701</v>
      </c>
      <c r="BQ303" t="s">
        <v>705</v>
      </c>
      <c r="BR303" t="s">
        <v>706</v>
      </c>
      <c r="BS303" t="s">
        <v>707</v>
      </c>
      <c r="CR303"/>
      <c r="CS303"/>
      <c r="CT303"/>
    </row>
    <row r="304" spans="1:98" x14ac:dyDescent="0.4">
      <c r="A304" s="2" t="s">
        <v>330</v>
      </c>
      <c r="B304" t="str">
        <f>_xlfn.TEXTAFTER(Table1[[#This Row],[VEHIDCODE]],"_")</f>
        <v>France_Paris_M2_840</v>
      </c>
      <c r="C304" t="s">
        <v>741</v>
      </c>
      <c r="D304" t="b">
        <f>OR(ISNUMBER(SEARCH("wagon_",Table1[[#This Row],[FILENAMES_EXPECTED]])),ISNUMBER(SEARCH("coach_",Table1[[#This Row],[FILENAMES_EXPECTED]])))</f>
        <v>0</v>
      </c>
      <c r="E304" t="str">
        <f>"item_"&amp;Table1[[#This Row],[VEHIDCODE]]</f>
        <v>item_mtro_France_Paris_M2_840</v>
      </c>
      <c r="F304" t="str">
        <f>"str_"&amp;Table1[[#This Row],[VEHIDCODE]]</f>
        <v>str_mtro_France_Paris_M2_840</v>
      </c>
      <c r="L304" t="b">
        <v>1</v>
      </c>
      <c r="AJ304" s="2"/>
      <c r="AK304" s="2" t="b">
        <f>LEN(_xlfn.CONCAT(Table1[[#This Row],[TRACK_TYPE_STANDARD_GAUGE_RAILTYPE_OHLE]:[TRACK_TYPE_MTRO]]))&gt;0</f>
        <v>1</v>
      </c>
      <c r="AL304">
        <v>7</v>
      </c>
      <c r="AM304" t="s">
        <v>326</v>
      </c>
      <c r="AN304">
        <v>1</v>
      </c>
      <c r="AO304" t="s">
        <v>19</v>
      </c>
      <c r="AP304">
        <v>140</v>
      </c>
      <c r="AQ304">
        <v>1957</v>
      </c>
      <c r="AR304">
        <v>7</v>
      </c>
      <c r="AS304" s="2" t="s">
        <v>327</v>
      </c>
      <c r="AT304" t="b">
        <v>1</v>
      </c>
      <c r="AU304" t="b">
        <v>1</v>
      </c>
      <c r="AV304" s="2"/>
      <c r="AW304">
        <v>45</v>
      </c>
      <c r="AX304">
        <v>1</v>
      </c>
      <c r="AY304">
        <v>450</v>
      </c>
      <c r="AZ304" t="s">
        <v>709</v>
      </c>
      <c r="BA304">
        <v>80</v>
      </c>
      <c r="BB304" s="2">
        <v>0.32</v>
      </c>
      <c r="BC304" t="s">
        <v>923</v>
      </c>
      <c r="BD304" t="s">
        <v>922</v>
      </c>
      <c r="BE304" t="s">
        <v>940</v>
      </c>
      <c r="BF304" s="7">
        <v>60</v>
      </c>
      <c r="BG3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04">
        <v>0</v>
      </c>
      <c r="BI304" t="s">
        <v>734</v>
      </c>
      <c r="BJ304" s="11">
        <v>140</v>
      </c>
      <c r="BK304" s="11">
        <v>7</v>
      </c>
      <c r="BL304" s="11">
        <v>37</v>
      </c>
      <c r="BM304">
        <v>0</v>
      </c>
      <c r="BN304" t="s">
        <v>692</v>
      </c>
      <c r="BO304" t="s">
        <v>694</v>
      </c>
      <c r="BP304" t="s">
        <v>701</v>
      </c>
      <c r="BQ304" t="s">
        <v>705</v>
      </c>
      <c r="BR304" t="s">
        <v>706</v>
      </c>
      <c r="BS304" t="s">
        <v>707</v>
      </c>
      <c r="CR304"/>
      <c r="CS304"/>
      <c r="CT304"/>
    </row>
    <row r="305" spans="1:98" x14ac:dyDescent="0.4">
      <c r="A305" s="2" t="s">
        <v>331</v>
      </c>
      <c r="B305" t="str">
        <f>_xlfn.TEXTAFTER(Table1[[#This Row],[VEHIDCODE]],"_")</f>
        <v>Portugal_Lisbon_ML7</v>
      </c>
      <c r="C305" t="s">
        <v>741</v>
      </c>
      <c r="D305" t="b">
        <f>OR(ISNUMBER(SEARCH("wagon_",Table1[[#This Row],[FILENAMES_EXPECTED]])),ISNUMBER(SEARCH("coach_",Table1[[#This Row],[FILENAMES_EXPECTED]])))</f>
        <v>0</v>
      </c>
      <c r="E305" t="str">
        <f>"item_"&amp;Table1[[#This Row],[VEHIDCODE]]</f>
        <v>item_mtro_Portugal_Lisbon_ML7</v>
      </c>
      <c r="F305" t="str">
        <f>"str_"&amp;Table1[[#This Row],[VEHIDCODE]]</f>
        <v>str_mtro_Portugal_Lisbon_ML7</v>
      </c>
      <c r="L305" t="b">
        <v>1</v>
      </c>
      <c r="AJ305" s="2"/>
      <c r="AK305" s="2" t="b">
        <f>LEN(_xlfn.CONCAT(Table1[[#This Row],[TRACK_TYPE_STANDARD_GAUGE_RAILTYPE_OHLE]:[TRACK_TYPE_MTRO]]))&gt;0</f>
        <v>1</v>
      </c>
      <c r="AL305">
        <v>8</v>
      </c>
      <c r="AM305" t="s">
        <v>326</v>
      </c>
      <c r="AN305">
        <v>1</v>
      </c>
      <c r="AO305" t="s">
        <v>19</v>
      </c>
      <c r="AP305">
        <v>160</v>
      </c>
      <c r="AQ305">
        <v>1959</v>
      </c>
      <c r="AR305">
        <v>8</v>
      </c>
      <c r="AS305" s="2" t="s">
        <v>327</v>
      </c>
      <c r="AT305" t="b">
        <v>1</v>
      </c>
      <c r="AU305" t="b">
        <v>1</v>
      </c>
      <c r="AV305" s="2"/>
      <c r="AW305">
        <v>45</v>
      </c>
      <c r="AX305">
        <v>1</v>
      </c>
      <c r="AY305">
        <v>535</v>
      </c>
      <c r="AZ305" t="s">
        <v>709</v>
      </c>
      <c r="BA305">
        <v>60</v>
      </c>
      <c r="BB305" s="2">
        <v>0.48</v>
      </c>
      <c r="BC305" t="s">
        <v>924</v>
      </c>
      <c r="BD305" t="s">
        <v>922</v>
      </c>
      <c r="BE305" t="s">
        <v>940</v>
      </c>
      <c r="BF305" s="7">
        <v>60</v>
      </c>
      <c r="BG3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05">
        <v>0</v>
      </c>
      <c r="BI305" t="s">
        <v>734</v>
      </c>
      <c r="BJ305" s="11">
        <v>160</v>
      </c>
      <c r="BK305" s="11">
        <v>8</v>
      </c>
      <c r="BL305" s="11">
        <v>35</v>
      </c>
      <c r="BM305">
        <v>0</v>
      </c>
      <c r="BN305" t="s">
        <v>692</v>
      </c>
      <c r="BO305" t="s">
        <v>694</v>
      </c>
      <c r="BP305" t="s">
        <v>701</v>
      </c>
      <c r="BQ305" t="s">
        <v>705</v>
      </c>
      <c r="BR305" t="s">
        <v>706</v>
      </c>
      <c r="BS305" t="s">
        <v>707</v>
      </c>
      <c r="CR305"/>
      <c r="CS305"/>
      <c r="CT305"/>
    </row>
    <row r="306" spans="1:98" x14ac:dyDescent="0.4">
      <c r="A306" s="2" t="s">
        <v>332</v>
      </c>
      <c r="B306" t="str">
        <f>_xlfn.TEXTAFTER(Table1[[#This Row],[VEHIDCODE]],"_")</f>
        <v>Hungary_Budapest_Ev3_200</v>
      </c>
      <c r="C306" t="s">
        <v>741</v>
      </c>
      <c r="D306" t="b">
        <f>OR(ISNUMBER(SEARCH("wagon_",Table1[[#This Row],[FILENAMES_EXPECTED]])),ISNUMBER(SEARCH("coach_",Table1[[#This Row],[FILENAMES_EXPECTED]])))</f>
        <v>0</v>
      </c>
      <c r="E306" t="str">
        <f>"item_"&amp;Table1[[#This Row],[VEHIDCODE]]</f>
        <v>item_mtro_Hungary_Budapest_Ev3_200</v>
      </c>
      <c r="F306" t="str">
        <f>"str_"&amp;Table1[[#This Row],[VEHIDCODE]]</f>
        <v>str_mtro_Hungary_Budapest_Ev3_200</v>
      </c>
      <c r="L306" t="b">
        <v>1</v>
      </c>
      <c r="AJ306" s="2"/>
      <c r="AK306" s="2" t="b">
        <f>LEN(_xlfn.CONCAT(Table1[[#This Row],[TRACK_TYPE_STANDARD_GAUGE_RAILTYPE_OHLE]:[TRACK_TYPE_MTRO]]))&gt;0</f>
        <v>1</v>
      </c>
      <c r="AL306">
        <v>8</v>
      </c>
      <c r="AM306" t="s">
        <v>326</v>
      </c>
      <c r="AN306">
        <v>1</v>
      </c>
      <c r="AO306" t="s">
        <v>19</v>
      </c>
      <c r="AP306">
        <v>150</v>
      </c>
      <c r="AQ306">
        <v>1960</v>
      </c>
      <c r="AR306">
        <v>8</v>
      </c>
      <c r="AS306" s="2" t="s">
        <v>327</v>
      </c>
      <c r="AT306" t="b">
        <v>1</v>
      </c>
      <c r="AU306" t="b">
        <v>1</v>
      </c>
      <c r="AV306" s="2"/>
      <c r="AW306">
        <v>45</v>
      </c>
      <c r="AX306">
        <v>1</v>
      </c>
      <c r="AY306">
        <v>500</v>
      </c>
      <c r="AZ306" t="s">
        <v>709</v>
      </c>
      <c r="BA306">
        <v>100</v>
      </c>
      <c r="BB306" s="2">
        <v>0.22</v>
      </c>
      <c r="BC306" t="s">
        <v>929</v>
      </c>
      <c r="BD306" t="s">
        <v>922</v>
      </c>
      <c r="BE306" t="s">
        <v>940</v>
      </c>
      <c r="BF306" s="7">
        <v>60</v>
      </c>
      <c r="BG3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06">
        <v>0</v>
      </c>
      <c r="BI306" t="s">
        <v>734</v>
      </c>
      <c r="BJ306" s="11">
        <v>150</v>
      </c>
      <c r="BK306" s="11">
        <v>8</v>
      </c>
      <c r="BL306" s="11">
        <v>45</v>
      </c>
      <c r="BM306">
        <v>0</v>
      </c>
      <c r="BN306" t="s">
        <v>692</v>
      </c>
      <c r="BO306" t="s">
        <v>694</v>
      </c>
      <c r="BP306" t="s">
        <v>701</v>
      </c>
      <c r="BQ306" t="s">
        <v>705</v>
      </c>
      <c r="BR306" t="s">
        <v>706</v>
      </c>
      <c r="BS306" t="s">
        <v>707</v>
      </c>
      <c r="CR306"/>
      <c r="CS306"/>
      <c r="CT306"/>
    </row>
    <row r="307" spans="1:98" x14ac:dyDescent="0.4">
      <c r="A307" s="2" t="s">
        <v>333</v>
      </c>
      <c r="B307" t="str">
        <f>_xlfn.TEXTAFTER(Table1[[#This Row],[VEHIDCODE]],"_")</f>
        <v>Norway_Oslo_T1000</v>
      </c>
      <c r="C307" t="s">
        <v>741</v>
      </c>
      <c r="D307" t="b">
        <f>OR(ISNUMBER(SEARCH("wagon_",Table1[[#This Row],[FILENAMES_EXPECTED]])),ISNUMBER(SEARCH("coach_",Table1[[#This Row],[FILENAMES_EXPECTED]])))</f>
        <v>0</v>
      </c>
      <c r="E307" t="str">
        <f>"item_"&amp;Table1[[#This Row],[VEHIDCODE]]</f>
        <v>item_mtro_Norway_Oslo_T1000</v>
      </c>
      <c r="F307" t="str">
        <f>"str_"&amp;Table1[[#This Row],[VEHIDCODE]]</f>
        <v>str_mtro_Norway_Oslo_T1000</v>
      </c>
      <c r="L307" t="b">
        <v>1</v>
      </c>
      <c r="AJ307" s="2"/>
      <c r="AK307" s="2" t="b">
        <f>LEN(_xlfn.CONCAT(Table1[[#This Row],[TRACK_TYPE_STANDARD_GAUGE_RAILTYPE_OHLE]:[TRACK_TYPE_MTRO]]))&gt;0</f>
        <v>1</v>
      </c>
      <c r="AL307">
        <v>7</v>
      </c>
      <c r="AM307" t="s">
        <v>326</v>
      </c>
      <c r="AN307">
        <v>1</v>
      </c>
      <c r="AO307" t="s">
        <v>19</v>
      </c>
      <c r="AP307">
        <v>180</v>
      </c>
      <c r="AQ307">
        <v>1964</v>
      </c>
      <c r="AR307">
        <v>7</v>
      </c>
      <c r="AS307" s="2" t="s">
        <v>327</v>
      </c>
      <c r="AT307" t="b">
        <v>1</v>
      </c>
      <c r="AU307" t="b">
        <v>1</v>
      </c>
      <c r="AV307" s="2"/>
      <c r="AW307">
        <v>45</v>
      </c>
      <c r="AX307">
        <v>1</v>
      </c>
      <c r="AY307">
        <v>131</v>
      </c>
      <c r="AZ307" t="s">
        <v>709</v>
      </c>
      <c r="BA307">
        <v>70</v>
      </c>
      <c r="BB307" s="2">
        <v>0.55000000000000004</v>
      </c>
      <c r="BC307" t="s">
        <v>927</v>
      </c>
      <c r="BD307" t="s">
        <v>922</v>
      </c>
      <c r="BE307" t="s">
        <v>940</v>
      </c>
      <c r="BF307" s="7">
        <v>60</v>
      </c>
      <c r="BG3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07">
        <v>0</v>
      </c>
      <c r="BI307" t="s">
        <v>734</v>
      </c>
      <c r="BJ307" s="11">
        <v>180</v>
      </c>
      <c r="BK307" s="11">
        <v>7</v>
      </c>
      <c r="BL307" s="11">
        <v>28</v>
      </c>
      <c r="BM307">
        <v>0</v>
      </c>
      <c r="BN307" t="s">
        <v>692</v>
      </c>
      <c r="BO307" t="s">
        <v>694</v>
      </c>
      <c r="BP307" t="s">
        <v>701</v>
      </c>
      <c r="BQ307" t="s">
        <v>705</v>
      </c>
      <c r="BR307" t="s">
        <v>706</v>
      </c>
      <c r="BS307" t="s">
        <v>707</v>
      </c>
      <c r="CR307"/>
      <c r="CS307"/>
      <c r="CT307"/>
    </row>
    <row r="308" spans="1:98" x14ac:dyDescent="0.4">
      <c r="A308" s="2" t="s">
        <v>334</v>
      </c>
      <c r="B308" t="str">
        <f>_xlfn.TEXTAFTER(Table1[[#This Row],[VEHIDCODE]],"_")</f>
        <v>Canada_Toronto_H_series</v>
      </c>
      <c r="C308" t="s">
        <v>741</v>
      </c>
      <c r="D308" t="b">
        <f>OR(ISNUMBER(SEARCH("wagon_",Table1[[#This Row],[FILENAMES_EXPECTED]])),ISNUMBER(SEARCH("coach_",Table1[[#This Row],[FILENAMES_EXPECTED]])))</f>
        <v>0</v>
      </c>
      <c r="E308" t="str">
        <f>"item_"&amp;Table1[[#This Row],[VEHIDCODE]]</f>
        <v>item_mtro_Canada_Toronto_H_series</v>
      </c>
      <c r="F308" t="str">
        <f>"str_"&amp;Table1[[#This Row],[VEHIDCODE]]</f>
        <v>str_mtro_Canada_Toronto_H_series</v>
      </c>
      <c r="L308" t="b">
        <v>1</v>
      </c>
      <c r="AJ308" s="2"/>
      <c r="AK308" s="2" t="b">
        <f>LEN(_xlfn.CONCAT(Table1[[#This Row],[TRACK_TYPE_STANDARD_GAUGE_RAILTYPE_OHLE]:[TRACK_TYPE_MTRO]]))&gt;0</f>
        <v>1</v>
      </c>
      <c r="AL308">
        <v>8</v>
      </c>
      <c r="AM308" t="s">
        <v>326</v>
      </c>
      <c r="AN308">
        <v>1</v>
      </c>
      <c r="AO308" t="s">
        <v>19</v>
      </c>
      <c r="AP308">
        <v>210</v>
      </c>
      <c r="AQ308">
        <v>1965</v>
      </c>
      <c r="AR308">
        <v>8</v>
      </c>
      <c r="AS308" s="2" t="s">
        <v>327</v>
      </c>
      <c r="AT308" t="b">
        <v>1</v>
      </c>
      <c r="AU308" t="b">
        <v>1</v>
      </c>
      <c r="AV308" s="2"/>
      <c r="AW308">
        <v>45</v>
      </c>
      <c r="AX308">
        <v>1</v>
      </c>
      <c r="AY308">
        <v>484</v>
      </c>
      <c r="AZ308" t="s">
        <v>709</v>
      </c>
      <c r="BA308">
        <v>88</v>
      </c>
      <c r="BB308" s="2">
        <v>0.31</v>
      </c>
      <c r="BC308" t="s">
        <v>928</v>
      </c>
      <c r="BD308" t="s">
        <v>922</v>
      </c>
      <c r="BE308" t="s">
        <v>940</v>
      </c>
      <c r="BF308" s="7">
        <v>60</v>
      </c>
      <c r="BG3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08">
        <v>0</v>
      </c>
      <c r="BI308" t="s">
        <v>734</v>
      </c>
      <c r="BJ308" s="11">
        <v>210</v>
      </c>
      <c r="BK308" s="11">
        <v>8</v>
      </c>
      <c r="BL308" s="11">
        <v>51</v>
      </c>
      <c r="BM308">
        <v>0</v>
      </c>
      <c r="BN308" t="s">
        <v>692</v>
      </c>
      <c r="BO308" t="s">
        <v>694</v>
      </c>
      <c r="BP308" t="s">
        <v>701</v>
      </c>
      <c r="BQ308" t="s">
        <v>705</v>
      </c>
      <c r="BR308" t="s">
        <v>706</v>
      </c>
      <c r="BS308" t="s">
        <v>707</v>
      </c>
      <c r="CR308"/>
      <c r="CS308"/>
      <c r="CT308"/>
    </row>
    <row r="309" spans="1:98" x14ac:dyDescent="0.4">
      <c r="A309" s="2" t="s">
        <v>335</v>
      </c>
      <c r="B309" t="str">
        <f>_xlfn.TEXTAFTER(Table1[[#This Row],[VEHIDCODE]],"_")</f>
        <v>Germany_Munchen_MVG_A2</v>
      </c>
      <c r="C309" t="s">
        <v>741</v>
      </c>
      <c r="D309" t="b">
        <f>OR(ISNUMBER(SEARCH("wagon_",Table1[[#This Row],[FILENAMES_EXPECTED]])),ISNUMBER(SEARCH("coach_",Table1[[#This Row],[FILENAMES_EXPECTED]])))</f>
        <v>0</v>
      </c>
      <c r="E309" t="str">
        <f>"item_"&amp;Table1[[#This Row],[VEHIDCODE]]</f>
        <v>item_mtro_Germany_Munchen_MVG_A2</v>
      </c>
      <c r="F309" t="str">
        <f>"str_"&amp;Table1[[#This Row],[VEHIDCODE]]</f>
        <v>str_mtro_Germany_Munchen_MVG_A2</v>
      </c>
      <c r="L309" t="b">
        <v>1</v>
      </c>
      <c r="AJ309" s="2"/>
      <c r="AK309" s="2" t="b">
        <f>LEN(_xlfn.CONCAT(Table1[[#This Row],[TRACK_TYPE_STANDARD_GAUGE_RAILTYPE_OHLE]:[TRACK_TYPE_MTRO]]))&gt;0</f>
        <v>1</v>
      </c>
      <c r="AL309">
        <v>8</v>
      </c>
      <c r="AM309" t="s">
        <v>326</v>
      </c>
      <c r="AN309">
        <v>1</v>
      </c>
      <c r="AO309" t="s">
        <v>19</v>
      </c>
      <c r="AP309">
        <v>195</v>
      </c>
      <c r="AQ309">
        <v>1967</v>
      </c>
      <c r="AR309">
        <v>8</v>
      </c>
      <c r="AS309" s="2" t="s">
        <v>327</v>
      </c>
      <c r="AT309" t="b">
        <v>1</v>
      </c>
      <c r="AU309" t="b">
        <v>1</v>
      </c>
      <c r="AV309" s="2"/>
      <c r="AW309">
        <v>45</v>
      </c>
      <c r="AX309">
        <v>1</v>
      </c>
      <c r="AY309">
        <v>480</v>
      </c>
      <c r="AZ309" t="s">
        <v>709</v>
      </c>
      <c r="BA309">
        <v>80</v>
      </c>
      <c r="BB309" s="2">
        <v>0.38</v>
      </c>
      <c r="BC309" t="s">
        <v>923</v>
      </c>
      <c r="BD309" t="s">
        <v>922</v>
      </c>
      <c r="BE309" t="s">
        <v>940</v>
      </c>
      <c r="BF309" s="7">
        <v>60</v>
      </c>
      <c r="BG3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09">
        <v>0</v>
      </c>
      <c r="BI309" t="s">
        <v>734</v>
      </c>
      <c r="BJ309" s="11">
        <v>195</v>
      </c>
      <c r="BK309" s="11">
        <v>8</v>
      </c>
      <c r="BL309" s="11">
        <v>26</v>
      </c>
      <c r="BM309">
        <v>0</v>
      </c>
      <c r="BN309" t="s">
        <v>692</v>
      </c>
      <c r="BO309" t="s">
        <v>694</v>
      </c>
      <c r="BP309" t="s">
        <v>701</v>
      </c>
      <c r="BQ309" t="s">
        <v>705</v>
      </c>
      <c r="BR309" t="s">
        <v>706</v>
      </c>
      <c r="BS309" t="s">
        <v>707</v>
      </c>
      <c r="CR309"/>
      <c r="CS309"/>
      <c r="CT309"/>
    </row>
    <row r="310" spans="1:98" x14ac:dyDescent="0.4">
      <c r="A310" s="2" t="s">
        <v>336</v>
      </c>
      <c r="B310" t="str">
        <f>_xlfn.TEXTAFTER(Table1[[#This Row],[VEHIDCODE]],"_")</f>
        <v>USA_NY_R44</v>
      </c>
      <c r="C310" t="s">
        <v>741</v>
      </c>
      <c r="D310" t="b">
        <f>OR(ISNUMBER(SEARCH("wagon_",Table1[[#This Row],[FILENAMES_EXPECTED]])),ISNUMBER(SEARCH("coach_",Table1[[#This Row],[FILENAMES_EXPECTED]])))</f>
        <v>0</v>
      </c>
      <c r="E310" t="str">
        <f>"item_"&amp;Table1[[#This Row],[VEHIDCODE]]</f>
        <v>item_mtro_USA_NY_R44</v>
      </c>
      <c r="F310" t="str">
        <f>"str_"&amp;Table1[[#This Row],[VEHIDCODE]]</f>
        <v>str_mtro_USA_NY_R44</v>
      </c>
      <c r="L310" t="b">
        <v>1</v>
      </c>
      <c r="AJ310" s="2"/>
      <c r="AK310" s="2" t="b">
        <f>LEN(_xlfn.CONCAT(Table1[[#This Row],[TRACK_TYPE_STANDARD_GAUGE_RAILTYPE_OHLE]:[TRACK_TYPE_MTRO]]))&gt;0</f>
        <v>1</v>
      </c>
      <c r="AL310">
        <v>8</v>
      </c>
      <c r="AM310" t="s">
        <v>326</v>
      </c>
      <c r="AN310">
        <v>1</v>
      </c>
      <c r="AO310" t="s">
        <v>19</v>
      </c>
      <c r="AP310">
        <v>162</v>
      </c>
      <c r="AQ310">
        <v>1971</v>
      </c>
      <c r="AR310">
        <v>8</v>
      </c>
      <c r="AS310" s="2" t="s">
        <v>327</v>
      </c>
      <c r="AT310" t="b">
        <v>1</v>
      </c>
      <c r="AU310" t="b">
        <v>1</v>
      </c>
      <c r="AV310" s="2"/>
      <c r="AW310">
        <v>45</v>
      </c>
      <c r="AX310">
        <v>1</v>
      </c>
      <c r="AY310">
        <v>460</v>
      </c>
      <c r="AZ310" t="s">
        <v>709</v>
      </c>
      <c r="BA310">
        <v>90</v>
      </c>
      <c r="BB310" s="2">
        <v>0.32</v>
      </c>
      <c r="BC310" t="s">
        <v>928</v>
      </c>
      <c r="BD310" t="s">
        <v>922</v>
      </c>
      <c r="BE310" t="s">
        <v>940</v>
      </c>
      <c r="BF310" s="7">
        <v>60</v>
      </c>
      <c r="BG3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10">
        <v>0</v>
      </c>
      <c r="BI310" t="s">
        <v>734</v>
      </c>
      <c r="BJ310" s="11">
        <v>162</v>
      </c>
      <c r="BK310" s="11">
        <v>8</v>
      </c>
      <c r="BL310" s="11">
        <v>40</v>
      </c>
      <c r="BM310">
        <v>0</v>
      </c>
      <c r="BN310" t="s">
        <v>692</v>
      </c>
      <c r="BO310" t="s">
        <v>694</v>
      </c>
      <c r="BP310" t="s">
        <v>701</v>
      </c>
      <c r="BQ310" t="s">
        <v>705</v>
      </c>
      <c r="BR310" t="s">
        <v>706</v>
      </c>
      <c r="BS310" t="s">
        <v>707</v>
      </c>
      <c r="CR310"/>
      <c r="CS310"/>
      <c r="CT310"/>
    </row>
    <row r="311" spans="1:98" x14ac:dyDescent="0.4">
      <c r="A311" s="2" t="s">
        <v>337</v>
      </c>
      <c r="B311" t="str">
        <f>_xlfn.TEXTAFTER(Table1[[#This Row],[VEHIDCODE]],"_")</f>
        <v>Netherlands_Amsterdam_Type_M1</v>
      </c>
      <c r="C311" t="s">
        <v>741</v>
      </c>
      <c r="D311" t="b">
        <f>OR(ISNUMBER(SEARCH("wagon_",Table1[[#This Row],[FILENAMES_EXPECTED]])),ISNUMBER(SEARCH("coach_",Table1[[#This Row],[FILENAMES_EXPECTED]])))</f>
        <v>0</v>
      </c>
      <c r="E311" t="str">
        <f>"item_"&amp;Table1[[#This Row],[VEHIDCODE]]</f>
        <v>item_mtro_Netherlands_Amsterdam_Type_M1</v>
      </c>
      <c r="F311" t="str">
        <f>"str_"&amp;Table1[[#This Row],[VEHIDCODE]]</f>
        <v>str_mtro_Netherlands_Amsterdam_Type_M1</v>
      </c>
      <c r="L311" t="b">
        <v>1</v>
      </c>
      <c r="AJ311" s="2"/>
      <c r="AK311" s="2" t="b">
        <f>LEN(_xlfn.CONCAT(Table1[[#This Row],[TRACK_TYPE_STANDARD_GAUGE_RAILTYPE_OHLE]:[TRACK_TYPE_MTRO]]))&gt;0</f>
        <v>1</v>
      </c>
      <c r="AL311">
        <v>8</v>
      </c>
      <c r="AM311" t="s">
        <v>326</v>
      </c>
      <c r="AN311">
        <v>1</v>
      </c>
      <c r="AO311" t="s">
        <v>19</v>
      </c>
      <c r="AP311">
        <v>174</v>
      </c>
      <c r="AQ311">
        <v>1973</v>
      </c>
      <c r="AR311">
        <v>8</v>
      </c>
      <c r="AS311" s="2" t="s">
        <v>327</v>
      </c>
      <c r="AT311" t="b">
        <v>1</v>
      </c>
      <c r="AU311" t="b">
        <v>1</v>
      </c>
      <c r="AV311" s="2"/>
      <c r="AW311">
        <v>45</v>
      </c>
      <c r="AX311">
        <v>1</v>
      </c>
      <c r="AY311">
        <v>580</v>
      </c>
      <c r="AZ311" t="s">
        <v>709</v>
      </c>
      <c r="BA311">
        <v>90</v>
      </c>
      <c r="BB311" s="2">
        <v>0.73</v>
      </c>
      <c r="BC311" t="s">
        <v>923</v>
      </c>
      <c r="BD311" t="s">
        <v>922</v>
      </c>
      <c r="BE311" t="s">
        <v>940</v>
      </c>
      <c r="BF311" s="7">
        <v>60</v>
      </c>
      <c r="BG3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11">
        <v>0</v>
      </c>
      <c r="BI311" t="s">
        <v>734</v>
      </c>
      <c r="BJ311" s="11">
        <v>174</v>
      </c>
      <c r="BK311" s="11">
        <v>7</v>
      </c>
      <c r="BL311" s="11">
        <v>31</v>
      </c>
      <c r="BM311">
        <v>0</v>
      </c>
      <c r="BN311" t="s">
        <v>692</v>
      </c>
      <c r="BO311" t="s">
        <v>694</v>
      </c>
      <c r="BP311" t="s">
        <v>701</v>
      </c>
      <c r="BQ311" t="s">
        <v>705</v>
      </c>
      <c r="BR311" t="s">
        <v>706</v>
      </c>
      <c r="BS311" t="s">
        <v>707</v>
      </c>
      <c r="CR311"/>
      <c r="CS311"/>
      <c r="CT311"/>
    </row>
    <row r="312" spans="1:98" x14ac:dyDescent="0.4">
      <c r="A312" s="2" t="s">
        <v>338</v>
      </c>
      <c r="B312" t="str">
        <f>_xlfn.TEXTAFTER(Table1[[#This Row],[VEHIDCODE]],"_")</f>
        <v>Sweden_Stockholm_C8</v>
      </c>
      <c r="C312" t="s">
        <v>741</v>
      </c>
      <c r="D312" t="b">
        <f>OR(ISNUMBER(SEARCH("wagon_",Table1[[#This Row],[FILENAMES_EXPECTED]])),ISNUMBER(SEARCH("coach_",Table1[[#This Row],[FILENAMES_EXPECTED]])))</f>
        <v>0</v>
      </c>
      <c r="E312" t="str">
        <f>"item_"&amp;Table1[[#This Row],[VEHIDCODE]]</f>
        <v>item_mtro_Sweden_Stockholm_C8</v>
      </c>
      <c r="F312" t="str">
        <f>"str_"&amp;Table1[[#This Row],[VEHIDCODE]]</f>
        <v>str_mtro_Sweden_Stockholm_C8</v>
      </c>
      <c r="L312" t="b">
        <v>1</v>
      </c>
      <c r="AJ312" s="2"/>
      <c r="AK312" s="2" t="b">
        <f>LEN(_xlfn.CONCAT(Table1[[#This Row],[TRACK_TYPE_STANDARD_GAUGE_RAILTYPE_OHLE]:[TRACK_TYPE_MTRO]]))&gt;0</f>
        <v>1</v>
      </c>
      <c r="AL312">
        <v>8</v>
      </c>
      <c r="AM312" t="s">
        <v>326</v>
      </c>
      <c r="AN312">
        <v>1</v>
      </c>
      <c r="AO312" t="s">
        <v>19</v>
      </c>
      <c r="AP312">
        <v>158</v>
      </c>
      <c r="AQ312">
        <v>1974</v>
      </c>
      <c r="AR312">
        <v>8</v>
      </c>
      <c r="AS312" s="2" t="s">
        <v>327</v>
      </c>
      <c r="AT312" t="b">
        <v>1</v>
      </c>
      <c r="AU312" t="b">
        <v>1</v>
      </c>
      <c r="AV312" s="2"/>
      <c r="AW312">
        <v>45</v>
      </c>
      <c r="AX312">
        <v>1</v>
      </c>
      <c r="AY312">
        <v>470</v>
      </c>
      <c r="AZ312" t="s">
        <v>709</v>
      </c>
      <c r="BA312">
        <v>90</v>
      </c>
      <c r="BB312" s="2">
        <v>0.38</v>
      </c>
      <c r="BC312" t="s">
        <v>927</v>
      </c>
      <c r="BD312" t="s">
        <v>922</v>
      </c>
      <c r="BE312" t="s">
        <v>940</v>
      </c>
      <c r="BF312" s="7">
        <v>60</v>
      </c>
      <c r="BG3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12">
        <v>0</v>
      </c>
      <c r="BI312" t="s">
        <v>734</v>
      </c>
      <c r="BJ312" s="11">
        <v>158</v>
      </c>
      <c r="BK312" s="11">
        <v>8</v>
      </c>
      <c r="BL312" s="11">
        <v>23</v>
      </c>
      <c r="BM312">
        <v>0</v>
      </c>
      <c r="BN312" t="s">
        <v>692</v>
      </c>
      <c r="BO312" t="s">
        <v>694</v>
      </c>
      <c r="BP312" t="s">
        <v>701</v>
      </c>
      <c r="BQ312" t="s">
        <v>705</v>
      </c>
      <c r="BR312" t="s">
        <v>706</v>
      </c>
      <c r="BS312" t="s">
        <v>707</v>
      </c>
      <c r="CR312"/>
      <c r="CS312"/>
      <c r="CT312"/>
    </row>
    <row r="313" spans="1:98" x14ac:dyDescent="0.4">
      <c r="A313" s="2" t="s">
        <v>339</v>
      </c>
      <c r="B313" t="str">
        <f>_xlfn.TEXTAFTER(Table1[[#This Row],[VEHIDCODE]],"_")</f>
        <v>North_Korea_Pyongyang_D_stock</v>
      </c>
      <c r="C313" t="s">
        <v>741</v>
      </c>
      <c r="D313" t="b">
        <f>OR(ISNUMBER(SEARCH("wagon_",Table1[[#This Row],[FILENAMES_EXPECTED]])),ISNUMBER(SEARCH("coach_",Table1[[#This Row],[FILENAMES_EXPECTED]])))</f>
        <v>0</v>
      </c>
      <c r="E313" t="str">
        <f>"item_"&amp;Table1[[#This Row],[VEHIDCODE]]</f>
        <v>item_mtro_North_Korea_Pyongyang_D_stock</v>
      </c>
      <c r="F313" t="str">
        <f>"str_"&amp;Table1[[#This Row],[VEHIDCODE]]</f>
        <v>str_mtro_North_Korea_Pyongyang_D_stock</v>
      </c>
      <c r="L313" t="b">
        <v>1</v>
      </c>
      <c r="AJ313" s="2"/>
      <c r="AK313" s="2" t="b">
        <f>LEN(_xlfn.CONCAT(Table1[[#This Row],[TRACK_TYPE_STANDARD_GAUGE_RAILTYPE_OHLE]:[TRACK_TYPE_MTRO]]))&gt;0</f>
        <v>1</v>
      </c>
      <c r="AL313">
        <v>8</v>
      </c>
      <c r="AM313" t="s">
        <v>326</v>
      </c>
      <c r="AN313">
        <v>1</v>
      </c>
      <c r="AO313" t="s">
        <v>19</v>
      </c>
      <c r="AP313">
        <v>180</v>
      </c>
      <c r="AQ313">
        <v>1975</v>
      </c>
      <c r="AR313">
        <v>8</v>
      </c>
      <c r="AS313" s="2" t="s">
        <v>327</v>
      </c>
      <c r="AT313" t="b">
        <v>1</v>
      </c>
      <c r="AU313" t="b">
        <v>1</v>
      </c>
      <c r="AV313" s="2"/>
      <c r="AW313">
        <v>45</v>
      </c>
      <c r="AX313">
        <v>1</v>
      </c>
      <c r="AY313">
        <v>350</v>
      </c>
      <c r="AZ313" t="s">
        <v>709</v>
      </c>
      <c r="BA313">
        <v>100</v>
      </c>
      <c r="BB313" s="2">
        <v>0.38</v>
      </c>
      <c r="BC313" t="s">
        <v>931</v>
      </c>
      <c r="BD313" t="s">
        <v>922</v>
      </c>
      <c r="BE313" t="s">
        <v>940</v>
      </c>
      <c r="BF313" s="7">
        <v>60</v>
      </c>
      <c r="BG3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13">
        <v>0</v>
      </c>
      <c r="BI313" t="s">
        <v>734</v>
      </c>
      <c r="BJ313" s="11">
        <v>180</v>
      </c>
      <c r="BK313" s="11">
        <v>8</v>
      </c>
      <c r="BL313" s="11">
        <v>40</v>
      </c>
      <c r="BM313">
        <v>0</v>
      </c>
      <c r="BN313" t="s">
        <v>692</v>
      </c>
      <c r="BO313" t="s">
        <v>694</v>
      </c>
      <c r="BP313" t="s">
        <v>701</v>
      </c>
      <c r="BQ313" t="s">
        <v>705</v>
      </c>
      <c r="BR313" t="s">
        <v>706</v>
      </c>
      <c r="BS313" t="s">
        <v>707</v>
      </c>
      <c r="CR313"/>
      <c r="CS313"/>
      <c r="CT313"/>
    </row>
    <row r="314" spans="1:98" x14ac:dyDescent="0.4">
      <c r="A314" s="2" t="s">
        <v>340</v>
      </c>
      <c r="B314" t="str">
        <f>_xlfn.TEXTAFTER(Table1[[#This Row],[VEHIDCODE]],"_")</f>
        <v>Finland_Helsinki_M100</v>
      </c>
      <c r="C314" t="s">
        <v>741</v>
      </c>
      <c r="D314" t="b">
        <f>OR(ISNUMBER(SEARCH("wagon_",Table1[[#This Row],[FILENAMES_EXPECTED]])),ISNUMBER(SEARCH("coach_",Table1[[#This Row],[FILENAMES_EXPECTED]])))</f>
        <v>0</v>
      </c>
      <c r="E314" t="str">
        <f>"item_"&amp;Table1[[#This Row],[VEHIDCODE]]</f>
        <v>item_mtro_Finland_Helsinki_M100</v>
      </c>
      <c r="F314" t="str">
        <f>"str_"&amp;Table1[[#This Row],[VEHIDCODE]]</f>
        <v>str_mtro_Finland_Helsinki_M100</v>
      </c>
      <c r="L314" t="b">
        <v>1</v>
      </c>
      <c r="AJ314" s="2"/>
      <c r="AK314" s="2" t="b">
        <f>LEN(_xlfn.CONCAT(Table1[[#This Row],[TRACK_TYPE_STANDARD_GAUGE_RAILTYPE_OHLE]:[TRACK_TYPE_MTRO]]))&gt;0</f>
        <v>1</v>
      </c>
      <c r="AL314">
        <v>8</v>
      </c>
      <c r="AM314" t="s">
        <v>326</v>
      </c>
      <c r="AN314">
        <v>1</v>
      </c>
      <c r="AO314" t="s">
        <v>19</v>
      </c>
      <c r="AP314">
        <v>165</v>
      </c>
      <c r="AQ314">
        <v>1977</v>
      </c>
      <c r="AR314">
        <v>8</v>
      </c>
      <c r="AS314" s="2" t="s">
        <v>327</v>
      </c>
      <c r="AT314" t="b">
        <v>1</v>
      </c>
      <c r="AU314" t="b">
        <v>1</v>
      </c>
      <c r="AV314" s="2"/>
      <c r="AW314">
        <v>45</v>
      </c>
      <c r="AX314">
        <v>1</v>
      </c>
      <c r="AY314">
        <v>680</v>
      </c>
      <c r="AZ314" t="s">
        <v>709</v>
      </c>
      <c r="BA314">
        <v>90</v>
      </c>
      <c r="BB314" s="2">
        <v>0.48</v>
      </c>
      <c r="BC314" t="s">
        <v>927</v>
      </c>
      <c r="BD314" t="s">
        <v>922</v>
      </c>
      <c r="BE314" t="s">
        <v>940</v>
      </c>
      <c r="BF314" s="7">
        <v>60</v>
      </c>
      <c r="BG3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14">
        <v>0</v>
      </c>
      <c r="BI314" t="s">
        <v>734</v>
      </c>
      <c r="BJ314" s="11">
        <v>165</v>
      </c>
      <c r="BK314" s="11">
        <v>8</v>
      </c>
      <c r="BL314" s="11">
        <v>31</v>
      </c>
      <c r="BM314">
        <v>0</v>
      </c>
      <c r="BN314" t="s">
        <v>692</v>
      </c>
      <c r="BO314" t="s">
        <v>694</v>
      </c>
      <c r="BP314" t="s">
        <v>701</v>
      </c>
      <c r="BQ314" t="s">
        <v>705</v>
      </c>
      <c r="BR314" t="s">
        <v>706</v>
      </c>
      <c r="BS314" t="s">
        <v>707</v>
      </c>
      <c r="CR314"/>
      <c r="CS314"/>
      <c r="CT314"/>
    </row>
    <row r="315" spans="1:98" x14ac:dyDescent="0.4">
      <c r="A315" s="2" t="s">
        <v>341</v>
      </c>
      <c r="B315" t="str">
        <f>_xlfn.TEXTAFTER(Table1[[#This Row],[VEHIDCODE]],"_")</f>
        <v>Brazil_Sao_Paulo_Serie_5500</v>
      </c>
      <c r="C315" t="s">
        <v>741</v>
      </c>
      <c r="D315" t="b">
        <f>OR(ISNUMBER(SEARCH("wagon_",Table1[[#This Row],[FILENAMES_EXPECTED]])),ISNUMBER(SEARCH("coach_",Table1[[#This Row],[FILENAMES_EXPECTED]])))</f>
        <v>0</v>
      </c>
      <c r="E315" t="str">
        <f>"item_"&amp;Table1[[#This Row],[VEHIDCODE]]</f>
        <v>item_mtro_Brazil_Sao_Paulo_Serie_5500</v>
      </c>
      <c r="F315" t="str">
        <f>"str_"&amp;Table1[[#This Row],[VEHIDCODE]]</f>
        <v>str_mtro_Brazil_Sao_Paulo_Serie_5500</v>
      </c>
      <c r="L315" t="b">
        <v>1</v>
      </c>
      <c r="AJ315" s="2"/>
      <c r="AK315" s="2" t="b">
        <f>LEN(_xlfn.CONCAT(Table1[[#This Row],[TRACK_TYPE_STANDARD_GAUGE_RAILTYPE_OHLE]:[TRACK_TYPE_MTRO]]))&gt;0</f>
        <v>1</v>
      </c>
      <c r="AL315">
        <v>8</v>
      </c>
      <c r="AM315" t="s">
        <v>326</v>
      </c>
      <c r="AN315">
        <v>1</v>
      </c>
      <c r="AO315" t="s">
        <v>19</v>
      </c>
      <c r="AP315">
        <v>230</v>
      </c>
      <c r="AQ315">
        <v>1979</v>
      </c>
      <c r="AR315">
        <v>8</v>
      </c>
      <c r="AS315" s="2" t="s">
        <v>327</v>
      </c>
      <c r="AT315" t="b">
        <v>1</v>
      </c>
      <c r="AU315" t="b">
        <v>1</v>
      </c>
      <c r="AV315" s="2"/>
      <c r="AW315">
        <v>45</v>
      </c>
      <c r="AX315">
        <v>1</v>
      </c>
      <c r="AY315">
        <v>250</v>
      </c>
      <c r="AZ315" t="s">
        <v>709</v>
      </c>
      <c r="BA315">
        <v>90</v>
      </c>
      <c r="BB315" s="2">
        <v>0.38</v>
      </c>
      <c r="BC315" t="s">
        <v>930</v>
      </c>
      <c r="BD315" t="s">
        <v>922</v>
      </c>
      <c r="BE315" t="s">
        <v>940</v>
      </c>
      <c r="BF315" s="7">
        <v>60</v>
      </c>
      <c r="BG3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15">
        <v>0</v>
      </c>
      <c r="BI315" t="s">
        <v>734</v>
      </c>
      <c r="BJ315" s="11">
        <v>230</v>
      </c>
      <c r="BK315" s="11">
        <v>8</v>
      </c>
      <c r="BL315" s="11">
        <v>37</v>
      </c>
      <c r="BM315">
        <v>0</v>
      </c>
      <c r="BN315" t="s">
        <v>692</v>
      </c>
      <c r="BO315" t="s">
        <v>694</v>
      </c>
      <c r="BP315" t="s">
        <v>701</v>
      </c>
      <c r="BQ315" t="s">
        <v>705</v>
      </c>
      <c r="BR315" t="s">
        <v>706</v>
      </c>
      <c r="BS315" t="s">
        <v>707</v>
      </c>
      <c r="CR315"/>
      <c r="CS315"/>
      <c r="CT315"/>
    </row>
    <row r="316" spans="1:98" x14ac:dyDescent="0.4">
      <c r="A316" s="2" t="s">
        <v>342</v>
      </c>
      <c r="B316" t="str">
        <f>_xlfn.TEXTAFTER(Table1[[#This Row],[VEHIDCODE]],"_")</f>
        <v>Russia_Moscow_81_720</v>
      </c>
      <c r="C316" t="s">
        <v>741</v>
      </c>
      <c r="D316" t="b">
        <f>OR(ISNUMBER(SEARCH("wagon_",Table1[[#This Row],[FILENAMES_EXPECTED]])),ISNUMBER(SEARCH("coach_",Table1[[#This Row],[FILENAMES_EXPECTED]])))</f>
        <v>0</v>
      </c>
      <c r="E316" t="str">
        <f>"item_"&amp;Table1[[#This Row],[VEHIDCODE]]</f>
        <v>item_mtro_Russia_Moscow_81_720</v>
      </c>
      <c r="F316" t="str">
        <f>"str_"&amp;Table1[[#This Row],[VEHIDCODE]]</f>
        <v>str_mtro_Russia_Moscow_81_720</v>
      </c>
      <c r="AD316" t="b">
        <v>1</v>
      </c>
      <c r="AJ316" s="2"/>
      <c r="AK316" s="2" t="b">
        <f>LEN(_xlfn.CONCAT(Table1[[#This Row],[TRACK_TYPE_STANDARD_GAUGE_RAILTYPE_OHLE]:[TRACK_TYPE_MTRO]]))&gt;0</f>
        <v>1</v>
      </c>
      <c r="AL316">
        <v>8</v>
      </c>
      <c r="AM316" t="s">
        <v>326</v>
      </c>
      <c r="AN316">
        <v>1</v>
      </c>
      <c r="AO316" t="s">
        <v>19</v>
      </c>
      <c r="AP316">
        <v>144</v>
      </c>
      <c r="AQ316">
        <v>1981</v>
      </c>
      <c r="AR316">
        <v>8</v>
      </c>
      <c r="AS316" s="2" t="s">
        <v>327</v>
      </c>
      <c r="AT316" t="b">
        <v>1</v>
      </c>
      <c r="AU316" t="b">
        <v>1</v>
      </c>
      <c r="AV316" s="2"/>
      <c r="AW316">
        <v>45</v>
      </c>
      <c r="AX316">
        <v>1</v>
      </c>
      <c r="AY316">
        <v>616</v>
      </c>
      <c r="AZ316" t="s">
        <v>709</v>
      </c>
      <c r="BA316">
        <v>100</v>
      </c>
      <c r="BB316" s="2">
        <v>0.67</v>
      </c>
      <c r="BC316" t="s">
        <v>931</v>
      </c>
      <c r="BD316" t="s">
        <v>922</v>
      </c>
      <c r="BE316" t="s">
        <v>940</v>
      </c>
      <c r="BF316" s="7">
        <v>60</v>
      </c>
      <c r="BG3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16">
        <v>0</v>
      </c>
      <c r="BI316" t="s">
        <v>734</v>
      </c>
      <c r="BJ316" s="11">
        <v>144</v>
      </c>
      <c r="BK316" s="11">
        <v>8</v>
      </c>
      <c r="BL316" s="11">
        <v>34</v>
      </c>
      <c r="BM316">
        <v>0</v>
      </c>
      <c r="BN316" t="s">
        <v>692</v>
      </c>
      <c r="BO316" t="s">
        <v>694</v>
      </c>
      <c r="BP316" t="s">
        <v>701</v>
      </c>
      <c r="BQ316" t="s">
        <v>705</v>
      </c>
      <c r="BR316" t="s">
        <v>706</v>
      </c>
      <c r="BS316" t="s">
        <v>707</v>
      </c>
      <c r="CR316"/>
      <c r="CS316"/>
      <c r="CT316"/>
    </row>
    <row r="317" spans="1:98" x14ac:dyDescent="0.4">
      <c r="A317" s="2" t="s">
        <v>343</v>
      </c>
      <c r="B317" t="str">
        <f>_xlfn.TEXTAFTER(Table1[[#This Row],[VEHIDCODE]],"_")</f>
        <v>Japan_Tokyo_S01</v>
      </c>
      <c r="C317" t="s">
        <v>741</v>
      </c>
      <c r="D317" t="b">
        <f>OR(ISNUMBER(SEARCH("wagon_",Table1[[#This Row],[FILENAMES_EXPECTED]])),ISNUMBER(SEARCH("coach_",Table1[[#This Row],[FILENAMES_EXPECTED]])))</f>
        <v>0</v>
      </c>
      <c r="E317" t="str">
        <f>"item_"&amp;Table1[[#This Row],[VEHIDCODE]]</f>
        <v>item_mtro_Japan_Tokyo_S01</v>
      </c>
      <c r="F317" t="str">
        <f>"str_"&amp;Table1[[#This Row],[VEHIDCODE]]</f>
        <v>str_mtro_Japan_Tokyo_S01</v>
      </c>
      <c r="L317" t="b">
        <v>1</v>
      </c>
      <c r="AJ317" s="2"/>
      <c r="AK317" s="2" t="b">
        <f>LEN(_xlfn.CONCAT(Table1[[#This Row],[TRACK_TYPE_STANDARD_GAUGE_RAILTYPE_OHLE]:[TRACK_TYPE_MTRO]]))&gt;0</f>
        <v>1</v>
      </c>
      <c r="AL317">
        <v>8</v>
      </c>
      <c r="AM317" t="s">
        <v>326</v>
      </c>
      <c r="AN317">
        <v>1</v>
      </c>
      <c r="AO317" t="s">
        <v>19</v>
      </c>
      <c r="AP317">
        <v>120</v>
      </c>
      <c r="AQ317">
        <v>1985</v>
      </c>
      <c r="AR317">
        <v>8</v>
      </c>
      <c r="AS317" s="2" t="s">
        <v>327</v>
      </c>
      <c r="AT317" t="b">
        <v>1</v>
      </c>
      <c r="AU317" t="b">
        <v>1</v>
      </c>
      <c r="AV317" s="2"/>
      <c r="AW317">
        <v>45</v>
      </c>
      <c r="AX317">
        <v>1</v>
      </c>
      <c r="AY317">
        <v>700</v>
      </c>
      <c r="AZ317" t="s">
        <v>709</v>
      </c>
      <c r="BA317">
        <v>120</v>
      </c>
      <c r="BB317" s="2">
        <v>0.95</v>
      </c>
      <c r="BC317" t="s">
        <v>931</v>
      </c>
      <c r="BD317" t="s">
        <v>922</v>
      </c>
      <c r="BE317" t="s">
        <v>940</v>
      </c>
      <c r="BF317" s="7">
        <v>60</v>
      </c>
      <c r="BG3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17">
        <v>0</v>
      </c>
      <c r="BI317" t="s">
        <v>734</v>
      </c>
      <c r="BJ317" s="11">
        <v>120</v>
      </c>
      <c r="BK317" s="11">
        <v>8</v>
      </c>
      <c r="BL317" s="11">
        <v>35</v>
      </c>
      <c r="BM317">
        <v>0</v>
      </c>
      <c r="BN317" t="s">
        <v>692</v>
      </c>
      <c r="BO317" t="s">
        <v>694</v>
      </c>
      <c r="BP317" t="s">
        <v>701</v>
      </c>
      <c r="BQ317" t="s">
        <v>705</v>
      </c>
      <c r="BR317" t="s">
        <v>706</v>
      </c>
      <c r="BS317" t="s">
        <v>707</v>
      </c>
      <c r="CR317"/>
      <c r="CS317"/>
      <c r="CT317"/>
    </row>
    <row r="318" spans="1:98" x14ac:dyDescent="0.4">
      <c r="A318" s="2" t="s">
        <v>344</v>
      </c>
      <c r="B318" t="str">
        <f>_xlfn.TEXTAFTER(Table1[[#This Row],[VEHIDCODE]],"_")</f>
        <v>Egypt_Cairo_1987_Stock</v>
      </c>
      <c r="C318" t="s">
        <v>741</v>
      </c>
      <c r="D318" t="b">
        <f>OR(ISNUMBER(SEARCH("wagon_",Table1[[#This Row],[FILENAMES_EXPECTED]])),ISNUMBER(SEARCH("coach_",Table1[[#This Row],[FILENAMES_EXPECTED]])))</f>
        <v>0</v>
      </c>
      <c r="E318" t="str">
        <f>"item_"&amp;Table1[[#This Row],[VEHIDCODE]]</f>
        <v>item_mtro_Egypt_Cairo_1987_Stock</v>
      </c>
      <c r="F318" t="str">
        <f>"str_"&amp;Table1[[#This Row],[VEHIDCODE]]</f>
        <v>str_mtro_Egypt_Cairo_1987_Stock</v>
      </c>
      <c r="L318" t="b">
        <v>1</v>
      </c>
      <c r="AJ318" s="2"/>
      <c r="AK318" s="2" t="b">
        <f>LEN(_xlfn.CONCAT(Table1[[#This Row],[TRACK_TYPE_STANDARD_GAUGE_RAILTYPE_OHLE]:[TRACK_TYPE_MTRO]]))&gt;0</f>
        <v>1</v>
      </c>
      <c r="AL318">
        <v>8</v>
      </c>
      <c r="AM318" t="s">
        <v>326</v>
      </c>
      <c r="AN318">
        <v>1</v>
      </c>
      <c r="AO318" t="s">
        <v>19</v>
      </c>
      <c r="AP318">
        <v>250</v>
      </c>
      <c r="AQ318">
        <v>1987</v>
      </c>
      <c r="AR318">
        <v>8</v>
      </c>
      <c r="AS318" s="2" t="s">
        <v>327</v>
      </c>
      <c r="AT318" t="b">
        <v>1</v>
      </c>
      <c r="AU318" t="b">
        <v>1</v>
      </c>
      <c r="AV318" s="2"/>
      <c r="AW318">
        <v>45</v>
      </c>
      <c r="AX318">
        <v>1</v>
      </c>
      <c r="AY318">
        <v>590</v>
      </c>
      <c r="AZ318" t="s">
        <v>709</v>
      </c>
      <c r="BA318">
        <v>90</v>
      </c>
      <c r="BB318" s="2">
        <v>0.59</v>
      </c>
      <c r="BC318" t="s">
        <v>926</v>
      </c>
      <c r="BD318" t="s">
        <v>922</v>
      </c>
      <c r="BE318" t="s">
        <v>940</v>
      </c>
      <c r="BF318" s="7">
        <v>60</v>
      </c>
      <c r="BG3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18">
        <v>0</v>
      </c>
      <c r="BI318" t="s">
        <v>734</v>
      </c>
      <c r="BJ318" s="11">
        <v>250</v>
      </c>
      <c r="BK318" s="11">
        <v>8</v>
      </c>
      <c r="BL318" s="11">
        <v>34</v>
      </c>
      <c r="BM318">
        <v>0</v>
      </c>
      <c r="BN318" t="s">
        <v>692</v>
      </c>
      <c r="BO318" t="s">
        <v>694</v>
      </c>
      <c r="BP318" t="s">
        <v>701</v>
      </c>
      <c r="BQ318" t="s">
        <v>705</v>
      </c>
      <c r="BR318" t="s">
        <v>706</v>
      </c>
      <c r="BS318" t="s">
        <v>707</v>
      </c>
      <c r="CR318"/>
      <c r="CS318"/>
      <c r="CT318"/>
    </row>
    <row r="319" spans="1:98" x14ac:dyDescent="0.4">
      <c r="A319" s="2" t="s">
        <v>345</v>
      </c>
      <c r="B319" t="str">
        <f>_xlfn.TEXTAFTER(Table1[[#This Row],[VEHIDCODE]],"_")</f>
        <v>UK_DLR_P86</v>
      </c>
      <c r="C319" t="s">
        <v>741</v>
      </c>
      <c r="D319" t="b">
        <f>OR(ISNUMBER(SEARCH("wagon_",Table1[[#This Row],[FILENAMES_EXPECTED]])),ISNUMBER(SEARCH("coach_",Table1[[#This Row],[FILENAMES_EXPECTED]])))</f>
        <v>0</v>
      </c>
      <c r="E319" t="str">
        <f>"item_"&amp;Table1[[#This Row],[VEHIDCODE]]</f>
        <v>item_mtro_UK_DLR_P86</v>
      </c>
      <c r="F319" t="str">
        <f>"str_"&amp;Table1[[#This Row],[VEHIDCODE]]</f>
        <v>str_mtro_UK_DLR_P86</v>
      </c>
      <c r="L319" t="b">
        <v>1</v>
      </c>
      <c r="AJ319" s="2"/>
      <c r="AK319" s="2" t="b">
        <f>LEN(_xlfn.CONCAT(Table1[[#This Row],[TRACK_TYPE_STANDARD_GAUGE_RAILTYPE_OHLE]:[TRACK_TYPE_MTRO]]))&gt;0</f>
        <v>1</v>
      </c>
      <c r="AL319">
        <v>6</v>
      </c>
      <c r="AM319" t="s">
        <v>326</v>
      </c>
      <c r="AN319">
        <v>1</v>
      </c>
      <c r="AO319" t="s">
        <v>19</v>
      </c>
      <c r="AP319">
        <v>200</v>
      </c>
      <c r="AQ319">
        <v>1987</v>
      </c>
      <c r="AR319">
        <v>6</v>
      </c>
      <c r="AS319" s="2" t="s">
        <v>327</v>
      </c>
      <c r="AT319" t="b">
        <v>1</v>
      </c>
      <c r="AU319" t="b">
        <v>1</v>
      </c>
      <c r="AV319" s="2"/>
      <c r="AW319">
        <v>45</v>
      </c>
      <c r="AX319">
        <v>1</v>
      </c>
      <c r="AY319">
        <v>500</v>
      </c>
      <c r="AZ319" t="s">
        <v>709</v>
      </c>
      <c r="BA319">
        <v>80</v>
      </c>
      <c r="BB319" s="2">
        <v>0.31</v>
      </c>
      <c r="BC319" t="s">
        <v>927</v>
      </c>
      <c r="BD319" t="s">
        <v>922</v>
      </c>
      <c r="BE319" t="s">
        <v>940</v>
      </c>
      <c r="BF319" s="7">
        <v>60</v>
      </c>
      <c r="BG3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19">
        <v>0</v>
      </c>
      <c r="BI319" t="s">
        <v>734</v>
      </c>
      <c r="BJ319" s="11">
        <v>200</v>
      </c>
      <c r="BK319" s="11">
        <v>6</v>
      </c>
      <c r="BL319" s="11">
        <v>40</v>
      </c>
      <c r="BM319">
        <v>0</v>
      </c>
      <c r="BN319" t="s">
        <v>692</v>
      </c>
      <c r="BO319" t="s">
        <v>694</v>
      </c>
      <c r="BP319" t="s">
        <v>701</v>
      </c>
      <c r="BQ319" t="s">
        <v>705</v>
      </c>
      <c r="BR319" t="s">
        <v>706</v>
      </c>
      <c r="BS319" t="s">
        <v>707</v>
      </c>
      <c r="CR319"/>
      <c r="CS319"/>
      <c r="CT319"/>
    </row>
    <row r="320" spans="1:98" x14ac:dyDescent="0.4">
      <c r="A320" s="2" t="s">
        <v>346</v>
      </c>
      <c r="B320" t="str">
        <f>_xlfn.TEXTAFTER(Table1[[#This Row],[VEHIDCODE]],"_")</f>
        <v>Russia_Moscow_81_7175M</v>
      </c>
      <c r="C320" t="s">
        <v>741</v>
      </c>
      <c r="D320" t="b">
        <f>OR(ISNUMBER(SEARCH("wagon_",Table1[[#This Row],[FILENAMES_EXPECTED]])),ISNUMBER(SEARCH("coach_",Table1[[#This Row],[FILENAMES_EXPECTED]])))</f>
        <v>0</v>
      </c>
      <c r="E320" t="str">
        <f>"item_"&amp;Table1[[#This Row],[VEHIDCODE]]</f>
        <v>item_mtro_Russia_Moscow_81_7175M</v>
      </c>
      <c r="F320" t="str">
        <f>"str_"&amp;Table1[[#This Row],[VEHIDCODE]]</f>
        <v>str_mtro_Russia_Moscow_81_7175M</v>
      </c>
      <c r="AD320" t="b">
        <v>1</v>
      </c>
      <c r="AJ320" s="2"/>
      <c r="AK320" s="2" t="b">
        <f>LEN(_xlfn.CONCAT(Table1[[#This Row],[TRACK_TYPE_STANDARD_GAUGE_RAILTYPE_OHLE]:[TRACK_TYPE_MTRO]]))&gt;0</f>
        <v>1</v>
      </c>
      <c r="AL320">
        <v>8</v>
      </c>
      <c r="AM320" t="s">
        <v>326</v>
      </c>
      <c r="AN320">
        <v>1</v>
      </c>
      <c r="AO320" t="s">
        <v>19</v>
      </c>
      <c r="AP320">
        <v>147</v>
      </c>
      <c r="AQ320">
        <v>1987</v>
      </c>
      <c r="AR320">
        <v>8</v>
      </c>
      <c r="AS320" s="2" t="s">
        <v>327</v>
      </c>
      <c r="AT320" t="b">
        <v>1</v>
      </c>
      <c r="AU320" t="b">
        <v>1</v>
      </c>
      <c r="AV320" s="2"/>
      <c r="AW320">
        <v>45</v>
      </c>
      <c r="AX320">
        <v>1</v>
      </c>
      <c r="AY320">
        <v>600</v>
      </c>
      <c r="AZ320" t="s">
        <v>709</v>
      </c>
      <c r="BA320">
        <v>80</v>
      </c>
      <c r="BB320" s="2">
        <v>0.83</v>
      </c>
      <c r="BC320" t="s">
        <v>931</v>
      </c>
      <c r="BD320" t="s">
        <v>922</v>
      </c>
      <c r="BE320" t="s">
        <v>940</v>
      </c>
      <c r="BF320" s="7">
        <v>60</v>
      </c>
      <c r="BG3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20">
        <v>0</v>
      </c>
      <c r="BI320" t="s">
        <v>734</v>
      </c>
      <c r="BJ320" s="11">
        <v>147</v>
      </c>
      <c r="BK320" s="11">
        <v>8</v>
      </c>
      <c r="BL320" s="11">
        <v>18</v>
      </c>
      <c r="BM320">
        <v>0</v>
      </c>
      <c r="BN320" t="s">
        <v>692</v>
      </c>
      <c r="BO320" t="s">
        <v>694</v>
      </c>
      <c r="BP320" t="s">
        <v>701</v>
      </c>
      <c r="BQ320" t="s">
        <v>705</v>
      </c>
      <c r="BR320" t="s">
        <v>706</v>
      </c>
      <c r="BS320" t="s">
        <v>707</v>
      </c>
      <c r="CR320"/>
      <c r="CS320"/>
      <c r="CT320"/>
    </row>
    <row r="321" spans="1:98" x14ac:dyDescent="0.4">
      <c r="A321" s="2" t="s">
        <v>347</v>
      </c>
      <c r="B321" t="str">
        <f>_xlfn.TEXTAFTER(Table1[[#This Row],[VEHIDCODE]],"_")</f>
        <v>USA_Boston_01800</v>
      </c>
      <c r="C321" t="s">
        <v>741</v>
      </c>
      <c r="D321" t="b">
        <f>OR(ISNUMBER(SEARCH("wagon_",Table1[[#This Row],[FILENAMES_EXPECTED]])),ISNUMBER(SEARCH("coach_",Table1[[#This Row],[FILENAMES_EXPECTED]])))</f>
        <v>0</v>
      </c>
      <c r="E321" t="str">
        <f>"item_"&amp;Table1[[#This Row],[VEHIDCODE]]</f>
        <v>item_mtro_USA_Boston_01800</v>
      </c>
      <c r="F321" t="str">
        <f>"str_"&amp;Table1[[#This Row],[VEHIDCODE]]</f>
        <v>str_mtro_USA_Boston_01800</v>
      </c>
      <c r="L321" t="b">
        <v>1</v>
      </c>
      <c r="AJ321" s="2"/>
      <c r="AK321" s="2" t="b">
        <f>LEN(_xlfn.CONCAT(Table1[[#This Row],[TRACK_TYPE_STANDARD_GAUGE_RAILTYPE_OHLE]:[TRACK_TYPE_MTRO]]))&gt;0</f>
        <v>1</v>
      </c>
      <c r="AL321">
        <v>8</v>
      </c>
      <c r="AM321" t="s">
        <v>326</v>
      </c>
      <c r="AN321">
        <v>1</v>
      </c>
      <c r="AO321" t="s">
        <v>19</v>
      </c>
      <c r="AP321">
        <v>150</v>
      </c>
      <c r="AQ321">
        <v>1993</v>
      </c>
      <c r="AR321">
        <v>8</v>
      </c>
      <c r="AS321" s="2" t="s">
        <v>327</v>
      </c>
      <c r="AT321" t="b">
        <v>1</v>
      </c>
      <c r="AU321" t="b">
        <v>1</v>
      </c>
      <c r="AV321" s="2"/>
      <c r="AW321">
        <v>45</v>
      </c>
      <c r="AX321">
        <v>1</v>
      </c>
      <c r="AY321">
        <v>700</v>
      </c>
      <c r="AZ321" t="s">
        <v>709</v>
      </c>
      <c r="BA321">
        <v>80</v>
      </c>
      <c r="BB321" s="2">
        <v>0.51</v>
      </c>
      <c r="BC321" t="s">
        <v>928</v>
      </c>
      <c r="BD321" t="s">
        <v>922</v>
      </c>
      <c r="BE321" t="s">
        <v>940</v>
      </c>
      <c r="BF321" s="7">
        <v>60</v>
      </c>
      <c r="BG3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21">
        <v>0</v>
      </c>
      <c r="BI321" t="s">
        <v>734</v>
      </c>
      <c r="BJ321" s="11">
        <v>150</v>
      </c>
      <c r="BK321" s="11">
        <v>8</v>
      </c>
      <c r="BL321" s="11">
        <v>31</v>
      </c>
      <c r="BM321">
        <v>0</v>
      </c>
      <c r="BN321" t="s">
        <v>692</v>
      </c>
      <c r="BO321" t="s">
        <v>694</v>
      </c>
      <c r="BP321" t="s">
        <v>701</v>
      </c>
      <c r="BQ321" t="s">
        <v>705</v>
      </c>
      <c r="BR321" t="s">
        <v>706</v>
      </c>
      <c r="BS321" t="s">
        <v>707</v>
      </c>
      <c r="CR321"/>
      <c r="CS321"/>
      <c r="CT321"/>
    </row>
    <row r="322" spans="1:98" x14ac:dyDescent="0.4">
      <c r="A322" s="2" t="s">
        <v>348</v>
      </c>
      <c r="B322" t="str">
        <f>_xlfn.TEXTAFTER(Table1[[#This Row],[VEHIDCODE]],"_")</f>
        <v>USA_LA_A650</v>
      </c>
      <c r="C322" t="s">
        <v>741</v>
      </c>
      <c r="D322" t="b">
        <f>OR(ISNUMBER(SEARCH("wagon_",Table1[[#This Row],[FILENAMES_EXPECTED]])),ISNUMBER(SEARCH("coach_",Table1[[#This Row],[FILENAMES_EXPECTED]])))</f>
        <v>0</v>
      </c>
      <c r="E322" t="str">
        <f>"item_"&amp;Table1[[#This Row],[VEHIDCODE]]</f>
        <v>item_mtro_USA_LA_A650</v>
      </c>
      <c r="F322" t="str">
        <f>"str_"&amp;Table1[[#This Row],[VEHIDCODE]]</f>
        <v>str_mtro_USA_LA_A650</v>
      </c>
      <c r="L322" t="b">
        <v>1</v>
      </c>
      <c r="AJ322" s="2"/>
      <c r="AK322" s="2" t="b">
        <f>LEN(_xlfn.CONCAT(Table1[[#This Row],[TRACK_TYPE_STANDARD_GAUGE_RAILTYPE_OHLE]:[TRACK_TYPE_MTRO]]))&gt;0</f>
        <v>1</v>
      </c>
      <c r="AL322">
        <v>8</v>
      </c>
      <c r="AM322" t="s">
        <v>326</v>
      </c>
      <c r="AN322">
        <v>1</v>
      </c>
      <c r="AO322" t="s">
        <v>19</v>
      </c>
      <c r="AP322">
        <v>170</v>
      </c>
      <c r="AQ322">
        <v>1993</v>
      </c>
      <c r="AR322">
        <v>8</v>
      </c>
      <c r="AS322" s="2" t="s">
        <v>327</v>
      </c>
      <c r="AT322" t="b">
        <v>1</v>
      </c>
      <c r="AU322" t="b">
        <v>1</v>
      </c>
      <c r="AV322" s="2"/>
      <c r="AW322" t="s">
        <v>21</v>
      </c>
      <c r="AX322">
        <v>1</v>
      </c>
      <c r="AY322">
        <v>530</v>
      </c>
      <c r="AZ322" t="s">
        <v>709</v>
      </c>
      <c r="BA322">
        <v>112</v>
      </c>
      <c r="BB322" s="2">
        <v>0.47</v>
      </c>
      <c r="BC322" t="s">
        <v>928</v>
      </c>
      <c r="BD322" t="s">
        <v>922</v>
      </c>
      <c r="BE322" t="s">
        <v>940</v>
      </c>
      <c r="BF322" s="7">
        <v>60</v>
      </c>
      <c r="BG3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22">
        <v>0</v>
      </c>
      <c r="BI322" t="s">
        <v>734</v>
      </c>
      <c r="BJ322" s="11">
        <v>170</v>
      </c>
      <c r="BK322" s="11">
        <v>8</v>
      </c>
      <c r="BL322" s="11">
        <v>37</v>
      </c>
      <c r="BM322">
        <v>0</v>
      </c>
      <c r="BN322" t="s">
        <v>692</v>
      </c>
      <c r="BO322" t="s">
        <v>694</v>
      </c>
      <c r="BP322" t="s">
        <v>701</v>
      </c>
      <c r="BQ322" t="s">
        <v>705</v>
      </c>
      <c r="BR322" t="s">
        <v>706</v>
      </c>
      <c r="BS322" t="s">
        <v>707</v>
      </c>
      <c r="CR322"/>
      <c r="CS322"/>
      <c r="CT322"/>
    </row>
    <row r="323" spans="1:98" x14ac:dyDescent="0.4">
      <c r="A323" s="2" t="s">
        <v>349</v>
      </c>
      <c r="B323" t="str">
        <f>_xlfn.TEXTAFTER(Table1[[#This Row],[VEHIDCODE]],"_")</f>
        <v>Taiwan_Taipei_C301</v>
      </c>
      <c r="C323" t="s">
        <v>741</v>
      </c>
      <c r="D323" t="b">
        <f>OR(ISNUMBER(SEARCH("wagon_",Table1[[#This Row],[FILENAMES_EXPECTED]])),ISNUMBER(SEARCH("coach_",Table1[[#This Row],[FILENAMES_EXPECTED]])))</f>
        <v>0</v>
      </c>
      <c r="E323" t="str">
        <f>"item_"&amp;Table1[[#This Row],[VEHIDCODE]]</f>
        <v>item_mtro_Taiwan_Taipei_C301</v>
      </c>
      <c r="F323" t="str">
        <f>"str_"&amp;Table1[[#This Row],[VEHIDCODE]]</f>
        <v>str_mtro_Taiwan_Taipei_C301</v>
      </c>
      <c r="L323" t="b">
        <v>1</v>
      </c>
      <c r="AJ323" s="2"/>
      <c r="AK323" s="2" t="b">
        <f>LEN(_xlfn.CONCAT(Table1[[#This Row],[TRACK_TYPE_STANDARD_GAUGE_RAILTYPE_OHLE]:[TRACK_TYPE_MTRO]]))&gt;0</f>
        <v>1</v>
      </c>
      <c r="AL323">
        <v>8</v>
      </c>
      <c r="AM323" t="s">
        <v>326</v>
      </c>
      <c r="AN323">
        <v>1</v>
      </c>
      <c r="AO323" t="s">
        <v>19</v>
      </c>
      <c r="AP323">
        <v>250</v>
      </c>
      <c r="AQ323">
        <v>1996</v>
      </c>
      <c r="AR323">
        <v>8</v>
      </c>
      <c r="AS323" s="2" t="s">
        <v>327</v>
      </c>
      <c r="AT323" t="b">
        <v>1</v>
      </c>
      <c r="AU323" t="b">
        <v>1</v>
      </c>
      <c r="AV323" s="2"/>
      <c r="AW323" t="s">
        <v>21</v>
      </c>
      <c r="AX323">
        <v>1</v>
      </c>
      <c r="AY323">
        <v>200</v>
      </c>
      <c r="AZ323" t="s">
        <v>709</v>
      </c>
      <c r="BA323">
        <v>90</v>
      </c>
      <c r="BB323" s="2">
        <v>0.3</v>
      </c>
      <c r="BC323" t="s">
        <v>931</v>
      </c>
      <c r="BD323" t="s">
        <v>922</v>
      </c>
      <c r="BE323" t="s">
        <v>940</v>
      </c>
      <c r="BF323" s="7">
        <v>60</v>
      </c>
      <c r="BG3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23">
        <v>0</v>
      </c>
      <c r="BI323" t="s">
        <v>734</v>
      </c>
      <c r="BJ323" s="11">
        <v>250</v>
      </c>
      <c r="BK323" s="11">
        <v>8</v>
      </c>
      <c r="BL323" s="11">
        <v>39</v>
      </c>
      <c r="BM323">
        <v>0</v>
      </c>
      <c r="BN323" t="s">
        <v>692</v>
      </c>
      <c r="BO323" t="s">
        <v>694</v>
      </c>
      <c r="BP323" t="s">
        <v>701</v>
      </c>
      <c r="BQ323" t="s">
        <v>705</v>
      </c>
      <c r="BR323" t="s">
        <v>706</v>
      </c>
      <c r="BS323" t="s">
        <v>707</v>
      </c>
      <c r="CR323"/>
      <c r="CS323"/>
      <c r="CT323"/>
    </row>
    <row r="324" spans="1:98" x14ac:dyDescent="0.4">
      <c r="A324" s="2" t="s">
        <v>350</v>
      </c>
      <c r="B324" t="str">
        <f>_xlfn.TEXTAFTER(Table1[[#This Row],[VEHIDCODE]],"_")</f>
        <v>Netherlands_Amsterdam_CAF_90</v>
      </c>
      <c r="C324" t="s">
        <v>741</v>
      </c>
      <c r="D324" t="b">
        <f>OR(ISNUMBER(SEARCH("wagon_",Table1[[#This Row],[FILENAMES_EXPECTED]])),ISNUMBER(SEARCH("coach_",Table1[[#This Row],[FILENAMES_EXPECTED]])))</f>
        <v>0</v>
      </c>
      <c r="E324" t="str">
        <f>"item_"&amp;Table1[[#This Row],[VEHIDCODE]]</f>
        <v>item_mtro_Netherlands_Amsterdam_CAF_90</v>
      </c>
      <c r="F324" t="str">
        <f>"str_"&amp;Table1[[#This Row],[VEHIDCODE]]</f>
        <v>str_mtro_Netherlands_Amsterdam_CAF_90</v>
      </c>
      <c r="L324" t="b">
        <v>1</v>
      </c>
      <c r="AJ324" s="2"/>
      <c r="AK324" s="2" t="b">
        <f>LEN(_xlfn.CONCAT(Table1[[#This Row],[TRACK_TYPE_STANDARD_GAUGE_RAILTYPE_OHLE]:[TRACK_TYPE_MTRO]]))&gt;0</f>
        <v>1</v>
      </c>
      <c r="AL324">
        <v>8</v>
      </c>
      <c r="AM324" t="s">
        <v>326</v>
      </c>
      <c r="AN324">
        <v>1</v>
      </c>
      <c r="AO324" t="s">
        <v>19</v>
      </c>
      <c r="AP324">
        <v>250</v>
      </c>
      <c r="AQ324">
        <v>1997</v>
      </c>
      <c r="AR324">
        <v>8</v>
      </c>
      <c r="AS324" s="2" t="s">
        <v>327</v>
      </c>
      <c r="AT324" t="b">
        <v>1</v>
      </c>
      <c r="AU324" t="b">
        <v>1</v>
      </c>
      <c r="AV324" s="2"/>
      <c r="AW324" t="s">
        <v>21</v>
      </c>
      <c r="AX324">
        <v>1</v>
      </c>
      <c r="AY324">
        <v>700</v>
      </c>
      <c r="AZ324" t="s">
        <v>709</v>
      </c>
      <c r="BA324">
        <v>70</v>
      </c>
      <c r="BB324" s="2">
        <v>0.26</v>
      </c>
      <c r="BC324" t="s">
        <v>923</v>
      </c>
      <c r="BD324" t="s">
        <v>922</v>
      </c>
      <c r="BE324" t="s">
        <v>940</v>
      </c>
      <c r="BF324" s="7">
        <v>60</v>
      </c>
      <c r="BG3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24">
        <v>0</v>
      </c>
      <c r="BI324" t="s">
        <v>734</v>
      </c>
      <c r="BJ324" s="11">
        <v>250</v>
      </c>
      <c r="BK324" s="11">
        <v>8</v>
      </c>
      <c r="BL324" s="11">
        <v>47</v>
      </c>
      <c r="BM324">
        <v>0</v>
      </c>
      <c r="BN324" t="s">
        <v>692</v>
      </c>
      <c r="BO324" t="s">
        <v>694</v>
      </c>
      <c r="BP324" t="s">
        <v>701</v>
      </c>
      <c r="BQ324" t="s">
        <v>705</v>
      </c>
      <c r="BR324" t="s">
        <v>706</v>
      </c>
      <c r="BS324" t="s">
        <v>707</v>
      </c>
      <c r="CR324"/>
      <c r="CS324"/>
      <c r="CT324"/>
    </row>
    <row r="325" spans="1:98" x14ac:dyDescent="0.4">
      <c r="A325" s="2" t="s">
        <v>351</v>
      </c>
      <c r="B325" t="str">
        <f>_xlfn.TEXTAFTER(Table1[[#This Row],[VEHIDCODE]],"_")</f>
        <v>France_Paris_MP89</v>
      </c>
      <c r="C325" t="s">
        <v>741</v>
      </c>
      <c r="D325" t="b">
        <f>OR(ISNUMBER(SEARCH("wagon_",Table1[[#This Row],[FILENAMES_EXPECTED]])),ISNUMBER(SEARCH("coach_",Table1[[#This Row],[FILENAMES_EXPECTED]])))</f>
        <v>0</v>
      </c>
      <c r="E325" t="str">
        <f>"item_"&amp;Table1[[#This Row],[VEHIDCODE]]</f>
        <v>item_mtro_France_Paris_MP89</v>
      </c>
      <c r="F325" t="str">
        <f>"str_"&amp;Table1[[#This Row],[VEHIDCODE]]</f>
        <v>str_mtro_France_Paris_MP89</v>
      </c>
      <c r="L325" t="b">
        <v>1</v>
      </c>
      <c r="AJ325" s="2"/>
      <c r="AK325" s="2" t="b">
        <f>LEN(_xlfn.CONCAT(Table1[[#This Row],[TRACK_TYPE_STANDARD_GAUGE_RAILTYPE_OHLE]:[TRACK_TYPE_MTRO]]))&gt;0</f>
        <v>1</v>
      </c>
      <c r="AL325">
        <v>7</v>
      </c>
      <c r="AM325" t="s">
        <v>326</v>
      </c>
      <c r="AN325">
        <v>1</v>
      </c>
      <c r="AO325" t="s">
        <v>19</v>
      </c>
      <c r="AP325">
        <v>120</v>
      </c>
      <c r="AQ325">
        <v>1997</v>
      </c>
      <c r="AR325">
        <v>7</v>
      </c>
      <c r="AS325" s="2" t="s">
        <v>327</v>
      </c>
      <c r="AT325" t="b">
        <v>1</v>
      </c>
      <c r="AU325" t="b">
        <v>1</v>
      </c>
      <c r="AV325" s="2"/>
      <c r="AW325" t="s">
        <v>21</v>
      </c>
      <c r="AX325">
        <v>1</v>
      </c>
      <c r="AY325">
        <v>634</v>
      </c>
      <c r="AZ325" t="s">
        <v>709</v>
      </c>
      <c r="BA325">
        <v>100</v>
      </c>
      <c r="BB325" s="2">
        <v>0.36</v>
      </c>
      <c r="BC325" t="s">
        <v>923</v>
      </c>
      <c r="BD325" t="s">
        <v>922</v>
      </c>
      <c r="BE325" t="s">
        <v>940</v>
      </c>
      <c r="BF325" s="7">
        <v>60</v>
      </c>
      <c r="BG3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25">
        <v>0</v>
      </c>
      <c r="BI325" t="s">
        <v>734</v>
      </c>
      <c r="BJ325" s="11">
        <v>120</v>
      </c>
      <c r="BK325" s="11">
        <v>7</v>
      </c>
      <c r="BL325" s="11">
        <v>28</v>
      </c>
      <c r="BM325">
        <v>0</v>
      </c>
      <c r="BN325" t="s">
        <v>692</v>
      </c>
      <c r="BO325" t="s">
        <v>694</v>
      </c>
      <c r="BP325" t="s">
        <v>701</v>
      </c>
      <c r="BQ325" t="s">
        <v>705</v>
      </c>
      <c r="BR325" t="s">
        <v>706</v>
      </c>
      <c r="BS325" t="s">
        <v>707</v>
      </c>
      <c r="CR325"/>
      <c r="CS325"/>
      <c r="CT325"/>
    </row>
    <row r="326" spans="1:98" x14ac:dyDescent="0.4">
      <c r="A326" s="2" t="s">
        <v>352</v>
      </c>
      <c r="B326" t="str">
        <f>_xlfn.TEXTAFTER(Table1[[#This Row],[VEHIDCODE]],"_")</f>
        <v>Russia_Moscow_81_740</v>
      </c>
      <c r="C326" t="s">
        <v>741</v>
      </c>
      <c r="D326" t="b">
        <f>OR(ISNUMBER(SEARCH("wagon_",Table1[[#This Row],[FILENAMES_EXPECTED]])),ISNUMBER(SEARCH("coach_",Table1[[#This Row],[FILENAMES_EXPECTED]])))</f>
        <v>0</v>
      </c>
      <c r="E326" t="str">
        <f>"item_"&amp;Table1[[#This Row],[VEHIDCODE]]</f>
        <v>item_mtro_Russia_Moscow_81_740</v>
      </c>
      <c r="F326" t="str">
        <f>"str_"&amp;Table1[[#This Row],[VEHIDCODE]]</f>
        <v>str_mtro_Russia_Moscow_81_740</v>
      </c>
      <c r="AD326" t="b">
        <v>1</v>
      </c>
      <c r="AJ326" s="2"/>
      <c r="AK326" s="2" t="b">
        <f>LEN(_xlfn.CONCAT(Table1[[#This Row],[TRACK_TYPE_STANDARD_GAUGE_RAILTYPE_OHLE]:[TRACK_TYPE_MTRO]]))&gt;0</f>
        <v>1</v>
      </c>
      <c r="AL326">
        <v>7</v>
      </c>
      <c r="AM326" t="s">
        <v>326</v>
      </c>
      <c r="AN326">
        <v>1</v>
      </c>
      <c r="AO326" t="s">
        <v>19</v>
      </c>
      <c r="AP326">
        <v>120</v>
      </c>
      <c r="AQ326">
        <v>2003</v>
      </c>
      <c r="AR326">
        <v>7</v>
      </c>
      <c r="AS326" s="2" t="s">
        <v>327</v>
      </c>
      <c r="AT326" t="b">
        <v>1</v>
      </c>
      <c r="AU326" t="b">
        <v>1</v>
      </c>
      <c r="AV326" s="2"/>
      <c r="AW326" t="s">
        <v>21</v>
      </c>
      <c r="AX326">
        <v>1</v>
      </c>
      <c r="AY326">
        <v>860</v>
      </c>
      <c r="AZ326" t="s">
        <v>709</v>
      </c>
      <c r="BA326">
        <v>90</v>
      </c>
      <c r="BB326" s="2">
        <v>0.36</v>
      </c>
      <c r="BC326" t="s">
        <v>931</v>
      </c>
      <c r="BD326" t="s">
        <v>922</v>
      </c>
      <c r="BE326" t="s">
        <v>940</v>
      </c>
      <c r="BF326" s="7">
        <v>60</v>
      </c>
      <c r="BG3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26">
        <v>0</v>
      </c>
      <c r="BI326" t="s">
        <v>734</v>
      </c>
      <c r="BJ326" s="11">
        <v>120</v>
      </c>
      <c r="BK326" s="11">
        <v>6</v>
      </c>
      <c r="BL326" s="11">
        <v>47</v>
      </c>
      <c r="BM326">
        <v>0</v>
      </c>
      <c r="BN326" t="s">
        <v>692</v>
      </c>
      <c r="BO326" t="s">
        <v>694</v>
      </c>
      <c r="BP326" t="s">
        <v>701</v>
      </c>
      <c r="BQ326" t="s">
        <v>705</v>
      </c>
      <c r="BR326" t="s">
        <v>706</v>
      </c>
      <c r="BS326" t="s">
        <v>707</v>
      </c>
      <c r="CR326"/>
      <c r="CS326"/>
      <c r="CT326"/>
    </row>
    <row r="327" spans="1:98" x14ac:dyDescent="0.4">
      <c r="A327" s="2" t="s">
        <v>353</v>
      </c>
      <c r="B327" t="str">
        <f>_xlfn.TEXTAFTER(Table1[[#This Row],[VEHIDCODE]],"_")</f>
        <v>Singapore_Singapore_C830_Metropolis</v>
      </c>
      <c r="C327" t="s">
        <v>741</v>
      </c>
      <c r="D327" t="b">
        <f>OR(ISNUMBER(SEARCH("wagon_",Table1[[#This Row],[FILENAMES_EXPECTED]])),ISNUMBER(SEARCH("coach_",Table1[[#This Row],[FILENAMES_EXPECTED]])))</f>
        <v>0</v>
      </c>
      <c r="E327" t="str">
        <f>"item_"&amp;Table1[[#This Row],[VEHIDCODE]]</f>
        <v>item_mtro_Singapore_Singapore_C830_Metropolis</v>
      </c>
      <c r="F327" t="str">
        <f>"str_"&amp;Table1[[#This Row],[VEHIDCODE]]</f>
        <v>str_mtro_Singapore_Singapore_C830_Metropolis</v>
      </c>
      <c r="L327" t="b">
        <v>1</v>
      </c>
      <c r="AJ327" s="2"/>
      <c r="AK327" s="2" t="b">
        <f>LEN(_xlfn.CONCAT(Table1[[#This Row],[TRACK_TYPE_STANDARD_GAUGE_RAILTYPE_OHLE]:[TRACK_TYPE_MTRO]]))&gt;0</f>
        <v>1</v>
      </c>
      <c r="AL327">
        <v>8</v>
      </c>
      <c r="AM327" t="s">
        <v>326</v>
      </c>
      <c r="AN327">
        <v>1</v>
      </c>
      <c r="AO327" t="s">
        <v>19</v>
      </c>
      <c r="AP327">
        <v>250</v>
      </c>
      <c r="AQ327">
        <v>2003</v>
      </c>
      <c r="AR327">
        <v>8</v>
      </c>
      <c r="AS327" s="2" t="s">
        <v>327</v>
      </c>
      <c r="AT327" t="b">
        <v>1</v>
      </c>
      <c r="AU327" t="b">
        <v>1</v>
      </c>
      <c r="AV327" s="2"/>
      <c r="AW327" t="s">
        <v>21</v>
      </c>
      <c r="AX327">
        <v>1</v>
      </c>
      <c r="AY327">
        <v>740</v>
      </c>
      <c r="AZ327" t="s">
        <v>709</v>
      </c>
      <c r="BA327">
        <v>100</v>
      </c>
      <c r="BB327" s="2">
        <v>0.86</v>
      </c>
      <c r="BC327" t="s">
        <v>931</v>
      </c>
      <c r="BD327" t="s">
        <v>922</v>
      </c>
      <c r="BE327" t="s">
        <v>940</v>
      </c>
      <c r="BF327" s="7">
        <v>60</v>
      </c>
      <c r="BG3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27">
        <v>0</v>
      </c>
      <c r="BI327" t="s">
        <v>734</v>
      </c>
      <c r="BJ327" s="11">
        <v>250</v>
      </c>
      <c r="BK327" s="11">
        <v>8</v>
      </c>
      <c r="BL327" s="11">
        <v>35</v>
      </c>
      <c r="BM327">
        <v>0</v>
      </c>
      <c r="BN327" t="s">
        <v>692</v>
      </c>
      <c r="BO327" t="s">
        <v>694</v>
      </c>
      <c r="BP327" t="s">
        <v>701</v>
      </c>
      <c r="BQ327" t="s">
        <v>705</v>
      </c>
      <c r="BR327" t="s">
        <v>706</v>
      </c>
      <c r="BS327" t="s">
        <v>707</v>
      </c>
      <c r="CR327"/>
      <c r="CS327"/>
      <c r="CT327"/>
    </row>
    <row r="328" spans="1:98" x14ac:dyDescent="0.4">
      <c r="A328" s="2" t="s">
        <v>354</v>
      </c>
      <c r="B328" t="str">
        <f>_xlfn.TEXTAFTER(Table1[[#This Row],[VEHIDCODE]],"_")</f>
        <v>Norway_Oslo_MX3000</v>
      </c>
      <c r="C328" t="s">
        <v>741</v>
      </c>
      <c r="D328" t="b">
        <f>OR(ISNUMBER(SEARCH("wagon_",Table1[[#This Row],[FILENAMES_EXPECTED]])),ISNUMBER(SEARCH("coach_",Table1[[#This Row],[FILENAMES_EXPECTED]])))</f>
        <v>0</v>
      </c>
      <c r="E328" t="str">
        <f>"item_"&amp;Table1[[#This Row],[VEHIDCODE]]</f>
        <v>item_mtro_Norway_Oslo_MX3000</v>
      </c>
      <c r="F328" t="str">
        <f>"str_"&amp;Table1[[#This Row],[VEHIDCODE]]</f>
        <v>str_mtro_Norway_Oslo_MX3000</v>
      </c>
      <c r="L328" t="b">
        <v>1</v>
      </c>
      <c r="AJ328" s="2"/>
      <c r="AK328" s="2" t="b">
        <f>LEN(_xlfn.CONCAT(Table1[[#This Row],[TRACK_TYPE_STANDARD_GAUGE_RAILTYPE_OHLE]:[TRACK_TYPE_MTRO]]))&gt;0</f>
        <v>1</v>
      </c>
      <c r="AL328">
        <v>7</v>
      </c>
      <c r="AM328" t="s">
        <v>326</v>
      </c>
      <c r="AN328">
        <v>1</v>
      </c>
      <c r="AO328" t="s">
        <v>19</v>
      </c>
      <c r="AP328">
        <v>164</v>
      </c>
      <c r="AQ328">
        <v>2007</v>
      </c>
      <c r="AR328">
        <v>7</v>
      </c>
      <c r="AS328" s="2" t="s">
        <v>327</v>
      </c>
      <c r="AT328" t="b">
        <v>1</v>
      </c>
      <c r="AU328" t="b">
        <v>1</v>
      </c>
      <c r="AV328" s="2"/>
      <c r="AW328" t="s">
        <v>21</v>
      </c>
      <c r="AX328">
        <v>1</v>
      </c>
      <c r="AY328">
        <v>760</v>
      </c>
      <c r="AZ328" t="s">
        <v>709</v>
      </c>
      <c r="BA328">
        <v>80</v>
      </c>
      <c r="BB328" s="2">
        <v>0.3</v>
      </c>
      <c r="BC328" t="s">
        <v>927</v>
      </c>
      <c r="BD328" t="s">
        <v>922</v>
      </c>
      <c r="BE328" t="s">
        <v>940</v>
      </c>
      <c r="BF328" s="7">
        <v>60</v>
      </c>
      <c r="BG3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28">
        <v>0</v>
      </c>
      <c r="BI328" t="s">
        <v>734</v>
      </c>
      <c r="BJ328" s="11">
        <v>164</v>
      </c>
      <c r="BK328" s="11">
        <v>7</v>
      </c>
      <c r="BL328" s="11">
        <v>33</v>
      </c>
      <c r="BM328">
        <v>0</v>
      </c>
      <c r="BN328" t="s">
        <v>692</v>
      </c>
      <c r="BO328" t="s">
        <v>694</v>
      </c>
      <c r="BP328" t="s">
        <v>701</v>
      </c>
      <c r="BQ328" t="s">
        <v>705</v>
      </c>
      <c r="BR328" t="s">
        <v>706</v>
      </c>
      <c r="BS328" t="s">
        <v>707</v>
      </c>
      <c r="CR328"/>
      <c r="CS328"/>
      <c r="CT328"/>
    </row>
    <row r="329" spans="1:98" x14ac:dyDescent="0.4">
      <c r="A329" s="2" t="s">
        <v>355</v>
      </c>
      <c r="B329" t="str">
        <f>_xlfn.TEXTAFTER(Table1[[#This Row],[VEHIDCODE]],"_")</f>
        <v>Japan_Osaka_30000</v>
      </c>
      <c r="C329" t="s">
        <v>741</v>
      </c>
      <c r="D329" t="b">
        <f>OR(ISNUMBER(SEARCH("wagon_",Table1[[#This Row],[FILENAMES_EXPECTED]])),ISNUMBER(SEARCH("coach_",Table1[[#This Row],[FILENAMES_EXPECTED]])))</f>
        <v>0</v>
      </c>
      <c r="E329" t="str">
        <f>"item_"&amp;Table1[[#This Row],[VEHIDCODE]]</f>
        <v>item_mtro_Japan_Osaka_30000</v>
      </c>
      <c r="F329" t="str">
        <f>"str_"&amp;Table1[[#This Row],[VEHIDCODE]]</f>
        <v>str_mtro_Japan_Osaka_30000</v>
      </c>
      <c r="L329" t="b">
        <v>1</v>
      </c>
      <c r="AJ329" s="2"/>
      <c r="AK329" s="2" t="b">
        <f>LEN(_xlfn.CONCAT(Table1[[#This Row],[TRACK_TYPE_STANDARD_GAUGE_RAILTYPE_OHLE]:[TRACK_TYPE_MTRO]]))&gt;0</f>
        <v>1</v>
      </c>
      <c r="AL329">
        <v>8</v>
      </c>
      <c r="AM329" t="s">
        <v>326</v>
      </c>
      <c r="AN329">
        <v>1</v>
      </c>
      <c r="AO329" t="s">
        <v>19</v>
      </c>
      <c r="AP329">
        <v>140</v>
      </c>
      <c r="AQ329">
        <v>2009</v>
      </c>
      <c r="AR329">
        <v>8</v>
      </c>
      <c r="AS329" s="2" t="s">
        <v>327</v>
      </c>
      <c r="AT329" t="b">
        <v>1</v>
      </c>
      <c r="AU329" t="b">
        <v>1</v>
      </c>
      <c r="AV329" s="2"/>
      <c r="AW329" t="s">
        <v>21</v>
      </c>
      <c r="AX329">
        <v>1</v>
      </c>
      <c r="AY329">
        <v>750</v>
      </c>
      <c r="AZ329" t="s">
        <v>709</v>
      </c>
      <c r="BA329">
        <v>70</v>
      </c>
      <c r="BB329" s="2">
        <v>0.62</v>
      </c>
      <c r="BC329" t="s">
        <v>931</v>
      </c>
      <c r="BD329" t="s">
        <v>922</v>
      </c>
      <c r="BE329" t="s">
        <v>940</v>
      </c>
      <c r="BF329" s="7">
        <v>60</v>
      </c>
      <c r="BG3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29">
        <v>0</v>
      </c>
      <c r="BI329" t="s">
        <v>734</v>
      </c>
      <c r="BJ329" s="11">
        <v>140</v>
      </c>
      <c r="BK329" s="11">
        <v>8</v>
      </c>
      <c r="BL329" s="11">
        <v>30</v>
      </c>
      <c r="BM329">
        <v>0</v>
      </c>
      <c r="BN329" t="s">
        <v>692</v>
      </c>
      <c r="BO329" t="s">
        <v>694</v>
      </c>
      <c r="BP329" t="s">
        <v>701</v>
      </c>
      <c r="BQ329" t="s">
        <v>705</v>
      </c>
      <c r="BR329" t="s">
        <v>706</v>
      </c>
      <c r="BS329" t="s">
        <v>707</v>
      </c>
      <c r="CR329"/>
      <c r="CS329"/>
      <c r="CT329"/>
    </row>
    <row r="330" spans="1:98" x14ac:dyDescent="0.4">
      <c r="A330" s="2" t="s">
        <v>356</v>
      </c>
      <c r="B330" t="str">
        <f>_xlfn.TEXTAFTER(Table1[[#This Row],[VEHIDCODE]],"_")</f>
        <v>Singapore_Singapore_C151A</v>
      </c>
      <c r="C330" t="s">
        <v>741</v>
      </c>
      <c r="D330" t="b">
        <f>OR(ISNUMBER(SEARCH("wagon_",Table1[[#This Row],[FILENAMES_EXPECTED]])),ISNUMBER(SEARCH("coach_",Table1[[#This Row],[FILENAMES_EXPECTED]])))</f>
        <v>0</v>
      </c>
      <c r="E330" t="str">
        <f>"item_"&amp;Table1[[#This Row],[VEHIDCODE]]</f>
        <v>item_mtro_Singapore_Singapore_C151A</v>
      </c>
      <c r="F330" t="str">
        <f>"str_"&amp;Table1[[#This Row],[VEHIDCODE]]</f>
        <v>str_mtro_Singapore_Singapore_C151A</v>
      </c>
      <c r="L330" t="b">
        <v>1</v>
      </c>
      <c r="AJ330" s="2"/>
      <c r="AK330" s="2" t="b">
        <f>LEN(_xlfn.CONCAT(Table1[[#This Row],[TRACK_TYPE_STANDARD_GAUGE_RAILTYPE_OHLE]:[TRACK_TYPE_MTRO]]))&gt;0</f>
        <v>1</v>
      </c>
      <c r="AL330">
        <v>8</v>
      </c>
      <c r="AM330" t="s">
        <v>326</v>
      </c>
      <c r="AN330">
        <v>1</v>
      </c>
      <c r="AO330" t="s">
        <v>19</v>
      </c>
      <c r="AP330">
        <v>250</v>
      </c>
      <c r="AQ330">
        <v>2012</v>
      </c>
      <c r="AR330">
        <v>8</v>
      </c>
      <c r="AS330" s="2" t="s">
        <v>327</v>
      </c>
      <c r="AT330" t="b">
        <v>1</v>
      </c>
      <c r="AU330" t="b">
        <v>1</v>
      </c>
      <c r="AV330" s="2"/>
      <c r="AW330" t="s">
        <v>21</v>
      </c>
      <c r="AX330">
        <v>1</v>
      </c>
      <c r="AY330">
        <v>720</v>
      </c>
      <c r="AZ330" t="s">
        <v>709</v>
      </c>
      <c r="BA330">
        <v>90</v>
      </c>
      <c r="BB330" s="2">
        <v>0.81</v>
      </c>
      <c r="BC330" t="s">
        <v>931</v>
      </c>
      <c r="BD330" t="s">
        <v>922</v>
      </c>
      <c r="BE330" t="s">
        <v>940</v>
      </c>
      <c r="BF330" s="7">
        <v>60</v>
      </c>
      <c r="BG3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30">
        <v>0</v>
      </c>
      <c r="BI330" t="s">
        <v>734</v>
      </c>
      <c r="BJ330" s="11">
        <v>250</v>
      </c>
      <c r="BK330" s="11">
        <v>8</v>
      </c>
      <c r="BL330" s="11">
        <v>35</v>
      </c>
      <c r="BM330">
        <v>0</v>
      </c>
      <c r="BN330" t="s">
        <v>692</v>
      </c>
      <c r="BO330" t="s">
        <v>694</v>
      </c>
      <c r="BP330" t="s">
        <v>701</v>
      </c>
      <c r="BQ330" t="s">
        <v>705</v>
      </c>
      <c r="BR330" t="s">
        <v>706</v>
      </c>
      <c r="BS330" t="s">
        <v>707</v>
      </c>
      <c r="CR330"/>
      <c r="CS330"/>
      <c r="CT330"/>
    </row>
    <row r="331" spans="1:98" x14ac:dyDescent="0.4">
      <c r="A331" s="2" t="s">
        <v>357</v>
      </c>
      <c r="B331" t="str">
        <f>_xlfn.TEXTAFTER(Table1[[#This Row],[VEHIDCODE]],"_")</f>
        <v>USA_Washington_7000</v>
      </c>
      <c r="C331" t="s">
        <v>741</v>
      </c>
      <c r="D331" t="b">
        <f>OR(ISNUMBER(SEARCH("wagon_",Table1[[#This Row],[FILENAMES_EXPECTED]])),ISNUMBER(SEARCH("coach_",Table1[[#This Row],[FILENAMES_EXPECTED]])))</f>
        <v>0</v>
      </c>
      <c r="E331" t="str">
        <f>"item_"&amp;Table1[[#This Row],[VEHIDCODE]]</f>
        <v>item_mtro_USA_Washington_7000</v>
      </c>
      <c r="F331" t="str">
        <f>"str_"&amp;Table1[[#This Row],[VEHIDCODE]]</f>
        <v>str_mtro_USA_Washington_7000</v>
      </c>
      <c r="L331" t="b">
        <v>1</v>
      </c>
      <c r="AJ331" s="2"/>
      <c r="AK331" s="2" t="b">
        <f>LEN(_xlfn.CONCAT(Table1[[#This Row],[TRACK_TYPE_STANDARD_GAUGE_RAILTYPE_OHLE]:[TRACK_TYPE_MTRO]]))&gt;0</f>
        <v>1</v>
      </c>
      <c r="AL331">
        <v>8</v>
      </c>
      <c r="AM331" t="s">
        <v>326</v>
      </c>
      <c r="AN331">
        <v>1</v>
      </c>
      <c r="AO331" t="s">
        <v>19</v>
      </c>
      <c r="AP331">
        <v>184</v>
      </c>
      <c r="AQ331">
        <v>2013</v>
      </c>
      <c r="AR331">
        <v>8</v>
      </c>
      <c r="AS331" s="2" t="s">
        <v>327</v>
      </c>
      <c r="AT331" t="b">
        <v>1</v>
      </c>
      <c r="AU331" t="b">
        <v>1</v>
      </c>
      <c r="AV331" s="2"/>
      <c r="AW331" t="s">
        <v>21</v>
      </c>
      <c r="AX331">
        <v>1</v>
      </c>
      <c r="AY331">
        <v>720</v>
      </c>
      <c r="AZ331" t="s">
        <v>709</v>
      </c>
      <c r="BA331">
        <v>126</v>
      </c>
      <c r="BB331" s="2">
        <v>0.64</v>
      </c>
      <c r="BC331" t="s">
        <v>928</v>
      </c>
      <c r="BD331" t="s">
        <v>922</v>
      </c>
      <c r="BE331" t="s">
        <v>940</v>
      </c>
      <c r="BF331" s="7">
        <v>60</v>
      </c>
      <c r="BG3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31">
        <v>0</v>
      </c>
      <c r="BI331" t="s">
        <v>734</v>
      </c>
      <c r="BJ331" s="11">
        <v>184</v>
      </c>
      <c r="BK331" s="11">
        <v>8</v>
      </c>
      <c r="BL331" s="11">
        <v>36</v>
      </c>
      <c r="BM331">
        <v>0</v>
      </c>
      <c r="BN331" t="s">
        <v>692</v>
      </c>
      <c r="BO331" t="s">
        <v>694</v>
      </c>
      <c r="BP331" t="s">
        <v>701</v>
      </c>
      <c r="BQ331" t="s">
        <v>705</v>
      </c>
      <c r="BR331" t="s">
        <v>706</v>
      </c>
      <c r="BS331" t="s">
        <v>707</v>
      </c>
      <c r="CR331"/>
      <c r="CS331"/>
      <c r="CT331"/>
    </row>
    <row r="332" spans="1:98" x14ac:dyDescent="0.4">
      <c r="A332" s="2" t="s">
        <v>358</v>
      </c>
      <c r="B332" t="str">
        <f>_xlfn.TEXTAFTER(Table1[[#This Row],[VEHIDCODE]],"_")</f>
        <v>Greece_Thessaloniki_2014</v>
      </c>
      <c r="C332" t="s">
        <v>741</v>
      </c>
      <c r="D332" t="b">
        <f>OR(ISNUMBER(SEARCH("wagon_",Table1[[#This Row],[FILENAMES_EXPECTED]])),ISNUMBER(SEARCH("coach_",Table1[[#This Row],[FILENAMES_EXPECTED]])))</f>
        <v>0</v>
      </c>
      <c r="E332" t="str">
        <f>"item_"&amp;Table1[[#This Row],[VEHIDCODE]]</f>
        <v>item_mtro_Greece_Thessaloniki_2014</v>
      </c>
      <c r="F332" t="str">
        <f>"str_"&amp;Table1[[#This Row],[VEHIDCODE]]</f>
        <v>str_mtro_Greece_Thessaloniki_2014</v>
      </c>
      <c r="L332" t="b">
        <v>1</v>
      </c>
      <c r="AJ332" s="2"/>
      <c r="AK332" s="2" t="b">
        <f>LEN(_xlfn.CONCAT(Table1[[#This Row],[TRACK_TYPE_STANDARD_GAUGE_RAILTYPE_OHLE]:[TRACK_TYPE_MTRO]]))&gt;0</f>
        <v>1</v>
      </c>
      <c r="AL332">
        <v>6</v>
      </c>
      <c r="AM332" t="s">
        <v>326</v>
      </c>
      <c r="AN332">
        <v>1</v>
      </c>
      <c r="AO332" t="s">
        <v>19</v>
      </c>
      <c r="AP332">
        <v>110</v>
      </c>
      <c r="AQ332">
        <v>2014</v>
      </c>
      <c r="AR332">
        <v>6</v>
      </c>
      <c r="AS332" s="2" t="s">
        <v>327</v>
      </c>
      <c r="AT332" t="b">
        <v>1</v>
      </c>
      <c r="AU332" t="b">
        <v>1</v>
      </c>
      <c r="AV332" s="2"/>
      <c r="AW332" t="s">
        <v>21</v>
      </c>
      <c r="AX332">
        <v>1</v>
      </c>
      <c r="AY332">
        <v>255</v>
      </c>
      <c r="AZ332" t="s">
        <v>709</v>
      </c>
      <c r="BA332">
        <v>90</v>
      </c>
      <c r="BB332" s="2">
        <v>0.97</v>
      </c>
      <c r="BC332" t="s">
        <v>924</v>
      </c>
      <c r="BD332" t="s">
        <v>922</v>
      </c>
      <c r="BE332" t="s">
        <v>940</v>
      </c>
      <c r="BF332" s="7">
        <v>60</v>
      </c>
      <c r="BG3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32">
        <v>0</v>
      </c>
      <c r="BI332" t="s">
        <v>734</v>
      </c>
      <c r="BJ332" s="11">
        <v>110</v>
      </c>
      <c r="BK332" s="11">
        <v>6</v>
      </c>
      <c r="BL332" s="11">
        <v>18</v>
      </c>
      <c r="BM332">
        <v>0</v>
      </c>
      <c r="BN332" t="s">
        <v>692</v>
      </c>
      <c r="BO332" t="s">
        <v>694</v>
      </c>
      <c r="BP332" t="s">
        <v>701</v>
      </c>
      <c r="BQ332" t="s">
        <v>705</v>
      </c>
      <c r="BR332" t="s">
        <v>706</v>
      </c>
      <c r="BS332" t="s">
        <v>707</v>
      </c>
      <c r="CR332"/>
      <c r="CS332"/>
      <c r="CT332"/>
    </row>
    <row r="333" spans="1:98" x14ac:dyDescent="0.4">
      <c r="A333" s="2" t="s">
        <v>359</v>
      </c>
      <c r="B333" t="str">
        <f>_xlfn.TEXTAFTER(Table1[[#This Row],[VEHIDCODE]],"_")</f>
        <v>Germany_Berlin_U_Bahn_A_I</v>
      </c>
      <c r="C333" t="s">
        <v>741</v>
      </c>
      <c r="D333" t="b">
        <f>OR(ISNUMBER(SEARCH("wagon_",Table1[[#This Row],[FILENAMES_EXPECTED]])),ISNUMBER(SEARCH("coach_",Table1[[#This Row],[FILENAMES_EXPECTED]])))</f>
        <v>0</v>
      </c>
      <c r="E333" t="str">
        <f>"item_"&amp;Table1[[#This Row],[VEHIDCODE]]</f>
        <v>item_mtro_Germany_Berlin_U_Bahn_A_I</v>
      </c>
      <c r="F333" t="str">
        <f>"str_"&amp;Table1[[#This Row],[VEHIDCODE]]</f>
        <v>str_mtro_Germany_Berlin_U_Bahn_A_I</v>
      </c>
      <c r="L333" t="b">
        <v>1</v>
      </c>
      <c r="AJ333" s="2"/>
      <c r="AK333" s="2" t="b">
        <f>LEN(_xlfn.CONCAT(Table1[[#This Row],[TRACK_TYPE_STANDARD_GAUGE_RAILTYPE_OHLE]:[TRACK_TYPE_MTRO]]))&gt;0</f>
        <v>1</v>
      </c>
      <c r="AL333">
        <v>5</v>
      </c>
      <c r="AM333" t="s">
        <v>326</v>
      </c>
      <c r="AN333">
        <v>1</v>
      </c>
      <c r="AO333" t="s">
        <v>19</v>
      </c>
      <c r="AP333">
        <v>88</v>
      </c>
      <c r="AQ333">
        <v>1901</v>
      </c>
      <c r="AR333">
        <v>5</v>
      </c>
      <c r="AS333" s="2" t="s">
        <v>327</v>
      </c>
      <c r="AT333" t="b">
        <v>1</v>
      </c>
      <c r="AU333" t="b">
        <v>1</v>
      </c>
      <c r="AV333" s="2"/>
      <c r="AW333">
        <v>45</v>
      </c>
      <c r="AX333">
        <v>1</v>
      </c>
      <c r="AY333">
        <v>321</v>
      </c>
      <c r="AZ333" t="s">
        <v>709</v>
      </c>
      <c r="BA333">
        <v>50</v>
      </c>
      <c r="BB333" s="2">
        <v>0.14000000000000001</v>
      </c>
      <c r="BC333" t="s">
        <v>923</v>
      </c>
      <c r="BD333" t="s">
        <v>922</v>
      </c>
      <c r="BE333" t="s">
        <v>940</v>
      </c>
      <c r="BF333" s="7">
        <v>60</v>
      </c>
      <c r="BG3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33">
        <v>0</v>
      </c>
      <c r="BI333" t="s">
        <v>734</v>
      </c>
      <c r="BJ333" s="11">
        <v>88</v>
      </c>
      <c r="BK333" s="11">
        <v>5</v>
      </c>
      <c r="BL333" s="11">
        <v>29</v>
      </c>
      <c r="BM333">
        <v>0</v>
      </c>
      <c r="BN333" t="s">
        <v>692</v>
      </c>
      <c r="BO333" t="s">
        <v>694</v>
      </c>
      <c r="BP333" t="s">
        <v>701</v>
      </c>
      <c r="BQ333" t="s">
        <v>705</v>
      </c>
      <c r="BR333" t="s">
        <v>706</v>
      </c>
      <c r="BS333" t="s">
        <v>707</v>
      </c>
      <c r="CR333"/>
      <c r="CS333"/>
      <c r="CT333"/>
    </row>
    <row r="334" spans="1:98" x14ac:dyDescent="0.4">
      <c r="A334" s="2" t="s">
        <v>360</v>
      </c>
      <c r="B334" t="str">
        <f>_xlfn.TEXTAFTER(Table1[[#This Row],[VEHIDCODE]],"_")</f>
        <v>USA_NY_Hedley_Hi_V</v>
      </c>
      <c r="C334" t="s">
        <v>741</v>
      </c>
      <c r="D334" t="b">
        <f>OR(ISNUMBER(SEARCH("wagon_",Table1[[#This Row],[FILENAMES_EXPECTED]])),ISNUMBER(SEARCH("coach_",Table1[[#This Row],[FILENAMES_EXPECTED]])))</f>
        <v>0</v>
      </c>
      <c r="E334" t="str">
        <f>"item_"&amp;Table1[[#This Row],[VEHIDCODE]]</f>
        <v>item_mtro_USA_NY_Hedley_Hi_V</v>
      </c>
      <c r="F334" t="str">
        <f>"str_"&amp;Table1[[#This Row],[VEHIDCODE]]</f>
        <v>str_mtro_USA_NY_Hedley_Hi_V</v>
      </c>
      <c r="L334" t="b">
        <v>1</v>
      </c>
      <c r="AJ334" s="2"/>
      <c r="AK334" s="2" t="b">
        <f>LEN(_xlfn.CONCAT(Table1[[#This Row],[TRACK_TYPE_STANDARD_GAUGE_RAILTYPE_OHLE]:[TRACK_TYPE_MTRO]]))&gt;0</f>
        <v>1</v>
      </c>
      <c r="AL334">
        <v>8</v>
      </c>
      <c r="AM334" t="s">
        <v>326</v>
      </c>
      <c r="AN334">
        <v>1</v>
      </c>
      <c r="AO334" t="s">
        <v>19</v>
      </c>
      <c r="AP334">
        <v>128</v>
      </c>
      <c r="AQ334">
        <v>1910</v>
      </c>
      <c r="AR334">
        <v>8</v>
      </c>
      <c r="AS334" s="2" t="s">
        <v>327</v>
      </c>
      <c r="AT334" t="b">
        <v>1</v>
      </c>
      <c r="AU334" t="b">
        <v>1</v>
      </c>
      <c r="AV334" s="2"/>
      <c r="AW334">
        <v>45</v>
      </c>
      <c r="AX334">
        <v>1</v>
      </c>
      <c r="AY334">
        <v>400</v>
      </c>
      <c r="AZ334" t="s">
        <v>709</v>
      </c>
      <c r="BA334">
        <v>90</v>
      </c>
      <c r="BB334" s="2">
        <v>0.2</v>
      </c>
      <c r="BC334" t="s">
        <v>928</v>
      </c>
      <c r="BD334" t="s">
        <v>922</v>
      </c>
      <c r="BE334" t="s">
        <v>940</v>
      </c>
      <c r="BF334" s="7">
        <v>60</v>
      </c>
      <c r="BG3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34">
        <v>0</v>
      </c>
      <c r="BI334" t="s">
        <v>734</v>
      </c>
      <c r="BJ334" s="11">
        <v>128</v>
      </c>
      <c r="BK334" s="11">
        <v>8</v>
      </c>
      <c r="BL334" s="11">
        <v>36</v>
      </c>
      <c r="BM334">
        <v>0</v>
      </c>
      <c r="BN334" t="s">
        <v>692</v>
      </c>
      <c r="BO334" t="s">
        <v>694</v>
      </c>
      <c r="BP334" t="s">
        <v>701</v>
      </c>
      <c r="BQ334" t="s">
        <v>705</v>
      </c>
      <c r="BR334" t="s">
        <v>706</v>
      </c>
      <c r="BS334" t="s">
        <v>707</v>
      </c>
      <c r="CR334"/>
      <c r="CS334"/>
      <c r="CT334"/>
    </row>
    <row r="335" spans="1:98" x14ac:dyDescent="0.4">
      <c r="A335" s="2" t="s">
        <v>361</v>
      </c>
      <c r="B335" t="str">
        <f>_xlfn.TEXTAFTER(Table1[[#This Row],[VEHIDCODE]],"_")</f>
        <v>Japan_Osaka_1000</v>
      </c>
      <c r="C335" t="s">
        <v>741</v>
      </c>
      <c r="D335" t="b">
        <f>OR(ISNUMBER(SEARCH("wagon_",Table1[[#This Row],[FILENAMES_EXPECTED]])),ISNUMBER(SEARCH("coach_",Table1[[#This Row],[FILENAMES_EXPECTED]])))</f>
        <v>0</v>
      </c>
      <c r="E335" t="str">
        <f>"item_"&amp;Table1[[#This Row],[VEHIDCODE]]</f>
        <v>item_mtro_Japan_Osaka_1000</v>
      </c>
      <c r="F335" t="str">
        <f>"str_"&amp;Table1[[#This Row],[VEHIDCODE]]</f>
        <v>str_mtro_Japan_Osaka_1000</v>
      </c>
      <c r="L335" t="b">
        <v>1</v>
      </c>
      <c r="AJ335" s="2"/>
      <c r="AK335" s="2" t="b">
        <f>LEN(_xlfn.CONCAT(Table1[[#This Row],[TRACK_TYPE_STANDARD_GAUGE_RAILTYPE_OHLE]:[TRACK_TYPE_MTRO]]))&gt;0</f>
        <v>1</v>
      </c>
      <c r="AL335">
        <v>7</v>
      </c>
      <c r="AM335" t="s">
        <v>326</v>
      </c>
      <c r="AN335">
        <v>1</v>
      </c>
      <c r="AO335" t="s">
        <v>19</v>
      </c>
      <c r="AP335">
        <v>145</v>
      </c>
      <c r="AQ335">
        <v>1933</v>
      </c>
      <c r="AR335">
        <v>7</v>
      </c>
      <c r="AS335" s="2" t="s">
        <v>327</v>
      </c>
      <c r="AT335" t="b">
        <v>1</v>
      </c>
      <c r="AU335" t="b">
        <v>1</v>
      </c>
      <c r="AV335" s="2"/>
      <c r="AW335">
        <v>45</v>
      </c>
      <c r="AX335">
        <v>1</v>
      </c>
      <c r="AY335">
        <v>200</v>
      </c>
      <c r="AZ335" t="s">
        <v>709</v>
      </c>
      <c r="BA335">
        <v>65</v>
      </c>
      <c r="BB335" s="2">
        <v>0.24</v>
      </c>
      <c r="BC335" t="s">
        <v>931</v>
      </c>
      <c r="BD335" t="s">
        <v>922</v>
      </c>
      <c r="BE335" t="s">
        <v>940</v>
      </c>
      <c r="BF335" s="7">
        <v>60</v>
      </c>
      <c r="BG3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35">
        <v>0</v>
      </c>
      <c r="BI335" t="s">
        <v>734</v>
      </c>
      <c r="BJ335" s="11">
        <v>145</v>
      </c>
      <c r="BK335" s="11">
        <v>7</v>
      </c>
      <c r="BL335" s="11">
        <v>35</v>
      </c>
      <c r="BM335">
        <v>0</v>
      </c>
      <c r="BN335" t="s">
        <v>692</v>
      </c>
      <c r="BO335" t="s">
        <v>694</v>
      </c>
      <c r="BP335" t="s">
        <v>701</v>
      </c>
      <c r="BQ335" t="s">
        <v>705</v>
      </c>
      <c r="BR335" t="s">
        <v>706</v>
      </c>
      <c r="BS335" t="s">
        <v>707</v>
      </c>
      <c r="CR335"/>
      <c r="CS335"/>
      <c r="CT335"/>
    </row>
    <row r="336" spans="1:98" x14ac:dyDescent="0.4">
      <c r="A336" s="2" t="s">
        <v>362</v>
      </c>
      <c r="B336" t="str">
        <f>_xlfn.TEXTAFTER(Table1[[#This Row],[VEHIDCODE]],"_")</f>
        <v>Russia_Moscow_Type_A</v>
      </c>
      <c r="C336" t="s">
        <v>741</v>
      </c>
      <c r="D336" t="b">
        <f>OR(ISNUMBER(SEARCH("wagon_",Table1[[#This Row],[FILENAMES_EXPECTED]])),ISNUMBER(SEARCH("coach_",Table1[[#This Row],[FILENAMES_EXPECTED]])))</f>
        <v>0</v>
      </c>
      <c r="E336" t="str">
        <f>"item_"&amp;Table1[[#This Row],[VEHIDCODE]]</f>
        <v>item_mtro_Russia_Moscow_Type_A</v>
      </c>
      <c r="F336" t="str">
        <f>"str_"&amp;Table1[[#This Row],[VEHIDCODE]]</f>
        <v>str_mtro_Russia_Moscow_Type_A</v>
      </c>
      <c r="AD336" t="b">
        <v>1</v>
      </c>
      <c r="AJ336" s="2"/>
      <c r="AK336" s="2" t="b">
        <f>LEN(_xlfn.CONCAT(Table1[[#This Row],[TRACK_TYPE_STANDARD_GAUGE_RAILTYPE_OHLE]:[TRACK_TYPE_MTRO]]))&gt;0</f>
        <v>1</v>
      </c>
      <c r="AL336">
        <v>7</v>
      </c>
      <c r="AM336" t="s">
        <v>326</v>
      </c>
      <c r="AN336">
        <v>1</v>
      </c>
      <c r="AO336" t="s">
        <v>19</v>
      </c>
      <c r="AP336">
        <v>131</v>
      </c>
      <c r="AQ336">
        <v>1934</v>
      </c>
      <c r="AR336">
        <v>7</v>
      </c>
      <c r="AS336" s="2" t="s">
        <v>327</v>
      </c>
      <c r="AT336" t="b">
        <v>1</v>
      </c>
      <c r="AU336" t="b">
        <v>1</v>
      </c>
      <c r="AV336" s="2"/>
      <c r="AW336">
        <v>45</v>
      </c>
      <c r="AX336">
        <v>1</v>
      </c>
      <c r="AY336">
        <v>205</v>
      </c>
      <c r="AZ336" t="s">
        <v>709</v>
      </c>
      <c r="BA336">
        <v>65</v>
      </c>
      <c r="BB336" s="2">
        <v>0.14000000000000001</v>
      </c>
      <c r="BC336" t="s">
        <v>931</v>
      </c>
      <c r="BD336" t="s">
        <v>922</v>
      </c>
      <c r="BE336" t="s">
        <v>940</v>
      </c>
      <c r="BF336" s="7">
        <v>60</v>
      </c>
      <c r="BG3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36">
        <v>0</v>
      </c>
      <c r="BI336" t="s">
        <v>734</v>
      </c>
      <c r="BJ336" s="11">
        <v>131</v>
      </c>
      <c r="BK336" s="11">
        <v>7</v>
      </c>
      <c r="BL336" s="11">
        <v>51</v>
      </c>
      <c r="BM336">
        <v>0</v>
      </c>
      <c r="BN336" t="s">
        <v>692</v>
      </c>
      <c r="BO336" t="s">
        <v>694</v>
      </c>
      <c r="BP336" t="s">
        <v>701</v>
      </c>
      <c r="BQ336" t="s">
        <v>705</v>
      </c>
      <c r="BR336" t="s">
        <v>706</v>
      </c>
      <c r="BS336" t="s">
        <v>707</v>
      </c>
      <c r="CR336"/>
      <c r="CS336"/>
      <c r="CT336"/>
    </row>
    <row r="337" spans="1:98" x14ac:dyDescent="0.4">
      <c r="A337" s="2" t="s">
        <v>363</v>
      </c>
      <c r="B337" t="str">
        <f>_xlfn.TEXTAFTER(Table1[[#This Row],[VEHIDCODE]],"_")</f>
        <v>USA_NY_R10</v>
      </c>
      <c r="C337" t="s">
        <v>741</v>
      </c>
      <c r="D337" t="b">
        <f>OR(ISNUMBER(SEARCH("wagon_",Table1[[#This Row],[FILENAMES_EXPECTED]])),ISNUMBER(SEARCH("coach_",Table1[[#This Row],[FILENAMES_EXPECTED]])))</f>
        <v>0</v>
      </c>
      <c r="E337" t="str">
        <f>"item_"&amp;Table1[[#This Row],[VEHIDCODE]]</f>
        <v>item_mtro_USA_NY_R10</v>
      </c>
      <c r="F337" t="str">
        <f>"str_"&amp;Table1[[#This Row],[VEHIDCODE]]</f>
        <v>str_mtro_USA_NY_R10</v>
      </c>
      <c r="L337" t="b">
        <v>1</v>
      </c>
      <c r="AJ337" s="2"/>
      <c r="AK337" s="2" t="b">
        <f>LEN(_xlfn.CONCAT(Table1[[#This Row],[TRACK_TYPE_STANDARD_GAUGE_RAILTYPE_OHLE]:[TRACK_TYPE_MTRO]]))&gt;0</f>
        <v>1</v>
      </c>
      <c r="AL337">
        <v>8</v>
      </c>
      <c r="AM337" t="s">
        <v>326</v>
      </c>
      <c r="AN337">
        <v>1</v>
      </c>
      <c r="AO337" t="s">
        <v>19</v>
      </c>
      <c r="AP337">
        <v>160</v>
      </c>
      <c r="AQ337">
        <v>1948</v>
      </c>
      <c r="AR337">
        <v>8</v>
      </c>
      <c r="AS337" s="2" t="s">
        <v>327</v>
      </c>
      <c r="AT337" t="b">
        <v>1</v>
      </c>
      <c r="AU337" t="b">
        <v>1</v>
      </c>
      <c r="AV337" s="2"/>
      <c r="AW337">
        <v>45</v>
      </c>
      <c r="AX337">
        <v>1</v>
      </c>
      <c r="AY337">
        <v>400</v>
      </c>
      <c r="AZ337" t="s">
        <v>709</v>
      </c>
      <c r="BA337">
        <v>90</v>
      </c>
      <c r="BB337" s="2">
        <v>0.2</v>
      </c>
      <c r="BC337" t="s">
        <v>928</v>
      </c>
      <c r="BD337" t="s">
        <v>922</v>
      </c>
      <c r="BE337" t="s">
        <v>940</v>
      </c>
      <c r="BF337" s="7">
        <v>60</v>
      </c>
      <c r="BG3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37">
        <v>0</v>
      </c>
      <c r="BI337" t="s">
        <v>734</v>
      </c>
      <c r="BJ337" s="11">
        <v>160</v>
      </c>
      <c r="BK337" s="11">
        <v>8</v>
      </c>
      <c r="BL337" s="11">
        <v>36</v>
      </c>
      <c r="BM337">
        <v>0</v>
      </c>
      <c r="BN337" t="s">
        <v>692</v>
      </c>
      <c r="BO337" t="s">
        <v>694</v>
      </c>
      <c r="BP337" t="s">
        <v>701</v>
      </c>
      <c r="BQ337" t="s">
        <v>705</v>
      </c>
      <c r="BR337" t="s">
        <v>706</v>
      </c>
      <c r="BS337" t="s">
        <v>707</v>
      </c>
      <c r="CR337"/>
      <c r="CS337"/>
      <c r="CT337"/>
    </row>
    <row r="338" spans="1:98" x14ac:dyDescent="0.4">
      <c r="A338" s="2" t="s">
        <v>364</v>
      </c>
      <c r="B338" t="str">
        <f>_xlfn.TEXTAFTER(Table1[[#This Row],[VEHIDCODE]],"_")</f>
        <v>Italy_Rome_MR_100</v>
      </c>
      <c r="C338" t="s">
        <v>741</v>
      </c>
      <c r="D338" t="b">
        <f>OR(ISNUMBER(SEARCH("wagon_",Table1[[#This Row],[FILENAMES_EXPECTED]])),ISNUMBER(SEARCH("coach_",Table1[[#This Row],[FILENAMES_EXPECTED]])))</f>
        <v>0</v>
      </c>
      <c r="E338" t="str">
        <f>"item_"&amp;Table1[[#This Row],[VEHIDCODE]]</f>
        <v>item_mtro_Italy_Rome_MR_100</v>
      </c>
      <c r="F338" t="str">
        <f>"str_"&amp;Table1[[#This Row],[VEHIDCODE]]</f>
        <v>str_mtro_Italy_Rome_MR_100</v>
      </c>
      <c r="L338" t="b">
        <v>1</v>
      </c>
      <c r="AJ338" s="2"/>
      <c r="AK338" s="2" t="b">
        <f>LEN(_xlfn.CONCAT(Table1[[#This Row],[TRACK_TYPE_STANDARD_GAUGE_RAILTYPE_OHLE]:[TRACK_TYPE_MTRO]]))&gt;0</f>
        <v>1</v>
      </c>
      <c r="AL338">
        <v>7</v>
      </c>
      <c r="AM338" t="s">
        <v>326</v>
      </c>
      <c r="AN338">
        <v>1</v>
      </c>
      <c r="AO338" t="s">
        <v>19</v>
      </c>
      <c r="AP338">
        <v>156</v>
      </c>
      <c r="AQ338">
        <v>1954</v>
      </c>
      <c r="AR338">
        <v>7</v>
      </c>
      <c r="AS338" s="2" t="s">
        <v>327</v>
      </c>
      <c r="AT338" t="b">
        <v>1</v>
      </c>
      <c r="AU338" t="b">
        <v>1</v>
      </c>
      <c r="AV338" s="2"/>
      <c r="AW338">
        <v>45</v>
      </c>
      <c r="AX338">
        <v>1</v>
      </c>
      <c r="AY338">
        <v>237</v>
      </c>
      <c r="AZ338" t="s">
        <v>709</v>
      </c>
      <c r="BA338">
        <v>100</v>
      </c>
      <c r="BB338" s="2">
        <v>0.15</v>
      </c>
      <c r="BC338" t="s">
        <v>924</v>
      </c>
      <c r="BD338" t="s">
        <v>922</v>
      </c>
      <c r="BE338" t="s">
        <v>940</v>
      </c>
      <c r="BF338" s="7">
        <v>60</v>
      </c>
      <c r="BG3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38">
        <v>0</v>
      </c>
      <c r="BI338" t="s">
        <v>734</v>
      </c>
      <c r="BJ338" s="11">
        <v>156</v>
      </c>
      <c r="BK338" s="11">
        <v>7</v>
      </c>
      <c r="BL338" s="11">
        <v>40</v>
      </c>
      <c r="BM338">
        <v>0</v>
      </c>
      <c r="BN338" t="s">
        <v>692</v>
      </c>
      <c r="BO338" t="s">
        <v>694</v>
      </c>
      <c r="BP338" t="s">
        <v>701</v>
      </c>
      <c r="BQ338" t="s">
        <v>705</v>
      </c>
      <c r="BR338" t="s">
        <v>706</v>
      </c>
      <c r="BS338" t="s">
        <v>707</v>
      </c>
      <c r="CR338"/>
      <c r="CS338"/>
      <c r="CT338"/>
    </row>
    <row r="339" spans="1:98" x14ac:dyDescent="0.4">
      <c r="A339" s="2" t="s">
        <v>365</v>
      </c>
      <c r="B339" t="str">
        <f>_xlfn.TEXTAFTER(Table1[[#This Row],[VEHIDCODE]],"_")</f>
        <v>Russia_Moscow_Type_D</v>
      </c>
      <c r="C339" t="s">
        <v>741</v>
      </c>
      <c r="D339" t="b">
        <f>OR(ISNUMBER(SEARCH("wagon_",Table1[[#This Row],[FILENAMES_EXPECTED]])),ISNUMBER(SEARCH("coach_",Table1[[#This Row],[FILENAMES_EXPECTED]])))</f>
        <v>0</v>
      </c>
      <c r="E339" t="str">
        <f>"item_"&amp;Table1[[#This Row],[VEHIDCODE]]</f>
        <v>item_mtro_Russia_Moscow_Type_D</v>
      </c>
      <c r="F339" t="str">
        <f>"str_"&amp;Table1[[#This Row],[VEHIDCODE]]</f>
        <v>str_mtro_Russia_Moscow_Type_D</v>
      </c>
      <c r="AD339" t="b">
        <v>1</v>
      </c>
      <c r="AJ339" s="2"/>
      <c r="AK339" s="2" t="b">
        <f>LEN(_xlfn.CONCAT(Table1[[#This Row],[TRACK_TYPE_STANDARD_GAUGE_RAILTYPE_OHLE]:[TRACK_TYPE_MTRO]]))&gt;0</f>
        <v>1</v>
      </c>
      <c r="AL339">
        <v>8</v>
      </c>
      <c r="AM339" t="s">
        <v>326</v>
      </c>
      <c r="AN339">
        <v>1</v>
      </c>
      <c r="AO339" t="s">
        <v>19</v>
      </c>
      <c r="AP339">
        <v>132</v>
      </c>
      <c r="AQ339">
        <v>1955</v>
      </c>
      <c r="AR339">
        <v>8</v>
      </c>
      <c r="AS339" s="2" t="s">
        <v>327</v>
      </c>
      <c r="AT339" t="b">
        <v>1</v>
      </c>
      <c r="AU339" t="b">
        <v>1</v>
      </c>
      <c r="AV339" s="2"/>
      <c r="AW339">
        <v>45</v>
      </c>
      <c r="AX339">
        <v>1</v>
      </c>
      <c r="AY339">
        <v>192</v>
      </c>
      <c r="AZ339" t="s">
        <v>709</v>
      </c>
      <c r="BA339">
        <v>75</v>
      </c>
      <c r="BB339" s="2">
        <v>0.21</v>
      </c>
      <c r="BC339" t="s">
        <v>931</v>
      </c>
      <c r="BD339" t="s">
        <v>922</v>
      </c>
      <c r="BE339" t="s">
        <v>940</v>
      </c>
      <c r="BF339" s="7">
        <v>60</v>
      </c>
      <c r="BG3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39">
        <v>0</v>
      </c>
      <c r="BI339" t="s">
        <v>734</v>
      </c>
      <c r="BJ339" s="11">
        <v>132</v>
      </c>
      <c r="BK339" s="11">
        <v>8</v>
      </c>
      <c r="BL339" s="11">
        <v>36</v>
      </c>
      <c r="BM339">
        <v>0</v>
      </c>
      <c r="BN339" t="s">
        <v>692</v>
      </c>
      <c r="BO339" t="s">
        <v>694</v>
      </c>
      <c r="BP339" t="s">
        <v>701</v>
      </c>
      <c r="BQ339" t="s">
        <v>705</v>
      </c>
      <c r="BR339" t="s">
        <v>706</v>
      </c>
      <c r="BS339" t="s">
        <v>707</v>
      </c>
      <c r="CR339"/>
      <c r="CS339"/>
      <c r="CT339"/>
    </row>
    <row r="340" spans="1:98" x14ac:dyDescent="0.4">
      <c r="A340" s="2" t="s">
        <v>366</v>
      </c>
      <c r="B340" t="str">
        <f>_xlfn.TEXTAFTER(Table1[[#This Row],[VEHIDCODE]],"_")</f>
        <v>Netherlands_Rotterdam_MG2_Type_M</v>
      </c>
      <c r="C340" t="s">
        <v>741</v>
      </c>
      <c r="D340" t="b">
        <f>OR(ISNUMBER(SEARCH("wagon_",Table1[[#This Row],[FILENAMES_EXPECTED]])),ISNUMBER(SEARCH("coach_",Table1[[#This Row],[FILENAMES_EXPECTED]])))</f>
        <v>0</v>
      </c>
      <c r="E340" t="str">
        <f>"item_"&amp;Table1[[#This Row],[VEHIDCODE]]</f>
        <v>item_mtro_Netherlands_Rotterdam_MG2_Type_M</v>
      </c>
      <c r="F340" t="str">
        <f>"str_"&amp;Table1[[#This Row],[VEHIDCODE]]</f>
        <v>str_mtro_Netherlands_Rotterdam_MG2_Type_M</v>
      </c>
      <c r="L340" t="b">
        <v>1</v>
      </c>
      <c r="AJ340" s="2"/>
      <c r="AK340" s="2" t="b">
        <f>LEN(_xlfn.CONCAT(Table1[[#This Row],[TRACK_TYPE_STANDARD_GAUGE_RAILTYPE_OHLE]:[TRACK_TYPE_MTRO]]))&gt;0</f>
        <v>1</v>
      </c>
      <c r="AL340">
        <v>7</v>
      </c>
      <c r="AM340" t="s">
        <v>326</v>
      </c>
      <c r="AN340">
        <v>1</v>
      </c>
      <c r="AO340" t="s">
        <v>19</v>
      </c>
      <c r="AP340">
        <v>235</v>
      </c>
      <c r="AQ340">
        <v>1968</v>
      </c>
      <c r="AR340">
        <v>7</v>
      </c>
      <c r="AS340" s="2" t="s">
        <v>327</v>
      </c>
      <c r="AT340" t="b">
        <v>1</v>
      </c>
      <c r="AU340" t="b">
        <v>1</v>
      </c>
      <c r="AV340" s="2"/>
      <c r="AW340">
        <v>45</v>
      </c>
      <c r="AX340">
        <v>1</v>
      </c>
      <c r="AY340">
        <v>197</v>
      </c>
      <c r="AZ340" t="s">
        <v>709</v>
      </c>
      <c r="BA340">
        <v>80</v>
      </c>
      <c r="BB340" s="2">
        <v>0.3</v>
      </c>
      <c r="BC340" t="s">
        <v>923</v>
      </c>
      <c r="BD340" t="s">
        <v>922</v>
      </c>
      <c r="BE340" t="s">
        <v>940</v>
      </c>
      <c r="BF340" s="7">
        <v>60</v>
      </c>
      <c r="BG3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40">
        <v>0</v>
      </c>
      <c r="BI340" t="s">
        <v>734</v>
      </c>
      <c r="BJ340" s="11">
        <v>235</v>
      </c>
      <c r="BK340" s="11">
        <v>7</v>
      </c>
      <c r="BL340" s="11">
        <v>20</v>
      </c>
      <c r="BM340">
        <v>0</v>
      </c>
      <c r="BN340" t="s">
        <v>692</v>
      </c>
      <c r="BO340" t="s">
        <v>694</v>
      </c>
      <c r="BP340" t="s">
        <v>701</v>
      </c>
      <c r="BQ340" t="s">
        <v>705</v>
      </c>
      <c r="BR340" t="s">
        <v>706</v>
      </c>
      <c r="BS340" t="s">
        <v>707</v>
      </c>
      <c r="CR340"/>
      <c r="CS340"/>
      <c r="CT340"/>
    </row>
    <row r="341" spans="1:98" x14ac:dyDescent="0.4">
      <c r="A341" s="2" t="s">
        <v>367</v>
      </c>
      <c r="B341" t="str">
        <f>_xlfn.TEXTAFTER(Table1[[#This Row],[VEHIDCODE]],"_")</f>
        <v>Czech_Republic_Prague_ECS_Set</v>
      </c>
      <c r="C341" t="s">
        <v>741</v>
      </c>
      <c r="D341" t="b">
        <f>OR(ISNUMBER(SEARCH("wagon_",Table1[[#This Row],[FILENAMES_EXPECTED]])),ISNUMBER(SEARCH("coach_",Table1[[#This Row],[FILENAMES_EXPECTED]])))</f>
        <v>0</v>
      </c>
      <c r="E341" t="str">
        <f>"item_"&amp;Table1[[#This Row],[VEHIDCODE]]</f>
        <v>item_mtro_Czech_Republic_Prague_ECS_Set</v>
      </c>
      <c r="F341" t="str">
        <f>"str_"&amp;Table1[[#This Row],[VEHIDCODE]]</f>
        <v>str_mtro_Czech_Republic_Prague_ECS_Set</v>
      </c>
      <c r="L341" t="b">
        <v>1</v>
      </c>
      <c r="AJ341" s="2"/>
      <c r="AK341" s="2" t="b">
        <f>LEN(_xlfn.CONCAT(Table1[[#This Row],[TRACK_TYPE_STANDARD_GAUGE_RAILTYPE_OHLE]:[TRACK_TYPE_MTRO]]))&gt;0</f>
        <v>1</v>
      </c>
      <c r="AL341">
        <v>8</v>
      </c>
      <c r="AM341" t="s">
        <v>326</v>
      </c>
      <c r="AN341">
        <v>1</v>
      </c>
      <c r="AO341" t="s">
        <v>19</v>
      </c>
      <c r="AP341">
        <v>150</v>
      </c>
      <c r="AQ341">
        <v>1972</v>
      </c>
      <c r="AR341">
        <v>8</v>
      </c>
      <c r="AS341" s="2" t="s">
        <v>327</v>
      </c>
      <c r="AT341" t="b">
        <v>1</v>
      </c>
      <c r="AU341" t="b">
        <v>1</v>
      </c>
      <c r="AV341" s="2"/>
      <c r="AW341">
        <v>45</v>
      </c>
      <c r="AX341">
        <v>1</v>
      </c>
      <c r="AY341">
        <v>192</v>
      </c>
      <c r="AZ341" t="s">
        <v>709</v>
      </c>
      <c r="BA341">
        <v>80</v>
      </c>
      <c r="BB341" s="2">
        <v>0.16</v>
      </c>
      <c r="BC341" t="s">
        <v>929</v>
      </c>
      <c r="BD341" t="s">
        <v>922</v>
      </c>
      <c r="BE341" t="s">
        <v>940</v>
      </c>
      <c r="BF341" s="7">
        <v>60</v>
      </c>
      <c r="BG3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41">
        <v>0</v>
      </c>
      <c r="BI341" t="s">
        <v>734</v>
      </c>
      <c r="BJ341" s="11">
        <v>150</v>
      </c>
      <c r="BK341" s="11">
        <v>8</v>
      </c>
      <c r="BL341" s="11">
        <v>33</v>
      </c>
      <c r="BM341">
        <v>0</v>
      </c>
      <c r="BN341" t="s">
        <v>692</v>
      </c>
      <c r="BO341" t="s">
        <v>694</v>
      </c>
      <c r="BP341" t="s">
        <v>701</v>
      </c>
      <c r="BQ341" t="s">
        <v>705</v>
      </c>
      <c r="BR341" t="s">
        <v>706</v>
      </c>
      <c r="BS341" t="s">
        <v>707</v>
      </c>
      <c r="CR341"/>
      <c r="CS341"/>
      <c r="CT341"/>
    </row>
    <row r="342" spans="1:98" x14ac:dyDescent="0.4">
      <c r="A342" s="2" t="s">
        <v>368</v>
      </c>
      <c r="B342" t="str">
        <f>_xlfn.TEXTAFTER(Table1[[#This Row],[VEHIDCODE]],"_")</f>
        <v>Argentina_Buenos_Aires_Serie_1200</v>
      </c>
      <c r="C342" t="s">
        <v>741</v>
      </c>
      <c r="D342" t="b">
        <f>OR(ISNUMBER(SEARCH("wagon_",Table1[[#This Row],[FILENAMES_EXPECTED]])),ISNUMBER(SEARCH("coach_",Table1[[#This Row],[FILENAMES_EXPECTED]])))</f>
        <v>0</v>
      </c>
      <c r="E342" t="str">
        <f>"item_"&amp;Table1[[#This Row],[VEHIDCODE]]</f>
        <v>item_mtro_Argentina_Buenos_Aires_Serie_1200</v>
      </c>
      <c r="F342" t="str">
        <f>"str_"&amp;Table1[[#This Row],[VEHIDCODE]]</f>
        <v>str_mtro_Argentina_Buenos_Aires_Serie_1200</v>
      </c>
      <c r="L342" t="b">
        <v>1</v>
      </c>
      <c r="AJ342" s="2"/>
      <c r="AK342" s="2" t="b">
        <f>LEN(_xlfn.CONCAT(Table1[[#This Row],[TRACK_TYPE_STANDARD_GAUGE_RAILTYPE_OHLE]:[TRACK_TYPE_MTRO]]))&gt;0</f>
        <v>1</v>
      </c>
      <c r="AL342">
        <v>7</v>
      </c>
      <c r="AM342" t="s">
        <v>326</v>
      </c>
      <c r="AN342">
        <v>1</v>
      </c>
      <c r="AO342" t="s">
        <v>19</v>
      </c>
      <c r="AP342">
        <v>162</v>
      </c>
      <c r="AQ342">
        <v>1954</v>
      </c>
      <c r="AR342">
        <v>7</v>
      </c>
      <c r="AS342" s="2" t="s">
        <v>327</v>
      </c>
      <c r="AT342" t="b">
        <v>1</v>
      </c>
      <c r="AU342" t="b">
        <v>1</v>
      </c>
      <c r="AV342" s="2"/>
      <c r="AW342">
        <v>45</v>
      </c>
      <c r="AX342">
        <v>1</v>
      </c>
      <c r="AY342">
        <v>224</v>
      </c>
      <c r="AZ342" t="s">
        <v>709</v>
      </c>
      <c r="BA342">
        <v>75</v>
      </c>
      <c r="BB342" s="2">
        <v>0.25</v>
      </c>
      <c r="BC342" t="s">
        <v>930</v>
      </c>
      <c r="BD342" t="s">
        <v>922</v>
      </c>
      <c r="BE342" t="s">
        <v>940</v>
      </c>
      <c r="BF342" s="7">
        <v>40</v>
      </c>
      <c r="BG3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42">
        <v>0</v>
      </c>
      <c r="BI342" t="s">
        <v>734</v>
      </c>
      <c r="BJ342" s="11">
        <v>162</v>
      </c>
      <c r="BK342" s="11">
        <v>7</v>
      </c>
      <c r="BL342" s="11">
        <v>21</v>
      </c>
      <c r="BM342">
        <v>0</v>
      </c>
      <c r="BN342" t="s">
        <v>692</v>
      </c>
      <c r="BO342" t="s">
        <v>694</v>
      </c>
      <c r="BP342" t="s">
        <v>701</v>
      </c>
      <c r="BQ342" t="s">
        <v>705</v>
      </c>
      <c r="BR342" t="s">
        <v>706</v>
      </c>
      <c r="BS342" t="s">
        <v>707</v>
      </c>
      <c r="CR342"/>
      <c r="CS342"/>
      <c r="CT342"/>
    </row>
    <row r="343" spans="1:98" x14ac:dyDescent="0.4">
      <c r="A343" s="2" t="s">
        <v>369</v>
      </c>
      <c r="B343" t="str">
        <f>_xlfn.TEXTAFTER(Table1[[#This Row],[VEHIDCODE]],"_")</f>
        <v>Chile_Santiago_NS_93</v>
      </c>
      <c r="C343" t="s">
        <v>741</v>
      </c>
      <c r="D343" t="b">
        <f>OR(ISNUMBER(SEARCH("wagon_",Table1[[#This Row],[FILENAMES_EXPECTED]])),ISNUMBER(SEARCH("coach_",Table1[[#This Row],[FILENAMES_EXPECTED]])))</f>
        <v>0</v>
      </c>
      <c r="E343" t="str">
        <f>"item_"&amp;Table1[[#This Row],[VEHIDCODE]]</f>
        <v>item_mtro_Chile_Santiago_NS_93</v>
      </c>
      <c r="F343" t="str">
        <f>"str_"&amp;Table1[[#This Row],[VEHIDCODE]]</f>
        <v>str_mtro_Chile_Santiago_NS_93</v>
      </c>
      <c r="L343" t="b">
        <v>1</v>
      </c>
      <c r="AJ343" s="2"/>
      <c r="AK343" s="2" t="b">
        <f>LEN(_xlfn.CONCAT(Table1[[#This Row],[TRACK_TYPE_STANDARD_GAUGE_RAILTYPE_OHLE]:[TRACK_TYPE_MTRO]]))&gt;0</f>
        <v>1</v>
      </c>
      <c r="AL343">
        <v>7</v>
      </c>
      <c r="AM343" t="s">
        <v>326</v>
      </c>
      <c r="AN343">
        <v>1</v>
      </c>
      <c r="AO343" t="s">
        <v>19</v>
      </c>
      <c r="AP343">
        <v>116</v>
      </c>
      <c r="AQ343">
        <v>1996</v>
      </c>
      <c r="AR343">
        <v>7</v>
      </c>
      <c r="AS343" s="2" t="s">
        <v>327</v>
      </c>
      <c r="AT343" t="b">
        <v>1</v>
      </c>
      <c r="AU343" t="b">
        <v>1</v>
      </c>
      <c r="AV343" s="2"/>
      <c r="AW343">
        <v>45</v>
      </c>
      <c r="AX343">
        <v>1</v>
      </c>
      <c r="AY343">
        <v>1270</v>
      </c>
      <c r="AZ343" t="s">
        <v>709</v>
      </c>
      <c r="BA343">
        <v>100</v>
      </c>
      <c r="BB343" s="2">
        <v>0.42</v>
      </c>
      <c r="BC343" t="s">
        <v>930</v>
      </c>
      <c r="BD343" t="s">
        <v>922</v>
      </c>
      <c r="BE343" t="s">
        <v>940</v>
      </c>
      <c r="BF343" s="7">
        <v>40</v>
      </c>
      <c r="BG3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43">
        <v>0</v>
      </c>
      <c r="BI343" t="s">
        <v>734</v>
      </c>
      <c r="BJ343" s="11">
        <v>116</v>
      </c>
      <c r="BK343" s="11">
        <v>7</v>
      </c>
      <c r="BL343" s="11">
        <v>44</v>
      </c>
      <c r="BM343">
        <v>0</v>
      </c>
      <c r="BN343" t="s">
        <v>692</v>
      </c>
      <c r="BO343" t="s">
        <v>694</v>
      </c>
      <c r="BP343" t="s">
        <v>701</v>
      </c>
      <c r="BQ343" t="s">
        <v>705</v>
      </c>
      <c r="BR343" t="s">
        <v>706</v>
      </c>
      <c r="BS343" t="s">
        <v>707</v>
      </c>
      <c r="CR343"/>
      <c r="CS343"/>
      <c r="CT343"/>
    </row>
    <row r="344" spans="1:98" x14ac:dyDescent="0.4">
      <c r="A344" s="2" t="s">
        <v>370</v>
      </c>
      <c r="B344" t="str">
        <f>_xlfn.TEXTAFTER(Table1[[#This Row],[VEHIDCODE]],"_")</f>
        <v>Chile_Santiago_AS_2002</v>
      </c>
      <c r="C344" t="s">
        <v>741</v>
      </c>
      <c r="D344" t="b">
        <f>OR(ISNUMBER(SEARCH("wagon_",Table1[[#This Row],[FILENAMES_EXPECTED]])),ISNUMBER(SEARCH("coach_",Table1[[#This Row],[FILENAMES_EXPECTED]])))</f>
        <v>0</v>
      </c>
      <c r="E344" t="str">
        <f>"item_"&amp;Table1[[#This Row],[VEHIDCODE]]</f>
        <v>item_mtro_Chile_Santiago_AS_2002</v>
      </c>
      <c r="F344" t="str">
        <f>"str_"&amp;Table1[[#This Row],[VEHIDCODE]]</f>
        <v>str_mtro_Chile_Santiago_AS_2002</v>
      </c>
      <c r="L344" t="b">
        <v>1</v>
      </c>
      <c r="AJ344" s="2"/>
      <c r="AK344" s="2" t="b">
        <f>LEN(_xlfn.CONCAT(Table1[[#This Row],[TRACK_TYPE_STANDARD_GAUGE_RAILTYPE_OHLE]:[TRACK_TYPE_MTRO]]))&gt;0</f>
        <v>1</v>
      </c>
      <c r="AL344">
        <v>8</v>
      </c>
      <c r="AM344" t="s">
        <v>326</v>
      </c>
      <c r="AN344">
        <v>1</v>
      </c>
      <c r="AO344" t="s">
        <v>19</v>
      </c>
      <c r="AP344">
        <v>196</v>
      </c>
      <c r="AQ344">
        <v>2004</v>
      </c>
      <c r="AR344">
        <v>8</v>
      </c>
      <c r="AS344" s="2" t="s">
        <v>327</v>
      </c>
      <c r="AT344" t="b">
        <v>1</v>
      </c>
      <c r="AU344" t="b">
        <v>1</v>
      </c>
      <c r="AV344" s="2"/>
      <c r="AW344" t="s">
        <v>21</v>
      </c>
      <c r="AX344">
        <v>1</v>
      </c>
      <c r="AY344">
        <v>1500</v>
      </c>
      <c r="AZ344" t="s">
        <v>709</v>
      </c>
      <c r="BA344">
        <v>100</v>
      </c>
      <c r="BB344" s="2">
        <v>0.92</v>
      </c>
      <c r="BC344" t="s">
        <v>930</v>
      </c>
      <c r="BD344" t="s">
        <v>922</v>
      </c>
      <c r="BE344" t="s">
        <v>940</v>
      </c>
      <c r="BF344" s="7">
        <v>40</v>
      </c>
      <c r="BG3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44">
        <v>0</v>
      </c>
      <c r="BI344" t="s">
        <v>734</v>
      </c>
      <c r="BJ344" s="11">
        <v>196</v>
      </c>
      <c r="BK344" s="11">
        <v>8</v>
      </c>
      <c r="BL344" s="11">
        <v>42</v>
      </c>
      <c r="BM344">
        <v>0</v>
      </c>
      <c r="BN344" t="s">
        <v>692</v>
      </c>
      <c r="BO344" t="s">
        <v>694</v>
      </c>
      <c r="BP344" t="s">
        <v>701</v>
      </c>
      <c r="BQ344" t="s">
        <v>705</v>
      </c>
      <c r="BR344" t="s">
        <v>706</v>
      </c>
      <c r="BS344" t="s">
        <v>707</v>
      </c>
      <c r="CR344"/>
      <c r="CS344"/>
      <c r="CT344"/>
    </row>
    <row r="345" spans="1:98" x14ac:dyDescent="0.4">
      <c r="A345" s="2" t="s">
        <v>371</v>
      </c>
      <c r="B345" t="str">
        <f>_xlfn.TEXTAFTER(Table1[[#This Row],[VEHIDCODE]],"_")</f>
        <v>Brazil_Recife_VLT_Mobile_3</v>
      </c>
      <c r="C345" t="s">
        <v>741</v>
      </c>
      <c r="D345" t="b">
        <f>OR(ISNUMBER(SEARCH("wagon_",Table1[[#This Row],[FILENAMES_EXPECTED]])),ISNUMBER(SEARCH("coach_",Table1[[#This Row],[FILENAMES_EXPECTED]])))</f>
        <v>0</v>
      </c>
      <c r="E345" t="str">
        <f>"item_"&amp;Table1[[#This Row],[VEHIDCODE]]</f>
        <v>item_mtro_Brazil_Recife_VLT_Mobile_3</v>
      </c>
      <c r="F345" t="str">
        <f>"str_"&amp;Table1[[#This Row],[VEHIDCODE]]</f>
        <v>str_mtro_Brazil_Recife_VLT_Mobile_3</v>
      </c>
      <c r="L345" t="b">
        <v>1</v>
      </c>
      <c r="AJ345" s="2"/>
      <c r="AK345" s="2" t="b">
        <f>LEN(_xlfn.CONCAT(Table1[[#This Row],[TRACK_TYPE_STANDARD_GAUGE_RAILTYPE_OHLE]:[TRACK_TYPE_MTRO]]))&gt;0</f>
        <v>1</v>
      </c>
      <c r="AL345">
        <v>8</v>
      </c>
      <c r="AM345" t="s">
        <v>326</v>
      </c>
      <c r="AN345">
        <v>1</v>
      </c>
      <c r="AO345" t="s">
        <v>19</v>
      </c>
      <c r="AP345">
        <v>182</v>
      </c>
      <c r="AQ345">
        <v>2008</v>
      </c>
      <c r="AR345">
        <v>8</v>
      </c>
      <c r="AS345" s="2" t="s">
        <v>327</v>
      </c>
      <c r="AT345" t="b">
        <v>1</v>
      </c>
      <c r="AU345" t="b">
        <v>1</v>
      </c>
      <c r="AV345" s="2"/>
      <c r="AW345" t="s">
        <v>21</v>
      </c>
      <c r="AX345">
        <v>1</v>
      </c>
      <c r="AY345">
        <v>946</v>
      </c>
      <c r="AZ345" t="s">
        <v>709</v>
      </c>
      <c r="BA345">
        <v>80</v>
      </c>
      <c r="BB345" s="2">
        <v>0.97</v>
      </c>
      <c r="BC345" t="s">
        <v>930</v>
      </c>
      <c r="BD345" t="s">
        <v>922</v>
      </c>
      <c r="BE345" t="s">
        <v>940</v>
      </c>
      <c r="BF345" s="7">
        <v>40</v>
      </c>
      <c r="BG3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45">
        <v>0</v>
      </c>
      <c r="BI345" t="s">
        <v>734</v>
      </c>
      <c r="BJ345" s="11">
        <v>182</v>
      </c>
      <c r="BK345" s="11">
        <v>8</v>
      </c>
      <c r="BL345" s="11">
        <v>27</v>
      </c>
      <c r="BM345">
        <v>0</v>
      </c>
      <c r="BN345" t="s">
        <v>692</v>
      </c>
      <c r="BO345" t="s">
        <v>694</v>
      </c>
      <c r="BP345" t="s">
        <v>701</v>
      </c>
      <c r="BQ345" t="s">
        <v>705</v>
      </c>
      <c r="BR345" t="s">
        <v>706</v>
      </c>
      <c r="BS345" t="s">
        <v>707</v>
      </c>
      <c r="CR345"/>
      <c r="CS345"/>
      <c r="CT345"/>
    </row>
    <row r="346" spans="1:98" x14ac:dyDescent="0.4">
      <c r="A346" s="2" t="s">
        <v>372</v>
      </c>
      <c r="B346" t="str">
        <f>_xlfn.TEXTAFTER(Table1[[#This Row],[VEHIDCODE]],"_")</f>
        <v>Spain_Madrid_Series_5000</v>
      </c>
      <c r="C346" t="s">
        <v>741</v>
      </c>
      <c r="D346" t="b">
        <f>OR(ISNUMBER(SEARCH("wagon_",Table1[[#This Row],[FILENAMES_EXPECTED]])),ISNUMBER(SEARCH("coach_",Table1[[#This Row],[FILENAMES_EXPECTED]])))</f>
        <v>0</v>
      </c>
      <c r="E346" t="str">
        <f>"item_"&amp;Table1[[#This Row],[VEHIDCODE]]</f>
        <v>item_mtro_Spain_Madrid_Series_5000</v>
      </c>
      <c r="F346" t="str">
        <f>"str_"&amp;Table1[[#This Row],[VEHIDCODE]]</f>
        <v>str_mtro_Spain_Madrid_Series_5000</v>
      </c>
      <c r="L346" t="b">
        <v>1</v>
      </c>
      <c r="AJ346" s="2"/>
      <c r="AK346" s="2" t="b">
        <f>LEN(_xlfn.CONCAT(Table1[[#This Row],[TRACK_TYPE_STANDARD_GAUGE_RAILTYPE_OHLE]:[TRACK_TYPE_MTRO]]))&gt;0</f>
        <v>1</v>
      </c>
      <c r="AL346">
        <v>8</v>
      </c>
      <c r="AM346" t="s">
        <v>326</v>
      </c>
      <c r="AN346">
        <v>1</v>
      </c>
      <c r="AO346" t="s">
        <v>19</v>
      </c>
      <c r="AP346">
        <v>192</v>
      </c>
      <c r="AQ346">
        <v>1974</v>
      </c>
      <c r="AR346">
        <v>8</v>
      </c>
      <c r="AS346" s="2" t="s">
        <v>24</v>
      </c>
      <c r="AT346" t="b">
        <v>1</v>
      </c>
      <c r="AU346" t="b">
        <v>1</v>
      </c>
      <c r="AV346" s="2"/>
      <c r="AW346">
        <v>45</v>
      </c>
      <c r="AX346">
        <v>1</v>
      </c>
      <c r="AY346">
        <v>530</v>
      </c>
      <c r="AZ346" t="s">
        <v>709</v>
      </c>
      <c r="BA346">
        <v>80</v>
      </c>
      <c r="BB346" s="2">
        <v>0.46</v>
      </c>
      <c r="BC346" t="s">
        <v>924</v>
      </c>
      <c r="BD346" t="s">
        <v>922</v>
      </c>
      <c r="BE346" t="s">
        <v>940</v>
      </c>
      <c r="BF346" s="7">
        <v>40</v>
      </c>
      <c r="BG3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46">
        <v>0</v>
      </c>
      <c r="BI346" t="s">
        <v>734</v>
      </c>
      <c r="BJ346" s="11">
        <v>192</v>
      </c>
      <c r="BK346" s="11">
        <v>8</v>
      </c>
      <c r="BL346" s="11">
        <v>41</v>
      </c>
      <c r="BM346">
        <v>0</v>
      </c>
      <c r="BN346" t="s">
        <v>692</v>
      </c>
      <c r="BO346" t="s">
        <v>694</v>
      </c>
      <c r="BP346" t="s">
        <v>701</v>
      </c>
      <c r="BQ346" t="s">
        <v>705</v>
      </c>
      <c r="BR346" t="s">
        <v>706</v>
      </c>
      <c r="BS346" t="s">
        <v>707</v>
      </c>
      <c r="CR346"/>
      <c r="CS346"/>
      <c r="CT346"/>
    </row>
    <row r="347" spans="1:98" x14ac:dyDescent="0.4">
      <c r="A347" s="2" t="s">
        <v>373</v>
      </c>
      <c r="B347" t="str">
        <f>_xlfn.TEXTAFTER(Table1[[#This Row],[VEHIDCODE]],"_")</f>
        <v>Italy_Rome_S_300</v>
      </c>
      <c r="C347" t="s">
        <v>741</v>
      </c>
      <c r="D347" t="b">
        <f>OR(ISNUMBER(SEARCH("wagon_",Table1[[#This Row],[FILENAMES_EXPECTED]])),ISNUMBER(SEARCH("coach_",Table1[[#This Row],[FILENAMES_EXPECTED]])))</f>
        <v>0</v>
      </c>
      <c r="E347" t="str">
        <f>"item_"&amp;Table1[[#This Row],[VEHIDCODE]]</f>
        <v>item_mtro_Italy_Rome_S_300</v>
      </c>
      <c r="F347" t="str">
        <f>"str_"&amp;Table1[[#This Row],[VEHIDCODE]]</f>
        <v>str_mtro_Italy_Rome_S_300</v>
      </c>
      <c r="L347" t="b">
        <v>1</v>
      </c>
      <c r="AJ347" s="2"/>
      <c r="AK347" s="2" t="b">
        <f>LEN(_xlfn.CONCAT(Table1[[#This Row],[TRACK_TYPE_STANDARD_GAUGE_RAILTYPE_OHLE]:[TRACK_TYPE_MTRO]]))&gt;0</f>
        <v>1</v>
      </c>
      <c r="AL347">
        <v>8</v>
      </c>
      <c r="AM347" t="s">
        <v>326</v>
      </c>
      <c r="AN347">
        <v>1</v>
      </c>
      <c r="AO347" t="s">
        <v>19</v>
      </c>
      <c r="AP347">
        <v>194</v>
      </c>
      <c r="AQ347">
        <v>1999</v>
      </c>
      <c r="AR347">
        <v>8</v>
      </c>
      <c r="AS347" s="2" t="s">
        <v>24</v>
      </c>
      <c r="AT347" t="b">
        <v>1</v>
      </c>
      <c r="AU347" t="b">
        <v>1</v>
      </c>
      <c r="AV347" s="2"/>
      <c r="AW347">
        <v>45</v>
      </c>
      <c r="AX347">
        <v>1</v>
      </c>
      <c r="AY347">
        <v>1876</v>
      </c>
      <c r="AZ347" t="s">
        <v>709</v>
      </c>
      <c r="BA347">
        <v>90</v>
      </c>
      <c r="BB347" s="2">
        <v>1</v>
      </c>
      <c r="BC347" t="s">
        <v>924</v>
      </c>
      <c r="BD347" t="s">
        <v>922</v>
      </c>
      <c r="BE347" t="s">
        <v>940</v>
      </c>
      <c r="BF347" s="7">
        <v>40</v>
      </c>
      <c r="BG3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47">
        <v>0</v>
      </c>
      <c r="BI347" t="s">
        <v>734</v>
      </c>
      <c r="BJ347" s="11">
        <v>194</v>
      </c>
      <c r="BK347" s="11">
        <v>8</v>
      </c>
      <c r="BL347" s="11">
        <v>30</v>
      </c>
      <c r="BM347">
        <v>0</v>
      </c>
      <c r="BN347" t="s">
        <v>692</v>
      </c>
      <c r="BO347" t="s">
        <v>694</v>
      </c>
      <c r="BP347" t="s">
        <v>701</v>
      </c>
      <c r="BQ347" t="s">
        <v>705</v>
      </c>
      <c r="BR347" t="s">
        <v>706</v>
      </c>
      <c r="BS347" t="s">
        <v>707</v>
      </c>
      <c r="CR347"/>
      <c r="CS347"/>
      <c r="CT347"/>
    </row>
    <row r="348" spans="1:98" x14ac:dyDescent="0.4">
      <c r="A348" s="2" t="s">
        <v>374</v>
      </c>
      <c r="B348" t="str">
        <f>_xlfn.TEXTAFTER(Table1[[#This Row],[VEHIDCODE]],"_")</f>
        <v>Algeria_Algiers_CAF_2011_Stock</v>
      </c>
      <c r="C348" t="s">
        <v>741</v>
      </c>
      <c r="D348" t="b">
        <f>OR(ISNUMBER(SEARCH("wagon_",Table1[[#This Row],[FILENAMES_EXPECTED]])),ISNUMBER(SEARCH("coach_",Table1[[#This Row],[FILENAMES_EXPECTED]])))</f>
        <v>0</v>
      </c>
      <c r="E348" t="str">
        <f>"item_"&amp;Table1[[#This Row],[VEHIDCODE]]</f>
        <v>item_mtro_Algeria_Algiers_CAF_2011_Stock</v>
      </c>
      <c r="F348" t="str">
        <f>"str_"&amp;Table1[[#This Row],[VEHIDCODE]]</f>
        <v>str_mtro_Algeria_Algiers_CAF_2011_Stock</v>
      </c>
      <c r="L348" t="b">
        <v>1</v>
      </c>
      <c r="AJ348" s="2"/>
      <c r="AK348" s="2" t="b">
        <f>LEN(_xlfn.CONCAT(Table1[[#This Row],[TRACK_TYPE_STANDARD_GAUGE_RAILTYPE_OHLE]:[TRACK_TYPE_MTRO]]))&gt;0</f>
        <v>1</v>
      </c>
      <c r="AL348">
        <v>7</v>
      </c>
      <c r="AM348" t="s">
        <v>326</v>
      </c>
      <c r="AN348">
        <v>1</v>
      </c>
      <c r="AO348" t="s">
        <v>19</v>
      </c>
      <c r="AP348">
        <v>215</v>
      </c>
      <c r="AQ348">
        <v>2011</v>
      </c>
      <c r="AR348">
        <v>7</v>
      </c>
      <c r="AS348" s="2" t="s">
        <v>24</v>
      </c>
      <c r="AT348" t="b">
        <v>1</v>
      </c>
      <c r="AU348" t="b">
        <v>1</v>
      </c>
      <c r="AV348" s="2"/>
      <c r="AW348" t="s">
        <v>21</v>
      </c>
      <c r="AX348">
        <v>1</v>
      </c>
      <c r="AY348">
        <v>1400</v>
      </c>
      <c r="AZ348" t="s">
        <v>709</v>
      </c>
      <c r="BA348">
        <v>72</v>
      </c>
      <c r="BB348" s="2">
        <v>0.51</v>
      </c>
      <c r="BC348" t="s">
        <v>926</v>
      </c>
      <c r="BD348" t="s">
        <v>922</v>
      </c>
      <c r="BE348" t="s">
        <v>940</v>
      </c>
      <c r="BF348" s="7">
        <v>40</v>
      </c>
      <c r="BG3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48">
        <v>0</v>
      </c>
      <c r="BI348" t="s">
        <v>734</v>
      </c>
      <c r="BJ348" s="11">
        <v>215</v>
      </c>
      <c r="BK348" s="11">
        <v>7</v>
      </c>
      <c r="BL348" s="11">
        <v>47</v>
      </c>
      <c r="BM348">
        <v>0</v>
      </c>
      <c r="BN348" t="s">
        <v>692</v>
      </c>
      <c r="BO348" t="s">
        <v>694</v>
      </c>
      <c r="BP348" t="s">
        <v>701</v>
      </c>
      <c r="BQ348" t="s">
        <v>705</v>
      </c>
      <c r="BR348" t="s">
        <v>706</v>
      </c>
      <c r="BS348" t="s">
        <v>707</v>
      </c>
      <c r="CR348"/>
      <c r="CS348"/>
      <c r="CT348"/>
    </row>
    <row r="349" spans="1:98" x14ac:dyDescent="0.4">
      <c r="A349" s="2" t="s">
        <v>375</v>
      </c>
      <c r="B349" t="str">
        <f>_xlfn.TEXTAFTER(Table1[[#This Row],[VEHIDCODE]],"_")</f>
        <v>Germany_Berlin_U_Bahn_IK</v>
      </c>
      <c r="C349" t="s">
        <v>741</v>
      </c>
      <c r="D349" t="b">
        <f>OR(ISNUMBER(SEARCH("wagon_",Table1[[#This Row],[FILENAMES_EXPECTED]])),ISNUMBER(SEARCH("coach_",Table1[[#This Row],[FILENAMES_EXPECTED]])))</f>
        <v>0</v>
      </c>
      <c r="E349" t="str">
        <f>"item_"&amp;Table1[[#This Row],[VEHIDCODE]]</f>
        <v>item_mtro_Germany_Berlin_U_Bahn_IK</v>
      </c>
      <c r="F349" t="str">
        <f>"str_"&amp;Table1[[#This Row],[VEHIDCODE]]</f>
        <v>str_mtro_Germany_Berlin_U_Bahn_IK</v>
      </c>
      <c r="L349" t="b">
        <v>1</v>
      </c>
      <c r="AJ349" s="2"/>
      <c r="AK349" s="2" t="b">
        <f>LEN(_xlfn.CONCAT(Table1[[#This Row],[TRACK_TYPE_STANDARD_GAUGE_RAILTYPE_OHLE]:[TRACK_TYPE_MTRO]]))&gt;0</f>
        <v>1</v>
      </c>
      <c r="AL349">
        <v>8</v>
      </c>
      <c r="AM349" t="s">
        <v>326</v>
      </c>
      <c r="AN349">
        <v>1</v>
      </c>
      <c r="AO349" t="s">
        <v>19</v>
      </c>
      <c r="AP349">
        <v>145</v>
      </c>
      <c r="AQ349">
        <v>2015</v>
      </c>
      <c r="AR349">
        <v>8</v>
      </c>
      <c r="AS349" s="2" t="s">
        <v>24</v>
      </c>
      <c r="AT349" t="b">
        <v>1</v>
      </c>
      <c r="AU349" t="b">
        <v>1</v>
      </c>
      <c r="AV349" s="2"/>
      <c r="AW349" t="s">
        <v>21</v>
      </c>
      <c r="AX349">
        <v>1</v>
      </c>
      <c r="AY349">
        <v>1448</v>
      </c>
      <c r="AZ349" t="s">
        <v>709</v>
      </c>
      <c r="BA349">
        <v>70</v>
      </c>
      <c r="BB349" s="2">
        <v>0.87</v>
      </c>
      <c r="BC349" t="s">
        <v>923</v>
      </c>
      <c r="BD349" t="s">
        <v>922</v>
      </c>
      <c r="BE349" t="s">
        <v>940</v>
      </c>
      <c r="BF349" s="7">
        <v>40</v>
      </c>
      <c r="BG3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49">
        <v>0</v>
      </c>
      <c r="BI349" t="s">
        <v>734</v>
      </c>
      <c r="BJ349" s="11">
        <v>145</v>
      </c>
      <c r="BK349" s="11">
        <v>8</v>
      </c>
      <c r="BL349" s="11">
        <v>27</v>
      </c>
      <c r="BM349">
        <v>0</v>
      </c>
      <c r="BN349" t="s">
        <v>692</v>
      </c>
      <c r="BO349" t="s">
        <v>694</v>
      </c>
      <c r="BP349" t="s">
        <v>701</v>
      </c>
      <c r="BQ349" t="s">
        <v>705</v>
      </c>
      <c r="BR349" t="s">
        <v>706</v>
      </c>
      <c r="BS349" t="s">
        <v>707</v>
      </c>
      <c r="CR349"/>
      <c r="CS349"/>
      <c r="CT349"/>
    </row>
    <row r="350" spans="1:98" x14ac:dyDescent="0.4">
      <c r="A350" s="2" t="s">
        <v>376</v>
      </c>
      <c r="B350" t="str">
        <f>_xlfn.TEXTAFTER(Table1[[#This Row],[VEHIDCODE]],"_")</f>
        <v>USA_Chicago_L_6000</v>
      </c>
      <c r="C350" t="s">
        <v>741</v>
      </c>
      <c r="D350" t="b">
        <f>OR(ISNUMBER(SEARCH("wagon_",Table1[[#This Row],[FILENAMES_EXPECTED]])),ISNUMBER(SEARCH("coach_",Table1[[#This Row],[FILENAMES_EXPECTED]])))</f>
        <v>0</v>
      </c>
      <c r="E350" t="str">
        <f>"item_"&amp;Table1[[#This Row],[VEHIDCODE]]</f>
        <v>item_mtro_USA_Chicago_L_6000</v>
      </c>
      <c r="F350" t="str">
        <f>"str_"&amp;Table1[[#This Row],[VEHIDCODE]]</f>
        <v>str_mtro_USA_Chicago_L_6000</v>
      </c>
      <c r="L350" t="b">
        <v>1</v>
      </c>
      <c r="AJ350" s="2"/>
      <c r="AK350" s="2" t="b">
        <f>LEN(_xlfn.CONCAT(Table1[[#This Row],[TRACK_TYPE_STANDARD_GAUGE_RAILTYPE_OHLE]:[TRACK_TYPE_MTRO]]))&gt;0</f>
        <v>1</v>
      </c>
      <c r="AL350">
        <v>7</v>
      </c>
      <c r="AM350" t="s">
        <v>326</v>
      </c>
      <c r="AN350">
        <v>1</v>
      </c>
      <c r="AO350" t="s">
        <v>19</v>
      </c>
      <c r="AP350">
        <v>130</v>
      </c>
      <c r="AQ350">
        <v>1950</v>
      </c>
      <c r="AR350">
        <v>7</v>
      </c>
      <c r="AS350" s="2" t="s">
        <v>327</v>
      </c>
      <c r="AT350" t="b">
        <v>1</v>
      </c>
      <c r="AU350" t="b">
        <v>1</v>
      </c>
      <c r="AV350" s="2"/>
      <c r="AW350">
        <v>45</v>
      </c>
      <c r="AX350">
        <v>1</v>
      </c>
      <c r="AY350">
        <v>440</v>
      </c>
      <c r="AZ350" t="s">
        <v>709</v>
      </c>
      <c r="BA350">
        <v>80</v>
      </c>
      <c r="BB350" s="2">
        <v>1</v>
      </c>
      <c r="BC350" t="s">
        <v>928</v>
      </c>
      <c r="BD350" t="s">
        <v>922</v>
      </c>
      <c r="BE350" t="s">
        <v>940</v>
      </c>
      <c r="BF350" s="7">
        <v>60</v>
      </c>
      <c r="BG3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50">
        <v>0</v>
      </c>
      <c r="BI350" t="s">
        <v>734</v>
      </c>
      <c r="BJ350" s="11">
        <v>130</v>
      </c>
      <c r="BK350" s="11">
        <v>7</v>
      </c>
      <c r="BL350" s="11">
        <v>10</v>
      </c>
      <c r="BM350">
        <v>0</v>
      </c>
      <c r="BN350" t="s">
        <v>692</v>
      </c>
      <c r="BO350" t="s">
        <v>694</v>
      </c>
      <c r="BP350" t="s">
        <v>701</v>
      </c>
      <c r="BQ350" t="s">
        <v>705</v>
      </c>
      <c r="BR350" t="s">
        <v>706</v>
      </c>
      <c r="BS350" t="s">
        <v>707</v>
      </c>
      <c r="CR350"/>
      <c r="CS350"/>
      <c r="CT350"/>
    </row>
    <row r="351" spans="1:98" x14ac:dyDescent="0.4">
      <c r="A351" s="2" t="s">
        <v>377</v>
      </c>
      <c r="B351" t="str">
        <f>_xlfn.TEXTAFTER(Table1[[#This Row],[VEHIDCODE]],"_")</f>
        <v>UK_London_1903_Stock</v>
      </c>
      <c r="C351" t="s">
        <v>741</v>
      </c>
      <c r="D351" t="b">
        <f>OR(ISNUMBER(SEARCH("wagon_",Table1[[#This Row],[FILENAMES_EXPECTED]])),ISNUMBER(SEARCH("coach_",Table1[[#This Row],[FILENAMES_EXPECTED]])))</f>
        <v>0</v>
      </c>
      <c r="E351" t="str">
        <f>"item_"&amp;Table1[[#This Row],[VEHIDCODE]]</f>
        <v>item_mtro_UK_London_1903_Stock</v>
      </c>
      <c r="F351" t="str">
        <f>"str_"&amp;Table1[[#This Row],[VEHIDCODE]]</f>
        <v>str_mtro_UK_London_1903_Stock</v>
      </c>
      <c r="M351" t="b">
        <v>1</v>
      </c>
      <c r="AJ351" s="2"/>
      <c r="AK351" s="2" t="b">
        <f>LEN(_xlfn.CONCAT(Table1[[#This Row],[TRACK_TYPE_STANDARD_GAUGE_RAILTYPE_OHLE]:[TRACK_TYPE_MTRO]]))&gt;0</f>
        <v>1</v>
      </c>
      <c r="AL351">
        <v>8</v>
      </c>
      <c r="AM351" t="s">
        <v>326</v>
      </c>
      <c r="AN351">
        <v>1</v>
      </c>
      <c r="AO351" t="s">
        <v>19</v>
      </c>
      <c r="AP351">
        <v>125</v>
      </c>
      <c r="AQ351">
        <v>1903</v>
      </c>
      <c r="AR351">
        <v>8</v>
      </c>
      <c r="AS351" s="2" t="s">
        <v>327</v>
      </c>
      <c r="AT351" t="b">
        <v>1</v>
      </c>
      <c r="AU351" t="b">
        <v>1</v>
      </c>
      <c r="AV351" s="2"/>
      <c r="AW351">
        <v>45</v>
      </c>
      <c r="AX351">
        <v>1</v>
      </c>
      <c r="AY351">
        <v>300</v>
      </c>
      <c r="AZ351" t="s">
        <v>709</v>
      </c>
      <c r="BA351">
        <v>70</v>
      </c>
      <c r="BB351" s="2">
        <v>0.22</v>
      </c>
      <c r="BC351" t="s">
        <v>927</v>
      </c>
      <c r="BD351" t="s">
        <v>922</v>
      </c>
      <c r="BE351" t="s">
        <v>940</v>
      </c>
      <c r="BF351" s="7">
        <v>60</v>
      </c>
      <c r="BG3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51">
        <v>0</v>
      </c>
      <c r="BI351" t="s">
        <v>734</v>
      </c>
      <c r="BJ351" s="11">
        <v>125</v>
      </c>
      <c r="BK351" s="11">
        <v>8</v>
      </c>
      <c r="BL351" s="11">
        <v>45</v>
      </c>
      <c r="BM351">
        <v>0</v>
      </c>
      <c r="BN351" t="s">
        <v>692</v>
      </c>
      <c r="BO351" t="s">
        <v>694</v>
      </c>
      <c r="BP351" t="s">
        <v>701</v>
      </c>
      <c r="BQ351" t="s">
        <v>705</v>
      </c>
      <c r="BR351" t="s">
        <v>706</v>
      </c>
      <c r="BS351" t="s">
        <v>707</v>
      </c>
      <c r="CR351"/>
      <c r="CS351"/>
      <c r="CT351"/>
    </row>
    <row r="352" spans="1:98" x14ac:dyDescent="0.4">
      <c r="A352" s="2" t="s">
        <v>378</v>
      </c>
      <c r="B352" t="str">
        <f>_xlfn.TEXTAFTER(Table1[[#This Row],[VEHIDCODE]],"_")</f>
        <v>UK_London_1938_Stock</v>
      </c>
      <c r="C352" t="s">
        <v>741</v>
      </c>
      <c r="D352" t="b">
        <f>OR(ISNUMBER(SEARCH("wagon_",Table1[[#This Row],[FILENAMES_EXPECTED]])),ISNUMBER(SEARCH("coach_",Table1[[#This Row],[FILENAMES_EXPECTED]])))</f>
        <v>0</v>
      </c>
      <c r="E352" t="str">
        <f>"item_"&amp;Table1[[#This Row],[VEHIDCODE]]</f>
        <v>item_mtro_UK_London_1938_Stock</v>
      </c>
      <c r="F352" t="str">
        <f>"str_"&amp;Table1[[#This Row],[VEHIDCODE]]</f>
        <v>str_mtro_UK_London_1938_Stock</v>
      </c>
      <c r="M352" t="b">
        <v>1</v>
      </c>
      <c r="AJ352" s="2"/>
      <c r="AK352" s="2" t="b">
        <f>LEN(_xlfn.CONCAT(Table1[[#This Row],[TRACK_TYPE_STANDARD_GAUGE_RAILTYPE_OHLE]:[TRACK_TYPE_MTRO]]))&gt;0</f>
        <v>1</v>
      </c>
      <c r="AL352">
        <v>7</v>
      </c>
      <c r="AM352" t="s">
        <v>326</v>
      </c>
      <c r="AN352">
        <v>1</v>
      </c>
      <c r="AO352" t="s">
        <v>19</v>
      </c>
      <c r="AP352">
        <v>120</v>
      </c>
      <c r="AQ352">
        <v>1938</v>
      </c>
      <c r="AR352">
        <v>7</v>
      </c>
      <c r="AS352" s="2" t="s">
        <v>327</v>
      </c>
      <c r="AT352" t="b">
        <v>1</v>
      </c>
      <c r="AU352" t="b">
        <v>1</v>
      </c>
      <c r="AV352" s="2"/>
      <c r="AW352">
        <v>45</v>
      </c>
      <c r="AX352">
        <v>1</v>
      </c>
      <c r="AY352">
        <v>600</v>
      </c>
      <c r="AZ352" t="s">
        <v>709</v>
      </c>
      <c r="BA352">
        <v>70</v>
      </c>
      <c r="BB352" s="2">
        <v>0.77</v>
      </c>
      <c r="BC352" t="s">
        <v>927</v>
      </c>
      <c r="BD352" t="s">
        <v>922</v>
      </c>
      <c r="BE352" t="s">
        <v>940</v>
      </c>
      <c r="BF352" s="7">
        <v>60</v>
      </c>
      <c r="BG3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352">
        <v>0</v>
      </c>
      <c r="BI352" t="s">
        <v>734</v>
      </c>
      <c r="BJ352" s="11">
        <v>120</v>
      </c>
      <c r="BK352" s="11">
        <v>7</v>
      </c>
      <c r="BL352" s="11">
        <v>26</v>
      </c>
      <c r="BM352">
        <v>0</v>
      </c>
      <c r="BN352" t="s">
        <v>692</v>
      </c>
      <c r="BO352" t="s">
        <v>694</v>
      </c>
      <c r="BP352" t="s">
        <v>701</v>
      </c>
      <c r="BQ352" t="s">
        <v>705</v>
      </c>
      <c r="BR352" t="s">
        <v>706</v>
      </c>
      <c r="BS352" t="s">
        <v>707</v>
      </c>
      <c r="CR352"/>
      <c r="CS352"/>
      <c r="CT352"/>
    </row>
    <row r="353" spans="1:98" x14ac:dyDescent="0.4">
      <c r="A353" s="2" t="s">
        <v>379</v>
      </c>
      <c r="B353" t="str">
        <f>_xlfn.TEXTAFTER(Table1[[#This Row],[VEHIDCODE]],"_")</f>
        <v>UK_NER_EF1</v>
      </c>
      <c r="C353" t="s">
        <v>741</v>
      </c>
      <c r="D353" t="b">
        <f>OR(ISNUMBER(SEARCH("wagon_",Table1[[#This Row],[FILENAMES_EXPECTED]])),ISNUMBER(SEARCH("coach_",Table1[[#This Row],[FILENAMES_EXPECTED]])))</f>
        <v>0</v>
      </c>
      <c r="E353" t="str">
        <f>"item_"&amp;Table1[[#This Row],[VEHIDCODE]]</f>
        <v>item_electric_UK_NER_EF1</v>
      </c>
      <c r="F353" t="str">
        <f>"str_"&amp;Table1[[#This Row],[VEHIDCODE]]</f>
        <v>str_electric_UK_NER_EF1</v>
      </c>
      <c r="T353" t="b">
        <v>1</v>
      </c>
      <c r="AJ353" s="2"/>
      <c r="AK353" s="2" t="b">
        <f>LEN(_xlfn.CONCAT(Table1[[#This Row],[TRACK_TYPE_STANDARD_GAUGE_RAILTYPE_OHLE]:[TRACK_TYPE_MTRO]]))&gt;0</f>
        <v>1</v>
      </c>
      <c r="AL353">
        <v>7</v>
      </c>
      <c r="AM353" t="s">
        <v>20</v>
      </c>
      <c r="AN353">
        <v>0</v>
      </c>
      <c r="AO353" t="s">
        <v>74</v>
      </c>
      <c r="AP353">
        <v>0</v>
      </c>
      <c r="AQ353">
        <v>1914</v>
      </c>
      <c r="AR353">
        <v>7</v>
      </c>
      <c r="AS353" s="2" t="s">
        <v>20</v>
      </c>
      <c r="AT353" t="b">
        <v>1</v>
      </c>
      <c r="AV353" s="2"/>
      <c r="AW353">
        <v>45</v>
      </c>
      <c r="AX353">
        <v>0</v>
      </c>
      <c r="AY353">
        <v>1100</v>
      </c>
      <c r="AZ353" t="s">
        <v>709</v>
      </c>
      <c r="BA353">
        <v>40</v>
      </c>
      <c r="BB353" s="2">
        <v>0.18</v>
      </c>
      <c r="BC353" t="s">
        <v>927</v>
      </c>
      <c r="BD353" t="s">
        <v>922</v>
      </c>
      <c r="BE353" t="s">
        <v>940</v>
      </c>
      <c r="BF353" s="7">
        <v>40</v>
      </c>
      <c r="BG3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53">
        <v>-3</v>
      </c>
      <c r="BI353" t="s">
        <v>734</v>
      </c>
      <c r="BJ353" s="11"/>
      <c r="BK353" s="11"/>
      <c r="BL353" s="11">
        <v>74</v>
      </c>
      <c r="BM353">
        <v>0</v>
      </c>
      <c r="BN353" t="s">
        <v>692</v>
      </c>
      <c r="BO353" t="s">
        <v>694</v>
      </c>
      <c r="BP353" t="s">
        <v>701</v>
      </c>
      <c r="BQ353" t="s">
        <v>705</v>
      </c>
      <c r="BR353" t="s">
        <v>706</v>
      </c>
      <c r="BS353" t="s">
        <v>707</v>
      </c>
      <c r="CR353"/>
      <c r="CS353"/>
      <c r="CT353"/>
    </row>
    <row r="354" spans="1:98" x14ac:dyDescent="0.4">
      <c r="A354" s="2" t="s">
        <v>380</v>
      </c>
      <c r="B354" t="str">
        <f>_xlfn.TEXTAFTER(Table1[[#This Row],[VEHIDCODE]],"_")</f>
        <v>Japan_JNR_EB10</v>
      </c>
      <c r="C354" t="s">
        <v>741</v>
      </c>
      <c r="D354" t="b">
        <f>OR(ISNUMBER(SEARCH("wagon_",Table1[[#This Row],[FILENAMES_EXPECTED]])),ISNUMBER(SEARCH("coach_",Table1[[#This Row],[FILENAMES_EXPECTED]])))</f>
        <v>0</v>
      </c>
      <c r="E354" t="str">
        <f>"item_"&amp;Table1[[#This Row],[VEHIDCODE]]</f>
        <v>item_electric_Japan_JNR_EB10</v>
      </c>
      <c r="F354" t="str">
        <f>"str_"&amp;Table1[[#This Row],[VEHIDCODE]]</f>
        <v>str_electric_Japan_JNR_EB10</v>
      </c>
      <c r="T354" t="b">
        <v>1</v>
      </c>
      <c r="AJ354" s="2"/>
      <c r="AK354" s="2" t="b">
        <f>LEN(_xlfn.CONCAT(Table1[[#This Row],[TRACK_TYPE_STANDARD_GAUGE_RAILTYPE_OHLE]:[TRACK_TYPE_MTRO]]))&gt;0</f>
        <v>1</v>
      </c>
      <c r="AL354">
        <v>5</v>
      </c>
      <c r="AM354" t="s">
        <v>20</v>
      </c>
      <c r="AN354">
        <v>0</v>
      </c>
      <c r="AO354" t="s">
        <v>74</v>
      </c>
      <c r="AP354">
        <v>0</v>
      </c>
      <c r="AQ354">
        <v>1931</v>
      </c>
      <c r="AR354">
        <v>5</v>
      </c>
      <c r="AS354" s="2" t="s">
        <v>20</v>
      </c>
      <c r="AT354" t="b">
        <v>1</v>
      </c>
      <c r="AV354" s="2"/>
      <c r="AW354">
        <v>45</v>
      </c>
      <c r="AX354">
        <v>1</v>
      </c>
      <c r="AY354">
        <v>180</v>
      </c>
      <c r="AZ354" t="s">
        <v>709</v>
      </c>
      <c r="BA354">
        <v>40</v>
      </c>
      <c r="BB354" s="2">
        <v>0.3</v>
      </c>
      <c r="BC354" t="s">
        <v>931</v>
      </c>
      <c r="BD354" t="s">
        <v>922</v>
      </c>
      <c r="BE354" t="s">
        <v>940</v>
      </c>
      <c r="BF354" s="7">
        <v>40</v>
      </c>
      <c r="BG3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54">
        <v>-3</v>
      </c>
      <c r="BI354" t="s">
        <v>734</v>
      </c>
      <c r="BJ354" s="11"/>
      <c r="BK354" s="11"/>
      <c r="BL354" s="11">
        <v>22</v>
      </c>
      <c r="BM354">
        <v>0</v>
      </c>
      <c r="BN354" t="s">
        <v>692</v>
      </c>
      <c r="BO354" t="s">
        <v>694</v>
      </c>
      <c r="BP354" t="s">
        <v>701</v>
      </c>
      <c r="BQ354" t="s">
        <v>705</v>
      </c>
      <c r="BR354" t="s">
        <v>706</v>
      </c>
      <c r="BS354" t="s">
        <v>707</v>
      </c>
      <c r="CR354"/>
      <c r="CS354"/>
      <c r="CT354"/>
    </row>
    <row r="355" spans="1:98" x14ac:dyDescent="0.4">
      <c r="A355" s="2" t="s">
        <v>381</v>
      </c>
      <c r="B355" t="str">
        <f>_xlfn.TEXTAFTER(Table1[[#This Row],[VEHIDCODE]],"_")</f>
        <v>Japan_JNR_EF55</v>
      </c>
      <c r="C355" t="s">
        <v>741</v>
      </c>
      <c r="D355" t="b">
        <f>OR(ISNUMBER(SEARCH("wagon_",Table1[[#This Row],[FILENAMES_EXPECTED]])),ISNUMBER(SEARCH("coach_",Table1[[#This Row],[FILENAMES_EXPECTED]])))</f>
        <v>0</v>
      </c>
      <c r="E355" t="str">
        <f>"item_"&amp;Table1[[#This Row],[VEHIDCODE]]</f>
        <v>item_electric_Japan_JNR_EF55</v>
      </c>
      <c r="F355" t="str">
        <f>"str_"&amp;Table1[[#This Row],[VEHIDCODE]]</f>
        <v>str_electric_Japan_JNR_EF55</v>
      </c>
      <c r="K355" t="b">
        <v>1</v>
      </c>
      <c r="AJ355" s="2"/>
      <c r="AK355" s="2" t="b">
        <f>LEN(_xlfn.CONCAT(Table1[[#This Row],[TRACK_TYPE_STANDARD_GAUGE_RAILTYPE_OHLE]:[TRACK_TYPE_MTRO]]))&gt;0</f>
        <v>1</v>
      </c>
      <c r="AL355">
        <v>8</v>
      </c>
      <c r="AM355" t="s">
        <v>20</v>
      </c>
      <c r="AN355">
        <v>0</v>
      </c>
      <c r="AO355" t="s">
        <v>74</v>
      </c>
      <c r="AP355">
        <v>0</v>
      </c>
      <c r="AQ355">
        <v>1936</v>
      </c>
      <c r="AR355">
        <v>8</v>
      </c>
      <c r="AS355" s="2" t="s">
        <v>20</v>
      </c>
      <c r="AT355" t="b">
        <v>1</v>
      </c>
      <c r="AV355" s="2"/>
      <c r="AW355">
        <v>45</v>
      </c>
      <c r="AX355">
        <v>1</v>
      </c>
      <c r="AY355">
        <v>1810</v>
      </c>
      <c r="AZ355" t="s">
        <v>709</v>
      </c>
      <c r="BA355">
        <v>75</v>
      </c>
      <c r="BB355" s="2">
        <v>0.06</v>
      </c>
      <c r="BC355" t="s">
        <v>931</v>
      </c>
      <c r="BD355" t="s">
        <v>922</v>
      </c>
      <c r="BE355" t="s">
        <v>940</v>
      </c>
      <c r="BF355" s="7">
        <v>40</v>
      </c>
      <c r="BG3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55">
        <v>-3</v>
      </c>
      <c r="BI355" t="s">
        <v>734</v>
      </c>
      <c r="BJ355" s="11"/>
      <c r="BK355" s="11"/>
      <c r="BL355" s="11">
        <v>100</v>
      </c>
      <c r="BM355">
        <v>0</v>
      </c>
      <c r="BN355" t="s">
        <v>692</v>
      </c>
      <c r="BO355" t="s">
        <v>694</v>
      </c>
      <c r="BP355" t="s">
        <v>701</v>
      </c>
      <c r="BQ355" t="s">
        <v>705</v>
      </c>
      <c r="BR355" t="s">
        <v>706</v>
      </c>
      <c r="BS355" t="s">
        <v>707</v>
      </c>
      <c r="CR355"/>
      <c r="CS355"/>
      <c r="CT355"/>
    </row>
    <row r="356" spans="1:98" x14ac:dyDescent="0.4">
      <c r="A356" s="2" t="s">
        <v>382</v>
      </c>
      <c r="B356" t="str">
        <f>_xlfn.TEXTAFTER(Table1[[#This Row],[VEHIDCODE]],"_")</f>
        <v>Netherlands_NS_1000</v>
      </c>
      <c r="C356" t="s">
        <v>741</v>
      </c>
      <c r="D356" t="b">
        <f>OR(ISNUMBER(SEARCH("wagon_",Table1[[#This Row],[FILENAMES_EXPECTED]])),ISNUMBER(SEARCH("coach_",Table1[[#This Row],[FILENAMES_EXPECTED]])))</f>
        <v>0</v>
      </c>
      <c r="E356" t="str">
        <f>"item_"&amp;Table1[[#This Row],[VEHIDCODE]]</f>
        <v>item_electric_Netherlands_NS_1000</v>
      </c>
      <c r="F356" t="str">
        <f>"str_"&amp;Table1[[#This Row],[VEHIDCODE]]</f>
        <v>str_electric_Netherlands_NS_1000</v>
      </c>
      <c r="K356" t="b">
        <v>1</v>
      </c>
      <c r="AJ356" s="2"/>
      <c r="AK356" s="2" t="b">
        <f>LEN(_xlfn.CONCAT(Table1[[#This Row],[TRACK_TYPE_STANDARD_GAUGE_RAILTYPE_OHLE]:[TRACK_TYPE_MTRO]]))&gt;0</f>
        <v>1</v>
      </c>
      <c r="AL356">
        <v>8</v>
      </c>
      <c r="AM356" t="s">
        <v>20</v>
      </c>
      <c r="AN356">
        <v>0</v>
      </c>
      <c r="AO356" t="s">
        <v>74</v>
      </c>
      <c r="AP356">
        <v>0</v>
      </c>
      <c r="AQ356">
        <v>1948</v>
      </c>
      <c r="AR356">
        <v>8</v>
      </c>
      <c r="AS356" s="2" t="s">
        <v>20</v>
      </c>
      <c r="AT356" t="b">
        <v>1</v>
      </c>
      <c r="AV356" s="2"/>
      <c r="AW356">
        <v>45</v>
      </c>
      <c r="AX356">
        <v>1</v>
      </c>
      <c r="AY356">
        <v>3749</v>
      </c>
      <c r="AZ356" t="s">
        <v>709</v>
      </c>
      <c r="BA356">
        <v>135</v>
      </c>
      <c r="BB356" s="2">
        <v>0.18</v>
      </c>
      <c r="BC356" t="s">
        <v>923</v>
      </c>
      <c r="BD356" t="s">
        <v>922</v>
      </c>
      <c r="BE356" t="s">
        <v>940</v>
      </c>
      <c r="BF356" s="7">
        <v>40</v>
      </c>
      <c r="BG3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56">
        <v>-3</v>
      </c>
      <c r="BI356" t="s">
        <v>734</v>
      </c>
      <c r="BJ356" s="11"/>
      <c r="BK356" s="11"/>
      <c r="BL356" s="11">
        <v>100</v>
      </c>
      <c r="BM356">
        <v>0</v>
      </c>
      <c r="BN356" t="s">
        <v>692</v>
      </c>
      <c r="BO356" t="s">
        <v>694</v>
      </c>
      <c r="BP356" t="s">
        <v>701</v>
      </c>
      <c r="BQ356" t="s">
        <v>705</v>
      </c>
      <c r="BR356" t="s">
        <v>706</v>
      </c>
      <c r="BS356" t="s">
        <v>707</v>
      </c>
      <c r="CR356"/>
      <c r="CS356"/>
      <c r="CT356"/>
    </row>
    <row r="357" spans="1:98" x14ac:dyDescent="0.4">
      <c r="A357" s="2" t="s">
        <v>383</v>
      </c>
      <c r="B357" t="str">
        <f>_xlfn.TEXTAFTER(Table1[[#This Row],[VEHIDCODE]],"_")</f>
        <v>Netherlands_NS_1600</v>
      </c>
      <c r="C357" t="s">
        <v>741</v>
      </c>
      <c r="D357" t="b">
        <f>OR(ISNUMBER(SEARCH("wagon_",Table1[[#This Row],[FILENAMES_EXPECTED]])),ISNUMBER(SEARCH("coach_",Table1[[#This Row],[FILENAMES_EXPECTED]])))</f>
        <v>0</v>
      </c>
      <c r="E357" t="str">
        <f>"item_"&amp;Table1[[#This Row],[VEHIDCODE]]</f>
        <v>item_electric_Netherlands_NS_1600</v>
      </c>
      <c r="F357" t="str">
        <f>"str_"&amp;Table1[[#This Row],[VEHIDCODE]]</f>
        <v>str_electric_Netherlands_NS_1600</v>
      </c>
      <c r="K357" t="b">
        <v>1</v>
      </c>
      <c r="AJ357" s="2"/>
      <c r="AK357" s="2" t="b">
        <f>LEN(_xlfn.CONCAT(Table1[[#This Row],[TRACK_TYPE_STANDARD_GAUGE_RAILTYPE_OHLE]:[TRACK_TYPE_MTRO]]))&gt;0</f>
        <v>1</v>
      </c>
      <c r="AL357">
        <v>8</v>
      </c>
      <c r="AM357" t="s">
        <v>20</v>
      </c>
      <c r="AN357">
        <v>0</v>
      </c>
      <c r="AO357" t="s">
        <v>74</v>
      </c>
      <c r="AP357">
        <v>0</v>
      </c>
      <c r="AQ357">
        <v>1980</v>
      </c>
      <c r="AR357">
        <v>8</v>
      </c>
      <c r="AS357" s="2" t="s">
        <v>20</v>
      </c>
      <c r="AT357" t="b">
        <v>1</v>
      </c>
      <c r="AV357" s="2"/>
      <c r="AW357">
        <v>45</v>
      </c>
      <c r="AX357">
        <v>1</v>
      </c>
      <c r="AY357">
        <v>4539</v>
      </c>
      <c r="AZ357" t="s">
        <v>709</v>
      </c>
      <c r="BA357">
        <v>180</v>
      </c>
      <c r="BB357" s="2">
        <v>0.31</v>
      </c>
      <c r="BC357" t="s">
        <v>923</v>
      </c>
      <c r="BD357" t="s">
        <v>922</v>
      </c>
      <c r="BE357" t="s">
        <v>940</v>
      </c>
      <c r="BF357" s="7">
        <v>40</v>
      </c>
      <c r="BG3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57">
        <v>-3</v>
      </c>
      <c r="BI357" t="s">
        <v>734</v>
      </c>
      <c r="BJ357" s="11"/>
      <c r="BK357" s="11"/>
      <c r="BL357" s="11">
        <v>84</v>
      </c>
      <c r="BM357">
        <v>0</v>
      </c>
      <c r="BN357" t="s">
        <v>692</v>
      </c>
      <c r="BO357" t="s">
        <v>694</v>
      </c>
      <c r="BP357" t="s">
        <v>701</v>
      </c>
      <c r="BQ357" t="s">
        <v>705</v>
      </c>
      <c r="BR357" t="s">
        <v>706</v>
      </c>
      <c r="BS357" t="s">
        <v>707</v>
      </c>
      <c r="CR357"/>
      <c r="CS357"/>
      <c r="CT357"/>
    </row>
    <row r="358" spans="1:98" x14ac:dyDescent="0.4">
      <c r="A358" s="2" t="s">
        <v>384</v>
      </c>
      <c r="B358" t="str">
        <f>_xlfn.TEXTAFTER(Table1[[#This Row],[VEHIDCODE]],"_")</f>
        <v>Australia_Victorian_Railways_E_Class</v>
      </c>
      <c r="C358" t="s">
        <v>741</v>
      </c>
      <c r="D358" t="b">
        <f>OR(ISNUMBER(SEARCH("wagon_",Table1[[#This Row],[FILENAMES_EXPECTED]])),ISNUMBER(SEARCH("coach_",Table1[[#This Row],[FILENAMES_EXPECTED]])))</f>
        <v>0</v>
      </c>
      <c r="E358" t="str">
        <f>"item_"&amp;Table1[[#This Row],[VEHIDCODE]]</f>
        <v>item_electric_Australia_Victorian_Railways_E_Class</v>
      </c>
      <c r="F358" t="str">
        <f>"str_"&amp;Table1[[#This Row],[VEHIDCODE]]</f>
        <v>str_electric_Australia_Victorian_Railways_E_Class</v>
      </c>
      <c r="K358" t="b">
        <v>1</v>
      </c>
      <c r="AJ358" s="2"/>
      <c r="AK358" s="2" t="b">
        <f>LEN(_xlfn.CONCAT(Table1[[#This Row],[TRACK_TYPE_STANDARD_GAUGE_RAILTYPE_OHLE]:[TRACK_TYPE_MTRO]]))&gt;0</f>
        <v>1</v>
      </c>
      <c r="AL358">
        <v>7</v>
      </c>
      <c r="AM358" t="s">
        <v>20</v>
      </c>
      <c r="AN358">
        <v>0</v>
      </c>
      <c r="AO358" t="s">
        <v>74</v>
      </c>
      <c r="AP358">
        <v>0</v>
      </c>
      <c r="AQ358">
        <v>1923</v>
      </c>
      <c r="AR358">
        <v>7</v>
      </c>
      <c r="AS358" s="2" t="s">
        <v>20</v>
      </c>
      <c r="AT358" t="b">
        <v>1</v>
      </c>
      <c r="AV358" s="2"/>
      <c r="AW358">
        <v>45</v>
      </c>
      <c r="AX358">
        <v>1</v>
      </c>
      <c r="AY358">
        <v>620</v>
      </c>
      <c r="AZ358" t="s">
        <v>709</v>
      </c>
      <c r="BA358">
        <v>65</v>
      </c>
      <c r="BB358" s="2">
        <v>0.11</v>
      </c>
      <c r="BC358" t="s">
        <v>925</v>
      </c>
      <c r="BD358" t="s">
        <v>922</v>
      </c>
      <c r="BE358" t="s">
        <v>940</v>
      </c>
      <c r="BF358" s="7">
        <v>40</v>
      </c>
      <c r="BG3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58">
        <v>0</v>
      </c>
      <c r="BI358" t="s">
        <v>734</v>
      </c>
      <c r="BJ358" s="11"/>
      <c r="BK358" s="11"/>
      <c r="BL358" s="11">
        <v>56</v>
      </c>
      <c r="BM358">
        <v>0</v>
      </c>
      <c r="BN358" t="s">
        <v>692</v>
      </c>
      <c r="BO358" t="s">
        <v>694</v>
      </c>
      <c r="BP358" t="s">
        <v>701</v>
      </c>
      <c r="BQ358" t="s">
        <v>705</v>
      </c>
      <c r="BR358" t="s">
        <v>706</v>
      </c>
      <c r="BS358" t="s">
        <v>707</v>
      </c>
      <c r="CR358"/>
      <c r="CS358"/>
      <c r="CT358"/>
    </row>
    <row r="359" spans="1:98" x14ac:dyDescent="0.4">
      <c r="A359" s="2" t="s">
        <v>385</v>
      </c>
      <c r="B359" t="str">
        <f>_xlfn.TEXTAFTER(Table1[[#This Row],[VEHIDCODE]],"_")</f>
        <v>UK_NER_ES1</v>
      </c>
      <c r="C359" t="s">
        <v>741</v>
      </c>
      <c r="D359" t="b">
        <f>OR(ISNUMBER(SEARCH("wagon_",Table1[[#This Row],[FILENAMES_EXPECTED]])),ISNUMBER(SEARCH("coach_",Table1[[#This Row],[FILENAMES_EXPECTED]])))</f>
        <v>0</v>
      </c>
      <c r="E359" t="str">
        <f>"item_"&amp;Table1[[#This Row],[VEHIDCODE]]</f>
        <v>item_electric_UK_NER_ES1</v>
      </c>
      <c r="F359" t="str">
        <f>"str_"&amp;Table1[[#This Row],[VEHIDCODE]]</f>
        <v>str_electric_UK_NER_ES1</v>
      </c>
      <c r="K359" t="b">
        <v>1</v>
      </c>
      <c r="AJ359" s="2"/>
      <c r="AK359" s="2" t="b">
        <f>LEN(_xlfn.CONCAT(Table1[[#This Row],[TRACK_TYPE_STANDARD_GAUGE_RAILTYPE_OHLE]:[TRACK_TYPE_MTRO]]))&gt;0</f>
        <v>1</v>
      </c>
      <c r="AL359">
        <v>6</v>
      </c>
      <c r="AM359" t="s">
        <v>20</v>
      </c>
      <c r="AN359">
        <v>0</v>
      </c>
      <c r="AO359" t="s">
        <v>74</v>
      </c>
      <c r="AP359">
        <v>0</v>
      </c>
      <c r="AQ359">
        <v>1903</v>
      </c>
      <c r="AR359">
        <v>6</v>
      </c>
      <c r="AS359" s="2" t="s">
        <v>20</v>
      </c>
      <c r="AT359" t="b">
        <v>1</v>
      </c>
      <c r="AV359" s="2"/>
      <c r="AW359">
        <v>45</v>
      </c>
      <c r="AX359">
        <v>0</v>
      </c>
      <c r="AY359">
        <v>640</v>
      </c>
      <c r="AZ359" t="s">
        <v>709</v>
      </c>
      <c r="BA359">
        <v>43</v>
      </c>
      <c r="BB359" s="2">
        <v>0.19</v>
      </c>
      <c r="BC359" t="s">
        <v>927</v>
      </c>
      <c r="BD359" t="s">
        <v>922</v>
      </c>
      <c r="BE359" t="s">
        <v>940</v>
      </c>
      <c r="BF359" s="7">
        <v>40</v>
      </c>
      <c r="BG3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59">
        <v>0</v>
      </c>
      <c r="BI359" t="s">
        <v>734</v>
      </c>
      <c r="BJ359" s="11"/>
      <c r="BK359" s="11"/>
      <c r="BL359" s="11">
        <v>57</v>
      </c>
      <c r="BM359">
        <v>0</v>
      </c>
      <c r="BN359" t="s">
        <v>692</v>
      </c>
      <c r="BO359" t="s">
        <v>694</v>
      </c>
      <c r="BP359" t="s">
        <v>701</v>
      </c>
      <c r="BQ359" t="s">
        <v>705</v>
      </c>
      <c r="BR359" t="s">
        <v>706</v>
      </c>
      <c r="BS359" t="s">
        <v>707</v>
      </c>
      <c r="CR359"/>
      <c r="CS359"/>
      <c r="CT359"/>
    </row>
    <row r="360" spans="1:98" x14ac:dyDescent="0.4">
      <c r="A360" s="2" t="s">
        <v>386</v>
      </c>
      <c r="B360" t="str">
        <f>_xlfn.TEXTAFTER(Table1[[#This Row],[VEHIDCODE]],"_")</f>
        <v>USA_NYC_S_motor</v>
      </c>
      <c r="C360" t="s">
        <v>741</v>
      </c>
      <c r="D360" t="b">
        <f>OR(ISNUMBER(SEARCH("wagon_",Table1[[#This Row],[FILENAMES_EXPECTED]])),ISNUMBER(SEARCH("coach_",Table1[[#This Row],[FILENAMES_EXPECTED]])))</f>
        <v>0</v>
      </c>
      <c r="E360" t="str">
        <f>"item_"&amp;Table1[[#This Row],[VEHIDCODE]]</f>
        <v>item_electric_USA_NYC_S_motor</v>
      </c>
      <c r="F360" t="str">
        <f>"str_"&amp;Table1[[#This Row],[VEHIDCODE]]</f>
        <v>str_electric_USA_NYC_S_motor</v>
      </c>
      <c r="K360" t="b">
        <v>1</v>
      </c>
      <c r="AJ360" s="2"/>
      <c r="AK360" s="2" t="b">
        <f>LEN(_xlfn.CONCAT(Table1[[#This Row],[TRACK_TYPE_STANDARD_GAUGE_RAILTYPE_OHLE]:[TRACK_TYPE_MTRO]]))&gt;0</f>
        <v>1</v>
      </c>
      <c r="AL360">
        <v>7</v>
      </c>
      <c r="AM360" t="s">
        <v>20</v>
      </c>
      <c r="AN360">
        <v>0</v>
      </c>
      <c r="AO360" t="s">
        <v>74</v>
      </c>
      <c r="AP360">
        <v>0</v>
      </c>
      <c r="AQ360">
        <v>1903</v>
      </c>
      <c r="AR360">
        <v>7</v>
      </c>
      <c r="AS360" s="2" t="s">
        <v>20</v>
      </c>
      <c r="AT360" t="b">
        <v>1</v>
      </c>
      <c r="AV360" s="2"/>
      <c r="AW360">
        <v>45</v>
      </c>
      <c r="AX360">
        <v>1</v>
      </c>
      <c r="AY360">
        <v>1264</v>
      </c>
      <c r="AZ360" t="s">
        <v>709</v>
      </c>
      <c r="BA360">
        <v>97</v>
      </c>
      <c r="BB360" s="2">
        <v>0.16</v>
      </c>
      <c r="BC360" t="s">
        <v>928</v>
      </c>
      <c r="BD360" t="s">
        <v>922</v>
      </c>
      <c r="BE360" t="s">
        <v>940</v>
      </c>
      <c r="BF360" s="7">
        <v>40</v>
      </c>
      <c r="BG3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60">
        <v>0</v>
      </c>
      <c r="BI360" t="s">
        <v>734</v>
      </c>
      <c r="BJ360" s="11"/>
      <c r="BK360" s="11"/>
      <c r="BL360" s="11">
        <v>103</v>
      </c>
      <c r="BM360">
        <v>0</v>
      </c>
      <c r="BN360" t="s">
        <v>692</v>
      </c>
      <c r="BO360" t="s">
        <v>694</v>
      </c>
      <c r="BP360" t="s">
        <v>701</v>
      </c>
      <c r="BQ360" t="s">
        <v>705</v>
      </c>
      <c r="BR360" t="s">
        <v>706</v>
      </c>
      <c r="BS360" t="s">
        <v>707</v>
      </c>
      <c r="CR360"/>
      <c r="CS360"/>
      <c r="CT360"/>
    </row>
    <row r="361" spans="1:98" x14ac:dyDescent="0.4">
      <c r="A361" s="2" t="s">
        <v>387</v>
      </c>
      <c r="B361" t="str">
        <f>_xlfn.TEXTAFTER(Table1[[#This Row],[VEHIDCODE]],"_")</f>
        <v>Japan_Aichi_Railroad_DeKi_400</v>
      </c>
      <c r="C361" t="s">
        <v>741</v>
      </c>
      <c r="D361" t="b">
        <f>OR(ISNUMBER(SEARCH("wagon_",Table1[[#This Row],[FILENAMES_EXPECTED]])),ISNUMBER(SEARCH("coach_",Table1[[#This Row],[FILENAMES_EXPECTED]])))</f>
        <v>0</v>
      </c>
      <c r="E361" t="str">
        <f>"item_"&amp;Table1[[#This Row],[VEHIDCODE]]</f>
        <v>item_electric_Japan_Aichi_Railroad_DeKi_400</v>
      </c>
      <c r="F361" t="str">
        <f>"str_"&amp;Table1[[#This Row],[VEHIDCODE]]</f>
        <v>str_electric_Japan_Aichi_Railroad_DeKi_400</v>
      </c>
      <c r="T361" t="b">
        <v>1</v>
      </c>
      <c r="AJ361" s="2"/>
      <c r="AK361" s="2" t="b">
        <f>LEN(_xlfn.CONCAT(Table1[[#This Row],[TRACK_TYPE_STANDARD_GAUGE_RAILTYPE_OHLE]:[TRACK_TYPE_MTRO]]))&gt;0</f>
        <v>1</v>
      </c>
      <c r="AL361">
        <v>6</v>
      </c>
      <c r="AM361" t="s">
        <v>20</v>
      </c>
      <c r="AN361">
        <v>0</v>
      </c>
      <c r="AO361" t="s">
        <v>74</v>
      </c>
      <c r="AP361">
        <v>0</v>
      </c>
      <c r="AQ361">
        <v>1930</v>
      </c>
      <c r="AR361">
        <v>6</v>
      </c>
      <c r="AS361" s="2" t="s">
        <v>20</v>
      </c>
      <c r="AT361" t="b">
        <v>1</v>
      </c>
      <c r="AV361" s="2"/>
      <c r="AW361">
        <v>45</v>
      </c>
      <c r="AX361">
        <v>1</v>
      </c>
      <c r="AY361">
        <v>482</v>
      </c>
      <c r="AZ361" t="s">
        <v>709</v>
      </c>
      <c r="BA361">
        <v>28</v>
      </c>
      <c r="BB361" s="2">
        <v>0.12</v>
      </c>
      <c r="BC361" t="s">
        <v>931</v>
      </c>
      <c r="BD361" t="s">
        <v>922</v>
      </c>
      <c r="BE361" t="s">
        <v>940</v>
      </c>
      <c r="BF361" s="7">
        <v>40</v>
      </c>
      <c r="BG3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61">
        <v>0</v>
      </c>
      <c r="BI361" t="s">
        <v>734</v>
      </c>
      <c r="BJ361" s="11"/>
      <c r="BK361" s="11"/>
      <c r="BL361" s="11">
        <v>40</v>
      </c>
      <c r="BM361">
        <v>0</v>
      </c>
      <c r="BN361" t="s">
        <v>692</v>
      </c>
      <c r="BO361" t="s">
        <v>694</v>
      </c>
      <c r="BP361" t="s">
        <v>701</v>
      </c>
      <c r="BQ361" t="s">
        <v>705</v>
      </c>
      <c r="BR361" t="s">
        <v>706</v>
      </c>
      <c r="BS361" t="s">
        <v>707</v>
      </c>
      <c r="CR361"/>
      <c r="CS361"/>
      <c r="CT361"/>
    </row>
    <row r="362" spans="1:98" x14ac:dyDescent="0.4">
      <c r="A362" s="2" t="s">
        <v>388</v>
      </c>
      <c r="B362" t="str">
        <f>_xlfn.TEXTAFTER(Table1[[#This Row],[VEHIDCODE]],"_")</f>
        <v>India_Indian_Railways_WCG_1</v>
      </c>
      <c r="C362" t="s">
        <v>741</v>
      </c>
      <c r="D362" t="b">
        <f>OR(ISNUMBER(SEARCH("wagon_",Table1[[#This Row],[FILENAMES_EXPECTED]])),ISNUMBER(SEARCH("coach_",Table1[[#This Row],[FILENAMES_EXPECTED]])))</f>
        <v>0</v>
      </c>
      <c r="E362" t="str">
        <f>"item_"&amp;Table1[[#This Row],[VEHIDCODE]]</f>
        <v>item_electric_India_Indian_Railways_WCG_1</v>
      </c>
      <c r="F362" t="str">
        <f>"str_"&amp;Table1[[#This Row],[VEHIDCODE]]</f>
        <v>str_electric_India_Indian_Railways_WCG_1</v>
      </c>
      <c r="AC362" t="b">
        <v>1</v>
      </c>
      <c r="AJ362" s="2"/>
      <c r="AK362" s="2" t="b">
        <f>LEN(_xlfn.CONCAT(Table1[[#This Row],[TRACK_TYPE_STANDARD_GAUGE_RAILTYPE_OHLE]:[TRACK_TYPE_MTRO]]))&gt;0</f>
        <v>1</v>
      </c>
      <c r="AL362">
        <v>8</v>
      </c>
      <c r="AM362" t="s">
        <v>20</v>
      </c>
      <c r="AN362">
        <v>0</v>
      </c>
      <c r="AO362" t="s">
        <v>74</v>
      </c>
      <c r="AP362">
        <v>0</v>
      </c>
      <c r="AQ362">
        <v>1928</v>
      </c>
      <c r="AR362">
        <v>8</v>
      </c>
      <c r="AS362" s="2" t="s">
        <v>20</v>
      </c>
      <c r="AT362" t="b">
        <v>1</v>
      </c>
      <c r="AV362" s="2"/>
      <c r="AW362">
        <v>45</v>
      </c>
      <c r="AX362">
        <v>1</v>
      </c>
      <c r="AY362">
        <v>2610</v>
      </c>
      <c r="AZ362" t="s">
        <v>709</v>
      </c>
      <c r="BA362">
        <v>90</v>
      </c>
      <c r="BB362" s="2">
        <v>0.6</v>
      </c>
      <c r="BC362" t="s">
        <v>931</v>
      </c>
      <c r="BD362" t="s">
        <v>922</v>
      </c>
      <c r="BE362" t="s">
        <v>940</v>
      </c>
      <c r="BF362" s="7">
        <v>40</v>
      </c>
      <c r="BG3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62">
        <v>-3</v>
      </c>
      <c r="BI362" t="s">
        <v>734</v>
      </c>
      <c r="BJ362" s="11"/>
      <c r="BK362" s="11"/>
      <c r="BL362" s="11">
        <v>55</v>
      </c>
      <c r="BM362">
        <v>0</v>
      </c>
      <c r="BN362" t="s">
        <v>692</v>
      </c>
      <c r="BO362" t="s">
        <v>694</v>
      </c>
      <c r="BP362" t="s">
        <v>701</v>
      </c>
      <c r="BQ362" t="s">
        <v>705</v>
      </c>
      <c r="BR362" t="s">
        <v>706</v>
      </c>
      <c r="BS362" t="s">
        <v>707</v>
      </c>
      <c r="CR362"/>
      <c r="CS362"/>
      <c r="CT362"/>
    </row>
    <row r="363" spans="1:98" x14ac:dyDescent="0.4">
      <c r="A363" s="2" t="s">
        <v>389</v>
      </c>
      <c r="B363" t="str">
        <f>_xlfn.TEXTAFTER(Table1[[#This Row],[VEHIDCODE]],"_")</f>
        <v>France_SNCF_BB_9004</v>
      </c>
      <c r="C363" t="s">
        <v>741</v>
      </c>
      <c r="D363" t="b">
        <f>OR(ISNUMBER(SEARCH("wagon_",Table1[[#This Row],[FILENAMES_EXPECTED]])),ISNUMBER(SEARCH("coach_",Table1[[#This Row],[FILENAMES_EXPECTED]])))</f>
        <v>0</v>
      </c>
      <c r="E363" t="str">
        <f>"item_"&amp;Table1[[#This Row],[VEHIDCODE]]</f>
        <v>item_electric_France_SNCF_BB_9004</v>
      </c>
      <c r="F363" t="str">
        <f>"str_"&amp;Table1[[#This Row],[VEHIDCODE]]</f>
        <v>str_electric_France_SNCF_BB_9004</v>
      </c>
      <c r="K363" t="b">
        <v>1</v>
      </c>
      <c r="AJ363" s="2"/>
      <c r="AK363" s="2" t="b">
        <f>LEN(_xlfn.CONCAT(Table1[[#This Row],[TRACK_TYPE_STANDARD_GAUGE_RAILTYPE_OHLE]:[TRACK_TYPE_MTRO]]))&gt;0</f>
        <v>1</v>
      </c>
      <c r="AL363">
        <v>8</v>
      </c>
      <c r="AM363" t="s">
        <v>20</v>
      </c>
      <c r="AN363">
        <v>0</v>
      </c>
      <c r="AO363" t="s">
        <v>74</v>
      </c>
      <c r="AP363">
        <v>0</v>
      </c>
      <c r="AQ363">
        <v>1954</v>
      </c>
      <c r="AR363">
        <v>8</v>
      </c>
      <c r="AS363" s="2" t="s">
        <v>20</v>
      </c>
      <c r="AT363" t="b">
        <v>1</v>
      </c>
      <c r="AV363" s="2"/>
      <c r="AW363">
        <v>45</v>
      </c>
      <c r="AX363">
        <v>1</v>
      </c>
      <c r="AY363">
        <v>4000</v>
      </c>
      <c r="AZ363" t="s">
        <v>709</v>
      </c>
      <c r="BA363">
        <v>140</v>
      </c>
      <c r="BB363" s="2">
        <v>0.25</v>
      </c>
      <c r="BC363" t="s">
        <v>923</v>
      </c>
      <c r="BD363" t="s">
        <v>922</v>
      </c>
      <c r="BE363" t="s">
        <v>940</v>
      </c>
      <c r="BF363" s="7">
        <v>40</v>
      </c>
      <c r="BG3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63">
        <v>-3</v>
      </c>
      <c r="BI363" t="s">
        <v>734</v>
      </c>
      <c r="BJ363" s="11"/>
      <c r="BK363" s="11"/>
      <c r="BL363" s="11">
        <v>83</v>
      </c>
      <c r="BM363">
        <v>0</v>
      </c>
      <c r="BN363" t="s">
        <v>692</v>
      </c>
      <c r="BO363" t="s">
        <v>694</v>
      </c>
      <c r="BP363" t="s">
        <v>701</v>
      </c>
      <c r="BQ363" t="s">
        <v>705</v>
      </c>
      <c r="BR363" t="s">
        <v>706</v>
      </c>
      <c r="BS363" t="s">
        <v>707</v>
      </c>
      <c r="CR363"/>
      <c r="CS363"/>
      <c r="CT363"/>
    </row>
    <row r="364" spans="1:98" x14ac:dyDescent="0.4">
      <c r="A364" s="2" t="s">
        <v>390</v>
      </c>
      <c r="B364" t="str">
        <f>_xlfn.TEXTAFTER(Table1[[#This Row],[VEHIDCODE]],"_")</f>
        <v>Indonesia_ESS_3200</v>
      </c>
      <c r="C364" t="s">
        <v>741</v>
      </c>
      <c r="D364" t="b">
        <f>OR(ISNUMBER(SEARCH("wagon_",Table1[[#This Row],[FILENAMES_EXPECTED]])),ISNUMBER(SEARCH("coach_",Table1[[#This Row],[FILENAMES_EXPECTED]])))</f>
        <v>0</v>
      </c>
      <c r="E364" t="str">
        <f>"item_"&amp;Table1[[#This Row],[VEHIDCODE]]</f>
        <v>item_electric_Indonesia_ESS_3200</v>
      </c>
      <c r="F364" t="str">
        <f>"str_"&amp;Table1[[#This Row],[VEHIDCODE]]</f>
        <v>str_electric_Indonesia_ESS_3200</v>
      </c>
      <c r="K364" t="b">
        <v>1</v>
      </c>
      <c r="AJ364" s="2"/>
      <c r="AK364" s="2" t="b">
        <f>LEN(_xlfn.CONCAT(Table1[[#This Row],[TRACK_TYPE_STANDARD_GAUGE_RAILTYPE_OHLE]:[TRACK_TYPE_MTRO]]))&gt;0</f>
        <v>1</v>
      </c>
      <c r="AL364">
        <v>6</v>
      </c>
      <c r="AM364" t="s">
        <v>20</v>
      </c>
      <c r="AN364">
        <v>0</v>
      </c>
      <c r="AO364" t="s">
        <v>74</v>
      </c>
      <c r="AP364">
        <v>0</v>
      </c>
      <c r="AQ364">
        <v>1925</v>
      </c>
      <c r="AR364">
        <v>6</v>
      </c>
      <c r="AS364" s="2" t="s">
        <v>20</v>
      </c>
      <c r="AT364" t="b">
        <v>1</v>
      </c>
      <c r="AV364" s="2"/>
      <c r="AW364">
        <v>45</v>
      </c>
      <c r="AX364">
        <v>1</v>
      </c>
      <c r="AY364">
        <v>765</v>
      </c>
      <c r="AZ364" t="s">
        <v>709</v>
      </c>
      <c r="BA364">
        <v>120</v>
      </c>
      <c r="BB364" s="2">
        <v>0.23</v>
      </c>
      <c r="BC364" t="s">
        <v>925</v>
      </c>
      <c r="BD364" t="s">
        <v>922</v>
      </c>
      <c r="BE364" t="s">
        <v>940</v>
      </c>
      <c r="BF364" s="7">
        <v>40</v>
      </c>
      <c r="BG3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64">
        <v>0</v>
      </c>
      <c r="BI364" t="s">
        <v>734</v>
      </c>
      <c r="BJ364" s="11"/>
      <c r="BK364" s="11"/>
      <c r="BL364" s="11">
        <v>69</v>
      </c>
      <c r="BM364">
        <v>0</v>
      </c>
      <c r="BN364" t="s">
        <v>692</v>
      </c>
      <c r="BO364" t="s">
        <v>694</v>
      </c>
      <c r="BP364" t="s">
        <v>701</v>
      </c>
      <c r="BQ364" t="s">
        <v>705</v>
      </c>
      <c r="BR364" t="s">
        <v>706</v>
      </c>
      <c r="BS364" t="s">
        <v>707</v>
      </c>
      <c r="CR364"/>
      <c r="CS364"/>
      <c r="CT364"/>
    </row>
    <row r="365" spans="1:98" x14ac:dyDescent="0.4">
      <c r="A365" s="2" t="s">
        <v>391</v>
      </c>
      <c r="B365" t="str">
        <f>_xlfn.TEXTAFTER(Table1[[#This Row],[VEHIDCODE]],"_")</f>
        <v>UK_BR_77_Metrovic</v>
      </c>
      <c r="C365" t="s">
        <v>741</v>
      </c>
      <c r="D365" t="b">
        <f>OR(ISNUMBER(SEARCH("wagon_",Table1[[#This Row],[FILENAMES_EXPECTED]])),ISNUMBER(SEARCH("coach_",Table1[[#This Row],[FILENAMES_EXPECTED]])))</f>
        <v>0</v>
      </c>
      <c r="E365" t="str">
        <f>"item_"&amp;Table1[[#This Row],[VEHIDCODE]]</f>
        <v>item_electric_UK_BR_77_Metrovic</v>
      </c>
      <c r="F365" t="str">
        <f>"str_"&amp;Table1[[#This Row],[VEHIDCODE]]</f>
        <v>str_electric_UK_BR_77_Metrovic</v>
      </c>
      <c r="K365" t="b">
        <v>1</v>
      </c>
      <c r="AJ365" s="2"/>
      <c r="AK365" s="2" t="b">
        <f>LEN(_xlfn.CONCAT(Table1[[#This Row],[TRACK_TYPE_STANDARD_GAUGE_RAILTYPE_OHLE]:[TRACK_TYPE_MTRO]]))&gt;0</f>
        <v>1</v>
      </c>
      <c r="AL365">
        <v>8</v>
      </c>
      <c r="AM365" t="s">
        <v>20</v>
      </c>
      <c r="AN365">
        <v>0</v>
      </c>
      <c r="AO365" t="s">
        <v>74</v>
      </c>
      <c r="AP365">
        <v>0</v>
      </c>
      <c r="AQ365">
        <v>1953</v>
      </c>
      <c r="AR365">
        <v>8</v>
      </c>
      <c r="AS365" s="2" t="s">
        <v>20</v>
      </c>
      <c r="AT365" t="b">
        <v>1</v>
      </c>
      <c r="AV365" s="2"/>
      <c r="AW365">
        <v>45</v>
      </c>
      <c r="AX365">
        <v>1</v>
      </c>
      <c r="AY365">
        <v>2490</v>
      </c>
      <c r="AZ365" t="s">
        <v>709</v>
      </c>
      <c r="BA365">
        <v>145</v>
      </c>
      <c r="BB365" s="2">
        <v>0.2</v>
      </c>
      <c r="BC365" t="s">
        <v>927</v>
      </c>
      <c r="BD365" t="s">
        <v>922</v>
      </c>
      <c r="BE365" t="s">
        <v>940</v>
      </c>
      <c r="BF365" s="7">
        <v>40</v>
      </c>
      <c r="BG3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65">
        <v>-3</v>
      </c>
      <c r="BI365" t="s">
        <v>734</v>
      </c>
      <c r="BJ365" s="11"/>
      <c r="BK365" s="11"/>
      <c r="BL365" s="11">
        <v>102</v>
      </c>
      <c r="BM365">
        <v>0</v>
      </c>
      <c r="BN365" t="s">
        <v>692</v>
      </c>
      <c r="BO365" t="s">
        <v>694</v>
      </c>
      <c r="BP365" t="s">
        <v>701</v>
      </c>
      <c r="BQ365" t="s">
        <v>705</v>
      </c>
      <c r="BR365" t="s">
        <v>706</v>
      </c>
      <c r="BS365" t="s">
        <v>707</v>
      </c>
      <c r="CR365"/>
      <c r="CS365"/>
      <c r="CT365"/>
    </row>
    <row r="366" spans="1:98" x14ac:dyDescent="0.4">
      <c r="A366" s="2" t="s">
        <v>392</v>
      </c>
      <c r="B366" t="str">
        <f>_xlfn.TEXTAFTER(Table1[[#This Row],[VEHIDCODE]],"_")</f>
        <v>UK_NER_EE1</v>
      </c>
      <c r="C366" t="s">
        <v>741</v>
      </c>
      <c r="D366" t="b">
        <f>OR(ISNUMBER(SEARCH("wagon_",Table1[[#This Row],[FILENAMES_EXPECTED]])),ISNUMBER(SEARCH("coach_",Table1[[#This Row],[FILENAMES_EXPECTED]])))</f>
        <v>0</v>
      </c>
      <c r="E366" t="str">
        <f>"item_"&amp;Table1[[#This Row],[VEHIDCODE]]</f>
        <v>item_electric_UK_NER_EE1</v>
      </c>
      <c r="F366" t="str">
        <f>"str_"&amp;Table1[[#This Row],[VEHIDCODE]]</f>
        <v>str_electric_UK_NER_EE1</v>
      </c>
      <c r="K366" t="b">
        <v>1</v>
      </c>
      <c r="AJ366" s="2"/>
      <c r="AK366" s="2" t="b">
        <f>LEN(_xlfn.CONCAT(Table1[[#This Row],[TRACK_TYPE_STANDARD_GAUGE_RAILTYPE_OHLE]:[TRACK_TYPE_MTRO]]))&gt;0</f>
        <v>1</v>
      </c>
      <c r="AL366">
        <v>8</v>
      </c>
      <c r="AM366" t="s">
        <v>20</v>
      </c>
      <c r="AN366">
        <v>0</v>
      </c>
      <c r="AO366" t="s">
        <v>74</v>
      </c>
      <c r="AP366">
        <v>0</v>
      </c>
      <c r="AQ366">
        <v>1922</v>
      </c>
      <c r="AR366">
        <v>8</v>
      </c>
      <c r="AS366" s="2" t="s">
        <v>20</v>
      </c>
      <c r="AT366" t="b">
        <v>1</v>
      </c>
      <c r="AV366" s="2"/>
      <c r="AW366">
        <v>45</v>
      </c>
      <c r="AX366">
        <v>1</v>
      </c>
      <c r="AY366">
        <v>1800</v>
      </c>
      <c r="AZ366" t="s">
        <v>709</v>
      </c>
      <c r="BA366">
        <v>105</v>
      </c>
      <c r="BB366" s="2">
        <v>0.11</v>
      </c>
      <c r="BC366" t="s">
        <v>927</v>
      </c>
      <c r="BD366" t="s">
        <v>922</v>
      </c>
      <c r="BE366" t="s">
        <v>940</v>
      </c>
      <c r="BF366" s="7">
        <v>40</v>
      </c>
      <c r="BG3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66">
        <v>0</v>
      </c>
      <c r="BI366" t="s">
        <v>734</v>
      </c>
      <c r="BJ366" s="11"/>
      <c r="BK366" s="11"/>
      <c r="BL366" s="11">
        <v>111</v>
      </c>
      <c r="BM366">
        <v>0</v>
      </c>
      <c r="BN366" t="s">
        <v>692</v>
      </c>
      <c r="BO366" t="s">
        <v>694</v>
      </c>
      <c r="BP366" t="s">
        <v>701</v>
      </c>
      <c r="BQ366" t="s">
        <v>705</v>
      </c>
      <c r="BR366" t="s">
        <v>706</v>
      </c>
      <c r="BS366" t="s">
        <v>707</v>
      </c>
      <c r="CR366"/>
      <c r="CS366"/>
      <c r="CT366"/>
    </row>
    <row r="367" spans="1:98" x14ac:dyDescent="0.4">
      <c r="A367" s="2" t="s">
        <v>393</v>
      </c>
      <c r="B367" t="str">
        <f>_xlfn.TEXTAFTER(Table1[[#This Row],[VEHIDCODE]],"_")</f>
        <v>USA_Milwaukee_Road_ES_2</v>
      </c>
      <c r="C367" t="s">
        <v>741</v>
      </c>
      <c r="D367" t="b">
        <f>OR(ISNUMBER(SEARCH("wagon_",Table1[[#This Row],[FILENAMES_EXPECTED]])),ISNUMBER(SEARCH("coach_",Table1[[#This Row],[FILENAMES_EXPECTED]])))</f>
        <v>0</v>
      </c>
      <c r="E367" t="str">
        <f>"item_"&amp;Table1[[#This Row],[VEHIDCODE]]</f>
        <v>item_electric_USA_Milwaukee_Road_ES_2</v>
      </c>
      <c r="F367" t="str">
        <f>"str_"&amp;Table1[[#This Row],[VEHIDCODE]]</f>
        <v>str_electric_USA_Milwaukee_Road_ES_2</v>
      </c>
      <c r="J367" t="b">
        <v>1</v>
      </c>
      <c r="AJ367" s="2"/>
      <c r="AK367" s="2" t="b">
        <f>LEN(_xlfn.CONCAT(Table1[[#This Row],[TRACK_TYPE_STANDARD_GAUGE_RAILTYPE_OHLE]:[TRACK_TYPE_MTRO]]))&gt;0</f>
        <v>1</v>
      </c>
      <c r="AL367">
        <v>6</v>
      </c>
      <c r="AM367" t="s">
        <v>20</v>
      </c>
      <c r="AN367">
        <v>0</v>
      </c>
      <c r="AO367" t="s">
        <v>74</v>
      </c>
      <c r="AP367">
        <v>0</v>
      </c>
      <c r="AQ367">
        <v>1916</v>
      </c>
      <c r="AR367">
        <v>6</v>
      </c>
      <c r="AS367" s="2" t="s">
        <v>20</v>
      </c>
      <c r="AT367" t="b">
        <v>1</v>
      </c>
      <c r="AV367" s="2"/>
      <c r="AW367">
        <v>45</v>
      </c>
      <c r="AX367">
        <v>1</v>
      </c>
      <c r="AY367">
        <v>670</v>
      </c>
      <c r="AZ367" t="s">
        <v>709</v>
      </c>
      <c r="BA367">
        <v>72</v>
      </c>
      <c r="BB367" s="2">
        <v>0.18</v>
      </c>
      <c r="BC367" t="s">
        <v>928</v>
      </c>
      <c r="BD367" t="s">
        <v>922</v>
      </c>
      <c r="BE367" t="s">
        <v>940</v>
      </c>
      <c r="BF367" s="7">
        <v>40</v>
      </c>
      <c r="BG3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67">
        <v>-3</v>
      </c>
      <c r="BI367" t="s">
        <v>734</v>
      </c>
      <c r="BJ367" s="11"/>
      <c r="BK367" s="11"/>
      <c r="BL367" s="11">
        <v>74</v>
      </c>
      <c r="BM367">
        <v>0</v>
      </c>
      <c r="BN367" t="s">
        <v>692</v>
      </c>
      <c r="BO367" t="s">
        <v>694</v>
      </c>
      <c r="BP367" t="s">
        <v>701</v>
      </c>
      <c r="BQ367" t="s">
        <v>705</v>
      </c>
      <c r="BR367" t="s">
        <v>706</v>
      </c>
      <c r="BS367" t="s">
        <v>707</v>
      </c>
      <c r="CR367"/>
      <c r="CS367"/>
      <c r="CT367"/>
    </row>
    <row r="368" spans="1:98" x14ac:dyDescent="0.4">
      <c r="A368" s="2" t="s">
        <v>394</v>
      </c>
      <c r="B368" t="str">
        <f>_xlfn.TEXTAFTER(Table1[[#This Row],[VEHIDCODE]],"_")</f>
        <v>USA_Milwaukee_Road_EP_2_Bipolar</v>
      </c>
      <c r="C368" t="s">
        <v>741</v>
      </c>
      <c r="D368" t="b">
        <f>OR(ISNUMBER(SEARCH("wagon_",Table1[[#This Row],[FILENAMES_EXPECTED]])),ISNUMBER(SEARCH("coach_",Table1[[#This Row],[FILENAMES_EXPECTED]])))</f>
        <v>0</v>
      </c>
      <c r="E368" t="str">
        <f>"item_"&amp;Table1[[#This Row],[VEHIDCODE]]</f>
        <v>item_electric_USA_Milwaukee_Road_EP_2_Bipolar</v>
      </c>
      <c r="F368" t="str">
        <f>"str_"&amp;Table1[[#This Row],[VEHIDCODE]]</f>
        <v>str_electric_USA_Milwaukee_Road_EP_2_Bipolar</v>
      </c>
      <c r="J368" t="b">
        <v>1</v>
      </c>
      <c r="AJ368" s="2"/>
      <c r="AK368" s="2" t="b">
        <f>LEN(_xlfn.CONCAT(Table1[[#This Row],[TRACK_TYPE_STANDARD_GAUGE_RAILTYPE_OHLE]:[TRACK_TYPE_MTRO]]))&gt;0</f>
        <v>1</v>
      </c>
      <c r="AL368">
        <v>4</v>
      </c>
      <c r="AM368" t="s">
        <v>20</v>
      </c>
      <c r="AN368">
        <v>0</v>
      </c>
      <c r="AO368" t="s">
        <v>74</v>
      </c>
      <c r="AP368">
        <v>0</v>
      </c>
      <c r="AQ368">
        <v>1919</v>
      </c>
      <c r="AR368">
        <v>8</v>
      </c>
      <c r="AS368" s="2" t="s">
        <v>20</v>
      </c>
      <c r="AT368" t="b">
        <v>1</v>
      </c>
      <c r="AV368" s="2"/>
      <c r="AW368">
        <v>45</v>
      </c>
      <c r="AX368">
        <v>1</v>
      </c>
      <c r="AY368">
        <v>4400</v>
      </c>
      <c r="AZ368" t="s">
        <v>709</v>
      </c>
      <c r="BA368">
        <v>144</v>
      </c>
      <c r="BB368" s="2">
        <v>0.17</v>
      </c>
      <c r="BC368" t="s">
        <v>928</v>
      </c>
      <c r="BD368" t="s">
        <v>922</v>
      </c>
      <c r="BE368" t="s">
        <v>940</v>
      </c>
      <c r="BF368" s="7">
        <v>40</v>
      </c>
      <c r="BG3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68">
        <v>0</v>
      </c>
      <c r="BI368" t="s">
        <v>734</v>
      </c>
      <c r="BJ368" s="11"/>
      <c r="BK368" s="11"/>
      <c r="BL368" s="11">
        <v>240</v>
      </c>
      <c r="BM368">
        <v>0</v>
      </c>
      <c r="BN368" t="s">
        <v>692</v>
      </c>
      <c r="BO368" t="s">
        <v>694</v>
      </c>
      <c r="BP368" t="s">
        <v>701</v>
      </c>
      <c r="BQ368" t="s">
        <v>705</v>
      </c>
      <c r="BR368" t="s">
        <v>706</v>
      </c>
      <c r="BS368" t="s">
        <v>707</v>
      </c>
      <c r="CR368"/>
      <c r="CS368"/>
      <c r="CT368"/>
    </row>
    <row r="369" spans="1:98" x14ac:dyDescent="0.4">
      <c r="A369" s="2" t="s">
        <v>395</v>
      </c>
      <c r="B369" t="str">
        <f>_xlfn.TEXTAFTER(Table1[[#This Row],[VEHIDCODE]],"_")</f>
        <v>Chile_EFE_E_28</v>
      </c>
      <c r="C369" t="s">
        <v>741</v>
      </c>
      <c r="D369" t="b">
        <f>OR(ISNUMBER(SEARCH("wagon_",Table1[[#This Row],[FILENAMES_EXPECTED]])),ISNUMBER(SEARCH("coach_",Table1[[#This Row],[FILENAMES_EXPECTED]])))</f>
        <v>0</v>
      </c>
      <c r="E369" t="str">
        <f>"item_"&amp;Table1[[#This Row],[VEHIDCODE]]</f>
        <v>item_electric_Chile_EFE_E_28</v>
      </c>
      <c r="F369" t="str">
        <f>"str_"&amp;Table1[[#This Row],[VEHIDCODE]]</f>
        <v>str_electric_Chile_EFE_E_28</v>
      </c>
      <c r="AB369" t="b">
        <v>1</v>
      </c>
      <c r="AJ369" s="2"/>
      <c r="AK369" s="2" t="b">
        <f>LEN(_xlfn.CONCAT(Table1[[#This Row],[TRACK_TYPE_STANDARD_GAUGE_RAILTYPE_OHLE]:[TRACK_TYPE_MTRO]]))&gt;0</f>
        <v>1</v>
      </c>
      <c r="AL369">
        <v>8</v>
      </c>
      <c r="AM369" t="s">
        <v>20</v>
      </c>
      <c r="AN369">
        <v>0</v>
      </c>
      <c r="AO369" t="s">
        <v>74</v>
      </c>
      <c r="AP369">
        <v>0</v>
      </c>
      <c r="AQ369">
        <v>1922</v>
      </c>
      <c r="AR369">
        <v>8</v>
      </c>
      <c r="AS369" s="2" t="s">
        <v>20</v>
      </c>
      <c r="AT369" t="b">
        <v>1</v>
      </c>
      <c r="AV369" s="2"/>
      <c r="AW369">
        <v>45</v>
      </c>
      <c r="AX369">
        <v>1</v>
      </c>
      <c r="AY369">
        <v>2250</v>
      </c>
      <c r="AZ369" t="s">
        <v>709</v>
      </c>
      <c r="BA369">
        <v>110</v>
      </c>
      <c r="BB369" s="2">
        <v>0.19</v>
      </c>
      <c r="BC369" t="s">
        <v>930</v>
      </c>
      <c r="BD369" t="s">
        <v>922</v>
      </c>
      <c r="BE369" t="s">
        <v>940</v>
      </c>
      <c r="BF369" s="7">
        <v>40</v>
      </c>
      <c r="BG3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69">
        <v>-3</v>
      </c>
      <c r="BI369" t="s">
        <v>734</v>
      </c>
      <c r="BJ369" s="11"/>
      <c r="BK369" s="11"/>
      <c r="BL369" s="11">
        <v>115</v>
      </c>
      <c r="BM369">
        <v>0</v>
      </c>
      <c r="BN369" t="s">
        <v>692</v>
      </c>
      <c r="BO369" t="s">
        <v>694</v>
      </c>
      <c r="BP369" t="s">
        <v>701</v>
      </c>
      <c r="BQ369" t="s">
        <v>705</v>
      </c>
      <c r="BR369" t="s">
        <v>706</v>
      </c>
      <c r="BS369" t="s">
        <v>707</v>
      </c>
      <c r="CR369"/>
      <c r="CS369"/>
      <c r="CT369"/>
    </row>
    <row r="370" spans="1:98" x14ac:dyDescent="0.4">
      <c r="A370" s="2" t="s">
        <v>396</v>
      </c>
      <c r="B370" t="str">
        <f>_xlfn.TEXTAFTER(Table1[[#This Row],[VEHIDCODE]],"_")</f>
        <v>Italy_FS_E428</v>
      </c>
      <c r="C370" t="s">
        <v>741</v>
      </c>
      <c r="D370" t="b">
        <f>OR(ISNUMBER(SEARCH("wagon_",Table1[[#This Row],[FILENAMES_EXPECTED]])),ISNUMBER(SEARCH("coach_",Table1[[#This Row],[FILENAMES_EXPECTED]])))</f>
        <v>0</v>
      </c>
      <c r="E370" t="str">
        <f>"item_"&amp;Table1[[#This Row],[VEHIDCODE]]</f>
        <v>item_electric_Italy_FS_E428</v>
      </c>
      <c r="F370" t="str">
        <f>"str_"&amp;Table1[[#This Row],[VEHIDCODE]]</f>
        <v>str_electric_Italy_FS_E428</v>
      </c>
      <c r="J370" t="b">
        <v>1</v>
      </c>
      <c r="AJ370" s="2"/>
      <c r="AK370" s="2" t="b">
        <f>LEN(_xlfn.CONCAT(Table1[[#This Row],[TRACK_TYPE_STANDARD_GAUGE_RAILTYPE_OHLE]:[TRACK_TYPE_MTRO]]))&gt;0</f>
        <v>1</v>
      </c>
      <c r="AL370">
        <v>8</v>
      </c>
      <c r="AM370" t="s">
        <v>20</v>
      </c>
      <c r="AN370">
        <v>0</v>
      </c>
      <c r="AO370" t="s">
        <v>74</v>
      </c>
      <c r="AP370">
        <v>0</v>
      </c>
      <c r="AQ370">
        <v>1934</v>
      </c>
      <c r="AR370">
        <v>8</v>
      </c>
      <c r="AS370" s="2" t="s">
        <v>20</v>
      </c>
      <c r="AT370" t="b">
        <v>1</v>
      </c>
      <c r="AV370" s="2"/>
      <c r="AW370">
        <v>45</v>
      </c>
      <c r="AX370">
        <v>1</v>
      </c>
      <c r="AY370">
        <v>3750</v>
      </c>
      <c r="AZ370" t="s">
        <v>709</v>
      </c>
      <c r="BA370">
        <v>130</v>
      </c>
      <c r="BB370" s="2">
        <v>0.1</v>
      </c>
      <c r="BC370" t="s">
        <v>924</v>
      </c>
      <c r="BD370" t="s">
        <v>922</v>
      </c>
      <c r="BE370" t="s">
        <v>940</v>
      </c>
      <c r="BF370" s="7">
        <v>40</v>
      </c>
      <c r="BG3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70">
        <v>-3</v>
      </c>
      <c r="BI370" t="s">
        <v>734</v>
      </c>
      <c r="BJ370" s="11"/>
      <c r="BK370" s="11"/>
      <c r="BL370" s="11">
        <v>135</v>
      </c>
      <c r="BM370">
        <v>0</v>
      </c>
      <c r="BN370" t="s">
        <v>692</v>
      </c>
      <c r="BO370" t="s">
        <v>694</v>
      </c>
      <c r="BP370" t="s">
        <v>701</v>
      </c>
      <c r="BQ370" t="s">
        <v>705</v>
      </c>
      <c r="BR370" t="s">
        <v>706</v>
      </c>
      <c r="BS370" t="s">
        <v>707</v>
      </c>
      <c r="CR370"/>
      <c r="CS370"/>
      <c r="CT370"/>
    </row>
    <row r="371" spans="1:98" x14ac:dyDescent="0.4">
      <c r="A371" s="2" t="s">
        <v>397</v>
      </c>
      <c r="B371" t="str">
        <f>_xlfn.TEXTAFTER(Table1[[#This Row],[VEHIDCODE]],"_")</f>
        <v>South_Africa_SAR_ES_Class</v>
      </c>
      <c r="C371" t="s">
        <v>741</v>
      </c>
      <c r="D371" t="b">
        <f>OR(ISNUMBER(SEARCH("wagon_",Table1[[#This Row],[FILENAMES_EXPECTED]])),ISNUMBER(SEARCH("coach_",Table1[[#This Row],[FILENAMES_EXPECTED]])))</f>
        <v>0</v>
      </c>
      <c r="E371" t="str">
        <f>"item_"&amp;Table1[[#This Row],[VEHIDCODE]]</f>
        <v>item_electric_South_Africa_SAR_ES_Class</v>
      </c>
      <c r="F371" t="str">
        <f>"str_"&amp;Table1[[#This Row],[VEHIDCODE]]</f>
        <v>str_electric_South_Africa_SAR_ES_Class</v>
      </c>
      <c r="S371" t="b">
        <v>1</v>
      </c>
      <c r="AJ371" s="2"/>
      <c r="AK371" s="2" t="b">
        <f>LEN(_xlfn.CONCAT(Table1[[#This Row],[TRACK_TYPE_STANDARD_GAUGE_RAILTYPE_OHLE]:[TRACK_TYPE_MTRO]]))&gt;0</f>
        <v>1</v>
      </c>
      <c r="AL371">
        <v>8</v>
      </c>
      <c r="AM371" t="s">
        <v>20</v>
      </c>
      <c r="AN371">
        <v>0</v>
      </c>
      <c r="AO371" t="s">
        <v>74</v>
      </c>
      <c r="AP371">
        <v>0</v>
      </c>
      <c r="AQ371">
        <v>1936</v>
      </c>
      <c r="AR371">
        <v>8</v>
      </c>
      <c r="AS371" s="2" t="s">
        <v>20</v>
      </c>
      <c r="AT371" t="b">
        <v>1</v>
      </c>
      <c r="AV371" s="2"/>
      <c r="AW371">
        <v>45</v>
      </c>
      <c r="AX371">
        <v>1</v>
      </c>
      <c r="AY371">
        <v>1200</v>
      </c>
      <c r="AZ371" t="s">
        <v>709</v>
      </c>
      <c r="BA371">
        <v>40</v>
      </c>
      <c r="BB371" s="2">
        <v>0.26</v>
      </c>
      <c r="BC371" t="s">
        <v>926</v>
      </c>
      <c r="BD371" t="s">
        <v>922</v>
      </c>
      <c r="BE371" t="s">
        <v>940</v>
      </c>
      <c r="BF371" s="7">
        <v>40</v>
      </c>
      <c r="BG3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71">
        <v>-3</v>
      </c>
      <c r="BI371" t="s">
        <v>734</v>
      </c>
      <c r="BJ371" s="11"/>
      <c r="BK371" s="11"/>
      <c r="BL371" s="11">
        <v>68</v>
      </c>
      <c r="BM371">
        <v>0</v>
      </c>
      <c r="BN371" t="s">
        <v>692</v>
      </c>
      <c r="BO371" t="s">
        <v>694</v>
      </c>
      <c r="BP371" t="s">
        <v>701</v>
      </c>
      <c r="BQ371" t="s">
        <v>705</v>
      </c>
      <c r="BR371" t="s">
        <v>706</v>
      </c>
      <c r="BS371" t="s">
        <v>707</v>
      </c>
      <c r="CR371"/>
      <c r="CS371"/>
      <c r="CT371"/>
    </row>
    <row r="372" spans="1:98" x14ac:dyDescent="0.4">
      <c r="A372" s="2" t="s">
        <v>398</v>
      </c>
      <c r="B372" t="str">
        <f>_xlfn.TEXTAFTER(Table1[[#This Row],[VEHIDCODE]],"_")</f>
        <v>Poland_PKP_EU06</v>
      </c>
      <c r="C372" t="s">
        <v>741</v>
      </c>
      <c r="D372" t="b">
        <f>OR(ISNUMBER(SEARCH("wagon_",Table1[[#This Row],[FILENAMES_EXPECTED]])),ISNUMBER(SEARCH("coach_",Table1[[#This Row],[FILENAMES_EXPECTED]])))</f>
        <v>0</v>
      </c>
      <c r="E372" t="str">
        <f>"item_"&amp;Table1[[#This Row],[VEHIDCODE]]</f>
        <v>item_electric_Poland_PKP_EU06</v>
      </c>
      <c r="F372" t="str">
        <f>"str_"&amp;Table1[[#This Row],[VEHIDCODE]]</f>
        <v>str_electric_Poland_PKP_EU06</v>
      </c>
      <c r="J372" t="b">
        <v>1</v>
      </c>
      <c r="AJ372" s="2"/>
      <c r="AK372" s="2" t="b">
        <f>LEN(_xlfn.CONCAT(Table1[[#This Row],[TRACK_TYPE_STANDARD_GAUGE_RAILTYPE_OHLE]:[TRACK_TYPE_MTRO]]))&gt;0</f>
        <v>1</v>
      </c>
      <c r="AL372">
        <v>7</v>
      </c>
      <c r="AM372" t="s">
        <v>20</v>
      </c>
      <c r="AN372">
        <v>0</v>
      </c>
      <c r="AO372" t="s">
        <v>74</v>
      </c>
      <c r="AP372">
        <v>0</v>
      </c>
      <c r="AQ372">
        <v>1962</v>
      </c>
      <c r="AR372">
        <v>7</v>
      </c>
      <c r="AS372" s="2" t="s">
        <v>20</v>
      </c>
      <c r="AT372" t="b">
        <v>1</v>
      </c>
      <c r="AV372" s="2"/>
      <c r="AW372">
        <v>45</v>
      </c>
      <c r="AX372">
        <v>1</v>
      </c>
      <c r="AY372">
        <v>1500</v>
      </c>
      <c r="AZ372" t="s">
        <v>709</v>
      </c>
      <c r="BA372">
        <v>126</v>
      </c>
      <c r="BB372" s="2">
        <v>0.35</v>
      </c>
      <c r="BC372" t="s">
        <v>929</v>
      </c>
      <c r="BD372" t="s">
        <v>922</v>
      </c>
      <c r="BE372" t="s">
        <v>940</v>
      </c>
      <c r="BF372" s="7">
        <v>40</v>
      </c>
      <c r="BG3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72">
        <v>0</v>
      </c>
      <c r="BI372" t="s">
        <v>734</v>
      </c>
      <c r="BJ372" s="11"/>
      <c r="BK372" s="11"/>
      <c r="BL372" s="11">
        <v>81</v>
      </c>
      <c r="BM372">
        <v>0</v>
      </c>
      <c r="BN372" t="s">
        <v>692</v>
      </c>
      <c r="BO372" t="s">
        <v>694</v>
      </c>
      <c r="BP372" t="s">
        <v>701</v>
      </c>
      <c r="BQ372" t="s">
        <v>705</v>
      </c>
      <c r="BR372" t="s">
        <v>706</v>
      </c>
      <c r="BS372" t="s">
        <v>707</v>
      </c>
      <c r="CR372"/>
      <c r="CS372"/>
      <c r="CT372"/>
    </row>
    <row r="373" spans="1:98" x14ac:dyDescent="0.4">
      <c r="A373" s="2" t="s">
        <v>399</v>
      </c>
      <c r="B373" t="str">
        <f>_xlfn.TEXTAFTER(Table1[[#This Row],[VEHIDCODE]],"_")</f>
        <v>Poland_PKP_ET41</v>
      </c>
      <c r="C373" t="s">
        <v>741</v>
      </c>
      <c r="D373" t="b">
        <f>OR(ISNUMBER(SEARCH("wagon_",Table1[[#This Row],[FILENAMES_EXPECTED]])),ISNUMBER(SEARCH("coach_",Table1[[#This Row],[FILENAMES_EXPECTED]])))</f>
        <v>0</v>
      </c>
      <c r="E373" t="str">
        <f>"item_"&amp;Table1[[#This Row],[VEHIDCODE]]</f>
        <v>item_electric_Poland_PKP_ET41</v>
      </c>
      <c r="F373" t="str">
        <f>"str_"&amp;Table1[[#This Row],[VEHIDCODE]]</f>
        <v>str_electric_Poland_PKP_ET41</v>
      </c>
      <c r="J373" t="b">
        <v>1</v>
      </c>
      <c r="AJ373" s="2"/>
      <c r="AK373" s="2" t="b">
        <f>LEN(_xlfn.CONCAT(Table1[[#This Row],[TRACK_TYPE_STANDARD_GAUGE_RAILTYPE_OHLE]:[TRACK_TYPE_MTRO]]))&gt;0</f>
        <v>1</v>
      </c>
      <c r="AL373">
        <v>14</v>
      </c>
      <c r="AM373" t="s">
        <v>20</v>
      </c>
      <c r="AN373">
        <v>0</v>
      </c>
      <c r="AO373" t="s">
        <v>74</v>
      </c>
      <c r="AP373">
        <v>0</v>
      </c>
      <c r="AQ373">
        <v>1977</v>
      </c>
      <c r="AR373">
        <v>7</v>
      </c>
      <c r="AS373" s="2" t="s">
        <v>20</v>
      </c>
      <c r="AT373" t="b">
        <v>1</v>
      </c>
      <c r="AV373" s="2"/>
      <c r="AW373">
        <v>45</v>
      </c>
      <c r="AX373">
        <v>0</v>
      </c>
      <c r="AY373">
        <v>5400</v>
      </c>
      <c r="AZ373" t="s">
        <v>709</v>
      </c>
      <c r="BA373">
        <v>125</v>
      </c>
      <c r="BB373" s="2">
        <v>0.6</v>
      </c>
      <c r="BC373" t="s">
        <v>929</v>
      </c>
      <c r="BD373" t="s">
        <v>922</v>
      </c>
      <c r="BE373" t="s">
        <v>940</v>
      </c>
      <c r="BF373" s="7">
        <v>40</v>
      </c>
      <c r="BG3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73">
        <v>0</v>
      </c>
      <c r="BI373" t="s">
        <v>734</v>
      </c>
      <c r="BJ373" s="11"/>
      <c r="BK373" s="11"/>
      <c r="BL373" s="11">
        <v>167</v>
      </c>
      <c r="BM373">
        <v>0</v>
      </c>
      <c r="BN373" t="s">
        <v>692</v>
      </c>
      <c r="BO373" t="s">
        <v>694</v>
      </c>
      <c r="BP373" t="s">
        <v>701</v>
      </c>
      <c r="BQ373" t="s">
        <v>705</v>
      </c>
      <c r="BR373" t="s">
        <v>706</v>
      </c>
      <c r="BS373" t="s">
        <v>707</v>
      </c>
      <c r="CR373"/>
      <c r="CS373"/>
      <c r="CT373"/>
    </row>
    <row r="374" spans="1:98" x14ac:dyDescent="0.4">
      <c r="A374" s="2" t="s">
        <v>400</v>
      </c>
      <c r="B374" t="str">
        <f>_xlfn.TEXTAFTER(Table1[[#This Row],[VEHIDCODE]],"_")</f>
        <v>Poland_PKP_EP09</v>
      </c>
      <c r="C374" t="s">
        <v>741</v>
      </c>
      <c r="D374" t="b">
        <f>OR(ISNUMBER(SEARCH("wagon_",Table1[[#This Row],[FILENAMES_EXPECTED]])),ISNUMBER(SEARCH("coach_",Table1[[#This Row],[FILENAMES_EXPECTED]])))</f>
        <v>0</v>
      </c>
      <c r="E374" t="str">
        <f>"item_"&amp;Table1[[#This Row],[VEHIDCODE]]</f>
        <v>item_electric_Poland_PKP_EP09</v>
      </c>
      <c r="F374" t="str">
        <f>"str_"&amp;Table1[[#This Row],[VEHIDCODE]]</f>
        <v>str_electric_Poland_PKP_EP09</v>
      </c>
      <c r="J374" t="b">
        <v>1</v>
      </c>
      <c r="AJ374" s="2"/>
      <c r="AK374" s="2" t="b">
        <f>LEN(_xlfn.CONCAT(Table1[[#This Row],[TRACK_TYPE_STANDARD_GAUGE_RAILTYPE_OHLE]:[TRACK_TYPE_MTRO]]))&gt;0</f>
        <v>1</v>
      </c>
      <c r="AL374">
        <v>7</v>
      </c>
      <c r="AM374" t="s">
        <v>20</v>
      </c>
      <c r="AN374">
        <v>0</v>
      </c>
      <c r="AO374" t="s">
        <v>74</v>
      </c>
      <c r="AP374">
        <v>0</v>
      </c>
      <c r="AQ374">
        <v>1986</v>
      </c>
      <c r="AR374">
        <v>7</v>
      </c>
      <c r="AS374" s="2" t="s">
        <v>20</v>
      </c>
      <c r="AT374" t="b">
        <v>1</v>
      </c>
      <c r="AV374" s="2"/>
      <c r="AW374">
        <v>45</v>
      </c>
      <c r="AX374">
        <v>1</v>
      </c>
      <c r="AY374">
        <v>4452</v>
      </c>
      <c r="AZ374" t="s">
        <v>709</v>
      </c>
      <c r="BA374">
        <v>160</v>
      </c>
      <c r="BB374" s="2">
        <v>0.23</v>
      </c>
      <c r="BC374" t="s">
        <v>929</v>
      </c>
      <c r="BD374" t="s">
        <v>922</v>
      </c>
      <c r="BE374" t="s">
        <v>940</v>
      </c>
      <c r="BF374" s="7">
        <v>40</v>
      </c>
      <c r="BG3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74">
        <v>0</v>
      </c>
      <c r="BI374" t="s">
        <v>734</v>
      </c>
      <c r="BJ374" s="11"/>
      <c r="BK374" s="11"/>
      <c r="BL374" s="11">
        <v>84</v>
      </c>
      <c r="BM374">
        <v>0</v>
      </c>
      <c r="BN374" t="s">
        <v>692</v>
      </c>
      <c r="BO374" t="s">
        <v>694</v>
      </c>
      <c r="BP374" t="s">
        <v>701</v>
      </c>
      <c r="BQ374" t="s">
        <v>705</v>
      </c>
      <c r="BR374" t="s">
        <v>706</v>
      </c>
      <c r="BS374" t="s">
        <v>707</v>
      </c>
      <c r="CR374"/>
      <c r="CS374"/>
      <c r="CT374"/>
    </row>
    <row r="375" spans="1:98" x14ac:dyDescent="0.4">
      <c r="A375" s="2" t="s">
        <v>401</v>
      </c>
      <c r="B375" t="str">
        <f>_xlfn.TEXTAFTER(Table1[[#This Row],[VEHIDCODE]],"_")</f>
        <v>Slovakia_ZSSK_162</v>
      </c>
      <c r="C375" t="s">
        <v>741</v>
      </c>
      <c r="D375" t="b">
        <f>OR(ISNUMBER(SEARCH("wagon_",Table1[[#This Row],[FILENAMES_EXPECTED]])),ISNUMBER(SEARCH("coach_",Table1[[#This Row],[FILENAMES_EXPECTED]])))</f>
        <v>0</v>
      </c>
      <c r="E375" t="str">
        <f>"item_"&amp;Table1[[#This Row],[VEHIDCODE]]</f>
        <v>item_electric_Slovakia_ZSSK_162</v>
      </c>
      <c r="F375" t="str">
        <f>"str_"&amp;Table1[[#This Row],[VEHIDCODE]]</f>
        <v>str_electric_Slovakia_ZSSK_162</v>
      </c>
      <c r="J375" t="b">
        <v>1</v>
      </c>
      <c r="AJ375" s="2"/>
      <c r="AK375" s="2" t="b">
        <f>LEN(_xlfn.CONCAT(Table1[[#This Row],[TRACK_TYPE_STANDARD_GAUGE_RAILTYPE_OHLE]:[TRACK_TYPE_MTRO]]))&gt;0</f>
        <v>1</v>
      </c>
      <c r="AL375">
        <v>7</v>
      </c>
      <c r="AM375" t="s">
        <v>20</v>
      </c>
      <c r="AN375">
        <v>0</v>
      </c>
      <c r="AO375" t="s">
        <v>74</v>
      </c>
      <c r="AP375">
        <v>0</v>
      </c>
      <c r="AQ375">
        <v>1991</v>
      </c>
      <c r="AR375">
        <v>7</v>
      </c>
      <c r="AS375" s="2" t="s">
        <v>20</v>
      </c>
      <c r="AT375" t="b">
        <v>1</v>
      </c>
      <c r="AV375" s="2"/>
      <c r="AW375">
        <v>45</v>
      </c>
      <c r="AX375">
        <v>1</v>
      </c>
      <c r="AY375">
        <v>4872</v>
      </c>
      <c r="AZ375" t="s">
        <v>709</v>
      </c>
      <c r="BA375">
        <v>140</v>
      </c>
      <c r="BB375" s="2">
        <v>0.3</v>
      </c>
      <c r="BC375" t="s">
        <v>929</v>
      </c>
      <c r="BD375" t="s">
        <v>922</v>
      </c>
      <c r="BE375" t="s">
        <v>940</v>
      </c>
      <c r="BF375" s="7">
        <v>40</v>
      </c>
      <c r="BG3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75">
        <v>0</v>
      </c>
      <c r="BI375" t="s">
        <v>734</v>
      </c>
      <c r="BJ375" s="11"/>
      <c r="BK375" s="11"/>
      <c r="BL375" s="11">
        <v>85</v>
      </c>
      <c r="BM375">
        <v>0</v>
      </c>
      <c r="BN375" t="s">
        <v>692</v>
      </c>
      <c r="BO375" t="s">
        <v>694</v>
      </c>
      <c r="BP375" t="s">
        <v>701</v>
      </c>
      <c r="BQ375" t="s">
        <v>705</v>
      </c>
      <c r="BR375" t="s">
        <v>706</v>
      </c>
      <c r="BS375" t="s">
        <v>707</v>
      </c>
      <c r="CR375"/>
      <c r="CS375"/>
      <c r="CT375"/>
    </row>
    <row r="376" spans="1:98" x14ac:dyDescent="0.4">
      <c r="A376" s="2" t="s">
        <v>402</v>
      </c>
      <c r="B376" t="str">
        <f>_xlfn.TEXTAFTER(Table1[[#This Row],[VEHIDCODE]],"_")</f>
        <v>Italy_FS_E646</v>
      </c>
      <c r="C376" t="s">
        <v>741</v>
      </c>
      <c r="D376" t="b">
        <f>OR(ISNUMBER(SEARCH("wagon_",Table1[[#This Row],[FILENAMES_EXPECTED]])),ISNUMBER(SEARCH("coach_",Table1[[#This Row],[FILENAMES_EXPECTED]])))</f>
        <v>0</v>
      </c>
      <c r="E376" t="str">
        <f>"item_"&amp;Table1[[#This Row],[VEHIDCODE]]</f>
        <v>item_electric_Italy_FS_E646</v>
      </c>
      <c r="F376" t="str">
        <f>"str_"&amp;Table1[[#This Row],[VEHIDCODE]]</f>
        <v>str_electric_Italy_FS_E646</v>
      </c>
      <c r="J376" t="b">
        <v>1</v>
      </c>
      <c r="AJ376" s="2"/>
      <c r="AK376" s="2" t="b">
        <f>LEN(_xlfn.CONCAT(Table1[[#This Row],[TRACK_TYPE_STANDARD_GAUGE_RAILTYPE_OHLE]:[TRACK_TYPE_MTRO]]))&gt;0</f>
        <v>1</v>
      </c>
      <c r="AL376">
        <v>10</v>
      </c>
      <c r="AM376" t="s">
        <v>20</v>
      </c>
      <c r="AN376">
        <v>0</v>
      </c>
      <c r="AO376" t="s">
        <v>74</v>
      </c>
      <c r="AP376">
        <v>0</v>
      </c>
      <c r="AQ376">
        <v>1961</v>
      </c>
      <c r="AR376">
        <v>5</v>
      </c>
      <c r="AS376" s="2" t="s">
        <v>20</v>
      </c>
      <c r="AT376" t="b">
        <v>1</v>
      </c>
      <c r="AV376" s="2"/>
      <c r="AW376">
        <v>45</v>
      </c>
      <c r="AX376">
        <v>1</v>
      </c>
      <c r="AY376">
        <v>6610</v>
      </c>
      <c r="AZ376" t="s">
        <v>709</v>
      </c>
      <c r="BA376">
        <v>140</v>
      </c>
      <c r="BB376" s="2">
        <v>0.21</v>
      </c>
      <c r="BC376" t="s">
        <v>924</v>
      </c>
      <c r="BD376" t="s">
        <v>922</v>
      </c>
      <c r="BE376" t="s">
        <v>940</v>
      </c>
      <c r="BF376" s="7">
        <v>40</v>
      </c>
      <c r="BG3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76">
        <v>0</v>
      </c>
      <c r="BI376" t="s">
        <v>734</v>
      </c>
      <c r="BJ376" s="11"/>
      <c r="BK376" s="11"/>
      <c r="BL376" s="11">
        <v>110</v>
      </c>
      <c r="BM376">
        <v>0</v>
      </c>
      <c r="BN376" t="s">
        <v>692</v>
      </c>
      <c r="BO376" t="s">
        <v>694</v>
      </c>
      <c r="BP376" t="s">
        <v>701</v>
      </c>
      <c r="BQ376" t="s">
        <v>705</v>
      </c>
      <c r="BR376" t="s">
        <v>706</v>
      </c>
      <c r="BS376" t="s">
        <v>707</v>
      </c>
      <c r="CR376"/>
      <c r="CS376"/>
      <c r="CT376"/>
    </row>
    <row r="377" spans="1:98" x14ac:dyDescent="0.4">
      <c r="A377" s="2" t="s">
        <v>403</v>
      </c>
      <c r="B377" t="str">
        <f>_xlfn.TEXTAFTER(Table1[[#This Row],[VEHIDCODE]],"_")</f>
        <v>Italy_FS_E424</v>
      </c>
      <c r="C377" t="s">
        <v>741</v>
      </c>
      <c r="D377" t="b">
        <f>OR(ISNUMBER(SEARCH("wagon_",Table1[[#This Row],[FILENAMES_EXPECTED]])),ISNUMBER(SEARCH("coach_",Table1[[#This Row],[FILENAMES_EXPECTED]])))</f>
        <v>0</v>
      </c>
      <c r="E377" t="str">
        <f>"item_"&amp;Table1[[#This Row],[VEHIDCODE]]</f>
        <v>item_electric_Italy_FS_E424</v>
      </c>
      <c r="F377" t="str">
        <f>"str_"&amp;Table1[[#This Row],[VEHIDCODE]]</f>
        <v>str_electric_Italy_FS_E424</v>
      </c>
      <c r="J377" t="b">
        <v>1</v>
      </c>
      <c r="AJ377" s="2"/>
      <c r="AK377" s="2" t="b">
        <f>LEN(_xlfn.CONCAT(Table1[[#This Row],[TRACK_TYPE_STANDARD_GAUGE_RAILTYPE_OHLE]:[TRACK_TYPE_MTRO]]))&gt;0</f>
        <v>1</v>
      </c>
      <c r="AL377">
        <v>8</v>
      </c>
      <c r="AM377" t="s">
        <v>20</v>
      </c>
      <c r="AN377">
        <v>0</v>
      </c>
      <c r="AO377" t="s">
        <v>74</v>
      </c>
      <c r="AP377">
        <v>0</v>
      </c>
      <c r="AQ377">
        <v>1943</v>
      </c>
      <c r="AR377">
        <v>8</v>
      </c>
      <c r="AS377" s="2" t="s">
        <v>20</v>
      </c>
      <c r="AT377" t="b">
        <v>1</v>
      </c>
      <c r="AV377" s="2"/>
      <c r="AW377">
        <v>45</v>
      </c>
      <c r="AX377">
        <v>1</v>
      </c>
      <c r="AY377">
        <v>2000</v>
      </c>
      <c r="AZ377" t="s">
        <v>709</v>
      </c>
      <c r="BA377">
        <v>120</v>
      </c>
      <c r="BB377" s="2">
        <v>0.26</v>
      </c>
      <c r="BC377" t="s">
        <v>924</v>
      </c>
      <c r="BD377" t="s">
        <v>922</v>
      </c>
      <c r="BE377" t="s">
        <v>940</v>
      </c>
      <c r="BF377" s="7">
        <v>40</v>
      </c>
      <c r="BG3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77">
        <v>0</v>
      </c>
      <c r="BI377" t="s">
        <v>734</v>
      </c>
      <c r="BJ377" s="11"/>
      <c r="BK377" s="11"/>
      <c r="BL377" s="11">
        <v>65</v>
      </c>
      <c r="BM377">
        <v>0</v>
      </c>
      <c r="BN377" t="s">
        <v>692</v>
      </c>
      <c r="BO377" t="s">
        <v>694</v>
      </c>
      <c r="BP377" t="s">
        <v>701</v>
      </c>
      <c r="BQ377" t="s">
        <v>705</v>
      </c>
      <c r="BR377" t="s">
        <v>706</v>
      </c>
      <c r="BS377" t="s">
        <v>707</v>
      </c>
      <c r="CR377"/>
      <c r="CS377"/>
      <c r="CT377"/>
    </row>
    <row r="378" spans="1:98" x14ac:dyDescent="0.4">
      <c r="A378" s="2" t="s">
        <v>404</v>
      </c>
      <c r="B378" t="str">
        <f>_xlfn.TEXTAFTER(Table1[[#This Row],[VEHIDCODE]],"_")</f>
        <v>Italy_FS_E444</v>
      </c>
      <c r="C378" t="s">
        <v>741</v>
      </c>
      <c r="D378" t="b">
        <f>OR(ISNUMBER(SEARCH("wagon_",Table1[[#This Row],[FILENAMES_EXPECTED]])),ISNUMBER(SEARCH("coach_",Table1[[#This Row],[FILENAMES_EXPECTED]])))</f>
        <v>0</v>
      </c>
      <c r="E378" t="str">
        <f>"item_"&amp;Table1[[#This Row],[VEHIDCODE]]</f>
        <v>item_electric_Italy_FS_E444</v>
      </c>
      <c r="F378" t="str">
        <f>"str_"&amp;Table1[[#This Row],[VEHIDCODE]]</f>
        <v>str_electric_Italy_FS_E444</v>
      </c>
      <c r="J378" t="b">
        <v>1</v>
      </c>
      <c r="AJ378" s="2"/>
      <c r="AK378" s="2" t="b">
        <f>LEN(_xlfn.CONCAT(Table1[[#This Row],[TRACK_TYPE_STANDARD_GAUGE_RAILTYPE_OHLE]:[TRACK_TYPE_MTRO]]))&gt;0</f>
        <v>1</v>
      </c>
      <c r="AL378">
        <v>8</v>
      </c>
      <c r="AM378" t="s">
        <v>20</v>
      </c>
      <c r="AN378">
        <v>0</v>
      </c>
      <c r="AO378" t="s">
        <v>74</v>
      </c>
      <c r="AP378">
        <v>0</v>
      </c>
      <c r="AQ378">
        <v>1967</v>
      </c>
      <c r="AR378">
        <v>8</v>
      </c>
      <c r="AS378" s="2" t="s">
        <v>20</v>
      </c>
      <c r="AT378" t="b">
        <v>1</v>
      </c>
      <c r="AV378" s="2"/>
      <c r="AW378">
        <v>45</v>
      </c>
      <c r="AX378">
        <v>1</v>
      </c>
      <c r="AY378">
        <v>5729</v>
      </c>
      <c r="AZ378" t="s">
        <v>709</v>
      </c>
      <c r="BA378">
        <v>200</v>
      </c>
      <c r="BB378" s="2">
        <v>0.24</v>
      </c>
      <c r="BC378" t="s">
        <v>924</v>
      </c>
      <c r="BD378" t="s">
        <v>922</v>
      </c>
      <c r="BE378" t="s">
        <v>940</v>
      </c>
      <c r="BF378" s="7">
        <v>40</v>
      </c>
      <c r="BG3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78">
        <v>0</v>
      </c>
      <c r="BI378" t="s">
        <v>734</v>
      </c>
      <c r="BJ378" s="11"/>
      <c r="BK378" s="11"/>
      <c r="BL378" s="11">
        <v>83</v>
      </c>
      <c r="BM378">
        <v>0</v>
      </c>
      <c r="BN378" t="s">
        <v>692</v>
      </c>
      <c r="BO378" t="s">
        <v>694</v>
      </c>
      <c r="BP378" t="s">
        <v>701</v>
      </c>
      <c r="BQ378" t="s">
        <v>705</v>
      </c>
      <c r="BR378" t="s">
        <v>706</v>
      </c>
      <c r="BS378" t="s">
        <v>707</v>
      </c>
      <c r="CR378"/>
      <c r="CS378"/>
      <c r="CT378"/>
    </row>
    <row r="379" spans="1:98" x14ac:dyDescent="0.4">
      <c r="A379" s="2" t="s">
        <v>405</v>
      </c>
      <c r="B379" t="str">
        <f>_xlfn.TEXTAFTER(Table1[[#This Row],[VEHIDCODE]],"_")</f>
        <v>Italy_FS_E633</v>
      </c>
      <c r="C379" t="s">
        <v>741</v>
      </c>
      <c r="D379" t="b">
        <f>OR(ISNUMBER(SEARCH("wagon_",Table1[[#This Row],[FILENAMES_EXPECTED]])),ISNUMBER(SEARCH("coach_",Table1[[#This Row],[FILENAMES_EXPECTED]])))</f>
        <v>0</v>
      </c>
      <c r="E379" t="str">
        <f>"item_"&amp;Table1[[#This Row],[VEHIDCODE]]</f>
        <v>item_electric_Italy_FS_E633</v>
      </c>
      <c r="F379" t="str">
        <f>"str_"&amp;Table1[[#This Row],[VEHIDCODE]]</f>
        <v>str_electric_Italy_FS_E633</v>
      </c>
      <c r="J379" t="b">
        <v>1</v>
      </c>
      <c r="AJ379" s="2"/>
      <c r="AK379" s="2" t="b">
        <f>LEN(_xlfn.CONCAT(Table1[[#This Row],[TRACK_TYPE_STANDARD_GAUGE_RAILTYPE_OHLE]:[TRACK_TYPE_MTRO]]))&gt;0</f>
        <v>1</v>
      </c>
      <c r="AL379">
        <v>8</v>
      </c>
      <c r="AM379" t="s">
        <v>20</v>
      </c>
      <c r="AN379">
        <v>0</v>
      </c>
      <c r="AO379" t="s">
        <v>74</v>
      </c>
      <c r="AP379">
        <v>0</v>
      </c>
      <c r="AQ379">
        <v>1979</v>
      </c>
      <c r="AR379">
        <v>8</v>
      </c>
      <c r="AS379" s="2" t="s">
        <v>20</v>
      </c>
      <c r="AT379" t="b">
        <v>1</v>
      </c>
      <c r="AV379" s="2"/>
      <c r="AW379">
        <v>45</v>
      </c>
      <c r="AX379">
        <v>1</v>
      </c>
      <c r="AY379">
        <v>5600</v>
      </c>
      <c r="AZ379" t="s">
        <v>709</v>
      </c>
      <c r="BA379">
        <v>130</v>
      </c>
      <c r="BB379" s="2">
        <v>0.27</v>
      </c>
      <c r="BC379" t="s">
        <v>924</v>
      </c>
      <c r="BD379" t="s">
        <v>922</v>
      </c>
      <c r="BE379" t="s">
        <v>940</v>
      </c>
      <c r="BF379" s="7">
        <v>40</v>
      </c>
      <c r="BG3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79">
        <v>0</v>
      </c>
      <c r="BI379" t="s">
        <v>734</v>
      </c>
      <c r="BJ379" s="11"/>
      <c r="BK379" s="11"/>
      <c r="BL379" s="11">
        <v>103</v>
      </c>
      <c r="BM379">
        <v>0</v>
      </c>
      <c r="BN379" t="s">
        <v>692</v>
      </c>
      <c r="BO379" t="s">
        <v>694</v>
      </c>
      <c r="BP379" t="s">
        <v>701</v>
      </c>
      <c r="BQ379" t="s">
        <v>705</v>
      </c>
      <c r="BR379" t="s">
        <v>706</v>
      </c>
      <c r="BS379" t="s">
        <v>707</v>
      </c>
      <c r="CR379"/>
      <c r="CS379"/>
      <c r="CT379"/>
    </row>
    <row r="380" spans="1:98" x14ac:dyDescent="0.4">
      <c r="A380" s="2" t="s">
        <v>406</v>
      </c>
      <c r="B380" t="str">
        <f>_xlfn.TEXTAFTER(Table1[[#This Row],[VEHIDCODE]],"_")</f>
        <v>Belgium_NMBS_Class_255</v>
      </c>
      <c r="C380" t="s">
        <v>741</v>
      </c>
      <c r="D380" t="b">
        <f>OR(ISNUMBER(SEARCH("wagon_",Table1[[#This Row],[FILENAMES_EXPECTED]])),ISNUMBER(SEARCH("coach_",Table1[[#This Row],[FILENAMES_EXPECTED]])))</f>
        <v>0</v>
      </c>
      <c r="E380" t="str">
        <f>"item_"&amp;Table1[[#This Row],[VEHIDCODE]]</f>
        <v>item_electric_Belgium_NMBS_Class_255</v>
      </c>
      <c r="F380" t="str">
        <f>"str_"&amp;Table1[[#This Row],[VEHIDCODE]]</f>
        <v>str_electric_Belgium_NMBS_Class_255</v>
      </c>
      <c r="J380" t="b">
        <v>1</v>
      </c>
      <c r="AJ380" s="2"/>
      <c r="AK380" s="2" t="b">
        <f>LEN(_xlfn.CONCAT(Table1[[#This Row],[TRACK_TYPE_STANDARD_GAUGE_RAILTYPE_OHLE]:[TRACK_TYPE_MTRO]]))&gt;0</f>
        <v>1</v>
      </c>
      <c r="AL380">
        <v>8</v>
      </c>
      <c r="AM380" t="s">
        <v>20</v>
      </c>
      <c r="AN380">
        <v>0</v>
      </c>
      <c r="AO380" t="s">
        <v>74</v>
      </c>
      <c r="AP380">
        <v>0</v>
      </c>
      <c r="AQ380">
        <v>1960</v>
      </c>
      <c r="AR380">
        <v>8</v>
      </c>
      <c r="AS380" s="2" t="s">
        <v>20</v>
      </c>
      <c r="AT380" t="b">
        <v>1</v>
      </c>
      <c r="AV380" s="2"/>
      <c r="AW380">
        <v>45</v>
      </c>
      <c r="AX380">
        <v>1</v>
      </c>
      <c r="AY380">
        <v>2520</v>
      </c>
      <c r="AZ380" t="s">
        <v>709</v>
      </c>
      <c r="BA380">
        <v>130</v>
      </c>
      <c r="BB380" s="2">
        <v>0.23</v>
      </c>
      <c r="BC380" t="s">
        <v>923</v>
      </c>
      <c r="BD380" t="s">
        <v>922</v>
      </c>
      <c r="BE380" t="s">
        <v>940</v>
      </c>
      <c r="BF380" s="7">
        <v>40</v>
      </c>
      <c r="BG3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80">
        <v>0</v>
      </c>
      <c r="BI380" t="s">
        <v>734</v>
      </c>
      <c r="BJ380" s="11"/>
      <c r="BK380" s="11"/>
      <c r="BL380" s="11">
        <v>85</v>
      </c>
      <c r="BM380">
        <v>0</v>
      </c>
      <c r="BN380" t="s">
        <v>692</v>
      </c>
      <c r="BO380" t="s">
        <v>694</v>
      </c>
      <c r="BP380" t="s">
        <v>701</v>
      </c>
      <c r="BQ380" t="s">
        <v>705</v>
      </c>
      <c r="BR380" t="s">
        <v>706</v>
      </c>
      <c r="BS380" t="s">
        <v>707</v>
      </c>
      <c r="CR380"/>
      <c r="CS380"/>
      <c r="CT380"/>
    </row>
    <row r="381" spans="1:98" x14ac:dyDescent="0.4">
      <c r="A381" s="2" t="s">
        <v>407</v>
      </c>
      <c r="B381" t="str">
        <f>_xlfn.TEXTAFTER(Table1[[#This Row],[VEHIDCODE]],"_")</f>
        <v>Spain_RENFE_250</v>
      </c>
      <c r="C381" t="s">
        <v>741</v>
      </c>
      <c r="D381" t="b">
        <f>OR(ISNUMBER(SEARCH("wagon_",Table1[[#This Row],[FILENAMES_EXPECTED]])),ISNUMBER(SEARCH("coach_",Table1[[#This Row],[FILENAMES_EXPECTED]])))</f>
        <v>0</v>
      </c>
      <c r="E381" t="str">
        <f>"item_"&amp;Table1[[#This Row],[VEHIDCODE]]</f>
        <v>item_electric_Spain_RENFE_250</v>
      </c>
      <c r="F381" t="str">
        <f>"str_"&amp;Table1[[#This Row],[VEHIDCODE]]</f>
        <v>str_electric_Spain_RENFE_250</v>
      </c>
      <c r="AB381" t="b">
        <v>1</v>
      </c>
      <c r="AJ381" s="2"/>
      <c r="AK381" s="2" t="b">
        <f>LEN(_xlfn.CONCAT(Table1[[#This Row],[TRACK_TYPE_STANDARD_GAUGE_RAILTYPE_OHLE]:[TRACK_TYPE_MTRO]]))&gt;0</f>
        <v>1</v>
      </c>
      <c r="AL381">
        <v>8</v>
      </c>
      <c r="AM381" t="s">
        <v>20</v>
      </c>
      <c r="AN381">
        <v>0</v>
      </c>
      <c r="AO381" t="s">
        <v>74</v>
      </c>
      <c r="AP381">
        <v>0</v>
      </c>
      <c r="AQ381">
        <v>1982</v>
      </c>
      <c r="AR381">
        <v>8</v>
      </c>
      <c r="AS381" s="2" t="s">
        <v>20</v>
      </c>
      <c r="AT381" t="b">
        <v>1</v>
      </c>
      <c r="AV381" s="2"/>
      <c r="AW381">
        <v>45</v>
      </c>
      <c r="AX381">
        <v>1</v>
      </c>
      <c r="AY381">
        <v>6440</v>
      </c>
      <c r="AZ381" t="s">
        <v>709</v>
      </c>
      <c r="BA381">
        <v>160</v>
      </c>
      <c r="BB381" s="2">
        <v>0.16</v>
      </c>
      <c r="BC381" t="s">
        <v>924</v>
      </c>
      <c r="BD381" t="s">
        <v>922</v>
      </c>
      <c r="BE381" t="s">
        <v>940</v>
      </c>
      <c r="BF381" s="7">
        <v>40</v>
      </c>
      <c r="BG3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81">
        <v>0</v>
      </c>
      <c r="BI381" t="s">
        <v>734</v>
      </c>
      <c r="BJ381" s="11"/>
      <c r="BK381" s="11"/>
      <c r="BL381" s="11">
        <v>124</v>
      </c>
      <c r="BM381">
        <v>0</v>
      </c>
      <c r="BN381" t="s">
        <v>692</v>
      </c>
      <c r="BO381" t="s">
        <v>694</v>
      </c>
      <c r="BP381" t="s">
        <v>701</v>
      </c>
      <c r="BQ381" t="s">
        <v>705</v>
      </c>
      <c r="BR381" t="s">
        <v>706</v>
      </c>
      <c r="BS381" t="s">
        <v>707</v>
      </c>
      <c r="CR381"/>
      <c r="CS381"/>
      <c r="CT381"/>
    </row>
    <row r="382" spans="1:98" x14ac:dyDescent="0.4">
      <c r="A382" s="2" t="s">
        <v>408</v>
      </c>
      <c r="B382" t="str">
        <f>_xlfn.TEXTAFTER(Table1[[#This Row],[VEHIDCODE]],"_")</f>
        <v>Chile_EFE_E_29</v>
      </c>
      <c r="C382" t="s">
        <v>741</v>
      </c>
      <c r="D382" t="b">
        <f>OR(ISNUMBER(SEARCH("wagon_",Table1[[#This Row],[FILENAMES_EXPECTED]])),ISNUMBER(SEARCH("coach_",Table1[[#This Row],[FILENAMES_EXPECTED]])))</f>
        <v>0</v>
      </c>
      <c r="E382" t="str">
        <f>"item_"&amp;Table1[[#This Row],[VEHIDCODE]]</f>
        <v>item_electric_Chile_EFE_E_29</v>
      </c>
      <c r="F382" t="str">
        <f>"str_"&amp;Table1[[#This Row],[VEHIDCODE]]</f>
        <v>str_electric_Chile_EFE_E_29</v>
      </c>
      <c r="AB382" t="b">
        <v>1</v>
      </c>
      <c r="AJ382" s="2"/>
      <c r="AK382" s="2" t="b">
        <f>LEN(_xlfn.CONCAT(Table1[[#This Row],[TRACK_TYPE_STANDARD_GAUGE_RAILTYPE_OHLE]:[TRACK_TYPE_MTRO]]))&gt;0</f>
        <v>1</v>
      </c>
      <c r="AL382">
        <v>2</v>
      </c>
      <c r="AM382" t="s">
        <v>20</v>
      </c>
      <c r="AN382">
        <v>0</v>
      </c>
      <c r="AO382" t="s">
        <v>74</v>
      </c>
      <c r="AP382">
        <v>0</v>
      </c>
      <c r="AQ382">
        <v>1949</v>
      </c>
      <c r="AR382">
        <v>8</v>
      </c>
      <c r="AS382" s="2" t="s">
        <v>20</v>
      </c>
      <c r="AT382" t="b">
        <v>1</v>
      </c>
      <c r="AV382" s="2"/>
      <c r="AW382">
        <v>45</v>
      </c>
      <c r="AX382">
        <v>1</v>
      </c>
      <c r="AY382">
        <v>4500</v>
      </c>
      <c r="AZ382" t="s">
        <v>709</v>
      </c>
      <c r="BA382">
        <v>120</v>
      </c>
      <c r="BB382" s="2">
        <v>0.2</v>
      </c>
      <c r="BC382" t="s">
        <v>930</v>
      </c>
      <c r="BD382" t="s">
        <v>922</v>
      </c>
      <c r="BE382" t="s">
        <v>940</v>
      </c>
      <c r="BF382" s="7">
        <v>40</v>
      </c>
      <c r="BG3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82">
        <v>0</v>
      </c>
      <c r="BI382" t="s">
        <v>734</v>
      </c>
      <c r="BJ382" s="11"/>
      <c r="BK382" s="11"/>
      <c r="BL382" s="11">
        <v>210</v>
      </c>
      <c r="BM382">
        <v>0</v>
      </c>
      <c r="BN382" t="s">
        <v>692</v>
      </c>
      <c r="BO382" t="s">
        <v>694</v>
      </c>
      <c r="BP382" t="s">
        <v>701</v>
      </c>
      <c r="BQ382" t="s">
        <v>705</v>
      </c>
      <c r="BR382" t="s">
        <v>706</v>
      </c>
      <c r="BS382" t="s">
        <v>707</v>
      </c>
      <c r="CR382"/>
      <c r="CS382"/>
      <c r="CT382"/>
    </row>
    <row r="383" spans="1:98" x14ac:dyDescent="0.4">
      <c r="A383" s="2" t="s">
        <v>409</v>
      </c>
      <c r="B383" t="str">
        <f>_xlfn.TEXTAFTER(Table1[[#This Row],[VEHIDCODE]],"_")</f>
        <v>Chile_EFE_E_17</v>
      </c>
      <c r="C383" t="s">
        <v>741</v>
      </c>
      <c r="D383" t="b">
        <f>OR(ISNUMBER(SEARCH("wagon_",Table1[[#This Row],[FILENAMES_EXPECTED]])),ISNUMBER(SEARCH("coach_",Table1[[#This Row],[FILENAMES_EXPECTED]])))</f>
        <v>0</v>
      </c>
      <c r="E383" t="str">
        <f>"item_"&amp;Table1[[#This Row],[VEHIDCODE]]</f>
        <v>item_electric_Chile_EFE_E_17</v>
      </c>
      <c r="F383" t="str">
        <f>"str_"&amp;Table1[[#This Row],[VEHIDCODE]]</f>
        <v>str_electric_Chile_EFE_E_17</v>
      </c>
      <c r="AB383" t="b">
        <v>1</v>
      </c>
      <c r="AJ383" s="2"/>
      <c r="AK383" s="2" t="b">
        <f>LEN(_xlfn.CONCAT(Table1[[#This Row],[TRACK_TYPE_STANDARD_GAUGE_RAILTYPE_OHLE]:[TRACK_TYPE_MTRO]]))&gt;0</f>
        <v>1</v>
      </c>
      <c r="AL383">
        <v>6</v>
      </c>
      <c r="AM383" t="s">
        <v>20</v>
      </c>
      <c r="AN383">
        <v>0</v>
      </c>
      <c r="AO383" t="s">
        <v>74</v>
      </c>
      <c r="AP383">
        <v>0</v>
      </c>
      <c r="AQ383">
        <v>1974</v>
      </c>
      <c r="AR383">
        <v>6</v>
      </c>
      <c r="AS383" s="2" t="s">
        <v>24</v>
      </c>
      <c r="AT383" t="b">
        <v>1</v>
      </c>
      <c r="AV383" s="2"/>
      <c r="AW383">
        <v>45</v>
      </c>
      <c r="AX383">
        <v>1</v>
      </c>
      <c r="AY383">
        <v>1640</v>
      </c>
      <c r="AZ383" t="s">
        <v>709</v>
      </c>
      <c r="BA383">
        <v>90</v>
      </c>
      <c r="BB383" s="2">
        <v>0.24</v>
      </c>
      <c r="BC383" t="s">
        <v>930</v>
      </c>
      <c r="BD383" t="s">
        <v>922</v>
      </c>
      <c r="BE383" t="s">
        <v>940</v>
      </c>
      <c r="BF383" s="7">
        <v>40</v>
      </c>
      <c r="BG3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83">
        <v>0</v>
      </c>
      <c r="BI383" t="s">
        <v>734</v>
      </c>
      <c r="BJ383" s="11"/>
      <c r="BK383" s="11"/>
      <c r="BL383" s="11">
        <v>79</v>
      </c>
      <c r="BM383">
        <v>0</v>
      </c>
      <c r="BN383" t="s">
        <v>692</v>
      </c>
      <c r="BO383" t="s">
        <v>694</v>
      </c>
      <c r="BP383" t="s">
        <v>701</v>
      </c>
      <c r="BQ383" t="s">
        <v>705</v>
      </c>
      <c r="BR383" t="s">
        <v>706</v>
      </c>
      <c r="BS383" t="s">
        <v>707</v>
      </c>
      <c r="CR383"/>
      <c r="CS383"/>
      <c r="CT383"/>
    </row>
    <row r="384" spans="1:98" x14ac:dyDescent="0.4">
      <c r="A384" s="2" t="s">
        <v>410</v>
      </c>
      <c r="B384" t="str">
        <f>_xlfn.TEXTAFTER(Table1[[#This Row],[VEHIDCODE]],"_")</f>
        <v>Morocco_ONCF_E_700</v>
      </c>
      <c r="C384" t="s">
        <v>741</v>
      </c>
      <c r="D384" t="b">
        <f>OR(ISNUMBER(SEARCH("wagon_",Table1[[#This Row],[FILENAMES_EXPECTED]])),ISNUMBER(SEARCH("coach_",Table1[[#This Row],[FILENAMES_EXPECTED]])))</f>
        <v>0</v>
      </c>
      <c r="E384" t="str">
        <f>"item_"&amp;Table1[[#This Row],[VEHIDCODE]]</f>
        <v>item_electric_Morocco_ONCF_E_700</v>
      </c>
      <c r="F384" t="str">
        <f>"str_"&amp;Table1[[#This Row],[VEHIDCODE]]</f>
        <v>str_electric_Morocco_ONCF_E_700</v>
      </c>
      <c r="J384" t="b">
        <v>1</v>
      </c>
      <c r="AJ384" s="2"/>
      <c r="AK384" s="2" t="b">
        <f>LEN(_xlfn.CONCAT(Table1[[#This Row],[TRACK_TYPE_STANDARD_GAUGE_RAILTYPE_OHLE]:[TRACK_TYPE_MTRO]]))&gt;0</f>
        <v>1</v>
      </c>
      <c r="AL384">
        <v>6</v>
      </c>
      <c r="AM384" t="s">
        <v>20</v>
      </c>
      <c r="AN384">
        <v>0</v>
      </c>
      <c r="AO384" t="s">
        <v>74</v>
      </c>
      <c r="AP384">
        <v>0</v>
      </c>
      <c r="AQ384">
        <v>1948</v>
      </c>
      <c r="AR384">
        <v>6</v>
      </c>
      <c r="AS384" s="2" t="s">
        <v>20</v>
      </c>
      <c r="AT384" t="b">
        <v>1</v>
      </c>
      <c r="AV384" s="2"/>
      <c r="AW384">
        <v>45</v>
      </c>
      <c r="AX384">
        <v>1</v>
      </c>
      <c r="AY384">
        <v>1710</v>
      </c>
      <c r="AZ384" t="s">
        <v>709</v>
      </c>
      <c r="BA384">
        <v>115</v>
      </c>
      <c r="BB384" s="2">
        <v>0.17</v>
      </c>
      <c r="BC384" t="s">
        <v>926</v>
      </c>
      <c r="BD384" t="s">
        <v>922</v>
      </c>
      <c r="BE384" t="s">
        <v>940</v>
      </c>
      <c r="BF384" s="7">
        <v>40</v>
      </c>
      <c r="BG3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84">
        <v>0</v>
      </c>
      <c r="BI384" t="s">
        <v>734</v>
      </c>
      <c r="BJ384" s="11"/>
      <c r="BK384" s="11"/>
      <c r="BL384" s="11">
        <v>92</v>
      </c>
      <c r="BM384">
        <v>0</v>
      </c>
      <c r="BN384" t="s">
        <v>692</v>
      </c>
      <c r="BO384" t="s">
        <v>694</v>
      </c>
      <c r="BP384" t="s">
        <v>701</v>
      </c>
      <c r="BQ384" t="s">
        <v>705</v>
      </c>
      <c r="BR384" t="s">
        <v>706</v>
      </c>
      <c r="BS384" t="s">
        <v>707</v>
      </c>
      <c r="CR384"/>
      <c r="CS384"/>
      <c r="CT384"/>
    </row>
    <row r="385" spans="1:98" x14ac:dyDescent="0.4">
      <c r="A385" s="2" t="s">
        <v>411</v>
      </c>
      <c r="B385" t="str">
        <f>_xlfn.TEXTAFTER(Table1[[#This Row],[VEHIDCODE]],"_")</f>
        <v>India_Indian_Railways_WCM_1</v>
      </c>
      <c r="C385" t="s">
        <v>741</v>
      </c>
      <c r="D385" t="b">
        <f>OR(ISNUMBER(SEARCH("wagon_",Table1[[#This Row],[FILENAMES_EXPECTED]])),ISNUMBER(SEARCH("coach_",Table1[[#This Row],[FILENAMES_EXPECTED]])))</f>
        <v>0</v>
      </c>
      <c r="E385" t="str">
        <f>"item_"&amp;Table1[[#This Row],[VEHIDCODE]]</f>
        <v>item_electric_India_Indian_Railways_WCM_1</v>
      </c>
      <c r="F385" t="str">
        <f>"str_"&amp;Table1[[#This Row],[VEHIDCODE]]</f>
        <v>str_electric_India_Indian_Railways_WCM_1</v>
      </c>
      <c r="AC385" t="b">
        <v>1</v>
      </c>
      <c r="AJ385" s="2"/>
      <c r="AK385" s="2" t="b">
        <f>LEN(_xlfn.CONCAT(Table1[[#This Row],[TRACK_TYPE_STANDARD_GAUGE_RAILTYPE_OHLE]:[TRACK_TYPE_MTRO]]))&gt;0</f>
        <v>1</v>
      </c>
      <c r="AL385">
        <v>8</v>
      </c>
      <c r="AM385" t="s">
        <v>20</v>
      </c>
      <c r="AN385">
        <v>0</v>
      </c>
      <c r="AO385" t="s">
        <v>74</v>
      </c>
      <c r="AP385">
        <v>0</v>
      </c>
      <c r="AQ385">
        <v>1958</v>
      </c>
      <c r="AR385">
        <v>8</v>
      </c>
      <c r="AS385" s="2" t="s">
        <v>20</v>
      </c>
      <c r="AT385" t="b">
        <v>1</v>
      </c>
      <c r="AV385" s="2"/>
      <c r="AW385">
        <v>45</v>
      </c>
      <c r="AX385">
        <v>1</v>
      </c>
      <c r="AY385">
        <v>3700</v>
      </c>
      <c r="AZ385" t="s">
        <v>709</v>
      </c>
      <c r="BA385">
        <v>104</v>
      </c>
      <c r="BB385" s="2">
        <v>0.25</v>
      </c>
      <c r="BC385" t="s">
        <v>931</v>
      </c>
      <c r="BD385" t="s">
        <v>922</v>
      </c>
      <c r="BE385" t="s">
        <v>940</v>
      </c>
      <c r="BF385" s="7">
        <v>40</v>
      </c>
      <c r="BG3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85">
        <v>-3</v>
      </c>
      <c r="BI385" t="s">
        <v>734</v>
      </c>
      <c r="BJ385" s="11"/>
      <c r="BK385" s="11"/>
      <c r="BL385" s="11">
        <v>124</v>
      </c>
      <c r="BM385">
        <v>0</v>
      </c>
      <c r="BN385" t="s">
        <v>692</v>
      </c>
      <c r="BO385" t="s">
        <v>694</v>
      </c>
      <c r="BP385" t="s">
        <v>701</v>
      </c>
      <c r="BQ385" t="s">
        <v>705</v>
      </c>
      <c r="BR385" t="s">
        <v>706</v>
      </c>
      <c r="BS385" t="s">
        <v>707</v>
      </c>
      <c r="CR385"/>
      <c r="CS385"/>
      <c r="CT385"/>
    </row>
    <row r="386" spans="1:98" x14ac:dyDescent="0.4">
      <c r="A386" s="2" t="s">
        <v>412</v>
      </c>
      <c r="B386" t="str">
        <f>_xlfn.TEXTAFTER(Table1[[#This Row],[VEHIDCODE]],"_")</f>
        <v>South_Africa_SAR_E38</v>
      </c>
      <c r="C386" t="s">
        <v>741</v>
      </c>
      <c r="D386" t="b">
        <f>OR(ISNUMBER(SEARCH("wagon_",Table1[[#This Row],[FILENAMES_EXPECTED]])),ISNUMBER(SEARCH("coach_",Table1[[#This Row],[FILENAMES_EXPECTED]])))</f>
        <v>0</v>
      </c>
      <c r="E386" t="str">
        <f>"item_"&amp;Table1[[#This Row],[VEHIDCODE]]</f>
        <v>item_electric_South_Africa_SAR_E38</v>
      </c>
      <c r="F386" t="str">
        <f>"str_"&amp;Table1[[#This Row],[VEHIDCODE]]</f>
        <v>str_electric_South_Africa_SAR_E38</v>
      </c>
      <c r="S386" t="b">
        <v>1</v>
      </c>
      <c r="AJ386" s="2"/>
      <c r="AK386" s="2" t="b">
        <f>LEN(_xlfn.CONCAT(Table1[[#This Row],[TRACK_TYPE_STANDARD_GAUGE_RAILTYPE_OHLE]:[TRACK_TYPE_MTRO]]))&gt;0</f>
        <v>1</v>
      </c>
      <c r="AL386">
        <v>6</v>
      </c>
      <c r="AM386" t="s">
        <v>20</v>
      </c>
      <c r="AN386">
        <v>0</v>
      </c>
      <c r="AO386" t="s">
        <v>74</v>
      </c>
      <c r="AP386">
        <v>0</v>
      </c>
      <c r="AQ386">
        <v>1992</v>
      </c>
      <c r="AR386">
        <v>6</v>
      </c>
      <c r="AS386" s="2" t="s">
        <v>24</v>
      </c>
      <c r="AT386" t="b">
        <v>1</v>
      </c>
      <c r="AV386" s="2"/>
      <c r="AW386">
        <v>45</v>
      </c>
      <c r="AX386">
        <v>1</v>
      </c>
      <c r="AY386">
        <v>2028</v>
      </c>
      <c r="AZ386" t="s">
        <v>709</v>
      </c>
      <c r="BA386">
        <v>100</v>
      </c>
      <c r="BB386" s="2">
        <v>0.24</v>
      </c>
      <c r="BC386" t="s">
        <v>926</v>
      </c>
      <c r="BD386" t="s">
        <v>922</v>
      </c>
      <c r="BE386" t="s">
        <v>940</v>
      </c>
      <c r="BF386" s="7">
        <v>40</v>
      </c>
      <c r="BG3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86">
        <v>0</v>
      </c>
      <c r="BI386" t="s">
        <v>734</v>
      </c>
      <c r="BJ386" s="11"/>
      <c r="BK386" s="11"/>
      <c r="BL386" s="11">
        <v>74</v>
      </c>
      <c r="BM386">
        <v>0</v>
      </c>
      <c r="BN386" t="s">
        <v>692</v>
      </c>
      <c r="BO386" t="s">
        <v>694</v>
      </c>
      <c r="BP386" t="s">
        <v>701</v>
      </c>
      <c r="BQ386" t="s">
        <v>705</v>
      </c>
      <c r="BR386" t="s">
        <v>706</v>
      </c>
      <c r="BS386" t="s">
        <v>707</v>
      </c>
      <c r="CR386"/>
      <c r="CS386"/>
      <c r="CT386"/>
    </row>
    <row r="387" spans="1:98" x14ac:dyDescent="0.4">
      <c r="A387" s="2" t="s">
        <v>413</v>
      </c>
      <c r="B387" t="str">
        <f>_xlfn.TEXTAFTER(Table1[[#This Row],[VEHIDCODE]],"_")</f>
        <v>Chile_EFE_E_269</v>
      </c>
      <c r="C387" t="s">
        <v>741</v>
      </c>
      <c r="D387" t="b">
        <f>OR(ISNUMBER(SEARCH("wagon_",Table1[[#This Row],[FILENAMES_EXPECTED]])),ISNUMBER(SEARCH("coach_",Table1[[#This Row],[FILENAMES_EXPECTED]])))</f>
        <v>0</v>
      </c>
      <c r="E387" t="str">
        <f>"item_"&amp;Table1[[#This Row],[VEHIDCODE]]</f>
        <v>item_electric_Chile_EFE_E_269</v>
      </c>
      <c r="F387" t="str">
        <f>"str_"&amp;Table1[[#This Row],[VEHIDCODE]]</f>
        <v>str_electric_Chile_EFE_E_269</v>
      </c>
      <c r="AB387" t="b">
        <v>1</v>
      </c>
      <c r="AJ387" s="2"/>
      <c r="AK387" s="2" t="b">
        <f>LEN(_xlfn.CONCAT(Table1[[#This Row],[TRACK_TYPE_STANDARD_GAUGE_RAILTYPE_OHLE]:[TRACK_TYPE_MTRO]]))&gt;0</f>
        <v>1</v>
      </c>
      <c r="AL387">
        <v>7</v>
      </c>
      <c r="AM387" t="s">
        <v>20</v>
      </c>
      <c r="AN387">
        <v>0</v>
      </c>
      <c r="AO387" t="s">
        <v>74</v>
      </c>
      <c r="AP387">
        <v>0</v>
      </c>
      <c r="AQ387">
        <v>1980</v>
      </c>
      <c r="AR387">
        <v>7</v>
      </c>
      <c r="AS387" s="2" t="s">
        <v>20</v>
      </c>
      <c r="AT387" t="b">
        <v>1</v>
      </c>
      <c r="AV387" s="2"/>
      <c r="AW387">
        <v>45</v>
      </c>
      <c r="AX387">
        <v>1</v>
      </c>
      <c r="AY387">
        <v>4340</v>
      </c>
      <c r="AZ387" t="s">
        <v>709</v>
      </c>
      <c r="BA387">
        <v>160</v>
      </c>
      <c r="BB387" s="2">
        <v>0.16</v>
      </c>
      <c r="BC387" t="s">
        <v>930</v>
      </c>
      <c r="BD387" t="s">
        <v>922</v>
      </c>
      <c r="BE387" t="s">
        <v>940</v>
      </c>
      <c r="BF387" s="7">
        <v>40</v>
      </c>
      <c r="BG3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87">
        <v>0</v>
      </c>
      <c r="BI387" t="s">
        <v>734</v>
      </c>
      <c r="BJ387" s="11"/>
      <c r="BK387" s="11"/>
      <c r="BL387" s="11">
        <v>88</v>
      </c>
      <c r="BM387">
        <v>0</v>
      </c>
      <c r="BN387" t="s">
        <v>692</v>
      </c>
      <c r="BO387" t="s">
        <v>694</v>
      </c>
      <c r="BP387" t="s">
        <v>701</v>
      </c>
      <c r="BQ387" t="s">
        <v>705</v>
      </c>
      <c r="BR387" t="s">
        <v>706</v>
      </c>
      <c r="BS387" t="s">
        <v>707</v>
      </c>
      <c r="CR387"/>
      <c r="CS387"/>
      <c r="CT387"/>
    </row>
    <row r="388" spans="1:98" x14ac:dyDescent="0.4">
      <c r="A388" s="2" t="s">
        <v>414</v>
      </c>
      <c r="B388" t="str">
        <f>_xlfn.TEXTAFTER(Table1[[#This Row],[VEHIDCODE]],"_")</f>
        <v>Czech_Republic_CD_363</v>
      </c>
      <c r="C388" t="s">
        <v>741</v>
      </c>
      <c r="D388" t="b">
        <f>OR(ISNUMBER(SEARCH("wagon_",Table1[[#This Row],[FILENAMES_EXPECTED]])),ISNUMBER(SEARCH("coach_",Table1[[#This Row],[FILENAMES_EXPECTED]])))</f>
        <v>0</v>
      </c>
      <c r="E388" t="str">
        <f>"item_"&amp;Table1[[#This Row],[VEHIDCODE]]</f>
        <v>item_electric_Czech_Republic_CD_363</v>
      </c>
      <c r="F388" t="str">
        <f>"str_"&amp;Table1[[#This Row],[VEHIDCODE]]</f>
        <v>str_electric_Czech_Republic_CD_363</v>
      </c>
      <c r="J388" t="b">
        <v>1</v>
      </c>
      <c r="AJ388" s="2"/>
      <c r="AK388" s="2" t="b">
        <f>LEN(_xlfn.CONCAT(Table1[[#This Row],[TRACK_TYPE_STANDARD_GAUGE_RAILTYPE_OHLE]:[TRACK_TYPE_MTRO]]))&gt;0</f>
        <v>1</v>
      </c>
      <c r="AL388">
        <v>7</v>
      </c>
      <c r="AM388" t="s">
        <v>20</v>
      </c>
      <c r="AN388">
        <v>0</v>
      </c>
      <c r="AO388" t="s">
        <v>74</v>
      </c>
      <c r="AP388">
        <v>0</v>
      </c>
      <c r="AQ388">
        <v>1980</v>
      </c>
      <c r="AR388">
        <v>7</v>
      </c>
      <c r="AS388" s="2" t="s">
        <v>20</v>
      </c>
      <c r="AT388" t="b">
        <v>1</v>
      </c>
      <c r="AV388" s="2"/>
      <c r="AW388">
        <v>45</v>
      </c>
      <c r="AX388">
        <v>1</v>
      </c>
      <c r="AY388">
        <v>4667</v>
      </c>
      <c r="AZ388" t="s">
        <v>709</v>
      </c>
      <c r="BA388">
        <v>120</v>
      </c>
      <c r="BB388" s="2">
        <v>0.3</v>
      </c>
      <c r="BC388" t="s">
        <v>929</v>
      </c>
      <c r="BD388" t="s">
        <v>922</v>
      </c>
      <c r="BE388" t="s">
        <v>940</v>
      </c>
      <c r="BF388" s="7">
        <v>40</v>
      </c>
      <c r="BG3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88">
        <v>0</v>
      </c>
      <c r="BI388" t="s">
        <v>734</v>
      </c>
      <c r="BJ388" s="11"/>
      <c r="BK388" s="11"/>
      <c r="BL388" s="11">
        <v>87</v>
      </c>
      <c r="BM388">
        <v>0</v>
      </c>
      <c r="BN388" t="s">
        <v>692</v>
      </c>
      <c r="BO388" t="s">
        <v>694</v>
      </c>
      <c r="BP388" t="s">
        <v>701</v>
      </c>
      <c r="BQ388" t="s">
        <v>705</v>
      </c>
      <c r="BR388" t="s">
        <v>706</v>
      </c>
      <c r="BS388" t="s">
        <v>707</v>
      </c>
      <c r="CR388"/>
      <c r="CS388"/>
      <c r="CT388"/>
    </row>
    <row r="389" spans="1:98" x14ac:dyDescent="0.4">
      <c r="A389" s="2" t="s">
        <v>415</v>
      </c>
      <c r="B389" t="str">
        <f>_xlfn.TEXTAFTER(Table1[[#This Row],[VEHIDCODE]],"_")</f>
        <v>Norway_NSB_EL7</v>
      </c>
      <c r="C389" t="s">
        <v>741</v>
      </c>
      <c r="D389" t="b">
        <f>OR(ISNUMBER(SEARCH("wagon_",Table1[[#This Row],[FILENAMES_EXPECTED]])),ISNUMBER(SEARCH("coach_",Table1[[#This Row],[FILENAMES_EXPECTED]])))</f>
        <v>0</v>
      </c>
      <c r="E389" t="str">
        <f>"item_"&amp;Table1[[#This Row],[VEHIDCODE]]</f>
        <v>item_electric_Norway_NSB_EL7</v>
      </c>
      <c r="F389" t="str">
        <f>"str_"&amp;Table1[[#This Row],[VEHIDCODE]]</f>
        <v>str_electric_Norway_NSB_EL7</v>
      </c>
      <c r="I389" t="b">
        <v>1</v>
      </c>
      <c r="AJ389" s="2"/>
      <c r="AK389" s="2" t="b">
        <f>LEN(_xlfn.CONCAT(Table1[[#This Row],[TRACK_TYPE_STANDARD_GAUGE_RAILTYPE_OHLE]:[TRACK_TYPE_MTRO]]))&gt;0</f>
        <v>1</v>
      </c>
      <c r="AL389">
        <v>6</v>
      </c>
      <c r="AM389" t="s">
        <v>20</v>
      </c>
      <c r="AN389">
        <v>0</v>
      </c>
      <c r="AO389" t="s">
        <v>74</v>
      </c>
      <c r="AP389">
        <v>0</v>
      </c>
      <c r="AQ389">
        <v>1911</v>
      </c>
      <c r="AR389">
        <v>6</v>
      </c>
      <c r="AS389" s="2" t="s">
        <v>20</v>
      </c>
      <c r="AT389" t="b">
        <v>1</v>
      </c>
      <c r="AV389" s="2"/>
      <c r="AW389">
        <v>45</v>
      </c>
      <c r="AX389">
        <v>0</v>
      </c>
      <c r="AY389">
        <v>490</v>
      </c>
      <c r="AZ389" t="s">
        <v>709</v>
      </c>
      <c r="BA389">
        <v>45</v>
      </c>
      <c r="BB389" s="2">
        <v>0.22</v>
      </c>
      <c r="BC389" t="s">
        <v>927</v>
      </c>
      <c r="BD389" t="s">
        <v>922</v>
      </c>
      <c r="BE389" t="s">
        <v>940</v>
      </c>
      <c r="BF389" s="7">
        <v>40</v>
      </c>
      <c r="BG3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89">
        <v>-3</v>
      </c>
      <c r="BI389" t="s">
        <v>734</v>
      </c>
      <c r="BJ389" s="11"/>
      <c r="BK389" s="11"/>
      <c r="BL389" s="11">
        <v>48</v>
      </c>
      <c r="BM389">
        <v>0</v>
      </c>
      <c r="BN389" t="s">
        <v>692</v>
      </c>
      <c r="BO389" t="s">
        <v>694</v>
      </c>
      <c r="BP389" t="s">
        <v>701</v>
      </c>
      <c r="BQ389" t="s">
        <v>705</v>
      </c>
      <c r="BR389" t="s">
        <v>706</v>
      </c>
      <c r="BS389" t="s">
        <v>707</v>
      </c>
      <c r="CR389"/>
      <c r="CS389"/>
      <c r="CT389"/>
    </row>
    <row r="390" spans="1:98" x14ac:dyDescent="0.4">
      <c r="A390" s="2" t="s">
        <v>416</v>
      </c>
      <c r="B390" t="str">
        <f>_xlfn.TEXTAFTER(Table1[[#This Row],[VEHIDCODE]],"_")</f>
        <v>USA_Pennsylvania_Railroad_FF_1</v>
      </c>
      <c r="C390" t="s">
        <v>741</v>
      </c>
      <c r="D390" t="b">
        <f>OR(ISNUMBER(SEARCH("wagon_",Table1[[#This Row],[FILENAMES_EXPECTED]])),ISNUMBER(SEARCH("coach_",Table1[[#This Row],[FILENAMES_EXPECTED]])))</f>
        <v>0</v>
      </c>
      <c r="E390" t="str">
        <f>"item_"&amp;Table1[[#This Row],[VEHIDCODE]]</f>
        <v>item_electric_USA_Pennsylvania_Railroad_FF_1</v>
      </c>
      <c r="F390" t="str">
        <f>"str_"&amp;Table1[[#This Row],[VEHIDCODE]]</f>
        <v>str_electric_USA_Pennsylvania_Railroad_FF_1</v>
      </c>
      <c r="I390" t="b">
        <v>1</v>
      </c>
      <c r="AJ390" s="2"/>
      <c r="AK390" s="2" t="b">
        <f>LEN(_xlfn.CONCAT(Table1[[#This Row],[TRACK_TYPE_STANDARD_GAUGE_RAILTYPE_OHLE]:[TRACK_TYPE_MTRO]]))&gt;0</f>
        <v>1</v>
      </c>
      <c r="AL390">
        <v>4</v>
      </c>
      <c r="AM390" t="s">
        <v>20</v>
      </c>
      <c r="AN390">
        <v>0</v>
      </c>
      <c r="AO390" t="s">
        <v>74</v>
      </c>
      <c r="AP390">
        <v>0</v>
      </c>
      <c r="AQ390">
        <v>1916</v>
      </c>
      <c r="AR390">
        <v>8</v>
      </c>
      <c r="AS390" s="2" t="s">
        <v>20</v>
      </c>
      <c r="AT390" t="b">
        <v>1</v>
      </c>
      <c r="AV390" s="2"/>
      <c r="AW390">
        <v>45</v>
      </c>
      <c r="AX390">
        <v>1</v>
      </c>
      <c r="AY390">
        <v>4800</v>
      </c>
      <c r="AZ390" t="s">
        <v>709</v>
      </c>
      <c r="BA390">
        <v>40</v>
      </c>
      <c r="BB390" s="2">
        <v>0.17</v>
      </c>
      <c r="BC390" t="s">
        <v>928</v>
      </c>
      <c r="BD390" t="s">
        <v>922</v>
      </c>
      <c r="BE390" t="s">
        <v>940</v>
      </c>
      <c r="BF390" s="7">
        <v>40</v>
      </c>
      <c r="BG3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90">
        <v>0</v>
      </c>
      <c r="BI390" t="s">
        <v>734</v>
      </c>
      <c r="BJ390" s="11"/>
      <c r="BK390" s="11"/>
      <c r="BL390" s="11">
        <v>234</v>
      </c>
      <c r="BM390">
        <v>0</v>
      </c>
      <c r="BN390" t="s">
        <v>692</v>
      </c>
      <c r="BO390" t="s">
        <v>694</v>
      </c>
      <c r="BP390" t="s">
        <v>701</v>
      </c>
      <c r="BQ390" t="s">
        <v>705</v>
      </c>
      <c r="BR390" t="s">
        <v>706</v>
      </c>
      <c r="BS390" t="s">
        <v>707</v>
      </c>
      <c r="CR390"/>
      <c r="CS390"/>
      <c r="CT390"/>
    </row>
    <row r="391" spans="1:98" x14ac:dyDescent="0.4">
      <c r="A391" s="2" t="s">
        <v>417</v>
      </c>
      <c r="B391" t="str">
        <f>_xlfn.TEXTAFTER(Table1[[#This Row],[VEHIDCODE]],"_")</f>
        <v>Austria_OBB_1161</v>
      </c>
      <c r="C391" t="s">
        <v>741</v>
      </c>
      <c r="D391" t="b">
        <f>OR(ISNUMBER(SEARCH("wagon_",Table1[[#This Row],[FILENAMES_EXPECTED]])),ISNUMBER(SEARCH("coach_",Table1[[#This Row],[FILENAMES_EXPECTED]])))</f>
        <v>0</v>
      </c>
      <c r="E391" t="str">
        <f>"item_"&amp;Table1[[#This Row],[VEHIDCODE]]</f>
        <v>item_electric_Austria_OBB_1161</v>
      </c>
      <c r="F391" t="str">
        <f>"str_"&amp;Table1[[#This Row],[VEHIDCODE]]</f>
        <v>str_electric_Austria_OBB_1161</v>
      </c>
      <c r="I391" t="b">
        <v>1</v>
      </c>
      <c r="AJ391" s="2"/>
      <c r="AK391" s="2" t="b">
        <f>LEN(_xlfn.CONCAT(Table1[[#This Row],[TRACK_TYPE_STANDARD_GAUGE_RAILTYPE_OHLE]:[TRACK_TYPE_MTRO]]))&gt;0</f>
        <v>1</v>
      </c>
      <c r="AL391">
        <v>5</v>
      </c>
      <c r="AM391" t="s">
        <v>20</v>
      </c>
      <c r="AN391">
        <v>0</v>
      </c>
      <c r="AO391" t="s">
        <v>74</v>
      </c>
      <c r="AP391">
        <v>0</v>
      </c>
      <c r="AQ391">
        <v>1928</v>
      </c>
      <c r="AR391">
        <v>5</v>
      </c>
      <c r="AS391" s="2" t="s">
        <v>20</v>
      </c>
      <c r="AT391" t="b">
        <v>1</v>
      </c>
      <c r="AV391" s="2"/>
      <c r="AW391">
        <v>45</v>
      </c>
      <c r="AX391">
        <v>1</v>
      </c>
      <c r="AY391">
        <v>1000</v>
      </c>
      <c r="AZ391" t="s">
        <v>709</v>
      </c>
      <c r="BA391">
        <v>40</v>
      </c>
      <c r="BB391" s="2">
        <v>0.25</v>
      </c>
      <c r="BC391" t="s">
        <v>923</v>
      </c>
      <c r="BD391" t="s">
        <v>922</v>
      </c>
      <c r="BE391" t="s">
        <v>940</v>
      </c>
      <c r="BF391" s="7">
        <v>40</v>
      </c>
      <c r="BG3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91">
        <v>-3</v>
      </c>
      <c r="BI391" t="s">
        <v>734</v>
      </c>
      <c r="BJ391" s="11"/>
      <c r="BK391" s="11"/>
      <c r="BL391" s="11">
        <v>55</v>
      </c>
      <c r="BM391">
        <v>0</v>
      </c>
      <c r="BN391" t="s">
        <v>692</v>
      </c>
      <c r="BO391" t="s">
        <v>694</v>
      </c>
      <c r="BP391" t="s">
        <v>701</v>
      </c>
      <c r="BQ391" t="s">
        <v>705</v>
      </c>
      <c r="BR391" t="s">
        <v>706</v>
      </c>
      <c r="BS391" t="s">
        <v>707</v>
      </c>
      <c r="CR391"/>
      <c r="CS391"/>
      <c r="CT391"/>
    </row>
    <row r="392" spans="1:98" x14ac:dyDescent="0.4">
      <c r="A392" s="2" t="s">
        <v>418</v>
      </c>
      <c r="B392" t="str">
        <f>_xlfn.TEXTAFTER(Table1[[#This Row],[VEHIDCODE]],"_")</f>
        <v>Germany_DB_169</v>
      </c>
      <c r="C392" t="s">
        <v>741</v>
      </c>
      <c r="D392" t="b">
        <f>OR(ISNUMBER(SEARCH("wagon_",Table1[[#This Row],[FILENAMES_EXPECTED]])),ISNUMBER(SEARCH("coach_",Table1[[#This Row],[FILENAMES_EXPECTED]])))</f>
        <v>0</v>
      </c>
      <c r="E392" t="str">
        <f>"item_"&amp;Table1[[#This Row],[VEHIDCODE]]</f>
        <v>item_electric_Germany_DB_169</v>
      </c>
      <c r="F392" t="str">
        <f>"str_"&amp;Table1[[#This Row],[VEHIDCODE]]</f>
        <v>str_electric_Germany_DB_169</v>
      </c>
      <c r="I392" t="b">
        <v>1</v>
      </c>
      <c r="AJ392" s="2"/>
      <c r="AK392" s="2" t="b">
        <f>LEN(_xlfn.CONCAT(Table1[[#This Row],[TRACK_TYPE_STANDARD_GAUGE_RAILTYPE_OHLE]:[TRACK_TYPE_MTRO]]))&gt;0</f>
        <v>1</v>
      </c>
      <c r="AL392">
        <v>6</v>
      </c>
      <c r="AM392" t="s">
        <v>20</v>
      </c>
      <c r="AN392">
        <v>0</v>
      </c>
      <c r="AO392" t="s">
        <v>74</v>
      </c>
      <c r="AP392">
        <v>0</v>
      </c>
      <c r="AQ392">
        <v>1930</v>
      </c>
      <c r="AR392">
        <v>6</v>
      </c>
      <c r="AS392" s="2" t="s">
        <v>20</v>
      </c>
      <c r="AT392" t="b">
        <v>1</v>
      </c>
      <c r="AV392" s="2"/>
      <c r="AW392">
        <v>45</v>
      </c>
      <c r="AX392">
        <v>1</v>
      </c>
      <c r="AY392">
        <v>810</v>
      </c>
      <c r="AZ392" t="s">
        <v>709</v>
      </c>
      <c r="BA392">
        <v>50</v>
      </c>
      <c r="BB392" s="2">
        <v>0.28999999999999998</v>
      </c>
      <c r="BC392" t="s">
        <v>923</v>
      </c>
      <c r="BD392" t="s">
        <v>922</v>
      </c>
      <c r="BE392" t="s">
        <v>940</v>
      </c>
      <c r="BF392" s="7">
        <v>40</v>
      </c>
      <c r="BG3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92">
        <v>-3</v>
      </c>
      <c r="BI392" t="s">
        <v>734</v>
      </c>
      <c r="BJ392" s="11"/>
      <c r="BK392" s="11"/>
      <c r="BL392" s="11">
        <v>32</v>
      </c>
      <c r="BM392">
        <v>0</v>
      </c>
      <c r="BN392" t="s">
        <v>692</v>
      </c>
      <c r="BO392" t="s">
        <v>694</v>
      </c>
      <c r="BP392" t="s">
        <v>701</v>
      </c>
      <c r="BQ392" t="s">
        <v>705</v>
      </c>
      <c r="BR392" t="s">
        <v>706</v>
      </c>
      <c r="BS392" t="s">
        <v>707</v>
      </c>
      <c r="CR392"/>
      <c r="CS392"/>
      <c r="CT392"/>
    </row>
    <row r="393" spans="1:98" x14ac:dyDescent="0.4">
      <c r="A393" s="2" t="s">
        <v>419</v>
      </c>
      <c r="B393" t="str">
        <f>_xlfn.TEXTAFTER(Table1[[#This Row],[VEHIDCODE]],"_")</f>
        <v>Norway_NSB_EL10</v>
      </c>
      <c r="C393" t="s">
        <v>741</v>
      </c>
      <c r="D393" t="b">
        <f>OR(ISNUMBER(SEARCH("wagon_",Table1[[#This Row],[FILENAMES_EXPECTED]])),ISNUMBER(SEARCH("coach_",Table1[[#This Row],[FILENAMES_EXPECTED]])))</f>
        <v>0</v>
      </c>
      <c r="E393" t="str">
        <f>"item_"&amp;Table1[[#This Row],[VEHIDCODE]]</f>
        <v>item_electric_Norway_NSB_EL10</v>
      </c>
      <c r="F393" t="str">
        <f>"str_"&amp;Table1[[#This Row],[VEHIDCODE]]</f>
        <v>str_electric_Norway_NSB_EL10</v>
      </c>
      <c r="I393" t="b">
        <v>1</v>
      </c>
      <c r="AJ393" s="2"/>
      <c r="AK393" s="2" t="b">
        <f>LEN(_xlfn.CONCAT(Table1[[#This Row],[TRACK_TYPE_STANDARD_GAUGE_RAILTYPE_OHLE]:[TRACK_TYPE_MTRO]]))&gt;0</f>
        <v>1</v>
      </c>
      <c r="AL393">
        <v>6</v>
      </c>
      <c r="AM393" t="s">
        <v>20</v>
      </c>
      <c r="AN393">
        <v>0</v>
      </c>
      <c r="AO393" t="s">
        <v>74</v>
      </c>
      <c r="AP393">
        <v>0</v>
      </c>
      <c r="AQ393">
        <v>1931</v>
      </c>
      <c r="AR393">
        <v>6</v>
      </c>
      <c r="AS393" s="2" t="s">
        <v>20</v>
      </c>
      <c r="AT393" t="b">
        <v>1</v>
      </c>
      <c r="AV393" s="2"/>
      <c r="AW393">
        <v>45</v>
      </c>
      <c r="AX393">
        <v>0</v>
      </c>
      <c r="AY393">
        <v>690</v>
      </c>
      <c r="AZ393" t="s">
        <v>709</v>
      </c>
      <c r="BA393">
        <v>45</v>
      </c>
      <c r="BB393" s="2">
        <v>0.3</v>
      </c>
      <c r="BC393" t="s">
        <v>927</v>
      </c>
      <c r="BD393" t="s">
        <v>922</v>
      </c>
      <c r="BE393" t="s">
        <v>940</v>
      </c>
      <c r="BF393" s="7">
        <v>40</v>
      </c>
      <c r="BG3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93">
        <v>-3</v>
      </c>
      <c r="BI393" t="s">
        <v>734</v>
      </c>
      <c r="BJ393" s="11"/>
      <c r="BK393" s="11"/>
      <c r="BL393" s="11">
        <v>47</v>
      </c>
      <c r="BM393">
        <v>0</v>
      </c>
      <c r="BN393" t="s">
        <v>692</v>
      </c>
      <c r="BO393" t="s">
        <v>694</v>
      </c>
      <c r="BP393" t="s">
        <v>701</v>
      </c>
      <c r="BQ393" t="s">
        <v>705</v>
      </c>
      <c r="BR393" t="s">
        <v>706</v>
      </c>
      <c r="BS393" t="s">
        <v>707</v>
      </c>
      <c r="CR393"/>
      <c r="CS393"/>
      <c r="CT393"/>
    </row>
    <row r="394" spans="1:98" x14ac:dyDescent="0.4">
      <c r="A394" s="2" t="s">
        <v>420</v>
      </c>
      <c r="B394" t="str">
        <f>_xlfn.TEXTAFTER(Table1[[#This Row],[VEHIDCODE]],"_")</f>
        <v>Germany_DB_104</v>
      </c>
      <c r="C394" t="s">
        <v>741</v>
      </c>
      <c r="D394" t="b">
        <f>OR(ISNUMBER(SEARCH("wagon_",Table1[[#This Row],[FILENAMES_EXPECTED]])),ISNUMBER(SEARCH("coach_",Table1[[#This Row],[FILENAMES_EXPECTED]])))</f>
        <v>0</v>
      </c>
      <c r="E394" t="str">
        <f>"item_"&amp;Table1[[#This Row],[VEHIDCODE]]</f>
        <v>item_electric_Germany_DB_104</v>
      </c>
      <c r="F394" t="str">
        <f>"str_"&amp;Table1[[#This Row],[VEHIDCODE]]</f>
        <v>str_electric_Germany_DB_104</v>
      </c>
      <c r="I394" t="b">
        <v>1</v>
      </c>
      <c r="AJ394" s="2"/>
      <c r="AK394" s="2" t="b">
        <f>LEN(_xlfn.CONCAT(Table1[[#This Row],[TRACK_TYPE_STANDARD_GAUGE_RAILTYPE_OHLE]:[TRACK_TYPE_MTRO]]))&gt;0</f>
        <v>1</v>
      </c>
      <c r="AL394">
        <v>8</v>
      </c>
      <c r="AM394" t="s">
        <v>20</v>
      </c>
      <c r="AN394">
        <v>0</v>
      </c>
      <c r="AO394" t="s">
        <v>74</v>
      </c>
      <c r="AP394">
        <v>0</v>
      </c>
      <c r="AQ394">
        <v>1933</v>
      </c>
      <c r="AR394">
        <v>8</v>
      </c>
      <c r="AS394" s="2" t="s">
        <v>20</v>
      </c>
      <c r="AT394" t="b">
        <v>1</v>
      </c>
      <c r="AV394" s="2"/>
      <c r="AW394">
        <v>45</v>
      </c>
      <c r="AX394">
        <v>1</v>
      </c>
      <c r="AY394">
        <v>2935</v>
      </c>
      <c r="AZ394" t="s">
        <v>709</v>
      </c>
      <c r="BA394">
        <v>110</v>
      </c>
      <c r="BB394" s="2">
        <v>0.3</v>
      </c>
      <c r="BC394" t="s">
        <v>923</v>
      </c>
      <c r="BD394" t="s">
        <v>922</v>
      </c>
      <c r="BE394" t="s">
        <v>940</v>
      </c>
      <c r="BF394" s="7">
        <v>40</v>
      </c>
      <c r="BG3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94">
        <v>-3</v>
      </c>
      <c r="BI394" t="s">
        <v>734</v>
      </c>
      <c r="BJ394" s="11"/>
      <c r="BK394" s="11"/>
      <c r="BL394" s="11">
        <v>92</v>
      </c>
      <c r="BM394">
        <v>0</v>
      </c>
      <c r="BN394" t="s">
        <v>692</v>
      </c>
      <c r="BO394" t="s">
        <v>694</v>
      </c>
      <c r="BP394" t="s">
        <v>701</v>
      </c>
      <c r="BQ394" t="s">
        <v>705</v>
      </c>
      <c r="BR394" t="s">
        <v>706</v>
      </c>
      <c r="BS394" t="s">
        <v>707</v>
      </c>
      <c r="CR394"/>
      <c r="CS394"/>
      <c r="CT394"/>
    </row>
    <row r="395" spans="1:98" x14ac:dyDescent="0.4">
      <c r="A395" s="2" t="s">
        <v>421</v>
      </c>
      <c r="B395" t="str">
        <f>_xlfn.TEXTAFTER(Table1[[#This Row],[VEHIDCODE]],"_")</f>
        <v>USA_Pennsylvania_Railroad_GG_1</v>
      </c>
      <c r="C395" t="s">
        <v>741</v>
      </c>
      <c r="D395" t="b">
        <f>OR(ISNUMBER(SEARCH("wagon_",Table1[[#This Row],[FILENAMES_EXPECTED]])),ISNUMBER(SEARCH("coach_",Table1[[#This Row],[FILENAMES_EXPECTED]])))</f>
        <v>0</v>
      </c>
      <c r="E395" t="str">
        <f>"item_"&amp;Table1[[#This Row],[VEHIDCODE]]</f>
        <v>item_electric_USA_Pennsylvania_Railroad_GG_1</v>
      </c>
      <c r="F395" t="str">
        <f>"str_"&amp;Table1[[#This Row],[VEHIDCODE]]</f>
        <v>str_electric_USA_Pennsylvania_Railroad_GG_1</v>
      </c>
      <c r="I395" t="b">
        <v>1</v>
      </c>
      <c r="AJ395" s="2"/>
      <c r="AK395" s="2" t="b">
        <f>LEN(_xlfn.CONCAT(Table1[[#This Row],[TRACK_TYPE_STANDARD_GAUGE_RAILTYPE_OHLE]:[TRACK_TYPE_MTRO]]))&gt;0</f>
        <v>1</v>
      </c>
      <c r="AL395">
        <v>4</v>
      </c>
      <c r="AM395" t="s">
        <v>20</v>
      </c>
      <c r="AN395">
        <v>0</v>
      </c>
      <c r="AO395" t="s">
        <v>74</v>
      </c>
      <c r="AP395">
        <v>0</v>
      </c>
      <c r="AQ395">
        <v>1935</v>
      </c>
      <c r="AR395">
        <v>8</v>
      </c>
      <c r="AS395" s="2" t="s">
        <v>20</v>
      </c>
      <c r="AT395" t="b">
        <v>1</v>
      </c>
      <c r="AV395" s="2"/>
      <c r="AW395">
        <v>45</v>
      </c>
      <c r="AX395">
        <v>1</v>
      </c>
      <c r="AY395">
        <v>4620</v>
      </c>
      <c r="AZ395" t="s">
        <v>709</v>
      </c>
      <c r="BA395">
        <v>160</v>
      </c>
      <c r="BB395" s="2">
        <v>0.15</v>
      </c>
      <c r="BC395" t="s">
        <v>928</v>
      </c>
      <c r="BD395" t="s">
        <v>922</v>
      </c>
      <c r="BE395" t="s">
        <v>940</v>
      </c>
      <c r="BF395" s="7">
        <v>40</v>
      </c>
      <c r="BG3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95">
        <v>0</v>
      </c>
      <c r="BI395" t="s">
        <v>734</v>
      </c>
      <c r="BJ395" s="11"/>
      <c r="BK395" s="11"/>
      <c r="BL395" s="11">
        <v>215</v>
      </c>
      <c r="BM395">
        <v>0</v>
      </c>
      <c r="BN395" t="s">
        <v>692</v>
      </c>
      <c r="BO395" t="s">
        <v>694</v>
      </c>
      <c r="BP395" t="s">
        <v>701</v>
      </c>
      <c r="BQ395" t="s">
        <v>705</v>
      </c>
      <c r="BR395" t="s">
        <v>706</v>
      </c>
      <c r="BS395" t="s">
        <v>707</v>
      </c>
      <c r="CR395"/>
      <c r="CS395"/>
      <c r="CT395"/>
    </row>
    <row r="396" spans="1:98" x14ac:dyDescent="0.4">
      <c r="A396" s="2" t="s">
        <v>422</v>
      </c>
      <c r="B396" t="str">
        <f>_xlfn.TEXTAFTER(Table1[[#This Row],[VEHIDCODE]],"_")</f>
        <v>Austria_OBB_1020_Crocodile</v>
      </c>
      <c r="C396" t="s">
        <v>741</v>
      </c>
      <c r="D396" t="b">
        <f>OR(ISNUMBER(SEARCH("wagon_",Table1[[#This Row],[FILENAMES_EXPECTED]])),ISNUMBER(SEARCH("coach_",Table1[[#This Row],[FILENAMES_EXPECTED]])))</f>
        <v>0</v>
      </c>
      <c r="E396" t="str">
        <f>"item_"&amp;Table1[[#This Row],[VEHIDCODE]]</f>
        <v>item_electric_Austria_OBB_1020_Crocodile</v>
      </c>
      <c r="F396" t="str">
        <f>"str_"&amp;Table1[[#This Row],[VEHIDCODE]]</f>
        <v>str_electric_Austria_OBB_1020_Crocodile</v>
      </c>
      <c r="I396" t="b">
        <v>1</v>
      </c>
      <c r="AJ396" s="2"/>
      <c r="AK396" s="2" t="b">
        <f>LEN(_xlfn.CONCAT(Table1[[#This Row],[TRACK_TYPE_STANDARD_GAUGE_RAILTYPE_OHLE]:[TRACK_TYPE_MTRO]]))&gt;0</f>
        <v>1</v>
      </c>
      <c r="AL396">
        <v>8</v>
      </c>
      <c r="AM396" t="s">
        <v>20</v>
      </c>
      <c r="AN396">
        <v>0</v>
      </c>
      <c r="AO396" t="s">
        <v>74</v>
      </c>
      <c r="AP396">
        <v>0</v>
      </c>
      <c r="AQ396">
        <v>1940</v>
      </c>
      <c r="AR396">
        <v>8</v>
      </c>
      <c r="AS396" s="2" t="s">
        <v>20</v>
      </c>
      <c r="AT396" t="b">
        <v>1</v>
      </c>
      <c r="AV396" s="2"/>
      <c r="AW396">
        <v>45</v>
      </c>
      <c r="AX396">
        <v>1</v>
      </c>
      <c r="AY396">
        <v>4400</v>
      </c>
      <c r="AZ396" t="s">
        <v>709</v>
      </c>
      <c r="BA396">
        <v>100</v>
      </c>
      <c r="BB396" s="2">
        <v>0.31</v>
      </c>
      <c r="BC396" t="s">
        <v>923</v>
      </c>
      <c r="BD396" t="s">
        <v>922</v>
      </c>
      <c r="BE396" t="s">
        <v>940</v>
      </c>
      <c r="BF396" s="7">
        <v>40</v>
      </c>
      <c r="BG3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96">
        <v>-3</v>
      </c>
      <c r="BI396" t="s">
        <v>734</v>
      </c>
      <c r="BJ396" s="11"/>
      <c r="BK396" s="11"/>
      <c r="BL396" s="11">
        <v>118</v>
      </c>
      <c r="BM396">
        <v>0</v>
      </c>
      <c r="BN396" t="s">
        <v>692</v>
      </c>
      <c r="BO396" t="s">
        <v>694</v>
      </c>
      <c r="BP396" t="s">
        <v>701</v>
      </c>
      <c r="BQ396" t="s">
        <v>705</v>
      </c>
      <c r="BR396" t="s">
        <v>706</v>
      </c>
      <c r="BS396" t="s">
        <v>707</v>
      </c>
      <c r="CR396"/>
      <c r="CS396"/>
      <c r="CT396"/>
    </row>
    <row r="397" spans="1:98" x14ac:dyDescent="0.4">
      <c r="A397" s="2" t="s">
        <v>423</v>
      </c>
      <c r="B397" t="str">
        <f>_xlfn.TEXTAFTER(Table1[[#This Row],[VEHIDCODE]],"_")</f>
        <v>Germany_DB_1031</v>
      </c>
      <c r="C397" t="s">
        <v>741</v>
      </c>
      <c r="D397" t="b">
        <f>OR(ISNUMBER(SEARCH("wagon_",Table1[[#This Row],[FILENAMES_EXPECTED]])),ISNUMBER(SEARCH("coach_",Table1[[#This Row],[FILENAMES_EXPECTED]])))</f>
        <v>0</v>
      </c>
      <c r="E397" t="str">
        <f>"item_"&amp;Table1[[#This Row],[VEHIDCODE]]</f>
        <v>item_electric_Germany_DB_1031</v>
      </c>
      <c r="F397" t="str">
        <f>"str_"&amp;Table1[[#This Row],[VEHIDCODE]]</f>
        <v>str_electric_Germany_DB_1031</v>
      </c>
      <c r="I397" t="b">
        <v>1</v>
      </c>
      <c r="AJ397" s="2"/>
      <c r="AK397" s="2" t="b">
        <f>LEN(_xlfn.CONCAT(Table1[[#This Row],[TRACK_TYPE_STANDARD_GAUGE_RAILTYPE_OHLE]:[TRACK_TYPE_MTRO]]))&gt;0</f>
        <v>1</v>
      </c>
      <c r="AL397">
        <v>8</v>
      </c>
      <c r="AM397" t="s">
        <v>20</v>
      </c>
      <c r="AN397">
        <v>0</v>
      </c>
      <c r="AO397" t="s">
        <v>74</v>
      </c>
      <c r="AP397">
        <v>0</v>
      </c>
      <c r="AQ397">
        <v>1970</v>
      </c>
      <c r="AR397">
        <v>8</v>
      </c>
      <c r="AS397" s="2" t="s">
        <v>20</v>
      </c>
      <c r="AT397" t="b">
        <v>1</v>
      </c>
      <c r="AV397" s="2"/>
      <c r="AW397">
        <v>45</v>
      </c>
      <c r="AX397">
        <v>1</v>
      </c>
      <c r="AY397">
        <v>9980</v>
      </c>
      <c r="AZ397" t="s">
        <v>709</v>
      </c>
      <c r="BA397">
        <v>200</v>
      </c>
      <c r="BB397" s="2">
        <v>0.27</v>
      </c>
      <c r="BC397" t="s">
        <v>923</v>
      </c>
      <c r="BD397" t="s">
        <v>922</v>
      </c>
      <c r="BE397" t="s">
        <v>940</v>
      </c>
      <c r="BF397" s="7">
        <v>40</v>
      </c>
      <c r="BG3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97">
        <v>-3</v>
      </c>
      <c r="BI397" t="s">
        <v>734</v>
      </c>
      <c r="BJ397" s="11"/>
      <c r="BK397" s="11"/>
      <c r="BL397" s="11">
        <v>114</v>
      </c>
      <c r="BM397">
        <v>0</v>
      </c>
      <c r="BN397" t="s">
        <v>692</v>
      </c>
      <c r="BO397" t="s">
        <v>694</v>
      </c>
      <c r="BP397" t="s">
        <v>701</v>
      </c>
      <c r="BQ397" t="s">
        <v>705</v>
      </c>
      <c r="BR397" t="s">
        <v>706</v>
      </c>
      <c r="BS397" t="s">
        <v>707</v>
      </c>
      <c r="CR397"/>
      <c r="CS397"/>
      <c r="CT397"/>
    </row>
    <row r="398" spans="1:98" x14ac:dyDescent="0.4">
      <c r="A398" s="2" t="s">
        <v>424</v>
      </c>
      <c r="B398" t="str">
        <f>_xlfn.TEXTAFTER(Table1[[#This Row],[VEHIDCODE]],"_")</f>
        <v>Germany_DB_E_919</v>
      </c>
      <c r="C398" t="s">
        <v>741</v>
      </c>
      <c r="D398" t="b">
        <f>OR(ISNUMBER(SEARCH("wagon_",Table1[[#This Row],[FILENAMES_EXPECTED]])),ISNUMBER(SEARCH("coach_",Table1[[#This Row],[FILENAMES_EXPECTED]])))</f>
        <v>0</v>
      </c>
      <c r="E398" t="str">
        <f>"item_"&amp;Table1[[#This Row],[VEHIDCODE]]</f>
        <v>item_electric_Germany_DB_E_919</v>
      </c>
      <c r="F398" t="str">
        <f>"str_"&amp;Table1[[#This Row],[VEHIDCODE]]</f>
        <v>str_electric_Germany_DB_E_919</v>
      </c>
      <c r="I398" t="b">
        <v>1</v>
      </c>
      <c r="AJ398" s="2"/>
      <c r="AK398" s="2" t="b">
        <f>LEN(_xlfn.CONCAT(Table1[[#This Row],[TRACK_TYPE_STANDARD_GAUGE_RAILTYPE_OHLE]:[TRACK_TYPE_MTRO]]))&gt;0</f>
        <v>1</v>
      </c>
      <c r="AL398">
        <v>8</v>
      </c>
      <c r="AM398" t="s">
        <v>20</v>
      </c>
      <c r="AN398">
        <v>0</v>
      </c>
      <c r="AO398" t="s">
        <v>74</v>
      </c>
      <c r="AP398">
        <v>0</v>
      </c>
      <c r="AQ398">
        <v>1925</v>
      </c>
      <c r="AR398">
        <v>8</v>
      </c>
      <c r="AS398" s="2" t="s">
        <v>20</v>
      </c>
      <c r="AT398" t="b">
        <v>1</v>
      </c>
      <c r="AV398" s="2"/>
      <c r="AW398">
        <v>45</v>
      </c>
      <c r="AX398">
        <v>1</v>
      </c>
      <c r="AY398">
        <v>2230</v>
      </c>
      <c r="AZ398" t="s">
        <v>709</v>
      </c>
      <c r="BA398">
        <v>55</v>
      </c>
      <c r="BB398" s="2">
        <v>0.24</v>
      </c>
      <c r="BC398" t="s">
        <v>923</v>
      </c>
      <c r="BD398" t="s">
        <v>922</v>
      </c>
      <c r="BE398" t="s">
        <v>940</v>
      </c>
      <c r="BF398" s="7">
        <v>40</v>
      </c>
      <c r="BG3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98">
        <v>0</v>
      </c>
      <c r="BI398" t="s">
        <v>734</v>
      </c>
      <c r="BJ398" s="11"/>
      <c r="BK398" s="11"/>
      <c r="BL398" s="11">
        <v>124</v>
      </c>
      <c r="BM398">
        <v>0</v>
      </c>
      <c r="BN398" t="s">
        <v>692</v>
      </c>
      <c r="BO398" t="s">
        <v>694</v>
      </c>
      <c r="BP398" t="s">
        <v>701</v>
      </c>
      <c r="BQ398" t="s">
        <v>705</v>
      </c>
      <c r="BR398" t="s">
        <v>706</v>
      </c>
      <c r="BS398" t="s">
        <v>707</v>
      </c>
      <c r="CR398"/>
      <c r="CS398"/>
      <c r="CT398"/>
    </row>
    <row r="399" spans="1:98" x14ac:dyDescent="0.4">
      <c r="A399" s="2" t="s">
        <v>425</v>
      </c>
      <c r="B399" t="str">
        <f>_xlfn.TEXTAFTER(Table1[[#This Row],[VEHIDCODE]],"_")</f>
        <v>Switzerland_BLS_Ce_4_4</v>
      </c>
      <c r="C399" t="s">
        <v>741</v>
      </c>
      <c r="D399" t="b">
        <f>OR(ISNUMBER(SEARCH("wagon_",Table1[[#This Row],[FILENAMES_EXPECTED]])),ISNUMBER(SEARCH("coach_",Table1[[#This Row],[FILENAMES_EXPECTED]])))</f>
        <v>0</v>
      </c>
      <c r="E399" t="str">
        <f>"item_"&amp;Table1[[#This Row],[VEHIDCODE]]</f>
        <v>item_electric_Switzerland_BLS_Ce_4_4</v>
      </c>
      <c r="F399" t="str">
        <f>"str_"&amp;Table1[[#This Row],[VEHIDCODE]]</f>
        <v>str_electric_Switzerland_BLS_Ce_4_4</v>
      </c>
      <c r="I399" t="b">
        <v>1</v>
      </c>
      <c r="AJ399" s="2"/>
      <c r="AK399" s="2" t="b">
        <f>LEN(_xlfn.CONCAT(Table1[[#This Row],[TRACK_TYPE_STANDARD_GAUGE_RAILTYPE_OHLE]:[TRACK_TYPE_MTRO]]))&gt;0</f>
        <v>1</v>
      </c>
      <c r="AL399">
        <v>5</v>
      </c>
      <c r="AM399" t="s">
        <v>20</v>
      </c>
      <c r="AN399">
        <v>0</v>
      </c>
      <c r="AO399" t="s">
        <v>74</v>
      </c>
      <c r="AP399">
        <v>0</v>
      </c>
      <c r="AQ399">
        <v>1954</v>
      </c>
      <c r="AR399">
        <v>5</v>
      </c>
      <c r="AS399" s="2" t="s">
        <v>20</v>
      </c>
      <c r="AT399" t="b">
        <v>1</v>
      </c>
      <c r="AV399" s="2"/>
      <c r="AW399">
        <v>45</v>
      </c>
      <c r="AX399">
        <v>1</v>
      </c>
      <c r="AY399">
        <v>1001</v>
      </c>
      <c r="AZ399" t="s">
        <v>709</v>
      </c>
      <c r="BA399">
        <v>65</v>
      </c>
      <c r="BB399" s="2">
        <v>0.17</v>
      </c>
      <c r="BC399" t="s">
        <v>923</v>
      </c>
      <c r="BD399" t="s">
        <v>922</v>
      </c>
      <c r="BE399" t="s">
        <v>940</v>
      </c>
      <c r="BF399" s="7">
        <v>40</v>
      </c>
      <c r="BG3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399">
        <v>-3</v>
      </c>
      <c r="BI399" t="s">
        <v>734</v>
      </c>
      <c r="BJ399" s="11"/>
      <c r="BK399" s="11"/>
      <c r="BL399" s="11">
        <v>65</v>
      </c>
      <c r="BM399">
        <v>0</v>
      </c>
      <c r="BN399" t="s">
        <v>692</v>
      </c>
      <c r="BO399" t="s">
        <v>694</v>
      </c>
      <c r="BP399" t="s">
        <v>701</v>
      </c>
      <c r="BQ399" t="s">
        <v>705</v>
      </c>
      <c r="BR399" t="s">
        <v>706</v>
      </c>
      <c r="BS399" t="s">
        <v>707</v>
      </c>
      <c r="CR399"/>
      <c r="CS399"/>
      <c r="CT399"/>
    </row>
    <row r="400" spans="1:98" x14ac:dyDescent="0.4">
      <c r="A400" s="2" t="s">
        <v>426</v>
      </c>
      <c r="B400" t="str">
        <f>_xlfn.TEXTAFTER(Table1[[#This Row],[VEHIDCODE]],"_")</f>
        <v>Switzerland_SBB_Ae_6_6</v>
      </c>
      <c r="C400" t="s">
        <v>741</v>
      </c>
      <c r="D400" t="b">
        <f>OR(ISNUMBER(SEARCH("wagon_",Table1[[#This Row],[FILENAMES_EXPECTED]])),ISNUMBER(SEARCH("coach_",Table1[[#This Row],[FILENAMES_EXPECTED]])))</f>
        <v>0</v>
      </c>
      <c r="E400" t="str">
        <f>"item_"&amp;Table1[[#This Row],[VEHIDCODE]]</f>
        <v>item_electric_Switzerland_SBB_Ae_6_6</v>
      </c>
      <c r="F400" t="str">
        <f>"str_"&amp;Table1[[#This Row],[VEHIDCODE]]</f>
        <v>str_electric_Switzerland_SBB_Ae_6_6</v>
      </c>
      <c r="I400" t="b">
        <v>1</v>
      </c>
      <c r="AJ400" s="2"/>
      <c r="AK400" s="2" t="b">
        <f>LEN(_xlfn.CONCAT(Table1[[#This Row],[TRACK_TYPE_STANDARD_GAUGE_RAILTYPE_OHLE]:[TRACK_TYPE_MTRO]]))&gt;0</f>
        <v>1</v>
      </c>
      <c r="AL400">
        <v>8</v>
      </c>
      <c r="AM400" t="s">
        <v>20</v>
      </c>
      <c r="AN400">
        <v>0</v>
      </c>
      <c r="AO400" t="s">
        <v>74</v>
      </c>
      <c r="AP400">
        <v>0</v>
      </c>
      <c r="AQ400">
        <v>1955</v>
      </c>
      <c r="AR400">
        <v>8</v>
      </c>
      <c r="AS400" s="2" t="s">
        <v>20</v>
      </c>
      <c r="AT400" t="b">
        <v>1</v>
      </c>
      <c r="AV400" s="2"/>
      <c r="AW400">
        <v>45</v>
      </c>
      <c r="AX400">
        <v>1</v>
      </c>
      <c r="AY400">
        <v>5842</v>
      </c>
      <c r="AZ400" t="s">
        <v>709</v>
      </c>
      <c r="BA400">
        <v>125</v>
      </c>
      <c r="BB400" s="2">
        <v>0.33</v>
      </c>
      <c r="BC400" t="s">
        <v>923</v>
      </c>
      <c r="BD400" t="s">
        <v>922</v>
      </c>
      <c r="BE400" t="s">
        <v>940</v>
      </c>
      <c r="BF400" s="7">
        <v>40</v>
      </c>
      <c r="BG4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00">
        <v>-3</v>
      </c>
      <c r="BI400" t="s">
        <v>734</v>
      </c>
      <c r="BJ400" s="11"/>
      <c r="BK400" s="11"/>
      <c r="BL400" s="11">
        <v>120</v>
      </c>
      <c r="BM400">
        <v>0</v>
      </c>
      <c r="BN400" t="s">
        <v>692</v>
      </c>
      <c r="BO400" t="s">
        <v>694</v>
      </c>
      <c r="BP400" t="s">
        <v>701</v>
      </c>
      <c r="BQ400" t="s">
        <v>705</v>
      </c>
      <c r="BR400" t="s">
        <v>706</v>
      </c>
      <c r="BS400" t="s">
        <v>707</v>
      </c>
      <c r="CR400"/>
      <c r="CS400"/>
      <c r="CT400"/>
    </row>
    <row r="401" spans="1:98" x14ac:dyDescent="0.4">
      <c r="A401" s="2" t="s">
        <v>427</v>
      </c>
      <c r="B401" t="str">
        <f>_xlfn.TEXTAFTER(Table1[[#This Row],[VEHIDCODE]],"_")</f>
        <v>Switzerland_SBB_Re460_Lok_2000</v>
      </c>
      <c r="C401" t="s">
        <v>741</v>
      </c>
      <c r="D401" t="b">
        <f>OR(ISNUMBER(SEARCH("wagon_",Table1[[#This Row],[FILENAMES_EXPECTED]])),ISNUMBER(SEARCH("coach_",Table1[[#This Row],[FILENAMES_EXPECTED]])))</f>
        <v>0</v>
      </c>
      <c r="E401" t="str">
        <f>"item_"&amp;Table1[[#This Row],[VEHIDCODE]]</f>
        <v>item_electric_Switzerland_SBB_Re460_Lok_2000</v>
      </c>
      <c r="F401" t="str">
        <f>"str_"&amp;Table1[[#This Row],[VEHIDCODE]]</f>
        <v>str_electric_Switzerland_SBB_Re460_Lok_2000</v>
      </c>
      <c r="I401" t="b">
        <v>1</v>
      </c>
      <c r="AJ401" s="2"/>
      <c r="AK401" s="2" t="b">
        <f>LEN(_xlfn.CONCAT(Table1[[#This Row],[TRACK_TYPE_STANDARD_GAUGE_RAILTYPE_OHLE]:[TRACK_TYPE_MTRO]]))&gt;0</f>
        <v>1</v>
      </c>
      <c r="AL401">
        <v>8</v>
      </c>
      <c r="AM401" t="s">
        <v>20</v>
      </c>
      <c r="AN401">
        <v>0</v>
      </c>
      <c r="AO401" t="s">
        <v>74</v>
      </c>
      <c r="AP401">
        <v>0</v>
      </c>
      <c r="AQ401">
        <v>1991</v>
      </c>
      <c r="AR401">
        <v>8</v>
      </c>
      <c r="AS401" s="2" t="s">
        <v>20</v>
      </c>
      <c r="AT401" t="b">
        <v>1</v>
      </c>
      <c r="AV401" s="2"/>
      <c r="AW401" t="s">
        <v>21</v>
      </c>
      <c r="AX401">
        <v>1</v>
      </c>
      <c r="AY401">
        <v>8174</v>
      </c>
      <c r="AZ401" t="s">
        <v>709</v>
      </c>
      <c r="BA401">
        <v>230</v>
      </c>
      <c r="BB401" s="2">
        <v>0.36</v>
      </c>
      <c r="BC401" t="s">
        <v>923</v>
      </c>
      <c r="BD401" t="s">
        <v>922</v>
      </c>
      <c r="BE401" t="s">
        <v>940</v>
      </c>
      <c r="BF401" s="7">
        <v>40</v>
      </c>
      <c r="BG4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01">
        <v>-3</v>
      </c>
      <c r="BI401" t="s">
        <v>734</v>
      </c>
      <c r="BJ401" s="11"/>
      <c r="BK401" s="11"/>
      <c r="BL401" s="11">
        <v>84</v>
      </c>
      <c r="BM401">
        <v>0</v>
      </c>
      <c r="BN401" t="s">
        <v>692</v>
      </c>
      <c r="BO401" t="s">
        <v>694</v>
      </c>
      <c r="BP401" t="s">
        <v>701</v>
      </c>
      <c r="BQ401" t="s">
        <v>705</v>
      </c>
      <c r="BR401" t="s">
        <v>706</v>
      </c>
      <c r="BS401" t="s">
        <v>707</v>
      </c>
      <c r="CR401"/>
      <c r="CS401"/>
      <c r="CT401"/>
    </row>
    <row r="402" spans="1:98" x14ac:dyDescent="0.4">
      <c r="A402" s="2" t="s">
        <v>428</v>
      </c>
      <c r="B402" t="str">
        <f>_xlfn.TEXTAFTER(Table1[[#This Row],[VEHIDCODE]],"_")</f>
        <v>Switzerland_SBB_Eem_923</v>
      </c>
      <c r="C402" t="s">
        <v>741</v>
      </c>
      <c r="D402" t="b">
        <f>OR(ISNUMBER(SEARCH("wagon_",Table1[[#This Row],[FILENAMES_EXPECTED]])),ISNUMBER(SEARCH("coach_",Table1[[#This Row],[FILENAMES_EXPECTED]])))</f>
        <v>0</v>
      </c>
      <c r="E402" t="str">
        <f>"item_"&amp;Table1[[#This Row],[VEHIDCODE]]</f>
        <v>item_electric_Switzerland_SBB_Eem_923</v>
      </c>
      <c r="F402" t="str">
        <f>"str_"&amp;Table1[[#This Row],[VEHIDCODE]]</f>
        <v>str_electric_Switzerland_SBB_Eem_923</v>
      </c>
      <c r="I402" t="b">
        <v>1</v>
      </c>
      <c r="AJ402" s="2"/>
      <c r="AK402" s="2" t="b">
        <f>LEN(_xlfn.CONCAT(Table1[[#This Row],[TRACK_TYPE_STANDARD_GAUGE_RAILTYPE_OHLE]:[TRACK_TYPE_MTRO]]))&gt;0</f>
        <v>1</v>
      </c>
      <c r="AL402">
        <v>5</v>
      </c>
      <c r="AM402" t="s">
        <v>20</v>
      </c>
      <c r="AN402">
        <v>0</v>
      </c>
      <c r="AO402" t="s">
        <v>74</v>
      </c>
      <c r="AP402">
        <v>0</v>
      </c>
      <c r="AQ402">
        <v>2012</v>
      </c>
      <c r="AR402">
        <v>5</v>
      </c>
      <c r="AS402" s="2" t="s">
        <v>20</v>
      </c>
      <c r="AT402" t="b">
        <v>1</v>
      </c>
      <c r="AV402" s="2"/>
      <c r="AW402" t="s">
        <v>21</v>
      </c>
      <c r="AX402">
        <v>1</v>
      </c>
      <c r="AY402">
        <v>1000</v>
      </c>
      <c r="AZ402" t="s">
        <v>709</v>
      </c>
      <c r="BA402">
        <v>100</v>
      </c>
      <c r="BB402" s="2">
        <v>0.27</v>
      </c>
      <c r="BC402" t="s">
        <v>923</v>
      </c>
      <c r="BD402" t="s">
        <v>922</v>
      </c>
      <c r="BE402" t="s">
        <v>940</v>
      </c>
      <c r="BF402" s="7">
        <v>40</v>
      </c>
      <c r="BG4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02">
        <v>-3</v>
      </c>
      <c r="BI402" t="s">
        <v>734</v>
      </c>
      <c r="BJ402" s="11"/>
      <c r="BK402" s="11"/>
      <c r="BL402" s="11">
        <v>45</v>
      </c>
      <c r="BM402">
        <v>0</v>
      </c>
      <c r="BN402" t="s">
        <v>692</v>
      </c>
      <c r="BO402" t="s">
        <v>694</v>
      </c>
      <c r="BP402" t="s">
        <v>701</v>
      </c>
      <c r="BQ402" t="s">
        <v>705</v>
      </c>
      <c r="BR402" t="s">
        <v>706</v>
      </c>
      <c r="BS402" t="s">
        <v>707</v>
      </c>
      <c r="CR402"/>
      <c r="CS402"/>
      <c r="CT402"/>
    </row>
    <row r="403" spans="1:98" x14ac:dyDescent="0.4">
      <c r="A403" s="2" t="s">
        <v>429</v>
      </c>
      <c r="B403" t="str">
        <f>_xlfn.TEXTAFTER(Table1[[#This Row],[VEHIDCODE]],"_")</f>
        <v>Austria_OBB_1044</v>
      </c>
      <c r="C403" t="s">
        <v>741</v>
      </c>
      <c r="D403" t="b">
        <f>OR(ISNUMBER(SEARCH("wagon_",Table1[[#This Row],[FILENAMES_EXPECTED]])),ISNUMBER(SEARCH("coach_",Table1[[#This Row],[FILENAMES_EXPECTED]])))</f>
        <v>0</v>
      </c>
      <c r="E403" t="str">
        <f>"item_"&amp;Table1[[#This Row],[VEHIDCODE]]</f>
        <v>item_electric_Austria_OBB_1044</v>
      </c>
      <c r="F403" t="str">
        <f>"str_"&amp;Table1[[#This Row],[VEHIDCODE]]</f>
        <v>str_electric_Austria_OBB_1044</v>
      </c>
      <c r="I403" t="b">
        <v>1</v>
      </c>
      <c r="AJ403" s="2"/>
      <c r="AK403" s="2" t="b">
        <f>LEN(_xlfn.CONCAT(Table1[[#This Row],[TRACK_TYPE_STANDARD_GAUGE_RAILTYPE_OHLE]:[TRACK_TYPE_MTRO]]))&gt;0</f>
        <v>1</v>
      </c>
      <c r="AL403">
        <v>8</v>
      </c>
      <c r="AM403" t="s">
        <v>20</v>
      </c>
      <c r="AN403">
        <v>0</v>
      </c>
      <c r="AO403" t="s">
        <v>74</v>
      </c>
      <c r="AP403">
        <v>0</v>
      </c>
      <c r="AQ403">
        <v>1974</v>
      </c>
      <c r="AR403">
        <v>8</v>
      </c>
      <c r="AS403" s="2" t="s">
        <v>20</v>
      </c>
      <c r="AT403" t="b">
        <v>1</v>
      </c>
      <c r="AV403" s="2"/>
      <c r="AW403">
        <v>45</v>
      </c>
      <c r="AX403">
        <v>1</v>
      </c>
      <c r="AY403">
        <v>7000</v>
      </c>
      <c r="AZ403" t="s">
        <v>709</v>
      </c>
      <c r="BA403">
        <v>160</v>
      </c>
      <c r="BB403" s="2">
        <v>0.39</v>
      </c>
      <c r="BC403" t="s">
        <v>923</v>
      </c>
      <c r="BD403" t="s">
        <v>922</v>
      </c>
      <c r="BE403" t="s">
        <v>940</v>
      </c>
      <c r="BF403" s="7">
        <v>40</v>
      </c>
      <c r="BG4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03">
        <v>-3</v>
      </c>
      <c r="BI403" t="s">
        <v>734</v>
      </c>
      <c r="BJ403" s="11"/>
      <c r="BK403" s="11"/>
      <c r="BL403" s="11">
        <v>84</v>
      </c>
      <c r="BM403">
        <v>0</v>
      </c>
      <c r="BN403" t="s">
        <v>692</v>
      </c>
      <c r="BO403" t="s">
        <v>694</v>
      </c>
      <c r="BP403" t="s">
        <v>701</v>
      </c>
      <c r="BQ403" t="s">
        <v>705</v>
      </c>
      <c r="BR403" t="s">
        <v>706</v>
      </c>
      <c r="BS403" t="s">
        <v>707</v>
      </c>
      <c r="CR403"/>
      <c r="CS403"/>
      <c r="CT403"/>
    </row>
    <row r="404" spans="1:98" x14ac:dyDescent="0.4">
      <c r="A404" s="2" t="s">
        <v>430</v>
      </c>
      <c r="B404" t="str">
        <f>_xlfn.TEXTAFTER(Table1[[#This Row],[VEHIDCODE]],"_")</f>
        <v>Austria_OBB_1063</v>
      </c>
      <c r="C404" t="s">
        <v>741</v>
      </c>
      <c r="D404" t="b">
        <f>OR(ISNUMBER(SEARCH("wagon_",Table1[[#This Row],[FILENAMES_EXPECTED]])),ISNUMBER(SEARCH("coach_",Table1[[#This Row],[FILENAMES_EXPECTED]])))</f>
        <v>0</v>
      </c>
      <c r="E404" t="str">
        <f>"item_"&amp;Table1[[#This Row],[VEHIDCODE]]</f>
        <v>item_electric_Austria_OBB_1063</v>
      </c>
      <c r="F404" t="str">
        <f>"str_"&amp;Table1[[#This Row],[VEHIDCODE]]</f>
        <v>str_electric_Austria_OBB_1063</v>
      </c>
      <c r="I404" t="b">
        <v>1</v>
      </c>
      <c r="AJ404" s="2"/>
      <c r="AK404" s="2" t="b">
        <f>LEN(_xlfn.CONCAT(Table1[[#This Row],[TRACK_TYPE_STANDARD_GAUGE_RAILTYPE_OHLE]:[TRACK_TYPE_MTRO]]))&gt;0</f>
        <v>1</v>
      </c>
      <c r="AL404">
        <v>8</v>
      </c>
      <c r="AM404" t="s">
        <v>20</v>
      </c>
      <c r="AN404">
        <v>0</v>
      </c>
      <c r="AO404" t="s">
        <v>74</v>
      </c>
      <c r="AP404">
        <v>0</v>
      </c>
      <c r="AQ404">
        <v>1982</v>
      </c>
      <c r="AR404">
        <v>8</v>
      </c>
      <c r="AS404" s="2" t="s">
        <v>20</v>
      </c>
      <c r="AT404" t="b">
        <v>1</v>
      </c>
      <c r="AV404" s="2"/>
      <c r="AW404">
        <v>45</v>
      </c>
      <c r="AX404">
        <v>1</v>
      </c>
      <c r="AY404">
        <v>2680</v>
      </c>
      <c r="AZ404" t="s">
        <v>709</v>
      </c>
      <c r="BA404">
        <v>100</v>
      </c>
      <c r="BB404" s="2">
        <v>0.32</v>
      </c>
      <c r="BC404" t="s">
        <v>923</v>
      </c>
      <c r="BD404" t="s">
        <v>922</v>
      </c>
      <c r="BE404" t="s">
        <v>940</v>
      </c>
      <c r="BF404" s="7">
        <v>40</v>
      </c>
      <c r="BG4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04">
        <v>-3</v>
      </c>
      <c r="BI404" t="s">
        <v>734</v>
      </c>
      <c r="BJ404" s="11"/>
      <c r="BK404" s="11"/>
      <c r="BL404" s="11">
        <v>82</v>
      </c>
      <c r="BM404">
        <v>0</v>
      </c>
      <c r="BN404" t="s">
        <v>692</v>
      </c>
      <c r="BO404" t="s">
        <v>694</v>
      </c>
      <c r="BP404" t="s">
        <v>701</v>
      </c>
      <c r="BQ404" t="s">
        <v>705</v>
      </c>
      <c r="BR404" t="s">
        <v>706</v>
      </c>
      <c r="BS404" t="s">
        <v>707</v>
      </c>
      <c r="CR404"/>
      <c r="CS404"/>
      <c r="CT404"/>
    </row>
    <row r="405" spans="1:98" x14ac:dyDescent="0.4">
      <c r="A405" s="2" t="s">
        <v>431</v>
      </c>
      <c r="B405" t="str">
        <f>_xlfn.TEXTAFTER(Table1[[#This Row],[VEHIDCODE]],"_")</f>
        <v>Sweden_MTAB_Dm3</v>
      </c>
      <c r="C405" t="s">
        <v>741</v>
      </c>
      <c r="D405" t="b">
        <f>OR(ISNUMBER(SEARCH("wagon_",Table1[[#This Row],[FILENAMES_EXPECTED]])),ISNUMBER(SEARCH("coach_",Table1[[#This Row],[FILENAMES_EXPECTED]])))</f>
        <v>0</v>
      </c>
      <c r="E405" t="str">
        <f>"item_"&amp;Table1[[#This Row],[VEHIDCODE]]</f>
        <v>item_electric_Sweden_MTAB_Dm3</v>
      </c>
      <c r="F405" t="str">
        <f>"str_"&amp;Table1[[#This Row],[VEHIDCODE]]</f>
        <v>str_electric_Sweden_MTAB_Dm3</v>
      </c>
      <c r="I405" t="b">
        <v>1</v>
      </c>
      <c r="AJ405" s="2"/>
      <c r="AK405" s="2" t="b">
        <f>LEN(_xlfn.CONCAT(Table1[[#This Row],[TRACK_TYPE_STANDARD_GAUGE_RAILTYPE_OHLE]:[TRACK_TYPE_MTRO]]))&gt;0</f>
        <v>1</v>
      </c>
      <c r="AL405">
        <v>21</v>
      </c>
      <c r="AM405" t="s">
        <v>20</v>
      </c>
      <c r="AN405">
        <v>0</v>
      </c>
      <c r="AO405" t="s">
        <v>74</v>
      </c>
      <c r="AP405">
        <v>0</v>
      </c>
      <c r="AQ405">
        <v>1953</v>
      </c>
      <c r="AR405">
        <v>7</v>
      </c>
      <c r="AS405" s="2" t="s">
        <v>20</v>
      </c>
      <c r="AT405" t="b">
        <v>1</v>
      </c>
      <c r="AV405" s="2"/>
      <c r="AW405">
        <v>45</v>
      </c>
      <c r="AX405">
        <v>0</v>
      </c>
      <c r="AY405">
        <v>9648</v>
      </c>
      <c r="AZ405" t="s">
        <v>709</v>
      </c>
      <c r="BA405">
        <v>75</v>
      </c>
      <c r="BB405" s="2">
        <v>0.34</v>
      </c>
      <c r="BC405" t="s">
        <v>927</v>
      </c>
      <c r="BD405" t="s">
        <v>922</v>
      </c>
      <c r="BE405" t="s">
        <v>940</v>
      </c>
      <c r="BF405" s="7">
        <v>40</v>
      </c>
      <c r="BG4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05">
        <v>0</v>
      </c>
      <c r="BI405" t="s">
        <v>734</v>
      </c>
      <c r="BJ405" s="11"/>
      <c r="BK405" s="11"/>
      <c r="BL405" s="11">
        <v>273</v>
      </c>
      <c r="BM405">
        <v>0</v>
      </c>
      <c r="BN405" t="s">
        <v>692</v>
      </c>
      <c r="BO405" t="s">
        <v>694</v>
      </c>
      <c r="BP405" t="s">
        <v>701</v>
      </c>
      <c r="BQ405" t="s">
        <v>705</v>
      </c>
      <c r="BR405" t="s">
        <v>706</v>
      </c>
      <c r="BS405" t="s">
        <v>707</v>
      </c>
      <c r="CR405"/>
      <c r="CS405"/>
      <c r="CT405"/>
    </row>
    <row r="406" spans="1:98" x14ac:dyDescent="0.4">
      <c r="A406" s="2" t="s">
        <v>432</v>
      </c>
      <c r="B406" t="str">
        <f>_xlfn.TEXTAFTER(Table1[[#This Row],[VEHIDCODE]],"_")</f>
        <v>Sweden_MTAB_IORE</v>
      </c>
      <c r="C406" t="s">
        <v>741</v>
      </c>
      <c r="D406" t="b">
        <f>OR(ISNUMBER(SEARCH("wagon_",Table1[[#This Row],[FILENAMES_EXPECTED]])),ISNUMBER(SEARCH("coach_",Table1[[#This Row],[FILENAMES_EXPECTED]])))</f>
        <v>0</v>
      </c>
      <c r="E406" t="str">
        <f>"item_"&amp;Table1[[#This Row],[VEHIDCODE]]</f>
        <v>item_electric_Sweden_MTAB_IORE</v>
      </c>
      <c r="F406" t="str">
        <f>"str_"&amp;Table1[[#This Row],[VEHIDCODE]]</f>
        <v>str_electric_Sweden_MTAB_IORE</v>
      </c>
      <c r="I406" t="b">
        <v>1</v>
      </c>
      <c r="AJ406" s="2"/>
      <c r="AK406" s="2" t="b">
        <f>LEN(_xlfn.CONCAT(Table1[[#This Row],[TRACK_TYPE_STANDARD_GAUGE_RAILTYPE_OHLE]:[TRACK_TYPE_MTRO]]))&gt;0</f>
        <v>1</v>
      </c>
      <c r="AL406">
        <v>16</v>
      </c>
      <c r="AM406" t="s">
        <v>20</v>
      </c>
      <c r="AN406">
        <v>0</v>
      </c>
      <c r="AO406" t="s">
        <v>74</v>
      </c>
      <c r="AP406">
        <v>0</v>
      </c>
      <c r="AQ406">
        <v>2000</v>
      </c>
      <c r="AR406">
        <v>8</v>
      </c>
      <c r="AS406" s="2" t="s">
        <v>20</v>
      </c>
      <c r="AT406" t="b">
        <v>1</v>
      </c>
      <c r="AV406" s="2"/>
      <c r="AW406" t="s">
        <v>21</v>
      </c>
      <c r="AX406">
        <v>0</v>
      </c>
      <c r="AY406">
        <v>14478</v>
      </c>
      <c r="AZ406" t="s">
        <v>709</v>
      </c>
      <c r="BA406">
        <v>80</v>
      </c>
      <c r="BB406" s="2">
        <v>0.39</v>
      </c>
      <c r="BC406" t="s">
        <v>927</v>
      </c>
      <c r="BD406" t="s">
        <v>922</v>
      </c>
      <c r="BE406" t="s">
        <v>940</v>
      </c>
      <c r="BF406" s="7">
        <v>40</v>
      </c>
      <c r="BG4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06">
        <v>0</v>
      </c>
      <c r="BI406" t="s">
        <v>734</v>
      </c>
      <c r="BJ406" s="11"/>
      <c r="BK406" s="11"/>
      <c r="BL406" s="11">
        <v>360</v>
      </c>
      <c r="BM406">
        <v>0</v>
      </c>
      <c r="BN406" t="s">
        <v>692</v>
      </c>
      <c r="BO406" t="s">
        <v>694</v>
      </c>
      <c r="BP406" t="s">
        <v>701</v>
      </c>
      <c r="BQ406" t="s">
        <v>705</v>
      </c>
      <c r="BR406" t="s">
        <v>706</v>
      </c>
      <c r="BS406" t="s">
        <v>707</v>
      </c>
      <c r="CR406"/>
      <c r="CS406"/>
      <c r="CT406"/>
    </row>
    <row r="407" spans="1:98" x14ac:dyDescent="0.4">
      <c r="A407" s="2" t="s">
        <v>433</v>
      </c>
      <c r="B407" t="str">
        <f>_xlfn.TEXTAFTER(Table1[[#This Row],[VEHIDCODE]],"_")</f>
        <v>Sweden_SJ_O_Class</v>
      </c>
      <c r="C407" t="s">
        <v>741</v>
      </c>
      <c r="D407" t="b">
        <f>OR(ISNUMBER(SEARCH("wagon_",Table1[[#This Row],[FILENAMES_EXPECTED]])),ISNUMBER(SEARCH("coach_",Table1[[#This Row],[FILENAMES_EXPECTED]])))</f>
        <v>0</v>
      </c>
      <c r="E407" t="str">
        <f>"item_"&amp;Table1[[#This Row],[VEHIDCODE]]</f>
        <v>item_electric_Sweden_SJ_O_Class</v>
      </c>
      <c r="F407" t="str">
        <f>"str_"&amp;Table1[[#This Row],[VEHIDCODE]]</f>
        <v>str_electric_Sweden_SJ_O_Class</v>
      </c>
      <c r="I407" t="b">
        <v>1</v>
      </c>
      <c r="AJ407" s="2"/>
      <c r="AK407" s="2" t="b">
        <f>LEN(_xlfn.CONCAT(Table1[[#This Row],[TRACK_TYPE_STANDARD_GAUGE_RAILTYPE_OHLE]:[TRACK_TYPE_MTRO]]))&gt;0</f>
        <v>1</v>
      </c>
      <c r="AL407">
        <v>12</v>
      </c>
      <c r="AM407" t="s">
        <v>20</v>
      </c>
      <c r="AN407">
        <v>0</v>
      </c>
      <c r="AO407" t="s">
        <v>74</v>
      </c>
      <c r="AP407">
        <v>0</v>
      </c>
      <c r="AQ407">
        <v>1914</v>
      </c>
      <c r="AR407">
        <v>6</v>
      </c>
      <c r="AS407" s="2" t="s">
        <v>20</v>
      </c>
      <c r="AT407" t="b">
        <v>1</v>
      </c>
      <c r="AV407" s="2"/>
      <c r="AW407">
        <v>45</v>
      </c>
      <c r="AX407">
        <v>0</v>
      </c>
      <c r="AY407">
        <v>1600</v>
      </c>
      <c r="AZ407" t="s">
        <v>709</v>
      </c>
      <c r="BA407">
        <v>60</v>
      </c>
      <c r="BB407" s="2">
        <v>0.2</v>
      </c>
      <c r="BC407" t="s">
        <v>927</v>
      </c>
      <c r="BD407" t="s">
        <v>922</v>
      </c>
      <c r="BE407" t="s">
        <v>940</v>
      </c>
      <c r="BF407" s="7">
        <v>40</v>
      </c>
      <c r="BG4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07">
        <v>0</v>
      </c>
      <c r="BI407" t="s">
        <v>734</v>
      </c>
      <c r="BJ407" s="11"/>
      <c r="BK407" s="11"/>
      <c r="BL407" s="11">
        <v>125</v>
      </c>
      <c r="BM407">
        <v>0</v>
      </c>
      <c r="BN407" t="s">
        <v>692</v>
      </c>
      <c r="BO407" t="s">
        <v>694</v>
      </c>
      <c r="BP407" t="s">
        <v>701</v>
      </c>
      <c r="BQ407" t="s">
        <v>705</v>
      </c>
      <c r="BR407" t="s">
        <v>706</v>
      </c>
      <c r="BS407" t="s">
        <v>707</v>
      </c>
      <c r="CR407"/>
      <c r="CS407"/>
      <c r="CT407"/>
    </row>
    <row r="408" spans="1:98" x14ac:dyDescent="0.4">
      <c r="A408" s="2" t="s">
        <v>434</v>
      </c>
      <c r="B408" t="str">
        <f>_xlfn.TEXTAFTER(Table1[[#This Row],[VEHIDCODE]],"_")</f>
        <v>Sweden_SJ_F_Class</v>
      </c>
      <c r="C408" t="s">
        <v>741</v>
      </c>
      <c r="D408" t="b">
        <f>OR(ISNUMBER(SEARCH("wagon_",Table1[[#This Row],[FILENAMES_EXPECTED]])),ISNUMBER(SEARCH("coach_",Table1[[#This Row],[FILENAMES_EXPECTED]])))</f>
        <v>0</v>
      </c>
      <c r="E408" t="str">
        <f>"item_"&amp;Table1[[#This Row],[VEHIDCODE]]</f>
        <v>item_electric_Sweden_SJ_F_Class</v>
      </c>
      <c r="F408" t="str">
        <f>"str_"&amp;Table1[[#This Row],[VEHIDCODE]]</f>
        <v>str_electric_Sweden_SJ_F_Class</v>
      </c>
      <c r="I408" t="b">
        <v>1</v>
      </c>
      <c r="AJ408" s="2"/>
      <c r="AK408" s="2" t="b">
        <f>LEN(_xlfn.CONCAT(Table1[[#This Row],[TRACK_TYPE_STANDARD_GAUGE_RAILTYPE_OHLE]:[TRACK_TYPE_MTRO]]))&gt;0</f>
        <v>1</v>
      </c>
      <c r="AL408">
        <v>8</v>
      </c>
      <c r="AM408" t="s">
        <v>20</v>
      </c>
      <c r="AN408">
        <v>0</v>
      </c>
      <c r="AO408" t="s">
        <v>74</v>
      </c>
      <c r="AP408">
        <v>0</v>
      </c>
      <c r="AQ408">
        <v>1942</v>
      </c>
      <c r="AR408">
        <v>8</v>
      </c>
      <c r="AS408" s="2" t="s">
        <v>20</v>
      </c>
      <c r="AT408" t="b">
        <v>1</v>
      </c>
      <c r="AV408" s="2"/>
      <c r="AW408">
        <v>45</v>
      </c>
      <c r="AX408">
        <v>1</v>
      </c>
      <c r="AY408">
        <v>3460</v>
      </c>
      <c r="AZ408" t="s">
        <v>709</v>
      </c>
      <c r="BA408">
        <v>135</v>
      </c>
      <c r="BB408" s="2">
        <v>0.2</v>
      </c>
      <c r="BC408" t="s">
        <v>927</v>
      </c>
      <c r="BD408" t="s">
        <v>922</v>
      </c>
      <c r="BE408" t="s">
        <v>940</v>
      </c>
      <c r="BF408" s="7">
        <v>40</v>
      </c>
      <c r="BG4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08">
        <v>0</v>
      </c>
      <c r="BI408" t="s">
        <v>734</v>
      </c>
      <c r="BJ408" s="11"/>
      <c r="BK408" s="11"/>
      <c r="BL408" s="11">
        <v>102</v>
      </c>
      <c r="BM408">
        <v>0</v>
      </c>
      <c r="BN408" t="s">
        <v>692</v>
      </c>
      <c r="BO408" t="s">
        <v>694</v>
      </c>
      <c r="BP408" t="s">
        <v>701</v>
      </c>
      <c r="BQ408" t="s">
        <v>705</v>
      </c>
      <c r="BR408" t="s">
        <v>706</v>
      </c>
      <c r="BS408" t="s">
        <v>707</v>
      </c>
      <c r="CR408"/>
      <c r="CS408"/>
      <c r="CT408"/>
    </row>
    <row r="409" spans="1:98" x14ac:dyDescent="0.4">
      <c r="A409" s="2" t="s">
        <v>435</v>
      </c>
      <c r="B409" t="str">
        <f>_xlfn.TEXTAFTER(Table1[[#This Row],[VEHIDCODE]],"_")</f>
        <v>Norway_NSB_EL17</v>
      </c>
      <c r="C409" t="s">
        <v>741</v>
      </c>
      <c r="D409" t="b">
        <f>OR(ISNUMBER(SEARCH("wagon_",Table1[[#This Row],[FILENAMES_EXPECTED]])),ISNUMBER(SEARCH("coach_",Table1[[#This Row],[FILENAMES_EXPECTED]])))</f>
        <v>0</v>
      </c>
      <c r="E409" t="str">
        <f>"item_"&amp;Table1[[#This Row],[VEHIDCODE]]</f>
        <v>item_electric_Norway_NSB_EL17</v>
      </c>
      <c r="F409" t="str">
        <f>"str_"&amp;Table1[[#This Row],[VEHIDCODE]]</f>
        <v>str_electric_Norway_NSB_EL17</v>
      </c>
      <c r="I409" t="b">
        <v>1</v>
      </c>
      <c r="AJ409" s="2"/>
      <c r="AK409" s="2" t="b">
        <f>LEN(_xlfn.CONCAT(Table1[[#This Row],[TRACK_TYPE_STANDARD_GAUGE_RAILTYPE_OHLE]:[TRACK_TYPE_MTRO]]))&gt;0</f>
        <v>1</v>
      </c>
      <c r="AL409">
        <v>7</v>
      </c>
      <c r="AM409" t="s">
        <v>20</v>
      </c>
      <c r="AN409">
        <v>0</v>
      </c>
      <c r="AO409" t="s">
        <v>74</v>
      </c>
      <c r="AP409">
        <v>0</v>
      </c>
      <c r="AQ409">
        <v>1982</v>
      </c>
      <c r="AR409">
        <v>7</v>
      </c>
      <c r="AS409" s="2" t="s">
        <v>24</v>
      </c>
      <c r="AT409" t="b">
        <v>1</v>
      </c>
      <c r="AV409" s="2"/>
      <c r="AW409">
        <v>45</v>
      </c>
      <c r="AX409">
        <v>1</v>
      </c>
      <c r="AY409">
        <v>4000</v>
      </c>
      <c r="AZ409" t="s">
        <v>709</v>
      </c>
      <c r="BA409">
        <v>150</v>
      </c>
      <c r="BB409" s="2">
        <v>0.38</v>
      </c>
      <c r="BC409" t="s">
        <v>927</v>
      </c>
      <c r="BD409" t="s">
        <v>922</v>
      </c>
      <c r="BE409" t="s">
        <v>940</v>
      </c>
      <c r="BF409" s="7">
        <v>40</v>
      </c>
      <c r="BG4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09">
        <v>0</v>
      </c>
      <c r="BI409" t="s">
        <v>734</v>
      </c>
      <c r="BJ409" s="11"/>
      <c r="BK409" s="11"/>
      <c r="BL409" s="11">
        <v>64</v>
      </c>
      <c r="BM409">
        <v>0</v>
      </c>
      <c r="BN409" t="s">
        <v>692</v>
      </c>
      <c r="BO409" t="s">
        <v>694</v>
      </c>
      <c r="BP409" t="s">
        <v>701</v>
      </c>
      <c r="BQ409" t="s">
        <v>705</v>
      </c>
      <c r="BR409" t="s">
        <v>706</v>
      </c>
      <c r="BS409" t="s">
        <v>707</v>
      </c>
      <c r="CR409"/>
      <c r="CS409"/>
      <c r="CT409"/>
    </row>
    <row r="410" spans="1:98" x14ac:dyDescent="0.4">
      <c r="A410" s="2" t="s">
        <v>436</v>
      </c>
      <c r="B410" t="str">
        <f>_xlfn.TEXTAFTER(Table1[[#This Row],[VEHIDCODE]],"_")</f>
        <v>Germany_Prussian_ES_6</v>
      </c>
      <c r="C410" t="s">
        <v>741</v>
      </c>
      <c r="D410" t="b">
        <f>OR(ISNUMBER(SEARCH("wagon_",Table1[[#This Row],[FILENAMES_EXPECTED]])),ISNUMBER(SEARCH("coach_",Table1[[#This Row],[FILENAMES_EXPECTED]])))</f>
        <v>0</v>
      </c>
      <c r="E410" t="str">
        <f>"item_"&amp;Table1[[#This Row],[VEHIDCODE]]</f>
        <v>item_electric_Germany_Prussian_ES_6</v>
      </c>
      <c r="F410" t="str">
        <f>"str_"&amp;Table1[[#This Row],[VEHIDCODE]]</f>
        <v>str_electric_Germany_Prussian_ES_6</v>
      </c>
      <c r="I410" t="b">
        <v>1</v>
      </c>
      <c r="AJ410" s="2"/>
      <c r="AK410" s="2" t="b">
        <f>LEN(_xlfn.CONCAT(Table1[[#This Row],[TRACK_TYPE_STANDARD_GAUGE_RAILTYPE_OHLE]:[TRACK_TYPE_MTRO]]))&gt;0</f>
        <v>1</v>
      </c>
      <c r="AL410">
        <v>6</v>
      </c>
      <c r="AM410" t="s">
        <v>20</v>
      </c>
      <c r="AN410">
        <v>0</v>
      </c>
      <c r="AO410" t="s">
        <v>74</v>
      </c>
      <c r="AP410">
        <v>0</v>
      </c>
      <c r="AQ410">
        <v>1914</v>
      </c>
      <c r="AR410">
        <v>6</v>
      </c>
      <c r="AS410" s="2" t="s">
        <v>20</v>
      </c>
      <c r="AT410" t="b">
        <v>1</v>
      </c>
      <c r="AV410" s="2"/>
      <c r="AW410">
        <v>45</v>
      </c>
      <c r="AX410">
        <v>1</v>
      </c>
      <c r="AY410">
        <v>1186</v>
      </c>
      <c r="AZ410" t="s">
        <v>709</v>
      </c>
      <c r="BA410">
        <v>100</v>
      </c>
      <c r="BB410" s="2">
        <v>0.1</v>
      </c>
      <c r="BC410" t="s">
        <v>923</v>
      </c>
      <c r="BD410" t="s">
        <v>922</v>
      </c>
      <c r="BE410" t="s">
        <v>940</v>
      </c>
      <c r="BF410" s="7">
        <v>40</v>
      </c>
      <c r="BG4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10">
        <v>-3</v>
      </c>
      <c r="BI410" t="s">
        <v>734</v>
      </c>
      <c r="BJ410" s="11"/>
      <c r="BK410" s="11"/>
      <c r="BL410" s="11">
        <v>81</v>
      </c>
      <c r="BM410">
        <v>0</v>
      </c>
      <c r="BN410" t="s">
        <v>692</v>
      </c>
      <c r="BO410" t="s">
        <v>694</v>
      </c>
      <c r="BP410" t="s">
        <v>701</v>
      </c>
      <c r="BQ410" t="s">
        <v>705</v>
      </c>
      <c r="BR410" t="s">
        <v>706</v>
      </c>
      <c r="BS410" t="s">
        <v>707</v>
      </c>
      <c r="CR410"/>
      <c r="CS410"/>
      <c r="CT410"/>
    </row>
    <row r="411" spans="1:98" x14ac:dyDescent="0.4">
      <c r="A411" s="2" t="s">
        <v>437</v>
      </c>
      <c r="B411" t="str">
        <f>_xlfn.TEXTAFTER(Table1[[#This Row],[VEHIDCODE]],"_")</f>
        <v>USA_Virginian_Railway_EL_2B</v>
      </c>
      <c r="C411" t="s">
        <v>741</v>
      </c>
      <c r="D411" t="b">
        <f>OR(ISNUMBER(SEARCH("wagon_",Table1[[#This Row],[FILENAMES_EXPECTED]])),ISNUMBER(SEARCH("coach_",Table1[[#This Row],[FILENAMES_EXPECTED]])))</f>
        <v>0</v>
      </c>
      <c r="E411" t="str">
        <f>"item_"&amp;Table1[[#This Row],[VEHIDCODE]]</f>
        <v>item_electric_USA_Virginian_Railway_EL_2B</v>
      </c>
      <c r="F411" t="str">
        <f>"str_"&amp;Table1[[#This Row],[VEHIDCODE]]</f>
        <v>str_electric_USA_Virginian_Railway_EL_2B</v>
      </c>
      <c r="I411" t="b">
        <v>1</v>
      </c>
      <c r="AJ411" s="2"/>
      <c r="AK411" s="2" t="b">
        <f>LEN(_xlfn.CONCAT(Table1[[#This Row],[TRACK_TYPE_STANDARD_GAUGE_RAILTYPE_OHLE]:[TRACK_TYPE_MTRO]]))&gt;0</f>
        <v>1</v>
      </c>
      <c r="AL411">
        <v>16</v>
      </c>
      <c r="AM411" t="s">
        <v>20</v>
      </c>
      <c r="AN411">
        <v>0</v>
      </c>
      <c r="AO411" t="s">
        <v>74</v>
      </c>
      <c r="AP411">
        <v>0</v>
      </c>
      <c r="AQ411">
        <v>1948</v>
      </c>
      <c r="AR411">
        <v>8</v>
      </c>
      <c r="AS411" s="2" t="s">
        <v>20</v>
      </c>
      <c r="AT411" t="b">
        <v>1</v>
      </c>
      <c r="AV411" s="2"/>
      <c r="AW411">
        <v>45</v>
      </c>
      <c r="AX411">
        <v>1</v>
      </c>
      <c r="AY411">
        <v>6800</v>
      </c>
      <c r="AZ411" t="s">
        <v>709</v>
      </c>
      <c r="BA411">
        <v>80</v>
      </c>
      <c r="BB411" s="2">
        <v>0.16</v>
      </c>
      <c r="BC411" t="s">
        <v>928</v>
      </c>
      <c r="BD411" t="s">
        <v>922</v>
      </c>
      <c r="BE411" t="s">
        <v>940</v>
      </c>
      <c r="BF411" s="7">
        <v>40</v>
      </c>
      <c r="BG4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11">
        <v>0</v>
      </c>
      <c r="BI411" t="s">
        <v>734</v>
      </c>
      <c r="BJ411" s="11"/>
      <c r="BK411" s="11"/>
      <c r="BL411" s="11">
        <v>450</v>
      </c>
      <c r="BM411">
        <v>0</v>
      </c>
      <c r="BN411" t="s">
        <v>692</v>
      </c>
      <c r="BO411" t="s">
        <v>694</v>
      </c>
      <c r="BP411" t="s">
        <v>701</v>
      </c>
      <c r="BQ411" t="s">
        <v>705</v>
      </c>
      <c r="BR411" t="s">
        <v>706</v>
      </c>
      <c r="BS411" t="s">
        <v>707</v>
      </c>
      <c r="CR411"/>
      <c r="CS411"/>
      <c r="CT411"/>
    </row>
    <row r="412" spans="1:98" x14ac:dyDescent="0.4">
      <c r="A412" s="2" t="s">
        <v>438</v>
      </c>
      <c r="B412" t="str">
        <f>_xlfn.TEXTAFTER(Table1[[#This Row],[VEHIDCODE]],"_")</f>
        <v>USA_GN_W_1</v>
      </c>
      <c r="C412" t="s">
        <v>741</v>
      </c>
      <c r="D412" t="b">
        <f>OR(ISNUMBER(SEARCH("wagon_",Table1[[#This Row],[FILENAMES_EXPECTED]])),ISNUMBER(SEARCH("coach_",Table1[[#This Row],[FILENAMES_EXPECTED]])))</f>
        <v>0</v>
      </c>
      <c r="E412" t="str">
        <f>"item_"&amp;Table1[[#This Row],[VEHIDCODE]]</f>
        <v>item_electric_USA_GN_W_1</v>
      </c>
      <c r="F412" t="str">
        <f>"str_"&amp;Table1[[#This Row],[VEHIDCODE]]</f>
        <v>str_electric_USA_GN_W_1</v>
      </c>
      <c r="I412" t="b">
        <v>1</v>
      </c>
      <c r="AJ412" s="2"/>
      <c r="AK412" s="2" t="b">
        <f>LEN(_xlfn.CONCAT(Table1[[#This Row],[TRACK_TYPE_STANDARD_GAUGE_RAILTYPE_OHLE]:[TRACK_TYPE_MTRO]]))&gt;0</f>
        <v>1</v>
      </c>
      <c r="AL412">
        <v>8</v>
      </c>
      <c r="AM412" t="s">
        <v>20</v>
      </c>
      <c r="AN412">
        <v>0</v>
      </c>
      <c r="AO412" t="s">
        <v>74</v>
      </c>
      <c r="AP412">
        <v>0</v>
      </c>
      <c r="AQ412">
        <v>1947</v>
      </c>
      <c r="AR412">
        <v>8</v>
      </c>
      <c r="AS412" s="2" t="s">
        <v>20</v>
      </c>
      <c r="AT412" t="b">
        <v>1</v>
      </c>
      <c r="AV412" s="2"/>
      <c r="AW412">
        <v>45</v>
      </c>
      <c r="AX412">
        <v>1</v>
      </c>
      <c r="AY412">
        <v>5000</v>
      </c>
      <c r="AZ412" t="s">
        <v>709</v>
      </c>
      <c r="BA412">
        <v>105</v>
      </c>
      <c r="BB412" s="2">
        <v>0.16</v>
      </c>
      <c r="BC412" t="s">
        <v>928</v>
      </c>
      <c r="BD412" t="s">
        <v>922</v>
      </c>
      <c r="BE412" t="s">
        <v>940</v>
      </c>
      <c r="BF412" s="7">
        <v>40</v>
      </c>
      <c r="BG4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12">
        <v>0</v>
      </c>
      <c r="BI412" t="s">
        <v>734</v>
      </c>
      <c r="BJ412" s="11"/>
      <c r="BK412" s="11"/>
      <c r="BL412" s="11">
        <v>330</v>
      </c>
      <c r="BM412">
        <v>0</v>
      </c>
      <c r="BN412" t="s">
        <v>692</v>
      </c>
      <c r="BO412" t="s">
        <v>694</v>
      </c>
      <c r="BP412" t="s">
        <v>701</v>
      </c>
      <c r="BQ412" t="s">
        <v>705</v>
      </c>
      <c r="BR412" t="s">
        <v>706</v>
      </c>
      <c r="BS412" t="s">
        <v>707</v>
      </c>
      <c r="CR412"/>
      <c r="CS412"/>
      <c r="CT412"/>
    </row>
    <row r="413" spans="1:98" x14ac:dyDescent="0.4">
      <c r="A413" s="2" t="s">
        <v>439</v>
      </c>
      <c r="B413" t="str">
        <f>_xlfn.TEXTAFTER(Table1[[#This Row],[VEHIDCODE]],"_")</f>
        <v>USA_PRR_B1</v>
      </c>
      <c r="C413" t="s">
        <v>741</v>
      </c>
      <c r="D413" t="b">
        <f>OR(ISNUMBER(SEARCH("wagon_",Table1[[#This Row],[FILENAMES_EXPECTED]])),ISNUMBER(SEARCH("coach_",Table1[[#This Row],[FILENAMES_EXPECTED]])))</f>
        <v>0</v>
      </c>
      <c r="E413" t="str">
        <f>"item_"&amp;Table1[[#This Row],[VEHIDCODE]]</f>
        <v>item_electric_USA_PRR_B1</v>
      </c>
      <c r="F413" t="str">
        <f>"str_"&amp;Table1[[#This Row],[VEHIDCODE]]</f>
        <v>str_electric_USA_PRR_B1</v>
      </c>
      <c r="I413" t="b">
        <v>1</v>
      </c>
      <c r="AJ413" s="2"/>
      <c r="AK413" s="2" t="b">
        <f>LEN(_xlfn.CONCAT(Table1[[#This Row],[TRACK_TYPE_STANDARD_GAUGE_RAILTYPE_OHLE]:[TRACK_TYPE_MTRO]]))&gt;0</f>
        <v>1</v>
      </c>
      <c r="AL413">
        <v>4</v>
      </c>
      <c r="AM413" t="s">
        <v>20</v>
      </c>
      <c r="AN413">
        <v>0</v>
      </c>
      <c r="AO413" t="s">
        <v>74</v>
      </c>
      <c r="AP413">
        <v>0</v>
      </c>
      <c r="AQ413">
        <v>1926</v>
      </c>
      <c r="AR413">
        <v>4</v>
      </c>
      <c r="AS413" s="2" t="s">
        <v>24</v>
      </c>
      <c r="AT413" t="b">
        <v>1</v>
      </c>
      <c r="AV413" s="2"/>
      <c r="AW413">
        <v>45</v>
      </c>
      <c r="AX413">
        <v>1</v>
      </c>
      <c r="AY413">
        <v>700</v>
      </c>
      <c r="AZ413" t="s">
        <v>709</v>
      </c>
      <c r="BA413">
        <v>40</v>
      </c>
      <c r="BB413" s="2">
        <v>0.25</v>
      </c>
      <c r="BC413" t="s">
        <v>928</v>
      </c>
      <c r="BD413" t="s">
        <v>922</v>
      </c>
      <c r="BE413" t="s">
        <v>940</v>
      </c>
      <c r="BF413" s="7">
        <v>40</v>
      </c>
      <c r="BG4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13">
        <v>0</v>
      </c>
      <c r="BI413" t="s">
        <v>734</v>
      </c>
      <c r="BJ413" s="11"/>
      <c r="BK413" s="11"/>
      <c r="BL413" s="11">
        <v>71</v>
      </c>
      <c r="BM413">
        <v>0</v>
      </c>
      <c r="BN413" t="s">
        <v>692</v>
      </c>
      <c r="BO413" t="s">
        <v>694</v>
      </c>
      <c r="BP413" t="s">
        <v>701</v>
      </c>
      <c r="BQ413" t="s">
        <v>705</v>
      </c>
      <c r="BR413" t="s">
        <v>706</v>
      </c>
      <c r="BS413" t="s">
        <v>707</v>
      </c>
      <c r="CR413"/>
      <c r="CS413"/>
      <c r="CT413"/>
    </row>
    <row r="414" spans="1:98" x14ac:dyDescent="0.4">
      <c r="A414" s="2" t="s">
        <v>440</v>
      </c>
      <c r="B414" t="str">
        <f>_xlfn.TEXTAFTER(Table1[[#This Row],[VEHIDCODE]],"_")</f>
        <v>Australia_Aurizon_E40_AG_V1</v>
      </c>
      <c r="C414" t="s">
        <v>741</v>
      </c>
      <c r="D414" t="b">
        <f>OR(ISNUMBER(SEARCH("wagon_",Table1[[#This Row],[FILENAMES_EXPECTED]])),ISNUMBER(SEARCH("coach_",Table1[[#This Row],[FILENAMES_EXPECTED]])))</f>
        <v>0</v>
      </c>
      <c r="E414" t="str">
        <f>"item_"&amp;Table1[[#This Row],[VEHIDCODE]]</f>
        <v>item_electric_Australia_Aurizon_E40_AG_V1</v>
      </c>
      <c r="F414" t="str">
        <f>"str_"&amp;Table1[[#This Row],[VEHIDCODE]]</f>
        <v>str_electric_Australia_Aurizon_E40_AG_V1</v>
      </c>
      <c r="H414" t="b">
        <v>1</v>
      </c>
      <c r="AJ414" s="2"/>
      <c r="AK414" s="2" t="b">
        <f>LEN(_xlfn.CONCAT(Table1[[#This Row],[TRACK_TYPE_STANDARD_GAUGE_RAILTYPE_OHLE]:[TRACK_TYPE_MTRO]]))&gt;0</f>
        <v>1</v>
      </c>
      <c r="AL414">
        <v>8</v>
      </c>
      <c r="AM414" t="s">
        <v>20</v>
      </c>
      <c r="AN414">
        <v>0</v>
      </c>
      <c r="AO414" t="s">
        <v>74</v>
      </c>
      <c r="AP414">
        <v>0</v>
      </c>
      <c r="AQ414">
        <v>2008</v>
      </c>
      <c r="AR414">
        <v>8</v>
      </c>
      <c r="AS414" s="2" t="s">
        <v>20</v>
      </c>
      <c r="AT414" t="b">
        <v>1</v>
      </c>
      <c r="AV414" s="2"/>
      <c r="AW414" t="s">
        <v>21</v>
      </c>
      <c r="AX414">
        <v>1</v>
      </c>
      <c r="AY414">
        <v>5360</v>
      </c>
      <c r="AZ414" t="s">
        <v>709</v>
      </c>
      <c r="BA414">
        <v>80</v>
      </c>
      <c r="BB414" s="2">
        <v>0.41</v>
      </c>
      <c r="BC414" t="s">
        <v>925</v>
      </c>
      <c r="BD414" t="s">
        <v>922</v>
      </c>
      <c r="BE414" t="s">
        <v>940</v>
      </c>
      <c r="BF414" s="7">
        <v>40</v>
      </c>
      <c r="BG4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14">
        <v>0</v>
      </c>
      <c r="BI414" t="s">
        <v>734</v>
      </c>
      <c r="BJ414" s="11"/>
      <c r="BK414" s="11"/>
      <c r="BL414" s="11">
        <v>109</v>
      </c>
      <c r="BM414">
        <v>0</v>
      </c>
      <c r="BN414" t="s">
        <v>692</v>
      </c>
      <c r="BO414" t="s">
        <v>694</v>
      </c>
      <c r="BP414" t="s">
        <v>701</v>
      </c>
      <c r="BQ414" t="s">
        <v>705</v>
      </c>
      <c r="BR414" t="s">
        <v>706</v>
      </c>
      <c r="BS414" t="s">
        <v>707</v>
      </c>
      <c r="CR414"/>
      <c r="CS414"/>
      <c r="CT414"/>
    </row>
    <row r="415" spans="1:98" x14ac:dyDescent="0.4">
      <c r="A415" s="2" t="s">
        <v>441</v>
      </c>
      <c r="B415" t="str">
        <f>_xlfn.TEXTAFTER(Table1[[#This Row],[VEHIDCODE]],"_")</f>
        <v>China_China_Railways_SS6</v>
      </c>
      <c r="C415" t="s">
        <v>741</v>
      </c>
      <c r="D415" t="b">
        <f>OR(ISNUMBER(SEARCH("wagon_",Table1[[#This Row],[FILENAMES_EXPECTED]])),ISNUMBER(SEARCH("coach_",Table1[[#This Row],[FILENAMES_EXPECTED]])))</f>
        <v>0</v>
      </c>
      <c r="E415" t="str">
        <f>"item_"&amp;Table1[[#This Row],[VEHIDCODE]]</f>
        <v>item_electric_China_China_Railways_SS6</v>
      </c>
      <c r="F415" t="str">
        <f>"str_"&amp;Table1[[#This Row],[VEHIDCODE]]</f>
        <v>str_electric_China_China_Railways_SS6</v>
      </c>
      <c r="H415" t="b">
        <v>1</v>
      </c>
      <c r="AJ415" s="2"/>
      <c r="AK415" s="2" t="b">
        <f>LEN(_xlfn.CONCAT(Table1[[#This Row],[TRACK_TYPE_STANDARD_GAUGE_RAILTYPE_OHLE]:[TRACK_TYPE_MTRO]]))&gt;0</f>
        <v>1</v>
      </c>
      <c r="AL415">
        <v>8</v>
      </c>
      <c r="AM415" t="s">
        <v>20</v>
      </c>
      <c r="AN415">
        <v>0</v>
      </c>
      <c r="AO415" t="s">
        <v>74</v>
      </c>
      <c r="AP415">
        <v>0</v>
      </c>
      <c r="AQ415">
        <v>1991</v>
      </c>
      <c r="AR415">
        <v>8</v>
      </c>
      <c r="AS415" s="2" t="s">
        <v>20</v>
      </c>
      <c r="AT415" t="b">
        <v>1</v>
      </c>
      <c r="AV415" s="2"/>
      <c r="AW415" t="s">
        <v>21</v>
      </c>
      <c r="AX415">
        <v>1</v>
      </c>
      <c r="AY415">
        <v>6432</v>
      </c>
      <c r="AZ415" t="s">
        <v>709</v>
      </c>
      <c r="BA415">
        <v>100</v>
      </c>
      <c r="BB415" s="2">
        <v>0.35</v>
      </c>
      <c r="BC415" t="s">
        <v>931</v>
      </c>
      <c r="BD415" t="s">
        <v>922</v>
      </c>
      <c r="BE415" t="s">
        <v>940</v>
      </c>
      <c r="BF415" s="7">
        <v>40</v>
      </c>
      <c r="BG4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15">
        <v>-3</v>
      </c>
      <c r="BI415" t="s">
        <v>734</v>
      </c>
      <c r="BJ415" s="11"/>
      <c r="BK415" s="11"/>
      <c r="BL415" s="11">
        <v>138</v>
      </c>
      <c r="BM415">
        <v>0</v>
      </c>
      <c r="BN415" t="s">
        <v>692</v>
      </c>
      <c r="BO415" t="s">
        <v>694</v>
      </c>
      <c r="BP415" t="s">
        <v>701</v>
      </c>
      <c r="BQ415" t="s">
        <v>705</v>
      </c>
      <c r="BR415" t="s">
        <v>706</v>
      </c>
      <c r="BS415" t="s">
        <v>707</v>
      </c>
      <c r="CR415"/>
      <c r="CS415"/>
      <c r="CT415"/>
    </row>
    <row r="416" spans="1:98" x14ac:dyDescent="0.4">
      <c r="A416" s="2" t="s">
        <v>442</v>
      </c>
      <c r="B416" t="str">
        <f>_xlfn.TEXTAFTER(Table1[[#This Row],[VEHIDCODE]],"_")</f>
        <v>China_China_Railways_SS3</v>
      </c>
      <c r="C416" t="s">
        <v>741</v>
      </c>
      <c r="D416" t="b">
        <f>OR(ISNUMBER(SEARCH("wagon_",Table1[[#This Row],[FILENAMES_EXPECTED]])),ISNUMBER(SEARCH("coach_",Table1[[#This Row],[FILENAMES_EXPECTED]])))</f>
        <v>0</v>
      </c>
      <c r="E416" t="str">
        <f>"item_"&amp;Table1[[#This Row],[VEHIDCODE]]</f>
        <v>item_electric_China_China_Railways_SS3</v>
      </c>
      <c r="F416" t="str">
        <f>"str_"&amp;Table1[[#This Row],[VEHIDCODE]]</f>
        <v>str_electric_China_China_Railways_SS3</v>
      </c>
      <c r="H416" t="b">
        <v>1</v>
      </c>
      <c r="AJ416" s="2"/>
      <c r="AK416" s="2" t="b">
        <f>LEN(_xlfn.CONCAT(Table1[[#This Row],[TRACK_TYPE_STANDARD_GAUGE_RAILTYPE_OHLE]:[TRACK_TYPE_MTRO]]))&gt;0</f>
        <v>1</v>
      </c>
      <c r="AL416">
        <v>8</v>
      </c>
      <c r="AM416" t="s">
        <v>20</v>
      </c>
      <c r="AN416">
        <v>0</v>
      </c>
      <c r="AO416" t="s">
        <v>74</v>
      </c>
      <c r="AP416">
        <v>0</v>
      </c>
      <c r="AQ416">
        <v>1978</v>
      </c>
      <c r="AR416">
        <v>8</v>
      </c>
      <c r="AS416" s="2" t="s">
        <v>24</v>
      </c>
      <c r="AT416" t="b">
        <v>1</v>
      </c>
      <c r="AV416" s="2"/>
      <c r="AW416">
        <v>45</v>
      </c>
      <c r="AX416">
        <v>1</v>
      </c>
      <c r="AY416">
        <v>5793</v>
      </c>
      <c r="AZ416" t="s">
        <v>709</v>
      </c>
      <c r="BA416">
        <v>100</v>
      </c>
      <c r="BB416" s="2">
        <v>0.34</v>
      </c>
      <c r="BC416" t="s">
        <v>931</v>
      </c>
      <c r="BD416" t="s">
        <v>922</v>
      </c>
      <c r="BE416" t="s">
        <v>940</v>
      </c>
      <c r="BF416" s="7">
        <v>40</v>
      </c>
      <c r="BG4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16">
        <v>0</v>
      </c>
      <c r="BI416" t="s">
        <v>734</v>
      </c>
      <c r="BJ416" s="11"/>
      <c r="BK416" s="11"/>
      <c r="BL416" s="11">
        <v>138</v>
      </c>
      <c r="BM416">
        <v>0</v>
      </c>
      <c r="BN416" t="s">
        <v>692</v>
      </c>
      <c r="BO416" t="s">
        <v>694</v>
      </c>
      <c r="BP416" t="s">
        <v>701</v>
      </c>
      <c r="BQ416" t="s">
        <v>705</v>
      </c>
      <c r="BR416" t="s">
        <v>706</v>
      </c>
      <c r="BS416" t="s">
        <v>707</v>
      </c>
      <c r="CR416"/>
      <c r="CS416"/>
      <c r="CT416"/>
    </row>
    <row r="417" spans="1:98" x14ac:dyDescent="0.4">
      <c r="A417" s="2" t="s">
        <v>443</v>
      </c>
      <c r="B417" t="str">
        <f>_xlfn.TEXTAFTER(Table1[[#This Row],[VEHIDCODE]],"_")</f>
        <v>China_China_Railways_HXD3</v>
      </c>
      <c r="C417" t="s">
        <v>741</v>
      </c>
      <c r="D417" t="b">
        <f>OR(ISNUMBER(SEARCH("wagon_",Table1[[#This Row],[FILENAMES_EXPECTED]])),ISNUMBER(SEARCH("coach_",Table1[[#This Row],[FILENAMES_EXPECTED]])))</f>
        <v>0</v>
      </c>
      <c r="E417" t="str">
        <f>"item_"&amp;Table1[[#This Row],[VEHIDCODE]]</f>
        <v>item_electric_China_China_Railways_HXD3</v>
      </c>
      <c r="F417" t="str">
        <f>"str_"&amp;Table1[[#This Row],[VEHIDCODE]]</f>
        <v>str_electric_China_China_Railways_HXD3</v>
      </c>
      <c r="H417" t="b">
        <v>1</v>
      </c>
      <c r="AJ417" s="2"/>
      <c r="AK417" s="2" t="b">
        <f>LEN(_xlfn.CONCAT(Table1[[#This Row],[TRACK_TYPE_STANDARD_GAUGE_RAILTYPE_OHLE]:[TRACK_TYPE_MTRO]]))&gt;0</f>
        <v>1</v>
      </c>
      <c r="AL417">
        <v>8</v>
      </c>
      <c r="AM417" t="s">
        <v>20</v>
      </c>
      <c r="AN417">
        <v>0</v>
      </c>
      <c r="AO417" t="s">
        <v>74</v>
      </c>
      <c r="AP417">
        <v>0</v>
      </c>
      <c r="AQ417">
        <v>2006</v>
      </c>
      <c r="AR417">
        <v>8</v>
      </c>
      <c r="AS417" s="2" t="s">
        <v>20</v>
      </c>
      <c r="AT417" t="b">
        <v>1</v>
      </c>
      <c r="AV417" s="2"/>
      <c r="AW417" t="s">
        <v>21</v>
      </c>
      <c r="AX417">
        <v>1</v>
      </c>
      <c r="AY417">
        <v>12800</v>
      </c>
      <c r="AZ417" t="s">
        <v>709</v>
      </c>
      <c r="BA417">
        <v>120</v>
      </c>
      <c r="BB417" s="2">
        <v>0.27</v>
      </c>
      <c r="BC417" t="s">
        <v>931</v>
      </c>
      <c r="BD417" t="s">
        <v>922</v>
      </c>
      <c r="BE417" t="s">
        <v>940</v>
      </c>
      <c r="BF417" s="7">
        <v>40</v>
      </c>
      <c r="BG4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17">
        <v>-3</v>
      </c>
      <c r="BI417" t="s">
        <v>734</v>
      </c>
      <c r="BJ417" s="11"/>
      <c r="BK417" s="11"/>
      <c r="BL417" s="11">
        <v>150</v>
      </c>
      <c r="BM417">
        <v>0</v>
      </c>
      <c r="BN417" t="s">
        <v>692</v>
      </c>
      <c r="BO417" t="s">
        <v>694</v>
      </c>
      <c r="BP417" t="s">
        <v>701</v>
      </c>
      <c r="BQ417" t="s">
        <v>705</v>
      </c>
      <c r="BR417" t="s">
        <v>706</v>
      </c>
      <c r="BS417" t="s">
        <v>707</v>
      </c>
      <c r="CR417"/>
      <c r="CS417"/>
      <c r="CT417"/>
    </row>
    <row r="418" spans="1:98" x14ac:dyDescent="0.4">
      <c r="A418" s="2" t="s">
        <v>444</v>
      </c>
      <c r="B418" t="str">
        <f>_xlfn.TEXTAFTER(Table1[[#This Row],[VEHIDCODE]],"_")</f>
        <v>China_China_Railways_HXD1D</v>
      </c>
      <c r="C418" t="s">
        <v>741</v>
      </c>
      <c r="D418" t="b">
        <f>OR(ISNUMBER(SEARCH("wagon_",Table1[[#This Row],[FILENAMES_EXPECTED]])),ISNUMBER(SEARCH("coach_",Table1[[#This Row],[FILENAMES_EXPECTED]])))</f>
        <v>0</v>
      </c>
      <c r="E418" t="str">
        <f>"item_"&amp;Table1[[#This Row],[VEHIDCODE]]</f>
        <v>item_electric_China_China_Railways_HXD1D</v>
      </c>
      <c r="F418" t="str">
        <f>"str_"&amp;Table1[[#This Row],[VEHIDCODE]]</f>
        <v>str_electric_China_China_Railways_HXD1D</v>
      </c>
      <c r="H418" t="b">
        <v>1</v>
      </c>
      <c r="AJ418" s="2"/>
      <c r="AK418" s="2" t="b">
        <f>LEN(_xlfn.CONCAT(Table1[[#This Row],[TRACK_TYPE_STANDARD_GAUGE_RAILTYPE_OHLE]:[TRACK_TYPE_MTRO]]))&gt;0</f>
        <v>1</v>
      </c>
      <c r="AL418">
        <v>8</v>
      </c>
      <c r="AM418" t="s">
        <v>20</v>
      </c>
      <c r="AN418">
        <v>0</v>
      </c>
      <c r="AO418" t="s">
        <v>74</v>
      </c>
      <c r="AP418">
        <v>0</v>
      </c>
      <c r="AQ418">
        <v>2012</v>
      </c>
      <c r="AR418">
        <v>8</v>
      </c>
      <c r="AS418" s="2" t="s">
        <v>20</v>
      </c>
      <c r="AT418" t="b">
        <v>1</v>
      </c>
      <c r="AV418" s="2"/>
      <c r="AW418" t="s">
        <v>21</v>
      </c>
      <c r="AX418">
        <v>1</v>
      </c>
      <c r="AY418">
        <v>9700</v>
      </c>
      <c r="AZ418" t="s">
        <v>709</v>
      </c>
      <c r="BA418">
        <v>160</v>
      </c>
      <c r="BB418" s="2">
        <v>0.33</v>
      </c>
      <c r="BC418" t="s">
        <v>931</v>
      </c>
      <c r="BD418" t="s">
        <v>922</v>
      </c>
      <c r="BE418" t="s">
        <v>940</v>
      </c>
      <c r="BF418" s="7">
        <v>40</v>
      </c>
      <c r="BG4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18">
        <v>0</v>
      </c>
      <c r="BI418" t="s">
        <v>734</v>
      </c>
      <c r="BJ418" s="11"/>
      <c r="BK418" s="11"/>
      <c r="BL418" s="11">
        <v>126</v>
      </c>
      <c r="BM418">
        <v>0</v>
      </c>
      <c r="BN418" t="s">
        <v>692</v>
      </c>
      <c r="BO418" t="s">
        <v>694</v>
      </c>
      <c r="BP418" t="s">
        <v>701</v>
      </c>
      <c r="BQ418" t="s">
        <v>705</v>
      </c>
      <c r="BR418" t="s">
        <v>706</v>
      </c>
      <c r="BS418" t="s">
        <v>707</v>
      </c>
      <c r="CR418"/>
      <c r="CS418"/>
      <c r="CT418"/>
    </row>
    <row r="419" spans="1:98" x14ac:dyDescent="0.4">
      <c r="A419" s="2" t="s">
        <v>445</v>
      </c>
      <c r="B419" t="str">
        <f>_xlfn.TEXTAFTER(Table1[[#This Row],[VEHIDCODE]],"_")</f>
        <v>China_China_Railways_6K</v>
      </c>
      <c r="C419" t="s">
        <v>741</v>
      </c>
      <c r="D419" t="b">
        <f>OR(ISNUMBER(SEARCH("wagon_",Table1[[#This Row],[FILENAMES_EXPECTED]])),ISNUMBER(SEARCH("coach_",Table1[[#This Row],[FILENAMES_EXPECTED]])))</f>
        <v>0</v>
      </c>
      <c r="E419" t="str">
        <f>"item_"&amp;Table1[[#This Row],[VEHIDCODE]]</f>
        <v>item_electric_China_China_Railways_6K</v>
      </c>
      <c r="F419" t="str">
        <f>"str_"&amp;Table1[[#This Row],[VEHIDCODE]]</f>
        <v>str_electric_China_China_Railways_6K</v>
      </c>
      <c r="H419" t="b">
        <v>1</v>
      </c>
      <c r="AJ419" s="2"/>
      <c r="AK419" s="2" t="b">
        <f>LEN(_xlfn.CONCAT(Table1[[#This Row],[TRACK_TYPE_STANDARD_GAUGE_RAILTYPE_OHLE]:[TRACK_TYPE_MTRO]]))&gt;0</f>
        <v>1</v>
      </c>
      <c r="AL419">
        <v>8</v>
      </c>
      <c r="AM419" t="s">
        <v>20</v>
      </c>
      <c r="AN419">
        <v>0</v>
      </c>
      <c r="AO419" t="s">
        <v>74</v>
      </c>
      <c r="AP419">
        <v>0</v>
      </c>
      <c r="AQ419">
        <v>1986</v>
      </c>
      <c r="AR419">
        <v>8</v>
      </c>
      <c r="AS419" s="2" t="s">
        <v>20</v>
      </c>
      <c r="AT419" t="b">
        <v>1</v>
      </c>
      <c r="AV419" s="2"/>
      <c r="AW419">
        <v>45</v>
      </c>
      <c r="AX419">
        <v>1</v>
      </c>
      <c r="AY419">
        <v>6450</v>
      </c>
      <c r="AZ419" t="s">
        <v>709</v>
      </c>
      <c r="BA419">
        <v>100</v>
      </c>
      <c r="BB419" s="2">
        <v>0.35</v>
      </c>
      <c r="BC419" t="s">
        <v>931</v>
      </c>
      <c r="BD419" t="s">
        <v>922</v>
      </c>
      <c r="BE419" t="s">
        <v>940</v>
      </c>
      <c r="BF419" s="7">
        <v>40</v>
      </c>
      <c r="BG4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19">
        <v>-3</v>
      </c>
      <c r="BI419" t="s">
        <v>734</v>
      </c>
      <c r="BJ419" s="11"/>
      <c r="BK419" s="11"/>
      <c r="BL419" s="11">
        <v>138</v>
      </c>
      <c r="BM419">
        <v>0</v>
      </c>
      <c r="BN419" t="s">
        <v>692</v>
      </c>
      <c r="BO419" t="s">
        <v>694</v>
      </c>
      <c r="BP419" t="s">
        <v>701</v>
      </c>
      <c r="BQ419" t="s">
        <v>705</v>
      </c>
      <c r="BR419" t="s">
        <v>706</v>
      </c>
      <c r="BS419" t="s">
        <v>707</v>
      </c>
      <c r="CR419"/>
      <c r="CS419"/>
      <c r="CT419"/>
    </row>
    <row r="420" spans="1:98" x14ac:dyDescent="0.4">
      <c r="A420" s="2" t="s">
        <v>446</v>
      </c>
      <c r="B420" t="str">
        <f>_xlfn.TEXTAFTER(Table1[[#This Row],[VEHIDCODE]],"_")</f>
        <v>USA_PRR_E44</v>
      </c>
      <c r="C420" t="s">
        <v>741</v>
      </c>
      <c r="D420" t="b">
        <f>OR(ISNUMBER(SEARCH("wagon_",Table1[[#This Row],[FILENAMES_EXPECTED]])),ISNUMBER(SEARCH("coach_",Table1[[#This Row],[FILENAMES_EXPECTED]])))</f>
        <v>0</v>
      </c>
      <c r="E420" t="str">
        <f>"item_"&amp;Table1[[#This Row],[VEHIDCODE]]</f>
        <v>item_electric_USA_PRR_E44</v>
      </c>
      <c r="F420" t="str">
        <f>"str_"&amp;Table1[[#This Row],[VEHIDCODE]]</f>
        <v>str_electric_USA_PRR_E44</v>
      </c>
      <c r="H420" t="b">
        <v>1</v>
      </c>
      <c r="AJ420" s="2"/>
      <c r="AK420" s="2" t="b">
        <f>LEN(_xlfn.CONCAT(Table1[[#This Row],[TRACK_TYPE_STANDARD_GAUGE_RAILTYPE_OHLE]:[TRACK_TYPE_MTRO]]))&gt;0</f>
        <v>1</v>
      </c>
      <c r="AL420">
        <v>8</v>
      </c>
      <c r="AM420" t="s">
        <v>20</v>
      </c>
      <c r="AN420">
        <v>0</v>
      </c>
      <c r="AO420" t="s">
        <v>74</v>
      </c>
      <c r="AP420">
        <v>0</v>
      </c>
      <c r="AQ420">
        <v>1960</v>
      </c>
      <c r="AR420">
        <v>8</v>
      </c>
      <c r="AS420" s="2" t="s">
        <v>20</v>
      </c>
      <c r="AT420" t="b">
        <v>1</v>
      </c>
      <c r="AV420" s="2"/>
      <c r="AW420">
        <v>45</v>
      </c>
      <c r="AX420">
        <v>1</v>
      </c>
      <c r="AY420">
        <v>4400</v>
      </c>
      <c r="AZ420" t="s">
        <v>709</v>
      </c>
      <c r="BA420">
        <v>113</v>
      </c>
      <c r="BB420" s="2">
        <v>0.24</v>
      </c>
      <c r="BC420" t="s">
        <v>928</v>
      </c>
      <c r="BD420" t="s">
        <v>922</v>
      </c>
      <c r="BE420" t="s">
        <v>940</v>
      </c>
      <c r="BF420" s="7">
        <v>40</v>
      </c>
      <c r="BG4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20">
        <v>0</v>
      </c>
      <c r="BI420" t="s">
        <v>734</v>
      </c>
      <c r="BJ420" s="11"/>
      <c r="BK420" s="11"/>
      <c r="BL420" s="11">
        <v>175</v>
      </c>
      <c r="BM420">
        <v>0</v>
      </c>
      <c r="BN420" t="s">
        <v>692</v>
      </c>
      <c r="BO420" t="s">
        <v>694</v>
      </c>
      <c r="BP420" t="s">
        <v>701</v>
      </c>
      <c r="BQ420" t="s">
        <v>705</v>
      </c>
      <c r="BR420" t="s">
        <v>706</v>
      </c>
      <c r="BS420" t="s">
        <v>707</v>
      </c>
      <c r="CR420"/>
      <c r="CS420"/>
      <c r="CT420"/>
    </row>
    <row r="421" spans="1:98" x14ac:dyDescent="0.4">
      <c r="A421" s="2" t="s">
        <v>447</v>
      </c>
      <c r="B421" t="str">
        <f>_xlfn.TEXTAFTER(Table1[[#This Row],[VEHIDCODE]],"_")</f>
        <v>Croatia_HZ_1141</v>
      </c>
      <c r="C421" t="s">
        <v>741</v>
      </c>
      <c r="D421" t="b">
        <f>OR(ISNUMBER(SEARCH("wagon_",Table1[[#This Row],[FILENAMES_EXPECTED]])),ISNUMBER(SEARCH("coach_",Table1[[#This Row],[FILENAMES_EXPECTED]])))</f>
        <v>0</v>
      </c>
      <c r="E421" t="str">
        <f>"item_"&amp;Table1[[#This Row],[VEHIDCODE]]</f>
        <v>item_electric_Croatia_HZ_1141</v>
      </c>
      <c r="F421" t="str">
        <f>"str_"&amp;Table1[[#This Row],[VEHIDCODE]]</f>
        <v>str_electric_Croatia_HZ_1141</v>
      </c>
      <c r="H421" t="b">
        <v>1</v>
      </c>
      <c r="AJ421" s="2"/>
      <c r="AK421" s="2" t="b">
        <f>LEN(_xlfn.CONCAT(Table1[[#This Row],[TRACK_TYPE_STANDARD_GAUGE_RAILTYPE_OHLE]:[TRACK_TYPE_MTRO]]))&gt;0</f>
        <v>1</v>
      </c>
      <c r="AL421">
        <v>8</v>
      </c>
      <c r="AM421" t="s">
        <v>20</v>
      </c>
      <c r="AN421">
        <v>0</v>
      </c>
      <c r="AO421" t="s">
        <v>74</v>
      </c>
      <c r="AP421">
        <v>0</v>
      </c>
      <c r="AQ421">
        <v>1967</v>
      </c>
      <c r="AR421">
        <v>8</v>
      </c>
      <c r="AS421" s="2" t="s">
        <v>20</v>
      </c>
      <c r="AT421" t="b">
        <v>1</v>
      </c>
      <c r="AV421" s="2"/>
      <c r="AW421">
        <v>45</v>
      </c>
      <c r="AX421">
        <v>1</v>
      </c>
      <c r="AY421">
        <v>4624</v>
      </c>
      <c r="AZ421" t="s">
        <v>709</v>
      </c>
      <c r="BA421">
        <v>120</v>
      </c>
      <c r="BB421" s="2">
        <v>0.25</v>
      </c>
      <c r="BC421" t="s">
        <v>929</v>
      </c>
      <c r="BD421" t="s">
        <v>922</v>
      </c>
      <c r="BE421" t="s">
        <v>940</v>
      </c>
      <c r="BF421" s="7">
        <v>40</v>
      </c>
      <c r="BG4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21">
        <v>-3</v>
      </c>
      <c r="BI421" t="s">
        <v>734</v>
      </c>
      <c r="BJ421" s="11"/>
      <c r="BK421" s="11"/>
      <c r="BL421" s="11">
        <v>78</v>
      </c>
      <c r="BM421">
        <v>0</v>
      </c>
      <c r="BN421" t="s">
        <v>692</v>
      </c>
      <c r="BO421" t="s">
        <v>694</v>
      </c>
      <c r="BP421" t="s">
        <v>701</v>
      </c>
      <c r="BQ421" t="s">
        <v>705</v>
      </c>
      <c r="BR421" t="s">
        <v>706</v>
      </c>
      <c r="BS421" t="s">
        <v>707</v>
      </c>
      <c r="CR421"/>
      <c r="CS421"/>
      <c r="CT421"/>
    </row>
    <row r="422" spans="1:98" x14ac:dyDescent="0.4">
      <c r="A422" s="2" t="s">
        <v>448</v>
      </c>
      <c r="B422" t="str">
        <f>_xlfn.TEXTAFTER(Table1[[#This Row],[VEHIDCODE]],"_")</f>
        <v>Hungary_MAV_Class_V43</v>
      </c>
      <c r="C422" t="s">
        <v>741</v>
      </c>
      <c r="D422" t="b">
        <f>OR(ISNUMBER(SEARCH("wagon_",Table1[[#This Row],[FILENAMES_EXPECTED]])),ISNUMBER(SEARCH("coach_",Table1[[#This Row],[FILENAMES_EXPECTED]])))</f>
        <v>0</v>
      </c>
      <c r="E422" t="str">
        <f>"item_"&amp;Table1[[#This Row],[VEHIDCODE]]</f>
        <v>item_electric_Hungary_MAV_Class_V43</v>
      </c>
      <c r="F422" t="str">
        <f>"str_"&amp;Table1[[#This Row],[VEHIDCODE]]</f>
        <v>str_electric_Hungary_MAV_Class_V43</v>
      </c>
      <c r="H422" t="b">
        <v>1</v>
      </c>
      <c r="AJ422" s="2"/>
      <c r="AK422" s="2" t="b">
        <f>LEN(_xlfn.CONCAT(Table1[[#This Row],[TRACK_TYPE_STANDARD_GAUGE_RAILTYPE_OHLE]:[TRACK_TYPE_MTRO]]))&gt;0</f>
        <v>1</v>
      </c>
      <c r="AL422">
        <v>8</v>
      </c>
      <c r="AM422" t="s">
        <v>20</v>
      </c>
      <c r="AN422">
        <v>0</v>
      </c>
      <c r="AO422" t="s">
        <v>74</v>
      </c>
      <c r="AP422">
        <v>0</v>
      </c>
      <c r="AQ422">
        <v>1963</v>
      </c>
      <c r="AR422">
        <v>8</v>
      </c>
      <c r="AS422" s="2" t="s">
        <v>20</v>
      </c>
      <c r="AT422" t="b">
        <v>1</v>
      </c>
      <c r="AV422" s="2"/>
      <c r="AW422">
        <v>45</v>
      </c>
      <c r="AX422">
        <v>0</v>
      </c>
      <c r="AY422">
        <v>2950</v>
      </c>
      <c r="AZ422" t="s">
        <v>709</v>
      </c>
      <c r="BA422">
        <v>120</v>
      </c>
      <c r="BB422" s="2">
        <v>0.34</v>
      </c>
      <c r="BC422" t="s">
        <v>929</v>
      </c>
      <c r="BD422" t="s">
        <v>922</v>
      </c>
      <c r="BE422" t="s">
        <v>940</v>
      </c>
      <c r="BF422" s="7">
        <v>40</v>
      </c>
      <c r="BG4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22">
        <v>0</v>
      </c>
      <c r="BI422" t="s">
        <v>734</v>
      </c>
      <c r="BJ422" s="11"/>
      <c r="BK422" s="11"/>
      <c r="BL422" s="11">
        <v>80</v>
      </c>
      <c r="BM422">
        <v>0</v>
      </c>
      <c r="BN422" t="s">
        <v>692</v>
      </c>
      <c r="BO422" t="s">
        <v>694</v>
      </c>
      <c r="BP422" t="s">
        <v>701</v>
      </c>
      <c r="BQ422" t="s">
        <v>705</v>
      </c>
      <c r="BR422" t="s">
        <v>706</v>
      </c>
      <c r="BS422" t="s">
        <v>707</v>
      </c>
      <c r="CR422"/>
      <c r="CS422"/>
      <c r="CT422"/>
    </row>
    <row r="423" spans="1:98" x14ac:dyDescent="0.4">
      <c r="A423" s="2" t="s">
        <v>449</v>
      </c>
      <c r="B423" t="str">
        <f>_xlfn.TEXTAFTER(Table1[[#This Row],[VEHIDCODE]],"_")</f>
        <v>Portugal_CP_2500</v>
      </c>
      <c r="C423" t="s">
        <v>741</v>
      </c>
      <c r="D423" t="b">
        <f>OR(ISNUMBER(SEARCH("wagon_",Table1[[#This Row],[FILENAMES_EXPECTED]])),ISNUMBER(SEARCH("coach_",Table1[[#This Row],[FILENAMES_EXPECTED]])))</f>
        <v>0</v>
      </c>
      <c r="E423" t="str">
        <f>"item_"&amp;Table1[[#This Row],[VEHIDCODE]]</f>
        <v>item_electric_Portugal_CP_2500</v>
      </c>
      <c r="F423" t="str">
        <f>"str_"&amp;Table1[[#This Row],[VEHIDCODE]]</f>
        <v>str_electric_Portugal_CP_2500</v>
      </c>
      <c r="H423" t="b">
        <v>1</v>
      </c>
      <c r="AJ423" s="2"/>
      <c r="AK423" s="2" t="b">
        <f>LEN(_xlfn.CONCAT(Table1[[#This Row],[TRACK_TYPE_STANDARD_GAUGE_RAILTYPE_OHLE]:[TRACK_TYPE_MTRO]]))&gt;0</f>
        <v>1</v>
      </c>
      <c r="AL423">
        <v>6</v>
      </c>
      <c r="AM423" t="s">
        <v>20</v>
      </c>
      <c r="AN423">
        <v>0</v>
      </c>
      <c r="AO423" t="s">
        <v>74</v>
      </c>
      <c r="AP423">
        <v>0</v>
      </c>
      <c r="AQ423">
        <v>1956</v>
      </c>
      <c r="AR423">
        <v>6</v>
      </c>
      <c r="AS423" s="2" t="s">
        <v>20</v>
      </c>
      <c r="AT423" t="b">
        <v>1</v>
      </c>
      <c r="AV423" s="2"/>
      <c r="AW423">
        <v>45</v>
      </c>
      <c r="AX423">
        <v>1</v>
      </c>
      <c r="AY423">
        <v>2790</v>
      </c>
      <c r="AZ423" t="s">
        <v>709</v>
      </c>
      <c r="BA423">
        <v>120</v>
      </c>
      <c r="BB423" s="2">
        <v>0.27</v>
      </c>
      <c r="BC423" t="s">
        <v>924</v>
      </c>
      <c r="BD423" t="s">
        <v>922</v>
      </c>
      <c r="BE423" t="s">
        <v>940</v>
      </c>
      <c r="BF423" s="7">
        <v>40</v>
      </c>
      <c r="BG4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23">
        <v>-3</v>
      </c>
      <c r="BI423" t="s">
        <v>734</v>
      </c>
      <c r="BJ423" s="11"/>
      <c r="BK423" s="11"/>
      <c r="BL423" s="11">
        <v>72</v>
      </c>
      <c r="BM423">
        <v>0</v>
      </c>
      <c r="BN423" t="s">
        <v>692</v>
      </c>
      <c r="BO423" t="s">
        <v>694</v>
      </c>
      <c r="BP423" t="s">
        <v>701</v>
      </c>
      <c r="BQ423" t="s">
        <v>705</v>
      </c>
      <c r="BR423" t="s">
        <v>706</v>
      </c>
      <c r="BS423" t="s">
        <v>707</v>
      </c>
      <c r="CR423"/>
      <c r="CS423"/>
      <c r="CT423"/>
    </row>
    <row r="424" spans="1:98" x14ac:dyDescent="0.4">
      <c r="A424" s="2" t="s">
        <v>450</v>
      </c>
      <c r="B424" t="str">
        <f>_xlfn.TEXTAFTER(Table1[[#This Row],[VEHIDCODE]],"_")</f>
        <v>Portugal_CP_2600</v>
      </c>
      <c r="C424" t="s">
        <v>741</v>
      </c>
      <c r="D424" t="b">
        <f>OR(ISNUMBER(SEARCH("wagon_",Table1[[#This Row],[FILENAMES_EXPECTED]])),ISNUMBER(SEARCH("coach_",Table1[[#This Row],[FILENAMES_EXPECTED]])))</f>
        <v>0</v>
      </c>
      <c r="E424" t="str">
        <f>"item_"&amp;Table1[[#This Row],[VEHIDCODE]]</f>
        <v>item_electric_Portugal_CP_2600</v>
      </c>
      <c r="F424" t="str">
        <f>"str_"&amp;Table1[[#This Row],[VEHIDCODE]]</f>
        <v>str_electric_Portugal_CP_2600</v>
      </c>
      <c r="H424" t="b">
        <v>1</v>
      </c>
      <c r="AJ424" s="2"/>
      <c r="AK424" s="2" t="b">
        <f>LEN(_xlfn.CONCAT(Table1[[#This Row],[TRACK_TYPE_STANDARD_GAUGE_RAILTYPE_OHLE]:[TRACK_TYPE_MTRO]]))&gt;0</f>
        <v>1</v>
      </c>
      <c r="AL424">
        <v>8</v>
      </c>
      <c r="AM424" t="s">
        <v>20</v>
      </c>
      <c r="AN424">
        <v>0</v>
      </c>
      <c r="AO424" t="s">
        <v>74</v>
      </c>
      <c r="AP424">
        <v>0</v>
      </c>
      <c r="AQ424">
        <v>1974</v>
      </c>
      <c r="AR424">
        <v>8</v>
      </c>
      <c r="AS424" s="2" t="s">
        <v>20</v>
      </c>
      <c r="AT424" t="b">
        <v>1</v>
      </c>
      <c r="AV424" s="2"/>
      <c r="AW424">
        <v>45</v>
      </c>
      <c r="AX424">
        <v>1</v>
      </c>
      <c r="AY424">
        <v>4020</v>
      </c>
      <c r="AZ424" t="s">
        <v>709</v>
      </c>
      <c r="BA424">
        <v>100</v>
      </c>
      <c r="BB424" s="2">
        <v>0.32</v>
      </c>
      <c r="BC424" t="s">
        <v>924</v>
      </c>
      <c r="BD424" t="s">
        <v>922</v>
      </c>
      <c r="BE424" t="s">
        <v>940</v>
      </c>
      <c r="BF424" s="7">
        <v>40</v>
      </c>
      <c r="BG4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24">
        <v>0</v>
      </c>
      <c r="BI424" t="s">
        <v>734</v>
      </c>
      <c r="BJ424" s="11"/>
      <c r="BK424" s="11"/>
      <c r="BL424" s="11">
        <v>78</v>
      </c>
      <c r="BM424">
        <v>0</v>
      </c>
      <c r="BN424" t="s">
        <v>692</v>
      </c>
      <c r="BO424" t="s">
        <v>694</v>
      </c>
      <c r="BP424" t="s">
        <v>701</v>
      </c>
      <c r="BQ424" t="s">
        <v>705</v>
      </c>
      <c r="BR424" t="s">
        <v>706</v>
      </c>
      <c r="BS424" t="s">
        <v>707</v>
      </c>
      <c r="CR424"/>
      <c r="CS424"/>
      <c r="CT424"/>
    </row>
    <row r="425" spans="1:98" x14ac:dyDescent="0.4">
      <c r="A425" s="2" t="s">
        <v>451</v>
      </c>
      <c r="B425" t="str">
        <f>_xlfn.TEXTAFTER(Table1[[#This Row],[VEHIDCODE]],"_")</f>
        <v>South_Africa_SAR_20E</v>
      </c>
      <c r="C425" t="s">
        <v>741</v>
      </c>
      <c r="D425" t="b">
        <f>OR(ISNUMBER(SEARCH("wagon_",Table1[[#This Row],[FILENAMES_EXPECTED]])),ISNUMBER(SEARCH("coach_",Table1[[#This Row],[FILENAMES_EXPECTED]])))</f>
        <v>0</v>
      </c>
      <c r="E425" t="str">
        <f>"item_"&amp;Table1[[#This Row],[VEHIDCODE]]</f>
        <v>item_electric_South_Africa_SAR_20E</v>
      </c>
      <c r="F425" t="str">
        <f>"str_"&amp;Table1[[#This Row],[VEHIDCODE]]</f>
        <v>str_electric_South_Africa_SAR_20E</v>
      </c>
      <c r="Q425" t="b">
        <v>1</v>
      </c>
      <c r="AJ425" s="2"/>
      <c r="AK425" s="2" t="b">
        <f>LEN(_xlfn.CONCAT(Table1[[#This Row],[TRACK_TYPE_STANDARD_GAUGE_RAILTYPE_OHLE]:[TRACK_TYPE_MTRO]]))&gt;0</f>
        <v>1</v>
      </c>
      <c r="AL425">
        <v>7</v>
      </c>
      <c r="AM425" t="s">
        <v>20</v>
      </c>
      <c r="AN425">
        <v>0</v>
      </c>
      <c r="AO425" t="s">
        <v>74</v>
      </c>
      <c r="AP425">
        <v>0</v>
      </c>
      <c r="AQ425">
        <v>2013</v>
      </c>
      <c r="AR425">
        <v>7</v>
      </c>
      <c r="AS425" s="2" t="s">
        <v>20</v>
      </c>
      <c r="AT425" t="b">
        <v>1</v>
      </c>
      <c r="AV425" s="2"/>
      <c r="AW425" t="s">
        <v>21</v>
      </c>
      <c r="AX425">
        <v>1</v>
      </c>
      <c r="AY425">
        <v>4155</v>
      </c>
      <c r="AZ425" t="s">
        <v>709</v>
      </c>
      <c r="BA425">
        <v>100</v>
      </c>
      <c r="BB425" s="2">
        <v>0.45</v>
      </c>
      <c r="BC425" t="s">
        <v>926</v>
      </c>
      <c r="BD425" t="s">
        <v>922</v>
      </c>
      <c r="BE425" t="s">
        <v>940</v>
      </c>
      <c r="BF425" s="7">
        <v>40</v>
      </c>
      <c r="BG4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25">
        <v>0</v>
      </c>
      <c r="BI425" t="s">
        <v>734</v>
      </c>
      <c r="BJ425" s="11"/>
      <c r="BK425" s="11"/>
      <c r="BL425" s="11">
        <v>86</v>
      </c>
      <c r="BM425">
        <v>0</v>
      </c>
      <c r="BN425" t="s">
        <v>692</v>
      </c>
      <c r="BO425" t="s">
        <v>694</v>
      </c>
      <c r="BP425" t="s">
        <v>701</v>
      </c>
      <c r="BQ425" t="s">
        <v>705</v>
      </c>
      <c r="BR425" t="s">
        <v>706</v>
      </c>
      <c r="BS425" t="s">
        <v>707</v>
      </c>
      <c r="CR425"/>
      <c r="CS425"/>
      <c r="CT425"/>
    </row>
    <row r="426" spans="1:98" x14ac:dyDescent="0.4">
      <c r="A426" s="2" t="s">
        <v>452</v>
      </c>
      <c r="B426" t="str">
        <f>_xlfn.TEXTAFTER(Table1[[#This Row],[VEHIDCODE]],"_")</f>
        <v>South_Korea_Korail_8200</v>
      </c>
      <c r="C426" t="s">
        <v>741</v>
      </c>
      <c r="D426" t="b">
        <f>OR(ISNUMBER(SEARCH("wagon_",Table1[[#This Row],[FILENAMES_EXPECTED]])),ISNUMBER(SEARCH("coach_",Table1[[#This Row],[FILENAMES_EXPECTED]])))</f>
        <v>0</v>
      </c>
      <c r="E426" t="str">
        <f>"item_"&amp;Table1[[#This Row],[VEHIDCODE]]</f>
        <v>item_electric_South_Korea_Korail_8200</v>
      </c>
      <c r="F426" t="str">
        <f>"str_"&amp;Table1[[#This Row],[VEHIDCODE]]</f>
        <v>str_electric_South_Korea_Korail_8200</v>
      </c>
      <c r="H426" t="b">
        <v>1</v>
      </c>
      <c r="AJ426" s="2"/>
      <c r="AK426" s="2" t="b">
        <f>LEN(_xlfn.CONCAT(Table1[[#This Row],[TRACK_TYPE_STANDARD_GAUGE_RAILTYPE_OHLE]:[TRACK_TYPE_MTRO]]))&gt;0</f>
        <v>1</v>
      </c>
      <c r="AL426">
        <v>8</v>
      </c>
      <c r="AM426" t="s">
        <v>20</v>
      </c>
      <c r="AN426">
        <v>0</v>
      </c>
      <c r="AO426" t="s">
        <v>74</v>
      </c>
      <c r="AP426">
        <v>0</v>
      </c>
      <c r="AQ426">
        <v>2003</v>
      </c>
      <c r="AR426">
        <v>8</v>
      </c>
      <c r="AS426" s="2" t="s">
        <v>20</v>
      </c>
      <c r="AT426" t="b">
        <v>1</v>
      </c>
      <c r="AV426" s="2"/>
      <c r="AW426" t="s">
        <v>21</v>
      </c>
      <c r="AX426">
        <v>1</v>
      </c>
      <c r="AY426">
        <v>7000</v>
      </c>
      <c r="AZ426" t="s">
        <v>709</v>
      </c>
      <c r="BA426">
        <v>150</v>
      </c>
      <c r="BB426" s="2">
        <v>0.38</v>
      </c>
      <c r="BC426" t="s">
        <v>931</v>
      </c>
      <c r="BD426" t="s">
        <v>922</v>
      </c>
      <c r="BE426" t="s">
        <v>940</v>
      </c>
      <c r="BF426" s="7">
        <v>40</v>
      </c>
      <c r="BG4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26">
        <v>-3</v>
      </c>
      <c r="BI426" t="s">
        <v>734</v>
      </c>
      <c r="BJ426" s="11"/>
      <c r="BK426" s="11"/>
      <c r="BL426" s="11">
        <v>80</v>
      </c>
      <c r="BM426">
        <v>0</v>
      </c>
      <c r="BN426" t="s">
        <v>692</v>
      </c>
      <c r="BO426" t="s">
        <v>694</v>
      </c>
      <c r="BP426" t="s">
        <v>701</v>
      </c>
      <c r="BQ426" t="s">
        <v>705</v>
      </c>
      <c r="BR426" t="s">
        <v>706</v>
      </c>
      <c r="BS426" t="s">
        <v>707</v>
      </c>
      <c r="CR426"/>
      <c r="CS426"/>
      <c r="CT426"/>
    </row>
    <row r="427" spans="1:98" x14ac:dyDescent="0.4">
      <c r="A427" s="2" t="s">
        <v>453</v>
      </c>
      <c r="B427" t="str">
        <f>_xlfn.TEXTAFTER(Table1[[#This Row],[VEHIDCODE]],"_")</f>
        <v>Ukraine_UZ_DS3</v>
      </c>
      <c r="C427" t="s">
        <v>741</v>
      </c>
      <c r="D427" t="b">
        <f>OR(ISNUMBER(SEARCH("wagon_",Table1[[#This Row],[FILENAMES_EXPECTED]])),ISNUMBER(SEARCH("coach_",Table1[[#This Row],[FILENAMES_EXPECTED]])))</f>
        <v>0</v>
      </c>
      <c r="E427" t="str">
        <f>"item_"&amp;Table1[[#This Row],[VEHIDCODE]]</f>
        <v>item_electric_Ukraine_UZ_DS3</v>
      </c>
      <c r="F427" t="str">
        <f>"str_"&amp;Table1[[#This Row],[VEHIDCODE]]</f>
        <v>str_electric_Ukraine_UZ_DS3</v>
      </c>
      <c r="H427" t="b">
        <v>1</v>
      </c>
      <c r="AJ427" s="2"/>
      <c r="AK427" s="2" t="b">
        <f>LEN(_xlfn.CONCAT(Table1[[#This Row],[TRACK_TYPE_STANDARD_GAUGE_RAILTYPE_OHLE]:[TRACK_TYPE_MTRO]]))&gt;0</f>
        <v>1</v>
      </c>
      <c r="AL427">
        <v>8</v>
      </c>
      <c r="AM427" t="s">
        <v>20</v>
      </c>
      <c r="AN427">
        <v>0</v>
      </c>
      <c r="AO427" t="s">
        <v>74</v>
      </c>
      <c r="AP427">
        <v>0</v>
      </c>
      <c r="AQ427">
        <v>2003</v>
      </c>
      <c r="AR427">
        <v>8</v>
      </c>
      <c r="AS427" s="2" t="s">
        <v>20</v>
      </c>
      <c r="AT427" t="b">
        <v>1</v>
      </c>
      <c r="AV427" s="2"/>
      <c r="AW427" t="s">
        <v>21</v>
      </c>
      <c r="AX427">
        <v>1</v>
      </c>
      <c r="AY427">
        <v>6450</v>
      </c>
      <c r="AZ427" t="s">
        <v>709</v>
      </c>
      <c r="BA427">
        <v>160</v>
      </c>
      <c r="BB427" s="2">
        <v>0.32</v>
      </c>
      <c r="BC427" t="s">
        <v>929</v>
      </c>
      <c r="BD427" t="s">
        <v>922</v>
      </c>
      <c r="BE427" t="s">
        <v>940</v>
      </c>
      <c r="BF427" s="7">
        <v>40</v>
      </c>
      <c r="BG4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27">
        <v>-3</v>
      </c>
      <c r="BI427" t="s">
        <v>734</v>
      </c>
      <c r="BJ427" s="11"/>
      <c r="BK427" s="11"/>
      <c r="BL427" s="11">
        <v>90</v>
      </c>
      <c r="BM427">
        <v>0</v>
      </c>
      <c r="BN427" t="s">
        <v>692</v>
      </c>
      <c r="BO427" t="s">
        <v>694</v>
      </c>
      <c r="BP427" t="s">
        <v>701</v>
      </c>
      <c r="BQ427" t="s">
        <v>705</v>
      </c>
      <c r="BR427" t="s">
        <v>706</v>
      </c>
      <c r="BS427" t="s">
        <v>707</v>
      </c>
      <c r="CR427"/>
      <c r="CS427"/>
      <c r="CT427"/>
    </row>
    <row r="428" spans="1:98" x14ac:dyDescent="0.4">
      <c r="A428" s="2" t="s">
        <v>454</v>
      </c>
      <c r="B428" t="str">
        <f>_xlfn.TEXTAFTER(Table1[[#This Row],[VEHIDCODE]],"_")</f>
        <v>Czech_Republic_CD_S499</v>
      </c>
      <c r="C428" t="s">
        <v>741</v>
      </c>
      <c r="D428" t="b">
        <f>OR(ISNUMBER(SEARCH("wagon_",Table1[[#This Row],[FILENAMES_EXPECTED]])),ISNUMBER(SEARCH("coach_",Table1[[#This Row],[FILENAMES_EXPECTED]])))</f>
        <v>0</v>
      </c>
      <c r="E428" t="str">
        <f>"item_"&amp;Table1[[#This Row],[VEHIDCODE]]</f>
        <v>item_electric_Czech_Republic_CD_S499</v>
      </c>
      <c r="F428" t="str">
        <f>"str_"&amp;Table1[[#This Row],[VEHIDCODE]]</f>
        <v>str_electric_Czech_Republic_CD_S499</v>
      </c>
      <c r="H428" t="b">
        <v>1</v>
      </c>
      <c r="AJ428" s="2"/>
      <c r="AK428" s="2" t="b">
        <f>LEN(_xlfn.CONCAT(Table1[[#This Row],[TRACK_TYPE_STANDARD_GAUGE_RAILTYPE_OHLE]:[TRACK_TYPE_MTRO]]))&gt;0</f>
        <v>1</v>
      </c>
      <c r="AL428">
        <v>8</v>
      </c>
      <c r="AM428" t="s">
        <v>20</v>
      </c>
      <c r="AN428">
        <v>0</v>
      </c>
      <c r="AO428" t="s">
        <v>74</v>
      </c>
      <c r="AP428">
        <v>0</v>
      </c>
      <c r="AQ428">
        <v>1966</v>
      </c>
      <c r="AR428">
        <v>8</v>
      </c>
      <c r="AS428" s="2" t="s">
        <v>20</v>
      </c>
      <c r="AT428" t="b">
        <v>1</v>
      </c>
      <c r="AV428" s="2"/>
      <c r="AW428">
        <v>45</v>
      </c>
      <c r="AX428">
        <v>1</v>
      </c>
      <c r="AY428">
        <v>4130</v>
      </c>
      <c r="AZ428" t="s">
        <v>709</v>
      </c>
      <c r="BA428">
        <v>120</v>
      </c>
      <c r="BB428" s="2">
        <v>0.28000000000000003</v>
      </c>
      <c r="BC428" t="s">
        <v>929</v>
      </c>
      <c r="BD428" t="s">
        <v>922</v>
      </c>
      <c r="BE428" t="s">
        <v>940</v>
      </c>
      <c r="BF428" s="7">
        <v>40</v>
      </c>
      <c r="BG4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28">
        <v>0</v>
      </c>
      <c r="BI428" t="s">
        <v>734</v>
      </c>
      <c r="BJ428" s="11"/>
      <c r="BK428" s="11"/>
      <c r="BL428" s="11">
        <v>85</v>
      </c>
      <c r="BM428">
        <v>0</v>
      </c>
      <c r="BN428" t="s">
        <v>692</v>
      </c>
      <c r="BO428" t="s">
        <v>694</v>
      </c>
      <c r="BP428" t="s">
        <v>701</v>
      </c>
      <c r="BQ428" t="s">
        <v>705</v>
      </c>
      <c r="BR428" t="s">
        <v>706</v>
      </c>
      <c r="BS428" t="s">
        <v>707</v>
      </c>
      <c r="CR428"/>
      <c r="CS428"/>
      <c r="CT428"/>
    </row>
    <row r="429" spans="1:98" x14ac:dyDescent="0.4">
      <c r="A429" s="2" t="s">
        <v>455</v>
      </c>
      <c r="B429" t="str">
        <f>_xlfn.TEXTAFTER(Table1[[#This Row],[VEHIDCODE]],"_")</f>
        <v>Italy_FS_E491</v>
      </c>
      <c r="C429" t="s">
        <v>741</v>
      </c>
      <c r="D429" t="b">
        <f>OR(ISNUMBER(SEARCH("wagon_",Table1[[#This Row],[FILENAMES_EXPECTED]])),ISNUMBER(SEARCH("coach_",Table1[[#This Row],[FILENAMES_EXPECTED]])))</f>
        <v>0</v>
      </c>
      <c r="E429" t="str">
        <f>"item_"&amp;Table1[[#This Row],[VEHIDCODE]]</f>
        <v>item_electric_Italy_FS_E491</v>
      </c>
      <c r="F429" t="str">
        <f>"str_"&amp;Table1[[#This Row],[VEHIDCODE]]</f>
        <v>str_electric_Italy_FS_E491</v>
      </c>
      <c r="H429" t="b">
        <v>1</v>
      </c>
      <c r="AJ429" s="2"/>
      <c r="AK429" s="2" t="b">
        <f>LEN(_xlfn.CONCAT(Table1[[#This Row],[TRACK_TYPE_STANDARD_GAUGE_RAILTYPE_OHLE]:[TRACK_TYPE_MTRO]]))&gt;0</f>
        <v>1</v>
      </c>
      <c r="AL429">
        <v>8</v>
      </c>
      <c r="AM429" t="s">
        <v>20</v>
      </c>
      <c r="AN429">
        <v>0</v>
      </c>
      <c r="AO429" t="s">
        <v>74</v>
      </c>
      <c r="AP429">
        <v>0</v>
      </c>
      <c r="AQ429">
        <v>1988</v>
      </c>
      <c r="AR429">
        <v>8</v>
      </c>
      <c r="AS429" s="2" t="s">
        <v>20</v>
      </c>
      <c r="AT429" t="b">
        <v>1</v>
      </c>
      <c r="AV429" s="2"/>
      <c r="AW429">
        <v>45</v>
      </c>
      <c r="AX429">
        <v>1</v>
      </c>
      <c r="AY429">
        <v>4600</v>
      </c>
      <c r="AZ429" t="s">
        <v>709</v>
      </c>
      <c r="BA429">
        <v>140</v>
      </c>
      <c r="BB429" s="2">
        <v>0.3</v>
      </c>
      <c r="BC429" t="s">
        <v>924</v>
      </c>
      <c r="BD429" t="s">
        <v>922</v>
      </c>
      <c r="BE429" t="s">
        <v>940</v>
      </c>
      <c r="BF429" s="7">
        <v>40</v>
      </c>
      <c r="BG4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29">
        <v>0</v>
      </c>
      <c r="BI429" t="s">
        <v>734</v>
      </c>
      <c r="BJ429" s="11"/>
      <c r="BK429" s="11"/>
      <c r="BL429" s="11">
        <v>77</v>
      </c>
      <c r="BM429">
        <v>0</v>
      </c>
      <c r="BN429" t="s">
        <v>692</v>
      </c>
      <c r="BO429" t="s">
        <v>694</v>
      </c>
      <c r="BP429" t="s">
        <v>701</v>
      </c>
      <c r="BQ429" t="s">
        <v>705</v>
      </c>
      <c r="BR429" t="s">
        <v>706</v>
      </c>
      <c r="BS429" t="s">
        <v>707</v>
      </c>
      <c r="CR429"/>
      <c r="CS429"/>
      <c r="CT429"/>
    </row>
    <row r="430" spans="1:98" x14ac:dyDescent="0.4">
      <c r="A430" s="2" t="s">
        <v>456</v>
      </c>
      <c r="B430" t="str">
        <f>_xlfn.TEXTAFTER(Table1[[#This Row],[VEHIDCODE]],"_")</f>
        <v>Macedonia_Macedonian_Railways_462</v>
      </c>
      <c r="C430" t="s">
        <v>741</v>
      </c>
      <c r="D430" t="b">
        <f>OR(ISNUMBER(SEARCH("wagon_",Table1[[#This Row],[FILENAMES_EXPECTED]])),ISNUMBER(SEARCH("coach_",Table1[[#This Row],[FILENAMES_EXPECTED]])))</f>
        <v>0</v>
      </c>
      <c r="E430" t="str">
        <f>"item_"&amp;Table1[[#This Row],[VEHIDCODE]]</f>
        <v>item_electric_Macedonia_Macedonian_Railways_462</v>
      </c>
      <c r="F430" t="str">
        <f>"str_"&amp;Table1[[#This Row],[VEHIDCODE]]</f>
        <v>str_electric_Macedonia_Macedonian_Railways_462</v>
      </c>
      <c r="H430" t="b">
        <v>1</v>
      </c>
      <c r="AJ430" s="2"/>
      <c r="AK430" s="2" t="b">
        <f>LEN(_xlfn.CONCAT(Table1[[#This Row],[TRACK_TYPE_STANDARD_GAUGE_RAILTYPE_OHLE]:[TRACK_TYPE_MTRO]]))&gt;0</f>
        <v>1</v>
      </c>
      <c r="AL430">
        <v>8</v>
      </c>
      <c r="AM430" t="s">
        <v>20</v>
      </c>
      <c r="AN430">
        <v>0</v>
      </c>
      <c r="AO430" t="s">
        <v>74</v>
      </c>
      <c r="AP430">
        <v>0</v>
      </c>
      <c r="AQ430">
        <v>1978</v>
      </c>
      <c r="AR430">
        <v>8</v>
      </c>
      <c r="AS430" s="2" t="s">
        <v>20</v>
      </c>
      <c r="AT430" t="b">
        <v>1</v>
      </c>
      <c r="AV430" s="2"/>
      <c r="AW430">
        <v>45</v>
      </c>
      <c r="AX430">
        <v>1</v>
      </c>
      <c r="AY430">
        <v>6834</v>
      </c>
      <c r="AZ430" t="s">
        <v>709</v>
      </c>
      <c r="BA430">
        <v>120</v>
      </c>
      <c r="BB430" s="2">
        <v>0.33</v>
      </c>
      <c r="BC430" t="s">
        <v>924</v>
      </c>
      <c r="BD430" t="s">
        <v>922</v>
      </c>
      <c r="BE430" t="s">
        <v>940</v>
      </c>
      <c r="BF430" s="7">
        <v>40</v>
      </c>
      <c r="BG4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30">
        <v>0</v>
      </c>
      <c r="BI430" t="s">
        <v>734</v>
      </c>
      <c r="BJ430" s="11"/>
      <c r="BK430" s="11"/>
      <c r="BL430" s="11">
        <v>120</v>
      </c>
      <c r="BM430">
        <v>0</v>
      </c>
      <c r="BN430" t="s">
        <v>692</v>
      </c>
      <c r="BO430" t="s">
        <v>694</v>
      </c>
      <c r="BP430" t="s">
        <v>701</v>
      </c>
      <c r="BQ430" t="s">
        <v>705</v>
      </c>
      <c r="BR430" t="s">
        <v>706</v>
      </c>
      <c r="BS430" t="s">
        <v>707</v>
      </c>
      <c r="CR430"/>
      <c r="CS430"/>
      <c r="CT430"/>
    </row>
    <row r="431" spans="1:98" x14ac:dyDescent="0.4">
      <c r="A431" s="2" t="s">
        <v>457</v>
      </c>
      <c r="B431" t="str">
        <f>_xlfn.TEXTAFTER(Table1[[#This Row],[VEHIDCODE]],"_")</f>
        <v>Morocco_ONCFM_E_500</v>
      </c>
      <c r="C431" t="s">
        <v>741</v>
      </c>
      <c r="D431" t="b">
        <f>OR(ISNUMBER(SEARCH("wagon_",Table1[[#This Row],[FILENAMES_EXPECTED]])),ISNUMBER(SEARCH("coach_",Table1[[#This Row],[FILENAMES_EXPECTED]])))</f>
        <v>0</v>
      </c>
      <c r="E431" t="str">
        <f>"item_"&amp;Table1[[#This Row],[VEHIDCODE]]</f>
        <v>item_electric_Morocco_ONCFM_E_500</v>
      </c>
      <c r="F431" t="str">
        <f>"str_"&amp;Table1[[#This Row],[VEHIDCODE]]</f>
        <v>str_electric_Morocco_ONCFM_E_500</v>
      </c>
      <c r="H431" t="b">
        <v>1</v>
      </c>
      <c r="AJ431" s="2"/>
      <c r="AK431" s="2" t="b">
        <f>LEN(_xlfn.CONCAT(Table1[[#This Row],[TRACK_TYPE_STANDARD_GAUGE_RAILTYPE_OHLE]:[TRACK_TYPE_MTRO]]))&gt;0</f>
        <v>1</v>
      </c>
      <c r="AL431">
        <v>5</v>
      </c>
      <c r="AM431" t="s">
        <v>20</v>
      </c>
      <c r="AN431">
        <v>0</v>
      </c>
      <c r="AO431" t="s">
        <v>74</v>
      </c>
      <c r="AP431">
        <v>0</v>
      </c>
      <c r="AQ431">
        <v>1926</v>
      </c>
      <c r="AR431">
        <v>5</v>
      </c>
      <c r="AS431" s="2" t="s">
        <v>24</v>
      </c>
      <c r="AT431" t="b">
        <v>1</v>
      </c>
      <c r="AV431" s="2"/>
      <c r="AW431">
        <v>45</v>
      </c>
      <c r="AX431">
        <v>1</v>
      </c>
      <c r="AY431">
        <v>986</v>
      </c>
      <c r="AZ431" t="s">
        <v>709</v>
      </c>
      <c r="BA431">
        <v>90</v>
      </c>
      <c r="BB431" s="2">
        <v>0.21</v>
      </c>
      <c r="BC431" t="s">
        <v>926</v>
      </c>
      <c r="BD431" t="s">
        <v>922</v>
      </c>
      <c r="BE431" t="s">
        <v>940</v>
      </c>
      <c r="BF431" s="7">
        <v>40</v>
      </c>
      <c r="BG4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31">
        <v>0</v>
      </c>
      <c r="BI431" t="s">
        <v>734</v>
      </c>
      <c r="BJ431" s="11"/>
      <c r="BK431" s="11"/>
      <c r="BL431" s="11">
        <v>72</v>
      </c>
      <c r="BM431">
        <v>0</v>
      </c>
      <c r="BN431" t="s">
        <v>692</v>
      </c>
      <c r="BO431" t="s">
        <v>694</v>
      </c>
      <c r="BP431" t="s">
        <v>701</v>
      </c>
      <c r="BQ431" t="s">
        <v>705</v>
      </c>
      <c r="BR431" t="s">
        <v>706</v>
      </c>
      <c r="BS431" t="s">
        <v>707</v>
      </c>
      <c r="CR431"/>
      <c r="CS431"/>
      <c r="CT431"/>
    </row>
    <row r="432" spans="1:98" x14ac:dyDescent="0.4">
      <c r="A432" s="2" t="s">
        <v>458</v>
      </c>
      <c r="B432" t="str">
        <f>_xlfn.TEXTAFTER(Table1[[#This Row],[VEHIDCODE]],"_")</f>
        <v>UK_BR_85</v>
      </c>
      <c r="C432" t="s">
        <v>741</v>
      </c>
      <c r="D432" t="b">
        <f>OR(ISNUMBER(SEARCH("wagon_",Table1[[#This Row],[FILENAMES_EXPECTED]])),ISNUMBER(SEARCH("coach_",Table1[[#This Row],[FILENAMES_EXPECTED]])))</f>
        <v>0</v>
      </c>
      <c r="E432" t="str">
        <f>"item_"&amp;Table1[[#This Row],[VEHIDCODE]]</f>
        <v>item_electric_UK_BR_85</v>
      </c>
      <c r="F432" t="str">
        <f>"str_"&amp;Table1[[#This Row],[VEHIDCODE]]</f>
        <v>str_electric_UK_BR_85</v>
      </c>
      <c r="H432" t="b">
        <v>1</v>
      </c>
      <c r="AJ432" s="2"/>
      <c r="AK432" s="2" t="b">
        <f>LEN(_xlfn.CONCAT(Table1[[#This Row],[TRACK_TYPE_STANDARD_GAUGE_RAILTYPE_OHLE]:[TRACK_TYPE_MTRO]]))&gt;0</f>
        <v>1</v>
      </c>
      <c r="AL432">
        <v>7</v>
      </c>
      <c r="AM432" t="s">
        <v>20</v>
      </c>
      <c r="AN432">
        <v>0</v>
      </c>
      <c r="AO432" t="s">
        <v>74</v>
      </c>
      <c r="AP432">
        <v>0</v>
      </c>
      <c r="AQ432">
        <v>1961</v>
      </c>
      <c r="AR432">
        <v>7</v>
      </c>
      <c r="AS432" s="2" t="s">
        <v>24</v>
      </c>
      <c r="AT432" t="b">
        <v>1</v>
      </c>
      <c r="AV432" s="2"/>
      <c r="AW432">
        <v>45</v>
      </c>
      <c r="AX432">
        <v>1</v>
      </c>
      <c r="AY432">
        <v>3200</v>
      </c>
      <c r="AZ432" t="s">
        <v>709</v>
      </c>
      <c r="BA432">
        <v>160</v>
      </c>
      <c r="BB432" s="2">
        <v>0.27</v>
      </c>
      <c r="BC432" t="s">
        <v>927</v>
      </c>
      <c r="BD432" t="s">
        <v>922</v>
      </c>
      <c r="BE432" t="s">
        <v>940</v>
      </c>
      <c r="BF432" s="7">
        <v>40</v>
      </c>
      <c r="BG4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32">
        <v>0</v>
      </c>
      <c r="BI432" t="s">
        <v>734</v>
      </c>
      <c r="BJ432" s="11"/>
      <c r="BK432" s="11"/>
      <c r="BL432" s="11">
        <v>81</v>
      </c>
      <c r="BM432">
        <v>0</v>
      </c>
      <c r="BN432" t="s">
        <v>692</v>
      </c>
      <c r="BO432" t="s">
        <v>694</v>
      </c>
      <c r="BP432" t="s">
        <v>701</v>
      </c>
      <c r="BQ432" t="s">
        <v>705</v>
      </c>
      <c r="BR432" t="s">
        <v>706</v>
      </c>
      <c r="BS432" t="s">
        <v>707</v>
      </c>
      <c r="CR432"/>
      <c r="CS432"/>
      <c r="CT432"/>
    </row>
    <row r="433" spans="1:98" x14ac:dyDescent="0.4">
      <c r="A433" s="2" t="s">
        <v>459</v>
      </c>
      <c r="B433" t="str">
        <f>_xlfn.TEXTAFTER(Table1[[#This Row],[VEHIDCODE]],"_")</f>
        <v>Mexico_FNM_GE_E60C_2</v>
      </c>
      <c r="C433" t="s">
        <v>741</v>
      </c>
      <c r="D433" t="b">
        <f>OR(ISNUMBER(SEARCH("wagon_",Table1[[#This Row],[FILENAMES_EXPECTED]])),ISNUMBER(SEARCH("coach_",Table1[[#This Row],[FILENAMES_EXPECTED]])))</f>
        <v>0</v>
      </c>
      <c r="E433" t="str">
        <f>"item_"&amp;Table1[[#This Row],[VEHIDCODE]]</f>
        <v>item_electric_Mexico_FNM_GE_E60C_2</v>
      </c>
      <c r="F433" t="str">
        <f>"str_"&amp;Table1[[#This Row],[VEHIDCODE]]</f>
        <v>str_electric_Mexico_FNM_GE_E60C_2</v>
      </c>
      <c r="H433" t="b">
        <v>1</v>
      </c>
      <c r="AJ433" s="2"/>
      <c r="AK433" s="2" t="b">
        <f>LEN(_xlfn.CONCAT(Table1[[#This Row],[TRACK_TYPE_STANDARD_GAUGE_RAILTYPE_OHLE]:[TRACK_TYPE_MTRO]]))&gt;0</f>
        <v>1</v>
      </c>
      <c r="AL433">
        <v>8</v>
      </c>
      <c r="AM433" t="s">
        <v>20</v>
      </c>
      <c r="AN433">
        <v>0</v>
      </c>
      <c r="AO433" t="s">
        <v>74</v>
      </c>
      <c r="AP433">
        <v>0</v>
      </c>
      <c r="AQ433">
        <v>1982</v>
      </c>
      <c r="AR433">
        <v>8</v>
      </c>
      <c r="AS433" s="2" t="s">
        <v>20</v>
      </c>
      <c r="AT433" t="b">
        <v>1</v>
      </c>
      <c r="AV433" s="2"/>
      <c r="AW433">
        <v>45</v>
      </c>
      <c r="AX433">
        <v>1</v>
      </c>
      <c r="AY433">
        <v>6000</v>
      </c>
      <c r="AZ433" t="s">
        <v>709</v>
      </c>
      <c r="BA433">
        <v>145</v>
      </c>
      <c r="BB433" s="2">
        <v>0.19</v>
      </c>
      <c r="BC433" t="s">
        <v>928</v>
      </c>
      <c r="BD433" t="s">
        <v>922</v>
      </c>
      <c r="BE433" t="s">
        <v>940</v>
      </c>
      <c r="BF433" s="7">
        <v>40</v>
      </c>
      <c r="BG4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33">
        <v>0</v>
      </c>
      <c r="BI433" t="s">
        <v>734</v>
      </c>
      <c r="BJ433" s="11"/>
      <c r="BK433" s="11"/>
      <c r="BL433" s="11">
        <v>176</v>
      </c>
      <c r="BM433">
        <v>0</v>
      </c>
      <c r="BN433" t="s">
        <v>692</v>
      </c>
      <c r="BO433" t="s">
        <v>694</v>
      </c>
      <c r="BP433" t="s">
        <v>701</v>
      </c>
      <c r="BQ433" t="s">
        <v>705</v>
      </c>
      <c r="BR433" t="s">
        <v>706</v>
      </c>
      <c r="BS433" t="s">
        <v>707</v>
      </c>
      <c r="CR433"/>
      <c r="CS433"/>
      <c r="CT433"/>
    </row>
    <row r="434" spans="1:98" x14ac:dyDescent="0.4">
      <c r="A434" s="2" t="s">
        <v>460</v>
      </c>
      <c r="B434" t="str">
        <f>_xlfn.TEXTAFTER(Table1[[#This Row],[VEHIDCODE]],"_")</f>
        <v>Morocco_ONCF_E_1400_Prima_II</v>
      </c>
      <c r="C434" t="s">
        <v>741</v>
      </c>
      <c r="D434" t="b">
        <f>OR(ISNUMBER(SEARCH("wagon_",Table1[[#This Row],[FILENAMES_EXPECTED]])),ISNUMBER(SEARCH("coach_",Table1[[#This Row],[FILENAMES_EXPECTED]])))</f>
        <v>0</v>
      </c>
      <c r="E434" t="str">
        <f>"item_"&amp;Table1[[#This Row],[VEHIDCODE]]</f>
        <v>item_electric_Morocco_ONCF_E_1400_Prima_II</v>
      </c>
      <c r="F434" t="str">
        <f>"str_"&amp;Table1[[#This Row],[VEHIDCODE]]</f>
        <v>str_electric_Morocco_ONCF_E_1400_Prima_II</v>
      </c>
      <c r="H434" t="b">
        <v>1</v>
      </c>
      <c r="AJ434" s="2"/>
      <c r="AK434" s="2" t="b">
        <f>LEN(_xlfn.CONCAT(Table1[[#This Row],[TRACK_TYPE_STANDARD_GAUGE_RAILTYPE_OHLE]:[TRACK_TYPE_MTRO]]))&gt;0</f>
        <v>1</v>
      </c>
      <c r="AL434">
        <v>8</v>
      </c>
      <c r="AM434" t="s">
        <v>20</v>
      </c>
      <c r="AN434">
        <v>0</v>
      </c>
      <c r="AO434" t="s">
        <v>74</v>
      </c>
      <c r="AP434">
        <v>0</v>
      </c>
      <c r="AQ434">
        <v>2010</v>
      </c>
      <c r="AR434">
        <v>8</v>
      </c>
      <c r="AS434" s="2" t="s">
        <v>20</v>
      </c>
      <c r="AT434" t="b">
        <v>1</v>
      </c>
      <c r="AV434" s="2"/>
      <c r="AW434" t="s">
        <v>21</v>
      </c>
      <c r="AX434">
        <v>1</v>
      </c>
      <c r="AY434">
        <v>7700</v>
      </c>
      <c r="AZ434" t="s">
        <v>709</v>
      </c>
      <c r="BA434">
        <v>200</v>
      </c>
      <c r="BB434" s="2">
        <v>0.35</v>
      </c>
      <c r="BC434" t="s">
        <v>926</v>
      </c>
      <c r="BD434" t="s">
        <v>922</v>
      </c>
      <c r="BE434" t="s">
        <v>940</v>
      </c>
      <c r="BF434" s="7">
        <v>40</v>
      </c>
      <c r="BG4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34">
        <v>0</v>
      </c>
      <c r="BI434" t="s">
        <v>734</v>
      </c>
      <c r="BJ434" s="11"/>
      <c r="BK434" s="11"/>
      <c r="BL434" s="11">
        <v>91</v>
      </c>
      <c r="BM434">
        <v>0</v>
      </c>
      <c r="BN434" t="s">
        <v>692</v>
      </c>
      <c r="BO434" t="s">
        <v>694</v>
      </c>
      <c r="BP434" t="s">
        <v>701</v>
      </c>
      <c r="BQ434" t="s">
        <v>705</v>
      </c>
      <c r="BR434" t="s">
        <v>706</v>
      </c>
      <c r="BS434" t="s">
        <v>707</v>
      </c>
      <c r="CR434"/>
      <c r="CS434"/>
      <c r="CT434"/>
    </row>
    <row r="435" spans="1:98" x14ac:dyDescent="0.4">
      <c r="A435" s="2" t="s">
        <v>461</v>
      </c>
      <c r="B435" t="str">
        <f>_xlfn.TEXTAFTER(Table1[[#This Row],[VEHIDCODE]],"_")</f>
        <v>New_Zealand_NZR_EA</v>
      </c>
      <c r="C435" t="s">
        <v>741</v>
      </c>
      <c r="D435" t="b">
        <f>OR(ISNUMBER(SEARCH("wagon_",Table1[[#This Row],[FILENAMES_EXPECTED]])),ISNUMBER(SEARCH("coach_",Table1[[#This Row],[FILENAMES_EXPECTED]])))</f>
        <v>0</v>
      </c>
      <c r="E435" t="str">
        <f>"item_"&amp;Table1[[#This Row],[VEHIDCODE]]</f>
        <v>item_electric_New_Zealand_NZR_EA</v>
      </c>
      <c r="F435" t="str">
        <f>"str_"&amp;Table1[[#This Row],[VEHIDCODE]]</f>
        <v>str_electric_New_Zealand_NZR_EA</v>
      </c>
      <c r="H435" t="b">
        <v>1</v>
      </c>
      <c r="AJ435" s="2"/>
      <c r="AK435" s="2" t="b">
        <f>LEN(_xlfn.CONCAT(Table1[[#This Row],[TRACK_TYPE_STANDARD_GAUGE_RAILTYPE_OHLE]:[TRACK_TYPE_MTRO]]))&gt;0</f>
        <v>1</v>
      </c>
      <c r="AL435">
        <v>6</v>
      </c>
      <c r="AM435" t="s">
        <v>20</v>
      </c>
      <c r="AN435">
        <v>0</v>
      </c>
      <c r="AO435" t="s">
        <v>74</v>
      </c>
      <c r="AP435">
        <v>0</v>
      </c>
      <c r="AQ435">
        <v>1968</v>
      </c>
      <c r="AR435">
        <v>6</v>
      </c>
      <c r="AS435" s="2" t="s">
        <v>20</v>
      </c>
      <c r="AT435" t="b">
        <v>1</v>
      </c>
      <c r="AV435" s="2"/>
      <c r="AW435">
        <v>45</v>
      </c>
      <c r="AX435">
        <v>1</v>
      </c>
      <c r="AY435">
        <v>1290</v>
      </c>
      <c r="AZ435" t="s">
        <v>709</v>
      </c>
      <c r="BA435">
        <v>72</v>
      </c>
      <c r="BB435" s="2">
        <v>0.32</v>
      </c>
      <c r="BC435" t="s">
        <v>925</v>
      </c>
      <c r="BD435" t="s">
        <v>922</v>
      </c>
      <c r="BE435" t="s">
        <v>940</v>
      </c>
      <c r="BF435" s="7">
        <v>40</v>
      </c>
      <c r="BG4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35">
        <v>0</v>
      </c>
      <c r="BI435" t="s">
        <v>734</v>
      </c>
      <c r="BJ435" s="11"/>
      <c r="BK435" s="11"/>
      <c r="BL435" s="11">
        <v>55</v>
      </c>
      <c r="BM435">
        <v>0</v>
      </c>
      <c r="BN435" t="s">
        <v>692</v>
      </c>
      <c r="BO435" t="s">
        <v>694</v>
      </c>
      <c r="BP435" t="s">
        <v>701</v>
      </c>
      <c r="BQ435" t="s">
        <v>705</v>
      </c>
      <c r="BR435" t="s">
        <v>706</v>
      </c>
      <c r="BS435" t="s">
        <v>707</v>
      </c>
      <c r="CR435"/>
      <c r="CS435"/>
      <c r="CT435"/>
    </row>
    <row r="436" spans="1:98" x14ac:dyDescent="0.4">
      <c r="A436" s="2" t="s">
        <v>462</v>
      </c>
      <c r="B436" t="str">
        <f>_xlfn.TEXTAFTER(Table1[[#This Row],[VEHIDCODE]],"_")</f>
        <v>Canada_BC_Rail_GF6C</v>
      </c>
      <c r="C436" t="s">
        <v>741</v>
      </c>
      <c r="D436" t="b">
        <f>OR(ISNUMBER(SEARCH("wagon_",Table1[[#This Row],[FILENAMES_EXPECTED]])),ISNUMBER(SEARCH("coach_",Table1[[#This Row],[FILENAMES_EXPECTED]])))</f>
        <v>0</v>
      </c>
      <c r="E436" t="str">
        <f>"item_"&amp;Table1[[#This Row],[VEHIDCODE]]</f>
        <v>item_electric_Canada_BC_Rail_GF6C</v>
      </c>
      <c r="F436" t="str">
        <f>"str_"&amp;Table1[[#This Row],[VEHIDCODE]]</f>
        <v>str_electric_Canada_BC_Rail_GF6C</v>
      </c>
      <c r="H436" t="b">
        <v>1</v>
      </c>
      <c r="AJ436" s="2"/>
      <c r="AK436" s="2" t="b">
        <f>LEN(_xlfn.CONCAT(Table1[[#This Row],[TRACK_TYPE_STANDARD_GAUGE_RAILTYPE_OHLE]:[TRACK_TYPE_MTRO]]))&gt;0</f>
        <v>1</v>
      </c>
      <c r="AL436">
        <v>8</v>
      </c>
      <c r="AM436" t="s">
        <v>20</v>
      </c>
      <c r="AN436">
        <v>0</v>
      </c>
      <c r="AO436" t="s">
        <v>74</v>
      </c>
      <c r="AP436">
        <v>0</v>
      </c>
      <c r="AQ436">
        <v>1983</v>
      </c>
      <c r="AR436">
        <v>8</v>
      </c>
      <c r="AS436" s="2" t="s">
        <v>20</v>
      </c>
      <c r="AT436" t="b">
        <v>1</v>
      </c>
      <c r="AV436" s="2"/>
      <c r="AW436">
        <v>45</v>
      </c>
      <c r="AX436">
        <v>1</v>
      </c>
      <c r="AY436">
        <v>6000</v>
      </c>
      <c r="AZ436" t="s">
        <v>709</v>
      </c>
      <c r="BA436">
        <v>110</v>
      </c>
      <c r="BB436" s="2">
        <v>0.22</v>
      </c>
      <c r="BC436" t="s">
        <v>928</v>
      </c>
      <c r="BD436" t="s">
        <v>922</v>
      </c>
      <c r="BE436" t="s">
        <v>940</v>
      </c>
      <c r="BF436" s="7">
        <v>40</v>
      </c>
      <c r="BG4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36">
        <v>0</v>
      </c>
      <c r="BI436" t="s">
        <v>734</v>
      </c>
      <c r="BJ436" s="11"/>
      <c r="BK436" s="11"/>
      <c r="BL436" s="11">
        <v>180</v>
      </c>
      <c r="BM436">
        <v>0</v>
      </c>
      <c r="BN436" t="s">
        <v>692</v>
      </c>
      <c r="BO436" t="s">
        <v>694</v>
      </c>
      <c r="BP436" t="s">
        <v>701</v>
      </c>
      <c r="BQ436" t="s">
        <v>705</v>
      </c>
      <c r="BR436" t="s">
        <v>706</v>
      </c>
      <c r="BS436" t="s">
        <v>707</v>
      </c>
      <c r="CR436"/>
      <c r="CS436"/>
      <c r="CT436"/>
    </row>
    <row r="437" spans="1:98" x14ac:dyDescent="0.4">
      <c r="A437" s="2" t="s">
        <v>463</v>
      </c>
      <c r="B437" t="str">
        <f>_xlfn.TEXTAFTER(Table1[[#This Row],[VEHIDCODE]],"_")</f>
        <v>France_SNCF_BB_22200</v>
      </c>
      <c r="C437" t="s">
        <v>741</v>
      </c>
      <c r="D437" t="b">
        <f>OR(ISNUMBER(SEARCH("wagon_",Table1[[#This Row],[FILENAMES_EXPECTED]])),ISNUMBER(SEARCH("coach_",Table1[[#This Row],[FILENAMES_EXPECTED]])))</f>
        <v>0</v>
      </c>
      <c r="E437" t="str">
        <f>"item_"&amp;Table1[[#This Row],[VEHIDCODE]]</f>
        <v>item_electric_France_SNCF_BB_22200</v>
      </c>
      <c r="F437" t="str">
        <f>"str_"&amp;Table1[[#This Row],[VEHIDCODE]]</f>
        <v>str_electric_France_SNCF_BB_22200</v>
      </c>
      <c r="G437" t="b">
        <v>1</v>
      </c>
      <c r="AJ437" s="2"/>
      <c r="AK437" s="2" t="b">
        <f>LEN(_xlfn.CONCAT(Table1[[#This Row],[TRACK_TYPE_STANDARD_GAUGE_RAILTYPE_OHLE]:[TRACK_TYPE_MTRO]]))&gt;0</f>
        <v>1</v>
      </c>
      <c r="AL437">
        <v>8</v>
      </c>
      <c r="AM437" t="s">
        <v>20</v>
      </c>
      <c r="AN437">
        <v>0</v>
      </c>
      <c r="AO437" t="s">
        <v>74</v>
      </c>
      <c r="AP437">
        <v>0</v>
      </c>
      <c r="AQ437">
        <v>1976</v>
      </c>
      <c r="AR437">
        <v>8</v>
      </c>
      <c r="AS437" s="2" t="s">
        <v>20</v>
      </c>
      <c r="AT437" t="b">
        <v>1</v>
      </c>
      <c r="AV437" s="2"/>
      <c r="AW437">
        <v>45</v>
      </c>
      <c r="AX437">
        <v>1</v>
      </c>
      <c r="AY437">
        <v>5842</v>
      </c>
      <c r="AZ437" t="s">
        <v>709</v>
      </c>
      <c r="BA437">
        <v>160</v>
      </c>
      <c r="BB437" s="2">
        <v>0.33</v>
      </c>
      <c r="BC437" t="s">
        <v>923</v>
      </c>
      <c r="BD437" t="s">
        <v>922</v>
      </c>
      <c r="BE437" t="s">
        <v>940</v>
      </c>
      <c r="BF437" s="7">
        <v>40</v>
      </c>
      <c r="BG4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37">
        <v>-3</v>
      </c>
      <c r="BI437" t="s">
        <v>734</v>
      </c>
      <c r="BJ437" s="11"/>
      <c r="BK437" s="11"/>
      <c r="BL437" s="11">
        <v>90</v>
      </c>
      <c r="BM437">
        <v>0</v>
      </c>
      <c r="BN437" t="s">
        <v>692</v>
      </c>
      <c r="BO437" t="s">
        <v>694</v>
      </c>
      <c r="BP437" t="s">
        <v>701</v>
      </c>
      <c r="BQ437" t="s">
        <v>705</v>
      </c>
      <c r="BR437" t="s">
        <v>706</v>
      </c>
      <c r="BS437" t="s">
        <v>707</v>
      </c>
      <c r="CR437"/>
      <c r="CS437"/>
      <c r="CT437"/>
    </row>
    <row r="438" spans="1:98" x14ac:dyDescent="0.4">
      <c r="A438" s="2" t="s">
        <v>464</v>
      </c>
      <c r="B438" t="str">
        <f>_xlfn.TEXTAFTER(Table1[[#This Row],[VEHIDCODE]],"_")</f>
        <v>France_SNCF_BB_26000</v>
      </c>
      <c r="C438" t="s">
        <v>741</v>
      </c>
      <c r="D438" t="b">
        <f>OR(ISNUMBER(SEARCH("wagon_",Table1[[#This Row],[FILENAMES_EXPECTED]])),ISNUMBER(SEARCH("coach_",Table1[[#This Row],[FILENAMES_EXPECTED]])))</f>
        <v>0</v>
      </c>
      <c r="E438" t="str">
        <f>"item_"&amp;Table1[[#This Row],[VEHIDCODE]]</f>
        <v>item_electric_France_SNCF_BB_26000</v>
      </c>
      <c r="F438" t="str">
        <f>"str_"&amp;Table1[[#This Row],[VEHIDCODE]]</f>
        <v>str_electric_France_SNCF_BB_26000</v>
      </c>
      <c r="G438" t="b">
        <v>1</v>
      </c>
      <c r="AJ438" s="2"/>
      <c r="AK438" s="2" t="b">
        <f>LEN(_xlfn.CONCAT(Table1[[#This Row],[TRACK_TYPE_STANDARD_GAUGE_RAILTYPE_OHLE]:[TRACK_TYPE_MTRO]]))&gt;0</f>
        <v>1</v>
      </c>
      <c r="AL438">
        <v>8</v>
      </c>
      <c r="AM438" t="s">
        <v>20</v>
      </c>
      <c r="AN438">
        <v>0</v>
      </c>
      <c r="AO438" t="s">
        <v>74</v>
      </c>
      <c r="AP438">
        <v>0</v>
      </c>
      <c r="AQ438">
        <v>1989</v>
      </c>
      <c r="AR438">
        <v>8</v>
      </c>
      <c r="AS438" s="2" t="s">
        <v>20</v>
      </c>
      <c r="AT438" t="b">
        <v>1</v>
      </c>
      <c r="AV438" s="2"/>
      <c r="AW438" t="s">
        <v>21</v>
      </c>
      <c r="AX438">
        <v>1</v>
      </c>
      <c r="AY438">
        <v>7504</v>
      </c>
      <c r="AZ438" t="s">
        <v>709</v>
      </c>
      <c r="BA438">
        <v>200</v>
      </c>
      <c r="BB438" s="2">
        <v>0.36</v>
      </c>
      <c r="BC438" t="s">
        <v>923</v>
      </c>
      <c r="BD438" t="s">
        <v>922</v>
      </c>
      <c r="BE438" t="s">
        <v>940</v>
      </c>
      <c r="BF438" s="7">
        <v>40</v>
      </c>
      <c r="BG4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38">
        <v>-3</v>
      </c>
      <c r="BI438" t="s">
        <v>734</v>
      </c>
      <c r="BJ438" s="11"/>
      <c r="BK438" s="11"/>
      <c r="BL438" s="11">
        <v>90</v>
      </c>
      <c r="BM438">
        <v>0</v>
      </c>
      <c r="BN438" t="s">
        <v>692</v>
      </c>
      <c r="BO438" t="s">
        <v>694</v>
      </c>
      <c r="BP438" t="s">
        <v>701</v>
      </c>
      <c r="BQ438" t="s">
        <v>705</v>
      </c>
      <c r="BR438" t="s">
        <v>706</v>
      </c>
      <c r="BS438" t="s">
        <v>707</v>
      </c>
      <c r="CR438"/>
      <c r="CS438"/>
      <c r="CT438"/>
    </row>
    <row r="439" spans="1:98" x14ac:dyDescent="0.4">
      <c r="A439" s="2" t="s">
        <v>465</v>
      </c>
      <c r="B439" t="str">
        <f>_xlfn.TEXTAFTER(Table1[[#This Row],[VEHIDCODE]],"_")</f>
        <v>France_SNCF_BB_25500</v>
      </c>
      <c r="C439" t="s">
        <v>741</v>
      </c>
      <c r="D439" t="b">
        <f>OR(ISNUMBER(SEARCH("wagon_",Table1[[#This Row],[FILENAMES_EXPECTED]])),ISNUMBER(SEARCH("coach_",Table1[[#This Row],[FILENAMES_EXPECTED]])))</f>
        <v>0</v>
      </c>
      <c r="E439" t="str">
        <f>"item_"&amp;Table1[[#This Row],[VEHIDCODE]]</f>
        <v>item_electric_France_SNCF_BB_25500</v>
      </c>
      <c r="F439" t="str">
        <f>"str_"&amp;Table1[[#This Row],[VEHIDCODE]]</f>
        <v>str_electric_France_SNCF_BB_25500</v>
      </c>
      <c r="G439" t="b">
        <v>1</v>
      </c>
      <c r="AJ439" s="2"/>
      <c r="AK439" s="2" t="b">
        <f>LEN(_xlfn.CONCAT(Table1[[#This Row],[TRACK_TYPE_STANDARD_GAUGE_RAILTYPE_OHLE]:[TRACK_TYPE_MTRO]]))&gt;0</f>
        <v>1</v>
      </c>
      <c r="AL439">
        <v>8</v>
      </c>
      <c r="AM439" t="s">
        <v>20</v>
      </c>
      <c r="AN439">
        <v>0</v>
      </c>
      <c r="AO439" t="s">
        <v>74</v>
      </c>
      <c r="AP439">
        <v>0</v>
      </c>
      <c r="AQ439">
        <v>1964</v>
      </c>
      <c r="AR439">
        <v>8</v>
      </c>
      <c r="AS439" s="2" t="s">
        <v>20</v>
      </c>
      <c r="AT439" t="b">
        <v>1</v>
      </c>
      <c r="AV439" s="2"/>
      <c r="AW439">
        <v>45</v>
      </c>
      <c r="AX439">
        <v>1</v>
      </c>
      <c r="AY439">
        <v>3940</v>
      </c>
      <c r="AZ439" t="s">
        <v>709</v>
      </c>
      <c r="BA439">
        <v>100</v>
      </c>
      <c r="BB439" s="2">
        <v>0.42</v>
      </c>
      <c r="BC439" t="s">
        <v>923</v>
      </c>
      <c r="BD439" t="s">
        <v>922</v>
      </c>
      <c r="BE439" t="s">
        <v>940</v>
      </c>
      <c r="BF439" s="7">
        <v>40</v>
      </c>
      <c r="BG4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39">
        <v>0</v>
      </c>
      <c r="BI439" t="s">
        <v>734</v>
      </c>
      <c r="BJ439" s="11"/>
      <c r="BK439" s="11"/>
      <c r="BL439" s="11">
        <v>79</v>
      </c>
      <c r="BM439">
        <v>0</v>
      </c>
      <c r="BN439" t="s">
        <v>692</v>
      </c>
      <c r="BO439" t="s">
        <v>694</v>
      </c>
      <c r="BP439" t="s">
        <v>701</v>
      </c>
      <c r="BQ439" t="s">
        <v>705</v>
      </c>
      <c r="BR439" t="s">
        <v>706</v>
      </c>
      <c r="BS439" t="s">
        <v>707</v>
      </c>
      <c r="CR439"/>
      <c r="CS439"/>
      <c r="CT439"/>
    </row>
    <row r="440" spans="1:98" x14ac:dyDescent="0.4">
      <c r="A440" s="2" t="s">
        <v>466</v>
      </c>
      <c r="B440" t="str">
        <f>_xlfn.TEXTAFTER(Table1[[#This Row],[VEHIDCODE]],"_")</f>
        <v>Germany_DB_182_ES64U_Taurus</v>
      </c>
      <c r="C440" t="s">
        <v>741</v>
      </c>
      <c r="D440" t="b">
        <f>OR(ISNUMBER(SEARCH("wagon_",Table1[[#This Row],[FILENAMES_EXPECTED]])),ISNUMBER(SEARCH("coach_",Table1[[#This Row],[FILENAMES_EXPECTED]])))</f>
        <v>0</v>
      </c>
      <c r="E440" t="str">
        <f>"item_"&amp;Table1[[#This Row],[VEHIDCODE]]</f>
        <v>item_electric_Germany_DB_182_ES64U_Taurus</v>
      </c>
      <c r="F440" t="str">
        <f>"str_"&amp;Table1[[#This Row],[VEHIDCODE]]</f>
        <v>str_electric_Germany_DB_182_ES64U_Taurus</v>
      </c>
      <c r="G440" t="b">
        <v>1</v>
      </c>
      <c r="AJ440" s="2"/>
      <c r="AK440" s="2" t="b">
        <f>LEN(_xlfn.CONCAT(Table1[[#This Row],[TRACK_TYPE_STANDARD_GAUGE_RAILTYPE_OHLE]:[TRACK_TYPE_MTRO]]))&gt;0</f>
        <v>1</v>
      </c>
      <c r="AL440">
        <v>8</v>
      </c>
      <c r="AM440" t="s">
        <v>20</v>
      </c>
      <c r="AN440">
        <v>0</v>
      </c>
      <c r="AO440" t="s">
        <v>74</v>
      </c>
      <c r="AP440">
        <v>0</v>
      </c>
      <c r="AQ440">
        <v>2000</v>
      </c>
      <c r="AR440">
        <v>8</v>
      </c>
      <c r="AS440" s="2" t="s">
        <v>20</v>
      </c>
      <c r="AT440" t="b">
        <v>1</v>
      </c>
      <c r="AV440" s="2"/>
      <c r="AW440" t="s">
        <v>21</v>
      </c>
      <c r="AX440">
        <v>1</v>
      </c>
      <c r="AY440">
        <v>11266</v>
      </c>
      <c r="AZ440" t="s">
        <v>709</v>
      </c>
      <c r="BA440">
        <v>230</v>
      </c>
      <c r="BB440" s="2">
        <v>0.35</v>
      </c>
      <c r="BC440" t="s">
        <v>923</v>
      </c>
      <c r="BD440" t="s">
        <v>922</v>
      </c>
      <c r="BE440" t="s">
        <v>940</v>
      </c>
      <c r="BF440" s="7">
        <v>40</v>
      </c>
      <c r="BG4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40">
        <v>-3</v>
      </c>
      <c r="BI440" t="s">
        <v>734</v>
      </c>
      <c r="BJ440" s="11"/>
      <c r="BK440" s="11"/>
      <c r="BL440" s="11">
        <v>86</v>
      </c>
      <c r="BM440">
        <v>0</v>
      </c>
      <c r="BN440" t="s">
        <v>692</v>
      </c>
      <c r="BO440" t="s">
        <v>694</v>
      </c>
      <c r="BP440" t="s">
        <v>701</v>
      </c>
      <c r="BQ440" t="s">
        <v>705</v>
      </c>
      <c r="BR440" t="s">
        <v>706</v>
      </c>
      <c r="BS440" t="s">
        <v>707</v>
      </c>
      <c r="CR440"/>
      <c r="CS440"/>
      <c r="CT440"/>
    </row>
    <row r="441" spans="1:98" x14ac:dyDescent="0.4">
      <c r="A441" s="2" t="s">
        <v>467</v>
      </c>
      <c r="B441" t="str">
        <f>_xlfn.TEXTAFTER(Table1[[#This Row],[VEHIDCODE]],"_")</f>
        <v>Japan_JR_EH500</v>
      </c>
      <c r="C441" t="s">
        <v>741</v>
      </c>
      <c r="D441" t="b">
        <f>OR(ISNUMBER(SEARCH("wagon_",Table1[[#This Row],[FILENAMES_EXPECTED]])),ISNUMBER(SEARCH("coach_",Table1[[#This Row],[FILENAMES_EXPECTED]])))</f>
        <v>0</v>
      </c>
      <c r="E441" t="str">
        <f>"item_"&amp;Table1[[#This Row],[VEHIDCODE]]</f>
        <v>item_electric_Japan_JR_EH500</v>
      </c>
      <c r="F441" t="str">
        <f>"str_"&amp;Table1[[#This Row],[VEHIDCODE]]</f>
        <v>str_electric_Japan_JR_EH500</v>
      </c>
      <c r="P441" t="b">
        <v>1</v>
      </c>
      <c r="AJ441" s="2"/>
      <c r="AK441" s="2" t="b">
        <f>LEN(_xlfn.CONCAT(Table1[[#This Row],[TRACK_TYPE_STANDARD_GAUGE_RAILTYPE_OHLE]:[TRACK_TYPE_MTRO]]))&gt;0</f>
        <v>1</v>
      </c>
      <c r="AL441">
        <v>16</v>
      </c>
      <c r="AM441" t="s">
        <v>20</v>
      </c>
      <c r="AN441">
        <v>0</v>
      </c>
      <c r="AO441" t="s">
        <v>74</v>
      </c>
      <c r="AP441">
        <v>0</v>
      </c>
      <c r="AQ441">
        <v>1997</v>
      </c>
      <c r="AR441">
        <v>8</v>
      </c>
      <c r="AS441" s="2" t="s">
        <v>20</v>
      </c>
      <c r="AT441" t="b">
        <v>1</v>
      </c>
      <c r="AV441" s="2"/>
      <c r="AW441" t="s">
        <v>21</v>
      </c>
      <c r="AX441">
        <v>1</v>
      </c>
      <c r="AY441">
        <v>5350</v>
      </c>
      <c r="AZ441" t="s">
        <v>709</v>
      </c>
      <c r="BA441">
        <v>110</v>
      </c>
      <c r="BB441" s="2">
        <v>0.18</v>
      </c>
      <c r="BC441" t="s">
        <v>931</v>
      </c>
      <c r="BD441" t="s">
        <v>922</v>
      </c>
      <c r="BE441" t="s">
        <v>940</v>
      </c>
      <c r="BF441" s="7">
        <v>40</v>
      </c>
      <c r="BG4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41">
        <v>0</v>
      </c>
      <c r="BI441" t="s">
        <v>734</v>
      </c>
      <c r="BJ441" s="11"/>
      <c r="BK441" s="11"/>
      <c r="BL441" s="11">
        <v>134</v>
      </c>
      <c r="BM441">
        <v>0</v>
      </c>
      <c r="BN441" t="s">
        <v>692</v>
      </c>
      <c r="BO441" t="s">
        <v>694</v>
      </c>
      <c r="BP441" t="s">
        <v>701</v>
      </c>
      <c r="BQ441" t="s">
        <v>705</v>
      </c>
      <c r="BR441" t="s">
        <v>706</v>
      </c>
      <c r="BS441" t="s">
        <v>707</v>
      </c>
      <c r="CR441"/>
      <c r="CS441"/>
      <c r="CT441"/>
    </row>
    <row r="442" spans="1:98" x14ac:dyDescent="0.4">
      <c r="A442" s="2" t="s">
        <v>468</v>
      </c>
      <c r="B442" t="str">
        <f>_xlfn.TEXTAFTER(Table1[[#This Row],[VEHIDCODE]],"_")</f>
        <v>USA_Amtrak_EMD_AEM_7</v>
      </c>
      <c r="C442" t="s">
        <v>741</v>
      </c>
      <c r="D442" t="b">
        <f>OR(ISNUMBER(SEARCH("wagon_",Table1[[#This Row],[FILENAMES_EXPECTED]])),ISNUMBER(SEARCH("coach_",Table1[[#This Row],[FILENAMES_EXPECTED]])))</f>
        <v>0</v>
      </c>
      <c r="E442" t="str">
        <f>"item_"&amp;Table1[[#This Row],[VEHIDCODE]]</f>
        <v>item_electric_USA_Amtrak_EMD_AEM_7</v>
      </c>
      <c r="F442" t="str">
        <f>"str_"&amp;Table1[[#This Row],[VEHIDCODE]]</f>
        <v>str_electric_USA_Amtrak_EMD_AEM_7</v>
      </c>
      <c r="G442" t="b">
        <v>1</v>
      </c>
      <c r="AJ442" s="2"/>
      <c r="AK442" s="2" t="b">
        <f>LEN(_xlfn.CONCAT(Table1[[#This Row],[TRACK_TYPE_STANDARD_GAUGE_RAILTYPE_OHLE]:[TRACK_TYPE_MTRO]]))&gt;0</f>
        <v>1</v>
      </c>
      <c r="AL442">
        <v>7</v>
      </c>
      <c r="AM442" t="s">
        <v>20</v>
      </c>
      <c r="AN442">
        <v>0</v>
      </c>
      <c r="AO442" t="s">
        <v>74</v>
      </c>
      <c r="AP442">
        <v>0</v>
      </c>
      <c r="AQ442">
        <v>1978</v>
      </c>
      <c r="AR442">
        <v>7</v>
      </c>
      <c r="AS442" s="2" t="s">
        <v>20</v>
      </c>
      <c r="AT442" t="b">
        <v>1</v>
      </c>
      <c r="AV442" s="2"/>
      <c r="AW442">
        <v>45</v>
      </c>
      <c r="AX442">
        <v>1</v>
      </c>
      <c r="AY442">
        <v>5790</v>
      </c>
      <c r="AZ442" t="s">
        <v>709</v>
      </c>
      <c r="BA442">
        <v>201</v>
      </c>
      <c r="BB442" s="2">
        <v>0.26</v>
      </c>
      <c r="BC442" t="s">
        <v>928</v>
      </c>
      <c r="BD442" t="s">
        <v>922</v>
      </c>
      <c r="BE442" t="s">
        <v>940</v>
      </c>
      <c r="BF442" s="7">
        <v>40</v>
      </c>
      <c r="BG4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42">
        <v>0</v>
      </c>
      <c r="BI442" t="s">
        <v>734</v>
      </c>
      <c r="BJ442" s="11"/>
      <c r="BK442" s="11"/>
      <c r="BL442" s="11">
        <v>92</v>
      </c>
      <c r="BM442">
        <v>0</v>
      </c>
      <c r="BN442" t="s">
        <v>692</v>
      </c>
      <c r="BO442" t="s">
        <v>694</v>
      </c>
      <c r="BP442" t="s">
        <v>701</v>
      </c>
      <c r="BQ442" t="s">
        <v>705</v>
      </c>
      <c r="BR442" t="s">
        <v>706</v>
      </c>
      <c r="BS442" t="s">
        <v>707</v>
      </c>
      <c r="CR442"/>
      <c r="CS442"/>
      <c r="CT442"/>
    </row>
    <row r="443" spans="1:98" x14ac:dyDescent="0.4">
      <c r="A443" s="2" t="s">
        <v>469</v>
      </c>
      <c r="B443" t="str">
        <f>_xlfn.TEXTAFTER(Table1[[#This Row],[VEHIDCODE]],"_")</f>
        <v>USA_Amtrak_HHP_8</v>
      </c>
      <c r="C443" t="s">
        <v>741</v>
      </c>
      <c r="D443" t="b">
        <f>OR(ISNUMBER(SEARCH("wagon_",Table1[[#This Row],[FILENAMES_EXPECTED]])),ISNUMBER(SEARCH("coach_",Table1[[#This Row],[FILENAMES_EXPECTED]])))</f>
        <v>0</v>
      </c>
      <c r="E443" t="str">
        <f>"item_"&amp;Table1[[#This Row],[VEHIDCODE]]</f>
        <v>item_electric_USA_Amtrak_HHP_8</v>
      </c>
      <c r="F443" t="str">
        <f>"str_"&amp;Table1[[#This Row],[VEHIDCODE]]</f>
        <v>str_electric_USA_Amtrak_HHP_8</v>
      </c>
      <c r="G443" t="b">
        <v>1</v>
      </c>
      <c r="AJ443" s="2"/>
      <c r="AK443" s="2" t="b">
        <f>LEN(_xlfn.CONCAT(Table1[[#This Row],[TRACK_TYPE_STANDARD_GAUGE_RAILTYPE_OHLE]:[TRACK_TYPE_MTRO]]))&gt;0</f>
        <v>1</v>
      </c>
      <c r="AL443">
        <v>8</v>
      </c>
      <c r="AM443" t="s">
        <v>20</v>
      </c>
      <c r="AN443">
        <v>0</v>
      </c>
      <c r="AO443" t="s">
        <v>74</v>
      </c>
      <c r="AP443">
        <v>0</v>
      </c>
      <c r="AQ443">
        <v>1999</v>
      </c>
      <c r="AR443">
        <v>8</v>
      </c>
      <c r="AS443" s="2" t="s">
        <v>24</v>
      </c>
      <c r="AT443" t="b">
        <v>1</v>
      </c>
      <c r="AV443" s="2"/>
      <c r="AW443">
        <v>45</v>
      </c>
      <c r="AX443">
        <v>1</v>
      </c>
      <c r="AY443">
        <v>8000</v>
      </c>
      <c r="AZ443" t="s">
        <v>709</v>
      </c>
      <c r="BA443">
        <v>217</v>
      </c>
      <c r="BB443" s="2">
        <v>0.25</v>
      </c>
      <c r="BC443" t="s">
        <v>928</v>
      </c>
      <c r="BD443" t="s">
        <v>922</v>
      </c>
      <c r="BE443" t="s">
        <v>940</v>
      </c>
      <c r="BF443" s="7">
        <v>40</v>
      </c>
      <c r="BG4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43">
        <v>0</v>
      </c>
      <c r="BI443" t="s">
        <v>734</v>
      </c>
      <c r="BJ443" s="11"/>
      <c r="BK443" s="11"/>
      <c r="BL443" s="11">
        <v>99</v>
      </c>
      <c r="BM443">
        <v>0</v>
      </c>
      <c r="BN443" t="s">
        <v>692</v>
      </c>
      <c r="BO443" t="s">
        <v>694</v>
      </c>
      <c r="BP443" t="s">
        <v>701</v>
      </c>
      <c r="BQ443" t="s">
        <v>705</v>
      </c>
      <c r="BR443" t="s">
        <v>706</v>
      </c>
      <c r="BS443" t="s">
        <v>707</v>
      </c>
      <c r="CR443"/>
      <c r="CS443"/>
      <c r="CT443"/>
    </row>
    <row r="444" spans="1:98" x14ac:dyDescent="0.4">
      <c r="A444" s="2" t="s">
        <v>470</v>
      </c>
      <c r="B444" t="str">
        <f>_xlfn.TEXTAFTER(Table1[[#This Row],[VEHIDCODE]],"_")</f>
        <v>Czech_Republic_CD_380</v>
      </c>
      <c r="C444" t="s">
        <v>741</v>
      </c>
      <c r="D444" t="b">
        <f>OR(ISNUMBER(SEARCH("wagon_",Table1[[#This Row],[FILENAMES_EXPECTED]])),ISNUMBER(SEARCH("coach_",Table1[[#This Row],[FILENAMES_EXPECTED]])))</f>
        <v>0</v>
      </c>
      <c r="E444" t="str">
        <f>"item_"&amp;Table1[[#This Row],[VEHIDCODE]]</f>
        <v>item_electric_Czech_Republic_CD_380</v>
      </c>
      <c r="F444" t="str">
        <f>"str_"&amp;Table1[[#This Row],[VEHIDCODE]]</f>
        <v>str_electric_Czech_Republic_CD_380</v>
      </c>
      <c r="G444" t="b">
        <v>1</v>
      </c>
      <c r="AJ444" s="2"/>
      <c r="AK444" s="2" t="b">
        <f>LEN(_xlfn.CONCAT(Table1[[#This Row],[TRACK_TYPE_STANDARD_GAUGE_RAILTYPE_OHLE]:[TRACK_TYPE_MTRO]]))&gt;0</f>
        <v>1</v>
      </c>
      <c r="AL444">
        <v>8</v>
      </c>
      <c r="AM444" t="s">
        <v>20</v>
      </c>
      <c r="AN444">
        <v>0</v>
      </c>
      <c r="AO444" t="s">
        <v>74</v>
      </c>
      <c r="AP444">
        <v>0</v>
      </c>
      <c r="AQ444">
        <v>2008</v>
      </c>
      <c r="AR444">
        <v>8</v>
      </c>
      <c r="AS444" s="2" t="s">
        <v>20</v>
      </c>
      <c r="AT444" t="b">
        <v>1</v>
      </c>
      <c r="AV444" s="2"/>
      <c r="AW444" t="s">
        <v>21</v>
      </c>
      <c r="AX444">
        <v>1</v>
      </c>
      <c r="AY444">
        <v>8583</v>
      </c>
      <c r="AZ444" t="s">
        <v>709</v>
      </c>
      <c r="BA444">
        <v>200</v>
      </c>
      <c r="BB444" s="2">
        <v>0.34</v>
      </c>
      <c r="BC444" t="s">
        <v>929</v>
      </c>
      <c r="BD444" t="s">
        <v>922</v>
      </c>
      <c r="BE444" t="s">
        <v>940</v>
      </c>
      <c r="BF444" s="7">
        <v>40</v>
      </c>
      <c r="BG4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44">
        <v>0</v>
      </c>
      <c r="BI444" t="s">
        <v>734</v>
      </c>
      <c r="BJ444" s="11"/>
      <c r="BK444" s="11"/>
      <c r="BL444" s="11">
        <v>88</v>
      </c>
      <c r="BM444">
        <v>0</v>
      </c>
      <c r="BN444" t="s">
        <v>692</v>
      </c>
      <c r="BO444" t="s">
        <v>694</v>
      </c>
      <c r="BP444" t="s">
        <v>701</v>
      </c>
      <c r="BQ444" t="s">
        <v>705</v>
      </c>
      <c r="BR444" t="s">
        <v>706</v>
      </c>
      <c r="BS444" t="s">
        <v>707</v>
      </c>
      <c r="CR444"/>
      <c r="CS444"/>
      <c r="CT444"/>
    </row>
    <row r="445" spans="1:98" x14ac:dyDescent="0.4">
      <c r="A445" s="2" t="s">
        <v>471</v>
      </c>
      <c r="B445" t="str">
        <f>_xlfn.TEXTAFTER(Table1[[#This Row],[VEHIDCODE]],"_")</f>
        <v>Spain_RENFE_252</v>
      </c>
      <c r="C445" t="s">
        <v>741</v>
      </c>
      <c r="D445" t="b">
        <f>OR(ISNUMBER(SEARCH("wagon_",Table1[[#This Row],[FILENAMES_EXPECTED]])),ISNUMBER(SEARCH("coach_",Table1[[#This Row],[FILENAMES_EXPECTED]])))</f>
        <v>0</v>
      </c>
      <c r="E445" t="str">
        <f>"item_"&amp;Table1[[#This Row],[VEHIDCODE]]</f>
        <v>item_electric_Spain_RENFE_252</v>
      </c>
      <c r="F445" t="str">
        <f>"str_"&amp;Table1[[#This Row],[VEHIDCODE]]</f>
        <v>str_electric_Spain_RENFE_252</v>
      </c>
      <c r="G445" t="b">
        <v>1</v>
      </c>
      <c r="AJ445" s="2"/>
      <c r="AK445" s="2" t="b">
        <f>LEN(_xlfn.CONCAT(Table1[[#This Row],[TRACK_TYPE_STANDARD_GAUGE_RAILTYPE_OHLE]:[TRACK_TYPE_MTRO]]))&gt;0</f>
        <v>1</v>
      </c>
      <c r="AL445">
        <v>8</v>
      </c>
      <c r="AM445" t="s">
        <v>20</v>
      </c>
      <c r="AN445">
        <v>0</v>
      </c>
      <c r="AO445" t="s">
        <v>74</v>
      </c>
      <c r="AP445">
        <v>0</v>
      </c>
      <c r="AQ445">
        <v>1992</v>
      </c>
      <c r="AR445">
        <v>8</v>
      </c>
      <c r="AS445" s="2" t="s">
        <v>20</v>
      </c>
      <c r="AT445" t="b">
        <v>1</v>
      </c>
      <c r="AV445" s="2"/>
      <c r="AW445">
        <v>45</v>
      </c>
      <c r="AX445">
        <v>1</v>
      </c>
      <c r="AY445">
        <v>7700</v>
      </c>
      <c r="AZ445" t="s">
        <v>709</v>
      </c>
      <c r="BA445">
        <v>220</v>
      </c>
      <c r="BB445" s="2">
        <v>0.33</v>
      </c>
      <c r="BC445" t="s">
        <v>924</v>
      </c>
      <c r="BD445" t="s">
        <v>922</v>
      </c>
      <c r="BE445" t="s">
        <v>940</v>
      </c>
      <c r="BF445" s="7">
        <v>40</v>
      </c>
      <c r="BG4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45">
        <v>-3</v>
      </c>
      <c r="BI445" t="s">
        <v>734</v>
      </c>
      <c r="BJ445" s="11"/>
      <c r="BK445" s="11"/>
      <c r="BL445" s="11">
        <v>90</v>
      </c>
      <c r="BM445">
        <v>0</v>
      </c>
      <c r="BN445" t="s">
        <v>692</v>
      </c>
      <c r="BO445" t="s">
        <v>694</v>
      </c>
      <c r="BP445" t="s">
        <v>701</v>
      </c>
      <c r="BQ445" t="s">
        <v>705</v>
      </c>
      <c r="BR445" t="s">
        <v>706</v>
      </c>
      <c r="BS445" t="s">
        <v>707</v>
      </c>
      <c r="CR445"/>
      <c r="CS445"/>
      <c r="CT445"/>
    </row>
    <row r="446" spans="1:98" x14ac:dyDescent="0.4">
      <c r="A446" s="2" t="s">
        <v>472</v>
      </c>
      <c r="B446" t="str">
        <f>_xlfn.TEXTAFTER(Table1[[#This Row],[VEHIDCODE]],"_")</f>
        <v>Germany_DB_185_TRAXX_F140</v>
      </c>
      <c r="C446" t="s">
        <v>741</v>
      </c>
      <c r="D446" t="b">
        <f>OR(ISNUMBER(SEARCH("wagon_",Table1[[#This Row],[FILENAMES_EXPECTED]])),ISNUMBER(SEARCH("coach_",Table1[[#This Row],[FILENAMES_EXPECTED]])))</f>
        <v>0</v>
      </c>
      <c r="E446" t="str">
        <f>"item_"&amp;Table1[[#This Row],[VEHIDCODE]]</f>
        <v>item_electric_Germany_DB_185_TRAXX_F140</v>
      </c>
      <c r="F446" t="str">
        <f>"str_"&amp;Table1[[#This Row],[VEHIDCODE]]</f>
        <v>str_electric_Germany_DB_185_TRAXX_F140</v>
      </c>
      <c r="G446" t="b">
        <v>1</v>
      </c>
      <c r="AJ446" s="2"/>
      <c r="AK446" s="2" t="b">
        <f>LEN(_xlfn.CONCAT(Table1[[#This Row],[TRACK_TYPE_STANDARD_GAUGE_RAILTYPE_OHLE]:[TRACK_TYPE_MTRO]]))&gt;0</f>
        <v>1</v>
      </c>
      <c r="AL446">
        <v>8</v>
      </c>
      <c r="AM446" t="s">
        <v>20</v>
      </c>
      <c r="AN446">
        <v>0</v>
      </c>
      <c r="AO446" t="s">
        <v>74</v>
      </c>
      <c r="AP446">
        <v>0</v>
      </c>
      <c r="AQ446">
        <v>2000</v>
      </c>
      <c r="AR446">
        <v>8</v>
      </c>
      <c r="AS446" s="2" t="s">
        <v>20</v>
      </c>
      <c r="AT446" t="b">
        <v>1</v>
      </c>
      <c r="AV446" s="2"/>
      <c r="AW446" t="s">
        <v>21</v>
      </c>
      <c r="AX446">
        <v>1</v>
      </c>
      <c r="AY446">
        <v>5600</v>
      </c>
      <c r="AZ446" t="s">
        <v>709</v>
      </c>
      <c r="BA446">
        <v>140</v>
      </c>
      <c r="BB446" s="2">
        <v>0.35</v>
      </c>
      <c r="BC446" t="s">
        <v>923</v>
      </c>
      <c r="BD446" t="s">
        <v>922</v>
      </c>
      <c r="BE446" t="s">
        <v>940</v>
      </c>
      <c r="BF446" s="7">
        <v>40</v>
      </c>
      <c r="BG4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46">
        <v>-3</v>
      </c>
      <c r="BI446" t="s">
        <v>734</v>
      </c>
      <c r="BJ446" s="11"/>
      <c r="BK446" s="11"/>
      <c r="BL446" s="11">
        <v>84</v>
      </c>
      <c r="BM446">
        <v>0</v>
      </c>
      <c r="BN446" t="s">
        <v>692</v>
      </c>
      <c r="BO446" t="s">
        <v>694</v>
      </c>
      <c r="BP446" t="s">
        <v>701</v>
      </c>
      <c r="BQ446" t="s">
        <v>705</v>
      </c>
      <c r="BR446" t="s">
        <v>706</v>
      </c>
      <c r="BS446" t="s">
        <v>707</v>
      </c>
      <c r="CR446"/>
      <c r="CS446"/>
      <c r="CT446"/>
    </row>
    <row r="447" spans="1:98" x14ac:dyDescent="0.4">
      <c r="A447" s="2" t="s">
        <v>473</v>
      </c>
      <c r="B447" t="str">
        <f>_xlfn.TEXTAFTER(Table1[[#This Row],[VEHIDCODE]],"_")</f>
        <v>Italy_FS_E550</v>
      </c>
      <c r="C447" t="s">
        <v>741</v>
      </c>
      <c r="D447" t="b">
        <f>OR(ISNUMBER(SEARCH("wagon_",Table1[[#This Row],[FILENAMES_EXPECTED]])),ISNUMBER(SEARCH("coach_",Table1[[#This Row],[FILENAMES_EXPECTED]])))</f>
        <v>0</v>
      </c>
      <c r="E447" t="str">
        <f>"item_"&amp;Table1[[#This Row],[VEHIDCODE]]</f>
        <v>item_electric_Italy_FS_E550</v>
      </c>
      <c r="F447" t="str">
        <f>"str_"&amp;Table1[[#This Row],[VEHIDCODE]]</f>
        <v>str_electric_Italy_FS_E550</v>
      </c>
      <c r="G447" t="b">
        <v>1</v>
      </c>
      <c r="AJ447" s="2"/>
      <c r="AK447" s="2" t="b">
        <f>LEN(_xlfn.CONCAT(Table1[[#This Row],[TRACK_TYPE_STANDARD_GAUGE_RAILTYPE_OHLE]:[TRACK_TYPE_MTRO]]))&gt;0</f>
        <v>1</v>
      </c>
      <c r="AL447">
        <v>6</v>
      </c>
      <c r="AM447" t="s">
        <v>20</v>
      </c>
      <c r="AN447">
        <v>0</v>
      </c>
      <c r="AO447" t="s">
        <v>74</v>
      </c>
      <c r="AP447">
        <v>0</v>
      </c>
      <c r="AQ447">
        <v>1908</v>
      </c>
      <c r="AR447">
        <v>6</v>
      </c>
      <c r="AS447" s="2" t="s">
        <v>20</v>
      </c>
      <c r="AT447" t="b">
        <v>1</v>
      </c>
      <c r="AV447" s="2"/>
      <c r="AW447">
        <v>45</v>
      </c>
      <c r="AX447">
        <v>1</v>
      </c>
      <c r="AY447">
        <v>2000</v>
      </c>
      <c r="AZ447" t="s">
        <v>709</v>
      </c>
      <c r="BA447">
        <v>50</v>
      </c>
      <c r="BB447" s="2">
        <v>0.16</v>
      </c>
      <c r="BC447" t="s">
        <v>924</v>
      </c>
      <c r="BD447" t="s">
        <v>922</v>
      </c>
      <c r="BE447" t="s">
        <v>940</v>
      </c>
      <c r="BF447" s="7">
        <v>40</v>
      </c>
      <c r="BG4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47">
        <v>0</v>
      </c>
      <c r="BI447" t="s">
        <v>734</v>
      </c>
      <c r="BJ447" s="11"/>
      <c r="BK447" s="11"/>
      <c r="BL447" s="11">
        <v>63</v>
      </c>
      <c r="BM447">
        <v>0</v>
      </c>
      <c r="BN447" t="s">
        <v>692</v>
      </c>
      <c r="BO447" t="s">
        <v>694</v>
      </c>
      <c r="BP447" t="s">
        <v>701</v>
      </c>
      <c r="BQ447" t="s">
        <v>705</v>
      </c>
      <c r="BR447" t="s">
        <v>706</v>
      </c>
      <c r="BS447" t="s">
        <v>707</v>
      </c>
      <c r="CR447"/>
      <c r="CS447"/>
      <c r="CT447"/>
    </row>
    <row r="448" spans="1:98" x14ac:dyDescent="0.4">
      <c r="A448" s="2" t="s">
        <v>474</v>
      </c>
      <c r="B448" t="str">
        <f>_xlfn.TEXTAFTER(Table1[[#This Row],[VEHIDCODE]],"_")</f>
        <v>Japan_JNR_EF81</v>
      </c>
      <c r="C448" t="s">
        <v>741</v>
      </c>
      <c r="D448" t="b">
        <f>OR(ISNUMBER(SEARCH("wagon_",Table1[[#This Row],[FILENAMES_EXPECTED]])),ISNUMBER(SEARCH("coach_",Table1[[#This Row],[FILENAMES_EXPECTED]])))</f>
        <v>0</v>
      </c>
      <c r="E448" t="str">
        <f>"item_"&amp;Table1[[#This Row],[VEHIDCODE]]</f>
        <v>item_electric_Japan_JNR_EF81</v>
      </c>
      <c r="F448" t="str">
        <f>"str_"&amp;Table1[[#This Row],[VEHIDCODE]]</f>
        <v>str_electric_Japan_JNR_EF81</v>
      </c>
      <c r="P448" t="b">
        <v>1</v>
      </c>
      <c r="AJ448" s="2"/>
      <c r="AK448" s="2" t="b">
        <f>LEN(_xlfn.CONCAT(Table1[[#This Row],[TRACK_TYPE_STANDARD_GAUGE_RAILTYPE_OHLE]:[TRACK_TYPE_MTRO]]))&gt;0</f>
        <v>1</v>
      </c>
      <c r="AL448">
        <v>7</v>
      </c>
      <c r="AM448" t="s">
        <v>20</v>
      </c>
      <c r="AN448">
        <v>0</v>
      </c>
      <c r="AO448" t="s">
        <v>74</v>
      </c>
      <c r="AP448">
        <v>0</v>
      </c>
      <c r="AQ448">
        <v>1967</v>
      </c>
      <c r="AR448">
        <v>7</v>
      </c>
      <c r="AS448" s="2" t="s">
        <v>24</v>
      </c>
      <c r="AT448" t="b">
        <v>1</v>
      </c>
      <c r="AV448" s="2"/>
      <c r="AW448">
        <v>45</v>
      </c>
      <c r="AX448">
        <v>1</v>
      </c>
      <c r="AY448">
        <v>3420</v>
      </c>
      <c r="AZ448" t="s">
        <v>709</v>
      </c>
      <c r="BA448">
        <v>110</v>
      </c>
      <c r="BB448" s="2">
        <v>0.28999999999999998</v>
      </c>
      <c r="BC448" t="s">
        <v>931</v>
      </c>
      <c r="BD448" t="s">
        <v>922</v>
      </c>
      <c r="BE448" t="s">
        <v>940</v>
      </c>
      <c r="BF448" s="7">
        <v>40</v>
      </c>
      <c r="BG4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48">
        <v>0</v>
      </c>
      <c r="BI448" t="s">
        <v>734</v>
      </c>
      <c r="BJ448" s="11"/>
      <c r="BK448" s="11"/>
      <c r="BL448" s="11">
        <v>101</v>
      </c>
      <c r="BM448">
        <v>0</v>
      </c>
      <c r="BN448" t="s">
        <v>692</v>
      </c>
      <c r="BO448" t="s">
        <v>694</v>
      </c>
      <c r="BP448" t="s">
        <v>701</v>
      </c>
      <c r="BQ448" t="s">
        <v>705</v>
      </c>
      <c r="BR448" t="s">
        <v>706</v>
      </c>
      <c r="BS448" t="s">
        <v>707</v>
      </c>
      <c r="CR448"/>
      <c r="CS448"/>
      <c r="CT448"/>
    </row>
    <row r="449" spans="1:98" x14ac:dyDescent="0.4">
      <c r="A449" s="2" t="s">
        <v>475</v>
      </c>
      <c r="B449" t="str">
        <f>_xlfn.TEXTAFTER(Table1[[#This Row],[VEHIDCODE]],"_")</f>
        <v>UK_BR_92</v>
      </c>
      <c r="C449" t="s">
        <v>741</v>
      </c>
      <c r="D449" t="b">
        <f>OR(ISNUMBER(SEARCH("wagon_",Table1[[#This Row],[FILENAMES_EXPECTED]])),ISNUMBER(SEARCH("coach_",Table1[[#This Row],[FILENAMES_EXPECTED]])))</f>
        <v>0</v>
      </c>
      <c r="E449" t="str">
        <f>"item_"&amp;Table1[[#This Row],[VEHIDCODE]]</f>
        <v>item_electric_UK_BR_92</v>
      </c>
      <c r="F449" t="str">
        <f>"str_"&amp;Table1[[#This Row],[VEHIDCODE]]</f>
        <v>str_electric_UK_BR_92</v>
      </c>
      <c r="G449" t="b">
        <v>1</v>
      </c>
      <c r="N449" t="b">
        <v>1</v>
      </c>
      <c r="AJ449" s="2"/>
      <c r="AK449" s="2" t="b">
        <f>LEN(_xlfn.CONCAT(Table1[[#This Row],[TRACK_TYPE_STANDARD_GAUGE_RAILTYPE_OHLE]:[TRACK_TYPE_MTRO]]))&gt;0</f>
        <v>1</v>
      </c>
      <c r="AL449">
        <v>8</v>
      </c>
      <c r="AM449" t="s">
        <v>20</v>
      </c>
      <c r="AN449">
        <v>0</v>
      </c>
      <c r="AO449" t="s">
        <v>74</v>
      </c>
      <c r="AP449">
        <v>0</v>
      </c>
      <c r="AQ449">
        <v>1993</v>
      </c>
      <c r="AR449">
        <v>8</v>
      </c>
      <c r="AS449" s="2" t="s">
        <v>20</v>
      </c>
      <c r="AT449" t="b">
        <v>1</v>
      </c>
      <c r="AV449" s="2"/>
      <c r="AW449">
        <v>45</v>
      </c>
      <c r="AX449">
        <v>0</v>
      </c>
      <c r="AY449">
        <v>6760</v>
      </c>
      <c r="AZ449" t="s">
        <v>709</v>
      </c>
      <c r="BA449">
        <v>140</v>
      </c>
      <c r="BB449" s="2">
        <v>0.28999999999999998</v>
      </c>
      <c r="BC449" t="s">
        <v>927</v>
      </c>
      <c r="BD449" t="s">
        <v>922</v>
      </c>
      <c r="BE449" t="s">
        <v>940</v>
      </c>
      <c r="BF449" s="7">
        <v>40</v>
      </c>
      <c r="BG4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49">
        <v>-3</v>
      </c>
      <c r="BI449" t="s">
        <v>734</v>
      </c>
      <c r="BJ449" s="11"/>
      <c r="BK449" s="11"/>
      <c r="BL449" s="11">
        <v>126</v>
      </c>
      <c r="BM449">
        <v>0</v>
      </c>
      <c r="BN449" t="s">
        <v>692</v>
      </c>
      <c r="BO449" t="s">
        <v>694</v>
      </c>
      <c r="BP449" t="s">
        <v>701</v>
      </c>
      <c r="BQ449" t="s">
        <v>705</v>
      </c>
      <c r="BR449" t="s">
        <v>706</v>
      </c>
      <c r="BS449" t="s">
        <v>707</v>
      </c>
      <c r="CR449"/>
      <c r="CS449"/>
      <c r="CT449"/>
    </row>
    <row r="450" spans="1:98" x14ac:dyDescent="0.4">
      <c r="A450" s="2" t="s">
        <v>476</v>
      </c>
      <c r="B450" t="str">
        <f>_xlfn.TEXTAFTER(Table1[[#This Row],[VEHIDCODE]],"_")</f>
        <v>USA_Amtrak_ACS_64</v>
      </c>
      <c r="C450" t="s">
        <v>741</v>
      </c>
      <c r="D450" t="b">
        <f>OR(ISNUMBER(SEARCH("wagon_",Table1[[#This Row],[FILENAMES_EXPECTED]])),ISNUMBER(SEARCH("coach_",Table1[[#This Row],[FILENAMES_EXPECTED]])))</f>
        <v>0</v>
      </c>
      <c r="E450" t="str">
        <f>"item_"&amp;Table1[[#This Row],[VEHIDCODE]]</f>
        <v>item_electric_USA_Amtrak_ACS_64</v>
      </c>
      <c r="F450" t="str">
        <f>"str_"&amp;Table1[[#This Row],[VEHIDCODE]]</f>
        <v>str_electric_USA_Amtrak_ACS_64</v>
      </c>
      <c r="G450" t="b">
        <v>1</v>
      </c>
      <c r="N450" t="b">
        <v>1</v>
      </c>
      <c r="AJ450" s="2"/>
      <c r="AK450" s="2" t="b">
        <f>LEN(_xlfn.CONCAT(Table1[[#This Row],[TRACK_TYPE_STANDARD_GAUGE_RAILTYPE_OHLE]:[TRACK_TYPE_MTRO]]))&gt;0</f>
        <v>1</v>
      </c>
      <c r="AL450">
        <v>8</v>
      </c>
      <c r="AM450" t="s">
        <v>20</v>
      </c>
      <c r="AN450">
        <v>0</v>
      </c>
      <c r="AO450" t="s">
        <v>74</v>
      </c>
      <c r="AP450">
        <v>0</v>
      </c>
      <c r="AQ450">
        <v>2012</v>
      </c>
      <c r="AR450">
        <v>8</v>
      </c>
      <c r="AS450" s="2" t="s">
        <v>20</v>
      </c>
      <c r="AT450" t="b">
        <v>1</v>
      </c>
      <c r="AV450" s="2"/>
      <c r="AW450" t="s">
        <v>21</v>
      </c>
      <c r="AX450">
        <v>1</v>
      </c>
      <c r="AY450">
        <v>8600</v>
      </c>
      <c r="AZ450" t="s">
        <v>709</v>
      </c>
      <c r="BA450">
        <v>220</v>
      </c>
      <c r="BB450" s="2">
        <v>0.33</v>
      </c>
      <c r="BC450" t="s">
        <v>928</v>
      </c>
      <c r="BD450" t="s">
        <v>922</v>
      </c>
      <c r="BE450" t="s">
        <v>940</v>
      </c>
      <c r="BF450" s="7">
        <v>40</v>
      </c>
      <c r="BG4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50">
        <v>0</v>
      </c>
      <c r="BI450" t="s">
        <v>734</v>
      </c>
      <c r="BJ450" s="11"/>
      <c r="BK450" s="11"/>
      <c r="BL450" s="11">
        <v>98</v>
      </c>
      <c r="BM450">
        <v>0</v>
      </c>
      <c r="BN450" t="s">
        <v>692</v>
      </c>
      <c r="BO450" t="s">
        <v>694</v>
      </c>
      <c r="BP450" t="s">
        <v>701</v>
      </c>
      <c r="BQ450" t="s">
        <v>705</v>
      </c>
      <c r="BR450" t="s">
        <v>706</v>
      </c>
      <c r="BS450" t="s">
        <v>707</v>
      </c>
      <c r="CR450"/>
      <c r="CS450"/>
      <c r="CT450"/>
    </row>
    <row r="451" spans="1:98" x14ac:dyDescent="0.4">
      <c r="A451" s="2" t="s">
        <v>477</v>
      </c>
      <c r="B451" t="str">
        <f>_xlfn.TEXTAFTER(Table1[[#This Row],[VEHIDCODE]],"_")</f>
        <v>France_SNCF_CC_40100</v>
      </c>
      <c r="C451" t="s">
        <v>741</v>
      </c>
      <c r="D451" t="b">
        <f>OR(ISNUMBER(SEARCH("wagon_",Table1[[#This Row],[FILENAMES_EXPECTED]])),ISNUMBER(SEARCH("coach_",Table1[[#This Row],[FILENAMES_EXPECTED]])))</f>
        <v>0</v>
      </c>
      <c r="E451" t="str">
        <f>"item_"&amp;Table1[[#This Row],[VEHIDCODE]]</f>
        <v>item_electric_France_SNCF_CC_40100</v>
      </c>
      <c r="F451" t="str">
        <f>"str_"&amp;Table1[[#This Row],[VEHIDCODE]]</f>
        <v>str_electric_France_SNCF_CC_40100</v>
      </c>
      <c r="G451" t="b">
        <v>1</v>
      </c>
      <c r="N451" t="b">
        <v>1</v>
      </c>
      <c r="AJ451" s="2"/>
      <c r="AK451" s="2" t="b">
        <f>LEN(_xlfn.CONCAT(Table1[[#This Row],[TRACK_TYPE_STANDARD_GAUGE_RAILTYPE_OHLE]:[TRACK_TYPE_MTRO]]))&gt;0</f>
        <v>1</v>
      </c>
      <c r="AL451">
        <v>8</v>
      </c>
      <c r="AM451" t="s">
        <v>20</v>
      </c>
      <c r="AN451">
        <v>0</v>
      </c>
      <c r="AO451" t="s">
        <v>74</v>
      </c>
      <c r="AP451">
        <v>0</v>
      </c>
      <c r="AQ451">
        <v>1964</v>
      </c>
      <c r="AR451">
        <v>8</v>
      </c>
      <c r="AS451" s="2" t="s">
        <v>20</v>
      </c>
      <c r="AT451" t="b">
        <v>1</v>
      </c>
      <c r="AV451" s="2"/>
      <c r="AW451">
        <v>45</v>
      </c>
      <c r="AX451">
        <v>1</v>
      </c>
      <c r="AY451">
        <v>6000</v>
      </c>
      <c r="AZ451" t="s">
        <v>709</v>
      </c>
      <c r="BA451">
        <v>240</v>
      </c>
      <c r="BB451" s="2">
        <v>0.21</v>
      </c>
      <c r="BC451" t="s">
        <v>923</v>
      </c>
      <c r="BD451" t="s">
        <v>922</v>
      </c>
      <c r="BE451" t="s">
        <v>940</v>
      </c>
      <c r="BF451" s="7">
        <v>40</v>
      </c>
      <c r="BG4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51">
        <v>-3</v>
      </c>
      <c r="BI451" t="s">
        <v>734</v>
      </c>
      <c r="BJ451" s="11"/>
      <c r="BK451" s="11"/>
      <c r="BL451" s="11">
        <v>110</v>
      </c>
      <c r="BM451">
        <v>0</v>
      </c>
      <c r="BN451" t="s">
        <v>692</v>
      </c>
      <c r="BO451" t="s">
        <v>694</v>
      </c>
      <c r="BP451" t="s">
        <v>701</v>
      </c>
      <c r="BQ451" t="s">
        <v>705</v>
      </c>
      <c r="BR451" t="s">
        <v>706</v>
      </c>
      <c r="BS451" t="s">
        <v>707</v>
      </c>
      <c r="CR451"/>
      <c r="CS451"/>
      <c r="CT451"/>
    </row>
    <row r="452" spans="1:98" x14ac:dyDescent="0.4">
      <c r="A452" s="2" t="s">
        <v>478</v>
      </c>
      <c r="B452" t="str">
        <f>_xlfn.TEXTAFTER(Table1[[#This Row],[VEHIDCODE]],"_")</f>
        <v>Belgium_NMBS_SNCB_13_HLE</v>
      </c>
      <c r="C452" t="s">
        <v>741</v>
      </c>
      <c r="D452" t="b">
        <f>OR(ISNUMBER(SEARCH("wagon_",Table1[[#This Row],[FILENAMES_EXPECTED]])),ISNUMBER(SEARCH("coach_",Table1[[#This Row],[FILENAMES_EXPECTED]])))</f>
        <v>0</v>
      </c>
      <c r="E452" t="str">
        <f>"item_"&amp;Table1[[#This Row],[VEHIDCODE]]</f>
        <v>item_electric_Belgium_NMBS_SNCB_13_HLE</v>
      </c>
      <c r="F452" t="str">
        <f>"str_"&amp;Table1[[#This Row],[VEHIDCODE]]</f>
        <v>str_electric_Belgium_NMBS_SNCB_13_HLE</v>
      </c>
      <c r="G452" t="b">
        <v>1</v>
      </c>
      <c r="N452" t="b">
        <v>1</v>
      </c>
      <c r="AJ452" s="2"/>
      <c r="AK452" s="2" t="b">
        <f>LEN(_xlfn.CONCAT(Table1[[#This Row],[TRACK_TYPE_STANDARD_GAUGE_RAILTYPE_OHLE]:[TRACK_TYPE_MTRO]]))&gt;0</f>
        <v>1</v>
      </c>
      <c r="AL452">
        <v>8</v>
      </c>
      <c r="AM452" t="s">
        <v>20</v>
      </c>
      <c r="AN452">
        <v>0</v>
      </c>
      <c r="AO452" t="s">
        <v>74</v>
      </c>
      <c r="AP452">
        <v>0</v>
      </c>
      <c r="AQ452">
        <v>1997</v>
      </c>
      <c r="AR452">
        <v>8</v>
      </c>
      <c r="AS452" s="2" t="s">
        <v>20</v>
      </c>
      <c r="AT452" t="b">
        <v>1</v>
      </c>
      <c r="AV452" s="2"/>
      <c r="AW452" t="s">
        <v>21</v>
      </c>
      <c r="AX452">
        <v>1</v>
      </c>
      <c r="AY452">
        <v>6968</v>
      </c>
      <c r="AZ452" t="s">
        <v>709</v>
      </c>
      <c r="BA452">
        <v>200</v>
      </c>
      <c r="BB452" s="2">
        <v>0.32</v>
      </c>
      <c r="BC452" t="s">
        <v>923</v>
      </c>
      <c r="BD452" t="s">
        <v>922</v>
      </c>
      <c r="BE452" t="s">
        <v>940</v>
      </c>
      <c r="BF452" s="7">
        <v>40</v>
      </c>
      <c r="BG4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452">
        <v>-3</v>
      </c>
      <c r="BI452" t="s">
        <v>734</v>
      </c>
      <c r="BJ452" s="11"/>
      <c r="BK452" s="11"/>
      <c r="BL452" s="11">
        <v>90</v>
      </c>
      <c r="BM452">
        <v>0</v>
      </c>
      <c r="BN452" t="s">
        <v>692</v>
      </c>
      <c r="BO452" t="s">
        <v>694</v>
      </c>
      <c r="BP452" t="s">
        <v>701</v>
      </c>
      <c r="BQ452" t="s">
        <v>705</v>
      </c>
      <c r="BR452" t="s">
        <v>706</v>
      </c>
      <c r="BS452" t="s">
        <v>707</v>
      </c>
      <c r="CR452"/>
      <c r="CS452"/>
      <c r="CT452"/>
    </row>
    <row r="453" spans="1:98" x14ac:dyDescent="0.4">
      <c r="A453" s="2" t="s">
        <v>479</v>
      </c>
      <c r="B453" t="str">
        <f>_xlfn.TEXTAFTER(Table1[[#This Row],[VEHIDCODE]],"_")</f>
        <v>Germany_DB_VT_040_Flying_Hamburger</v>
      </c>
      <c r="C453" t="s">
        <v>742</v>
      </c>
      <c r="D453" t="b">
        <f>OR(ISNUMBER(SEARCH("wagon_",Table1[[#This Row],[FILENAMES_EXPECTED]])),ISNUMBER(SEARCH("coach_",Table1[[#This Row],[FILENAMES_EXPECTED]])))</f>
        <v>0</v>
      </c>
      <c r="E453" t="str">
        <f>"item_"&amp;Table1[[#This Row],[VEHIDCODE]]</f>
        <v>item_dmu_Germany_DB_VT_040_Flying_Hamburger</v>
      </c>
      <c r="F453" t="str">
        <f>"str_"&amp;Table1[[#This Row],[VEHIDCODE]]</f>
        <v>str_dmu_Germany_DB_VT_040_Flying_Hamburger</v>
      </c>
      <c r="O453" s="2" t="b">
        <v>1</v>
      </c>
      <c r="AJ453" s="2"/>
      <c r="AK453" s="2" t="b">
        <f>LEN(_xlfn.CONCAT(Table1[[#This Row],[TRACK_TYPE_STANDARD_GAUGE_RAILTYPE_OHLE]:[TRACK_TYPE_MTRO]]))&gt;0</f>
        <v>1</v>
      </c>
      <c r="AL453">
        <v>8</v>
      </c>
      <c r="AM453" t="s">
        <v>18</v>
      </c>
      <c r="AN453">
        <v>1</v>
      </c>
      <c r="AO453" t="s">
        <v>35</v>
      </c>
      <c r="AP453">
        <v>50</v>
      </c>
      <c r="AQ453">
        <v>1932</v>
      </c>
      <c r="AR453">
        <v>8</v>
      </c>
      <c r="AS453" s="2" t="s">
        <v>480</v>
      </c>
      <c r="AT453" t="b">
        <v>1</v>
      </c>
      <c r="AU453" t="b">
        <v>1</v>
      </c>
      <c r="AV453" s="2"/>
      <c r="AW453">
        <v>45</v>
      </c>
      <c r="AX453">
        <v>1</v>
      </c>
      <c r="AY453">
        <v>400</v>
      </c>
      <c r="AZ453" t="s">
        <v>711</v>
      </c>
      <c r="BA453">
        <v>160</v>
      </c>
      <c r="BB453" s="2">
        <v>0.19</v>
      </c>
      <c r="BC453" t="s">
        <v>923</v>
      </c>
      <c r="BD453" t="s">
        <v>922</v>
      </c>
      <c r="BE453" t="s">
        <v>940</v>
      </c>
      <c r="BF453" s="7">
        <v>25</v>
      </c>
      <c r="BG4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53">
        <v>0</v>
      </c>
      <c r="BI453" t="s">
        <v>734</v>
      </c>
      <c r="BJ453" s="11">
        <v>50</v>
      </c>
      <c r="BK453" s="11">
        <v>8</v>
      </c>
      <c r="BL453" s="11">
        <v>39</v>
      </c>
      <c r="BM453">
        <v>0</v>
      </c>
      <c r="BN453" t="s">
        <v>692</v>
      </c>
      <c r="BO453" t="s">
        <v>694</v>
      </c>
      <c r="BP453" t="s">
        <v>701</v>
      </c>
      <c r="BQ453" t="s">
        <v>705</v>
      </c>
      <c r="BR453" t="s">
        <v>706</v>
      </c>
      <c r="BS453" t="s">
        <v>707</v>
      </c>
      <c r="CR453"/>
      <c r="CS453"/>
      <c r="CT453"/>
    </row>
    <row r="454" spans="1:98" x14ac:dyDescent="0.4">
      <c r="A454" s="2" t="s">
        <v>481</v>
      </c>
      <c r="B454" t="str">
        <f>_xlfn.TEXTAFTER(Table1[[#This Row],[VEHIDCODE]],"_")</f>
        <v>Australia_NSWGR_Silver_City_Comet</v>
      </c>
      <c r="C454" t="s">
        <v>742</v>
      </c>
      <c r="D454" t="b">
        <f>OR(ISNUMBER(SEARCH("wagon_",Table1[[#This Row],[FILENAMES_EXPECTED]])),ISNUMBER(SEARCH("coach_",Table1[[#This Row],[FILENAMES_EXPECTED]])))</f>
        <v>0</v>
      </c>
      <c r="E454" t="str">
        <f>"item_"&amp;Table1[[#This Row],[VEHIDCODE]]</f>
        <v>item_dmu_Australia_NSWGR_Silver_City_Comet</v>
      </c>
      <c r="F454" t="str">
        <f>"str_"&amp;Table1[[#This Row],[VEHIDCODE]]</f>
        <v>str_dmu_Australia_NSWGR_Silver_City_Comet</v>
      </c>
      <c r="O454" s="2" t="b">
        <v>1</v>
      </c>
      <c r="AJ454" s="2"/>
      <c r="AK454" s="2" t="b">
        <f>LEN(_xlfn.CONCAT(Table1[[#This Row],[TRACK_TYPE_STANDARD_GAUGE_RAILTYPE_OHLE]:[TRACK_TYPE_MTRO]]))&gt;0</f>
        <v>1</v>
      </c>
      <c r="AL454">
        <v>7</v>
      </c>
      <c r="AM454" t="s">
        <v>18</v>
      </c>
      <c r="AN454">
        <v>1</v>
      </c>
      <c r="AO454" t="s">
        <v>35</v>
      </c>
      <c r="AP454">
        <v>0</v>
      </c>
      <c r="AQ454">
        <v>1937</v>
      </c>
      <c r="AR454">
        <v>7</v>
      </c>
      <c r="AS454" s="2" t="s">
        <v>480</v>
      </c>
      <c r="AT454" t="b">
        <v>1</v>
      </c>
      <c r="AU454" t="b">
        <v>1</v>
      </c>
      <c r="AV454" s="2"/>
      <c r="AW454">
        <v>45</v>
      </c>
      <c r="AX454">
        <v>1</v>
      </c>
      <c r="AY454">
        <v>660</v>
      </c>
      <c r="AZ454" t="s">
        <v>711</v>
      </c>
      <c r="BA454">
        <v>160</v>
      </c>
      <c r="BB454" s="2">
        <v>0.2</v>
      </c>
      <c r="BC454" t="s">
        <v>925</v>
      </c>
      <c r="BD454" t="s">
        <v>922</v>
      </c>
      <c r="BE454" t="s">
        <v>940</v>
      </c>
      <c r="BF454" s="7">
        <v>25</v>
      </c>
      <c r="BG4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54">
        <v>0</v>
      </c>
      <c r="BI454" t="s">
        <v>734</v>
      </c>
      <c r="BJ454" s="11">
        <v>45</v>
      </c>
      <c r="BK454" s="11">
        <v>7</v>
      </c>
      <c r="BL454" s="11">
        <v>55</v>
      </c>
      <c r="BM454">
        <v>0</v>
      </c>
      <c r="BN454" t="s">
        <v>692</v>
      </c>
      <c r="BO454" t="s">
        <v>694</v>
      </c>
      <c r="BP454" t="s">
        <v>701</v>
      </c>
      <c r="BQ454" t="s">
        <v>705</v>
      </c>
      <c r="BR454" t="s">
        <v>706</v>
      </c>
      <c r="BS454" t="s">
        <v>707</v>
      </c>
      <c r="CR454"/>
      <c r="CS454"/>
      <c r="CT454"/>
    </row>
    <row r="455" spans="1:98" x14ac:dyDescent="0.4">
      <c r="A455" s="2" t="s">
        <v>482</v>
      </c>
      <c r="B455" t="str">
        <f>_xlfn.TEXTAFTER(Table1[[#This Row],[VEHIDCODE]],"_")</f>
        <v>Czech_Republic_CD_M131</v>
      </c>
      <c r="C455" t="s">
        <v>742</v>
      </c>
      <c r="D455" t="b">
        <f>OR(ISNUMBER(SEARCH("wagon_",Table1[[#This Row],[FILENAMES_EXPECTED]])),ISNUMBER(SEARCH("coach_",Table1[[#This Row],[FILENAMES_EXPECTED]])))</f>
        <v>0</v>
      </c>
      <c r="E455" t="str">
        <f>"item_"&amp;Table1[[#This Row],[VEHIDCODE]]</f>
        <v>item_dmu_Czech_Republic_CD_M131</v>
      </c>
      <c r="F455" t="str">
        <f>"str_"&amp;Table1[[#This Row],[VEHIDCODE]]</f>
        <v>str_dmu_Czech_Republic_CD_M131</v>
      </c>
      <c r="O455" s="2" t="b">
        <v>1</v>
      </c>
      <c r="AJ455" s="2"/>
      <c r="AK455" s="2" t="b">
        <f>LEN(_xlfn.CONCAT(Table1[[#This Row],[TRACK_TYPE_STANDARD_GAUGE_RAILTYPE_OHLE]:[TRACK_TYPE_MTRO]]))&gt;0</f>
        <v>1</v>
      </c>
      <c r="AL455">
        <v>6</v>
      </c>
      <c r="AM455" t="s">
        <v>18</v>
      </c>
      <c r="AN455">
        <v>1</v>
      </c>
      <c r="AO455" t="s">
        <v>35</v>
      </c>
      <c r="AP455">
        <v>48</v>
      </c>
      <c r="AQ455">
        <v>1948</v>
      </c>
      <c r="AR455">
        <v>6</v>
      </c>
      <c r="AS455" s="2" t="s">
        <v>480</v>
      </c>
      <c r="AT455" t="b">
        <v>1</v>
      </c>
      <c r="AU455" t="b">
        <v>1</v>
      </c>
      <c r="AV455" s="2"/>
      <c r="AW455">
        <v>45</v>
      </c>
      <c r="AX455">
        <v>1</v>
      </c>
      <c r="AY455">
        <v>152</v>
      </c>
      <c r="AZ455" t="s">
        <v>711</v>
      </c>
      <c r="BA455">
        <v>60</v>
      </c>
      <c r="BB455" s="2">
        <v>0.21</v>
      </c>
      <c r="BC455" t="s">
        <v>929</v>
      </c>
      <c r="BD455" t="s">
        <v>922</v>
      </c>
      <c r="BE455" t="s">
        <v>940</v>
      </c>
      <c r="BF455" s="7">
        <v>25</v>
      </c>
      <c r="BG4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55">
        <v>0</v>
      </c>
      <c r="BI455" t="s">
        <v>734</v>
      </c>
      <c r="BJ455" s="11">
        <v>48</v>
      </c>
      <c r="BK455" s="11">
        <v>6</v>
      </c>
      <c r="BL455" s="11">
        <v>42</v>
      </c>
      <c r="BM455">
        <v>0</v>
      </c>
      <c r="BN455" t="s">
        <v>692</v>
      </c>
      <c r="BO455" t="s">
        <v>694</v>
      </c>
      <c r="BP455" t="s">
        <v>701</v>
      </c>
      <c r="BQ455" t="s">
        <v>705</v>
      </c>
      <c r="BR455" t="s">
        <v>706</v>
      </c>
      <c r="BS455" t="s">
        <v>707</v>
      </c>
      <c r="CR455"/>
      <c r="CS455"/>
      <c r="CT455"/>
    </row>
    <row r="456" spans="1:98" x14ac:dyDescent="0.4">
      <c r="A456" s="2" t="s">
        <v>483</v>
      </c>
      <c r="B456" t="str">
        <f>_xlfn.TEXTAFTER(Table1[[#This Row],[VEHIDCODE]],"_")</f>
        <v>Germany_DB_VT_085</v>
      </c>
      <c r="C456" t="s">
        <v>742</v>
      </c>
      <c r="D456" t="b">
        <f>OR(ISNUMBER(SEARCH("wagon_",Table1[[#This Row],[FILENAMES_EXPECTED]])),ISNUMBER(SEARCH("coach_",Table1[[#This Row],[FILENAMES_EXPECTED]])))</f>
        <v>0</v>
      </c>
      <c r="E456" t="str">
        <f>"item_"&amp;Table1[[#This Row],[VEHIDCODE]]</f>
        <v>item_dmu_Germany_DB_VT_085</v>
      </c>
      <c r="F456" t="str">
        <f>"str_"&amp;Table1[[#This Row],[VEHIDCODE]]</f>
        <v>str_dmu_Germany_DB_VT_085</v>
      </c>
      <c r="O456" s="2" t="b">
        <v>1</v>
      </c>
      <c r="AJ456" s="2"/>
      <c r="AK456" s="2" t="b">
        <f>LEN(_xlfn.CONCAT(Table1[[#This Row],[TRACK_TYPE_STANDARD_GAUGE_RAILTYPE_OHLE]:[TRACK_TYPE_MTRO]]))&gt;0</f>
        <v>1</v>
      </c>
      <c r="AL456">
        <v>8</v>
      </c>
      <c r="AM456" t="s">
        <v>18</v>
      </c>
      <c r="AN456">
        <v>1</v>
      </c>
      <c r="AO456" t="s">
        <v>35</v>
      </c>
      <c r="AP456">
        <v>45</v>
      </c>
      <c r="AQ456">
        <v>1952</v>
      </c>
      <c r="AR456">
        <v>8</v>
      </c>
      <c r="AS456" s="2" t="s">
        <v>480</v>
      </c>
      <c r="AT456" t="b">
        <v>1</v>
      </c>
      <c r="AU456" t="b">
        <v>1</v>
      </c>
      <c r="AV456" s="2"/>
      <c r="AW456">
        <v>45</v>
      </c>
      <c r="AX456">
        <v>1</v>
      </c>
      <c r="AY456">
        <v>986</v>
      </c>
      <c r="AZ456" t="s">
        <v>711</v>
      </c>
      <c r="BA456">
        <v>140</v>
      </c>
      <c r="BB456" s="2">
        <v>0.43</v>
      </c>
      <c r="BC456" t="s">
        <v>923</v>
      </c>
      <c r="BD456" t="s">
        <v>922</v>
      </c>
      <c r="BE456" t="s">
        <v>940</v>
      </c>
      <c r="BF456" s="7">
        <v>25</v>
      </c>
      <c r="BG4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56">
        <v>0</v>
      </c>
      <c r="BI456" t="s">
        <v>734</v>
      </c>
      <c r="BJ456" s="11">
        <v>45</v>
      </c>
      <c r="BK456" s="11">
        <v>8</v>
      </c>
      <c r="BL456" s="11">
        <v>42</v>
      </c>
      <c r="BM456">
        <v>0</v>
      </c>
      <c r="BN456" t="s">
        <v>692</v>
      </c>
      <c r="BO456" t="s">
        <v>694</v>
      </c>
      <c r="BP456" t="s">
        <v>701</v>
      </c>
      <c r="BQ456" t="s">
        <v>705</v>
      </c>
      <c r="BR456" t="s">
        <v>706</v>
      </c>
      <c r="BS456" t="s">
        <v>707</v>
      </c>
      <c r="CR456"/>
      <c r="CS456"/>
      <c r="CT456"/>
    </row>
    <row r="457" spans="1:98" x14ac:dyDescent="0.4">
      <c r="A457" s="2" t="s">
        <v>484</v>
      </c>
      <c r="B457" t="str">
        <f>_xlfn.TEXTAFTER(Table1[[#This Row],[VEHIDCODE]],"_")</f>
        <v>Australia_Queensland_Rail_400</v>
      </c>
      <c r="C457" t="s">
        <v>742</v>
      </c>
      <c r="D457" t="b">
        <f>OR(ISNUMBER(SEARCH("wagon_",Table1[[#This Row],[FILENAMES_EXPECTED]])),ISNUMBER(SEARCH("coach_",Table1[[#This Row],[FILENAMES_EXPECTED]])))</f>
        <v>0</v>
      </c>
      <c r="E457" t="str">
        <f>"item_"&amp;Table1[[#This Row],[VEHIDCODE]]</f>
        <v>item_dmu_Australia_Queensland_Rail_400</v>
      </c>
      <c r="F457" t="str">
        <f>"str_"&amp;Table1[[#This Row],[VEHIDCODE]]</f>
        <v>str_dmu_Australia_Queensland_Rail_400</v>
      </c>
      <c r="X457" s="2" t="b">
        <v>1</v>
      </c>
      <c r="AJ457" s="2"/>
      <c r="AK457" s="2" t="b">
        <f>LEN(_xlfn.CONCAT(Table1[[#This Row],[TRACK_TYPE_STANDARD_GAUGE_RAILTYPE_OHLE]:[TRACK_TYPE_MTRO]]))&gt;0</f>
        <v>1</v>
      </c>
      <c r="AL457">
        <v>8</v>
      </c>
      <c r="AM457" t="s">
        <v>18</v>
      </c>
      <c r="AN457">
        <v>1</v>
      </c>
      <c r="AO457" t="s">
        <v>35</v>
      </c>
      <c r="AP457">
        <v>80</v>
      </c>
      <c r="AQ457">
        <v>1955</v>
      </c>
      <c r="AR457">
        <v>8</v>
      </c>
      <c r="AS457" s="2" t="s">
        <v>480</v>
      </c>
      <c r="AT457" t="b">
        <v>1</v>
      </c>
      <c r="AU457" t="b">
        <v>1</v>
      </c>
      <c r="AV457" s="2"/>
      <c r="AW457">
        <v>45</v>
      </c>
      <c r="AX457">
        <v>1</v>
      </c>
      <c r="AY457">
        <v>220</v>
      </c>
      <c r="AZ457" t="s">
        <v>711</v>
      </c>
      <c r="BA457">
        <v>90</v>
      </c>
      <c r="BB457" s="2">
        <v>0.18</v>
      </c>
      <c r="BC457" t="s">
        <v>925</v>
      </c>
      <c r="BD457" t="s">
        <v>922</v>
      </c>
      <c r="BE457" t="s">
        <v>940</v>
      </c>
      <c r="BF457" s="7">
        <v>25</v>
      </c>
      <c r="BG4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57">
        <v>0</v>
      </c>
      <c r="BI457" t="s">
        <v>734</v>
      </c>
      <c r="BJ457" s="11">
        <v>80</v>
      </c>
      <c r="BK457" s="11">
        <v>8</v>
      </c>
      <c r="BL457" s="11">
        <v>43</v>
      </c>
      <c r="BM457">
        <v>0</v>
      </c>
      <c r="BN457" t="s">
        <v>692</v>
      </c>
      <c r="BO457" t="s">
        <v>694</v>
      </c>
      <c r="BP457" t="s">
        <v>701</v>
      </c>
      <c r="BQ457" t="s">
        <v>705</v>
      </c>
      <c r="BR457" t="s">
        <v>706</v>
      </c>
      <c r="BS457" t="s">
        <v>707</v>
      </c>
      <c r="CR457"/>
      <c r="CS457"/>
      <c r="CT457"/>
    </row>
    <row r="458" spans="1:98" x14ac:dyDescent="0.4">
      <c r="A458" s="2" t="s">
        <v>485</v>
      </c>
      <c r="B458" t="str">
        <f>_xlfn.TEXTAFTER(Table1[[#This Row],[VEHIDCODE]],"_")</f>
        <v>Germany_DB_VT_115</v>
      </c>
      <c r="C458" t="s">
        <v>742</v>
      </c>
      <c r="D458" t="b">
        <f>OR(ISNUMBER(SEARCH("wagon_",Table1[[#This Row],[FILENAMES_EXPECTED]])),ISNUMBER(SEARCH("coach_",Table1[[#This Row],[FILENAMES_EXPECTED]])))</f>
        <v>0</v>
      </c>
      <c r="E458" t="str">
        <f>"item_"&amp;Table1[[#This Row],[VEHIDCODE]]</f>
        <v>item_dmu_Germany_DB_VT_115</v>
      </c>
      <c r="F458" t="str">
        <f>"str_"&amp;Table1[[#This Row],[VEHIDCODE]]</f>
        <v>str_dmu_Germany_DB_VT_115</v>
      </c>
      <c r="O458" s="2" t="b">
        <v>1</v>
      </c>
      <c r="AJ458" s="2"/>
      <c r="AK458" s="2" t="b">
        <f>LEN(_xlfn.CONCAT(Table1[[#This Row],[TRACK_TYPE_STANDARD_GAUGE_RAILTYPE_OHLE]:[TRACK_TYPE_MTRO]]))&gt;0</f>
        <v>1</v>
      </c>
      <c r="AL458">
        <v>8</v>
      </c>
      <c r="AM458" t="s">
        <v>18</v>
      </c>
      <c r="AN458">
        <v>1</v>
      </c>
      <c r="AO458" t="s">
        <v>35</v>
      </c>
      <c r="AP458">
        <v>0</v>
      </c>
      <c r="AQ458">
        <v>1957</v>
      </c>
      <c r="AR458">
        <v>8</v>
      </c>
      <c r="AS458" s="2" t="s">
        <v>480</v>
      </c>
      <c r="AT458" t="b">
        <v>1</v>
      </c>
      <c r="AU458" t="b">
        <v>1</v>
      </c>
      <c r="AV458" s="2"/>
      <c r="AW458">
        <v>45</v>
      </c>
      <c r="AX458">
        <v>1</v>
      </c>
      <c r="AY458">
        <v>1475</v>
      </c>
      <c r="AZ458" t="s">
        <v>711</v>
      </c>
      <c r="BA458">
        <v>160</v>
      </c>
      <c r="BB458" s="2">
        <v>0.77</v>
      </c>
      <c r="BC458" t="s">
        <v>923</v>
      </c>
      <c r="BD458" t="s">
        <v>922</v>
      </c>
      <c r="BE458" t="s">
        <v>940</v>
      </c>
      <c r="BF458" s="7">
        <v>25</v>
      </c>
      <c r="BG4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58">
        <v>0</v>
      </c>
      <c r="BI458" t="s">
        <v>734</v>
      </c>
      <c r="BJ458" s="11">
        <v>34</v>
      </c>
      <c r="BK458" s="11">
        <v>8</v>
      </c>
      <c r="BL458" s="11">
        <v>33</v>
      </c>
      <c r="BM458">
        <v>0</v>
      </c>
      <c r="BN458" t="s">
        <v>692</v>
      </c>
      <c r="BO458" t="s">
        <v>694</v>
      </c>
      <c r="BP458" t="s">
        <v>701</v>
      </c>
      <c r="BQ458" t="s">
        <v>705</v>
      </c>
      <c r="BR458" t="s">
        <v>706</v>
      </c>
      <c r="BS458" t="s">
        <v>707</v>
      </c>
      <c r="CR458"/>
      <c r="CS458"/>
      <c r="CT458"/>
    </row>
    <row r="459" spans="1:98" x14ac:dyDescent="0.4">
      <c r="A459" s="2" t="s">
        <v>486</v>
      </c>
      <c r="B459" t="str">
        <f>_xlfn.TEXTAFTER(Table1[[#This Row],[VEHIDCODE]],"_")</f>
        <v>Netherlands_NS_Plan_U_DE_III</v>
      </c>
      <c r="C459" t="s">
        <v>742</v>
      </c>
      <c r="D459" t="b">
        <f>OR(ISNUMBER(SEARCH("wagon_",Table1[[#This Row],[FILENAMES_EXPECTED]])),ISNUMBER(SEARCH("coach_",Table1[[#This Row],[FILENAMES_EXPECTED]])))</f>
        <v>0</v>
      </c>
      <c r="E459" t="str">
        <f>"item_"&amp;Table1[[#This Row],[VEHIDCODE]]</f>
        <v>item_dmu_Netherlands_NS_Plan_U_DE_III</v>
      </c>
      <c r="F459" t="str">
        <f>"str_"&amp;Table1[[#This Row],[VEHIDCODE]]</f>
        <v>str_dmu_Netherlands_NS_Plan_U_DE_III</v>
      </c>
      <c r="O459" s="2" t="b">
        <v>1</v>
      </c>
      <c r="AJ459" s="2"/>
      <c r="AK459" s="2" t="b">
        <f>LEN(_xlfn.CONCAT(Table1[[#This Row],[TRACK_TYPE_STANDARD_GAUGE_RAILTYPE_OHLE]:[TRACK_TYPE_MTRO]]))&gt;0</f>
        <v>1</v>
      </c>
      <c r="AL459">
        <v>8</v>
      </c>
      <c r="AM459" t="s">
        <v>18</v>
      </c>
      <c r="AN459">
        <v>1</v>
      </c>
      <c r="AO459" t="s">
        <v>35</v>
      </c>
      <c r="AP459">
        <v>64</v>
      </c>
      <c r="AQ459">
        <v>1960</v>
      </c>
      <c r="AR459">
        <v>8</v>
      </c>
      <c r="AS459" s="2" t="s">
        <v>24</v>
      </c>
      <c r="AT459" t="b">
        <v>1</v>
      </c>
      <c r="AU459" t="b">
        <v>1</v>
      </c>
      <c r="AV459" s="2"/>
      <c r="AW459">
        <v>45</v>
      </c>
      <c r="AX459">
        <v>1</v>
      </c>
      <c r="AY459">
        <v>987</v>
      </c>
      <c r="AZ459" t="s">
        <v>711</v>
      </c>
      <c r="BA459">
        <v>125</v>
      </c>
      <c r="BB459" s="2">
        <v>0.21</v>
      </c>
      <c r="BC459" t="s">
        <v>923</v>
      </c>
      <c r="BD459" t="s">
        <v>922</v>
      </c>
      <c r="BE459" t="s">
        <v>940</v>
      </c>
      <c r="BF459" s="7">
        <v>25</v>
      </c>
      <c r="BG4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59">
        <v>0</v>
      </c>
      <c r="BI459" t="s">
        <v>734</v>
      </c>
      <c r="BJ459" s="11">
        <v>64</v>
      </c>
      <c r="BK459" s="11">
        <v>8</v>
      </c>
      <c r="BL459" s="11">
        <v>64</v>
      </c>
      <c r="BM459">
        <v>0</v>
      </c>
      <c r="BN459" t="s">
        <v>692</v>
      </c>
      <c r="BO459" t="s">
        <v>694</v>
      </c>
      <c r="BP459" t="s">
        <v>701</v>
      </c>
      <c r="BQ459" t="s">
        <v>705</v>
      </c>
      <c r="BR459" t="s">
        <v>706</v>
      </c>
      <c r="BS459" t="s">
        <v>707</v>
      </c>
      <c r="CR459"/>
      <c r="CS459"/>
      <c r="CT459"/>
    </row>
    <row r="460" spans="1:98" x14ac:dyDescent="0.4">
      <c r="A460" s="2" t="s">
        <v>487</v>
      </c>
      <c r="B460" t="str">
        <f>_xlfn.TEXTAFTER(Table1[[#This Row],[VEHIDCODE]],"_")</f>
        <v>Canada_CNR_Turbo_Train</v>
      </c>
      <c r="C460" t="s">
        <v>742</v>
      </c>
      <c r="D460" t="b">
        <f>OR(ISNUMBER(SEARCH("wagon_",Table1[[#This Row],[FILENAMES_EXPECTED]])),ISNUMBER(SEARCH("coach_",Table1[[#This Row],[FILENAMES_EXPECTED]])))</f>
        <v>0</v>
      </c>
      <c r="E460" t="str">
        <f>"item_"&amp;Table1[[#This Row],[VEHIDCODE]]</f>
        <v>item_dmu_Canada_CNR_Turbo_Train</v>
      </c>
      <c r="F460" t="str">
        <f>"str_"&amp;Table1[[#This Row],[VEHIDCODE]]</f>
        <v>str_dmu_Canada_CNR_Turbo_Train</v>
      </c>
      <c r="O460" s="2" t="b">
        <v>1</v>
      </c>
      <c r="AJ460" s="2"/>
      <c r="AK460" s="2" t="b">
        <f>LEN(_xlfn.CONCAT(Table1[[#This Row],[TRACK_TYPE_STANDARD_GAUGE_RAILTYPE_OHLE]:[TRACK_TYPE_MTRO]]))&gt;0</f>
        <v>1</v>
      </c>
      <c r="AL460">
        <v>8</v>
      </c>
      <c r="AM460" t="s">
        <v>18</v>
      </c>
      <c r="AN460">
        <v>1</v>
      </c>
      <c r="AO460" t="s">
        <v>35</v>
      </c>
      <c r="AP460">
        <v>44</v>
      </c>
      <c r="AQ460">
        <v>1967</v>
      </c>
      <c r="AR460">
        <v>8</v>
      </c>
      <c r="AS460" s="2" t="s">
        <v>480</v>
      </c>
      <c r="AT460" t="b">
        <v>1</v>
      </c>
      <c r="AU460" t="b">
        <v>1</v>
      </c>
      <c r="AV460" s="2"/>
      <c r="AW460">
        <v>45</v>
      </c>
      <c r="AX460">
        <v>1</v>
      </c>
      <c r="AY460">
        <v>2400</v>
      </c>
      <c r="AZ460" t="s">
        <v>711</v>
      </c>
      <c r="BA460">
        <v>225</v>
      </c>
      <c r="BB460" s="2">
        <v>0.45</v>
      </c>
      <c r="BC460" t="s">
        <v>928</v>
      </c>
      <c r="BD460" t="s">
        <v>922</v>
      </c>
      <c r="BE460" t="s">
        <v>940</v>
      </c>
      <c r="BF460" s="7">
        <v>25</v>
      </c>
      <c r="BG4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0">
        <v>0</v>
      </c>
      <c r="BI460" t="s">
        <v>734</v>
      </c>
      <c r="BJ460" s="11">
        <v>44</v>
      </c>
      <c r="BK460" s="11">
        <v>8</v>
      </c>
      <c r="BL460" s="11">
        <v>40</v>
      </c>
      <c r="BM460">
        <v>0</v>
      </c>
      <c r="BN460" t="s">
        <v>692</v>
      </c>
      <c r="BO460" t="s">
        <v>694</v>
      </c>
      <c r="BP460" t="s">
        <v>701</v>
      </c>
      <c r="BQ460" t="s">
        <v>705</v>
      </c>
      <c r="BR460" t="s">
        <v>706</v>
      </c>
      <c r="BS460" t="s">
        <v>707</v>
      </c>
      <c r="CR460"/>
      <c r="CS460"/>
      <c r="CT460"/>
    </row>
    <row r="461" spans="1:98" x14ac:dyDescent="0.4">
      <c r="A461" s="2" t="s">
        <v>488</v>
      </c>
      <c r="B461" t="str">
        <f>_xlfn.TEXTAFTER(Table1[[#This Row],[VEHIDCODE]],"_")</f>
        <v>Serbia_ZS_811</v>
      </c>
      <c r="C461" t="s">
        <v>742</v>
      </c>
      <c r="D461" t="b">
        <f>OR(ISNUMBER(SEARCH("wagon_",Table1[[#This Row],[FILENAMES_EXPECTED]])),ISNUMBER(SEARCH("coach_",Table1[[#This Row],[FILENAMES_EXPECTED]])))</f>
        <v>0</v>
      </c>
      <c r="E461" t="str">
        <f>"item_"&amp;Table1[[#This Row],[VEHIDCODE]]</f>
        <v>item_dmu_Serbia_ZS_811</v>
      </c>
      <c r="F461" t="str">
        <f>"str_"&amp;Table1[[#This Row],[VEHIDCODE]]</f>
        <v>str_dmu_Serbia_ZS_811</v>
      </c>
      <c r="O461" s="2" t="b">
        <v>1</v>
      </c>
      <c r="AJ461" s="2"/>
      <c r="AK461" s="2" t="b">
        <f>LEN(_xlfn.CONCAT(Table1[[#This Row],[TRACK_TYPE_STANDARD_GAUGE_RAILTYPE_OHLE]:[TRACK_TYPE_MTRO]]))&gt;0</f>
        <v>1</v>
      </c>
      <c r="AL461">
        <v>8</v>
      </c>
      <c r="AM461" t="s">
        <v>18</v>
      </c>
      <c r="AN461">
        <v>1</v>
      </c>
      <c r="AO461" t="s">
        <v>35</v>
      </c>
      <c r="AP461">
        <v>38</v>
      </c>
      <c r="AQ461">
        <v>1974</v>
      </c>
      <c r="AR461">
        <v>8</v>
      </c>
      <c r="AS461" s="2" t="s">
        <v>24</v>
      </c>
      <c r="AT461" t="b">
        <v>1</v>
      </c>
      <c r="AU461" t="b">
        <v>1</v>
      </c>
      <c r="AV461" s="2"/>
      <c r="AW461">
        <v>45</v>
      </c>
      <c r="AX461">
        <v>1</v>
      </c>
      <c r="AY461">
        <v>735</v>
      </c>
      <c r="AZ461" t="s">
        <v>711</v>
      </c>
      <c r="BA461">
        <v>118</v>
      </c>
      <c r="BB461" s="2">
        <v>0.2</v>
      </c>
      <c r="BC461" t="s">
        <v>929</v>
      </c>
      <c r="BD461" t="s">
        <v>922</v>
      </c>
      <c r="BE461" t="s">
        <v>940</v>
      </c>
      <c r="BF461" s="7">
        <v>20</v>
      </c>
      <c r="BG4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1">
        <v>0</v>
      </c>
      <c r="BI461" t="s">
        <v>734</v>
      </c>
      <c r="BJ461" s="11">
        <v>38</v>
      </c>
      <c r="BK461" s="11">
        <v>8</v>
      </c>
      <c r="BL461" s="11">
        <v>55</v>
      </c>
      <c r="BM461">
        <v>0</v>
      </c>
      <c r="BN461" t="s">
        <v>692</v>
      </c>
      <c r="BO461" t="s">
        <v>694</v>
      </c>
      <c r="BP461" t="s">
        <v>701</v>
      </c>
      <c r="BQ461" t="s">
        <v>705</v>
      </c>
      <c r="BR461" t="s">
        <v>706</v>
      </c>
      <c r="BS461" t="s">
        <v>707</v>
      </c>
      <c r="CR461"/>
      <c r="CS461"/>
      <c r="CT461"/>
    </row>
    <row r="462" spans="1:98" x14ac:dyDescent="0.4">
      <c r="A462" s="2" t="s">
        <v>489</v>
      </c>
      <c r="B462" t="str">
        <f>_xlfn.TEXTAFTER(Table1[[#This Row],[VEHIDCODE]],"_")</f>
        <v>UK_BR_43_IC125</v>
      </c>
      <c r="C462" t="s">
        <v>742</v>
      </c>
      <c r="D462" t="b">
        <f>OR(ISNUMBER(SEARCH("wagon_",Table1[[#This Row],[FILENAMES_EXPECTED]])),ISNUMBER(SEARCH("coach_",Table1[[#This Row],[FILENAMES_EXPECTED]])))</f>
        <v>0</v>
      </c>
      <c r="E462" t="str">
        <f>"item_"&amp;Table1[[#This Row],[VEHIDCODE]]</f>
        <v>item_dmu_UK_BR_43_IC125</v>
      </c>
      <c r="F462" t="str">
        <f>"str_"&amp;Table1[[#This Row],[VEHIDCODE]]</f>
        <v>str_dmu_UK_BR_43_IC125</v>
      </c>
      <c r="O462" s="2" t="b">
        <v>1</v>
      </c>
      <c r="AJ462" s="2"/>
      <c r="AK462" s="2" t="b">
        <f>LEN(_xlfn.CONCAT(Table1[[#This Row],[TRACK_TYPE_STANDARD_GAUGE_RAILTYPE_OHLE]:[TRACK_TYPE_MTRO]]))&gt;0</f>
        <v>1</v>
      </c>
      <c r="AL462">
        <v>8</v>
      </c>
      <c r="AM462" t="s">
        <v>18</v>
      </c>
      <c r="AN462">
        <v>1</v>
      </c>
      <c r="AO462" t="s">
        <v>35</v>
      </c>
      <c r="AP462">
        <v>52</v>
      </c>
      <c r="AQ462">
        <v>1976</v>
      </c>
      <c r="AR462">
        <v>8</v>
      </c>
      <c r="AS462" s="2" t="s">
        <v>480</v>
      </c>
      <c r="AT462" t="b">
        <v>1</v>
      </c>
      <c r="AU462" t="b">
        <v>1</v>
      </c>
      <c r="AV462" s="2"/>
      <c r="AW462">
        <v>45</v>
      </c>
      <c r="AX462">
        <v>1</v>
      </c>
      <c r="AY462">
        <v>4500</v>
      </c>
      <c r="AZ462" t="s">
        <v>711</v>
      </c>
      <c r="BA462">
        <v>201</v>
      </c>
      <c r="BB462" s="2">
        <v>0.57999999999999996</v>
      </c>
      <c r="BC462" t="s">
        <v>927</v>
      </c>
      <c r="BD462" t="s">
        <v>922</v>
      </c>
      <c r="BE462" t="s">
        <v>940</v>
      </c>
      <c r="BF462" s="7">
        <v>25</v>
      </c>
      <c r="BG4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2">
        <v>0</v>
      </c>
      <c r="BI462" t="s">
        <v>734</v>
      </c>
      <c r="BJ462" s="11">
        <v>52</v>
      </c>
      <c r="BK462" s="11">
        <v>8</v>
      </c>
      <c r="BL462" s="11">
        <v>70</v>
      </c>
      <c r="BM462">
        <v>0</v>
      </c>
      <c r="BN462" t="s">
        <v>692</v>
      </c>
      <c r="BO462" t="s">
        <v>694</v>
      </c>
      <c r="BP462" t="s">
        <v>701</v>
      </c>
      <c r="BQ462" t="s">
        <v>705</v>
      </c>
      <c r="BR462" t="s">
        <v>706</v>
      </c>
      <c r="BS462" t="s">
        <v>707</v>
      </c>
      <c r="CR462"/>
      <c r="CS462"/>
      <c r="CT462"/>
    </row>
    <row r="463" spans="1:98" x14ac:dyDescent="0.4">
      <c r="A463" s="2" t="s">
        <v>490</v>
      </c>
      <c r="B463" t="str">
        <f>_xlfn.TEXTAFTER(Table1[[#This Row],[VEHIDCODE]],"_")</f>
        <v>Canada_VIA_Rail_LRC</v>
      </c>
      <c r="C463" t="s">
        <v>742</v>
      </c>
      <c r="D463" t="b">
        <f>OR(ISNUMBER(SEARCH("wagon_",Table1[[#This Row],[FILENAMES_EXPECTED]])),ISNUMBER(SEARCH("coach_",Table1[[#This Row],[FILENAMES_EXPECTED]])))</f>
        <v>0</v>
      </c>
      <c r="E463" t="str">
        <f>"item_"&amp;Table1[[#This Row],[VEHIDCODE]]</f>
        <v>item_dmu_Canada_VIA_Rail_LRC</v>
      </c>
      <c r="F463" t="str">
        <f>"str_"&amp;Table1[[#This Row],[VEHIDCODE]]</f>
        <v>str_dmu_Canada_VIA_Rail_LRC</v>
      </c>
      <c r="O463" s="2" t="b">
        <v>1</v>
      </c>
      <c r="AJ463" s="2"/>
      <c r="AK463" s="2" t="b">
        <f>LEN(_xlfn.CONCAT(Table1[[#This Row],[TRACK_TYPE_STANDARD_GAUGE_RAILTYPE_OHLE]:[TRACK_TYPE_MTRO]]))&gt;0</f>
        <v>1</v>
      </c>
      <c r="AL463">
        <v>8</v>
      </c>
      <c r="AM463" t="s">
        <v>18</v>
      </c>
      <c r="AN463">
        <v>1</v>
      </c>
      <c r="AO463" t="s">
        <v>35</v>
      </c>
      <c r="AP463">
        <v>0</v>
      </c>
      <c r="AQ463">
        <v>1980</v>
      </c>
      <c r="AR463">
        <v>8</v>
      </c>
      <c r="AS463" s="2" t="s">
        <v>480</v>
      </c>
      <c r="AT463" t="b">
        <v>1</v>
      </c>
      <c r="AU463" t="b">
        <v>1</v>
      </c>
      <c r="AV463" s="2"/>
      <c r="AW463">
        <v>45</v>
      </c>
      <c r="AX463">
        <v>1</v>
      </c>
      <c r="AY463">
        <v>5400</v>
      </c>
      <c r="AZ463" t="s">
        <v>711</v>
      </c>
      <c r="BA463">
        <v>180</v>
      </c>
      <c r="BB463" s="2">
        <v>0.54</v>
      </c>
      <c r="BC463" t="s">
        <v>928</v>
      </c>
      <c r="BD463" t="s">
        <v>922</v>
      </c>
      <c r="BE463" t="s">
        <v>940</v>
      </c>
      <c r="BF463" s="7">
        <v>25</v>
      </c>
      <c r="BG4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3">
        <v>0</v>
      </c>
      <c r="BI463" t="s">
        <v>734</v>
      </c>
      <c r="BJ463" s="11">
        <v>55</v>
      </c>
      <c r="BK463" s="11">
        <v>8</v>
      </c>
      <c r="BL463" s="11">
        <v>65</v>
      </c>
      <c r="BM463">
        <v>0</v>
      </c>
      <c r="BN463" t="s">
        <v>692</v>
      </c>
      <c r="BO463" t="s">
        <v>694</v>
      </c>
      <c r="BP463" t="s">
        <v>701</v>
      </c>
      <c r="BQ463" t="s">
        <v>705</v>
      </c>
      <c r="BR463" t="s">
        <v>706</v>
      </c>
      <c r="BS463" t="s">
        <v>707</v>
      </c>
      <c r="CR463"/>
      <c r="CS463"/>
      <c r="CT463"/>
    </row>
    <row r="464" spans="1:98" x14ac:dyDescent="0.4">
      <c r="A464" s="2" t="s">
        <v>491</v>
      </c>
      <c r="B464" t="str">
        <f>_xlfn.TEXTAFTER(Table1[[#This Row],[VEHIDCODE]],"_")</f>
        <v>Sweden_SJ_Y2</v>
      </c>
      <c r="C464" t="s">
        <v>742</v>
      </c>
      <c r="D464" t="b">
        <f>OR(ISNUMBER(SEARCH("wagon_",Table1[[#This Row],[FILENAMES_EXPECTED]])),ISNUMBER(SEARCH("coach_",Table1[[#This Row],[FILENAMES_EXPECTED]])))</f>
        <v>0</v>
      </c>
      <c r="E464" t="str">
        <f>"item_"&amp;Table1[[#This Row],[VEHIDCODE]]</f>
        <v>item_dmu_Sweden_SJ_Y2</v>
      </c>
      <c r="F464" t="str">
        <f>"str_"&amp;Table1[[#This Row],[VEHIDCODE]]</f>
        <v>str_dmu_Sweden_SJ_Y2</v>
      </c>
      <c r="O464" s="2" t="b">
        <v>1</v>
      </c>
      <c r="AJ464" s="2"/>
      <c r="AK464" s="2" t="b">
        <f>LEN(_xlfn.CONCAT(Table1[[#This Row],[TRACK_TYPE_STANDARD_GAUGE_RAILTYPE_OHLE]:[TRACK_TYPE_MTRO]]))&gt;0</f>
        <v>1</v>
      </c>
      <c r="AL464">
        <v>8</v>
      </c>
      <c r="AM464" t="s">
        <v>18</v>
      </c>
      <c r="AN464">
        <v>1</v>
      </c>
      <c r="AO464" t="s">
        <v>35</v>
      </c>
      <c r="AP464">
        <v>48</v>
      </c>
      <c r="AQ464">
        <v>1990</v>
      </c>
      <c r="AR464">
        <v>8</v>
      </c>
      <c r="AS464" s="2" t="s">
        <v>480</v>
      </c>
      <c r="AT464" t="b">
        <v>1</v>
      </c>
      <c r="AU464" t="b">
        <v>1</v>
      </c>
      <c r="AV464" s="2"/>
      <c r="AW464" t="s">
        <v>21</v>
      </c>
      <c r="AX464">
        <v>1</v>
      </c>
      <c r="AY464">
        <v>600</v>
      </c>
      <c r="AZ464" t="s">
        <v>711</v>
      </c>
      <c r="BA464">
        <v>180</v>
      </c>
      <c r="BB464" s="2">
        <v>0.63</v>
      </c>
      <c r="BC464" t="s">
        <v>927</v>
      </c>
      <c r="BD464" t="s">
        <v>922</v>
      </c>
      <c r="BE464" t="s">
        <v>940</v>
      </c>
      <c r="BF464" s="7">
        <v>25</v>
      </c>
      <c r="BG4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4">
        <v>0</v>
      </c>
      <c r="BI464" t="s">
        <v>734</v>
      </c>
      <c r="BJ464" s="11">
        <v>48</v>
      </c>
      <c r="BK464" s="11">
        <v>8</v>
      </c>
      <c r="BL464" s="11">
        <v>32</v>
      </c>
      <c r="BM464">
        <v>0</v>
      </c>
      <c r="BN464" t="s">
        <v>692</v>
      </c>
      <c r="BO464" t="s">
        <v>694</v>
      </c>
      <c r="BP464" t="s">
        <v>701</v>
      </c>
      <c r="BQ464" t="s">
        <v>705</v>
      </c>
      <c r="BR464" t="s">
        <v>706</v>
      </c>
      <c r="BS464" t="s">
        <v>707</v>
      </c>
      <c r="CR464"/>
      <c r="CS464"/>
      <c r="CT464"/>
    </row>
    <row r="465" spans="1:98" x14ac:dyDescent="0.4">
      <c r="A465" s="2" t="s">
        <v>492</v>
      </c>
      <c r="B465" t="str">
        <f>_xlfn.TEXTAFTER(Table1[[#This Row],[VEHIDCODE]],"_")</f>
        <v>Spain_RENFE_594_TRD</v>
      </c>
      <c r="C465" t="s">
        <v>742</v>
      </c>
      <c r="D465" t="b">
        <f>OR(ISNUMBER(SEARCH("wagon_",Table1[[#This Row],[FILENAMES_EXPECTED]])),ISNUMBER(SEARCH("coach_",Table1[[#This Row],[FILENAMES_EXPECTED]])))</f>
        <v>0</v>
      </c>
      <c r="E465" t="str">
        <f>"item_"&amp;Table1[[#This Row],[VEHIDCODE]]</f>
        <v>item_dmu_Spain_RENFE_594_TRD</v>
      </c>
      <c r="F465" t="str">
        <f>"str_"&amp;Table1[[#This Row],[VEHIDCODE]]</f>
        <v>str_dmu_Spain_RENFE_594_TRD</v>
      </c>
      <c r="O465" s="2" t="b">
        <v>1</v>
      </c>
      <c r="AJ465" s="2"/>
      <c r="AK465" s="2" t="b">
        <f>LEN(_xlfn.CONCAT(Table1[[#This Row],[TRACK_TYPE_STANDARD_GAUGE_RAILTYPE_OHLE]:[TRACK_TYPE_MTRO]]))&gt;0</f>
        <v>1</v>
      </c>
      <c r="AL465">
        <v>8</v>
      </c>
      <c r="AM465" t="s">
        <v>18</v>
      </c>
      <c r="AN465">
        <v>1</v>
      </c>
      <c r="AO465" t="s">
        <v>35</v>
      </c>
      <c r="AP465">
        <v>63</v>
      </c>
      <c r="AQ465">
        <v>1997</v>
      </c>
      <c r="AR465">
        <v>8</v>
      </c>
      <c r="AS465" s="2" t="s">
        <v>24</v>
      </c>
      <c r="AT465" t="b">
        <v>1</v>
      </c>
      <c r="AU465" t="b">
        <v>1</v>
      </c>
      <c r="AV465" s="2"/>
      <c r="AW465">
        <v>45</v>
      </c>
      <c r="AX465">
        <v>1</v>
      </c>
      <c r="AY465">
        <v>804</v>
      </c>
      <c r="AZ465" t="s">
        <v>711</v>
      </c>
      <c r="BA465">
        <v>160</v>
      </c>
      <c r="BB465" s="2">
        <v>0.24</v>
      </c>
      <c r="BC465" t="s">
        <v>924</v>
      </c>
      <c r="BD465" t="s">
        <v>922</v>
      </c>
      <c r="BE465" t="s">
        <v>940</v>
      </c>
      <c r="BF465" s="7">
        <v>20</v>
      </c>
      <c r="BG4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5">
        <v>0</v>
      </c>
      <c r="BI465" t="s">
        <v>734</v>
      </c>
      <c r="BJ465" s="11">
        <v>63</v>
      </c>
      <c r="BK465" s="11">
        <v>8</v>
      </c>
      <c r="BL465" s="11">
        <v>49</v>
      </c>
      <c r="BM465">
        <v>0</v>
      </c>
      <c r="BN465" t="s">
        <v>692</v>
      </c>
      <c r="BO465" t="s">
        <v>694</v>
      </c>
      <c r="BP465" t="s">
        <v>701</v>
      </c>
      <c r="BQ465" t="s">
        <v>705</v>
      </c>
      <c r="BR465" t="s">
        <v>706</v>
      </c>
      <c r="BS465" t="s">
        <v>707</v>
      </c>
      <c r="CR465"/>
      <c r="CS465"/>
      <c r="CT465"/>
    </row>
    <row r="466" spans="1:98" x14ac:dyDescent="0.4">
      <c r="A466" s="2" t="s">
        <v>493</v>
      </c>
      <c r="B466" t="str">
        <f>_xlfn.TEXTAFTER(Table1[[#This Row],[VEHIDCODE]],"_")</f>
        <v>UK_BR_168</v>
      </c>
      <c r="C466" t="s">
        <v>742</v>
      </c>
      <c r="D466" t="b">
        <f>OR(ISNUMBER(SEARCH("wagon_",Table1[[#This Row],[FILENAMES_EXPECTED]])),ISNUMBER(SEARCH("coach_",Table1[[#This Row],[FILENAMES_EXPECTED]])))</f>
        <v>0</v>
      </c>
      <c r="E466" t="str">
        <f>"item_"&amp;Table1[[#This Row],[VEHIDCODE]]</f>
        <v>item_dmu_UK_BR_168</v>
      </c>
      <c r="F466" t="str">
        <f>"str_"&amp;Table1[[#This Row],[VEHIDCODE]]</f>
        <v>str_dmu_UK_BR_168</v>
      </c>
      <c r="O466" s="2" t="b">
        <v>1</v>
      </c>
      <c r="AJ466" s="2"/>
      <c r="AK466" s="2" t="b">
        <f>LEN(_xlfn.CONCAT(Table1[[#This Row],[TRACK_TYPE_STANDARD_GAUGE_RAILTYPE_OHLE]:[TRACK_TYPE_MTRO]]))&gt;0</f>
        <v>1</v>
      </c>
      <c r="AL466">
        <v>8</v>
      </c>
      <c r="AM466" t="s">
        <v>18</v>
      </c>
      <c r="AN466">
        <v>1</v>
      </c>
      <c r="AO466" t="s">
        <v>35</v>
      </c>
      <c r="AP466">
        <v>42</v>
      </c>
      <c r="AQ466">
        <v>1997</v>
      </c>
      <c r="AR466">
        <v>8</v>
      </c>
      <c r="AS466" s="2" t="s">
        <v>24</v>
      </c>
      <c r="AT466" t="b">
        <v>1</v>
      </c>
      <c r="AU466" t="b">
        <v>1</v>
      </c>
      <c r="AV466" s="2"/>
      <c r="AW466">
        <v>45</v>
      </c>
      <c r="AX466">
        <v>1</v>
      </c>
      <c r="AY466">
        <v>1300</v>
      </c>
      <c r="AZ466" t="s">
        <v>711</v>
      </c>
      <c r="BA466">
        <v>160</v>
      </c>
      <c r="BB466" s="2">
        <v>0.39</v>
      </c>
      <c r="BC466" t="s">
        <v>927</v>
      </c>
      <c r="BD466" t="s">
        <v>922</v>
      </c>
      <c r="BE466" t="s">
        <v>940</v>
      </c>
      <c r="BF466" s="7">
        <v>20</v>
      </c>
      <c r="BG4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6">
        <v>0</v>
      </c>
      <c r="BI466" t="s">
        <v>734</v>
      </c>
      <c r="BJ466" s="11">
        <v>42</v>
      </c>
      <c r="BK466" s="11">
        <v>8</v>
      </c>
      <c r="BL466" s="11">
        <v>50</v>
      </c>
      <c r="BM466">
        <v>0</v>
      </c>
      <c r="BN466" t="s">
        <v>692</v>
      </c>
      <c r="BO466" t="s">
        <v>694</v>
      </c>
      <c r="BP466" t="s">
        <v>701</v>
      </c>
      <c r="BQ466" t="s">
        <v>705</v>
      </c>
      <c r="BR466" t="s">
        <v>706</v>
      </c>
      <c r="BS466" t="s">
        <v>707</v>
      </c>
      <c r="CR466"/>
      <c r="CS466"/>
      <c r="CT466"/>
    </row>
    <row r="467" spans="1:98" x14ac:dyDescent="0.4">
      <c r="A467" s="2" t="s">
        <v>494</v>
      </c>
      <c r="B467" t="str">
        <f>_xlfn.TEXTAFTER(Table1[[#This Row],[VEHIDCODE]],"_")</f>
        <v>Germany_DB_612_Regio_Swinger</v>
      </c>
      <c r="C467" t="s">
        <v>742</v>
      </c>
      <c r="D467" t="b">
        <f>OR(ISNUMBER(SEARCH("wagon_",Table1[[#This Row],[FILENAMES_EXPECTED]])),ISNUMBER(SEARCH("coach_",Table1[[#This Row],[FILENAMES_EXPECTED]])))</f>
        <v>0</v>
      </c>
      <c r="E467" t="str">
        <f>"item_"&amp;Table1[[#This Row],[VEHIDCODE]]</f>
        <v>item_dmu_Germany_DB_612_Regio_Swinger</v>
      </c>
      <c r="F467" t="str">
        <f>"str_"&amp;Table1[[#This Row],[VEHIDCODE]]</f>
        <v>str_dmu_Germany_DB_612_Regio_Swinger</v>
      </c>
      <c r="O467" s="2" t="b">
        <v>1</v>
      </c>
      <c r="AJ467" s="2"/>
      <c r="AK467" s="2" t="b">
        <f>LEN(_xlfn.CONCAT(Table1[[#This Row],[TRACK_TYPE_STANDARD_GAUGE_RAILTYPE_OHLE]:[TRACK_TYPE_MTRO]]))&gt;0</f>
        <v>1</v>
      </c>
      <c r="AL467">
        <v>8</v>
      </c>
      <c r="AM467" t="s">
        <v>18</v>
      </c>
      <c r="AN467">
        <v>1</v>
      </c>
      <c r="AO467" t="s">
        <v>35</v>
      </c>
      <c r="AP467">
        <v>73</v>
      </c>
      <c r="AQ467">
        <v>1998</v>
      </c>
      <c r="AR467">
        <v>8</v>
      </c>
      <c r="AS467" s="2" t="s">
        <v>24</v>
      </c>
      <c r="AT467" t="b">
        <v>1</v>
      </c>
      <c r="AU467" t="b">
        <v>1</v>
      </c>
      <c r="AV467" s="2"/>
      <c r="AW467">
        <v>45</v>
      </c>
      <c r="AX467">
        <v>1</v>
      </c>
      <c r="AY467">
        <v>1520</v>
      </c>
      <c r="AZ467" t="s">
        <v>711</v>
      </c>
      <c r="BA467">
        <v>160</v>
      </c>
      <c r="BB467" s="2">
        <v>0.38</v>
      </c>
      <c r="BC467" t="s">
        <v>923</v>
      </c>
      <c r="BD467" t="s">
        <v>922</v>
      </c>
      <c r="BE467" t="s">
        <v>940</v>
      </c>
      <c r="BF467" s="7">
        <v>20</v>
      </c>
      <c r="BG4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7">
        <v>0</v>
      </c>
      <c r="BI467" t="s">
        <v>734</v>
      </c>
      <c r="BJ467" s="11">
        <v>73</v>
      </c>
      <c r="BK467" s="11">
        <v>8</v>
      </c>
      <c r="BL467" s="11">
        <v>58</v>
      </c>
      <c r="BM467">
        <v>0</v>
      </c>
      <c r="BN467" t="s">
        <v>692</v>
      </c>
      <c r="BO467" t="s">
        <v>694</v>
      </c>
      <c r="BP467" t="s">
        <v>701</v>
      </c>
      <c r="BQ467" t="s">
        <v>705</v>
      </c>
      <c r="BR467" t="s">
        <v>706</v>
      </c>
      <c r="BS467" t="s">
        <v>707</v>
      </c>
      <c r="CR467"/>
      <c r="CS467"/>
      <c r="CT467"/>
    </row>
    <row r="468" spans="1:98" x14ac:dyDescent="0.4">
      <c r="A468" s="2" t="s">
        <v>495</v>
      </c>
      <c r="B468" t="str">
        <f>_xlfn.TEXTAFTER(Table1[[#This Row],[VEHIDCODE]],"_")</f>
        <v>Germany_DB_642_Desiro</v>
      </c>
      <c r="C468" t="s">
        <v>742</v>
      </c>
      <c r="D468" t="b">
        <f>OR(ISNUMBER(SEARCH("wagon_",Table1[[#This Row],[FILENAMES_EXPECTED]])),ISNUMBER(SEARCH("coach_",Table1[[#This Row],[FILENAMES_EXPECTED]])))</f>
        <v>0</v>
      </c>
      <c r="E468" t="str">
        <f>"item_"&amp;Table1[[#This Row],[VEHIDCODE]]</f>
        <v>item_dmu_Germany_DB_642_Desiro</v>
      </c>
      <c r="F468" t="str">
        <f>"str_"&amp;Table1[[#This Row],[VEHIDCODE]]</f>
        <v>str_dmu_Germany_DB_642_Desiro</v>
      </c>
      <c r="O468" s="2" t="b">
        <v>1</v>
      </c>
      <c r="AJ468" s="2"/>
      <c r="AK468" s="2" t="b">
        <f>LEN(_xlfn.CONCAT(Table1[[#This Row],[TRACK_TYPE_STANDARD_GAUGE_RAILTYPE_OHLE]:[TRACK_TYPE_MTRO]]))&gt;0</f>
        <v>1</v>
      </c>
      <c r="AL468">
        <v>8</v>
      </c>
      <c r="AM468" t="s">
        <v>18</v>
      </c>
      <c r="AN468">
        <v>1</v>
      </c>
      <c r="AO468" t="s">
        <v>35</v>
      </c>
      <c r="AP468">
        <v>55</v>
      </c>
      <c r="AQ468">
        <v>2000</v>
      </c>
      <c r="AR468">
        <v>8</v>
      </c>
      <c r="AS468" s="2" t="s">
        <v>24</v>
      </c>
      <c r="AT468" t="b">
        <v>1</v>
      </c>
      <c r="AU468" t="b">
        <v>1</v>
      </c>
      <c r="AV468" s="2"/>
      <c r="AW468" t="s">
        <v>21</v>
      </c>
      <c r="AX468">
        <v>1</v>
      </c>
      <c r="AY468">
        <v>368</v>
      </c>
      <c r="AZ468" t="s">
        <v>711</v>
      </c>
      <c r="BA468">
        <v>120</v>
      </c>
      <c r="BB468" s="2">
        <v>0.18</v>
      </c>
      <c r="BC468" t="s">
        <v>923</v>
      </c>
      <c r="BD468" t="s">
        <v>922</v>
      </c>
      <c r="BE468" t="s">
        <v>940</v>
      </c>
      <c r="BF468" s="7">
        <v>25</v>
      </c>
      <c r="BG4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8">
        <v>0</v>
      </c>
      <c r="BI468" t="s">
        <v>734</v>
      </c>
      <c r="BJ468" s="11">
        <v>55</v>
      </c>
      <c r="BK468" s="11">
        <v>8</v>
      </c>
      <c r="BL468" s="11">
        <v>60</v>
      </c>
      <c r="BM468">
        <v>0</v>
      </c>
      <c r="BN468" t="s">
        <v>692</v>
      </c>
      <c r="BO468" t="s">
        <v>694</v>
      </c>
      <c r="BP468" t="s">
        <v>701</v>
      </c>
      <c r="BQ468" t="s">
        <v>705</v>
      </c>
      <c r="BR468" t="s">
        <v>706</v>
      </c>
      <c r="BS468" t="s">
        <v>707</v>
      </c>
      <c r="CR468"/>
      <c r="CS468"/>
      <c r="CT468"/>
    </row>
    <row r="469" spans="1:98" x14ac:dyDescent="0.4">
      <c r="A469" s="2" t="s">
        <v>496</v>
      </c>
      <c r="B469" t="str">
        <f>_xlfn.TEXTAFTER(Table1[[#This Row],[VEHIDCODE]],"_")</f>
        <v>Denmark_Arriva_Lint_41</v>
      </c>
      <c r="C469" t="s">
        <v>742</v>
      </c>
      <c r="D469" t="b">
        <f>OR(ISNUMBER(SEARCH("wagon_",Table1[[#This Row],[FILENAMES_EXPECTED]])),ISNUMBER(SEARCH("coach_",Table1[[#This Row],[FILENAMES_EXPECTED]])))</f>
        <v>0</v>
      </c>
      <c r="E469" t="str">
        <f>"item_"&amp;Table1[[#This Row],[VEHIDCODE]]</f>
        <v>item_dmu_Denmark_Arriva_Lint_41</v>
      </c>
      <c r="F469" t="str">
        <f>"str_"&amp;Table1[[#This Row],[VEHIDCODE]]</f>
        <v>str_dmu_Denmark_Arriva_Lint_41</v>
      </c>
      <c r="O469" s="2" t="b">
        <v>1</v>
      </c>
      <c r="AJ469" s="2"/>
      <c r="AK469" s="2" t="b">
        <f>LEN(_xlfn.CONCAT(Table1[[#This Row],[TRACK_TYPE_STANDARD_GAUGE_RAILTYPE_OHLE]:[TRACK_TYPE_MTRO]]))&gt;0</f>
        <v>1</v>
      </c>
      <c r="AL469">
        <v>8</v>
      </c>
      <c r="AM469" t="s">
        <v>18</v>
      </c>
      <c r="AN469">
        <v>1</v>
      </c>
      <c r="AO469" t="s">
        <v>35</v>
      </c>
      <c r="AP469">
        <v>73</v>
      </c>
      <c r="AQ469">
        <v>2001</v>
      </c>
      <c r="AR469">
        <v>8</v>
      </c>
      <c r="AS469" s="2" t="s">
        <v>24</v>
      </c>
      <c r="AT469" t="b">
        <v>1</v>
      </c>
      <c r="AU469" t="b">
        <v>1</v>
      </c>
      <c r="AV469" s="2"/>
      <c r="AW469" t="s">
        <v>21</v>
      </c>
      <c r="AX469">
        <v>1</v>
      </c>
      <c r="AY469">
        <v>422</v>
      </c>
      <c r="AZ469" t="s">
        <v>711</v>
      </c>
      <c r="BA469">
        <v>120</v>
      </c>
      <c r="BB469" s="2">
        <v>0.39</v>
      </c>
      <c r="BC469" t="s">
        <v>927</v>
      </c>
      <c r="BD469" t="s">
        <v>922</v>
      </c>
      <c r="BE469" t="s">
        <v>940</v>
      </c>
      <c r="BF469" s="7">
        <v>20</v>
      </c>
      <c r="BG4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69">
        <v>0</v>
      </c>
      <c r="BI469" t="s">
        <v>734</v>
      </c>
      <c r="BJ469" s="11">
        <v>73</v>
      </c>
      <c r="BK469" s="11">
        <v>8</v>
      </c>
      <c r="BL469" s="11">
        <v>31</v>
      </c>
      <c r="BM469">
        <v>0</v>
      </c>
      <c r="BN469" t="s">
        <v>692</v>
      </c>
      <c r="BO469" t="s">
        <v>694</v>
      </c>
      <c r="BP469" t="s">
        <v>701</v>
      </c>
      <c r="BQ469" t="s">
        <v>705</v>
      </c>
      <c r="BR469" t="s">
        <v>706</v>
      </c>
      <c r="BS469" t="s">
        <v>707</v>
      </c>
      <c r="CR469"/>
      <c r="CS469"/>
      <c r="CT469"/>
    </row>
    <row r="470" spans="1:98" x14ac:dyDescent="0.4">
      <c r="A470" s="2" t="s">
        <v>497</v>
      </c>
      <c r="B470" t="str">
        <f>_xlfn.TEXTAFTER(Table1[[#This Row],[VEHIDCODE]],"_")</f>
        <v>Norway_NSB_BM_93_Talent</v>
      </c>
      <c r="C470" t="s">
        <v>742</v>
      </c>
      <c r="D470" t="b">
        <f>OR(ISNUMBER(SEARCH("wagon_",Table1[[#This Row],[FILENAMES_EXPECTED]])),ISNUMBER(SEARCH("coach_",Table1[[#This Row],[FILENAMES_EXPECTED]])))</f>
        <v>0</v>
      </c>
      <c r="E470" t="str">
        <f>"item_"&amp;Table1[[#This Row],[VEHIDCODE]]</f>
        <v>item_dmu_Norway_NSB_BM_93_Talent</v>
      </c>
      <c r="F470" t="str">
        <f>"str_"&amp;Table1[[#This Row],[VEHIDCODE]]</f>
        <v>str_dmu_Norway_NSB_BM_93_Talent</v>
      </c>
      <c r="O470" s="2" t="b">
        <v>1</v>
      </c>
      <c r="AJ470" s="2"/>
      <c r="AK470" s="2" t="b">
        <f>LEN(_xlfn.CONCAT(Table1[[#This Row],[TRACK_TYPE_STANDARD_GAUGE_RAILTYPE_OHLE]:[TRACK_TYPE_MTRO]]))&gt;0</f>
        <v>1</v>
      </c>
      <c r="AL470">
        <v>8</v>
      </c>
      <c r="AM470" t="s">
        <v>18</v>
      </c>
      <c r="AN470">
        <v>1</v>
      </c>
      <c r="AO470" t="s">
        <v>35</v>
      </c>
      <c r="AP470">
        <v>55</v>
      </c>
      <c r="AQ470">
        <v>2001</v>
      </c>
      <c r="AR470">
        <v>8</v>
      </c>
      <c r="AS470" s="2" t="s">
        <v>24</v>
      </c>
      <c r="AT470" t="b">
        <v>1</v>
      </c>
      <c r="AU470" t="b">
        <v>1</v>
      </c>
      <c r="AV470" s="2"/>
      <c r="AW470">
        <v>45</v>
      </c>
      <c r="AX470">
        <v>1</v>
      </c>
      <c r="AY470">
        <v>410</v>
      </c>
      <c r="AZ470" t="s">
        <v>711</v>
      </c>
      <c r="BA470">
        <v>140</v>
      </c>
      <c r="BB470" s="2">
        <v>0.21</v>
      </c>
      <c r="BC470" t="s">
        <v>927</v>
      </c>
      <c r="BD470" t="s">
        <v>922</v>
      </c>
      <c r="BE470" t="s">
        <v>940</v>
      </c>
      <c r="BF470" s="7">
        <v>20</v>
      </c>
      <c r="BG4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0">
        <v>0</v>
      </c>
      <c r="BI470" t="s">
        <v>734</v>
      </c>
      <c r="BJ470" s="11">
        <v>55</v>
      </c>
      <c r="BK470" s="11">
        <v>8</v>
      </c>
      <c r="BL470" s="11">
        <v>29</v>
      </c>
      <c r="BM470">
        <v>0</v>
      </c>
      <c r="BN470" t="s">
        <v>692</v>
      </c>
      <c r="BO470" t="s">
        <v>694</v>
      </c>
      <c r="BP470" t="s">
        <v>701</v>
      </c>
      <c r="BQ470" t="s">
        <v>705</v>
      </c>
      <c r="BR470" t="s">
        <v>706</v>
      </c>
      <c r="BS470" t="s">
        <v>707</v>
      </c>
      <c r="CR470"/>
      <c r="CS470"/>
      <c r="CT470"/>
    </row>
    <row r="471" spans="1:98" x14ac:dyDescent="0.4">
      <c r="A471" s="2" t="s">
        <v>498</v>
      </c>
      <c r="B471" t="str">
        <f>_xlfn.TEXTAFTER(Table1[[#This Row],[VEHIDCODE]],"_")</f>
        <v>Australia_Transwa_Prospector</v>
      </c>
      <c r="C471" t="s">
        <v>742</v>
      </c>
      <c r="D471" t="b">
        <f>OR(ISNUMBER(SEARCH("wagon_",Table1[[#This Row],[FILENAMES_EXPECTED]])),ISNUMBER(SEARCH("coach_",Table1[[#This Row],[FILENAMES_EXPECTED]])))</f>
        <v>0</v>
      </c>
      <c r="E471" t="str">
        <f>"item_"&amp;Table1[[#This Row],[VEHIDCODE]]</f>
        <v>item_dmu_Australia_Transwa_Prospector</v>
      </c>
      <c r="F471" t="str">
        <f>"str_"&amp;Table1[[#This Row],[VEHIDCODE]]</f>
        <v>str_dmu_Australia_Transwa_Prospector</v>
      </c>
      <c r="O471" s="2" t="b">
        <v>1</v>
      </c>
      <c r="AJ471" s="2"/>
      <c r="AK471" s="2" t="b">
        <f>LEN(_xlfn.CONCAT(Table1[[#This Row],[TRACK_TYPE_STANDARD_GAUGE_RAILTYPE_OHLE]:[TRACK_TYPE_MTRO]]))&gt;0</f>
        <v>1</v>
      </c>
      <c r="AL471">
        <v>8</v>
      </c>
      <c r="AM471" t="s">
        <v>18</v>
      </c>
      <c r="AN471">
        <v>1</v>
      </c>
      <c r="AO471" t="s">
        <v>35</v>
      </c>
      <c r="AP471">
        <v>68</v>
      </c>
      <c r="AQ471">
        <v>2004</v>
      </c>
      <c r="AR471">
        <v>8</v>
      </c>
      <c r="AS471" s="2" t="s">
        <v>480</v>
      </c>
      <c r="AT471" t="b">
        <v>1</v>
      </c>
      <c r="AU471" t="b">
        <v>1</v>
      </c>
      <c r="AV471" s="2"/>
      <c r="AW471" t="s">
        <v>21</v>
      </c>
      <c r="AX471">
        <v>1</v>
      </c>
      <c r="AY471">
        <v>520</v>
      </c>
      <c r="AZ471" t="s">
        <v>711</v>
      </c>
      <c r="BA471">
        <v>200</v>
      </c>
      <c r="BB471" s="2">
        <v>0.33</v>
      </c>
      <c r="BC471" t="s">
        <v>925</v>
      </c>
      <c r="BD471" t="s">
        <v>922</v>
      </c>
      <c r="BE471" t="s">
        <v>940</v>
      </c>
      <c r="BF471" s="7">
        <v>25</v>
      </c>
      <c r="BG4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1">
        <v>0</v>
      </c>
      <c r="BI471" t="s">
        <v>734</v>
      </c>
      <c r="BJ471" s="11">
        <v>68</v>
      </c>
      <c r="BK471" s="11">
        <v>8</v>
      </c>
      <c r="BL471" s="11">
        <v>33</v>
      </c>
      <c r="BM471">
        <v>0</v>
      </c>
      <c r="BN471" t="s">
        <v>692</v>
      </c>
      <c r="BO471" t="s">
        <v>694</v>
      </c>
      <c r="BP471" t="s">
        <v>701</v>
      </c>
      <c r="BQ471" t="s">
        <v>705</v>
      </c>
      <c r="BR471" t="s">
        <v>706</v>
      </c>
      <c r="BS471" t="s">
        <v>707</v>
      </c>
      <c r="CR471"/>
      <c r="CS471"/>
      <c r="CT471"/>
    </row>
    <row r="472" spans="1:98" x14ac:dyDescent="0.4">
      <c r="A472" s="2" t="s">
        <v>499</v>
      </c>
      <c r="B472" t="str">
        <f>_xlfn.TEXTAFTER(Table1[[#This Row],[VEHIDCODE]],"_")</f>
        <v>Australia_CityRail_Hunter_Railcar</v>
      </c>
      <c r="C472" t="s">
        <v>742</v>
      </c>
      <c r="D472" t="b">
        <f>OR(ISNUMBER(SEARCH("wagon_",Table1[[#This Row],[FILENAMES_EXPECTED]])),ISNUMBER(SEARCH("coach_",Table1[[#This Row],[FILENAMES_EXPECTED]])))</f>
        <v>0</v>
      </c>
      <c r="E472" t="str">
        <f>"item_"&amp;Table1[[#This Row],[VEHIDCODE]]</f>
        <v>item_dmu_Australia_CityRail_Hunter_Railcar</v>
      </c>
      <c r="F472" t="str">
        <f>"str_"&amp;Table1[[#This Row],[VEHIDCODE]]</f>
        <v>str_dmu_Australia_CityRail_Hunter_Railcar</v>
      </c>
      <c r="O472" s="2" t="b">
        <v>1</v>
      </c>
      <c r="AJ472" s="2"/>
      <c r="AK472" s="2" t="b">
        <f>LEN(_xlfn.CONCAT(Table1[[#This Row],[TRACK_TYPE_STANDARD_GAUGE_RAILTYPE_OHLE]:[TRACK_TYPE_MTRO]]))&gt;0</f>
        <v>1</v>
      </c>
      <c r="AL472">
        <v>8</v>
      </c>
      <c r="AM472" t="s">
        <v>18</v>
      </c>
      <c r="AN472">
        <v>1</v>
      </c>
      <c r="AO472" t="s">
        <v>35</v>
      </c>
      <c r="AP472">
        <v>70</v>
      </c>
      <c r="AQ472">
        <v>2006</v>
      </c>
      <c r="AR472">
        <v>8</v>
      </c>
      <c r="AS472" s="2" t="s">
        <v>24</v>
      </c>
      <c r="AT472" t="b">
        <v>1</v>
      </c>
      <c r="AU472" t="b">
        <v>1</v>
      </c>
      <c r="AV472" s="2"/>
      <c r="AW472" t="s">
        <v>21</v>
      </c>
      <c r="AX472">
        <v>1</v>
      </c>
      <c r="AY472">
        <v>750</v>
      </c>
      <c r="AZ472" t="s">
        <v>711</v>
      </c>
      <c r="BA472">
        <v>160</v>
      </c>
      <c r="BB472" s="2">
        <v>0.33</v>
      </c>
      <c r="BC472" t="s">
        <v>925</v>
      </c>
      <c r="BD472" t="s">
        <v>922</v>
      </c>
      <c r="BE472" t="s">
        <v>940</v>
      </c>
      <c r="BF472" s="7">
        <v>25</v>
      </c>
      <c r="BG4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2">
        <v>0</v>
      </c>
      <c r="BI472" t="s">
        <v>734</v>
      </c>
      <c r="BJ472" s="11">
        <v>70</v>
      </c>
      <c r="BK472" s="11">
        <v>8</v>
      </c>
      <c r="BL472" s="11">
        <v>30</v>
      </c>
      <c r="BM472">
        <v>0</v>
      </c>
      <c r="BN472" t="s">
        <v>692</v>
      </c>
      <c r="BO472" t="s">
        <v>694</v>
      </c>
      <c r="BP472" t="s">
        <v>701</v>
      </c>
      <c r="BQ472" t="s">
        <v>705</v>
      </c>
      <c r="BR472" t="s">
        <v>706</v>
      </c>
      <c r="BS472" t="s">
        <v>707</v>
      </c>
      <c r="CR472"/>
      <c r="CS472"/>
      <c r="CT472"/>
    </row>
    <row r="473" spans="1:98" x14ac:dyDescent="0.4">
      <c r="A473" s="2" t="s">
        <v>500</v>
      </c>
      <c r="B473" t="str">
        <f>_xlfn.TEXTAFTER(Table1[[#This Row],[VEHIDCODE]],"_")</f>
        <v>Russia_RZD_RA2</v>
      </c>
      <c r="C473" t="s">
        <v>742</v>
      </c>
      <c r="D473" t="b">
        <f>OR(ISNUMBER(SEARCH("wagon_",Table1[[#This Row],[FILENAMES_EXPECTED]])),ISNUMBER(SEARCH("coach_",Table1[[#This Row],[FILENAMES_EXPECTED]])))</f>
        <v>0</v>
      </c>
      <c r="E473" t="str">
        <f>"item_"&amp;Table1[[#This Row],[VEHIDCODE]]</f>
        <v>item_dmu_Russia_RZD_RA2</v>
      </c>
      <c r="F473" t="str">
        <f>"str_"&amp;Table1[[#This Row],[VEHIDCODE]]</f>
        <v>str_dmu_Russia_RZD_RA2</v>
      </c>
      <c r="AG473" s="2" t="b">
        <v>1</v>
      </c>
      <c r="AJ473" s="2"/>
      <c r="AK473" s="2" t="b">
        <f>LEN(_xlfn.CONCAT(Table1[[#This Row],[TRACK_TYPE_STANDARD_GAUGE_RAILTYPE_OHLE]:[TRACK_TYPE_MTRO]]))&gt;0</f>
        <v>1</v>
      </c>
      <c r="AL473">
        <v>8</v>
      </c>
      <c r="AM473" t="s">
        <v>18</v>
      </c>
      <c r="AN473">
        <v>1</v>
      </c>
      <c r="AO473" t="s">
        <v>35</v>
      </c>
      <c r="AP473">
        <v>74</v>
      </c>
      <c r="AQ473">
        <v>2006</v>
      </c>
      <c r="AR473">
        <v>8</v>
      </c>
      <c r="AS473" s="2" t="s">
        <v>24</v>
      </c>
      <c r="AT473" t="b">
        <v>1</v>
      </c>
      <c r="AU473" t="b">
        <v>1</v>
      </c>
      <c r="AV473" s="2"/>
      <c r="AW473" t="s">
        <v>21</v>
      </c>
      <c r="AX473">
        <v>1</v>
      </c>
      <c r="AY473">
        <v>840</v>
      </c>
      <c r="AZ473" t="s">
        <v>711</v>
      </c>
      <c r="BA473">
        <v>100</v>
      </c>
      <c r="BB473" s="2">
        <v>0.28000000000000003</v>
      </c>
      <c r="BC473" t="s">
        <v>931</v>
      </c>
      <c r="BD473" t="s">
        <v>922</v>
      </c>
      <c r="BE473" t="s">
        <v>940</v>
      </c>
      <c r="BF473" s="7">
        <v>25</v>
      </c>
      <c r="BG4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3">
        <v>0</v>
      </c>
      <c r="BI473" t="s">
        <v>734</v>
      </c>
      <c r="BJ473" s="11">
        <v>74</v>
      </c>
      <c r="BK473" s="11">
        <v>8</v>
      </c>
      <c r="BL473" s="11">
        <v>44</v>
      </c>
      <c r="BM473">
        <v>0</v>
      </c>
      <c r="BN473" t="s">
        <v>692</v>
      </c>
      <c r="BO473" t="s">
        <v>694</v>
      </c>
      <c r="BP473" t="s">
        <v>701</v>
      </c>
      <c r="BQ473" t="s">
        <v>705</v>
      </c>
      <c r="BR473" t="s">
        <v>706</v>
      </c>
      <c r="BS473" t="s">
        <v>707</v>
      </c>
      <c r="CR473"/>
      <c r="CS473"/>
      <c r="CT473"/>
    </row>
    <row r="474" spans="1:98" x14ac:dyDescent="0.4">
      <c r="A474" s="2" t="s">
        <v>501</v>
      </c>
      <c r="B474" t="str">
        <f>_xlfn.TEXTAFTER(Table1[[#This Row],[VEHIDCODE]],"_")</f>
        <v>Denmark_DSB_IC4</v>
      </c>
      <c r="C474" t="s">
        <v>742</v>
      </c>
      <c r="D474" t="b">
        <f>OR(ISNUMBER(SEARCH("wagon_",Table1[[#This Row],[FILENAMES_EXPECTED]])),ISNUMBER(SEARCH("coach_",Table1[[#This Row],[FILENAMES_EXPECTED]])))</f>
        <v>0</v>
      </c>
      <c r="E474" t="str">
        <f>"item_"&amp;Table1[[#This Row],[VEHIDCODE]]</f>
        <v>item_dmu_Denmark_DSB_IC4</v>
      </c>
      <c r="F474" t="str">
        <f>"str_"&amp;Table1[[#This Row],[VEHIDCODE]]</f>
        <v>str_dmu_Denmark_DSB_IC4</v>
      </c>
      <c r="O474" s="2" t="b">
        <v>1</v>
      </c>
      <c r="AJ474" s="2"/>
      <c r="AK474" s="2" t="b">
        <f>LEN(_xlfn.CONCAT(Table1[[#This Row],[TRACK_TYPE_STANDARD_GAUGE_RAILTYPE_OHLE]:[TRACK_TYPE_MTRO]]))&gt;0</f>
        <v>1</v>
      </c>
      <c r="AL474">
        <v>8</v>
      </c>
      <c r="AM474" t="s">
        <v>18</v>
      </c>
      <c r="AN474">
        <v>1</v>
      </c>
      <c r="AO474" t="s">
        <v>35</v>
      </c>
      <c r="AP474">
        <v>52</v>
      </c>
      <c r="AQ474">
        <v>2007</v>
      </c>
      <c r="AR474">
        <v>8</v>
      </c>
      <c r="AS474" s="2" t="s">
        <v>480</v>
      </c>
      <c r="AT474" t="b">
        <v>1</v>
      </c>
      <c r="AU474" t="b">
        <v>1</v>
      </c>
      <c r="AV474" s="2"/>
      <c r="AW474" t="s">
        <v>21</v>
      </c>
      <c r="AX474">
        <v>1</v>
      </c>
      <c r="AY474">
        <v>750</v>
      </c>
      <c r="AZ474" t="s">
        <v>711</v>
      </c>
      <c r="BA474">
        <v>200</v>
      </c>
      <c r="BB474" s="2">
        <v>0.62</v>
      </c>
      <c r="BC474" t="s">
        <v>927</v>
      </c>
      <c r="BD474" t="s">
        <v>922</v>
      </c>
      <c r="BE474" t="s">
        <v>940</v>
      </c>
      <c r="BF474" s="7">
        <v>25</v>
      </c>
      <c r="BG4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4">
        <v>0</v>
      </c>
      <c r="BI474" t="s">
        <v>734</v>
      </c>
      <c r="BJ474" s="11">
        <v>52</v>
      </c>
      <c r="BK474" s="11">
        <v>8</v>
      </c>
      <c r="BL474" s="11">
        <v>36</v>
      </c>
      <c r="BM474">
        <v>0</v>
      </c>
      <c r="BN474" t="s">
        <v>692</v>
      </c>
      <c r="BO474" t="s">
        <v>694</v>
      </c>
      <c r="BP474" t="s">
        <v>701</v>
      </c>
      <c r="BQ474" t="s">
        <v>705</v>
      </c>
      <c r="BR474" t="s">
        <v>706</v>
      </c>
      <c r="BS474" t="s">
        <v>707</v>
      </c>
      <c r="CR474"/>
      <c r="CS474"/>
      <c r="CT474"/>
    </row>
    <row r="475" spans="1:98" x14ac:dyDescent="0.4">
      <c r="A475" s="2" t="s">
        <v>502</v>
      </c>
      <c r="B475" t="str">
        <f>_xlfn.TEXTAFTER(Table1[[#This Row],[VEHIDCODE]],"_")</f>
        <v>Croatia_HZ_7022</v>
      </c>
      <c r="C475" t="s">
        <v>742</v>
      </c>
      <c r="D475" t="b">
        <f>OR(ISNUMBER(SEARCH("wagon_",Table1[[#This Row],[FILENAMES_EXPECTED]])),ISNUMBER(SEARCH("coach_",Table1[[#This Row],[FILENAMES_EXPECTED]])))</f>
        <v>0</v>
      </c>
      <c r="E475" t="str">
        <f>"item_"&amp;Table1[[#This Row],[VEHIDCODE]]</f>
        <v>item_dmu_Croatia_HZ_7022</v>
      </c>
      <c r="F475" t="str">
        <f>"str_"&amp;Table1[[#This Row],[VEHIDCODE]]</f>
        <v>str_dmu_Croatia_HZ_7022</v>
      </c>
      <c r="O475" s="2" t="b">
        <v>1</v>
      </c>
      <c r="AJ475" s="2"/>
      <c r="AK475" s="2" t="b">
        <f>LEN(_xlfn.CONCAT(Table1[[#This Row],[TRACK_TYPE_STANDARD_GAUGE_RAILTYPE_OHLE]:[TRACK_TYPE_MTRO]]))&gt;0</f>
        <v>1</v>
      </c>
      <c r="AL475">
        <v>8</v>
      </c>
      <c r="AM475" t="s">
        <v>18</v>
      </c>
      <c r="AN475">
        <v>1</v>
      </c>
      <c r="AO475" t="s">
        <v>35</v>
      </c>
      <c r="AP475">
        <v>66</v>
      </c>
      <c r="AQ475">
        <v>2011</v>
      </c>
      <c r="AR475">
        <v>8</v>
      </c>
      <c r="AS475" s="2" t="s">
        <v>480</v>
      </c>
      <c r="AT475" t="b">
        <v>1</v>
      </c>
      <c r="AU475" t="b">
        <v>1</v>
      </c>
      <c r="AV475" s="2"/>
      <c r="AW475" t="s">
        <v>21</v>
      </c>
      <c r="AX475">
        <v>1</v>
      </c>
      <c r="AY475">
        <v>1350</v>
      </c>
      <c r="AZ475" t="s">
        <v>711</v>
      </c>
      <c r="BA475">
        <v>160</v>
      </c>
      <c r="BB475" s="2">
        <v>0.53</v>
      </c>
      <c r="BC475" t="s">
        <v>929</v>
      </c>
      <c r="BD475" t="s">
        <v>922</v>
      </c>
      <c r="BE475" t="s">
        <v>940</v>
      </c>
      <c r="BF475" s="7">
        <v>25</v>
      </c>
      <c r="BG4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5">
        <v>0</v>
      </c>
      <c r="BI475" t="s">
        <v>734</v>
      </c>
      <c r="BJ475" s="11">
        <v>66</v>
      </c>
      <c r="BK475" s="11">
        <v>8</v>
      </c>
      <c r="BL475" s="11">
        <v>38</v>
      </c>
      <c r="BM475">
        <v>0</v>
      </c>
      <c r="BN475" t="s">
        <v>692</v>
      </c>
      <c r="BO475" t="s">
        <v>694</v>
      </c>
      <c r="BP475" t="s">
        <v>701</v>
      </c>
      <c r="BQ475" t="s">
        <v>705</v>
      </c>
      <c r="BR475" t="s">
        <v>706</v>
      </c>
      <c r="BS475" t="s">
        <v>707</v>
      </c>
      <c r="CR475"/>
      <c r="CS475"/>
      <c r="CT475"/>
    </row>
    <row r="476" spans="1:98" x14ac:dyDescent="0.4">
      <c r="A476" s="2" t="s">
        <v>503</v>
      </c>
      <c r="B476" t="str">
        <f>_xlfn.TEXTAFTER(Table1[[#This Row],[VEHIDCODE]],"_")</f>
        <v>Turkey_TCDD_MT_5500</v>
      </c>
      <c r="C476" t="s">
        <v>742</v>
      </c>
      <c r="D476" t="b">
        <f>OR(ISNUMBER(SEARCH("wagon_",Table1[[#This Row],[FILENAMES_EXPECTED]])),ISNUMBER(SEARCH("coach_",Table1[[#This Row],[FILENAMES_EXPECTED]])))</f>
        <v>0</v>
      </c>
      <c r="E476" t="str">
        <f>"item_"&amp;Table1[[#This Row],[VEHIDCODE]]</f>
        <v>item_dmu_Turkey_TCDD_MT_5500</v>
      </c>
      <c r="F476" t="str">
        <f>"str_"&amp;Table1[[#This Row],[VEHIDCODE]]</f>
        <v>str_dmu_Turkey_TCDD_MT_5500</v>
      </c>
      <c r="O476" s="2" t="b">
        <v>1</v>
      </c>
      <c r="AJ476" s="2"/>
      <c r="AK476" s="2" t="b">
        <f>LEN(_xlfn.CONCAT(Table1[[#This Row],[TRACK_TYPE_STANDARD_GAUGE_RAILTYPE_OHLE]:[TRACK_TYPE_MTRO]]))&gt;0</f>
        <v>1</v>
      </c>
      <c r="AL476">
        <v>8</v>
      </c>
      <c r="AM476" t="s">
        <v>18</v>
      </c>
      <c r="AN476">
        <v>1</v>
      </c>
      <c r="AO476" t="s">
        <v>35</v>
      </c>
      <c r="AP476">
        <v>76</v>
      </c>
      <c r="AQ476">
        <v>1961</v>
      </c>
      <c r="AR476">
        <v>8</v>
      </c>
      <c r="AS476" s="2" t="s">
        <v>24</v>
      </c>
      <c r="AT476" t="b">
        <v>1</v>
      </c>
      <c r="AU476" t="b">
        <v>1</v>
      </c>
      <c r="AV476" s="2"/>
      <c r="AW476">
        <v>45</v>
      </c>
      <c r="AX476">
        <v>1</v>
      </c>
      <c r="AY476">
        <v>390</v>
      </c>
      <c r="AZ476" t="s">
        <v>711</v>
      </c>
      <c r="BA476">
        <v>90</v>
      </c>
      <c r="BB476" s="2">
        <v>0.23</v>
      </c>
      <c r="BC476" t="s">
        <v>931</v>
      </c>
      <c r="BD476" t="s">
        <v>922</v>
      </c>
      <c r="BE476" t="s">
        <v>940</v>
      </c>
      <c r="BF476" s="7">
        <v>20</v>
      </c>
      <c r="BG4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6">
        <v>0</v>
      </c>
      <c r="BI476" t="s">
        <v>734</v>
      </c>
      <c r="BJ476" s="11">
        <v>76</v>
      </c>
      <c r="BK476" s="11">
        <v>8</v>
      </c>
      <c r="BL476" s="11">
        <v>35</v>
      </c>
      <c r="BM476">
        <v>0</v>
      </c>
      <c r="BN476" t="s">
        <v>692</v>
      </c>
      <c r="BO476" t="s">
        <v>694</v>
      </c>
      <c r="BP476" t="s">
        <v>701</v>
      </c>
      <c r="BQ476" t="s">
        <v>705</v>
      </c>
      <c r="BR476" t="s">
        <v>706</v>
      </c>
      <c r="BS476" t="s">
        <v>707</v>
      </c>
      <c r="CR476"/>
      <c r="CS476"/>
      <c r="CT476"/>
    </row>
    <row r="477" spans="1:98" x14ac:dyDescent="0.4">
      <c r="A477" s="2" t="s">
        <v>504</v>
      </c>
      <c r="B477" t="str">
        <f>_xlfn.TEXTAFTER(Table1[[#This Row],[VEHIDCODE]],"_")</f>
        <v>Japan_JNR_KiHa_181</v>
      </c>
      <c r="C477" t="s">
        <v>742</v>
      </c>
      <c r="D477" t="b">
        <f>OR(ISNUMBER(SEARCH("wagon_",Table1[[#This Row],[FILENAMES_EXPECTED]])),ISNUMBER(SEARCH("coach_",Table1[[#This Row],[FILENAMES_EXPECTED]])))</f>
        <v>0</v>
      </c>
      <c r="E477" t="str">
        <f>"item_"&amp;Table1[[#This Row],[VEHIDCODE]]</f>
        <v>item_dmu_Japan_JNR_KiHa_181</v>
      </c>
      <c r="F477" t="str">
        <f>"str_"&amp;Table1[[#This Row],[VEHIDCODE]]</f>
        <v>str_dmu_Japan_JNR_KiHa_181</v>
      </c>
      <c r="X477" s="2" t="b">
        <v>1</v>
      </c>
      <c r="AJ477" s="2"/>
      <c r="AK477" s="2" t="b">
        <f>LEN(_xlfn.CONCAT(Table1[[#This Row],[TRACK_TYPE_STANDARD_GAUGE_RAILTYPE_OHLE]:[TRACK_TYPE_MTRO]]))&gt;0</f>
        <v>1</v>
      </c>
      <c r="AL477">
        <v>8</v>
      </c>
      <c r="AM477" t="s">
        <v>18</v>
      </c>
      <c r="AN477">
        <v>1</v>
      </c>
      <c r="AO477" t="s">
        <v>35</v>
      </c>
      <c r="AP477">
        <v>52</v>
      </c>
      <c r="AQ477">
        <v>1968</v>
      </c>
      <c r="AR477">
        <v>8</v>
      </c>
      <c r="AS477" s="2" t="s">
        <v>24</v>
      </c>
      <c r="AT477" t="b">
        <v>1</v>
      </c>
      <c r="AU477" t="b">
        <v>1</v>
      </c>
      <c r="AV477" s="2"/>
      <c r="AW477">
        <v>45</v>
      </c>
      <c r="AX477">
        <v>1</v>
      </c>
      <c r="AY477">
        <v>500</v>
      </c>
      <c r="AZ477" t="s">
        <v>711</v>
      </c>
      <c r="BA477">
        <v>120</v>
      </c>
      <c r="BB477" s="2">
        <v>0.34</v>
      </c>
      <c r="BC477" t="s">
        <v>931</v>
      </c>
      <c r="BD477" t="s">
        <v>922</v>
      </c>
      <c r="BE477" t="s">
        <v>940</v>
      </c>
      <c r="BF477" s="7">
        <v>20</v>
      </c>
      <c r="BG4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7">
        <v>0</v>
      </c>
      <c r="BI477" t="s">
        <v>734</v>
      </c>
      <c r="BJ477" s="11">
        <v>52</v>
      </c>
      <c r="BK477" s="11">
        <v>8</v>
      </c>
      <c r="BL477" s="11">
        <v>44</v>
      </c>
      <c r="BM477">
        <v>0</v>
      </c>
      <c r="BN477" t="s">
        <v>692</v>
      </c>
      <c r="BO477" t="s">
        <v>694</v>
      </c>
      <c r="BP477" t="s">
        <v>701</v>
      </c>
      <c r="BQ477" t="s">
        <v>705</v>
      </c>
      <c r="BR477" t="s">
        <v>706</v>
      </c>
      <c r="BS477" t="s">
        <v>707</v>
      </c>
      <c r="CR477"/>
      <c r="CS477"/>
      <c r="CT477"/>
    </row>
    <row r="478" spans="1:98" x14ac:dyDescent="0.4">
      <c r="A478" s="2" t="s">
        <v>505</v>
      </c>
      <c r="B478" t="str">
        <f>_xlfn.TEXTAFTER(Table1[[#This Row],[VEHIDCODE]],"_")</f>
        <v>Czech_Republic_CD_814</v>
      </c>
      <c r="C478" t="s">
        <v>742</v>
      </c>
      <c r="D478" t="b">
        <f>OR(ISNUMBER(SEARCH("wagon_",Table1[[#This Row],[FILENAMES_EXPECTED]])),ISNUMBER(SEARCH("coach_",Table1[[#This Row],[FILENAMES_EXPECTED]])))</f>
        <v>0</v>
      </c>
      <c r="E478" t="str">
        <f>"item_"&amp;Table1[[#This Row],[VEHIDCODE]]</f>
        <v>item_dmu_Czech_Republic_CD_814</v>
      </c>
      <c r="F478" t="str">
        <f>"str_"&amp;Table1[[#This Row],[VEHIDCODE]]</f>
        <v>str_dmu_Czech_Republic_CD_814</v>
      </c>
      <c r="O478" s="2" t="b">
        <v>1</v>
      </c>
      <c r="AJ478" s="2"/>
      <c r="AK478" s="2" t="b">
        <f>LEN(_xlfn.CONCAT(Table1[[#This Row],[TRACK_TYPE_STANDARD_GAUGE_RAILTYPE_OHLE]:[TRACK_TYPE_MTRO]]))&gt;0</f>
        <v>1</v>
      </c>
      <c r="AL478">
        <v>6</v>
      </c>
      <c r="AM478" t="s">
        <v>18</v>
      </c>
      <c r="AN478">
        <v>1</v>
      </c>
      <c r="AO478" t="s">
        <v>35</v>
      </c>
      <c r="AP478">
        <v>42</v>
      </c>
      <c r="AQ478">
        <v>1973</v>
      </c>
      <c r="AR478">
        <v>6</v>
      </c>
      <c r="AS478" s="2" t="s">
        <v>24</v>
      </c>
      <c r="AT478" t="b">
        <v>1</v>
      </c>
      <c r="AU478" t="b">
        <v>1</v>
      </c>
      <c r="AV478" s="2"/>
      <c r="AW478">
        <v>45</v>
      </c>
      <c r="AX478">
        <v>1</v>
      </c>
      <c r="AY478">
        <v>325</v>
      </c>
      <c r="AZ478" t="s">
        <v>711</v>
      </c>
      <c r="BA478">
        <v>80</v>
      </c>
      <c r="BB478" s="2">
        <v>0.25</v>
      </c>
      <c r="BC478" t="s">
        <v>929</v>
      </c>
      <c r="BD478" t="s">
        <v>922</v>
      </c>
      <c r="BE478" t="s">
        <v>940</v>
      </c>
      <c r="BF478" s="7">
        <v>20</v>
      </c>
      <c r="BG4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8">
        <v>0</v>
      </c>
      <c r="BI478" t="s">
        <v>734</v>
      </c>
      <c r="BJ478" s="11">
        <v>42</v>
      </c>
      <c r="BK478" s="11">
        <v>6</v>
      </c>
      <c r="BL478" s="11">
        <v>22</v>
      </c>
      <c r="BM478">
        <v>0</v>
      </c>
      <c r="BN478" t="s">
        <v>692</v>
      </c>
      <c r="BO478" t="s">
        <v>694</v>
      </c>
      <c r="BP478" t="s">
        <v>701</v>
      </c>
      <c r="BQ478" t="s">
        <v>705</v>
      </c>
      <c r="BR478" t="s">
        <v>706</v>
      </c>
      <c r="BS478" t="s">
        <v>707</v>
      </c>
      <c r="CR478"/>
      <c r="CS478"/>
      <c r="CT478"/>
    </row>
    <row r="479" spans="1:98" x14ac:dyDescent="0.4">
      <c r="A479" s="2" t="s">
        <v>506</v>
      </c>
      <c r="B479" t="str">
        <f>_xlfn.TEXTAFTER(Table1[[#This Row],[VEHIDCODE]],"_")</f>
        <v>UK_BR_150_0_Sprinter</v>
      </c>
      <c r="C479" t="s">
        <v>742</v>
      </c>
      <c r="D479" t="b">
        <f>OR(ISNUMBER(SEARCH("wagon_",Table1[[#This Row],[FILENAMES_EXPECTED]])),ISNUMBER(SEARCH("coach_",Table1[[#This Row],[FILENAMES_EXPECTED]])))</f>
        <v>0</v>
      </c>
      <c r="E479" t="str">
        <f>"item_"&amp;Table1[[#This Row],[VEHIDCODE]]</f>
        <v>item_dmu_UK_BR_150_0_Sprinter</v>
      </c>
      <c r="F479" t="str">
        <f>"str_"&amp;Table1[[#This Row],[VEHIDCODE]]</f>
        <v>str_dmu_UK_BR_150_0_Sprinter</v>
      </c>
      <c r="O479" s="2" t="b">
        <v>1</v>
      </c>
      <c r="AJ479" s="2"/>
      <c r="AK479" s="2" t="b">
        <f>LEN(_xlfn.CONCAT(Table1[[#This Row],[TRACK_TYPE_STANDARD_GAUGE_RAILTYPE_OHLE]:[TRACK_TYPE_MTRO]]))&gt;0</f>
        <v>1</v>
      </c>
      <c r="AL479">
        <v>7</v>
      </c>
      <c r="AM479" t="s">
        <v>18</v>
      </c>
      <c r="AN479">
        <v>1</v>
      </c>
      <c r="AO479" t="s">
        <v>35</v>
      </c>
      <c r="AP479">
        <v>80</v>
      </c>
      <c r="AQ479">
        <v>1984</v>
      </c>
      <c r="AR479">
        <v>7</v>
      </c>
      <c r="AS479" s="2" t="s">
        <v>24</v>
      </c>
      <c r="AT479" t="b">
        <v>1</v>
      </c>
      <c r="AU479" t="b">
        <v>1</v>
      </c>
      <c r="AV479" s="2"/>
      <c r="AW479">
        <v>45</v>
      </c>
      <c r="AX479">
        <v>1</v>
      </c>
      <c r="AY479">
        <v>389</v>
      </c>
      <c r="AZ479" t="s">
        <v>711</v>
      </c>
      <c r="BA479">
        <v>121</v>
      </c>
      <c r="BB479" s="2">
        <v>0.26</v>
      </c>
      <c r="BC479" t="s">
        <v>927</v>
      </c>
      <c r="BD479" t="s">
        <v>922</v>
      </c>
      <c r="BE479" t="s">
        <v>940</v>
      </c>
      <c r="BF479" s="7">
        <v>20</v>
      </c>
      <c r="BG4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79">
        <v>0</v>
      </c>
      <c r="BI479" t="s">
        <v>734</v>
      </c>
      <c r="BJ479" s="11">
        <v>80</v>
      </c>
      <c r="BK479" s="11">
        <v>7</v>
      </c>
      <c r="BL479" s="11">
        <v>36</v>
      </c>
      <c r="BM479">
        <v>0</v>
      </c>
      <c r="BN479" t="s">
        <v>692</v>
      </c>
      <c r="BO479" t="s">
        <v>694</v>
      </c>
      <c r="BP479" t="s">
        <v>701</v>
      </c>
      <c r="BQ479" t="s">
        <v>705</v>
      </c>
      <c r="BR479" t="s">
        <v>706</v>
      </c>
      <c r="BS479" t="s">
        <v>707</v>
      </c>
      <c r="CR479"/>
      <c r="CS479"/>
      <c r="CT479"/>
    </row>
    <row r="480" spans="1:98" x14ac:dyDescent="0.4">
      <c r="A480" s="2" t="s">
        <v>507</v>
      </c>
      <c r="B480" t="str">
        <f>_xlfn.TEXTAFTER(Table1[[#This Row],[VEHIDCODE]],"_")</f>
        <v>Iran_RAI_141_Pacer</v>
      </c>
      <c r="C480" t="s">
        <v>742</v>
      </c>
      <c r="D480" t="b">
        <f>OR(ISNUMBER(SEARCH("wagon_",Table1[[#This Row],[FILENAMES_EXPECTED]])),ISNUMBER(SEARCH("coach_",Table1[[#This Row],[FILENAMES_EXPECTED]])))</f>
        <v>0</v>
      </c>
      <c r="E480" t="str">
        <f>"item_"&amp;Table1[[#This Row],[VEHIDCODE]]</f>
        <v>item_dmu_Iran_RAI_141_Pacer</v>
      </c>
      <c r="F480" t="str">
        <f>"str_"&amp;Table1[[#This Row],[VEHIDCODE]]</f>
        <v>str_dmu_Iran_RAI_141_Pacer</v>
      </c>
      <c r="O480" s="2" t="b">
        <v>1</v>
      </c>
      <c r="AJ480" s="2"/>
      <c r="AK480" s="2" t="b">
        <f>LEN(_xlfn.CONCAT(Table1[[#This Row],[TRACK_TYPE_STANDARD_GAUGE_RAILTYPE_OHLE]:[TRACK_TYPE_MTRO]]))&gt;0</f>
        <v>1</v>
      </c>
      <c r="AL480">
        <v>6</v>
      </c>
      <c r="AM480" t="s">
        <v>18</v>
      </c>
      <c r="AN480">
        <v>1</v>
      </c>
      <c r="AO480" t="s">
        <v>35</v>
      </c>
      <c r="AP480">
        <v>47</v>
      </c>
      <c r="AQ480">
        <v>1984</v>
      </c>
      <c r="AR480">
        <v>6</v>
      </c>
      <c r="AS480" s="2" t="s">
        <v>24</v>
      </c>
      <c r="AT480" t="b">
        <v>1</v>
      </c>
      <c r="AU480" t="b">
        <v>1</v>
      </c>
      <c r="AV480" s="2"/>
      <c r="AW480">
        <v>45</v>
      </c>
      <c r="AX480">
        <v>1</v>
      </c>
      <c r="AY480">
        <v>204</v>
      </c>
      <c r="AZ480" t="s">
        <v>711</v>
      </c>
      <c r="BA480">
        <v>121</v>
      </c>
      <c r="BB480" s="2">
        <v>0.21</v>
      </c>
      <c r="BC480" t="s">
        <v>931</v>
      </c>
      <c r="BD480" t="s">
        <v>922</v>
      </c>
      <c r="BE480" t="s">
        <v>940</v>
      </c>
      <c r="BF480" s="7">
        <v>20</v>
      </c>
      <c r="BG4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0">
        <v>0</v>
      </c>
      <c r="BI480" t="s">
        <v>734</v>
      </c>
      <c r="BJ480" s="11">
        <v>47</v>
      </c>
      <c r="BK480" s="11">
        <v>6</v>
      </c>
      <c r="BL480" s="11">
        <v>42</v>
      </c>
      <c r="BM480">
        <v>0</v>
      </c>
      <c r="BN480" t="s">
        <v>692</v>
      </c>
      <c r="BO480" t="s">
        <v>694</v>
      </c>
      <c r="BP480" t="s">
        <v>701</v>
      </c>
      <c r="BQ480" t="s">
        <v>705</v>
      </c>
      <c r="BR480" t="s">
        <v>706</v>
      </c>
      <c r="BS480" t="s">
        <v>707</v>
      </c>
      <c r="CR480"/>
      <c r="CS480"/>
      <c r="CT480"/>
    </row>
    <row r="481" spans="1:98" x14ac:dyDescent="0.4">
      <c r="A481" s="2" t="s">
        <v>508</v>
      </c>
      <c r="B481" t="str">
        <f>_xlfn.TEXTAFTER(Table1[[#This Row],[VEHIDCODE]],"_")</f>
        <v>Israel_Israel_Railways_IC3</v>
      </c>
      <c r="C481" t="s">
        <v>742</v>
      </c>
      <c r="D481" t="b">
        <f>OR(ISNUMBER(SEARCH("wagon_",Table1[[#This Row],[FILENAMES_EXPECTED]])),ISNUMBER(SEARCH("coach_",Table1[[#This Row],[FILENAMES_EXPECTED]])))</f>
        <v>0</v>
      </c>
      <c r="E481" t="str">
        <f>"item_"&amp;Table1[[#This Row],[VEHIDCODE]]</f>
        <v>item_dmu_Israel_Israel_Railways_IC3</v>
      </c>
      <c r="F481" t="str">
        <f>"str_"&amp;Table1[[#This Row],[VEHIDCODE]]</f>
        <v>str_dmu_Israel_Israel_Railways_IC3</v>
      </c>
      <c r="O481" s="2" t="b">
        <v>1</v>
      </c>
      <c r="AJ481" s="2"/>
      <c r="AK481" s="2" t="b">
        <f>LEN(_xlfn.CONCAT(Table1[[#This Row],[TRACK_TYPE_STANDARD_GAUGE_RAILTYPE_OHLE]:[TRACK_TYPE_MTRO]]))&gt;0</f>
        <v>1</v>
      </c>
      <c r="AL481">
        <v>8</v>
      </c>
      <c r="AM481" t="s">
        <v>18</v>
      </c>
      <c r="AN481">
        <v>1</v>
      </c>
      <c r="AO481" t="s">
        <v>35</v>
      </c>
      <c r="AP481">
        <v>46</v>
      </c>
      <c r="AQ481">
        <v>1986</v>
      </c>
      <c r="AR481">
        <v>8</v>
      </c>
      <c r="AS481" s="2" t="s">
        <v>24</v>
      </c>
      <c r="AT481" t="b">
        <v>1</v>
      </c>
      <c r="AU481" t="b">
        <v>1</v>
      </c>
      <c r="AV481" s="2"/>
      <c r="AW481">
        <v>45</v>
      </c>
      <c r="AX481">
        <v>1</v>
      </c>
      <c r="AY481">
        <v>540</v>
      </c>
      <c r="AZ481" t="s">
        <v>711</v>
      </c>
      <c r="BA481">
        <v>180</v>
      </c>
      <c r="BB481" s="2">
        <v>0.31</v>
      </c>
      <c r="BC481" t="s">
        <v>931</v>
      </c>
      <c r="BD481" t="s">
        <v>922</v>
      </c>
      <c r="BE481" t="s">
        <v>940</v>
      </c>
      <c r="BF481" s="7">
        <v>20</v>
      </c>
      <c r="BG4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1">
        <v>0</v>
      </c>
      <c r="BI481" t="s">
        <v>734</v>
      </c>
      <c r="BJ481" s="11">
        <v>46</v>
      </c>
      <c r="BK481" s="11">
        <v>8</v>
      </c>
      <c r="BL481" s="11">
        <v>34</v>
      </c>
      <c r="BM481">
        <v>0</v>
      </c>
      <c r="BN481" t="s">
        <v>692</v>
      </c>
      <c r="BO481" t="s">
        <v>694</v>
      </c>
      <c r="BP481" t="s">
        <v>701</v>
      </c>
      <c r="BQ481" t="s">
        <v>705</v>
      </c>
      <c r="BR481" t="s">
        <v>706</v>
      </c>
      <c r="BS481" t="s">
        <v>707</v>
      </c>
      <c r="CR481"/>
      <c r="CS481"/>
      <c r="CT481"/>
    </row>
    <row r="482" spans="1:98" x14ac:dyDescent="0.4">
      <c r="A482" s="2" t="s">
        <v>509</v>
      </c>
      <c r="B482" t="str">
        <f>_xlfn.TEXTAFTER(Table1[[#This Row],[VEHIDCODE]],"_")</f>
        <v>Australia_TransAdelaide_3100</v>
      </c>
      <c r="C482" t="s">
        <v>742</v>
      </c>
      <c r="D482" t="b">
        <f>OR(ISNUMBER(SEARCH("wagon_",Table1[[#This Row],[FILENAMES_EXPECTED]])),ISNUMBER(SEARCH("coach_",Table1[[#This Row],[FILENAMES_EXPECTED]])))</f>
        <v>0</v>
      </c>
      <c r="E482" t="str">
        <f>"item_"&amp;Table1[[#This Row],[VEHIDCODE]]</f>
        <v>item_dmu_Australia_TransAdelaide_3100</v>
      </c>
      <c r="F482" t="str">
        <f>"str_"&amp;Table1[[#This Row],[VEHIDCODE]]</f>
        <v>str_dmu_Australia_TransAdelaide_3100</v>
      </c>
      <c r="O482" s="2" t="b">
        <v>1</v>
      </c>
      <c r="AJ482" s="2"/>
      <c r="AK482" s="2" t="b">
        <f>LEN(_xlfn.CONCAT(Table1[[#This Row],[TRACK_TYPE_STANDARD_GAUGE_RAILTYPE_OHLE]:[TRACK_TYPE_MTRO]]))&gt;0</f>
        <v>1</v>
      </c>
      <c r="AL482">
        <v>7</v>
      </c>
      <c r="AM482" t="s">
        <v>18</v>
      </c>
      <c r="AN482">
        <v>1</v>
      </c>
      <c r="AO482" t="s">
        <v>35</v>
      </c>
      <c r="AP482">
        <v>53</v>
      </c>
      <c r="AQ482">
        <v>1987</v>
      </c>
      <c r="AR482">
        <v>7</v>
      </c>
      <c r="AS482" s="2" t="s">
        <v>24</v>
      </c>
      <c r="AT482" t="b">
        <v>1</v>
      </c>
      <c r="AU482" t="b">
        <v>1</v>
      </c>
      <c r="AV482" s="2"/>
      <c r="AW482">
        <v>45</v>
      </c>
      <c r="AX482">
        <v>1</v>
      </c>
      <c r="AY482">
        <v>475</v>
      </c>
      <c r="AZ482" t="s">
        <v>711</v>
      </c>
      <c r="BA482">
        <v>90</v>
      </c>
      <c r="BB482" s="2">
        <v>0.22</v>
      </c>
      <c r="BC482" t="s">
        <v>925</v>
      </c>
      <c r="BD482" t="s">
        <v>922</v>
      </c>
      <c r="BE482" t="s">
        <v>940</v>
      </c>
      <c r="BF482" s="7">
        <v>20</v>
      </c>
      <c r="BG4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2">
        <v>0</v>
      </c>
      <c r="BI482" t="s">
        <v>734</v>
      </c>
      <c r="BJ482" s="11">
        <v>53</v>
      </c>
      <c r="BK482" s="11">
        <v>7</v>
      </c>
      <c r="BL482" s="11">
        <v>48</v>
      </c>
      <c r="BM482">
        <v>0</v>
      </c>
      <c r="BN482" t="s">
        <v>692</v>
      </c>
      <c r="BO482" t="s">
        <v>694</v>
      </c>
      <c r="BP482" t="s">
        <v>701</v>
      </c>
      <c r="BQ482" t="s">
        <v>705</v>
      </c>
      <c r="BR482" t="s">
        <v>706</v>
      </c>
      <c r="BS482" t="s">
        <v>707</v>
      </c>
      <c r="CR482"/>
      <c r="CS482"/>
      <c r="CT482"/>
    </row>
    <row r="483" spans="1:98" x14ac:dyDescent="0.4">
      <c r="A483" s="2" t="s">
        <v>510</v>
      </c>
      <c r="B483" t="str">
        <f>_xlfn.TEXTAFTER(Table1[[#This Row],[VEHIDCODE]],"_")</f>
        <v>Australia_NSWGR_Xplorer</v>
      </c>
      <c r="C483" t="s">
        <v>742</v>
      </c>
      <c r="D483" t="b">
        <f>OR(ISNUMBER(SEARCH("wagon_",Table1[[#This Row],[FILENAMES_EXPECTED]])),ISNUMBER(SEARCH("coach_",Table1[[#This Row],[FILENAMES_EXPECTED]])))</f>
        <v>0</v>
      </c>
      <c r="E483" t="str">
        <f>"item_"&amp;Table1[[#This Row],[VEHIDCODE]]</f>
        <v>item_dmu_Australia_NSWGR_Xplorer</v>
      </c>
      <c r="F483" t="str">
        <f>"str_"&amp;Table1[[#This Row],[VEHIDCODE]]</f>
        <v>str_dmu_Australia_NSWGR_Xplorer</v>
      </c>
      <c r="O483" s="2" t="b">
        <v>1</v>
      </c>
      <c r="AJ483" s="2"/>
      <c r="AK483" s="2" t="b">
        <f>LEN(_xlfn.CONCAT(Table1[[#This Row],[TRACK_TYPE_STANDARD_GAUGE_RAILTYPE_OHLE]:[TRACK_TYPE_MTRO]]))&gt;0</f>
        <v>1</v>
      </c>
      <c r="AL483">
        <v>8</v>
      </c>
      <c r="AM483" t="s">
        <v>18</v>
      </c>
      <c r="AN483">
        <v>1</v>
      </c>
      <c r="AO483" t="s">
        <v>35</v>
      </c>
      <c r="AP483">
        <v>66</v>
      </c>
      <c r="AQ483">
        <v>1993</v>
      </c>
      <c r="AR483">
        <v>8</v>
      </c>
      <c r="AS483" s="2" t="s">
        <v>24</v>
      </c>
      <c r="AT483" t="b">
        <v>1</v>
      </c>
      <c r="AU483" t="b">
        <v>1</v>
      </c>
      <c r="AV483" s="2"/>
      <c r="AW483">
        <v>45</v>
      </c>
      <c r="AX483">
        <v>1</v>
      </c>
      <c r="AY483">
        <v>514</v>
      </c>
      <c r="AZ483" t="s">
        <v>711</v>
      </c>
      <c r="BA483">
        <v>160</v>
      </c>
      <c r="BB483" s="2">
        <v>0.13</v>
      </c>
      <c r="BC483" t="s">
        <v>925</v>
      </c>
      <c r="BD483" t="s">
        <v>922</v>
      </c>
      <c r="BE483" t="s">
        <v>940</v>
      </c>
      <c r="BF483" s="7">
        <v>20</v>
      </c>
      <c r="BG4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3">
        <v>0</v>
      </c>
      <c r="BI483" t="s">
        <v>734</v>
      </c>
      <c r="BJ483" s="11">
        <v>66</v>
      </c>
      <c r="BK483" s="11">
        <v>8</v>
      </c>
      <c r="BL483" s="11">
        <v>57</v>
      </c>
      <c r="BM483">
        <v>0</v>
      </c>
      <c r="BN483" t="s">
        <v>692</v>
      </c>
      <c r="BO483" t="s">
        <v>694</v>
      </c>
      <c r="BP483" t="s">
        <v>701</v>
      </c>
      <c r="BQ483" t="s">
        <v>705</v>
      </c>
      <c r="BR483" t="s">
        <v>706</v>
      </c>
      <c r="BS483" t="s">
        <v>707</v>
      </c>
      <c r="CR483"/>
      <c r="CS483"/>
      <c r="CT483"/>
    </row>
    <row r="484" spans="1:98" x14ac:dyDescent="0.4">
      <c r="A484" s="2" t="s">
        <v>511</v>
      </c>
      <c r="B484" t="str">
        <f>_xlfn.TEXTAFTER(Table1[[#This Row],[VEHIDCODE]],"_")</f>
        <v>Japan_JR_KiHa_189</v>
      </c>
      <c r="C484" t="s">
        <v>742</v>
      </c>
      <c r="D484" t="b">
        <f>OR(ISNUMBER(SEARCH("wagon_",Table1[[#This Row],[FILENAMES_EXPECTED]])),ISNUMBER(SEARCH("coach_",Table1[[#This Row],[FILENAMES_EXPECTED]])))</f>
        <v>0</v>
      </c>
      <c r="E484" t="str">
        <f>"item_"&amp;Table1[[#This Row],[VEHIDCODE]]</f>
        <v>item_dmu_Japan_JR_KiHa_189</v>
      </c>
      <c r="F484" t="str">
        <f>"str_"&amp;Table1[[#This Row],[VEHIDCODE]]</f>
        <v>str_dmu_Japan_JR_KiHa_189</v>
      </c>
      <c r="X484" s="2" t="b">
        <v>1</v>
      </c>
      <c r="AJ484" s="2"/>
      <c r="AK484" s="2" t="b">
        <f>LEN(_xlfn.CONCAT(Table1[[#This Row],[TRACK_TYPE_STANDARD_GAUGE_RAILTYPE_OHLE]:[TRACK_TYPE_MTRO]]))&gt;0</f>
        <v>1</v>
      </c>
      <c r="AL484">
        <v>7</v>
      </c>
      <c r="AM484" t="s">
        <v>18</v>
      </c>
      <c r="AN484">
        <v>1</v>
      </c>
      <c r="AO484" t="s">
        <v>35</v>
      </c>
      <c r="AP484">
        <v>56</v>
      </c>
      <c r="AQ484">
        <v>2010</v>
      </c>
      <c r="AR484">
        <v>7</v>
      </c>
      <c r="AS484" s="2" t="s">
        <v>24</v>
      </c>
      <c r="AT484" t="b">
        <v>1</v>
      </c>
      <c r="AU484" t="b">
        <v>1</v>
      </c>
      <c r="AV484" s="2"/>
      <c r="AW484" t="s">
        <v>21</v>
      </c>
      <c r="AX484">
        <v>1</v>
      </c>
      <c r="AY484">
        <v>900</v>
      </c>
      <c r="AZ484" t="s">
        <v>711</v>
      </c>
      <c r="BA484">
        <v>130</v>
      </c>
      <c r="BB484" s="2">
        <v>0.21</v>
      </c>
      <c r="BC484" t="s">
        <v>931</v>
      </c>
      <c r="BD484" t="s">
        <v>922</v>
      </c>
      <c r="BE484" t="s">
        <v>940</v>
      </c>
      <c r="BF484" s="7">
        <v>20</v>
      </c>
      <c r="BG4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4">
        <v>0</v>
      </c>
      <c r="BI484" t="s">
        <v>734</v>
      </c>
      <c r="BJ484" s="11">
        <v>56</v>
      </c>
      <c r="BK484" s="11">
        <v>7</v>
      </c>
      <c r="BL484" s="11">
        <v>49</v>
      </c>
      <c r="BM484">
        <v>0</v>
      </c>
      <c r="BN484" t="s">
        <v>692</v>
      </c>
      <c r="BO484" t="s">
        <v>694</v>
      </c>
      <c r="BP484" t="s">
        <v>701</v>
      </c>
      <c r="BQ484" t="s">
        <v>705</v>
      </c>
      <c r="BR484" t="s">
        <v>706</v>
      </c>
      <c r="BS484" t="s">
        <v>707</v>
      </c>
      <c r="CR484"/>
      <c r="CS484"/>
      <c r="CT484"/>
    </row>
    <row r="485" spans="1:98" x14ac:dyDescent="0.4">
      <c r="A485" s="2" t="s">
        <v>512</v>
      </c>
      <c r="B485" t="str">
        <f>_xlfn.TEXTAFTER(Table1[[#This Row],[VEHIDCODE]],"_")</f>
        <v>Sri_Lanka_Sri_Lanka_Railways_S11</v>
      </c>
      <c r="C485" t="s">
        <v>742</v>
      </c>
      <c r="D485" t="b">
        <f>OR(ISNUMBER(SEARCH("wagon_",Table1[[#This Row],[FILENAMES_EXPECTED]])),ISNUMBER(SEARCH("coach_",Table1[[#This Row],[FILENAMES_EXPECTED]])))</f>
        <v>0</v>
      </c>
      <c r="E485" t="str">
        <f>"item_"&amp;Table1[[#This Row],[VEHIDCODE]]</f>
        <v>item_dmu_Sri_Lanka_Sri_Lanka_Railways_S11</v>
      </c>
      <c r="F485" t="str">
        <f>"str_"&amp;Table1[[#This Row],[VEHIDCODE]]</f>
        <v>str_dmu_Sri_Lanka_Sri_Lanka_Railways_S11</v>
      </c>
      <c r="O485" s="2" t="b">
        <v>1</v>
      </c>
      <c r="AJ485" s="2"/>
      <c r="AK485" s="2" t="b">
        <f>LEN(_xlfn.CONCAT(Table1[[#This Row],[TRACK_TYPE_STANDARD_GAUGE_RAILTYPE_OHLE]:[TRACK_TYPE_MTRO]]))&gt;0</f>
        <v>1</v>
      </c>
      <c r="AL485">
        <v>8</v>
      </c>
      <c r="AM485" t="s">
        <v>18</v>
      </c>
      <c r="AN485">
        <v>1</v>
      </c>
      <c r="AO485" t="s">
        <v>35</v>
      </c>
      <c r="AP485">
        <v>72</v>
      </c>
      <c r="AQ485">
        <v>2011</v>
      </c>
      <c r="AR485">
        <v>8</v>
      </c>
      <c r="AS485" s="2" t="s">
        <v>24</v>
      </c>
      <c r="AT485" t="b">
        <v>1</v>
      </c>
      <c r="AU485" t="b">
        <v>1</v>
      </c>
      <c r="AV485" s="2"/>
      <c r="AW485" t="s">
        <v>21</v>
      </c>
      <c r="AX485">
        <v>1</v>
      </c>
      <c r="AY485">
        <v>680</v>
      </c>
      <c r="AZ485" t="s">
        <v>711</v>
      </c>
      <c r="BA485">
        <v>110</v>
      </c>
      <c r="BB485" s="2">
        <v>0.57999999999999996</v>
      </c>
      <c r="BC485" t="s">
        <v>931</v>
      </c>
      <c r="BD485" t="s">
        <v>922</v>
      </c>
      <c r="BE485" t="s">
        <v>940</v>
      </c>
      <c r="BF485" s="7">
        <v>20</v>
      </c>
      <c r="BG4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5">
        <v>0</v>
      </c>
      <c r="BI485" t="s">
        <v>734</v>
      </c>
      <c r="BJ485" s="11">
        <v>72</v>
      </c>
      <c r="BK485" s="11">
        <v>8</v>
      </c>
      <c r="BL485" s="11">
        <v>20</v>
      </c>
      <c r="BM485">
        <v>0</v>
      </c>
      <c r="BN485" t="s">
        <v>692</v>
      </c>
      <c r="BO485" t="s">
        <v>694</v>
      </c>
      <c r="BP485" t="s">
        <v>701</v>
      </c>
      <c r="BQ485" t="s">
        <v>705</v>
      </c>
      <c r="BR485" t="s">
        <v>706</v>
      </c>
      <c r="BS485" t="s">
        <v>707</v>
      </c>
      <c r="CR485"/>
      <c r="CS485"/>
      <c r="CT485"/>
    </row>
    <row r="486" spans="1:98" x14ac:dyDescent="0.4">
      <c r="A486" s="2" t="s">
        <v>513</v>
      </c>
      <c r="B486" t="str">
        <f>_xlfn.TEXTAFTER(Table1[[#This Row],[VEHIDCODE]],"_")</f>
        <v>Slovakia_ZSSK_861</v>
      </c>
      <c r="C486" t="s">
        <v>742</v>
      </c>
      <c r="D486" t="b">
        <f>OR(ISNUMBER(SEARCH("wagon_",Table1[[#This Row],[FILENAMES_EXPECTED]])),ISNUMBER(SEARCH("coach_",Table1[[#This Row],[FILENAMES_EXPECTED]])))</f>
        <v>0</v>
      </c>
      <c r="E486" t="str">
        <f>"item_"&amp;Table1[[#This Row],[VEHIDCODE]]</f>
        <v>item_dmu_Slovakia_ZSSK_861</v>
      </c>
      <c r="F486" t="str">
        <f>"str_"&amp;Table1[[#This Row],[VEHIDCODE]]</f>
        <v>str_dmu_Slovakia_ZSSK_861</v>
      </c>
      <c r="O486" s="2" t="b">
        <v>1</v>
      </c>
      <c r="AJ486" s="2"/>
      <c r="AK486" s="2" t="b">
        <f>LEN(_xlfn.CONCAT(Table1[[#This Row],[TRACK_TYPE_STANDARD_GAUGE_RAILTYPE_OHLE]:[TRACK_TYPE_MTRO]]))&gt;0</f>
        <v>1</v>
      </c>
      <c r="AL486">
        <v>8</v>
      </c>
      <c r="AM486" t="s">
        <v>18</v>
      </c>
      <c r="AN486">
        <v>1</v>
      </c>
      <c r="AO486" t="s">
        <v>35</v>
      </c>
      <c r="AP486">
        <v>60</v>
      </c>
      <c r="AQ486">
        <v>2011</v>
      </c>
      <c r="AR486">
        <v>8</v>
      </c>
      <c r="AS486" s="2" t="s">
        <v>24</v>
      </c>
      <c r="AT486" t="b">
        <v>1</v>
      </c>
      <c r="AU486" t="b">
        <v>1</v>
      </c>
      <c r="AV486" s="2"/>
      <c r="AW486" t="s">
        <v>21</v>
      </c>
      <c r="AX486">
        <v>1</v>
      </c>
      <c r="AY486">
        <v>1580</v>
      </c>
      <c r="AZ486" t="s">
        <v>711</v>
      </c>
      <c r="BA486">
        <v>140</v>
      </c>
      <c r="BB486" s="2">
        <v>0.34</v>
      </c>
      <c r="BC486" t="s">
        <v>929</v>
      </c>
      <c r="BD486" t="s">
        <v>922</v>
      </c>
      <c r="BE486" t="s">
        <v>940</v>
      </c>
      <c r="BF486" s="7">
        <v>20</v>
      </c>
      <c r="BG4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6">
        <v>0</v>
      </c>
      <c r="BI486" t="s">
        <v>734</v>
      </c>
      <c r="BJ486" s="11">
        <v>60</v>
      </c>
      <c r="BK486" s="11">
        <v>7</v>
      </c>
      <c r="BL486" s="11">
        <v>45</v>
      </c>
      <c r="BM486">
        <v>0</v>
      </c>
      <c r="BN486" t="s">
        <v>692</v>
      </c>
      <c r="BO486" t="s">
        <v>694</v>
      </c>
      <c r="BP486" t="s">
        <v>701</v>
      </c>
      <c r="BQ486" t="s">
        <v>705</v>
      </c>
      <c r="BR486" t="s">
        <v>706</v>
      </c>
      <c r="BS486" t="s">
        <v>707</v>
      </c>
      <c r="CR486"/>
      <c r="CS486"/>
      <c r="CT486"/>
    </row>
    <row r="487" spans="1:98" x14ac:dyDescent="0.4">
      <c r="A487" s="2" t="s">
        <v>514</v>
      </c>
      <c r="B487" t="str">
        <f>_xlfn.TEXTAFTER(Table1[[#This Row],[VEHIDCODE]],"_")</f>
        <v>Chile_EFE_TLD_500</v>
      </c>
      <c r="C487" t="s">
        <v>742</v>
      </c>
      <c r="D487" t="b">
        <f>OR(ISNUMBER(SEARCH("wagon_",Table1[[#This Row],[FILENAMES_EXPECTED]])),ISNUMBER(SEARCH("coach_",Table1[[#This Row],[FILENAMES_EXPECTED]])))</f>
        <v>0</v>
      </c>
      <c r="E487" t="str">
        <f>"item_"&amp;Table1[[#This Row],[VEHIDCODE]]</f>
        <v>item_dmu_Chile_EFE_TLD_500</v>
      </c>
      <c r="F487" t="str">
        <f>"str_"&amp;Table1[[#This Row],[VEHIDCODE]]</f>
        <v>str_dmu_Chile_EFE_TLD_500</v>
      </c>
      <c r="X487" s="2" t="b">
        <v>1</v>
      </c>
      <c r="AJ487" s="2"/>
      <c r="AK487" s="2" t="b">
        <f>LEN(_xlfn.CONCAT(Table1[[#This Row],[TRACK_TYPE_STANDARD_GAUGE_RAILTYPE_OHLE]:[TRACK_TYPE_MTRO]]))&gt;0</f>
        <v>1</v>
      </c>
      <c r="AL487">
        <v>8</v>
      </c>
      <c r="AM487" t="s">
        <v>18</v>
      </c>
      <c r="AN487">
        <v>1</v>
      </c>
      <c r="AO487" t="s">
        <v>35</v>
      </c>
      <c r="AP487">
        <v>84</v>
      </c>
      <c r="AQ487">
        <v>1982</v>
      </c>
      <c r="AR487">
        <v>8</v>
      </c>
      <c r="AS487" s="2" t="s">
        <v>24</v>
      </c>
      <c r="AT487" t="b">
        <v>1</v>
      </c>
      <c r="AU487" t="b">
        <v>1</v>
      </c>
      <c r="AV487" s="2"/>
      <c r="AW487">
        <v>45</v>
      </c>
      <c r="AX487">
        <v>1</v>
      </c>
      <c r="AY487">
        <v>220</v>
      </c>
      <c r="AZ487" t="s">
        <v>711</v>
      </c>
      <c r="BA487">
        <v>120</v>
      </c>
      <c r="BB487" s="2">
        <v>0.13</v>
      </c>
      <c r="BC487" t="s">
        <v>930</v>
      </c>
      <c r="BD487" t="s">
        <v>922</v>
      </c>
      <c r="BE487" t="s">
        <v>940</v>
      </c>
      <c r="BF487" s="7">
        <v>40</v>
      </c>
      <c r="BG4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7">
        <v>0</v>
      </c>
      <c r="BI487" t="s">
        <v>734</v>
      </c>
      <c r="BJ487" s="11">
        <v>84</v>
      </c>
      <c r="BK487" s="11">
        <v>8</v>
      </c>
      <c r="BL487" s="11">
        <v>68</v>
      </c>
      <c r="BM487">
        <v>0</v>
      </c>
      <c r="BN487" t="s">
        <v>692</v>
      </c>
      <c r="BO487" t="s">
        <v>694</v>
      </c>
      <c r="BP487" t="s">
        <v>701</v>
      </c>
      <c r="BQ487" t="s">
        <v>705</v>
      </c>
      <c r="BR487" t="s">
        <v>706</v>
      </c>
      <c r="BS487" t="s">
        <v>707</v>
      </c>
      <c r="CR487"/>
      <c r="CS487"/>
      <c r="CT487"/>
    </row>
    <row r="488" spans="1:98" x14ac:dyDescent="0.4">
      <c r="A488" s="2" t="s">
        <v>515</v>
      </c>
      <c r="B488" t="str">
        <f>_xlfn.TEXTAFTER(Table1[[#This Row],[VEHIDCODE]],"_")</f>
        <v>Cameroon_Camrail_ZE_500</v>
      </c>
      <c r="C488" t="s">
        <v>742</v>
      </c>
      <c r="D488" t="b">
        <f>OR(ISNUMBER(SEARCH("wagon_",Table1[[#This Row],[FILENAMES_EXPECTED]])),ISNUMBER(SEARCH("coach_",Table1[[#This Row],[FILENAMES_EXPECTED]])))</f>
        <v>0</v>
      </c>
      <c r="E488" t="str">
        <f>"item_"&amp;Table1[[#This Row],[VEHIDCODE]]</f>
        <v>item_dmu_Cameroon_Camrail_ZE_500</v>
      </c>
      <c r="F488" t="str">
        <f>"str_"&amp;Table1[[#This Row],[VEHIDCODE]]</f>
        <v>str_dmu_Cameroon_Camrail_ZE_500</v>
      </c>
      <c r="O488" s="2" t="b">
        <v>1</v>
      </c>
      <c r="AJ488" s="2"/>
      <c r="AK488" s="2" t="b">
        <f>LEN(_xlfn.CONCAT(Table1[[#This Row],[TRACK_TYPE_STANDARD_GAUGE_RAILTYPE_OHLE]:[TRACK_TYPE_MTRO]]))&gt;0</f>
        <v>1</v>
      </c>
      <c r="AL488">
        <v>8</v>
      </c>
      <c r="AM488" t="s">
        <v>18</v>
      </c>
      <c r="AN488">
        <v>1</v>
      </c>
      <c r="AO488" t="s">
        <v>35</v>
      </c>
      <c r="AP488">
        <v>62</v>
      </c>
      <c r="AQ488">
        <v>1976</v>
      </c>
      <c r="AR488">
        <v>8</v>
      </c>
      <c r="AS488" s="2" t="s">
        <v>24</v>
      </c>
      <c r="AT488" t="b">
        <v>1</v>
      </c>
      <c r="AU488" t="b">
        <v>1</v>
      </c>
      <c r="AV488" s="2"/>
      <c r="AW488">
        <v>45</v>
      </c>
      <c r="AX488">
        <v>1</v>
      </c>
      <c r="AY488">
        <v>400</v>
      </c>
      <c r="AZ488" t="s">
        <v>711</v>
      </c>
      <c r="BA488">
        <v>90</v>
      </c>
      <c r="BB488" s="2">
        <v>0.22</v>
      </c>
      <c r="BC488" t="s">
        <v>926</v>
      </c>
      <c r="BD488" t="s">
        <v>922</v>
      </c>
      <c r="BE488" t="s">
        <v>940</v>
      </c>
      <c r="BF488" s="7">
        <v>40</v>
      </c>
      <c r="BG4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8">
        <v>0</v>
      </c>
      <c r="BI488" t="s">
        <v>734</v>
      </c>
      <c r="BJ488" s="11">
        <v>62</v>
      </c>
      <c r="BK488" s="11">
        <v>8</v>
      </c>
      <c r="BL488" s="11">
        <v>38</v>
      </c>
      <c r="BM488">
        <v>0</v>
      </c>
      <c r="BN488" t="s">
        <v>692</v>
      </c>
      <c r="BO488" t="s">
        <v>694</v>
      </c>
      <c r="BP488" t="s">
        <v>701</v>
      </c>
      <c r="BQ488" t="s">
        <v>705</v>
      </c>
      <c r="BR488" t="s">
        <v>706</v>
      </c>
      <c r="BS488" t="s">
        <v>707</v>
      </c>
      <c r="CR488"/>
      <c r="CS488"/>
      <c r="CT488"/>
    </row>
    <row r="489" spans="1:98" x14ac:dyDescent="0.4">
      <c r="A489" s="2" t="s">
        <v>516</v>
      </c>
      <c r="B489" t="str">
        <f>_xlfn.TEXTAFTER(Table1[[#This Row],[VEHIDCODE]],"_")</f>
        <v>UK_BR_251_Blue_Pullman</v>
      </c>
      <c r="C489" t="s">
        <v>742</v>
      </c>
      <c r="D489" t="b">
        <f>OR(ISNUMBER(SEARCH("wagon_",Table1[[#This Row],[FILENAMES_EXPECTED]])),ISNUMBER(SEARCH("coach_",Table1[[#This Row],[FILENAMES_EXPECTED]])))</f>
        <v>0</v>
      </c>
      <c r="E489" t="str">
        <f>"item_"&amp;Table1[[#This Row],[VEHIDCODE]]</f>
        <v>item_dmu_UK_BR_251_Blue_Pullman</v>
      </c>
      <c r="F489" t="str">
        <f>"str_"&amp;Table1[[#This Row],[VEHIDCODE]]</f>
        <v>str_dmu_UK_BR_251_Blue_Pullman</v>
      </c>
      <c r="O489" s="2" t="b">
        <v>1</v>
      </c>
      <c r="AJ489" s="2"/>
      <c r="AK489" s="2" t="b">
        <f>LEN(_xlfn.CONCAT(Table1[[#This Row],[TRACK_TYPE_STANDARD_GAUGE_RAILTYPE_OHLE]:[TRACK_TYPE_MTRO]]))&gt;0</f>
        <v>1</v>
      </c>
      <c r="AL489">
        <v>7</v>
      </c>
      <c r="AM489" t="s">
        <v>18</v>
      </c>
      <c r="AN489">
        <v>1</v>
      </c>
      <c r="AO489" t="s">
        <v>35</v>
      </c>
      <c r="AP489">
        <v>42</v>
      </c>
      <c r="AQ489">
        <v>1960</v>
      </c>
      <c r="AR489">
        <v>7</v>
      </c>
      <c r="AS489" s="2" t="s">
        <v>24</v>
      </c>
      <c r="AT489" t="b">
        <v>1</v>
      </c>
      <c r="AU489" t="b">
        <v>1</v>
      </c>
      <c r="AV489" s="2"/>
      <c r="AW489">
        <v>45</v>
      </c>
      <c r="AX489">
        <v>1</v>
      </c>
      <c r="AY489">
        <v>398</v>
      </c>
      <c r="AZ489" t="s">
        <v>711</v>
      </c>
      <c r="BA489">
        <v>145</v>
      </c>
      <c r="BB489" s="2">
        <v>0.24</v>
      </c>
      <c r="BC489" t="s">
        <v>927</v>
      </c>
      <c r="BD489" t="s">
        <v>922</v>
      </c>
      <c r="BE489" t="s">
        <v>940</v>
      </c>
      <c r="BF489" s="7">
        <v>40</v>
      </c>
      <c r="BG4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89">
        <v>0</v>
      </c>
      <c r="BI489" t="s">
        <v>734</v>
      </c>
      <c r="BJ489" s="11">
        <v>42</v>
      </c>
      <c r="BK489" s="11">
        <v>7</v>
      </c>
      <c r="BL489" s="11">
        <v>50</v>
      </c>
      <c r="BM489">
        <v>0</v>
      </c>
      <c r="BN489" t="s">
        <v>692</v>
      </c>
      <c r="BO489" t="s">
        <v>694</v>
      </c>
      <c r="BP489" t="s">
        <v>701</v>
      </c>
      <c r="BQ489" t="s">
        <v>705</v>
      </c>
      <c r="BR489" t="s">
        <v>706</v>
      </c>
      <c r="BS489" t="s">
        <v>707</v>
      </c>
      <c r="CR489"/>
      <c r="CS489"/>
      <c r="CT489"/>
    </row>
    <row r="490" spans="1:98" x14ac:dyDescent="0.4">
      <c r="A490" s="2" t="s">
        <v>517</v>
      </c>
      <c r="B490" t="str">
        <f>_xlfn.TEXTAFTER(Table1[[#This Row],[VEHIDCODE]],"_")</f>
        <v>Australia_WAGR_ADK_ADB</v>
      </c>
      <c r="C490" t="s">
        <v>742</v>
      </c>
      <c r="D490" t="b">
        <f>OR(ISNUMBER(SEARCH("wagon_",Table1[[#This Row],[FILENAMES_EXPECTED]])),ISNUMBER(SEARCH("coach_",Table1[[#This Row],[FILENAMES_EXPECTED]])))</f>
        <v>0</v>
      </c>
      <c r="E490" t="str">
        <f>"item_"&amp;Table1[[#This Row],[VEHIDCODE]]</f>
        <v>item_dmu_Australia_WAGR_ADK_ADB</v>
      </c>
      <c r="F490" t="str">
        <f>"str_"&amp;Table1[[#This Row],[VEHIDCODE]]</f>
        <v>str_dmu_Australia_WAGR_ADK_ADB</v>
      </c>
      <c r="O490" s="2" t="b">
        <v>1</v>
      </c>
      <c r="AJ490" s="2"/>
      <c r="AK490" s="2" t="b">
        <f>LEN(_xlfn.CONCAT(Table1[[#This Row],[TRACK_TYPE_STANDARD_GAUGE_RAILTYPE_OHLE]:[TRACK_TYPE_MTRO]]))&gt;0</f>
        <v>1</v>
      </c>
      <c r="AL490">
        <v>8</v>
      </c>
      <c r="AM490" t="s">
        <v>18</v>
      </c>
      <c r="AN490">
        <v>1</v>
      </c>
      <c r="AO490" t="s">
        <v>35</v>
      </c>
      <c r="AP490">
        <v>56</v>
      </c>
      <c r="AQ490">
        <v>1967</v>
      </c>
      <c r="AR490">
        <v>8</v>
      </c>
      <c r="AS490" s="2" t="s">
        <v>24</v>
      </c>
      <c r="AT490" t="b">
        <v>1</v>
      </c>
      <c r="AU490" t="b">
        <v>1</v>
      </c>
      <c r="AV490" s="2"/>
      <c r="AW490">
        <v>45</v>
      </c>
      <c r="AX490">
        <v>1</v>
      </c>
      <c r="AY490">
        <v>416</v>
      </c>
      <c r="AZ490" t="s">
        <v>711</v>
      </c>
      <c r="BA490">
        <v>90</v>
      </c>
      <c r="BB490" s="2">
        <v>0.44</v>
      </c>
      <c r="BC490" t="s">
        <v>925</v>
      </c>
      <c r="BD490" t="s">
        <v>922</v>
      </c>
      <c r="BE490" t="s">
        <v>940</v>
      </c>
      <c r="BF490" s="7">
        <v>40</v>
      </c>
      <c r="BG4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0">
        <v>0</v>
      </c>
      <c r="BI490" t="s">
        <v>734</v>
      </c>
      <c r="BJ490" s="11">
        <v>56</v>
      </c>
      <c r="BK490" s="11">
        <v>7</v>
      </c>
      <c r="BL490" s="11">
        <v>33</v>
      </c>
      <c r="BM490">
        <v>0</v>
      </c>
      <c r="BN490" t="s">
        <v>692</v>
      </c>
      <c r="BO490" t="s">
        <v>694</v>
      </c>
      <c r="BP490" t="s">
        <v>701</v>
      </c>
      <c r="BQ490" t="s">
        <v>705</v>
      </c>
      <c r="BR490" t="s">
        <v>706</v>
      </c>
      <c r="BS490" t="s">
        <v>707</v>
      </c>
      <c r="CR490"/>
      <c r="CS490"/>
      <c r="CT490"/>
    </row>
    <row r="491" spans="1:98" x14ac:dyDescent="0.4">
      <c r="A491" s="2" t="s">
        <v>518</v>
      </c>
      <c r="B491" t="str">
        <f>_xlfn.TEXTAFTER(Table1[[#This Row],[VEHIDCODE]],"_")</f>
        <v>France_SNCF_X_4630</v>
      </c>
      <c r="C491" t="s">
        <v>742</v>
      </c>
      <c r="D491" t="b">
        <f>OR(ISNUMBER(SEARCH("wagon_",Table1[[#This Row],[FILENAMES_EXPECTED]])),ISNUMBER(SEARCH("coach_",Table1[[#This Row],[FILENAMES_EXPECTED]])))</f>
        <v>0</v>
      </c>
      <c r="E491" t="str">
        <f>"item_"&amp;Table1[[#This Row],[VEHIDCODE]]</f>
        <v>item_dmu_France_SNCF_X_4630</v>
      </c>
      <c r="F491" t="str">
        <f>"str_"&amp;Table1[[#This Row],[VEHIDCODE]]</f>
        <v>str_dmu_France_SNCF_X_4630</v>
      </c>
      <c r="O491" s="2" t="b">
        <v>1</v>
      </c>
      <c r="AJ491" s="2"/>
      <c r="AK491" s="2" t="b">
        <f>LEN(_xlfn.CONCAT(Table1[[#This Row],[TRACK_TYPE_STANDARD_GAUGE_RAILTYPE_OHLE]:[TRACK_TYPE_MTRO]]))&gt;0</f>
        <v>1</v>
      </c>
      <c r="AL491">
        <v>8</v>
      </c>
      <c r="AM491" t="s">
        <v>18</v>
      </c>
      <c r="AN491">
        <v>1</v>
      </c>
      <c r="AO491" t="s">
        <v>35</v>
      </c>
      <c r="AP491">
        <v>72</v>
      </c>
      <c r="AQ491">
        <v>1971</v>
      </c>
      <c r="AR491">
        <v>8</v>
      </c>
      <c r="AS491" s="2" t="s">
        <v>24</v>
      </c>
      <c r="AT491" t="b">
        <v>1</v>
      </c>
      <c r="AU491" t="b">
        <v>1</v>
      </c>
      <c r="AV491" s="2"/>
      <c r="AW491">
        <v>45</v>
      </c>
      <c r="AX491">
        <v>1</v>
      </c>
      <c r="AY491">
        <v>396</v>
      </c>
      <c r="AZ491" t="s">
        <v>711</v>
      </c>
      <c r="BA491">
        <v>120</v>
      </c>
      <c r="BB491" s="2">
        <v>0.2</v>
      </c>
      <c r="BC491" t="s">
        <v>923</v>
      </c>
      <c r="BD491" t="s">
        <v>922</v>
      </c>
      <c r="BE491" t="s">
        <v>940</v>
      </c>
      <c r="BF491" s="7">
        <v>40</v>
      </c>
      <c r="BG4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1">
        <v>0</v>
      </c>
      <c r="BI491" t="s">
        <v>734</v>
      </c>
      <c r="BJ491" s="11">
        <v>72</v>
      </c>
      <c r="BK491" s="11">
        <v>8</v>
      </c>
      <c r="BL491" s="11">
        <v>62</v>
      </c>
      <c r="BM491">
        <v>0</v>
      </c>
      <c r="BN491" t="s">
        <v>692</v>
      </c>
      <c r="BO491" t="s">
        <v>694</v>
      </c>
      <c r="BP491" t="s">
        <v>701</v>
      </c>
      <c r="BQ491" t="s">
        <v>705</v>
      </c>
      <c r="BR491" t="s">
        <v>706</v>
      </c>
      <c r="BS491" t="s">
        <v>707</v>
      </c>
      <c r="CR491"/>
      <c r="CS491"/>
      <c r="CT491"/>
    </row>
    <row r="492" spans="1:98" x14ac:dyDescent="0.4">
      <c r="A492" s="2" t="s">
        <v>519</v>
      </c>
      <c r="B492" t="str">
        <f>_xlfn.TEXTAFTER(Table1[[#This Row],[VEHIDCODE]],"_")</f>
        <v>France_SNCF_T_2000</v>
      </c>
      <c r="C492" t="s">
        <v>742</v>
      </c>
      <c r="D492" t="b">
        <f>OR(ISNUMBER(SEARCH("wagon_",Table1[[#This Row],[FILENAMES_EXPECTED]])),ISNUMBER(SEARCH("coach_",Table1[[#This Row],[FILENAMES_EXPECTED]])))</f>
        <v>0</v>
      </c>
      <c r="E492" t="str">
        <f>"item_"&amp;Table1[[#This Row],[VEHIDCODE]]</f>
        <v>item_dmu_France_SNCF_T_2000</v>
      </c>
      <c r="F492" t="str">
        <f>"str_"&amp;Table1[[#This Row],[VEHIDCODE]]</f>
        <v>str_dmu_France_SNCF_T_2000</v>
      </c>
      <c r="O492" s="2" t="b">
        <v>1</v>
      </c>
      <c r="AJ492" s="2"/>
      <c r="AK492" s="2" t="b">
        <f>LEN(_xlfn.CONCAT(Table1[[#This Row],[TRACK_TYPE_STANDARD_GAUGE_RAILTYPE_OHLE]:[TRACK_TYPE_MTRO]]))&gt;0</f>
        <v>1</v>
      </c>
      <c r="AL492">
        <v>8</v>
      </c>
      <c r="AM492" t="s">
        <v>18</v>
      </c>
      <c r="AN492">
        <v>1</v>
      </c>
      <c r="AO492" t="s">
        <v>35</v>
      </c>
      <c r="AP492">
        <v>60</v>
      </c>
      <c r="AQ492">
        <v>1972</v>
      </c>
      <c r="AR492">
        <v>8</v>
      </c>
      <c r="AS492" s="2" t="s">
        <v>24</v>
      </c>
      <c r="AT492" t="b">
        <v>1</v>
      </c>
      <c r="AU492" t="b">
        <v>1</v>
      </c>
      <c r="AV492" s="2"/>
      <c r="AW492">
        <v>45</v>
      </c>
      <c r="AX492">
        <v>1</v>
      </c>
      <c r="AY492">
        <v>1036</v>
      </c>
      <c r="AZ492" t="s">
        <v>711</v>
      </c>
      <c r="BA492">
        <v>160</v>
      </c>
      <c r="BB492" s="2">
        <v>0.38</v>
      </c>
      <c r="BC492" t="s">
        <v>923</v>
      </c>
      <c r="BD492" t="s">
        <v>922</v>
      </c>
      <c r="BE492" t="s">
        <v>940</v>
      </c>
      <c r="BF492" s="7">
        <v>40</v>
      </c>
      <c r="BG4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2">
        <v>0</v>
      </c>
      <c r="BI492" t="s">
        <v>734</v>
      </c>
      <c r="BJ492" s="11">
        <v>60</v>
      </c>
      <c r="BK492" s="11">
        <v>8</v>
      </c>
      <c r="BL492" s="11">
        <v>49</v>
      </c>
      <c r="BM492">
        <v>0</v>
      </c>
      <c r="BN492" t="s">
        <v>692</v>
      </c>
      <c r="BO492" t="s">
        <v>694</v>
      </c>
      <c r="BP492" t="s">
        <v>701</v>
      </c>
      <c r="BQ492" t="s">
        <v>705</v>
      </c>
      <c r="BR492" t="s">
        <v>706</v>
      </c>
      <c r="BS492" t="s">
        <v>707</v>
      </c>
      <c r="CR492"/>
      <c r="CS492"/>
      <c r="CT492"/>
    </row>
    <row r="493" spans="1:98" x14ac:dyDescent="0.4">
      <c r="A493" s="2" t="s">
        <v>520</v>
      </c>
      <c r="B493" t="str">
        <f>_xlfn.TEXTAFTER(Table1[[#This Row],[VEHIDCODE]],"_")</f>
        <v>Netherlands_NS_DH2</v>
      </c>
      <c r="C493" t="s">
        <v>742</v>
      </c>
      <c r="D493" t="b">
        <f>OR(ISNUMBER(SEARCH("wagon_",Table1[[#This Row],[FILENAMES_EXPECTED]])),ISNUMBER(SEARCH("coach_",Table1[[#This Row],[FILENAMES_EXPECTED]])))</f>
        <v>0</v>
      </c>
      <c r="E493" t="str">
        <f>"item_"&amp;Table1[[#This Row],[VEHIDCODE]]</f>
        <v>item_dmu_Netherlands_NS_DH2</v>
      </c>
      <c r="F493" t="str">
        <f>"str_"&amp;Table1[[#This Row],[VEHIDCODE]]</f>
        <v>str_dmu_Netherlands_NS_DH2</v>
      </c>
      <c r="O493" s="2" t="b">
        <v>1</v>
      </c>
      <c r="AJ493" s="2"/>
      <c r="AK493" s="2" t="b">
        <f>LEN(_xlfn.CONCAT(Table1[[#This Row],[TRACK_TYPE_STANDARD_GAUGE_RAILTYPE_OHLE]:[TRACK_TYPE_MTRO]]))&gt;0</f>
        <v>1</v>
      </c>
      <c r="AL493">
        <v>8</v>
      </c>
      <c r="AM493" t="s">
        <v>18</v>
      </c>
      <c r="AN493">
        <v>1</v>
      </c>
      <c r="AO493" t="s">
        <v>35</v>
      </c>
      <c r="AP493">
        <v>80</v>
      </c>
      <c r="AQ493">
        <v>1981</v>
      </c>
      <c r="AR493">
        <v>8</v>
      </c>
      <c r="AS493" s="2" t="s">
        <v>24</v>
      </c>
      <c r="AT493" t="b">
        <v>1</v>
      </c>
      <c r="AU493" t="b">
        <v>1</v>
      </c>
      <c r="AV493" s="2"/>
      <c r="AW493">
        <v>45</v>
      </c>
      <c r="AX493">
        <v>1</v>
      </c>
      <c r="AY493">
        <v>562</v>
      </c>
      <c r="AZ493" t="s">
        <v>711</v>
      </c>
      <c r="BA493">
        <v>101</v>
      </c>
      <c r="BB493" s="2">
        <v>0.3</v>
      </c>
      <c r="BC493" t="s">
        <v>923</v>
      </c>
      <c r="BD493" t="s">
        <v>922</v>
      </c>
      <c r="BE493" t="s">
        <v>940</v>
      </c>
      <c r="BF493" s="7">
        <v>40</v>
      </c>
      <c r="BG4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3">
        <v>0</v>
      </c>
      <c r="BI493" t="s">
        <v>734</v>
      </c>
      <c r="BJ493" s="11">
        <v>80</v>
      </c>
      <c r="BK493" s="11">
        <v>8</v>
      </c>
      <c r="BL493" s="11">
        <v>34</v>
      </c>
      <c r="BM493">
        <v>0</v>
      </c>
      <c r="BN493" t="s">
        <v>692</v>
      </c>
      <c r="BO493" t="s">
        <v>694</v>
      </c>
      <c r="BP493" t="s">
        <v>701</v>
      </c>
      <c r="BQ493" t="s">
        <v>705</v>
      </c>
      <c r="BR493" t="s">
        <v>706</v>
      </c>
      <c r="BS493" t="s">
        <v>707</v>
      </c>
      <c r="CR493"/>
      <c r="CS493"/>
      <c r="CT493"/>
    </row>
    <row r="494" spans="1:98" x14ac:dyDescent="0.4">
      <c r="A494" s="2" t="s">
        <v>521</v>
      </c>
      <c r="B494" t="str">
        <f>_xlfn.TEXTAFTER(Table1[[#This Row],[VEHIDCODE]],"_")</f>
        <v>Germany_DB_6282</v>
      </c>
      <c r="C494" t="s">
        <v>742</v>
      </c>
      <c r="D494" t="b">
        <f>OR(ISNUMBER(SEARCH("wagon_",Table1[[#This Row],[FILENAMES_EXPECTED]])),ISNUMBER(SEARCH("coach_",Table1[[#This Row],[FILENAMES_EXPECTED]])))</f>
        <v>0</v>
      </c>
      <c r="E494" t="str">
        <f>"item_"&amp;Table1[[#This Row],[VEHIDCODE]]</f>
        <v>item_dmu_Germany_DB_6282</v>
      </c>
      <c r="F494" t="str">
        <f>"str_"&amp;Table1[[#This Row],[VEHIDCODE]]</f>
        <v>str_dmu_Germany_DB_6282</v>
      </c>
      <c r="O494" s="2" t="b">
        <v>1</v>
      </c>
      <c r="AJ494" s="2"/>
      <c r="AK494" s="2" t="b">
        <f>LEN(_xlfn.CONCAT(Table1[[#This Row],[TRACK_TYPE_STANDARD_GAUGE_RAILTYPE_OHLE]:[TRACK_TYPE_MTRO]]))&gt;0</f>
        <v>1</v>
      </c>
      <c r="AL494">
        <v>8</v>
      </c>
      <c r="AM494" t="s">
        <v>18</v>
      </c>
      <c r="AN494">
        <v>1</v>
      </c>
      <c r="AO494" t="s">
        <v>35</v>
      </c>
      <c r="AP494">
        <v>74</v>
      </c>
      <c r="AQ494">
        <v>1986</v>
      </c>
      <c r="AR494">
        <v>8</v>
      </c>
      <c r="AS494" s="2" t="s">
        <v>24</v>
      </c>
      <c r="AT494" t="b">
        <v>1</v>
      </c>
      <c r="AU494" t="b">
        <v>1</v>
      </c>
      <c r="AV494" s="2"/>
      <c r="AW494">
        <v>45</v>
      </c>
      <c r="AX494">
        <v>1</v>
      </c>
      <c r="AY494">
        <v>570</v>
      </c>
      <c r="AZ494" t="s">
        <v>711</v>
      </c>
      <c r="BA494">
        <v>120</v>
      </c>
      <c r="BB494" s="2">
        <v>0.27</v>
      </c>
      <c r="BC494" t="s">
        <v>923</v>
      </c>
      <c r="BD494" t="s">
        <v>922</v>
      </c>
      <c r="BE494" t="s">
        <v>940</v>
      </c>
      <c r="BF494" s="7">
        <v>40</v>
      </c>
      <c r="BG4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4">
        <v>0</v>
      </c>
      <c r="BI494" t="s">
        <v>734</v>
      </c>
      <c r="BJ494" s="11">
        <v>74</v>
      </c>
      <c r="BK494" s="11">
        <v>8</v>
      </c>
      <c r="BL494" s="11">
        <v>42</v>
      </c>
      <c r="BM494">
        <v>0</v>
      </c>
      <c r="BN494" t="s">
        <v>692</v>
      </c>
      <c r="BO494" t="s">
        <v>694</v>
      </c>
      <c r="BP494" t="s">
        <v>701</v>
      </c>
      <c r="BQ494" t="s">
        <v>705</v>
      </c>
      <c r="BR494" t="s">
        <v>706</v>
      </c>
      <c r="BS494" t="s">
        <v>707</v>
      </c>
      <c r="CR494"/>
      <c r="CS494"/>
      <c r="CT494"/>
    </row>
    <row r="495" spans="1:98" x14ac:dyDescent="0.4">
      <c r="A495" s="2" t="s">
        <v>522</v>
      </c>
      <c r="B495" t="str">
        <f>_xlfn.TEXTAFTER(Table1[[#This Row],[VEHIDCODE]],"_")</f>
        <v>Algeria_SNTF_ZZ_2200_Autorail</v>
      </c>
      <c r="C495" t="s">
        <v>742</v>
      </c>
      <c r="D495" t="b">
        <f>OR(ISNUMBER(SEARCH("wagon_",Table1[[#This Row],[FILENAMES_EXPECTED]])),ISNUMBER(SEARCH("coach_",Table1[[#This Row],[FILENAMES_EXPECTED]])))</f>
        <v>0</v>
      </c>
      <c r="E495" t="str">
        <f>"item_"&amp;Table1[[#This Row],[VEHIDCODE]]</f>
        <v>item_dmu_Algeria_SNTF_ZZ_2200_Autorail</v>
      </c>
      <c r="F495" t="str">
        <f>"str_"&amp;Table1[[#This Row],[VEHIDCODE]]</f>
        <v>str_dmu_Algeria_SNTF_ZZ_2200_Autorail</v>
      </c>
      <c r="O495" s="2" t="b">
        <v>1</v>
      </c>
      <c r="AJ495" s="2"/>
      <c r="AK495" s="2" t="b">
        <f>LEN(_xlfn.CONCAT(Table1[[#This Row],[TRACK_TYPE_STANDARD_GAUGE_RAILTYPE_OHLE]:[TRACK_TYPE_MTRO]]))&gt;0</f>
        <v>1</v>
      </c>
      <c r="AL495">
        <v>8</v>
      </c>
      <c r="AM495" t="s">
        <v>18</v>
      </c>
      <c r="AN495">
        <v>1</v>
      </c>
      <c r="AO495" t="s">
        <v>35</v>
      </c>
      <c r="AP495">
        <v>66</v>
      </c>
      <c r="AQ495">
        <v>2007</v>
      </c>
      <c r="AR495">
        <v>8</v>
      </c>
      <c r="AS495" s="2" t="s">
        <v>24</v>
      </c>
      <c r="AT495" t="b">
        <v>1</v>
      </c>
      <c r="AU495" t="b">
        <v>1</v>
      </c>
      <c r="AV495" s="2"/>
      <c r="AW495" t="s">
        <v>21</v>
      </c>
      <c r="AX495">
        <v>1</v>
      </c>
      <c r="AY495">
        <v>1810</v>
      </c>
      <c r="AZ495" t="s">
        <v>711</v>
      </c>
      <c r="BA495">
        <v>160</v>
      </c>
      <c r="BB495" s="2">
        <v>0.37</v>
      </c>
      <c r="BC495" t="s">
        <v>926</v>
      </c>
      <c r="BD495" t="s">
        <v>922</v>
      </c>
      <c r="BE495" t="s">
        <v>940</v>
      </c>
      <c r="BF495" s="7">
        <v>40</v>
      </c>
      <c r="BG4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5">
        <v>0</v>
      </c>
      <c r="BI495" t="s">
        <v>734</v>
      </c>
      <c r="BJ495" s="11">
        <v>66</v>
      </c>
      <c r="BK495" s="11">
        <v>8</v>
      </c>
      <c r="BL495" s="11">
        <v>53</v>
      </c>
      <c r="BM495">
        <v>0</v>
      </c>
      <c r="BN495" t="s">
        <v>692</v>
      </c>
      <c r="BO495" t="s">
        <v>694</v>
      </c>
      <c r="BP495" t="s">
        <v>701</v>
      </c>
      <c r="BQ495" t="s">
        <v>705</v>
      </c>
      <c r="BR495" t="s">
        <v>706</v>
      </c>
      <c r="BS495" t="s">
        <v>707</v>
      </c>
      <c r="CR495"/>
      <c r="CS495"/>
      <c r="CT495"/>
    </row>
    <row r="496" spans="1:98" x14ac:dyDescent="0.4">
      <c r="A496" s="2" t="s">
        <v>523</v>
      </c>
      <c r="B496" t="str">
        <f>_xlfn.TEXTAFTER(Table1[[#This Row],[VEHIDCODE]],"_")</f>
        <v>Tunisia_SNCFT_AMT_800</v>
      </c>
      <c r="C496" t="s">
        <v>742</v>
      </c>
      <c r="D496" t="b">
        <f>OR(ISNUMBER(SEARCH("wagon_",Table1[[#This Row],[FILENAMES_EXPECTED]])),ISNUMBER(SEARCH("coach_",Table1[[#This Row],[FILENAMES_EXPECTED]])))</f>
        <v>0</v>
      </c>
      <c r="E496" t="str">
        <f>"item_"&amp;Table1[[#This Row],[VEHIDCODE]]</f>
        <v>item_dmu_Tunisia_SNCFT_AMT_800</v>
      </c>
      <c r="F496" t="str">
        <f>"str_"&amp;Table1[[#This Row],[VEHIDCODE]]</f>
        <v>str_dmu_Tunisia_SNCFT_AMT_800</v>
      </c>
      <c r="O496" s="2" t="b">
        <v>1</v>
      </c>
      <c r="AJ496" s="2"/>
      <c r="AK496" s="2" t="b">
        <f>LEN(_xlfn.CONCAT(Table1[[#This Row],[TRACK_TYPE_STANDARD_GAUGE_RAILTYPE_OHLE]:[TRACK_TYPE_MTRO]]))&gt;0</f>
        <v>1</v>
      </c>
      <c r="AL496">
        <v>8</v>
      </c>
      <c r="AM496" t="s">
        <v>18</v>
      </c>
      <c r="AN496">
        <v>1</v>
      </c>
      <c r="AO496" t="s">
        <v>35</v>
      </c>
      <c r="AP496">
        <v>55</v>
      </c>
      <c r="AQ496">
        <v>2008</v>
      </c>
      <c r="AR496">
        <v>8</v>
      </c>
      <c r="AS496" s="2" t="s">
        <v>24</v>
      </c>
      <c r="AT496" t="b">
        <v>1</v>
      </c>
      <c r="AU496" t="b">
        <v>1</v>
      </c>
      <c r="AV496" s="2"/>
      <c r="AW496" t="s">
        <v>21</v>
      </c>
      <c r="AX496">
        <v>1</v>
      </c>
      <c r="AY496">
        <v>1232</v>
      </c>
      <c r="AZ496" t="s">
        <v>711</v>
      </c>
      <c r="BA496">
        <v>130</v>
      </c>
      <c r="BB496" s="2">
        <v>0.52</v>
      </c>
      <c r="BC496" t="s">
        <v>926</v>
      </c>
      <c r="BD496" t="s">
        <v>922</v>
      </c>
      <c r="BE496" t="s">
        <v>940</v>
      </c>
      <c r="BF496" s="7">
        <v>40</v>
      </c>
      <c r="BG4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6">
        <v>0</v>
      </c>
      <c r="BI496" t="s">
        <v>734</v>
      </c>
      <c r="BJ496" s="11">
        <v>55</v>
      </c>
      <c r="BK496" s="11">
        <v>8</v>
      </c>
      <c r="BL496" s="11">
        <v>35</v>
      </c>
      <c r="BM496">
        <v>0</v>
      </c>
      <c r="BN496" t="s">
        <v>692</v>
      </c>
      <c r="BO496" t="s">
        <v>694</v>
      </c>
      <c r="BP496" t="s">
        <v>701</v>
      </c>
      <c r="BQ496" t="s">
        <v>705</v>
      </c>
      <c r="BR496" t="s">
        <v>706</v>
      </c>
      <c r="BS496" t="s">
        <v>707</v>
      </c>
      <c r="CR496"/>
      <c r="CS496"/>
      <c r="CT496"/>
    </row>
    <row r="497" spans="1:98" x14ac:dyDescent="0.4">
      <c r="A497" s="2" t="s">
        <v>524</v>
      </c>
      <c r="B497" t="str">
        <f>_xlfn.TEXTAFTER(Table1[[#This Row],[VEHIDCODE]],"_")</f>
        <v>Ghana_Ghana_Railways_DEMU</v>
      </c>
      <c r="C497" t="s">
        <v>742</v>
      </c>
      <c r="D497" t="b">
        <f>OR(ISNUMBER(SEARCH("wagon_",Table1[[#This Row],[FILENAMES_EXPECTED]])),ISNUMBER(SEARCH("coach_",Table1[[#This Row],[FILENAMES_EXPECTED]])))</f>
        <v>0</v>
      </c>
      <c r="E497" t="str">
        <f>"item_"&amp;Table1[[#This Row],[VEHIDCODE]]</f>
        <v>item_dmu_Ghana_Ghana_Railways_DEMU</v>
      </c>
      <c r="F497" t="str">
        <f>"str_"&amp;Table1[[#This Row],[VEHIDCODE]]</f>
        <v>str_dmu_Ghana_Ghana_Railways_DEMU</v>
      </c>
      <c r="X497" s="2" t="b">
        <v>1</v>
      </c>
      <c r="AJ497" s="2"/>
      <c r="AK497" s="2" t="b">
        <f>LEN(_xlfn.CONCAT(Table1[[#This Row],[TRACK_TYPE_STANDARD_GAUGE_RAILTYPE_OHLE]:[TRACK_TYPE_MTRO]]))&gt;0</f>
        <v>1</v>
      </c>
      <c r="AL497">
        <v>7</v>
      </c>
      <c r="AM497" t="s">
        <v>18</v>
      </c>
      <c r="AN497">
        <v>1</v>
      </c>
      <c r="AO497" t="s">
        <v>35</v>
      </c>
      <c r="AP497">
        <v>102</v>
      </c>
      <c r="AQ497">
        <v>2009</v>
      </c>
      <c r="AR497">
        <v>7</v>
      </c>
      <c r="AS497" s="2" t="s">
        <v>24</v>
      </c>
      <c r="AT497" t="b">
        <v>1</v>
      </c>
      <c r="AU497" t="b">
        <v>1</v>
      </c>
      <c r="AV497" s="2"/>
      <c r="AW497" t="s">
        <v>21</v>
      </c>
      <c r="AX497">
        <v>1</v>
      </c>
      <c r="AY497">
        <v>1656</v>
      </c>
      <c r="AZ497" t="s">
        <v>711</v>
      </c>
      <c r="BA497">
        <v>90</v>
      </c>
      <c r="BB497" s="2">
        <v>0.3</v>
      </c>
      <c r="BC497" t="s">
        <v>926</v>
      </c>
      <c r="BD497" t="s">
        <v>922</v>
      </c>
      <c r="BE497" t="s">
        <v>940</v>
      </c>
      <c r="BF497" s="7">
        <v>40</v>
      </c>
      <c r="BG4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7">
        <v>0</v>
      </c>
      <c r="BI497" t="s">
        <v>734</v>
      </c>
      <c r="BJ497" s="11">
        <v>102</v>
      </c>
      <c r="BK497" s="11">
        <v>7</v>
      </c>
      <c r="BL497" s="11">
        <v>48</v>
      </c>
      <c r="BM497">
        <v>0</v>
      </c>
      <c r="BN497" t="s">
        <v>692</v>
      </c>
      <c r="BO497" t="s">
        <v>694</v>
      </c>
      <c r="BP497" t="s">
        <v>701</v>
      </c>
      <c r="BQ497" t="s">
        <v>705</v>
      </c>
      <c r="BR497" t="s">
        <v>706</v>
      </c>
      <c r="BS497" t="s">
        <v>707</v>
      </c>
      <c r="CR497"/>
      <c r="CS497"/>
      <c r="CT497"/>
    </row>
    <row r="498" spans="1:98" x14ac:dyDescent="0.4">
      <c r="A498" s="2" t="s">
        <v>525</v>
      </c>
      <c r="B498" t="str">
        <f>_xlfn.TEXTAFTER(Table1[[#This Row],[VEHIDCODE]],"_")</f>
        <v>Australia_Queensland_Rail_Diesel_Tilt_Train</v>
      </c>
      <c r="C498" t="s">
        <v>742</v>
      </c>
      <c r="D498" t="b">
        <f>OR(ISNUMBER(SEARCH("wagon_",Table1[[#This Row],[FILENAMES_EXPECTED]])),ISNUMBER(SEARCH("coach_",Table1[[#This Row],[FILENAMES_EXPECTED]])))</f>
        <v>0</v>
      </c>
      <c r="E498" t="str">
        <f>"item_"&amp;Table1[[#This Row],[VEHIDCODE]]</f>
        <v>item_dmu_Australia_Queensland_Rail_Diesel_Tilt_Train</v>
      </c>
      <c r="F498" t="str">
        <f>"str_"&amp;Table1[[#This Row],[VEHIDCODE]]</f>
        <v>str_dmu_Australia_Queensland_Rail_Diesel_Tilt_Train</v>
      </c>
      <c r="X498" s="2" t="b">
        <v>1</v>
      </c>
      <c r="AJ498" s="2"/>
      <c r="AK498" s="2" t="b">
        <f>LEN(_xlfn.CONCAT(Table1[[#This Row],[TRACK_TYPE_STANDARD_GAUGE_RAILTYPE_OHLE]:[TRACK_TYPE_MTRO]]))&gt;0</f>
        <v>1</v>
      </c>
      <c r="AL498">
        <v>8</v>
      </c>
      <c r="AM498" t="s">
        <v>18</v>
      </c>
      <c r="AN498">
        <v>1</v>
      </c>
      <c r="AO498" t="s">
        <v>35</v>
      </c>
      <c r="AP498">
        <v>0</v>
      </c>
      <c r="AQ498">
        <v>2003</v>
      </c>
      <c r="AR498">
        <v>8</v>
      </c>
      <c r="AS498" s="2" t="s">
        <v>24</v>
      </c>
      <c r="AT498" t="b">
        <v>1</v>
      </c>
      <c r="AU498" t="b">
        <v>1</v>
      </c>
      <c r="AV498" s="2"/>
      <c r="AW498" t="s">
        <v>21</v>
      </c>
      <c r="AX498">
        <v>1</v>
      </c>
      <c r="AY498">
        <v>7240</v>
      </c>
      <c r="AZ498" t="s">
        <v>711</v>
      </c>
      <c r="BA498">
        <v>160</v>
      </c>
      <c r="BB498" s="2">
        <v>0.21</v>
      </c>
      <c r="BC498" t="s">
        <v>925</v>
      </c>
      <c r="BD498" t="s">
        <v>922</v>
      </c>
      <c r="BE498" t="s">
        <v>940</v>
      </c>
      <c r="BF498" s="7">
        <v>40</v>
      </c>
      <c r="BG4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8">
        <v>0</v>
      </c>
      <c r="BI498" t="s">
        <v>734</v>
      </c>
      <c r="BJ498" s="11">
        <v>56</v>
      </c>
      <c r="BK498" s="11">
        <v>8</v>
      </c>
      <c r="BL498" s="11">
        <v>60</v>
      </c>
      <c r="BM498">
        <v>0</v>
      </c>
      <c r="BN498" t="s">
        <v>692</v>
      </c>
      <c r="BO498" t="s">
        <v>694</v>
      </c>
      <c r="BP498" t="s">
        <v>701</v>
      </c>
      <c r="BQ498" t="s">
        <v>705</v>
      </c>
      <c r="BR498" t="s">
        <v>706</v>
      </c>
      <c r="BS498" t="s">
        <v>707</v>
      </c>
      <c r="CR498"/>
      <c r="CS498"/>
      <c r="CT498"/>
    </row>
    <row r="499" spans="1:98" x14ac:dyDescent="0.4">
      <c r="A499" s="2" t="s">
        <v>526</v>
      </c>
      <c r="B499" t="str">
        <f>_xlfn.TEXTAFTER(Table1[[#This Row],[VEHIDCODE]],"_")</f>
        <v>Canada_UP_Express_Nippon_Sharyo_DMU</v>
      </c>
      <c r="C499" t="s">
        <v>742</v>
      </c>
      <c r="D499" t="b">
        <f>OR(ISNUMBER(SEARCH("wagon_",Table1[[#This Row],[FILENAMES_EXPECTED]])),ISNUMBER(SEARCH("coach_",Table1[[#This Row],[FILENAMES_EXPECTED]])))</f>
        <v>0</v>
      </c>
      <c r="E499" t="str">
        <f>"item_"&amp;Table1[[#This Row],[VEHIDCODE]]</f>
        <v>item_dmu_Canada_UP_Express_Nippon_Sharyo_DMU</v>
      </c>
      <c r="F499" t="str">
        <f>"str_"&amp;Table1[[#This Row],[VEHIDCODE]]</f>
        <v>str_dmu_Canada_UP_Express_Nippon_Sharyo_DMU</v>
      </c>
      <c r="O499" s="2" t="b">
        <v>1</v>
      </c>
      <c r="AJ499" s="2"/>
      <c r="AK499" s="2" t="b">
        <f>LEN(_xlfn.CONCAT(Table1[[#This Row],[TRACK_TYPE_STANDARD_GAUGE_RAILTYPE_OHLE]:[TRACK_TYPE_MTRO]]))&gt;0</f>
        <v>1</v>
      </c>
      <c r="AL499">
        <v>8</v>
      </c>
      <c r="AM499" t="s">
        <v>18</v>
      </c>
      <c r="AN499">
        <v>1</v>
      </c>
      <c r="AO499" t="s">
        <v>35</v>
      </c>
      <c r="AP499">
        <v>80</v>
      </c>
      <c r="AQ499">
        <v>2013</v>
      </c>
      <c r="AR499">
        <v>8</v>
      </c>
      <c r="AS499" s="2" t="s">
        <v>24</v>
      </c>
      <c r="AT499" t="b">
        <v>1</v>
      </c>
      <c r="AU499" t="b">
        <v>1</v>
      </c>
      <c r="AV499" s="2"/>
      <c r="AW499" t="s">
        <v>21</v>
      </c>
      <c r="AX499">
        <v>1</v>
      </c>
      <c r="AY499">
        <v>1520</v>
      </c>
      <c r="AZ499" t="s">
        <v>711</v>
      </c>
      <c r="BA499">
        <v>128</v>
      </c>
      <c r="BB499" s="2">
        <v>0.28999999999999998</v>
      </c>
      <c r="BC499" t="s">
        <v>928</v>
      </c>
      <c r="BD499" t="s">
        <v>922</v>
      </c>
      <c r="BE499" t="s">
        <v>940</v>
      </c>
      <c r="BF499" s="7">
        <v>40</v>
      </c>
      <c r="BG4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499">
        <v>0</v>
      </c>
      <c r="BI499" t="s">
        <v>734</v>
      </c>
      <c r="BJ499" s="11">
        <v>80</v>
      </c>
      <c r="BK499" s="11">
        <v>8</v>
      </c>
      <c r="BL499" s="11">
        <v>74</v>
      </c>
      <c r="BM499">
        <v>0</v>
      </c>
      <c r="BN499" t="s">
        <v>692</v>
      </c>
      <c r="BO499" t="s">
        <v>694</v>
      </c>
      <c r="BP499" t="s">
        <v>701</v>
      </c>
      <c r="BQ499" t="s">
        <v>705</v>
      </c>
      <c r="BR499" t="s">
        <v>706</v>
      </c>
      <c r="BS499" t="s">
        <v>707</v>
      </c>
      <c r="CR499"/>
      <c r="CS499"/>
      <c r="CT499"/>
    </row>
    <row r="500" spans="1:98" x14ac:dyDescent="0.4">
      <c r="A500" s="2" t="s">
        <v>527</v>
      </c>
      <c r="B500" t="str">
        <f>_xlfn.TEXTAFTER(Table1[[#This Row],[VEHIDCODE]],"_")</f>
        <v>Argentina_FCGU_CMM_400_2</v>
      </c>
      <c r="C500" t="s">
        <v>742</v>
      </c>
      <c r="D500" t="b">
        <f>OR(ISNUMBER(SEARCH("wagon_",Table1[[#This Row],[FILENAMES_EXPECTED]])),ISNUMBER(SEARCH("coach_",Table1[[#This Row],[FILENAMES_EXPECTED]])))</f>
        <v>0</v>
      </c>
      <c r="E500" t="str">
        <f>"item_"&amp;Table1[[#This Row],[VEHIDCODE]]</f>
        <v>item_dmu_Argentina_FCGU_CMM_400_2</v>
      </c>
      <c r="F500" t="str">
        <f>"str_"&amp;Table1[[#This Row],[VEHIDCODE]]</f>
        <v>str_dmu_Argentina_FCGU_CMM_400_2</v>
      </c>
      <c r="O500" s="2" t="b">
        <v>1</v>
      </c>
      <c r="AJ500" s="2"/>
      <c r="AK500" s="2" t="b">
        <f>LEN(_xlfn.CONCAT(Table1[[#This Row],[TRACK_TYPE_STANDARD_GAUGE_RAILTYPE_OHLE]:[TRACK_TYPE_MTRO]]))&gt;0</f>
        <v>1</v>
      </c>
      <c r="AL500">
        <v>8</v>
      </c>
      <c r="AM500" t="s">
        <v>18</v>
      </c>
      <c r="AN500">
        <v>1</v>
      </c>
      <c r="AO500" t="s">
        <v>35</v>
      </c>
      <c r="AP500">
        <v>88</v>
      </c>
      <c r="AQ500">
        <v>2015</v>
      </c>
      <c r="AR500">
        <v>8</v>
      </c>
      <c r="AS500" s="2" t="s">
        <v>24</v>
      </c>
      <c r="AT500" t="b">
        <v>1</v>
      </c>
      <c r="AU500" t="b">
        <v>1</v>
      </c>
      <c r="AV500" s="2"/>
      <c r="AW500" t="s">
        <v>21</v>
      </c>
      <c r="AX500">
        <v>1</v>
      </c>
      <c r="AY500">
        <v>800</v>
      </c>
      <c r="AZ500" t="s">
        <v>711</v>
      </c>
      <c r="BA500">
        <v>160</v>
      </c>
      <c r="BB500" s="2">
        <v>0.39</v>
      </c>
      <c r="BC500" t="s">
        <v>930</v>
      </c>
      <c r="BD500" t="s">
        <v>922</v>
      </c>
      <c r="BE500" t="s">
        <v>940</v>
      </c>
      <c r="BF500" s="7">
        <v>40</v>
      </c>
      <c r="BG5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00">
        <v>0</v>
      </c>
      <c r="BI500" t="s">
        <v>734</v>
      </c>
      <c r="BJ500" s="11">
        <v>88</v>
      </c>
      <c r="BK500" s="11">
        <v>8</v>
      </c>
      <c r="BL500" s="11">
        <v>48</v>
      </c>
      <c r="BM500">
        <v>0</v>
      </c>
      <c r="BN500" t="s">
        <v>692</v>
      </c>
      <c r="BO500" t="s">
        <v>694</v>
      </c>
      <c r="BP500" t="s">
        <v>701</v>
      </c>
      <c r="BQ500" t="s">
        <v>705</v>
      </c>
      <c r="BR500" t="s">
        <v>706</v>
      </c>
      <c r="BS500" t="s">
        <v>707</v>
      </c>
      <c r="CR500"/>
      <c r="CS500"/>
      <c r="CT500"/>
    </row>
    <row r="501" spans="1:98" x14ac:dyDescent="0.4">
      <c r="A501" s="2" t="s">
        <v>528</v>
      </c>
      <c r="B501" t="str">
        <f>_xlfn.TEXTAFTER(Table1[[#This Row],[VEHIDCODE]],"_")</f>
        <v>Italy_FS_ALn_442_448</v>
      </c>
      <c r="C501" t="s">
        <v>742</v>
      </c>
      <c r="D501" t="b">
        <f>OR(ISNUMBER(SEARCH("wagon_",Table1[[#This Row],[FILENAMES_EXPECTED]])),ISNUMBER(SEARCH("coach_",Table1[[#This Row],[FILENAMES_EXPECTED]])))</f>
        <v>0</v>
      </c>
      <c r="E501" t="str">
        <f>"item_"&amp;Table1[[#This Row],[VEHIDCODE]]</f>
        <v>item_dmu_Italy_FS_ALn_442_448</v>
      </c>
      <c r="F501" t="str">
        <f>"str_"&amp;Table1[[#This Row],[VEHIDCODE]]</f>
        <v>str_dmu_Italy_FS_ALn_442_448</v>
      </c>
      <c r="O501" s="2" t="b">
        <v>1</v>
      </c>
      <c r="AJ501" s="2"/>
      <c r="AK501" s="2" t="b">
        <f>LEN(_xlfn.CONCAT(Table1[[#This Row],[TRACK_TYPE_STANDARD_GAUGE_RAILTYPE_OHLE]:[TRACK_TYPE_MTRO]]))&gt;0</f>
        <v>1</v>
      </c>
      <c r="AL501">
        <v>8</v>
      </c>
      <c r="AM501" t="s">
        <v>18</v>
      </c>
      <c r="AN501">
        <v>1</v>
      </c>
      <c r="AO501" t="s">
        <v>35</v>
      </c>
      <c r="AP501">
        <v>48</v>
      </c>
      <c r="AQ501">
        <v>1955</v>
      </c>
      <c r="AR501">
        <v>8</v>
      </c>
      <c r="AS501" s="2" t="s">
        <v>24</v>
      </c>
      <c r="AT501" t="b">
        <v>1</v>
      </c>
      <c r="AU501" t="b">
        <v>1</v>
      </c>
      <c r="AV501" s="2"/>
      <c r="AW501">
        <v>45</v>
      </c>
      <c r="AX501">
        <v>1</v>
      </c>
      <c r="AY501">
        <v>980</v>
      </c>
      <c r="AZ501" t="s">
        <v>711</v>
      </c>
      <c r="BA501">
        <v>140</v>
      </c>
      <c r="BB501" s="2">
        <v>0.13</v>
      </c>
      <c r="BC501" t="s">
        <v>924</v>
      </c>
      <c r="BD501" t="s">
        <v>922</v>
      </c>
      <c r="BE501" t="s">
        <v>940</v>
      </c>
      <c r="BF501" s="7">
        <v>40</v>
      </c>
      <c r="BG5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01">
        <v>0</v>
      </c>
      <c r="BI501" t="s">
        <v>734</v>
      </c>
      <c r="BJ501" s="11">
        <v>48</v>
      </c>
      <c r="BK501" s="11">
        <v>8</v>
      </c>
      <c r="BL501" s="11">
        <v>52</v>
      </c>
      <c r="BM501">
        <v>0</v>
      </c>
      <c r="BN501" t="s">
        <v>692</v>
      </c>
      <c r="BO501" t="s">
        <v>694</v>
      </c>
      <c r="BP501" t="s">
        <v>701</v>
      </c>
      <c r="BQ501" t="s">
        <v>705</v>
      </c>
      <c r="BR501" t="s">
        <v>706</v>
      </c>
      <c r="BS501" t="s">
        <v>707</v>
      </c>
      <c r="CR501"/>
      <c r="CS501"/>
      <c r="CT501"/>
    </row>
    <row r="502" spans="1:98" x14ac:dyDescent="0.4">
      <c r="A502" s="2" t="s">
        <v>529</v>
      </c>
      <c r="B502" t="str">
        <f>_xlfn.TEXTAFTER(Table1[[#This Row],[VEHIDCODE]],"_")</f>
        <v>Portugal_CP_0400</v>
      </c>
      <c r="C502" t="s">
        <v>742</v>
      </c>
      <c r="D502" t="b">
        <f>OR(ISNUMBER(SEARCH("wagon_",Table1[[#This Row],[FILENAMES_EXPECTED]])),ISNUMBER(SEARCH("coach_",Table1[[#This Row],[FILENAMES_EXPECTED]])))</f>
        <v>0</v>
      </c>
      <c r="E502" t="str">
        <f>"item_"&amp;Table1[[#This Row],[VEHIDCODE]]</f>
        <v>item_dmu_Portugal_CP_0400</v>
      </c>
      <c r="F502" t="str">
        <f>"str_"&amp;Table1[[#This Row],[VEHIDCODE]]</f>
        <v>str_dmu_Portugal_CP_0400</v>
      </c>
      <c r="O502" s="2" t="b">
        <v>1</v>
      </c>
      <c r="AJ502" s="2"/>
      <c r="AK502" s="2" t="b">
        <f>LEN(_xlfn.CONCAT(Table1[[#This Row],[TRACK_TYPE_STANDARD_GAUGE_RAILTYPE_OHLE]:[TRACK_TYPE_MTRO]]))&gt;0</f>
        <v>1</v>
      </c>
      <c r="AL502">
        <v>8</v>
      </c>
      <c r="AM502" t="s">
        <v>18</v>
      </c>
      <c r="AN502">
        <v>1</v>
      </c>
      <c r="AO502" t="s">
        <v>35</v>
      </c>
      <c r="AP502">
        <v>82</v>
      </c>
      <c r="AQ502">
        <v>1965</v>
      </c>
      <c r="AR502">
        <v>8</v>
      </c>
      <c r="AS502" s="2" t="s">
        <v>24</v>
      </c>
      <c r="AT502" t="b">
        <v>1</v>
      </c>
      <c r="AU502" t="b">
        <v>1</v>
      </c>
      <c r="AV502" s="2"/>
      <c r="AW502">
        <v>45</v>
      </c>
      <c r="AX502">
        <v>1</v>
      </c>
      <c r="AY502">
        <v>1320</v>
      </c>
      <c r="AZ502" t="s">
        <v>711</v>
      </c>
      <c r="BA502">
        <v>120</v>
      </c>
      <c r="BB502" s="2">
        <v>0.13</v>
      </c>
      <c r="BC502" t="s">
        <v>924</v>
      </c>
      <c r="BD502" t="s">
        <v>922</v>
      </c>
      <c r="BE502" t="s">
        <v>940</v>
      </c>
      <c r="BF502" s="7">
        <v>40</v>
      </c>
      <c r="BG5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02">
        <v>0</v>
      </c>
      <c r="BI502" t="s">
        <v>734</v>
      </c>
      <c r="BJ502" s="11">
        <v>82</v>
      </c>
      <c r="BK502" s="11">
        <v>8</v>
      </c>
      <c r="BL502" s="11">
        <v>49</v>
      </c>
      <c r="BM502">
        <v>0</v>
      </c>
      <c r="BN502" t="s">
        <v>692</v>
      </c>
      <c r="BO502" t="s">
        <v>694</v>
      </c>
      <c r="BP502" t="s">
        <v>701</v>
      </c>
      <c r="BQ502" t="s">
        <v>705</v>
      </c>
      <c r="BR502" t="s">
        <v>706</v>
      </c>
      <c r="BS502" t="s">
        <v>707</v>
      </c>
      <c r="CR502"/>
      <c r="CS502"/>
      <c r="CT502"/>
    </row>
    <row r="503" spans="1:98" x14ac:dyDescent="0.4">
      <c r="A503" s="2" t="s">
        <v>530</v>
      </c>
      <c r="B503" t="str">
        <f>_xlfn.TEXTAFTER(Table1[[#This Row],[VEHIDCODE]],"_")</f>
        <v>Portugal_CP_0600</v>
      </c>
      <c r="C503" t="s">
        <v>742</v>
      </c>
      <c r="D503" t="b">
        <f>OR(ISNUMBER(SEARCH("wagon_",Table1[[#This Row],[FILENAMES_EXPECTED]])),ISNUMBER(SEARCH("coach_",Table1[[#This Row],[FILENAMES_EXPECTED]])))</f>
        <v>0</v>
      </c>
      <c r="E503" t="str">
        <f>"item_"&amp;Table1[[#This Row],[VEHIDCODE]]</f>
        <v>item_dmu_Portugal_CP_0600</v>
      </c>
      <c r="F503" t="str">
        <f>"str_"&amp;Table1[[#This Row],[VEHIDCODE]]</f>
        <v>str_dmu_Portugal_CP_0600</v>
      </c>
      <c r="O503" s="2" t="b">
        <v>1</v>
      </c>
      <c r="AJ503" s="2"/>
      <c r="AK503" s="2" t="b">
        <f>LEN(_xlfn.CONCAT(Table1[[#This Row],[TRACK_TYPE_STANDARD_GAUGE_RAILTYPE_OHLE]:[TRACK_TYPE_MTRO]]))&gt;0</f>
        <v>1</v>
      </c>
      <c r="AL503">
        <v>8</v>
      </c>
      <c r="AM503" t="s">
        <v>18</v>
      </c>
      <c r="AN503">
        <v>1</v>
      </c>
      <c r="AO503" t="s">
        <v>35</v>
      </c>
      <c r="AP503">
        <v>116</v>
      </c>
      <c r="AQ503">
        <v>1979</v>
      </c>
      <c r="AR503">
        <v>8</v>
      </c>
      <c r="AS503" s="2" t="s">
        <v>24</v>
      </c>
      <c r="AT503" t="b">
        <v>1</v>
      </c>
      <c r="AU503" t="b">
        <v>1</v>
      </c>
      <c r="AV503" s="2"/>
      <c r="AW503">
        <v>45</v>
      </c>
      <c r="AX503">
        <v>1</v>
      </c>
      <c r="AY503">
        <v>1650</v>
      </c>
      <c r="AZ503" t="s">
        <v>711</v>
      </c>
      <c r="BA503">
        <v>120</v>
      </c>
      <c r="BB503" s="2">
        <v>0.21</v>
      </c>
      <c r="BC503" t="s">
        <v>924</v>
      </c>
      <c r="BD503" t="s">
        <v>922</v>
      </c>
      <c r="BE503" t="s">
        <v>940</v>
      </c>
      <c r="BF503" s="7">
        <v>40</v>
      </c>
      <c r="BG5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03">
        <v>0</v>
      </c>
      <c r="BI503" t="s">
        <v>734</v>
      </c>
      <c r="BJ503" s="11">
        <v>116</v>
      </c>
      <c r="BK503" s="11">
        <v>8</v>
      </c>
      <c r="BL503" s="11">
        <v>53</v>
      </c>
      <c r="BM503">
        <v>0</v>
      </c>
      <c r="BN503" t="s">
        <v>692</v>
      </c>
      <c r="BO503" t="s">
        <v>694</v>
      </c>
      <c r="BP503" t="s">
        <v>701</v>
      </c>
      <c r="BQ503" t="s">
        <v>705</v>
      </c>
      <c r="BR503" t="s">
        <v>706</v>
      </c>
      <c r="BS503" t="s">
        <v>707</v>
      </c>
      <c r="CR503"/>
      <c r="CS503"/>
      <c r="CT503"/>
    </row>
    <row r="504" spans="1:98" x14ac:dyDescent="0.4">
      <c r="A504" s="2" t="s">
        <v>531</v>
      </c>
      <c r="B504" t="str">
        <f>_xlfn.TEXTAFTER(Table1[[#This Row],[VEHIDCODE]],"_")</f>
        <v>Spain_FEVE_2400_Apollos</v>
      </c>
      <c r="C504" t="s">
        <v>742</v>
      </c>
      <c r="D504" t="b">
        <f>OR(ISNUMBER(SEARCH("wagon_",Table1[[#This Row],[FILENAMES_EXPECTED]])),ISNUMBER(SEARCH("coach_",Table1[[#This Row],[FILENAMES_EXPECTED]])))</f>
        <v>0</v>
      </c>
      <c r="E504" t="str">
        <f>"item_"&amp;Table1[[#This Row],[VEHIDCODE]]</f>
        <v>item_dmu_Spain_FEVE_2400_Apollos</v>
      </c>
      <c r="F504" t="str">
        <f>"str_"&amp;Table1[[#This Row],[VEHIDCODE]]</f>
        <v>str_dmu_Spain_FEVE_2400_Apollos</v>
      </c>
      <c r="O504" s="2" t="b">
        <v>1</v>
      </c>
      <c r="AJ504" s="2"/>
      <c r="AK504" s="2" t="b">
        <f>LEN(_xlfn.CONCAT(Table1[[#This Row],[TRACK_TYPE_STANDARD_GAUGE_RAILTYPE_OHLE]:[TRACK_TYPE_MTRO]]))&gt;0</f>
        <v>1</v>
      </c>
      <c r="AL504">
        <v>7</v>
      </c>
      <c r="AM504" t="s">
        <v>18</v>
      </c>
      <c r="AN504">
        <v>1</v>
      </c>
      <c r="AO504" t="s">
        <v>35</v>
      </c>
      <c r="AP504">
        <v>50</v>
      </c>
      <c r="AQ504">
        <v>1983</v>
      </c>
      <c r="AR504">
        <v>7</v>
      </c>
      <c r="AS504" s="2" t="s">
        <v>24</v>
      </c>
      <c r="AT504" t="b">
        <v>1</v>
      </c>
      <c r="AU504" t="b">
        <v>1</v>
      </c>
      <c r="AV504" s="2"/>
      <c r="AW504">
        <v>45</v>
      </c>
      <c r="AX504">
        <v>1</v>
      </c>
      <c r="AY504">
        <v>720</v>
      </c>
      <c r="AZ504" t="s">
        <v>711</v>
      </c>
      <c r="BA504">
        <v>100</v>
      </c>
      <c r="BB504" s="2">
        <v>0.2</v>
      </c>
      <c r="BC504" t="s">
        <v>924</v>
      </c>
      <c r="BD504" t="s">
        <v>922</v>
      </c>
      <c r="BE504" t="s">
        <v>940</v>
      </c>
      <c r="BF504" s="7">
        <v>40</v>
      </c>
      <c r="BG5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04">
        <v>0</v>
      </c>
      <c r="BI504" t="s">
        <v>734</v>
      </c>
      <c r="BJ504" s="11">
        <v>50</v>
      </c>
      <c r="BK504" s="11">
        <v>7</v>
      </c>
      <c r="BL504" s="11">
        <v>44</v>
      </c>
      <c r="BM504">
        <v>0</v>
      </c>
      <c r="BN504" t="s">
        <v>692</v>
      </c>
      <c r="BO504" t="s">
        <v>694</v>
      </c>
      <c r="BP504" t="s">
        <v>701</v>
      </c>
      <c r="BQ504" t="s">
        <v>705</v>
      </c>
      <c r="BR504" t="s">
        <v>706</v>
      </c>
      <c r="BS504" t="s">
        <v>707</v>
      </c>
      <c r="CR504"/>
      <c r="CS504"/>
      <c r="CT504"/>
    </row>
    <row r="505" spans="1:98" x14ac:dyDescent="0.4">
      <c r="A505" s="2" t="s">
        <v>532</v>
      </c>
      <c r="B505" t="str">
        <f>_xlfn.TEXTAFTER(Table1[[#This Row],[VEHIDCODE]],"_")</f>
        <v>Germany_DB_691_CargoSprinter</v>
      </c>
      <c r="C505" t="s">
        <v>743</v>
      </c>
      <c r="D505" t="b">
        <f>OR(ISNUMBER(SEARCH("wagon_",Table1[[#This Row],[FILENAMES_EXPECTED]])),ISNUMBER(SEARCH("coach_",Table1[[#This Row],[FILENAMES_EXPECTED]])))</f>
        <v>0</v>
      </c>
      <c r="E505" t="str">
        <f>"item_"&amp;Table1[[#This Row],[VEHIDCODE]]</f>
        <v>item_cargodmu_Germany_DB_691_CargoSprinter</v>
      </c>
      <c r="F505" t="str">
        <f>"str_"&amp;Table1[[#This Row],[VEHIDCODE]]</f>
        <v>str_cargodmu_Germany_DB_691_CargoSprinter</v>
      </c>
      <c r="O505" s="2" t="b">
        <v>1</v>
      </c>
      <c r="AJ505" s="2"/>
      <c r="AK505" s="2" t="b">
        <f>LEN(_xlfn.CONCAT(Table1[[#This Row],[TRACK_TYPE_STANDARD_GAUGE_RAILTYPE_OHLE]:[TRACK_TYPE_MTRO]]))&gt;0</f>
        <v>1</v>
      </c>
      <c r="AL505">
        <v>8</v>
      </c>
      <c r="AM505" t="s">
        <v>533</v>
      </c>
      <c r="AN505">
        <v>1</v>
      </c>
      <c r="AO505" t="s">
        <v>35</v>
      </c>
      <c r="AP505">
        <v>40</v>
      </c>
      <c r="AQ505">
        <v>1996</v>
      </c>
      <c r="AR505">
        <v>8</v>
      </c>
      <c r="AS505" s="2" t="s">
        <v>33</v>
      </c>
      <c r="AT505" t="b">
        <v>1</v>
      </c>
      <c r="AU505" t="b">
        <v>1</v>
      </c>
      <c r="AV505" s="2"/>
      <c r="AW505" t="s">
        <v>21</v>
      </c>
      <c r="AX505">
        <v>0</v>
      </c>
      <c r="AY505">
        <v>710</v>
      </c>
      <c r="AZ505" t="s">
        <v>711</v>
      </c>
      <c r="BA505">
        <v>140</v>
      </c>
      <c r="BB505" s="2">
        <v>0.17</v>
      </c>
      <c r="BC505" t="s">
        <v>923</v>
      </c>
      <c r="BD505" t="s">
        <v>922</v>
      </c>
      <c r="BE505" t="s">
        <v>940</v>
      </c>
      <c r="BF505" s="7">
        <v>25</v>
      </c>
      <c r="BG5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05">
        <v>0</v>
      </c>
      <c r="BI505" t="s">
        <v>734</v>
      </c>
      <c r="BJ505" s="11">
        <v>40</v>
      </c>
      <c r="BK505" s="11">
        <v>7</v>
      </c>
      <c r="BL505" s="11">
        <v>56</v>
      </c>
      <c r="BM505">
        <v>0</v>
      </c>
      <c r="BN505" t="s">
        <v>692</v>
      </c>
      <c r="BO505" t="s">
        <v>694</v>
      </c>
      <c r="BP505" t="s">
        <v>701</v>
      </c>
      <c r="BQ505" t="s">
        <v>705</v>
      </c>
      <c r="BR505" t="s">
        <v>706</v>
      </c>
      <c r="BS505" t="s">
        <v>707</v>
      </c>
      <c r="CR505"/>
      <c r="CS505"/>
      <c r="CT505"/>
    </row>
    <row r="506" spans="1:98" x14ac:dyDescent="0.4">
      <c r="A506" s="2" t="s">
        <v>534</v>
      </c>
      <c r="B506" t="str">
        <f>_xlfn.TEXTAFTER(Table1[[#This Row],[VEHIDCODE]],"_")</f>
        <v>Australia_Sydney_Trains_A_Set_Waratah</v>
      </c>
      <c r="C506" t="s">
        <v>744</v>
      </c>
      <c r="D506" t="b">
        <f>OR(ISNUMBER(SEARCH("wagon_",Table1[[#This Row],[FILENAMES_EXPECTED]])),ISNUMBER(SEARCH("coach_",Table1[[#This Row],[FILENAMES_EXPECTED]])))</f>
        <v>0</v>
      </c>
      <c r="E506" t="str">
        <f>"item_"&amp;Table1[[#This Row],[VEHIDCODE]]</f>
        <v>item_emu_Australia_Sydney_Trains_A_Set_Waratah</v>
      </c>
      <c r="F506" t="str">
        <f>"str_"&amp;Table1[[#This Row],[VEHIDCODE]]</f>
        <v>str_emu_Australia_Sydney_Trains_A_Set_Waratah</v>
      </c>
      <c r="K506" t="b">
        <v>1</v>
      </c>
      <c r="AJ506" s="2"/>
      <c r="AK506" s="2" t="b">
        <f>LEN(_xlfn.CONCAT(Table1[[#This Row],[TRACK_TYPE_STANDARD_GAUGE_RAILTYPE_OHLE]:[TRACK_TYPE_MTRO]]))&gt;0</f>
        <v>1</v>
      </c>
      <c r="AL506">
        <v>8</v>
      </c>
      <c r="AM506" t="s">
        <v>18</v>
      </c>
      <c r="AN506">
        <v>1</v>
      </c>
      <c r="AO506" t="s">
        <v>74</v>
      </c>
      <c r="AP506">
        <v>110</v>
      </c>
      <c r="AQ506">
        <v>2011</v>
      </c>
      <c r="AR506">
        <v>8</v>
      </c>
      <c r="AS506" s="2" t="s">
        <v>24</v>
      </c>
      <c r="AT506" t="b">
        <v>1</v>
      </c>
      <c r="AU506" t="b">
        <v>1</v>
      </c>
      <c r="AV506" s="2"/>
      <c r="AW506" t="s">
        <v>21</v>
      </c>
      <c r="AX506">
        <v>1</v>
      </c>
      <c r="AY506">
        <v>1120</v>
      </c>
      <c r="AZ506" t="s">
        <v>709</v>
      </c>
      <c r="BA506">
        <v>130</v>
      </c>
      <c r="BB506" s="2">
        <v>0.25</v>
      </c>
      <c r="BC506" t="s">
        <v>925</v>
      </c>
      <c r="BD506" t="s">
        <v>922</v>
      </c>
      <c r="BE506" t="s">
        <v>940</v>
      </c>
      <c r="BF506" s="7">
        <v>25</v>
      </c>
      <c r="BG5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06">
        <v>0</v>
      </c>
      <c r="BI506" t="s">
        <v>734</v>
      </c>
      <c r="BJ506" s="11">
        <v>110</v>
      </c>
      <c r="BK506" s="11">
        <v>8</v>
      </c>
      <c r="BL506" s="11">
        <v>51</v>
      </c>
      <c r="BM506">
        <v>0</v>
      </c>
      <c r="BN506" t="s">
        <v>692</v>
      </c>
      <c r="BO506" t="s">
        <v>694</v>
      </c>
      <c r="BP506" t="s">
        <v>701</v>
      </c>
      <c r="BQ506" t="s">
        <v>705</v>
      </c>
      <c r="BR506" t="s">
        <v>706</v>
      </c>
      <c r="BS506" t="s">
        <v>707</v>
      </c>
      <c r="CR506"/>
      <c r="CS506"/>
      <c r="CT506"/>
    </row>
    <row r="507" spans="1:98" x14ac:dyDescent="0.4">
      <c r="A507" s="2" t="s">
        <v>535</v>
      </c>
      <c r="B507" t="str">
        <f>_xlfn.TEXTAFTER(Table1[[#This Row],[VEHIDCODE]],"_")</f>
        <v>Denmark_DSB_S_Tog_II</v>
      </c>
      <c r="C507" t="s">
        <v>744</v>
      </c>
      <c r="D507" t="b">
        <f>OR(ISNUMBER(SEARCH("wagon_",Table1[[#This Row],[FILENAMES_EXPECTED]])),ISNUMBER(SEARCH("coach_",Table1[[#This Row],[FILENAMES_EXPECTED]])))</f>
        <v>0</v>
      </c>
      <c r="E507" t="str">
        <f>"item_"&amp;Table1[[#This Row],[VEHIDCODE]]</f>
        <v>item_emu_Denmark_DSB_S_Tog_II</v>
      </c>
      <c r="F507" t="str">
        <f>"str_"&amp;Table1[[#This Row],[VEHIDCODE]]</f>
        <v>str_emu_Denmark_DSB_S_Tog_II</v>
      </c>
      <c r="K507" t="b">
        <v>1</v>
      </c>
      <c r="AJ507" s="2"/>
      <c r="AK507" s="2" t="b">
        <f>LEN(_xlfn.CONCAT(Table1[[#This Row],[TRACK_TYPE_STANDARD_GAUGE_RAILTYPE_OHLE]:[TRACK_TYPE_MTRO]]))&gt;0</f>
        <v>1</v>
      </c>
      <c r="AL507">
        <v>8</v>
      </c>
      <c r="AM507" t="s">
        <v>18</v>
      </c>
      <c r="AN507">
        <v>1</v>
      </c>
      <c r="AO507" t="s">
        <v>74</v>
      </c>
      <c r="AP507">
        <v>56</v>
      </c>
      <c r="AQ507">
        <v>1966</v>
      </c>
      <c r="AR507">
        <v>8</v>
      </c>
      <c r="AS507" s="2" t="s">
        <v>24</v>
      </c>
      <c r="AT507" t="b">
        <v>1</v>
      </c>
      <c r="AU507" t="b">
        <v>1</v>
      </c>
      <c r="AV507" s="2"/>
      <c r="AW507">
        <v>45</v>
      </c>
      <c r="AX507">
        <v>1</v>
      </c>
      <c r="AY507">
        <v>200</v>
      </c>
      <c r="AZ507" t="s">
        <v>709</v>
      </c>
      <c r="BA507">
        <v>100</v>
      </c>
      <c r="BB507" s="2">
        <v>0.14000000000000001</v>
      </c>
      <c r="BC507" t="s">
        <v>927</v>
      </c>
      <c r="BD507" t="s">
        <v>922</v>
      </c>
      <c r="BE507" t="s">
        <v>940</v>
      </c>
      <c r="BF507" s="7">
        <v>25</v>
      </c>
      <c r="BG5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07">
        <v>0</v>
      </c>
      <c r="BI507" t="s">
        <v>734</v>
      </c>
      <c r="BJ507" s="11">
        <v>42</v>
      </c>
      <c r="BK507" s="11">
        <v>8</v>
      </c>
      <c r="BL507" s="11">
        <v>45</v>
      </c>
      <c r="BM507">
        <v>0</v>
      </c>
      <c r="BN507" t="s">
        <v>692</v>
      </c>
      <c r="BO507" t="s">
        <v>694</v>
      </c>
      <c r="BP507" t="s">
        <v>701</v>
      </c>
      <c r="BQ507" t="s">
        <v>705</v>
      </c>
      <c r="BR507" t="s">
        <v>706</v>
      </c>
      <c r="BS507" t="s">
        <v>707</v>
      </c>
      <c r="CR507"/>
      <c r="CS507"/>
      <c r="CT507"/>
    </row>
    <row r="508" spans="1:98" x14ac:dyDescent="0.4">
      <c r="A508" s="2" t="s">
        <v>536</v>
      </c>
      <c r="B508" t="str">
        <f>_xlfn.TEXTAFTER(Table1[[#This Row],[VEHIDCODE]],"_")</f>
        <v>Denmark_DSB_S_Tog_IV</v>
      </c>
      <c r="C508" t="s">
        <v>744</v>
      </c>
      <c r="D508" t="b">
        <f>OR(ISNUMBER(SEARCH("wagon_",Table1[[#This Row],[FILENAMES_EXPECTED]])),ISNUMBER(SEARCH("coach_",Table1[[#This Row],[FILENAMES_EXPECTED]])))</f>
        <v>0</v>
      </c>
      <c r="E508" t="str">
        <f>"item_"&amp;Table1[[#This Row],[VEHIDCODE]]</f>
        <v>item_emu_Denmark_DSB_S_Tog_IV</v>
      </c>
      <c r="F508" t="str">
        <f>"str_"&amp;Table1[[#This Row],[VEHIDCODE]]</f>
        <v>str_emu_Denmark_DSB_S_Tog_IV</v>
      </c>
      <c r="K508" t="b">
        <v>1</v>
      </c>
      <c r="AJ508" s="2"/>
      <c r="AK508" s="2" t="b">
        <f>LEN(_xlfn.CONCAT(Table1[[#This Row],[TRACK_TYPE_STANDARD_GAUGE_RAILTYPE_OHLE]:[TRACK_TYPE_MTRO]]))&gt;0</f>
        <v>1</v>
      </c>
      <c r="AL508">
        <v>5</v>
      </c>
      <c r="AM508" t="s">
        <v>18</v>
      </c>
      <c r="AN508">
        <v>1</v>
      </c>
      <c r="AO508" t="s">
        <v>74</v>
      </c>
      <c r="AP508">
        <v>42</v>
      </c>
      <c r="AQ508">
        <v>1996</v>
      </c>
      <c r="AR508">
        <v>5</v>
      </c>
      <c r="AS508" s="2" t="s">
        <v>24</v>
      </c>
      <c r="AT508" t="b">
        <v>1</v>
      </c>
      <c r="AU508" t="b">
        <v>1</v>
      </c>
      <c r="AV508" s="2"/>
      <c r="AW508" t="s">
        <v>21</v>
      </c>
      <c r="AX508">
        <v>1</v>
      </c>
      <c r="AY508">
        <v>290</v>
      </c>
      <c r="AZ508" t="s">
        <v>709</v>
      </c>
      <c r="BA508">
        <v>120</v>
      </c>
      <c r="BB508" s="2">
        <v>0.47</v>
      </c>
      <c r="BC508" t="s">
        <v>927</v>
      </c>
      <c r="BD508" t="s">
        <v>922</v>
      </c>
      <c r="BE508" t="s">
        <v>940</v>
      </c>
      <c r="BF508" s="7">
        <v>25</v>
      </c>
      <c r="BG5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08">
        <v>0</v>
      </c>
      <c r="BI508" t="s">
        <v>734</v>
      </c>
      <c r="BJ508" s="11">
        <v>42</v>
      </c>
      <c r="BK508" s="11">
        <v>5</v>
      </c>
      <c r="BL508" s="11">
        <v>16</v>
      </c>
      <c r="BM508">
        <v>0</v>
      </c>
      <c r="BN508" t="s">
        <v>692</v>
      </c>
      <c r="BO508" t="s">
        <v>694</v>
      </c>
      <c r="BP508" t="s">
        <v>701</v>
      </c>
      <c r="BQ508" t="s">
        <v>705</v>
      </c>
      <c r="BR508" t="s">
        <v>706</v>
      </c>
      <c r="BS508" t="s">
        <v>707</v>
      </c>
      <c r="CR508"/>
      <c r="CS508"/>
      <c r="CT508"/>
    </row>
    <row r="509" spans="1:98" x14ac:dyDescent="0.4">
      <c r="A509" s="2" t="s">
        <v>537</v>
      </c>
      <c r="B509" t="str">
        <f>_xlfn.TEXTAFTER(Table1[[#This Row],[VEHIDCODE]],"_")</f>
        <v>Italy_ATAC_ECD_21_30</v>
      </c>
      <c r="C509" t="s">
        <v>744</v>
      </c>
      <c r="D509" t="b">
        <f>OR(ISNUMBER(SEARCH("wagon_",Table1[[#This Row],[FILENAMES_EXPECTED]])),ISNUMBER(SEARCH("coach_",Table1[[#This Row],[FILENAMES_EXPECTED]])))</f>
        <v>0</v>
      </c>
      <c r="E509" t="str">
        <f>"item_"&amp;Table1[[#This Row],[VEHIDCODE]]</f>
        <v>item_emu_Italy_ATAC_ECD_21_30</v>
      </c>
      <c r="F509" t="str">
        <f>"str_"&amp;Table1[[#This Row],[VEHIDCODE]]</f>
        <v>str_emu_Italy_ATAC_ECD_21_30</v>
      </c>
      <c r="K509" t="b">
        <v>1</v>
      </c>
      <c r="AJ509" s="2"/>
      <c r="AK509" s="2" t="b">
        <f>LEN(_xlfn.CONCAT(Table1[[#This Row],[TRACK_TYPE_STANDARD_GAUGE_RAILTYPE_OHLE]:[TRACK_TYPE_MTRO]]))&gt;0</f>
        <v>1</v>
      </c>
      <c r="AL509">
        <v>8</v>
      </c>
      <c r="AM509" t="s">
        <v>18</v>
      </c>
      <c r="AN509">
        <v>1</v>
      </c>
      <c r="AO509" t="s">
        <v>74</v>
      </c>
      <c r="AP509">
        <v>34</v>
      </c>
      <c r="AQ509">
        <v>1932</v>
      </c>
      <c r="AR509">
        <v>8</v>
      </c>
      <c r="AS509" s="2" t="s">
        <v>24</v>
      </c>
      <c r="AT509" t="b">
        <v>1</v>
      </c>
      <c r="AU509" t="b">
        <v>1</v>
      </c>
      <c r="AV509" s="2"/>
      <c r="AW509">
        <v>45</v>
      </c>
      <c r="AX509">
        <v>1</v>
      </c>
      <c r="AY509">
        <v>650</v>
      </c>
      <c r="AZ509" t="s">
        <v>709</v>
      </c>
      <c r="BA509">
        <v>72</v>
      </c>
      <c r="BB509" s="2">
        <v>0.34</v>
      </c>
      <c r="BC509" t="s">
        <v>924</v>
      </c>
      <c r="BD509" t="s">
        <v>922</v>
      </c>
      <c r="BE509" t="s">
        <v>940</v>
      </c>
      <c r="BF509" s="7">
        <v>25</v>
      </c>
      <c r="BG5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09">
        <v>0</v>
      </c>
      <c r="BI509" t="s">
        <v>734</v>
      </c>
      <c r="BJ509" s="11">
        <v>34</v>
      </c>
      <c r="BK509" s="11">
        <v>8</v>
      </c>
      <c r="BL509" s="11">
        <v>31</v>
      </c>
      <c r="BM509">
        <v>0</v>
      </c>
      <c r="BN509" t="s">
        <v>692</v>
      </c>
      <c r="BO509" t="s">
        <v>694</v>
      </c>
      <c r="BP509" t="s">
        <v>701</v>
      </c>
      <c r="BQ509" t="s">
        <v>705</v>
      </c>
      <c r="BR509" t="s">
        <v>706</v>
      </c>
      <c r="BS509" t="s">
        <v>707</v>
      </c>
      <c r="CR509"/>
      <c r="CS509"/>
      <c r="CT509"/>
    </row>
    <row r="510" spans="1:98" x14ac:dyDescent="0.4">
      <c r="A510" s="2" t="s">
        <v>538</v>
      </c>
      <c r="B510" t="str">
        <f>_xlfn.TEXTAFTER(Table1[[#This Row],[VEHIDCODE]],"_")</f>
        <v>Netherlands_NS_Mat24</v>
      </c>
      <c r="C510" t="s">
        <v>744</v>
      </c>
      <c r="D510" t="b">
        <f>OR(ISNUMBER(SEARCH("wagon_",Table1[[#This Row],[FILENAMES_EXPECTED]])),ISNUMBER(SEARCH("coach_",Table1[[#This Row],[FILENAMES_EXPECTED]])))</f>
        <v>0</v>
      </c>
      <c r="E510" t="str">
        <f>"item_"&amp;Table1[[#This Row],[VEHIDCODE]]</f>
        <v>item_emu_Netherlands_NS_Mat24</v>
      </c>
      <c r="F510" t="str">
        <f>"str_"&amp;Table1[[#This Row],[VEHIDCODE]]</f>
        <v>str_emu_Netherlands_NS_Mat24</v>
      </c>
      <c r="K510" t="b">
        <v>1</v>
      </c>
      <c r="AJ510" s="2"/>
      <c r="AK510" s="2" t="b">
        <f>LEN(_xlfn.CONCAT(Table1[[#This Row],[TRACK_TYPE_STANDARD_GAUGE_RAILTYPE_OHLE]:[TRACK_TYPE_MTRO]]))&gt;0</f>
        <v>1</v>
      </c>
      <c r="AL510">
        <v>8</v>
      </c>
      <c r="AM510" t="s">
        <v>18</v>
      </c>
      <c r="AN510">
        <v>1</v>
      </c>
      <c r="AO510" t="s">
        <v>74</v>
      </c>
      <c r="AP510">
        <v>30</v>
      </c>
      <c r="AQ510">
        <v>1924</v>
      </c>
      <c r="AR510">
        <v>8</v>
      </c>
      <c r="AS510" s="2" t="s">
        <v>24</v>
      </c>
      <c r="AT510" t="b">
        <v>1</v>
      </c>
      <c r="AU510" t="b">
        <v>1</v>
      </c>
      <c r="AV510" s="2"/>
      <c r="AW510">
        <v>45</v>
      </c>
      <c r="AX510">
        <v>1</v>
      </c>
      <c r="AY510">
        <v>709</v>
      </c>
      <c r="AZ510" t="s">
        <v>709</v>
      </c>
      <c r="BA510">
        <v>100</v>
      </c>
      <c r="BB510" s="2">
        <v>0.41</v>
      </c>
      <c r="BC510" t="s">
        <v>923</v>
      </c>
      <c r="BD510" t="s">
        <v>922</v>
      </c>
      <c r="BE510" t="s">
        <v>940</v>
      </c>
      <c r="BF510" s="7">
        <v>25</v>
      </c>
      <c r="BG5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0">
        <v>0</v>
      </c>
      <c r="BI510" t="s">
        <v>734</v>
      </c>
      <c r="BJ510" s="11">
        <v>30</v>
      </c>
      <c r="BK510" s="11">
        <v>8</v>
      </c>
      <c r="BL510" s="11">
        <v>30</v>
      </c>
      <c r="BM510">
        <v>0</v>
      </c>
      <c r="BN510" t="s">
        <v>692</v>
      </c>
      <c r="BO510" t="s">
        <v>694</v>
      </c>
      <c r="BP510" t="s">
        <v>701</v>
      </c>
      <c r="BQ510" t="s">
        <v>705</v>
      </c>
      <c r="BR510" t="s">
        <v>706</v>
      </c>
      <c r="BS510" t="s">
        <v>707</v>
      </c>
      <c r="CR510"/>
      <c r="CS510"/>
      <c r="CT510"/>
    </row>
    <row r="511" spans="1:98" x14ac:dyDescent="0.4">
      <c r="A511" s="2" t="s">
        <v>539</v>
      </c>
      <c r="B511" t="str">
        <f>_xlfn.TEXTAFTER(Table1[[#This Row],[VEHIDCODE]],"_")</f>
        <v>Netherlands_NS_Mat36</v>
      </c>
      <c r="C511" t="s">
        <v>744</v>
      </c>
      <c r="D511" t="b">
        <f>OR(ISNUMBER(SEARCH("wagon_",Table1[[#This Row],[FILENAMES_EXPECTED]])),ISNUMBER(SEARCH("coach_",Table1[[#This Row],[FILENAMES_EXPECTED]])))</f>
        <v>0</v>
      </c>
      <c r="E511" t="str">
        <f>"item_"&amp;Table1[[#This Row],[VEHIDCODE]]</f>
        <v>item_emu_Netherlands_NS_Mat36</v>
      </c>
      <c r="F511" t="str">
        <f>"str_"&amp;Table1[[#This Row],[VEHIDCODE]]</f>
        <v>str_emu_Netherlands_NS_Mat36</v>
      </c>
      <c r="K511" t="b">
        <v>1</v>
      </c>
      <c r="AJ511" s="2"/>
      <c r="AK511" s="2" t="b">
        <f>LEN(_xlfn.CONCAT(Table1[[#This Row],[TRACK_TYPE_STANDARD_GAUGE_RAILTYPE_OHLE]:[TRACK_TYPE_MTRO]]))&gt;0</f>
        <v>1</v>
      </c>
      <c r="AL511">
        <v>8</v>
      </c>
      <c r="AM511" t="s">
        <v>18</v>
      </c>
      <c r="AN511">
        <v>1</v>
      </c>
      <c r="AO511" t="s">
        <v>74</v>
      </c>
      <c r="AP511">
        <v>52</v>
      </c>
      <c r="AQ511">
        <v>1936</v>
      </c>
      <c r="AR511">
        <v>8</v>
      </c>
      <c r="AS511" s="2" t="s">
        <v>24</v>
      </c>
      <c r="AT511" t="b">
        <v>1</v>
      </c>
      <c r="AU511" t="b">
        <v>1</v>
      </c>
      <c r="AV511" s="2"/>
      <c r="AW511">
        <v>45</v>
      </c>
      <c r="AX511">
        <v>1</v>
      </c>
      <c r="AY511">
        <v>533</v>
      </c>
      <c r="AZ511" t="s">
        <v>709</v>
      </c>
      <c r="BA511">
        <v>125</v>
      </c>
      <c r="BB511" s="2">
        <v>0.38</v>
      </c>
      <c r="BC511" t="s">
        <v>923</v>
      </c>
      <c r="BD511" t="s">
        <v>922</v>
      </c>
      <c r="BE511" t="s">
        <v>940</v>
      </c>
      <c r="BF511" s="7">
        <v>25</v>
      </c>
      <c r="BG5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1">
        <v>0</v>
      </c>
      <c r="BI511" t="s">
        <v>734</v>
      </c>
      <c r="BJ511" s="11">
        <v>52</v>
      </c>
      <c r="BK511" s="11">
        <v>8</v>
      </c>
      <c r="BL511" s="11">
        <v>45</v>
      </c>
      <c r="BM511">
        <v>0</v>
      </c>
      <c r="BN511" t="s">
        <v>692</v>
      </c>
      <c r="BO511" t="s">
        <v>694</v>
      </c>
      <c r="BP511" t="s">
        <v>701</v>
      </c>
      <c r="BQ511" t="s">
        <v>705</v>
      </c>
      <c r="BR511" t="s">
        <v>706</v>
      </c>
      <c r="BS511" t="s">
        <v>707</v>
      </c>
      <c r="CR511"/>
      <c r="CS511"/>
      <c r="CT511"/>
    </row>
    <row r="512" spans="1:98" x14ac:dyDescent="0.4">
      <c r="A512" s="2" t="s">
        <v>540</v>
      </c>
      <c r="B512" t="str">
        <f>_xlfn.TEXTAFTER(Table1[[#This Row],[VEHIDCODE]],"_")</f>
        <v>Netherlands_NS_Mat54</v>
      </c>
      <c r="C512" t="s">
        <v>744</v>
      </c>
      <c r="D512" t="b">
        <f>OR(ISNUMBER(SEARCH("wagon_",Table1[[#This Row],[FILENAMES_EXPECTED]])),ISNUMBER(SEARCH("coach_",Table1[[#This Row],[FILENAMES_EXPECTED]])))</f>
        <v>0</v>
      </c>
      <c r="E512" t="str">
        <f>"item_"&amp;Table1[[#This Row],[VEHIDCODE]]</f>
        <v>item_emu_Netherlands_NS_Mat54</v>
      </c>
      <c r="F512" t="str">
        <f>"str_"&amp;Table1[[#This Row],[VEHIDCODE]]</f>
        <v>str_emu_Netherlands_NS_Mat54</v>
      </c>
      <c r="K512" t="b">
        <v>1</v>
      </c>
      <c r="AJ512" s="2"/>
      <c r="AK512" s="2" t="b">
        <f>LEN(_xlfn.CONCAT(Table1[[#This Row],[TRACK_TYPE_STANDARD_GAUGE_RAILTYPE_OHLE]:[TRACK_TYPE_MTRO]]))&gt;0</f>
        <v>1</v>
      </c>
      <c r="AL512">
        <v>8</v>
      </c>
      <c r="AM512" t="s">
        <v>18</v>
      </c>
      <c r="AN512">
        <v>1</v>
      </c>
      <c r="AO512" t="s">
        <v>74</v>
      </c>
      <c r="AP512">
        <v>60</v>
      </c>
      <c r="AQ512">
        <v>1954</v>
      </c>
      <c r="AR512">
        <v>8</v>
      </c>
      <c r="AS512" s="2" t="s">
        <v>24</v>
      </c>
      <c r="AT512" t="b">
        <v>1</v>
      </c>
      <c r="AU512" t="b">
        <v>1</v>
      </c>
      <c r="AV512" s="2"/>
      <c r="AW512">
        <v>45</v>
      </c>
      <c r="AX512">
        <v>1</v>
      </c>
      <c r="AY512">
        <v>910</v>
      </c>
      <c r="AZ512" t="s">
        <v>709</v>
      </c>
      <c r="BA512">
        <v>140</v>
      </c>
      <c r="BB512" s="2">
        <v>0.28000000000000003</v>
      </c>
      <c r="BC512" t="s">
        <v>923</v>
      </c>
      <c r="BD512" t="s">
        <v>922</v>
      </c>
      <c r="BE512" t="s">
        <v>940</v>
      </c>
      <c r="BF512" s="7">
        <v>25</v>
      </c>
      <c r="BG5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2">
        <v>0</v>
      </c>
      <c r="BI512" t="s">
        <v>734</v>
      </c>
      <c r="BJ512" s="11">
        <v>60</v>
      </c>
      <c r="BK512" s="11">
        <v>8</v>
      </c>
      <c r="BL512" s="11">
        <v>55</v>
      </c>
      <c r="BM512">
        <v>0</v>
      </c>
      <c r="BN512" t="s">
        <v>692</v>
      </c>
      <c r="BO512" t="s">
        <v>694</v>
      </c>
      <c r="BP512" t="s">
        <v>701</v>
      </c>
      <c r="BQ512" t="s">
        <v>705</v>
      </c>
      <c r="BR512" t="s">
        <v>706</v>
      </c>
      <c r="BS512" t="s">
        <v>707</v>
      </c>
      <c r="CR512"/>
      <c r="CS512"/>
      <c r="CT512"/>
    </row>
    <row r="513" spans="1:98" x14ac:dyDescent="0.4">
      <c r="A513" s="2" t="s">
        <v>541</v>
      </c>
      <c r="B513" t="str">
        <f>_xlfn.TEXTAFTER(Table1[[#This Row],[VEHIDCODE]],"_")</f>
        <v>Netherlands_NS_Plan_Y</v>
      </c>
      <c r="C513" t="s">
        <v>744</v>
      </c>
      <c r="D513" t="b">
        <f>OR(ISNUMBER(SEARCH("wagon_",Table1[[#This Row],[FILENAMES_EXPECTED]])),ISNUMBER(SEARCH("coach_",Table1[[#This Row],[FILENAMES_EXPECTED]])))</f>
        <v>0</v>
      </c>
      <c r="E513" t="str">
        <f>"item_"&amp;Table1[[#This Row],[VEHIDCODE]]</f>
        <v>item_emu_Netherlands_NS_Plan_Y</v>
      </c>
      <c r="F513" t="str">
        <f>"str_"&amp;Table1[[#This Row],[VEHIDCODE]]</f>
        <v>str_emu_Netherlands_NS_Plan_Y</v>
      </c>
      <c r="K513" t="b">
        <v>1</v>
      </c>
      <c r="AJ513" s="2"/>
      <c r="AK513" s="2" t="b">
        <f>LEN(_xlfn.CONCAT(Table1[[#This Row],[TRACK_TYPE_STANDARD_GAUGE_RAILTYPE_OHLE]:[TRACK_TYPE_MTRO]]))&gt;0</f>
        <v>1</v>
      </c>
      <c r="AL513">
        <v>8</v>
      </c>
      <c r="AM513" t="s">
        <v>18</v>
      </c>
      <c r="AN513">
        <v>1</v>
      </c>
      <c r="AO513" t="s">
        <v>74</v>
      </c>
      <c r="AP513">
        <v>66</v>
      </c>
      <c r="AQ513">
        <v>1975</v>
      </c>
      <c r="AR513">
        <v>8</v>
      </c>
      <c r="AS513" s="2" t="s">
        <v>24</v>
      </c>
      <c r="AT513" t="b">
        <v>1</v>
      </c>
      <c r="AU513" t="b">
        <v>1</v>
      </c>
      <c r="AV513" s="2"/>
      <c r="AW513">
        <v>45</v>
      </c>
      <c r="AX513">
        <v>1</v>
      </c>
      <c r="AY513">
        <v>572</v>
      </c>
      <c r="AZ513" t="s">
        <v>709</v>
      </c>
      <c r="BA513">
        <v>125</v>
      </c>
      <c r="BB513" s="2">
        <v>0.19</v>
      </c>
      <c r="BC513" t="s">
        <v>923</v>
      </c>
      <c r="BD513" t="s">
        <v>922</v>
      </c>
      <c r="BE513" t="s">
        <v>940</v>
      </c>
      <c r="BF513" s="7">
        <v>25</v>
      </c>
      <c r="BG5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3">
        <v>0</v>
      </c>
      <c r="BI513" t="s">
        <v>734</v>
      </c>
      <c r="BJ513" s="11">
        <v>66</v>
      </c>
      <c r="BK513" s="11">
        <v>8</v>
      </c>
      <c r="BL513" s="11">
        <v>53</v>
      </c>
      <c r="BM513">
        <v>0</v>
      </c>
      <c r="BN513" t="s">
        <v>692</v>
      </c>
      <c r="BO513" t="s">
        <v>694</v>
      </c>
      <c r="BP513" t="s">
        <v>701</v>
      </c>
      <c r="BQ513" t="s">
        <v>705</v>
      </c>
      <c r="BR513" t="s">
        <v>706</v>
      </c>
      <c r="BS513" t="s">
        <v>707</v>
      </c>
      <c r="CR513"/>
      <c r="CS513"/>
      <c r="CT513"/>
    </row>
    <row r="514" spans="1:98" x14ac:dyDescent="0.4">
      <c r="A514" s="2" t="s">
        <v>542</v>
      </c>
      <c r="B514" t="str">
        <f>_xlfn.TEXTAFTER(Table1[[#This Row],[VEHIDCODE]],"_")</f>
        <v>Netherlands_NS_ICM_4000</v>
      </c>
      <c r="C514" t="s">
        <v>744</v>
      </c>
      <c r="D514" t="b">
        <f>OR(ISNUMBER(SEARCH("wagon_",Table1[[#This Row],[FILENAMES_EXPECTED]])),ISNUMBER(SEARCH("coach_",Table1[[#This Row],[FILENAMES_EXPECTED]])))</f>
        <v>0</v>
      </c>
      <c r="E514" t="str">
        <f>"item_"&amp;Table1[[#This Row],[VEHIDCODE]]</f>
        <v>item_emu_Netherlands_NS_ICM_4000</v>
      </c>
      <c r="F514" t="str">
        <f>"str_"&amp;Table1[[#This Row],[VEHIDCODE]]</f>
        <v>str_emu_Netherlands_NS_ICM_4000</v>
      </c>
      <c r="K514" t="b">
        <v>1</v>
      </c>
      <c r="AJ514" s="2"/>
      <c r="AK514" s="2" t="b">
        <f>LEN(_xlfn.CONCAT(Table1[[#This Row],[TRACK_TYPE_STANDARD_GAUGE_RAILTYPE_OHLE]:[TRACK_TYPE_MTRO]]))&gt;0</f>
        <v>1</v>
      </c>
      <c r="AL514">
        <v>8</v>
      </c>
      <c r="AM514" t="s">
        <v>18</v>
      </c>
      <c r="AN514">
        <v>1</v>
      </c>
      <c r="AO514" t="s">
        <v>74</v>
      </c>
      <c r="AP514">
        <v>61</v>
      </c>
      <c r="AQ514">
        <v>1979</v>
      </c>
      <c r="AR514">
        <v>8</v>
      </c>
      <c r="AS514" s="2" t="s">
        <v>24</v>
      </c>
      <c r="AT514" t="b">
        <v>1</v>
      </c>
      <c r="AU514" t="b">
        <v>1</v>
      </c>
      <c r="AV514" s="2"/>
      <c r="AW514">
        <v>45</v>
      </c>
      <c r="AX514">
        <v>1</v>
      </c>
      <c r="AY514">
        <v>600</v>
      </c>
      <c r="AZ514" t="s">
        <v>709</v>
      </c>
      <c r="BA514">
        <v>160</v>
      </c>
      <c r="BB514" s="2">
        <v>0.48</v>
      </c>
      <c r="BC514" t="s">
        <v>923</v>
      </c>
      <c r="BD514" t="s">
        <v>922</v>
      </c>
      <c r="BE514" t="s">
        <v>940</v>
      </c>
      <c r="BF514" s="7">
        <v>25</v>
      </c>
      <c r="BG5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4">
        <v>0</v>
      </c>
      <c r="BI514" t="s">
        <v>734</v>
      </c>
      <c r="BJ514" s="11">
        <v>61</v>
      </c>
      <c r="BK514" s="11">
        <v>8</v>
      </c>
      <c r="BL514" s="11">
        <v>49</v>
      </c>
      <c r="BM514">
        <v>0</v>
      </c>
      <c r="BN514" t="s">
        <v>692</v>
      </c>
      <c r="BO514" t="s">
        <v>694</v>
      </c>
      <c r="BP514" t="s">
        <v>701</v>
      </c>
      <c r="BQ514" t="s">
        <v>705</v>
      </c>
      <c r="BR514" t="s">
        <v>706</v>
      </c>
      <c r="BS514" t="s">
        <v>707</v>
      </c>
      <c r="CR514"/>
      <c r="CS514"/>
      <c r="CT514"/>
    </row>
    <row r="515" spans="1:98" x14ac:dyDescent="0.4">
      <c r="A515" s="2" t="s">
        <v>543</v>
      </c>
      <c r="B515" t="str">
        <f>_xlfn.TEXTAFTER(Table1[[#This Row],[VEHIDCODE]],"_")</f>
        <v>Netherlands_NS_DD_IRM_VIRM</v>
      </c>
      <c r="C515" t="s">
        <v>744</v>
      </c>
      <c r="D515" t="b">
        <f>OR(ISNUMBER(SEARCH("wagon_",Table1[[#This Row],[FILENAMES_EXPECTED]])),ISNUMBER(SEARCH("coach_",Table1[[#This Row],[FILENAMES_EXPECTED]])))</f>
        <v>0</v>
      </c>
      <c r="E515" t="str">
        <f>"item_"&amp;Table1[[#This Row],[VEHIDCODE]]</f>
        <v>item_emu_Netherlands_NS_DD_IRM_VIRM</v>
      </c>
      <c r="F515" t="str">
        <f>"str_"&amp;Table1[[#This Row],[VEHIDCODE]]</f>
        <v>str_emu_Netherlands_NS_DD_IRM_VIRM</v>
      </c>
      <c r="K515" t="b">
        <v>1</v>
      </c>
      <c r="AJ515" s="2"/>
      <c r="AK515" s="2" t="b">
        <f>LEN(_xlfn.CONCAT(Table1[[#This Row],[TRACK_TYPE_STANDARD_GAUGE_RAILTYPE_OHLE]:[TRACK_TYPE_MTRO]]))&gt;0</f>
        <v>1</v>
      </c>
      <c r="AL515">
        <v>8</v>
      </c>
      <c r="AM515" t="s">
        <v>18</v>
      </c>
      <c r="AN515">
        <v>1</v>
      </c>
      <c r="AO515" t="s">
        <v>74</v>
      </c>
      <c r="AP515">
        <v>91</v>
      </c>
      <c r="AQ515">
        <v>1994</v>
      </c>
      <c r="AR515">
        <v>8</v>
      </c>
      <c r="AS515" s="2" t="s">
        <v>24</v>
      </c>
      <c r="AT515" t="b">
        <v>1</v>
      </c>
      <c r="AU515" t="b">
        <v>1</v>
      </c>
      <c r="AV515" s="2"/>
      <c r="AW515" t="s">
        <v>21</v>
      </c>
      <c r="AX515">
        <v>1</v>
      </c>
      <c r="AY515">
        <v>718</v>
      </c>
      <c r="AZ515" t="s">
        <v>709</v>
      </c>
      <c r="BA515">
        <v>160</v>
      </c>
      <c r="BB515" s="2">
        <v>0.26</v>
      </c>
      <c r="BC515" t="s">
        <v>923</v>
      </c>
      <c r="BD515" t="s">
        <v>922</v>
      </c>
      <c r="BE515" t="s">
        <v>940</v>
      </c>
      <c r="BF515" s="7">
        <v>25</v>
      </c>
      <c r="BG5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5">
        <v>0</v>
      </c>
      <c r="BI515" t="s">
        <v>734</v>
      </c>
      <c r="BJ515" s="11">
        <v>91</v>
      </c>
      <c r="BK515" s="11">
        <v>8</v>
      </c>
      <c r="BL515" s="11">
        <v>59</v>
      </c>
      <c r="BM515">
        <v>0</v>
      </c>
      <c r="BN515" t="s">
        <v>692</v>
      </c>
      <c r="BO515" t="s">
        <v>694</v>
      </c>
      <c r="BP515" t="s">
        <v>701</v>
      </c>
      <c r="BQ515" t="s">
        <v>705</v>
      </c>
      <c r="BR515" t="s">
        <v>706</v>
      </c>
      <c r="BS515" t="s">
        <v>707</v>
      </c>
      <c r="CR515"/>
      <c r="CS515"/>
      <c r="CT515"/>
    </row>
    <row r="516" spans="1:98" x14ac:dyDescent="0.4">
      <c r="A516" s="2" t="s">
        <v>544</v>
      </c>
      <c r="B516" t="str">
        <f>_xlfn.TEXTAFTER(Table1[[#This Row],[VEHIDCODE]],"_")</f>
        <v>Netherlands_NS_mDDm_390</v>
      </c>
      <c r="C516" t="s">
        <v>744</v>
      </c>
      <c r="D516" t="b">
        <f>OR(ISNUMBER(SEARCH("wagon_",Table1[[#This Row],[FILENAMES_EXPECTED]])),ISNUMBER(SEARCH("coach_",Table1[[#This Row],[FILENAMES_EXPECTED]])))</f>
        <v>0</v>
      </c>
      <c r="E516" t="str">
        <f>"item_"&amp;Table1[[#This Row],[VEHIDCODE]]</f>
        <v>item_emu_Netherlands_NS_mDDm_390</v>
      </c>
      <c r="F516" t="str">
        <f>"str_"&amp;Table1[[#This Row],[VEHIDCODE]]</f>
        <v>str_emu_Netherlands_NS_mDDm_390</v>
      </c>
      <c r="K516" t="b">
        <v>1</v>
      </c>
      <c r="AJ516" s="2"/>
      <c r="AK516" s="2" t="b">
        <f>LEN(_xlfn.CONCAT(Table1[[#This Row],[TRACK_TYPE_STANDARD_GAUGE_RAILTYPE_OHLE]:[TRACK_TYPE_MTRO]]))&gt;0</f>
        <v>1</v>
      </c>
      <c r="AL516">
        <v>8</v>
      </c>
      <c r="AM516" t="s">
        <v>18</v>
      </c>
      <c r="AN516">
        <v>1</v>
      </c>
      <c r="AO516" t="s">
        <v>74</v>
      </c>
      <c r="AP516">
        <v>48</v>
      </c>
      <c r="AQ516">
        <v>1997</v>
      </c>
      <c r="AR516">
        <v>8</v>
      </c>
      <c r="AS516" s="2" t="s">
        <v>24</v>
      </c>
      <c r="AT516" t="b">
        <v>1</v>
      </c>
      <c r="AU516" t="b">
        <v>1</v>
      </c>
      <c r="AV516" s="2"/>
      <c r="AW516" t="s">
        <v>21</v>
      </c>
      <c r="AX516">
        <v>1</v>
      </c>
      <c r="AY516">
        <v>3219</v>
      </c>
      <c r="AZ516" t="s">
        <v>709</v>
      </c>
      <c r="BA516">
        <v>160</v>
      </c>
      <c r="BB516" s="2">
        <v>0.31</v>
      </c>
      <c r="BC516" t="s">
        <v>923</v>
      </c>
      <c r="BD516" t="s">
        <v>922</v>
      </c>
      <c r="BE516" t="s">
        <v>940</v>
      </c>
      <c r="BF516" s="7">
        <v>25</v>
      </c>
      <c r="BG5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6">
        <v>0</v>
      </c>
      <c r="BI516" t="s">
        <v>734</v>
      </c>
      <c r="BJ516" s="11">
        <v>95</v>
      </c>
      <c r="BK516" s="11">
        <v>8</v>
      </c>
      <c r="BL516" s="11">
        <v>76</v>
      </c>
      <c r="BM516">
        <v>0</v>
      </c>
      <c r="BN516" t="s">
        <v>692</v>
      </c>
      <c r="BO516" t="s">
        <v>694</v>
      </c>
      <c r="BP516" t="s">
        <v>701</v>
      </c>
      <c r="BQ516" t="s">
        <v>705</v>
      </c>
      <c r="BR516" t="s">
        <v>706</v>
      </c>
      <c r="BS516" t="s">
        <v>707</v>
      </c>
      <c r="CR516"/>
      <c r="CS516"/>
      <c r="CT516"/>
    </row>
    <row r="517" spans="1:98" x14ac:dyDescent="0.4">
      <c r="A517" s="2" t="s">
        <v>545</v>
      </c>
      <c r="B517" t="str">
        <f>_xlfn.TEXTAFTER(Table1[[#This Row],[VEHIDCODE]],"_")</f>
        <v>Poland_PKP_EW90</v>
      </c>
      <c r="C517" t="s">
        <v>744</v>
      </c>
      <c r="D517" t="b">
        <f>OR(ISNUMBER(SEARCH("wagon_",Table1[[#This Row],[FILENAMES_EXPECTED]])),ISNUMBER(SEARCH("coach_",Table1[[#This Row],[FILENAMES_EXPECTED]])))</f>
        <v>0</v>
      </c>
      <c r="E517" t="str">
        <f>"item_"&amp;Table1[[#This Row],[VEHIDCODE]]</f>
        <v>item_emu_Poland_PKP_EW90</v>
      </c>
      <c r="F517" t="str">
        <f>"str_"&amp;Table1[[#This Row],[VEHIDCODE]]</f>
        <v>str_emu_Poland_PKP_EW90</v>
      </c>
      <c r="K517" t="b">
        <v>1</v>
      </c>
      <c r="AJ517" s="2"/>
      <c r="AK517" s="2" t="b">
        <f>LEN(_xlfn.CONCAT(Table1[[#This Row],[TRACK_TYPE_STANDARD_GAUGE_RAILTYPE_OHLE]:[TRACK_TYPE_MTRO]]))&gt;0</f>
        <v>1</v>
      </c>
      <c r="AL517">
        <v>8</v>
      </c>
      <c r="AM517" t="s">
        <v>18</v>
      </c>
      <c r="AN517">
        <v>1</v>
      </c>
      <c r="AO517" t="s">
        <v>74</v>
      </c>
      <c r="AP517">
        <v>65</v>
      </c>
      <c r="AQ517">
        <v>1924</v>
      </c>
      <c r="AR517">
        <v>8</v>
      </c>
      <c r="AS517" s="2" t="s">
        <v>24</v>
      </c>
      <c r="AT517" t="b">
        <v>1</v>
      </c>
      <c r="AU517" t="b">
        <v>1</v>
      </c>
      <c r="AV517" s="2"/>
      <c r="AW517">
        <v>45</v>
      </c>
      <c r="AX517">
        <v>1</v>
      </c>
      <c r="AY517">
        <v>413</v>
      </c>
      <c r="AZ517" t="s">
        <v>709</v>
      </c>
      <c r="BA517">
        <v>80</v>
      </c>
      <c r="BB517" s="2">
        <v>0.11</v>
      </c>
      <c r="BC517" t="s">
        <v>929</v>
      </c>
      <c r="BD517" t="s">
        <v>922</v>
      </c>
      <c r="BE517" t="s">
        <v>940</v>
      </c>
      <c r="BF517" s="7">
        <v>25</v>
      </c>
      <c r="BG5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7">
        <v>0</v>
      </c>
      <c r="BI517" t="s">
        <v>734</v>
      </c>
      <c r="BJ517" s="11">
        <v>65</v>
      </c>
      <c r="BK517" s="11">
        <v>8</v>
      </c>
      <c r="BL517" s="11">
        <v>38</v>
      </c>
      <c r="BM517">
        <v>0</v>
      </c>
      <c r="BN517" t="s">
        <v>692</v>
      </c>
      <c r="BO517" t="s">
        <v>694</v>
      </c>
      <c r="BP517" t="s">
        <v>701</v>
      </c>
      <c r="BQ517" t="s">
        <v>705</v>
      </c>
      <c r="BR517" t="s">
        <v>706</v>
      </c>
      <c r="BS517" t="s">
        <v>707</v>
      </c>
      <c r="CR517"/>
      <c r="CS517"/>
      <c r="CT517"/>
    </row>
    <row r="518" spans="1:98" x14ac:dyDescent="0.4">
      <c r="A518" s="2" t="s">
        <v>546</v>
      </c>
      <c r="B518" t="str">
        <f>_xlfn.TEXTAFTER(Table1[[#This Row],[VEHIDCODE]],"_")</f>
        <v>Italy_FS_ETR200</v>
      </c>
      <c r="C518" t="s">
        <v>744</v>
      </c>
      <c r="D518" t="b">
        <f>OR(ISNUMBER(SEARCH("wagon_",Table1[[#This Row],[FILENAMES_EXPECTED]])),ISNUMBER(SEARCH("coach_",Table1[[#This Row],[FILENAMES_EXPECTED]])))</f>
        <v>0</v>
      </c>
      <c r="E518" t="str">
        <f>"item_"&amp;Table1[[#This Row],[VEHIDCODE]]</f>
        <v>item_emu_Italy_FS_ETR200</v>
      </c>
      <c r="F518" t="str">
        <f>"str_"&amp;Table1[[#This Row],[VEHIDCODE]]</f>
        <v>str_emu_Italy_FS_ETR200</v>
      </c>
      <c r="J518" t="b">
        <v>1</v>
      </c>
      <c r="AJ518" s="2"/>
      <c r="AK518" s="2" t="b">
        <f>LEN(_xlfn.CONCAT(Table1[[#This Row],[TRACK_TYPE_STANDARD_GAUGE_RAILTYPE_OHLE]:[TRACK_TYPE_MTRO]]))&gt;0</f>
        <v>1</v>
      </c>
      <c r="AL518">
        <v>8</v>
      </c>
      <c r="AM518" t="s">
        <v>18</v>
      </c>
      <c r="AN518">
        <v>1</v>
      </c>
      <c r="AO518" t="s">
        <v>74</v>
      </c>
      <c r="AP518">
        <v>35</v>
      </c>
      <c r="AQ518">
        <v>1937</v>
      </c>
      <c r="AR518">
        <v>8</v>
      </c>
      <c r="AS518" s="2" t="s">
        <v>480</v>
      </c>
      <c r="AT518" t="b">
        <v>1</v>
      </c>
      <c r="AU518" t="b">
        <v>1</v>
      </c>
      <c r="AV518" s="2"/>
      <c r="AW518">
        <v>45</v>
      </c>
      <c r="AX518">
        <v>1</v>
      </c>
      <c r="AY518">
        <v>482</v>
      </c>
      <c r="AZ518" t="s">
        <v>709</v>
      </c>
      <c r="BA518">
        <v>160</v>
      </c>
      <c r="BB518" s="2">
        <v>0.18</v>
      </c>
      <c r="BC518" t="s">
        <v>924</v>
      </c>
      <c r="BD518" t="s">
        <v>922</v>
      </c>
      <c r="BE518" t="s">
        <v>940</v>
      </c>
      <c r="BF518" s="7">
        <v>25</v>
      </c>
      <c r="BG5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8">
        <v>0</v>
      </c>
      <c r="BI518" t="s">
        <v>734</v>
      </c>
      <c r="BJ518" s="11">
        <v>35</v>
      </c>
      <c r="BK518" s="11">
        <v>8</v>
      </c>
      <c r="BL518" s="11">
        <v>41</v>
      </c>
      <c r="BM518">
        <v>0</v>
      </c>
      <c r="BN518" t="s">
        <v>692</v>
      </c>
      <c r="BO518" t="s">
        <v>694</v>
      </c>
      <c r="BP518" t="s">
        <v>701</v>
      </c>
      <c r="BQ518" t="s">
        <v>705</v>
      </c>
      <c r="BR518" t="s">
        <v>706</v>
      </c>
      <c r="BS518" t="s">
        <v>707</v>
      </c>
      <c r="CR518"/>
      <c r="CS518"/>
      <c r="CT518"/>
    </row>
    <row r="519" spans="1:98" x14ac:dyDescent="0.4">
      <c r="A519" s="2" t="s">
        <v>547</v>
      </c>
      <c r="B519" t="str">
        <f>_xlfn.TEXTAFTER(Table1[[#This Row],[VEHIDCODE]],"_")</f>
        <v>Italy_FS_ETR300_Settebello</v>
      </c>
      <c r="C519" t="s">
        <v>744</v>
      </c>
      <c r="D519" t="b">
        <f>OR(ISNUMBER(SEARCH("wagon_",Table1[[#This Row],[FILENAMES_EXPECTED]])),ISNUMBER(SEARCH("coach_",Table1[[#This Row],[FILENAMES_EXPECTED]])))</f>
        <v>0</v>
      </c>
      <c r="E519" t="str">
        <f>"item_"&amp;Table1[[#This Row],[VEHIDCODE]]</f>
        <v>item_emu_Italy_FS_ETR300_Settebello</v>
      </c>
      <c r="F519" t="str">
        <f>"str_"&amp;Table1[[#This Row],[VEHIDCODE]]</f>
        <v>str_emu_Italy_FS_ETR300_Settebello</v>
      </c>
      <c r="J519" t="b">
        <v>1</v>
      </c>
      <c r="AJ519" s="2"/>
      <c r="AK519" s="2" t="b">
        <f>LEN(_xlfn.CONCAT(Table1[[#This Row],[TRACK_TYPE_STANDARD_GAUGE_RAILTYPE_OHLE]:[TRACK_TYPE_MTRO]]))&gt;0</f>
        <v>1</v>
      </c>
      <c r="AL519">
        <v>8</v>
      </c>
      <c r="AM519" t="s">
        <v>18</v>
      </c>
      <c r="AN519">
        <v>1</v>
      </c>
      <c r="AO519" t="s">
        <v>74</v>
      </c>
      <c r="AP519">
        <v>28</v>
      </c>
      <c r="AQ519">
        <v>1952</v>
      </c>
      <c r="AR519">
        <v>8</v>
      </c>
      <c r="AS519" s="2" t="s">
        <v>480</v>
      </c>
      <c r="AT519" t="b">
        <v>1</v>
      </c>
      <c r="AU519" t="b">
        <v>1</v>
      </c>
      <c r="AV519" s="2"/>
      <c r="AW519">
        <v>45</v>
      </c>
      <c r="AX519">
        <v>1</v>
      </c>
      <c r="AY519">
        <v>500</v>
      </c>
      <c r="AZ519" t="s">
        <v>709</v>
      </c>
      <c r="BA519">
        <v>200</v>
      </c>
      <c r="BB519" s="2">
        <v>0.36</v>
      </c>
      <c r="BC519" t="s">
        <v>924</v>
      </c>
      <c r="BD519" t="s">
        <v>922</v>
      </c>
      <c r="BE519" t="s">
        <v>940</v>
      </c>
      <c r="BF519" s="7">
        <v>25</v>
      </c>
      <c r="BG5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19">
        <v>0</v>
      </c>
      <c r="BI519" t="s">
        <v>734</v>
      </c>
      <c r="BJ519" s="11">
        <v>28</v>
      </c>
      <c r="BK519" s="11">
        <v>8</v>
      </c>
      <c r="BL519" s="11">
        <v>52</v>
      </c>
      <c r="BM519">
        <v>0</v>
      </c>
      <c r="BN519" t="s">
        <v>692</v>
      </c>
      <c r="BO519" t="s">
        <v>694</v>
      </c>
      <c r="BP519" t="s">
        <v>701</v>
      </c>
      <c r="BQ519" t="s">
        <v>705</v>
      </c>
      <c r="BR519" t="s">
        <v>706</v>
      </c>
      <c r="BS519" t="s">
        <v>707</v>
      </c>
      <c r="CR519"/>
      <c r="CS519"/>
      <c r="CT519"/>
    </row>
    <row r="520" spans="1:98" x14ac:dyDescent="0.4">
      <c r="A520" s="2" t="s">
        <v>548</v>
      </c>
      <c r="B520" t="str">
        <f>_xlfn.TEXTAFTER(Table1[[#This Row],[VEHIDCODE]],"_")</f>
        <v>Italy_FS_ETR500</v>
      </c>
      <c r="C520" t="s">
        <v>744</v>
      </c>
      <c r="D520" t="b">
        <f>OR(ISNUMBER(SEARCH("wagon_",Table1[[#This Row],[FILENAMES_EXPECTED]])),ISNUMBER(SEARCH("coach_",Table1[[#This Row],[FILENAMES_EXPECTED]])))</f>
        <v>0</v>
      </c>
      <c r="E520" t="str">
        <f>"item_"&amp;Table1[[#This Row],[VEHIDCODE]]</f>
        <v>item_emu_Italy_FS_ETR500</v>
      </c>
      <c r="F520" t="str">
        <f>"str_"&amp;Table1[[#This Row],[VEHIDCODE]]</f>
        <v>str_emu_Italy_FS_ETR500</v>
      </c>
      <c r="J520" t="b">
        <v>1</v>
      </c>
      <c r="AJ520" s="2"/>
      <c r="AK520" s="2" t="b">
        <f>LEN(_xlfn.CONCAT(Table1[[#This Row],[TRACK_TYPE_STANDARD_GAUGE_RAILTYPE_OHLE]:[TRACK_TYPE_MTRO]]))&gt;0</f>
        <v>1</v>
      </c>
      <c r="AL520">
        <v>8</v>
      </c>
      <c r="AM520" t="s">
        <v>18</v>
      </c>
      <c r="AN520">
        <v>1</v>
      </c>
      <c r="AO520" t="s">
        <v>74</v>
      </c>
      <c r="AP520">
        <v>0</v>
      </c>
      <c r="AQ520">
        <v>1993</v>
      </c>
      <c r="AR520">
        <v>8</v>
      </c>
      <c r="AS520" s="2" t="s">
        <v>480</v>
      </c>
      <c r="AT520" t="b">
        <v>1</v>
      </c>
      <c r="AU520" t="b">
        <v>1</v>
      </c>
      <c r="AV520" s="2"/>
      <c r="AW520" t="s">
        <v>21</v>
      </c>
      <c r="AX520">
        <v>1</v>
      </c>
      <c r="AY520">
        <v>11800</v>
      </c>
      <c r="AZ520" t="s">
        <v>709</v>
      </c>
      <c r="BA520">
        <v>250</v>
      </c>
      <c r="BB520" s="2">
        <v>0.46</v>
      </c>
      <c r="BC520" t="s">
        <v>924</v>
      </c>
      <c r="BD520" t="s">
        <v>922</v>
      </c>
      <c r="BE520" t="s">
        <v>940</v>
      </c>
      <c r="BF520" s="7">
        <v>25</v>
      </c>
      <c r="BG5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0">
        <v>0</v>
      </c>
      <c r="BI520" t="s">
        <v>734</v>
      </c>
      <c r="BJ520" s="11">
        <v>60</v>
      </c>
      <c r="BK520" s="11">
        <v>8</v>
      </c>
      <c r="BL520" s="11">
        <v>54</v>
      </c>
      <c r="BM520">
        <v>0</v>
      </c>
      <c r="BN520" t="s">
        <v>692</v>
      </c>
      <c r="BO520" t="s">
        <v>694</v>
      </c>
      <c r="BP520" t="s">
        <v>701</v>
      </c>
      <c r="BQ520" t="s">
        <v>705</v>
      </c>
      <c r="BR520" t="s">
        <v>706</v>
      </c>
      <c r="BS520" t="s">
        <v>707</v>
      </c>
      <c r="CR520"/>
      <c r="CS520"/>
      <c r="CT520"/>
    </row>
    <row r="521" spans="1:98" x14ac:dyDescent="0.4">
      <c r="A521" s="2" t="s">
        <v>549</v>
      </c>
      <c r="B521" t="str">
        <f>_xlfn.TEXTAFTER(Table1[[#This Row],[VEHIDCODE]],"_")</f>
        <v>Italy_FS_ALe426</v>
      </c>
      <c r="C521" t="s">
        <v>744</v>
      </c>
      <c r="D521" t="b">
        <f>OR(ISNUMBER(SEARCH("wagon_",Table1[[#This Row],[FILENAMES_EXPECTED]])),ISNUMBER(SEARCH("coach_",Table1[[#This Row],[FILENAMES_EXPECTED]])))</f>
        <v>0</v>
      </c>
      <c r="E521" t="str">
        <f>"item_"&amp;Table1[[#This Row],[VEHIDCODE]]</f>
        <v>item_emu_Italy_FS_ALe426</v>
      </c>
      <c r="F521" t="str">
        <f>"str_"&amp;Table1[[#This Row],[VEHIDCODE]]</f>
        <v>str_emu_Italy_FS_ALe426</v>
      </c>
      <c r="J521" t="b">
        <v>1</v>
      </c>
      <c r="AJ521" s="2"/>
      <c r="AK521" s="2" t="b">
        <f>LEN(_xlfn.CONCAT(Table1[[#This Row],[TRACK_TYPE_STANDARD_GAUGE_RAILTYPE_OHLE]:[TRACK_TYPE_MTRO]]))&gt;0</f>
        <v>1</v>
      </c>
      <c r="AL521">
        <v>8</v>
      </c>
      <c r="AM521" t="s">
        <v>18</v>
      </c>
      <c r="AN521">
        <v>1</v>
      </c>
      <c r="AO521" t="s">
        <v>74</v>
      </c>
      <c r="AP521">
        <v>115</v>
      </c>
      <c r="AQ521">
        <v>1996</v>
      </c>
      <c r="AR521">
        <v>8</v>
      </c>
      <c r="AS521" s="2" t="s">
        <v>24</v>
      </c>
      <c r="AT521" t="b">
        <v>1</v>
      </c>
      <c r="AU521" t="b">
        <v>1</v>
      </c>
      <c r="AV521" s="2"/>
      <c r="AW521">
        <v>45</v>
      </c>
      <c r="AX521">
        <v>1</v>
      </c>
      <c r="AY521">
        <v>1219</v>
      </c>
      <c r="AZ521" t="s">
        <v>709</v>
      </c>
      <c r="BA521">
        <v>140</v>
      </c>
      <c r="BB521" s="2">
        <v>0.31</v>
      </c>
      <c r="BC521" t="s">
        <v>924</v>
      </c>
      <c r="BD521" t="s">
        <v>922</v>
      </c>
      <c r="BE521" t="s">
        <v>940</v>
      </c>
      <c r="BF521" s="7">
        <v>25</v>
      </c>
      <c r="BG5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1">
        <v>0</v>
      </c>
      <c r="BI521" t="s">
        <v>734</v>
      </c>
      <c r="BJ521" s="11">
        <v>115</v>
      </c>
      <c r="BK521" s="11">
        <v>8</v>
      </c>
      <c r="BL521" s="11">
        <v>68</v>
      </c>
      <c r="BM521">
        <v>0</v>
      </c>
      <c r="BN521" t="s">
        <v>692</v>
      </c>
      <c r="BO521" t="s">
        <v>694</v>
      </c>
      <c r="BP521" t="s">
        <v>701</v>
      </c>
      <c r="BQ521" t="s">
        <v>705</v>
      </c>
      <c r="BR521" t="s">
        <v>706</v>
      </c>
      <c r="BS521" t="s">
        <v>707</v>
      </c>
      <c r="CR521"/>
      <c r="CS521"/>
      <c r="CT521"/>
    </row>
    <row r="522" spans="1:98" x14ac:dyDescent="0.4">
      <c r="A522" s="2" t="s">
        <v>550</v>
      </c>
      <c r="B522" t="str">
        <f>_xlfn.TEXTAFTER(Table1[[#This Row],[VEHIDCODE]],"_")</f>
        <v>Morocco_ONCF_ZMC</v>
      </c>
      <c r="C522" t="s">
        <v>744</v>
      </c>
      <c r="D522" t="b">
        <f>OR(ISNUMBER(SEARCH("wagon_",Table1[[#This Row],[FILENAMES_EXPECTED]])),ISNUMBER(SEARCH("coach_",Table1[[#This Row],[FILENAMES_EXPECTED]])))</f>
        <v>0</v>
      </c>
      <c r="E522" t="str">
        <f>"item_"&amp;Table1[[#This Row],[VEHIDCODE]]</f>
        <v>item_emu_Morocco_ONCF_ZMC</v>
      </c>
      <c r="F522" t="str">
        <f>"str_"&amp;Table1[[#This Row],[VEHIDCODE]]</f>
        <v>str_emu_Morocco_ONCF_ZMC</v>
      </c>
      <c r="J522" t="b">
        <v>1</v>
      </c>
      <c r="AJ522" s="2"/>
      <c r="AK522" s="2" t="b">
        <f>LEN(_xlfn.CONCAT(Table1[[#This Row],[TRACK_TYPE_STANDARD_GAUGE_RAILTYPE_OHLE]:[TRACK_TYPE_MTRO]]))&gt;0</f>
        <v>1</v>
      </c>
      <c r="AL522">
        <v>8</v>
      </c>
      <c r="AM522" t="s">
        <v>18</v>
      </c>
      <c r="AN522">
        <v>1</v>
      </c>
      <c r="AO522" t="s">
        <v>74</v>
      </c>
      <c r="AP522">
        <v>90</v>
      </c>
      <c r="AQ522">
        <v>1984</v>
      </c>
      <c r="AR522">
        <v>8</v>
      </c>
      <c r="AS522" s="2" t="s">
        <v>24</v>
      </c>
      <c r="AT522" t="b">
        <v>1</v>
      </c>
      <c r="AU522" t="b">
        <v>1</v>
      </c>
      <c r="AV522" s="2"/>
      <c r="AW522">
        <v>45</v>
      </c>
      <c r="AX522">
        <v>1</v>
      </c>
      <c r="AY522">
        <v>1900</v>
      </c>
      <c r="AZ522" t="s">
        <v>709</v>
      </c>
      <c r="BA522">
        <v>160</v>
      </c>
      <c r="BB522" s="2">
        <v>0.21</v>
      </c>
      <c r="BC522" t="s">
        <v>926</v>
      </c>
      <c r="BD522" t="s">
        <v>922</v>
      </c>
      <c r="BE522" t="s">
        <v>940</v>
      </c>
      <c r="BF522" s="7">
        <v>40</v>
      </c>
      <c r="BG5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2">
        <v>0</v>
      </c>
      <c r="BI522" t="s">
        <v>734</v>
      </c>
      <c r="BJ522" s="11">
        <v>90</v>
      </c>
      <c r="BK522" s="11">
        <v>8</v>
      </c>
      <c r="BL522" s="11">
        <v>48</v>
      </c>
      <c r="BM522">
        <v>0</v>
      </c>
      <c r="BN522" t="s">
        <v>692</v>
      </c>
      <c r="BO522" t="s">
        <v>694</v>
      </c>
      <c r="BP522" t="s">
        <v>701</v>
      </c>
      <c r="BQ522" t="s">
        <v>705</v>
      </c>
      <c r="BR522" t="s">
        <v>706</v>
      </c>
      <c r="BS522" t="s">
        <v>707</v>
      </c>
      <c r="CR522"/>
      <c r="CS522"/>
      <c r="CT522"/>
    </row>
    <row r="523" spans="1:98" x14ac:dyDescent="0.4">
      <c r="A523" s="2" t="s">
        <v>551</v>
      </c>
      <c r="B523" t="str">
        <f>_xlfn.TEXTAFTER(Table1[[#This Row],[VEHIDCODE]],"_")</f>
        <v>Poland_PKP_EW54</v>
      </c>
      <c r="C523" t="s">
        <v>744</v>
      </c>
      <c r="D523" t="b">
        <f>OR(ISNUMBER(SEARCH("wagon_",Table1[[#This Row],[FILENAMES_EXPECTED]])),ISNUMBER(SEARCH("coach_",Table1[[#This Row],[FILENAMES_EXPECTED]])))</f>
        <v>0</v>
      </c>
      <c r="E523" t="str">
        <f>"item_"&amp;Table1[[#This Row],[VEHIDCODE]]</f>
        <v>item_emu_Poland_PKP_EW54</v>
      </c>
      <c r="F523" t="str">
        <f>"str_"&amp;Table1[[#This Row],[VEHIDCODE]]</f>
        <v>str_emu_Poland_PKP_EW54</v>
      </c>
      <c r="J523" t="b">
        <v>1</v>
      </c>
      <c r="AJ523" s="2"/>
      <c r="AK523" s="2" t="b">
        <f>LEN(_xlfn.CONCAT(Table1[[#This Row],[TRACK_TYPE_STANDARD_GAUGE_RAILTYPE_OHLE]:[TRACK_TYPE_MTRO]]))&gt;0</f>
        <v>1</v>
      </c>
      <c r="AL523">
        <v>8</v>
      </c>
      <c r="AM523" t="s">
        <v>18</v>
      </c>
      <c r="AN523">
        <v>1</v>
      </c>
      <c r="AO523" t="s">
        <v>74</v>
      </c>
      <c r="AP523">
        <v>80</v>
      </c>
      <c r="AQ523">
        <v>1950</v>
      </c>
      <c r="AR523">
        <v>8</v>
      </c>
      <c r="AS523" s="2" t="s">
        <v>24</v>
      </c>
      <c r="AT523" t="b">
        <v>1</v>
      </c>
      <c r="AU523" t="b">
        <v>1</v>
      </c>
      <c r="AV523" s="2"/>
      <c r="AW523">
        <v>45</v>
      </c>
      <c r="AX523">
        <v>1</v>
      </c>
      <c r="AY523">
        <v>642</v>
      </c>
      <c r="AZ523" t="s">
        <v>709</v>
      </c>
      <c r="BA523">
        <v>100</v>
      </c>
      <c r="BB523" s="2">
        <v>0.25</v>
      </c>
      <c r="BC523" t="s">
        <v>929</v>
      </c>
      <c r="BD523" t="s">
        <v>922</v>
      </c>
      <c r="BE523" t="s">
        <v>940</v>
      </c>
      <c r="BF523" s="7">
        <v>40</v>
      </c>
      <c r="BG5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3">
        <v>0</v>
      </c>
      <c r="BI523" t="s">
        <v>734</v>
      </c>
      <c r="BJ523" s="11">
        <v>80</v>
      </c>
      <c r="BK523" s="11">
        <v>8</v>
      </c>
      <c r="BL523" s="11">
        <v>40</v>
      </c>
      <c r="BM523">
        <v>0</v>
      </c>
      <c r="BN523" t="s">
        <v>692</v>
      </c>
      <c r="BO523" t="s">
        <v>694</v>
      </c>
      <c r="BP523" t="s">
        <v>701</v>
      </c>
      <c r="BQ523" t="s">
        <v>705</v>
      </c>
      <c r="BR523" t="s">
        <v>706</v>
      </c>
      <c r="BS523" t="s">
        <v>707</v>
      </c>
      <c r="CR523"/>
      <c r="CS523"/>
      <c r="CT523"/>
    </row>
    <row r="524" spans="1:98" x14ac:dyDescent="0.4">
      <c r="A524" s="2" t="s">
        <v>552</v>
      </c>
      <c r="B524" t="str">
        <f>_xlfn.TEXTAFTER(Table1[[#This Row],[VEHIDCODE]],"_")</f>
        <v>Italy_FS_ALe_801</v>
      </c>
      <c r="C524" t="s">
        <v>744</v>
      </c>
      <c r="D524" t="b">
        <f>OR(ISNUMBER(SEARCH("wagon_",Table1[[#This Row],[FILENAMES_EXPECTED]])),ISNUMBER(SEARCH("coach_",Table1[[#This Row],[FILENAMES_EXPECTED]])))</f>
        <v>0</v>
      </c>
      <c r="E524" t="str">
        <f>"item_"&amp;Table1[[#This Row],[VEHIDCODE]]</f>
        <v>item_emu_Italy_FS_ALe_801</v>
      </c>
      <c r="F524" t="str">
        <f>"str_"&amp;Table1[[#This Row],[VEHIDCODE]]</f>
        <v>str_emu_Italy_FS_ALe_801</v>
      </c>
      <c r="J524" t="b">
        <v>1</v>
      </c>
      <c r="AJ524" s="2"/>
      <c r="AK524" s="2" t="b">
        <f>LEN(_xlfn.CONCAT(Table1[[#This Row],[TRACK_TYPE_STANDARD_GAUGE_RAILTYPE_OHLE]:[TRACK_TYPE_MTRO]]))&gt;0</f>
        <v>1</v>
      </c>
      <c r="AL524">
        <v>7</v>
      </c>
      <c r="AM524" t="s">
        <v>18</v>
      </c>
      <c r="AN524">
        <v>1</v>
      </c>
      <c r="AO524" t="s">
        <v>74</v>
      </c>
      <c r="AP524">
        <v>108</v>
      </c>
      <c r="AQ524">
        <v>1975</v>
      </c>
      <c r="AR524">
        <v>7</v>
      </c>
      <c r="AS524" s="2" t="s">
        <v>24</v>
      </c>
      <c r="AT524" t="b">
        <v>1</v>
      </c>
      <c r="AU524" t="b">
        <v>1</v>
      </c>
      <c r="AV524" s="2"/>
      <c r="AW524">
        <v>45</v>
      </c>
      <c r="AX524">
        <v>1</v>
      </c>
      <c r="AY524">
        <v>702</v>
      </c>
      <c r="AZ524" t="s">
        <v>709</v>
      </c>
      <c r="BA524">
        <v>150</v>
      </c>
      <c r="BB524" s="2">
        <v>0.15</v>
      </c>
      <c r="BC524" t="s">
        <v>924</v>
      </c>
      <c r="BD524" t="s">
        <v>922</v>
      </c>
      <c r="BE524" t="s">
        <v>940</v>
      </c>
      <c r="BF524" s="7">
        <v>25</v>
      </c>
      <c r="BG5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4">
        <v>0</v>
      </c>
      <c r="BI524" t="s">
        <v>734</v>
      </c>
      <c r="BJ524" s="11">
        <v>108</v>
      </c>
      <c r="BK524" s="11">
        <v>7</v>
      </c>
      <c r="BL524" s="11">
        <v>70</v>
      </c>
      <c r="BM524">
        <v>0</v>
      </c>
      <c r="BN524" t="s">
        <v>692</v>
      </c>
      <c r="BO524" t="s">
        <v>694</v>
      </c>
      <c r="BP524" t="s">
        <v>701</v>
      </c>
      <c r="BQ524" t="s">
        <v>705</v>
      </c>
      <c r="BR524" t="s">
        <v>706</v>
      </c>
      <c r="BS524" t="s">
        <v>707</v>
      </c>
      <c r="CR524"/>
      <c r="CS524"/>
      <c r="CT524"/>
    </row>
    <row r="525" spans="1:98" x14ac:dyDescent="0.4">
      <c r="A525" s="2" t="s">
        <v>553</v>
      </c>
      <c r="B525" t="str">
        <f>_xlfn.TEXTAFTER(Table1[[#This Row],[VEHIDCODE]],"_")</f>
        <v>Austria_OBB_4030</v>
      </c>
      <c r="C525" t="s">
        <v>744</v>
      </c>
      <c r="D525" t="b">
        <f>OR(ISNUMBER(SEARCH("wagon_",Table1[[#This Row],[FILENAMES_EXPECTED]])),ISNUMBER(SEARCH("coach_",Table1[[#This Row],[FILENAMES_EXPECTED]])))</f>
        <v>0</v>
      </c>
      <c r="E525" t="str">
        <f>"item_"&amp;Table1[[#This Row],[VEHIDCODE]]</f>
        <v>item_emu_Austria_OBB_4030</v>
      </c>
      <c r="F525" t="str">
        <f>"str_"&amp;Table1[[#This Row],[VEHIDCODE]]</f>
        <v>str_emu_Austria_OBB_4030</v>
      </c>
      <c r="I525" t="b">
        <v>1</v>
      </c>
      <c r="AJ525" s="2"/>
      <c r="AK525" s="2" t="b">
        <f>LEN(_xlfn.CONCAT(Table1[[#This Row],[TRACK_TYPE_STANDARD_GAUGE_RAILTYPE_OHLE]:[TRACK_TYPE_MTRO]]))&gt;0</f>
        <v>1</v>
      </c>
      <c r="AL525">
        <v>7</v>
      </c>
      <c r="AM525" t="s">
        <v>18</v>
      </c>
      <c r="AN525">
        <v>1</v>
      </c>
      <c r="AO525" t="s">
        <v>74</v>
      </c>
      <c r="AP525">
        <v>54</v>
      </c>
      <c r="AQ525">
        <v>1956</v>
      </c>
      <c r="AR525">
        <v>7</v>
      </c>
      <c r="AS525" s="2" t="s">
        <v>24</v>
      </c>
      <c r="AT525" t="b">
        <v>1</v>
      </c>
      <c r="AU525" t="b">
        <v>1</v>
      </c>
      <c r="AV525" s="2"/>
      <c r="AW525">
        <v>45</v>
      </c>
      <c r="AX525">
        <v>1</v>
      </c>
      <c r="AY525">
        <v>1340</v>
      </c>
      <c r="AZ525" t="s">
        <v>709</v>
      </c>
      <c r="BA525">
        <v>130</v>
      </c>
      <c r="BB525" s="2">
        <v>0.27</v>
      </c>
      <c r="BC525" t="s">
        <v>923</v>
      </c>
      <c r="BD525" t="s">
        <v>922</v>
      </c>
      <c r="BE525" t="s">
        <v>940</v>
      </c>
      <c r="BF525" s="7">
        <v>25</v>
      </c>
      <c r="BG5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5">
        <v>0</v>
      </c>
      <c r="BI525" t="s">
        <v>734</v>
      </c>
      <c r="BJ525" s="11">
        <v>54</v>
      </c>
      <c r="BK525" s="11">
        <v>7</v>
      </c>
      <c r="BL525" s="11">
        <v>48</v>
      </c>
      <c r="BM525">
        <v>0</v>
      </c>
      <c r="BN525" t="s">
        <v>692</v>
      </c>
      <c r="BO525" t="s">
        <v>694</v>
      </c>
      <c r="BP525" t="s">
        <v>701</v>
      </c>
      <c r="BQ525" t="s">
        <v>705</v>
      </c>
      <c r="BR525" t="s">
        <v>706</v>
      </c>
      <c r="BS525" t="s">
        <v>707</v>
      </c>
      <c r="CR525"/>
      <c r="CS525"/>
      <c r="CT525"/>
    </row>
    <row r="526" spans="1:98" x14ac:dyDescent="0.4">
      <c r="A526" s="2" t="s">
        <v>554</v>
      </c>
      <c r="B526" t="str">
        <f>_xlfn.TEXTAFTER(Table1[[#This Row],[VEHIDCODE]],"_")</f>
        <v>Austria_OBB_4041</v>
      </c>
      <c r="C526" t="s">
        <v>744</v>
      </c>
      <c r="D526" t="b">
        <f>OR(ISNUMBER(SEARCH("wagon_",Table1[[#This Row],[FILENAMES_EXPECTED]])),ISNUMBER(SEARCH("coach_",Table1[[#This Row],[FILENAMES_EXPECTED]])))</f>
        <v>0</v>
      </c>
      <c r="E526" t="str">
        <f>"item_"&amp;Table1[[#This Row],[VEHIDCODE]]</f>
        <v>item_emu_Austria_OBB_4041</v>
      </c>
      <c r="F526" t="str">
        <f>"str_"&amp;Table1[[#This Row],[VEHIDCODE]]</f>
        <v>str_emu_Austria_OBB_4041</v>
      </c>
      <c r="I526" t="b">
        <v>1</v>
      </c>
      <c r="AJ526" s="2"/>
      <c r="AK526" s="2" t="b">
        <f>LEN(_xlfn.CONCAT(Table1[[#This Row],[TRACK_TYPE_STANDARD_GAUGE_RAILTYPE_OHLE]:[TRACK_TYPE_MTRO]]))&gt;0</f>
        <v>1</v>
      </c>
      <c r="AL526">
        <v>8</v>
      </c>
      <c r="AM526" t="s">
        <v>18</v>
      </c>
      <c r="AN526">
        <v>1</v>
      </c>
      <c r="AO526" t="s">
        <v>74</v>
      </c>
      <c r="AP526">
        <v>40</v>
      </c>
      <c r="AQ526">
        <v>1929</v>
      </c>
      <c r="AR526">
        <v>8</v>
      </c>
      <c r="AS526" s="2" t="s">
        <v>24</v>
      </c>
      <c r="AT526" t="b">
        <v>1</v>
      </c>
      <c r="AU526" t="b">
        <v>1</v>
      </c>
      <c r="AV526" s="2"/>
      <c r="AW526">
        <v>45</v>
      </c>
      <c r="AX526">
        <v>1</v>
      </c>
      <c r="AY526">
        <v>555</v>
      </c>
      <c r="AZ526" t="s">
        <v>709</v>
      </c>
      <c r="BA526">
        <v>80</v>
      </c>
      <c r="BB526" s="2">
        <v>0.08</v>
      </c>
      <c r="BC526" t="s">
        <v>923</v>
      </c>
      <c r="BD526" t="s">
        <v>922</v>
      </c>
      <c r="BE526" t="s">
        <v>940</v>
      </c>
      <c r="BF526" s="7">
        <v>25</v>
      </c>
      <c r="BG5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6">
        <v>0</v>
      </c>
      <c r="BI526" t="s">
        <v>734</v>
      </c>
      <c r="BJ526" s="11">
        <v>40</v>
      </c>
      <c r="BK526" s="11">
        <v>8</v>
      </c>
      <c r="BL526" s="11">
        <v>73</v>
      </c>
      <c r="BM526">
        <v>0</v>
      </c>
      <c r="BN526" t="s">
        <v>692</v>
      </c>
      <c r="BO526" t="s">
        <v>694</v>
      </c>
      <c r="BP526" t="s">
        <v>701</v>
      </c>
      <c r="BQ526" t="s">
        <v>705</v>
      </c>
      <c r="BR526" t="s">
        <v>706</v>
      </c>
      <c r="BS526" t="s">
        <v>707</v>
      </c>
      <c r="CR526"/>
      <c r="CS526"/>
      <c r="CT526"/>
    </row>
    <row r="527" spans="1:98" x14ac:dyDescent="0.4">
      <c r="A527" s="2" t="s">
        <v>555</v>
      </c>
      <c r="B527" t="str">
        <f>_xlfn.TEXTAFTER(Table1[[#This Row],[VEHIDCODE]],"_")</f>
        <v>Austria_WESTbahn_4010_KISS</v>
      </c>
      <c r="C527" t="s">
        <v>744</v>
      </c>
      <c r="D527" t="b">
        <f>OR(ISNUMBER(SEARCH("wagon_",Table1[[#This Row],[FILENAMES_EXPECTED]])),ISNUMBER(SEARCH("coach_",Table1[[#This Row],[FILENAMES_EXPECTED]])))</f>
        <v>0</v>
      </c>
      <c r="E527" t="str">
        <f>"item_"&amp;Table1[[#This Row],[VEHIDCODE]]</f>
        <v>item_emu_Austria_WESTbahn_4010_KISS</v>
      </c>
      <c r="F527" t="str">
        <f>"str_"&amp;Table1[[#This Row],[VEHIDCODE]]</f>
        <v>str_emu_Austria_WESTbahn_4010_KISS</v>
      </c>
      <c r="I527" t="b">
        <v>1</v>
      </c>
      <c r="AJ527" s="2"/>
      <c r="AK527" s="2" t="b">
        <f>LEN(_xlfn.CONCAT(Table1[[#This Row],[TRACK_TYPE_STANDARD_GAUGE_RAILTYPE_OHLE]:[TRACK_TYPE_MTRO]]))&gt;0</f>
        <v>1</v>
      </c>
      <c r="AL527">
        <v>8</v>
      </c>
      <c r="AM527" t="s">
        <v>18</v>
      </c>
      <c r="AN527">
        <v>1</v>
      </c>
      <c r="AO527" t="s">
        <v>74</v>
      </c>
      <c r="AP527">
        <v>84</v>
      </c>
      <c r="AQ527">
        <v>2011</v>
      </c>
      <c r="AR527">
        <v>8</v>
      </c>
      <c r="AS527" s="2" t="s">
        <v>24</v>
      </c>
      <c r="AT527" t="b">
        <v>1</v>
      </c>
      <c r="AU527" t="b">
        <v>1</v>
      </c>
      <c r="AV527" s="2"/>
      <c r="AW527" t="s">
        <v>21</v>
      </c>
      <c r="AX527">
        <v>1</v>
      </c>
      <c r="AY527">
        <v>5340</v>
      </c>
      <c r="AZ527" t="s">
        <v>709</v>
      </c>
      <c r="BA527">
        <v>200</v>
      </c>
      <c r="BB527" s="2">
        <v>0.62</v>
      </c>
      <c r="BC527" t="s">
        <v>923</v>
      </c>
      <c r="BD527" t="s">
        <v>922</v>
      </c>
      <c r="BE527" t="s">
        <v>940</v>
      </c>
      <c r="BF527" s="7">
        <v>40</v>
      </c>
      <c r="BG5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7">
        <v>0</v>
      </c>
      <c r="BI527" t="s">
        <v>734</v>
      </c>
      <c r="BJ527" s="11">
        <v>84</v>
      </c>
      <c r="BK527" s="11">
        <v>8</v>
      </c>
      <c r="BL527" s="11">
        <v>52</v>
      </c>
      <c r="BM527">
        <v>0</v>
      </c>
      <c r="BN527" t="s">
        <v>692</v>
      </c>
      <c r="BO527" t="s">
        <v>694</v>
      </c>
      <c r="BP527" t="s">
        <v>701</v>
      </c>
      <c r="BQ527" t="s">
        <v>705</v>
      </c>
      <c r="BR527" t="s">
        <v>706</v>
      </c>
      <c r="BS527" t="s">
        <v>707</v>
      </c>
      <c r="CR527"/>
      <c r="CS527"/>
      <c r="CT527"/>
    </row>
    <row r="528" spans="1:98" x14ac:dyDescent="0.4">
      <c r="A528" s="2" t="s">
        <v>556</v>
      </c>
      <c r="B528" t="str">
        <f>_xlfn.TEXTAFTER(Table1[[#This Row],[VEHIDCODE]],"_")</f>
        <v>Germany_DB_ET420</v>
      </c>
      <c r="C528" t="s">
        <v>744</v>
      </c>
      <c r="D528" t="b">
        <f>OR(ISNUMBER(SEARCH("wagon_",Table1[[#This Row],[FILENAMES_EXPECTED]])),ISNUMBER(SEARCH("coach_",Table1[[#This Row],[FILENAMES_EXPECTED]])))</f>
        <v>0</v>
      </c>
      <c r="E528" t="str">
        <f>"item_"&amp;Table1[[#This Row],[VEHIDCODE]]</f>
        <v>item_emu_Germany_DB_ET420</v>
      </c>
      <c r="F528" t="str">
        <f>"str_"&amp;Table1[[#This Row],[VEHIDCODE]]</f>
        <v>str_emu_Germany_DB_ET420</v>
      </c>
      <c r="I528" t="b">
        <v>1</v>
      </c>
      <c r="AJ528" s="2"/>
      <c r="AK528" s="2" t="b">
        <f>LEN(_xlfn.CONCAT(Table1[[#This Row],[TRACK_TYPE_STANDARD_GAUGE_RAILTYPE_OHLE]:[TRACK_TYPE_MTRO]]))&gt;0</f>
        <v>1</v>
      </c>
      <c r="AL528">
        <v>8</v>
      </c>
      <c r="AM528" t="s">
        <v>18</v>
      </c>
      <c r="AN528">
        <v>1</v>
      </c>
      <c r="AO528" t="s">
        <v>74</v>
      </c>
      <c r="AP528">
        <v>76</v>
      </c>
      <c r="AQ528">
        <v>1969</v>
      </c>
      <c r="AR528">
        <v>8</v>
      </c>
      <c r="AS528" s="2" t="s">
        <v>24</v>
      </c>
      <c r="AT528" t="b">
        <v>1</v>
      </c>
      <c r="AU528" t="b">
        <v>1</v>
      </c>
      <c r="AV528" s="2"/>
      <c r="AW528">
        <v>45</v>
      </c>
      <c r="AX528">
        <v>1</v>
      </c>
      <c r="AY528">
        <v>1000</v>
      </c>
      <c r="AZ528" t="s">
        <v>709</v>
      </c>
      <c r="BA528">
        <v>125</v>
      </c>
      <c r="BB528" s="2">
        <v>0.31</v>
      </c>
      <c r="BC528" t="s">
        <v>923</v>
      </c>
      <c r="BD528" t="s">
        <v>922</v>
      </c>
      <c r="BE528" t="s">
        <v>940</v>
      </c>
      <c r="BF528" s="7">
        <v>25</v>
      </c>
      <c r="BG5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8">
        <v>0</v>
      </c>
      <c r="BI528" t="s">
        <v>734</v>
      </c>
      <c r="BJ528" s="11">
        <v>76</v>
      </c>
      <c r="BK528" s="11">
        <v>8</v>
      </c>
      <c r="BL528" s="11">
        <v>46</v>
      </c>
      <c r="BM528">
        <v>0</v>
      </c>
      <c r="BN528" t="s">
        <v>692</v>
      </c>
      <c r="BO528" t="s">
        <v>694</v>
      </c>
      <c r="BP528" t="s">
        <v>701</v>
      </c>
      <c r="BQ528" t="s">
        <v>705</v>
      </c>
      <c r="BR528" t="s">
        <v>706</v>
      </c>
      <c r="BS528" t="s">
        <v>707</v>
      </c>
      <c r="CR528"/>
      <c r="CS528"/>
      <c r="CT528"/>
    </row>
    <row r="529" spans="1:98" x14ac:dyDescent="0.4">
      <c r="A529" s="2" t="s">
        <v>557</v>
      </c>
      <c r="B529" t="str">
        <f>_xlfn.TEXTAFTER(Table1[[#This Row],[VEHIDCODE]],"_")</f>
        <v>Norway_NSB_BM73</v>
      </c>
      <c r="C529" t="s">
        <v>744</v>
      </c>
      <c r="D529" t="b">
        <f>OR(ISNUMBER(SEARCH("wagon_",Table1[[#This Row],[FILENAMES_EXPECTED]])),ISNUMBER(SEARCH("coach_",Table1[[#This Row],[FILENAMES_EXPECTED]])))</f>
        <v>0</v>
      </c>
      <c r="E529" t="str">
        <f>"item_"&amp;Table1[[#This Row],[VEHIDCODE]]</f>
        <v>item_emu_Norway_NSB_BM73</v>
      </c>
      <c r="F529" t="str">
        <f>"str_"&amp;Table1[[#This Row],[VEHIDCODE]]</f>
        <v>str_emu_Norway_NSB_BM73</v>
      </c>
      <c r="I529" t="b">
        <v>1</v>
      </c>
      <c r="AJ529" s="2"/>
      <c r="AK529" s="2" t="b">
        <f>LEN(_xlfn.CONCAT(Table1[[#This Row],[TRACK_TYPE_STANDARD_GAUGE_RAILTYPE_OHLE]:[TRACK_TYPE_MTRO]]))&gt;0</f>
        <v>1</v>
      </c>
      <c r="AL529">
        <v>8</v>
      </c>
      <c r="AM529" t="s">
        <v>18</v>
      </c>
      <c r="AN529">
        <v>1</v>
      </c>
      <c r="AO529" t="s">
        <v>74</v>
      </c>
      <c r="AP529">
        <v>40</v>
      </c>
      <c r="AQ529">
        <v>1998</v>
      </c>
      <c r="AR529">
        <v>8</v>
      </c>
      <c r="AS529" s="2" t="s">
        <v>480</v>
      </c>
      <c r="AT529" t="b">
        <v>1</v>
      </c>
      <c r="AU529" t="b">
        <v>1</v>
      </c>
      <c r="AV529" s="2"/>
      <c r="AW529" t="s">
        <v>21</v>
      </c>
      <c r="AX529">
        <v>1</v>
      </c>
      <c r="AY529">
        <v>1200</v>
      </c>
      <c r="AZ529" t="s">
        <v>709</v>
      </c>
      <c r="BA529">
        <v>220</v>
      </c>
      <c r="BB529" s="2">
        <v>0.69</v>
      </c>
      <c r="BC529" t="s">
        <v>927</v>
      </c>
      <c r="BD529" t="s">
        <v>922</v>
      </c>
      <c r="BE529" t="s">
        <v>940</v>
      </c>
      <c r="BF529" s="7">
        <v>25</v>
      </c>
      <c r="BG5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29">
        <v>0</v>
      </c>
      <c r="BI529" t="s">
        <v>734</v>
      </c>
      <c r="BJ529" s="11">
        <v>40</v>
      </c>
      <c r="BK529" s="11">
        <v>8</v>
      </c>
      <c r="BL529" s="11">
        <v>54</v>
      </c>
      <c r="BM529">
        <v>0</v>
      </c>
      <c r="BN529" t="s">
        <v>692</v>
      </c>
      <c r="BO529" t="s">
        <v>694</v>
      </c>
      <c r="BP529" t="s">
        <v>701</v>
      </c>
      <c r="BQ529" t="s">
        <v>705</v>
      </c>
      <c r="BR529" t="s">
        <v>706</v>
      </c>
      <c r="BS529" t="s">
        <v>707</v>
      </c>
      <c r="CR529"/>
      <c r="CS529"/>
      <c r="CT529"/>
    </row>
    <row r="530" spans="1:98" x14ac:dyDescent="0.4">
      <c r="A530" s="2" t="s">
        <v>558</v>
      </c>
      <c r="B530" t="str">
        <f>_xlfn.TEXTAFTER(Table1[[#This Row],[VEHIDCODE]],"_")</f>
        <v>Norway_NSB_BM65</v>
      </c>
      <c r="C530" t="s">
        <v>744</v>
      </c>
      <c r="D530" t="b">
        <f>OR(ISNUMBER(SEARCH("wagon_",Table1[[#This Row],[FILENAMES_EXPECTED]])),ISNUMBER(SEARCH("coach_",Table1[[#This Row],[FILENAMES_EXPECTED]])))</f>
        <v>0</v>
      </c>
      <c r="E530" t="str">
        <f>"item_"&amp;Table1[[#This Row],[VEHIDCODE]]</f>
        <v>item_emu_Norway_NSB_BM65</v>
      </c>
      <c r="F530" t="str">
        <f>"str_"&amp;Table1[[#This Row],[VEHIDCODE]]</f>
        <v>str_emu_Norway_NSB_BM65</v>
      </c>
      <c r="I530" t="b">
        <v>1</v>
      </c>
      <c r="AJ530" s="2"/>
      <c r="AK530" s="2" t="b">
        <f>LEN(_xlfn.CONCAT(Table1[[#This Row],[TRACK_TYPE_STANDARD_GAUGE_RAILTYPE_OHLE]:[TRACK_TYPE_MTRO]]))&gt;0</f>
        <v>1</v>
      </c>
      <c r="AL530">
        <v>8</v>
      </c>
      <c r="AM530" t="s">
        <v>18</v>
      </c>
      <c r="AN530">
        <v>1</v>
      </c>
      <c r="AO530" t="s">
        <v>74</v>
      </c>
      <c r="AP530">
        <v>50</v>
      </c>
      <c r="AQ530">
        <v>1942</v>
      </c>
      <c r="AR530">
        <v>8</v>
      </c>
      <c r="AS530" s="2" t="s">
        <v>24</v>
      </c>
      <c r="AT530" t="b">
        <v>1</v>
      </c>
      <c r="AU530" t="b">
        <v>1</v>
      </c>
      <c r="AV530" s="2"/>
      <c r="AW530">
        <v>45</v>
      </c>
      <c r="AX530">
        <v>1</v>
      </c>
      <c r="AY530">
        <v>632</v>
      </c>
      <c r="AZ530" t="s">
        <v>709</v>
      </c>
      <c r="BA530">
        <v>70</v>
      </c>
      <c r="BB530" s="2">
        <v>0.23</v>
      </c>
      <c r="BC530" t="s">
        <v>927</v>
      </c>
      <c r="BD530" t="s">
        <v>922</v>
      </c>
      <c r="BE530" t="s">
        <v>940</v>
      </c>
      <c r="BF530" s="7">
        <v>25</v>
      </c>
      <c r="BG5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0">
        <v>0</v>
      </c>
      <c r="BI530" t="s">
        <v>734</v>
      </c>
      <c r="BJ530" s="11">
        <v>50</v>
      </c>
      <c r="BK530" s="11">
        <v>7</v>
      </c>
      <c r="BL530" s="11">
        <v>38</v>
      </c>
      <c r="BM530">
        <v>0</v>
      </c>
      <c r="BN530" t="s">
        <v>692</v>
      </c>
      <c r="BO530" t="s">
        <v>694</v>
      </c>
      <c r="BP530" t="s">
        <v>701</v>
      </c>
      <c r="BQ530" t="s">
        <v>705</v>
      </c>
      <c r="BR530" t="s">
        <v>706</v>
      </c>
      <c r="BS530" t="s">
        <v>707</v>
      </c>
      <c r="CR530"/>
      <c r="CS530"/>
      <c r="CT530"/>
    </row>
    <row r="531" spans="1:98" x14ac:dyDescent="0.4">
      <c r="A531" s="2" t="s">
        <v>559</v>
      </c>
      <c r="B531" t="str">
        <f>_xlfn.TEXTAFTER(Table1[[#This Row],[VEHIDCODE]],"_")</f>
        <v>Sweden_SJ_X2000</v>
      </c>
      <c r="C531" t="s">
        <v>744</v>
      </c>
      <c r="D531" t="b">
        <f>OR(ISNUMBER(SEARCH("wagon_",Table1[[#This Row],[FILENAMES_EXPECTED]])),ISNUMBER(SEARCH("coach_",Table1[[#This Row],[FILENAMES_EXPECTED]])))</f>
        <v>0</v>
      </c>
      <c r="E531" t="str">
        <f>"item_"&amp;Table1[[#This Row],[VEHIDCODE]]</f>
        <v>item_emu_Sweden_SJ_X2000</v>
      </c>
      <c r="F531" t="str">
        <f>"str_"&amp;Table1[[#This Row],[VEHIDCODE]]</f>
        <v>str_emu_Sweden_SJ_X2000</v>
      </c>
      <c r="I531" t="b">
        <v>1</v>
      </c>
      <c r="AJ531" s="2"/>
      <c r="AK531" s="2" t="b">
        <f>LEN(_xlfn.CONCAT(Table1[[#This Row],[TRACK_TYPE_STANDARD_GAUGE_RAILTYPE_OHLE]:[TRACK_TYPE_MTRO]]))&gt;0</f>
        <v>1</v>
      </c>
      <c r="AL531">
        <v>8</v>
      </c>
      <c r="AM531" t="s">
        <v>18</v>
      </c>
      <c r="AN531">
        <v>1</v>
      </c>
      <c r="AO531" t="s">
        <v>74</v>
      </c>
      <c r="AP531">
        <v>0</v>
      </c>
      <c r="AQ531">
        <v>1990</v>
      </c>
      <c r="AR531">
        <v>8</v>
      </c>
      <c r="AS531" s="2" t="s">
        <v>480</v>
      </c>
      <c r="AT531" t="b">
        <v>1</v>
      </c>
      <c r="AU531" t="b">
        <v>1</v>
      </c>
      <c r="AV531" s="2"/>
      <c r="AW531">
        <v>45</v>
      </c>
      <c r="AX531">
        <v>1</v>
      </c>
      <c r="AY531">
        <v>4400</v>
      </c>
      <c r="AZ531" t="s">
        <v>709</v>
      </c>
      <c r="BA531">
        <v>210</v>
      </c>
      <c r="BB531" s="2">
        <v>0.49</v>
      </c>
      <c r="BC531" t="s">
        <v>927</v>
      </c>
      <c r="BD531" t="s">
        <v>922</v>
      </c>
      <c r="BE531" t="s">
        <v>940</v>
      </c>
      <c r="BF531" s="7">
        <v>25</v>
      </c>
      <c r="BG5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1">
        <v>0</v>
      </c>
      <c r="BI531" t="s">
        <v>734</v>
      </c>
      <c r="BJ531" s="11">
        <v>42</v>
      </c>
      <c r="BK531" s="11">
        <v>8</v>
      </c>
      <c r="BL531" s="11">
        <v>50</v>
      </c>
      <c r="BM531">
        <v>0</v>
      </c>
      <c r="BN531" t="s">
        <v>692</v>
      </c>
      <c r="BO531" t="s">
        <v>694</v>
      </c>
      <c r="BP531" t="s">
        <v>701</v>
      </c>
      <c r="BQ531" t="s">
        <v>705</v>
      </c>
      <c r="BR531" t="s">
        <v>706</v>
      </c>
      <c r="BS531" t="s">
        <v>707</v>
      </c>
      <c r="CR531"/>
      <c r="CS531"/>
      <c r="CT531"/>
    </row>
    <row r="532" spans="1:98" x14ac:dyDescent="0.4">
      <c r="A532" s="2" t="s">
        <v>560</v>
      </c>
      <c r="B532" t="str">
        <f>_xlfn.TEXTAFTER(Table1[[#This Row],[VEHIDCODE]],"_")</f>
        <v>Switzerland_SBB_RABDe_510</v>
      </c>
      <c r="C532" t="s">
        <v>744</v>
      </c>
      <c r="D532" t="b">
        <f>OR(ISNUMBER(SEARCH("wagon_",Table1[[#This Row],[FILENAMES_EXPECTED]])),ISNUMBER(SEARCH("coach_",Table1[[#This Row],[FILENAMES_EXPECTED]])))</f>
        <v>0</v>
      </c>
      <c r="E532" t="str">
        <f>"item_"&amp;Table1[[#This Row],[VEHIDCODE]]</f>
        <v>item_emu_Switzerland_SBB_RABDe_510</v>
      </c>
      <c r="F532" t="str">
        <f>"str_"&amp;Table1[[#This Row],[VEHIDCODE]]</f>
        <v>str_emu_Switzerland_SBB_RABDe_510</v>
      </c>
      <c r="I532" t="b">
        <v>1</v>
      </c>
      <c r="AJ532" s="2"/>
      <c r="AK532" s="2" t="b">
        <f>LEN(_xlfn.CONCAT(Table1[[#This Row],[TRACK_TYPE_STANDARD_GAUGE_RAILTYPE_OHLE]:[TRACK_TYPE_MTRO]]))&gt;0</f>
        <v>1</v>
      </c>
      <c r="AL532">
        <v>8</v>
      </c>
      <c r="AM532" t="s">
        <v>18</v>
      </c>
      <c r="AN532">
        <v>1</v>
      </c>
      <c r="AO532" t="s">
        <v>74</v>
      </c>
      <c r="AP532">
        <v>56</v>
      </c>
      <c r="AQ532">
        <v>1965</v>
      </c>
      <c r="AR532">
        <v>8</v>
      </c>
      <c r="AS532" s="2" t="s">
        <v>24</v>
      </c>
      <c r="AT532" t="b">
        <v>1</v>
      </c>
      <c r="AU532" t="b">
        <v>1</v>
      </c>
      <c r="AV532" s="2"/>
      <c r="AW532">
        <v>45</v>
      </c>
      <c r="AX532">
        <v>1</v>
      </c>
      <c r="AY532">
        <v>1090</v>
      </c>
      <c r="AZ532" t="s">
        <v>709</v>
      </c>
      <c r="BA532">
        <v>125</v>
      </c>
      <c r="BB532" s="2">
        <v>0.43</v>
      </c>
      <c r="BC532" t="s">
        <v>923</v>
      </c>
      <c r="BD532" t="s">
        <v>922</v>
      </c>
      <c r="BE532" t="s">
        <v>940</v>
      </c>
      <c r="BF532" s="7">
        <v>25</v>
      </c>
      <c r="BG5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2">
        <v>0</v>
      </c>
      <c r="BI532" t="s">
        <v>734</v>
      </c>
      <c r="BJ532" s="11">
        <v>56</v>
      </c>
      <c r="BK532" s="11">
        <v>8</v>
      </c>
      <c r="BL532" s="11">
        <v>56</v>
      </c>
      <c r="BM532">
        <v>0</v>
      </c>
      <c r="BN532" t="s">
        <v>692</v>
      </c>
      <c r="BO532" t="s">
        <v>694</v>
      </c>
      <c r="BP532" t="s">
        <v>701</v>
      </c>
      <c r="BQ532" t="s">
        <v>705</v>
      </c>
      <c r="BR532" t="s">
        <v>706</v>
      </c>
      <c r="BS532" t="s">
        <v>707</v>
      </c>
      <c r="CR532"/>
      <c r="CS532"/>
      <c r="CT532"/>
    </row>
    <row r="533" spans="1:98" x14ac:dyDescent="0.4">
      <c r="A533" s="2" t="s">
        <v>561</v>
      </c>
      <c r="B533" t="str">
        <f>_xlfn.TEXTAFTER(Table1[[#This Row],[VEHIDCODE]],"_")</f>
        <v>Switzerland_SBB_RBDe_560</v>
      </c>
      <c r="C533" t="s">
        <v>744</v>
      </c>
      <c r="D533" t="b">
        <f>OR(ISNUMBER(SEARCH("wagon_",Table1[[#This Row],[FILENAMES_EXPECTED]])),ISNUMBER(SEARCH("coach_",Table1[[#This Row],[FILENAMES_EXPECTED]])))</f>
        <v>0</v>
      </c>
      <c r="E533" t="str">
        <f>"item_"&amp;Table1[[#This Row],[VEHIDCODE]]</f>
        <v>item_emu_Switzerland_SBB_RBDe_560</v>
      </c>
      <c r="F533" t="str">
        <f>"str_"&amp;Table1[[#This Row],[VEHIDCODE]]</f>
        <v>str_emu_Switzerland_SBB_RBDe_560</v>
      </c>
      <c r="I533" t="b">
        <v>1</v>
      </c>
      <c r="AJ533" s="2"/>
      <c r="AK533" s="2" t="b">
        <f>LEN(_xlfn.CONCAT(Table1[[#This Row],[TRACK_TYPE_STANDARD_GAUGE_RAILTYPE_OHLE]:[TRACK_TYPE_MTRO]]))&gt;0</f>
        <v>1</v>
      </c>
      <c r="AL533">
        <v>8</v>
      </c>
      <c r="AM533" t="s">
        <v>18</v>
      </c>
      <c r="AN533">
        <v>1</v>
      </c>
      <c r="AO533" t="s">
        <v>74</v>
      </c>
      <c r="AP533">
        <v>56</v>
      </c>
      <c r="AQ533">
        <v>1984</v>
      </c>
      <c r="AR533">
        <v>8</v>
      </c>
      <c r="AS533" s="2" t="s">
        <v>24</v>
      </c>
      <c r="AT533" t="b">
        <v>1</v>
      </c>
      <c r="AU533" t="b">
        <v>1</v>
      </c>
      <c r="AV533" s="2"/>
      <c r="AW533">
        <v>45</v>
      </c>
      <c r="AX533">
        <v>1</v>
      </c>
      <c r="AY533">
        <v>1100</v>
      </c>
      <c r="AZ533" t="s">
        <v>709</v>
      </c>
      <c r="BA533">
        <v>140</v>
      </c>
      <c r="BB533" s="2">
        <v>0.52</v>
      </c>
      <c r="BC533" t="s">
        <v>923</v>
      </c>
      <c r="BD533" t="s">
        <v>922</v>
      </c>
      <c r="BE533" t="s">
        <v>940</v>
      </c>
      <c r="BF533" s="7">
        <v>25</v>
      </c>
      <c r="BG5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3">
        <v>0</v>
      </c>
      <c r="BI533" t="s">
        <v>734</v>
      </c>
      <c r="BJ533" s="11">
        <v>56</v>
      </c>
      <c r="BK533" s="11">
        <v>8</v>
      </c>
      <c r="BL533" s="11">
        <v>35</v>
      </c>
      <c r="BM533">
        <v>0</v>
      </c>
      <c r="BN533" t="s">
        <v>692</v>
      </c>
      <c r="BO533" t="s">
        <v>694</v>
      </c>
      <c r="BP533" t="s">
        <v>701</v>
      </c>
      <c r="BQ533" t="s">
        <v>705</v>
      </c>
      <c r="BR533" t="s">
        <v>706</v>
      </c>
      <c r="BS533" t="s">
        <v>707</v>
      </c>
      <c r="CR533"/>
      <c r="CS533"/>
      <c r="CT533"/>
    </row>
    <row r="534" spans="1:98" x14ac:dyDescent="0.4">
      <c r="A534" s="2" t="s">
        <v>562</v>
      </c>
      <c r="B534" t="str">
        <f>_xlfn.TEXTAFTER(Table1[[#This Row],[VEHIDCODE]],"_")</f>
        <v>Switzerland_SBB_RABe_523_Flirt</v>
      </c>
      <c r="C534" t="s">
        <v>744</v>
      </c>
      <c r="D534" t="b">
        <f>OR(ISNUMBER(SEARCH("wagon_",Table1[[#This Row],[FILENAMES_EXPECTED]])),ISNUMBER(SEARCH("coach_",Table1[[#This Row],[FILENAMES_EXPECTED]])))</f>
        <v>0</v>
      </c>
      <c r="E534" t="str">
        <f>"item_"&amp;Table1[[#This Row],[VEHIDCODE]]</f>
        <v>item_emu_Switzerland_SBB_RABe_523_Flirt</v>
      </c>
      <c r="F534" t="str">
        <f>"str_"&amp;Table1[[#This Row],[VEHIDCODE]]</f>
        <v>str_emu_Switzerland_SBB_RABe_523_Flirt</v>
      </c>
      <c r="I534" t="b">
        <v>1</v>
      </c>
      <c r="AJ534" s="2"/>
      <c r="AK534" s="2" t="b">
        <f>LEN(_xlfn.CONCAT(Table1[[#This Row],[TRACK_TYPE_STANDARD_GAUGE_RAILTYPE_OHLE]:[TRACK_TYPE_MTRO]]))&gt;0</f>
        <v>1</v>
      </c>
      <c r="AL534">
        <v>8</v>
      </c>
      <c r="AM534" t="s">
        <v>18</v>
      </c>
      <c r="AN534">
        <v>1</v>
      </c>
      <c r="AO534" t="s">
        <v>74</v>
      </c>
      <c r="AP534">
        <v>50</v>
      </c>
      <c r="AQ534">
        <v>2004</v>
      </c>
      <c r="AR534">
        <v>8</v>
      </c>
      <c r="AS534" s="2" t="s">
        <v>24</v>
      </c>
      <c r="AT534" t="b">
        <v>1</v>
      </c>
      <c r="AU534" t="b">
        <v>1</v>
      </c>
      <c r="AV534" s="2"/>
      <c r="AW534" t="s">
        <v>21</v>
      </c>
      <c r="AX534">
        <v>1</v>
      </c>
      <c r="AY534">
        <v>670</v>
      </c>
      <c r="AZ534" t="s">
        <v>709</v>
      </c>
      <c r="BA534">
        <v>160</v>
      </c>
      <c r="BB534" s="2">
        <v>0.65</v>
      </c>
      <c r="BC534" t="s">
        <v>923</v>
      </c>
      <c r="BD534" t="s">
        <v>922</v>
      </c>
      <c r="BE534" t="s">
        <v>940</v>
      </c>
      <c r="BF534" s="7">
        <v>25</v>
      </c>
      <c r="BG5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4">
        <v>0</v>
      </c>
      <c r="BI534" t="s">
        <v>734</v>
      </c>
      <c r="BJ534" s="11">
        <v>50</v>
      </c>
      <c r="BK534" s="11">
        <v>7</v>
      </c>
      <c r="BL534" s="11">
        <v>31</v>
      </c>
      <c r="BM534">
        <v>0</v>
      </c>
      <c r="BN534" t="s">
        <v>692</v>
      </c>
      <c r="BO534" t="s">
        <v>694</v>
      </c>
      <c r="BP534" t="s">
        <v>701</v>
      </c>
      <c r="BQ534" t="s">
        <v>705</v>
      </c>
      <c r="BR534" t="s">
        <v>706</v>
      </c>
      <c r="BS534" t="s">
        <v>707</v>
      </c>
      <c r="CR534"/>
      <c r="CS534"/>
      <c r="CT534"/>
    </row>
    <row r="535" spans="1:98" x14ac:dyDescent="0.4">
      <c r="A535" s="2" t="s">
        <v>563</v>
      </c>
      <c r="B535" t="str">
        <f>_xlfn.TEXTAFTER(Table1[[#This Row],[VEHIDCODE]],"_")</f>
        <v>USA_Amtrak_Budd_Metroliner</v>
      </c>
      <c r="C535" t="s">
        <v>744</v>
      </c>
      <c r="D535" t="b">
        <f>OR(ISNUMBER(SEARCH("wagon_",Table1[[#This Row],[FILENAMES_EXPECTED]])),ISNUMBER(SEARCH("coach_",Table1[[#This Row],[FILENAMES_EXPECTED]])))</f>
        <v>0</v>
      </c>
      <c r="E535" t="str">
        <f>"item_"&amp;Table1[[#This Row],[VEHIDCODE]]</f>
        <v>item_emu_USA_Amtrak_Budd_Metroliner</v>
      </c>
      <c r="F535" t="str">
        <f>"str_"&amp;Table1[[#This Row],[VEHIDCODE]]</f>
        <v>str_emu_USA_Amtrak_Budd_Metroliner</v>
      </c>
      <c r="I535" t="b">
        <v>1</v>
      </c>
      <c r="AJ535" s="2"/>
      <c r="AK535" s="2" t="b">
        <f>LEN(_xlfn.CONCAT(Table1[[#This Row],[TRACK_TYPE_STANDARD_GAUGE_RAILTYPE_OHLE]:[TRACK_TYPE_MTRO]]))&gt;0</f>
        <v>1</v>
      </c>
      <c r="AL535">
        <v>8</v>
      </c>
      <c r="AM535" t="s">
        <v>18</v>
      </c>
      <c r="AN535">
        <v>1</v>
      </c>
      <c r="AO535" t="s">
        <v>74</v>
      </c>
      <c r="AP535">
        <v>40</v>
      </c>
      <c r="AQ535">
        <v>1969</v>
      </c>
      <c r="AR535">
        <v>8</v>
      </c>
      <c r="AS535" s="2" t="s">
        <v>24</v>
      </c>
      <c r="AT535" t="b">
        <v>1</v>
      </c>
      <c r="AU535" t="b">
        <v>1</v>
      </c>
      <c r="AV535" s="2"/>
      <c r="AW535">
        <v>45</v>
      </c>
      <c r="AX535">
        <v>1</v>
      </c>
      <c r="AY535">
        <v>2400</v>
      </c>
      <c r="AZ535" t="s">
        <v>709</v>
      </c>
      <c r="BA535">
        <v>201</v>
      </c>
      <c r="BB535" s="2">
        <v>0.15</v>
      </c>
      <c r="BC535" t="s">
        <v>928</v>
      </c>
      <c r="BD535" t="s">
        <v>922</v>
      </c>
      <c r="BE535" t="s">
        <v>940</v>
      </c>
      <c r="BF535" s="7">
        <v>40</v>
      </c>
      <c r="BG5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5">
        <v>0</v>
      </c>
      <c r="BI535" t="s">
        <v>734</v>
      </c>
      <c r="BJ535" s="11">
        <v>40</v>
      </c>
      <c r="BK535" s="11">
        <v>8</v>
      </c>
      <c r="BL535" s="11">
        <v>75</v>
      </c>
      <c r="BM535">
        <v>0</v>
      </c>
      <c r="BN535" t="s">
        <v>692</v>
      </c>
      <c r="BO535" t="s">
        <v>694</v>
      </c>
      <c r="BP535" t="s">
        <v>701</v>
      </c>
      <c r="BQ535" t="s">
        <v>705</v>
      </c>
      <c r="BR535" t="s">
        <v>706</v>
      </c>
      <c r="BS535" t="s">
        <v>707</v>
      </c>
      <c r="CR535"/>
      <c r="CS535"/>
      <c r="CT535"/>
    </row>
    <row r="536" spans="1:98" x14ac:dyDescent="0.4">
      <c r="A536" s="2" t="s">
        <v>564</v>
      </c>
      <c r="B536" t="str">
        <f>_xlfn.TEXTAFTER(Table1[[#This Row],[VEHIDCODE]],"_")</f>
        <v>Germany_DB_403_ICE_3</v>
      </c>
      <c r="C536" t="s">
        <v>744</v>
      </c>
      <c r="D536" t="b">
        <f>OR(ISNUMBER(SEARCH("wagon_",Table1[[#This Row],[FILENAMES_EXPECTED]])),ISNUMBER(SEARCH("coach_",Table1[[#This Row],[FILENAMES_EXPECTED]])))</f>
        <v>0</v>
      </c>
      <c r="E536" t="str">
        <f>"item_"&amp;Table1[[#This Row],[VEHIDCODE]]</f>
        <v>item_emu_Germany_DB_403_ICE_3</v>
      </c>
      <c r="F536" t="str">
        <f>"str_"&amp;Table1[[#This Row],[VEHIDCODE]]</f>
        <v>str_emu_Germany_DB_403_ICE_3</v>
      </c>
      <c r="I536" t="b">
        <v>1</v>
      </c>
      <c r="AJ536" s="2"/>
      <c r="AK536" s="2" t="b">
        <f>LEN(_xlfn.CONCAT(Table1[[#This Row],[TRACK_TYPE_STANDARD_GAUGE_RAILTYPE_OHLE]:[TRACK_TYPE_MTRO]]))&gt;0</f>
        <v>1</v>
      </c>
      <c r="AL536">
        <v>7</v>
      </c>
      <c r="AM536" t="s">
        <v>18</v>
      </c>
      <c r="AN536">
        <v>1</v>
      </c>
      <c r="AO536" t="s">
        <v>74</v>
      </c>
      <c r="AP536">
        <v>45</v>
      </c>
      <c r="AQ536">
        <v>2000</v>
      </c>
      <c r="AR536">
        <v>7</v>
      </c>
      <c r="AS536" s="2" t="s">
        <v>480</v>
      </c>
      <c r="AT536" t="b">
        <v>1</v>
      </c>
      <c r="AU536" t="b">
        <v>1</v>
      </c>
      <c r="AV536" s="2"/>
      <c r="AW536" t="s">
        <v>21</v>
      </c>
      <c r="AX536">
        <v>1</v>
      </c>
      <c r="AY536">
        <v>1400</v>
      </c>
      <c r="AZ536" t="s">
        <v>709</v>
      </c>
      <c r="BA536">
        <v>328</v>
      </c>
      <c r="BB536" s="2">
        <v>0.98</v>
      </c>
      <c r="BC536" t="s">
        <v>923</v>
      </c>
      <c r="BD536" t="s">
        <v>922</v>
      </c>
      <c r="BE536" t="s">
        <v>940</v>
      </c>
      <c r="BF536" s="7">
        <v>25</v>
      </c>
      <c r="BG5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6">
        <v>0</v>
      </c>
      <c r="BI536" t="s">
        <v>734</v>
      </c>
      <c r="BJ536" s="11">
        <v>45</v>
      </c>
      <c r="BK536" s="11">
        <v>8</v>
      </c>
      <c r="BL536" s="11">
        <v>51</v>
      </c>
      <c r="BM536">
        <v>0</v>
      </c>
      <c r="BN536" t="s">
        <v>692</v>
      </c>
      <c r="BO536" t="s">
        <v>694</v>
      </c>
      <c r="BP536" t="s">
        <v>701</v>
      </c>
      <c r="BQ536" t="s">
        <v>705</v>
      </c>
      <c r="BR536" t="s">
        <v>706</v>
      </c>
      <c r="BS536" t="s">
        <v>707</v>
      </c>
      <c r="CR536"/>
      <c r="CS536"/>
      <c r="CT536"/>
    </row>
    <row r="537" spans="1:98" x14ac:dyDescent="0.4">
      <c r="A537" s="2" t="s">
        <v>565</v>
      </c>
      <c r="B537" t="str">
        <f>_xlfn.TEXTAFTER(Table1[[#This Row],[VEHIDCODE]],"_")</f>
        <v>Bulgaria_BDZ_10_Desiro</v>
      </c>
      <c r="C537" t="s">
        <v>744</v>
      </c>
      <c r="D537" t="b">
        <f>OR(ISNUMBER(SEARCH("wagon_",Table1[[#This Row],[FILENAMES_EXPECTED]])),ISNUMBER(SEARCH("coach_",Table1[[#This Row],[FILENAMES_EXPECTED]])))</f>
        <v>0</v>
      </c>
      <c r="E537" t="str">
        <f>"item_"&amp;Table1[[#This Row],[VEHIDCODE]]</f>
        <v>item_emu_Bulgaria_BDZ_10_Desiro</v>
      </c>
      <c r="F537" t="str">
        <f>"str_"&amp;Table1[[#This Row],[VEHIDCODE]]</f>
        <v>str_emu_Bulgaria_BDZ_10_Desiro</v>
      </c>
      <c r="H537" t="b">
        <v>1</v>
      </c>
      <c r="AJ537" s="2"/>
      <c r="AK537" s="2" t="b">
        <f>LEN(_xlfn.CONCAT(Table1[[#This Row],[TRACK_TYPE_STANDARD_GAUGE_RAILTYPE_OHLE]:[TRACK_TYPE_MTRO]]))&gt;0</f>
        <v>1</v>
      </c>
      <c r="AL537">
        <v>8</v>
      </c>
      <c r="AM537" t="s">
        <v>18</v>
      </c>
      <c r="AN537">
        <v>1</v>
      </c>
      <c r="AO537" t="s">
        <v>74</v>
      </c>
      <c r="AP537">
        <v>62</v>
      </c>
      <c r="AQ537">
        <v>2005</v>
      </c>
      <c r="AR537">
        <v>8</v>
      </c>
      <c r="AS537" s="2" t="s">
        <v>24</v>
      </c>
      <c r="AT537" t="b">
        <v>1</v>
      </c>
      <c r="AU537" t="b">
        <v>1</v>
      </c>
      <c r="AV537" s="2"/>
      <c r="AW537" t="s">
        <v>21</v>
      </c>
      <c r="AX537">
        <v>1</v>
      </c>
      <c r="AY537">
        <v>550</v>
      </c>
      <c r="AZ537" t="s">
        <v>709</v>
      </c>
      <c r="BA537">
        <v>140</v>
      </c>
      <c r="BB537" s="2">
        <v>0.21</v>
      </c>
      <c r="BC537" t="s">
        <v>929</v>
      </c>
      <c r="BD537" t="s">
        <v>922</v>
      </c>
      <c r="BE537" t="s">
        <v>940</v>
      </c>
      <c r="BF537" s="7">
        <v>25</v>
      </c>
      <c r="BG5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7">
        <v>0</v>
      </c>
      <c r="BI537" t="s">
        <v>734</v>
      </c>
      <c r="BJ537" s="11">
        <v>62</v>
      </c>
      <c r="BK537" s="11">
        <v>8</v>
      </c>
      <c r="BL537" s="11">
        <v>57</v>
      </c>
      <c r="BM537">
        <v>0</v>
      </c>
      <c r="BN537" t="s">
        <v>692</v>
      </c>
      <c r="BO537" t="s">
        <v>694</v>
      </c>
      <c r="BP537" t="s">
        <v>701</v>
      </c>
      <c r="BQ537" t="s">
        <v>705</v>
      </c>
      <c r="BR537" t="s">
        <v>706</v>
      </c>
      <c r="BS537" t="s">
        <v>707</v>
      </c>
      <c r="CR537"/>
      <c r="CS537"/>
      <c r="CT537"/>
    </row>
    <row r="538" spans="1:98" x14ac:dyDescent="0.4">
      <c r="A538" s="2" t="s">
        <v>566</v>
      </c>
      <c r="B538" t="str">
        <f>_xlfn.TEXTAFTER(Table1[[#This Row],[VEHIDCODE]],"_")</f>
        <v>Finland_VR_Sm2</v>
      </c>
      <c r="C538" t="s">
        <v>744</v>
      </c>
      <c r="D538" t="b">
        <f>OR(ISNUMBER(SEARCH("wagon_",Table1[[#This Row],[FILENAMES_EXPECTED]])),ISNUMBER(SEARCH("coach_",Table1[[#This Row],[FILENAMES_EXPECTED]])))</f>
        <v>0</v>
      </c>
      <c r="E538" t="str">
        <f>"item_"&amp;Table1[[#This Row],[VEHIDCODE]]</f>
        <v>item_emu_Finland_VR_Sm2</v>
      </c>
      <c r="F538" t="str">
        <f>"str_"&amp;Table1[[#This Row],[VEHIDCODE]]</f>
        <v>str_emu_Finland_VR_Sm2</v>
      </c>
      <c r="Q538" t="b">
        <v>1</v>
      </c>
      <c r="AJ538" s="2"/>
      <c r="AK538" s="2" t="b">
        <f>LEN(_xlfn.CONCAT(Table1[[#This Row],[TRACK_TYPE_STANDARD_GAUGE_RAILTYPE_OHLE]:[TRACK_TYPE_MTRO]]))&gt;0</f>
        <v>1</v>
      </c>
      <c r="AL538">
        <v>8</v>
      </c>
      <c r="AM538" t="s">
        <v>18</v>
      </c>
      <c r="AN538">
        <v>1</v>
      </c>
      <c r="AO538" t="s">
        <v>74</v>
      </c>
      <c r="AP538">
        <v>70</v>
      </c>
      <c r="AQ538">
        <v>1975</v>
      </c>
      <c r="AR538">
        <v>8</v>
      </c>
      <c r="AS538" s="2" t="s">
        <v>24</v>
      </c>
      <c r="AT538" t="b">
        <v>1</v>
      </c>
      <c r="AU538" t="b">
        <v>1</v>
      </c>
      <c r="AV538" s="2"/>
      <c r="AW538">
        <v>45</v>
      </c>
      <c r="AX538">
        <v>1</v>
      </c>
      <c r="AY538">
        <v>831</v>
      </c>
      <c r="AZ538" t="s">
        <v>709</v>
      </c>
      <c r="BA538">
        <v>120</v>
      </c>
      <c r="BB538" s="2">
        <v>0.22</v>
      </c>
      <c r="BC538" t="s">
        <v>927</v>
      </c>
      <c r="BD538" t="s">
        <v>922</v>
      </c>
      <c r="BE538" t="s">
        <v>940</v>
      </c>
      <c r="BF538" s="7">
        <v>25</v>
      </c>
      <c r="BG5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8">
        <v>0</v>
      </c>
      <c r="BI538" t="s">
        <v>734</v>
      </c>
      <c r="BJ538" s="11">
        <v>70</v>
      </c>
      <c r="BK538" s="11">
        <v>8</v>
      </c>
      <c r="BL538" s="11">
        <v>38</v>
      </c>
      <c r="BM538">
        <v>0</v>
      </c>
      <c r="BN538" t="s">
        <v>692</v>
      </c>
      <c r="BO538" t="s">
        <v>694</v>
      </c>
      <c r="BP538" t="s">
        <v>701</v>
      </c>
      <c r="BQ538" t="s">
        <v>705</v>
      </c>
      <c r="BR538" t="s">
        <v>706</v>
      </c>
      <c r="BS538" t="s">
        <v>707</v>
      </c>
      <c r="CR538"/>
      <c r="CS538"/>
      <c r="CT538"/>
    </row>
    <row r="539" spans="1:98" x14ac:dyDescent="0.4">
      <c r="A539" s="2" t="s">
        <v>567</v>
      </c>
      <c r="B539" t="str">
        <f>_xlfn.TEXTAFTER(Table1[[#This Row],[VEHIDCODE]],"_")</f>
        <v>Finland_VR_Sm4</v>
      </c>
      <c r="C539" t="s">
        <v>744</v>
      </c>
      <c r="D539" t="b">
        <f>OR(ISNUMBER(SEARCH("wagon_",Table1[[#This Row],[FILENAMES_EXPECTED]])),ISNUMBER(SEARCH("coach_",Table1[[#This Row],[FILENAMES_EXPECTED]])))</f>
        <v>0</v>
      </c>
      <c r="E539" t="str">
        <f>"item_"&amp;Table1[[#This Row],[VEHIDCODE]]</f>
        <v>item_emu_Finland_VR_Sm4</v>
      </c>
      <c r="F539" t="str">
        <f>"str_"&amp;Table1[[#This Row],[VEHIDCODE]]</f>
        <v>str_emu_Finland_VR_Sm4</v>
      </c>
      <c r="Q539" t="b">
        <v>1</v>
      </c>
      <c r="AJ539" s="2"/>
      <c r="AK539" s="2" t="b">
        <f>LEN(_xlfn.CONCAT(Table1[[#This Row],[TRACK_TYPE_STANDARD_GAUGE_RAILTYPE_OHLE]:[TRACK_TYPE_MTRO]]))&gt;0</f>
        <v>1</v>
      </c>
      <c r="AL539">
        <v>8</v>
      </c>
      <c r="AM539" t="s">
        <v>18</v>
      </c>
      <c r="AN539">
        <v>1</v>
      </c>
      <c r="AO539" t="s">
        <v>74</v>
      </c>
      <c r="AP539">
        <v>100</v>
      </c>
      <c r="AQ539">
        <v>1999</v>
      </c>
      <c r="AR539">
        <v>8</v>
      </c>
      <c r="AS539" s="2" t="s">
        <v>24</v>
      </c>
      <c r="AT539" t="b">
        <v>1</v>
      </c>
      <c r="AU539" t="b">
        <v>1</v>
      </c>
      <c r="AV539" s="2"/>
      <c r="AW539" t="s">
        <v>21</v>
      </c>
      <c r="AX539">
        <v>1</v>
      </c>
      <c r="AY539">
        <v>800</v>
      </c>
      <c r="AZ539" t="s">
        <v>709</v>
      </c>
      <c r="BA539">
        <v>160</v>
      </c>
      <c r="BB539" s="2">
        <v>0.18</v>
      </c>
      <c r="BC539" t="s">
        <v>927</v>
      </c>
      <c r="BD539" t="s">
        <v>922</v>
      </c>
      <c r="BE539" t="s">
        <v>940</v>
      </c>
      <c r="BF539" s="7">
        <v>25</v>
      </c>
      <c r="BG5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39">
        <v>0</v>
      </c>
      <c r="BI539" t="s">
        <v>734</v>
      </c>
      <c r="BJ539" s="11">
        <v>100</v>
      </c>
      <c r="BK539" s="11">
        <v>8</v>
      </c>
      <c r="BL539" s="11">
        <v>57</v>
      </c>
      <c r="BM539">
        <v>0</v>
      </c>
      <c r="BN539" t="s">
        <v>692</v>
      </c>
      <c r="BO539" t="s">
        <v>694</v>
      </c>
      <c r="BP539" t="s">
        <v>701</v>
      </c>
      <c r="BQ539" t="s">
        <v>705</v>
      </c>
      <c r="BR539" t="s">
        <v>706</v>
      </c>
      <c r="BS539" t="s">
        <v>707</v>
      </c>
      <c r="CR539"/>
      <c r="CS539"/>
      <c r="CT539"/>
    </row>
    <row r="540" spans="1:98" x14ac:dyDescent="0.4">
      <c r="A540" s="2" t="s">
        <v>568</v>
      </c>
      <c r="B540" t="str">
        <f>_xlfn.TEXTAFTER(Table1[[#This Row],[VEHIDCODE]],"_")</f>
        <v>Hungary_MAV_BDVmot</v>
      </c>
      <c r="C540" t="s">
        <v>744</v>
      </c>
      <c r="D540" t="b">
        <f>OR(ISNUMBER(SEARCH("wagon_",Table1[[#This Row],[FILENAMES_EXPECTED]])),ISNUMBER(SEARCH("coach_",Table1[[#This Row],[FILENAMES_EXPECTED]])))</f>
        <v>0</v>
      </c>
      <c r="E540" t="str">
        <f>"item_"&amp;Table1[[#This Row],[VEHIDCODE]]</f>
        <v>item_emu_Hungary_MAV_BDVmot</v>
      </c>
      <c r="F540" t="str">
        <f>"str_"&amp;Table1[[#This Row],[VEHIDCODE]]</f>
        <v>str_emu_Hungary_MAV_BDVmot</v>
      </c>
      <c r="H540" t="b">
        <v>1</v>
      </c>
      <c r="AJ540" s="2"/>
      <c r="AK540" s="2" t="b">
        <f>LEN(_xlfn.CONCAT(Table1[[#This Row],[TRACK_TYPE_STANDARD_GAUGE_RAILTYPE_OHLE]:[TRACK_TYPE_MTRO]]))&gt;0</f>
        <v>1</v>
      </c>
      <c r="AL540">
        <v>8</v>
      </c>
      <c r="AM540" t="s">
        <v>18</v>
      </c>
      <c r="AN540">
        <v>1</v>
      </c>
      <c r="AO540" t="s">
        <v>74</v>
      </c>
      <c r="AP540">
        <v>75</v>
      </c>
      <c r="AQ540">
        <v>1988</v>
      </c>
      <c r="AR540">
        <v>8</v>
      </c>
      <c r="AS540" s="2" t="s">
        <v>24</v>
      </c>
      <c r="AT540" t="b">
        <v>1</v>
      </c>
      <c r="AU540" t="b">
        <v>1</v>
      </c>
      <c r="AV540" s="2"/>
      <c r="AW540" t="s">
        <v>21</v>
      </c>
      <c r="AX540">
        <v>1</v>
      </c>
      <c r="AY540">
        <v>2040</v>
      </c>
      <c r="AZ540" t="s">
        <v>709</v>
      </c>
      <c r="BA540">
        <v>120</v>
      </c>
      <c r="BB540" s="2">
        <v>0.11</v>
      </c>
      <c r="BC540" t="s">
        <v>929</v>
      </c>
      <c r="BD540" t="s">
        <v>922</v>
      </c>
      <c r="BE540" t="s">
        <v>940</v>
      </c>
      <c r="BF540" s="7">
        <v>25</v>
      </c>
      <c r="BG5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0">
        <v>0</v>
      </c>
      <c r="BI540" t="s">
        <v>734</v>
      </c>
      <c r="BJ540" s="11">
        <v>75</v>
      </c>
      <c r="BK540" s="11">
        <v>8</v>
      </c>
      <c r="BL540" s="11">
        <v>66</v>
      </c>
      <c r="BM540">
        <v>0</v>
      </c>
      <c r="BN540" t="s">
        <v>692</v>
      </c>
      <c r="BO540" t="s">
        <v>694</v>
      </c>
      <c r="BP540" t="s">
        <v>701</v>
      </c>
      <c r="BQ540" t="s">
        <v>705</v>
      </c>
      <c r="BR540" t="s">
        <v>706</v>
      </c>
      <c r="BS540" t="s">
        <v>707</v>
      </c>
      <c r="CR540"/>
      <c r="CS540"/>
      <c r="CT540"/>
    </row>
    <row r="541" spans="1:98" x14ac:dyDescent="0.4">
      <c r="A541" s="2" t="s">
        <v>569</v>
      </c>
      <c r="B541" t="str">
        <f>_xlfn.TEXTAFTER(Table1[[#This Row],[VEHIDCODE]],"_")</f>
        <v>Europe_Sureot</v>
      </c>
      <c r="C541" t="s">
        <v>744</v>
      </c>
      <c r="D541" t="b">
        <f>OR(ISNUMBER(SEARCH("wagon_",Table1[[#This Row],[FILENAMES_EXPECTED]])),ISNUMBER(SEARCH("coach_",Table1[[#This Row],[FILENAMES_EXPECTED]])))</f>
        <v>0</v>
      </c>
      <c r="E541" t="str">
        <f>"item_"&amp;Table1[[#This Row],[VEHIDCODE]]</f>
        <v>item_emu_Europe_Sureot</v>
      </c>
      <c r="F541" t="str">
        <f>"str_"&amp;Table1[[#This Row],[VEHIDCODE]]</f>
        <v>str_emu_Europe_Sureot</v>
      </c>
      <c r="H541" t="b">
        <v>1</v>
      </c>
      <c r="AJ541" s="2"/>
      <c r="AK541" s="2" t="b">
        <f>LEN(_xlfn.CONCAT(Table1[[#This Row],[TRACK_TYPE_STANDARD_GAUGE_RAILTYPE_OHLE]:[TRACK_TYPE_MTRO]]))&gt;0</f>
        <v>1</v>
      </c>
      <c r="AL541">
        <v>8</v>
      </c>
      <c r="AM541" t="s">
        <v>18</v>
      </c>
      <c r="AN541">
        <v>1</v>
      </c>
      <c r="AO541" t="s">
        <v>74</v>
      </c>
      <c r="AP541">
        <v>85</v>
      </c>
      <c r="AQ541">
        <v>2030</v>
      </c>
      <c r="AR541">
        <v>8</v>
      </c>
      <c r="AS541" s="2" t="s">
        <v>480</v>
      </c>
      <c r="AT541" t="b">
        <v>1</v>
      </c>
      <c r="AU541" t="b">
        <v>1</v>
      </c>
      <c r="AV541" s="2"/>
      <c r="AW541" t="s">
        <v>21</v>
      </c>
      <c r="AX541">
        <v>1</v>
      </c>
      <c r="AY541">
        <v>16000</v>
      </c>
      <c r="AZ541" t="s">
        <v>709</v>
      </c>
      <c r="BA541">
        <v>300</v>
      </c>
      <c r="BB541" s="2">
        <v>0.22</v>
      </c>
      <c r="BC541" t="s">
        <v>932</v>
      </c>
      <c r="BD541" t="s">
        <v>922</v>
      </c>
      <c r="BE541" t="s">
        <v>941</v>
      </c>
      <c r="BF541" s="7">
        <v>25</v>
      </c>
      <c r="BG5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1">
        <v>0</v>
      </c>
      <c r="BI541" t="s">
        <v>734</v>
      </c>
      <c r="BJ541" s="11">
        <v>85</v>
      </c>
      <c r="BK541" s="11">
        <v>8</v>
      </c>
      <c r="BL541" s="11">
        <v>50</v>
      </c>
      <c r="BM541">
        <v>0</v>
      </c>
      <c r="BN541" t="s">
        <v>692</v>
      </c>
      <c r="BO541" t="s">
        <v>694</v>
      </c>
      <c r="BP541" t="s">
        <v>701</v>
      </c>
      <c r="BQ541" t="s">
        <v>705</v>
      </c>
      <c r="BR541" t="s">
        <v>706</v>
      </c>
      <c r="BS541" t="s">
        <v>707</v>
      </c>
      <c r="CR541"/>
      <c r="CS541"/>
      <c r="CT541"/>
    </row>
    <row r="542" spans="1:98" x14ac:dyDescent="0.4">
      <c r="A542" s="2" t="s">
        <v>570</v>
      </c>
      <c r="B542" t="str">
        <f>_xlfn.TEXTAFTER(Table1[[#This Row],[VEHIDCODE]],"_")</f>
        <v>Japan_JNR_Shinkansen_Series_0</v>
      </c>
      <c r="C542" t="s">
        <v>744</v>
      </c>
      <c r="D542" t="b">
        <f>OR(ISNUMBER(SEARCH("wagon_",Table1[[#This Row],[FILENAMES_EXPECTED]])),ISNUMBER(SEARCH("coach_",Table1[[#This Row],[FILENAMES_EXPECTED]])))</f>
        <v>0</v>
      </c>
      <c r="E542" t="str">
        <f>"item_"&amp;Table1[[#This Row],[VEHIDCODE]]</f>
        <v>item_emu_Japan_JNR_Shinkansen_Series_0</v>
      </c>
      <c r="F542" t="str">
        <f>"str_"&amp;Table1[[#This Row],[VEHIDCODE]]</f>
        <v>str_emu_Japan_JNR_Shinkansen_Series_0</v>
      </c>
      <c r="H542" t="b">
        <v>1</v>
      </c>
      <c r="AJ542" s="2"/>
      <c r="AK542" s="2" t="b">
        <f>LEN(_xlfn.CONCAT(Table1[[#This Row],[TRACK_TYPE_STANDARD_GAUGE_RAILTYPE_OHLE]:[TRACK_TYPE_MTRO]]))&gt;0</f>
        <v>1</v>
      </c>
      <c r="AL542">
        <v>8</v>
      </c>
      <c r="AM542" t="s">
        <v>18</v>
      </c>
      <c r="AN542">
        <v>1</v>
      </c>
      <c r="AO542" t="s">
        <v>74</v>
      </c>
      <c r="AP542">
        <v>50</v>
      </c>
      <c r="AQ542">
        <v>1964</v>
      </c>
      <c r="AR542">
        <v>8</v>
      </c>
      <c r="AS542" s="2" t="s">
        <v>480</v>
      </c>
      <c r="AT542" t="b">
        <v>1</v>
      </c>
      <c r="AU542" t="b">
        <v>1</v>
      </c>
      <c r="AV542" s="2"/>
      <c r="AW542">
        <v>45</v>
      </c>
      <c r="AX542">
        <v>1</v>
      </c>
      <c r="AY542">
        <v>1000</v>
      </c>
      <c r="AZ542" t="s">
        <v>709</v>
      </c>
      <c r="BA542">
        <v>210</v>
      </c>
      <c r="BB542" s="2">
        <v>0.3</v>
      </c>
      <c r="BC542" t="s">
        <v>931</v>
      </c>
      <c r="BD542" t="s">
        <v>922</v>
      </c>
      <c r="BE542" t="s">
        <v>940</v>
      </c>
      <c r="BF542" s="7">
        <v>44</v>
      </c>
      <c r="BG5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2">
        <v>-3</v>
      </c>
      <c r="BI542" t="s">
        <v>734</v>
      </c>
      <c r="BJ542" s="11">
        <v>50</v>
      </c>
      <c r="BK542" s="11">
        <v>8</v>
      </c>
      <c r="BL542" s="11">
        <v>54</v>
      </c>
      <c r="BM542">
        <v>0</v>
      </c>
      <c r="BN542" t="s">
        <v>692</v>
      </c>
      <c r="BO542" t="s">
        <v>694</v>
      </c>
      <c r="BP542" t="s">
        <v>701</v>
      </c>
      <c r="BQ542" t="s">
        <v>705</v>
      </c>
      <c r="BR542" t="s">
        <v>706</v>
      </c>
      <c r="BS542" t="s">
        <v>707</v>
      </c>
      <c r="CR542"/>
      <c r="CS542"/>
      <c r="CT542"/>
    </row>
    <row r="543" spans="1:98" x14ac:dyDescent="0.4">
      <c r="A543" s="2" t="s">
        <v>571</v>
      </c>
      <c r="B543" t="str">
        <f>_xlfn.TEXTAFTER(Table1[[#This Row],[VEHIDCODE]],"_")</f>
        <v>Japan_JR_Shinkansen_Series_700</v>
      </c>
      <c r="C543" t="s">
        <v>744</v>
      </c>
      <c r="D543" t="b">
        <f>OR(ISNUMBER(SEARCH("wagon_",Table1[[#This Row],[FILENAMES_EXPECTED]])),ISNUMBER(SEARCH("coach_",Table1[[#This Row],[FILENAMES_EXPECTED]])))</f>
        <v>0</v>
      </c>
      <c r="E543" t="str">
        <f>"item_"&amp;Table1[[#This Row],[VEHIDCODE]]</f>
        <v>item_emu_Japan_JR_Shinkansen_Series_700</v>
      </c>
      <c r="F543" t="str">
        <f>"str_"&amp;Table1[[#This Row],[VEHIDCODE]]</f>
        <v>str_emu_Japan_JR_Shinkansen_Series_700</v>
      </c>
      <c r="H543" t="b">
        <v>1</v>
      </c>
      <c r="AJ543" s="2"/>
      <c r="AK543" s="2" t="b">
        <f>LEN(_xlfn.CONCAT(Table1[[#This Row],[TRACK_TYPE_STANDARD_GAUGE_RAILTYPE_OHLE]:[TRACK_TYPE_MTRO]]))&gt;0</f>
        <v>1</v>
      </c>
      <c r="AL543">
        <v>8</v>
      </c>
      <c r="AM543" t="s">
        <v>18</v>
      </c>
      <c r="AN543">
        <v>1</v>
      </c>
      <c r="AO543" t="s">
        <v>74</v>
      </c>
      <c r="AP543">
        <v>83</v>
      </c>
      <c r="AQ543">
        <v>1997</v>
      </c>
      <c r="AR543">
        <v>8</v>
      </c>
      <c r="AS543" s="2" t="s">
        <v>480</v>
      </c>
      <c r="AT543" t="b">
        <v>1</v>
      </c>
      <c r="AU543" t="b">
        <v>1</v>
      </c>
      <c r="AV543" s="2"/>
      <c r="AW543" t="s">
        <v>21</v>
      </c>
      <c r="AX543">
        <v>1</v>
      </c>
      <c r="AY543">
        <v>1441</v>
      </c>
      <c r="AZ543" t="s">
        <v>709</v>
      </c>
      <c r="BA543">
        <v>270</v>
      </c>
      <c r="BB543" s="2">
        <v>0.56000000000000005</v>
      </c>
      <c r="BC543" t="s">
        <v>931</v>
      </c>
      <c r="BD543" t="s">
        <v>922</v>
      </c>
      <c r="BE543" t="s">
        <v>940</v>
      </c>
      <c r="BF543" s="7">
        <v>25</v>
      </c>
      <c r="BG5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3">
        <v>0</v>
      </c>
      <c r="BI543" t="s">
        <v>734</v>
      </c>
      <c r="BJ543" s="11">
        <v>83</v>
      </c>
      <c r="BK543" s="11">
        <v>8</v>
      </c>
      <c r="BL543" s="11">
        <v>45</v>
      </c>
      <c r="BM543">
        <v>0</v>
      </c>
      <c r="BN543" t="s">
        <v>692</v>
      </c>
      <c r="BO543" t="s">
        <v>694</v>
      </c>
      <c r="BP543" t="s">
        <v>701</v>
      </c>
      <c r="BQ543" t="s">
        <v>705</v>
      </c>
      <c r="BR543" t="s">
        <v>706</v>
      </c>
      <c r="BS543" t="s">
        <v>707</v>
      </c>
      <c r="CR543"/>
      <c r="CS543"/>
      <c r="CT543"/>
    </row>
    <row r="544" spans="1:98" x14ac:dyDescent="0.4">
      <c r="A544" s="2" t="s">
        <v>572</v>
      </c>
      <c r="B544" t="str">
        <f>_xlfn.TEXTAFTER(Table1[[#This Row],[VEHIDCODE]],"_")</f>
        <v>Japan_JR_Shinkansen_Series_E1_Max</v>
      </c>
      <c r="C544" t="s">
        <v>744</v>
      </c>
      <c r="D544" t="b">
        <f>OR(ISNUMBER(SEARCH("wagon_",Table1[[#This Row],[FILENAMES_EXPECTED]])),ISNUMBER(SEARCH("coach_",Table1[[#This Row],[FILENAMES_EXPECTED]])))</f>
        <v>0</v>
      </c>
      <c r="E544" t="str">
        <f>"item_"&amp;Table1[[#This Row],[VEHIDCODE]]</f>
        <v>item_emu_Japan_JR_Shinkansen_Series_E1_Max</v>
      </c>
      <c r="F544" t="str">
        <f>"str_"&amp;Table1[[#This Row],[VEHIDCODE]]</f>
        <v>str_emu_Japan_JR_Shinkansen_Series_E1_Max</v>
      </c>
      <c r="H544" t="b">
        <v>1</v>
      </c>
      <c r="AJ544" s="2"/>
      <c r="AK544" s="2" t="b">
        <f>LEN(_xlfn.CONCAT(Table1[[#This Row],[TRACK_TYPE_STANDARD_GAUGE_RAILTYPE_OHLE]:[TRACK_TYPE_MTRO]]))&gt;0</f>
        <v>1</v>
      </c>
      <c r="AL544">
        <v>8</v>
      </c>
      <c r="AM544" t="s">
        <v>18</v>
      </c>
      <c r="AN544">
        <v>1</v>
      </c>
      <c r="AO544" t="s">
        <v>74</v>
      </c>
      <c r="AP544">
        <v>100</v>
      </c>
      <c r="AQ544">
        <v>1994</v>
      </c>
      <c r="AR544">
        <v>8</v>
      </c>
      <c r="AS544" s="2" t="s">
        <v>24</v>
      </c>
      <c r="AT544" t="b">
        <v>1</v>
      </c>
      <c r="AU544" t="b">
        <v>1</v>
      </c>
      <c r="AV544" s="2"/>
      <c r="AW544">
        <v>45</v>
      </c>
      <c r="AX544">
        <v>1</v>
      </c>
      <c r="AY544">
        <v>1704</v>
      </c>
      <c r="AZ544" t="s">
        <v>709</v>
      </c>
      <c r="BA544">
        <v>240</v>
      </c>
      <c r="BB544" s="2">
        <v>0.3</v>
      </c>
      <c r="BC544" t="s">
        <v>931</v>
      </c>
      <c r="BD544" t="s">
        <v>922</v>
      </c>
      <c r="BE544" t="s">
        <v>940</v>
      </c>
      <c r="BF544" s="7">
        <v>40</v>
      </c>
      <c r="BG5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4">
        <v>0</v>
      </c>
      <c r="BI544" t="s">
        <v>734</v>
      </c>
      <c r="BJ544" s="11">
        <v>100</v>
      </c>
      <c r="BK544" s="11">
        <v>8</v>
      </c>
      <c r="BL544" s="11">
        <v>58</v>
      </c>
      <c r="BM544">
        <v>0</v>
      </c>
      <c r="BN544" t="s">
        <v>692</v>
      </c>
      <c r="BO544" t="s">
        <v>694</v>
      </c>
      <c r="BP544" t="s">
        <v>701</v>
      </c>
      <c r="BQ544" t="s">
        <v>705</v>
      </c>
      <c r="BR544" t="s">
        <v>706</v>
      </c>
      <c r="BS544" t="s">
        <v>707</v>
      </c>
      <c r="CR544"/>
      <c r="CS544"/>
      <c r="CT544"/>
    </row>
    <row r="545" spans="1:98" x14ac:dyDescent="0.4">
      <c r="A545" s="2" t="s">
        <v>573</v>
      </c>
      <c r="B545" t="str">
        <f>_xlfn.TEXTAFTER(Table1[[#This Row],[VEHIDCODE]],"_")</f>
        <v>Luxembourg_CFL_2200_Coradia_Duplex</v>
      </c>
      <c r="C545" t="s">
        <v>744</v>
      </c>
      <c r="D545" t="b">
        <f>OR(ISNUMBER(SEARCH("wagon_",Table1[[#This Row],[FILENAMES_EXPECTED]])),ISNUMBER(SEARCH("coach_",Table1[[#This Row],[FILENAMES_EXPECTED]])))</f>
        <v>0</v>
      </c>
      <c r="E545" t="str">
        <f>"item_"&amp;Table1[[#This Row],[VEHIDCODE]]</f>
        <v>item_emu_Luxembourg_CFL_2200_Coradia_Duplex</v>
      </c>
      <c r="F545" t="str">
        <f>"str_"&amp;Table1[[#This Row],[VEHIDCODE]]</f>
        <v>str_emu_Luxembourg_CFL_2200_Coradia_Duplex</v>
      </c>
      <c r="H545" t="b">
        <v>1</v>
      </c>
      <c r="AJ545" s="2"/>
      <c r="AK545" s="2" t="b">
        <f>LEN(_xlfn.CONCAT(Table1[[#This Row],[TRACK_TYPE_STANDARD_GAUGE_RAILTYPE_OHLE]:[TRACK_TYPE_MTRO]]))&gt;0</f>
        <v>1</v>
      </c>
      <c r="AL545">
        <v>8</v>
      </c>
      <c r="AM545" t="s">
        <v>18</v>
      </c>
      <c r="AN545">
        <v>1</v>
      </c>
      <c r="AO545" t="s">
        <v>74</v>
      </c>
      <c r="AP545">
        <v>111</v>
      </c>
      <c r="AQ545">
        <v>1999</v>
      </c>
      <c r="AR545">
        <v>8</v>
      </c>
      <c r="AS545" s="2" t="s">
        <v>24</v>
      </c>
      <c r="AT545" t="b">
        <v>1</v>
      </c>
      <c r="AU545" t="b">
        <v>1</v>
      </c>
      <c r="AV545" s="2"/>
      <c r="AW545" t="s">
        <v>21</v>
      </c>
      <c r="AX545">
        <v>1</v>
      </c>
      <c r="AY545">
        <v>1050</v>
      </c>
      <c r="AZ545" t="s">
        <v>709</v>
      </c>
      <c r="BA545">
        <v>160</v>
      </c>
      <c r="BB545" s="2">
        <v>0.26</v>
      </c>
      <c r="BC545" t="s">
        <v>923</v>
      </c>
      <c r="BD545" t="s">
        <v>922</v>
      </c>
      <c r="BE545" t="s">
        <v>940</v>
      </c>
      <c r="BF545" s="7">
        <v>25</v>
      </c>
      <c r="BG5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5">
        <v>0</v>
      </c>
      <c r="BI545" t="s">
        <v>734</v>
      </c>
      <c r="BJ545" s="11">
        <v>111</v>
      </c>
      <c r="BK545" s="11">
        <v>8</v>
      </c>
      <c r="BL545" s="11">
        <v>53</v>
      </c>
      <c r="BM545">
        <v>0</v>
      </c>
      <c r="BN545" t="s">
        <v>692</v>
      </c>
      <c r="BO545" t="s">
        <v>694</v>
      </c>
      <c r="BP545" t="s">
        <v>701</v>
      </c>
      <c r="BQ545" t="s">
        <v>705</v>
      </c>
      <c r="BR545" t="s">
        <v>706</v>
      </c>
      <c r="BS545" t="s">
        <v>707</v>
      </c>
      <c r="CR545"/>
      <c r="CS545"/>
      <c r="CT545"/>
    </row>
    <row r="546" spans="1:98" x14ac:dyDescent="0.4">
      <c r="A546" s="2" t="s">
        <v>574</v>
      </c>
      <c r="B546" t="str">
        <f>_xlfn.TEXTAFTER(Table1[[#This Row],[VEHIDCODE]],"_")</f>
        <v>Macedonia_Macedonian_Railways_412</v>
      </c>
      <c r="C546" t="s">
        <v>744</v>
      </c>
      <c r="D546" t="b">
        <f>OR(ISNUMBER(SEARCH("wagon_",Table1[[#This Row],[FILENAMES_EXPECTED]])),ISNUMBER(SEARCH("coach_",Table1[[#This Row],[FILENAMES_EXPECTED]])))</f>
        <v>0</v>
      </c>
      <c r="E546" t="str">
        <f>"item_"&amp;Table1[[#This Row],[VEHIDCODE]]</f>
        <v>item_emu_Macedonia_Macedonian_Railways_412</v>
      </c>
      <c r="F546" t="str">
        <f>"str_"&amp;Table1[[#This Row],[VEHIDCODE]]</f>
        <v>str_emu_Macedonia_Macedonian_Railways_412</v>
      </c>
      <c r="H546" t="b">
        <v>1</v>
      </c>
      <c r="AJ546" s="2"/>
      <c r="AK546" s="2" t="b">
        <f>LEN(_xlfn.CONCAT(Table1[[#This Row],[TRACK_TYPE_STANDARD_GAUGE_RAILTYPE_OHLE]:[TRACK_TYPE_MTRO]]))&gt;0</f>
        <v>1</v>
      </c>
      <c r="AL546">
        <v>8</v>
      </c>
      <c r="AM546" t="s">
        <v>18</v>
      </c>
      <c r="AN546">
        <v>1</v>
      </c>
      <c r="AO546" t="s">
        <v>74</v>
      </c>
      <c r="AP546">
        <v>68</v>
      </c>
      <c r="AQ546">
        <v>1980</v>
      </c>
      <c r="AR546">
        <v>8</v>
      </c>
      <c r="AS546" s="2" t="s">
        <v>24</v>
      </c>
      <c r="AT546" t="b">
        <v>1</v>
      </c>
      <c r="AU546" t="b">
        <v>1</v>
      </c>
      <c r="AV546" s="2"/>
      <c r="AW546">
        <v>45</v>
      </c>
      <c r="AX546">
        <v>1</v>
      </c>
      <c r="AY546">
        <v>340</v>
      </c>
      <c r="AZ546" t="s">
        <v>709</v>
      </c>
      <c r="BA546">
        <v>120</v>
      </c>
      <c r="BB546" s="2">
        <v>0.15</v>
      </c>
      <c r="BC546" t="s">
        <v>924</v>
      </c>
      <c r="BD546" t="s">
        <v>922</v>
      </c>
      <c r="BE546" t="s">
        <v>940</v>
      </c>
      <c r="BF546" s="7">
        <v>25</v>
      </c>
      <c r="BG5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6">
        <v>0</v>
      </c>
      <c r="BI546" t="s">
        <v>734</v>
      </c>
      <c r="BJ546" s="11">
        <v>68</v>
      </c>
      <c r="BK546" s="11">
        <v>8</v>
      </c>
      <c r="BL546" s="11">
        <v>60</v>
      </c>
      <c r="BM546">
        <v>0</v>
      </c>
      <c r="BN546" t="s">
        <v>692</v>
      </c>
      <c r="BO546" t="s">
        <v>694</v>
      </c>
      <c r="BP546" t="s">
        <v>701</v>
      </c>
      <c r="BQ546" t="s">
        <v>705</v>
      </c>
      <c r="BR546" t="s">
        <v>706</v>
      </c>
      <c r="BS546" t="s">
        <v>707</v>
      </c>
      <c r="CR546"/>
      <c r="CS546"/>
      <c r="CT546"/>
    </row>
    <row r="547" spans="1:98" x14ac:dyDescent="0.4">
      <c r="A547" s="2" t="s">
        <v>575</v>
      </c>
      <c r="B547" t="str">
        <f>_xlfn.TEXTAFTER(Table1[[#This Row],[VEHIDCODE]],"_")</f>
        <v>Romania_CFR_58</v>
      </c>
      <c r="C547" t="s">
        <v>744</v>
      </c>
      <c r="D547" t="b">
        <f>OR(ISNUMBER(SEARCH("wagon_",Table1[[#This Row],[FILENAMES_EXPECTED]])),ISNUMBER(SEARCH("coach_",Table1[[#This Row],[FILENAMES_EXPECTED]])))</f>
        <v>0</v>
      </c>
      <c r="E547" t="str">
        <f>"item_"&amp;Table1[[#This Row],[VEHIDCODE]]</f>
        <v>item_emu_Romania_CFR_58</v>
      </c>
      <c r="F547" t="str">
        <f>"str_"&amp;Table1[[#This Row],[VEHIDCODE]]</f>
        <v>str_emu_Romania_CFR_58</v>
      </c>
      <c r="H547" t="b">
        <v>1</v>
      </c>
      <c r="AJ547" s="2"/>
      <c r="AK547" s="2" t="b">
        <f>LEN(_xlfn.CONCAT(Table1[[#This Row],[TRACK_TYPE_STANDARD_GAUGE_RAILTYPE_OHLE]:[TRACK_TYPE_MTRO]]))&gt;0</f>
        <v>1</v>
      </c>
      <c r="AL547">
        <v>8</v>
      </c>
      <c r="AM547" t="s">
        <v>18</v>
      </c>
      <c r="AN547">
        <v>1</v>
      </c>
      <c r="AO547" t="s">
        <v>74</v>
      </c>
      <c r="AP547">
        <v>100</v>
      </c>
      <c r="AQ547">
        <v>1965</v>
      </c>
      <c r="AR547">
        <v>8</v>
      </c>
      <c r="AS547" s="2" t="s">
        <v>24</v>
      </c>
      <c r="AT547" t="b">
        <v>1</v>
      </c>
      <c r="AU547" t="b">
        <v>1</v>
      </c>
      <c r="AV547" s="2"/>
      <c r="AW547">
        <v>45</v>
      </c>
      <c r="AX547">
        <v>1</v>
      </c>
      <c r="AY547">
        <v>824</v>
      </c>
      <c r="AZ547" t="s">
        <v>709</v>
      </c>
      <c r="BA547">
        <v>120</v>
      </c>
      <c r="BB547" s="2">
        <v>0.42</v>
      </c>
      <c r="BC547" t="s">
        <v>929</v>
      </c>
      <c r="BD547" t="s">
        <v>922</v>
      </c>
      <c r="BE547" t="s">
        <v>940</v>
      </c>
      <c r="BF547" s="7">
        <v>40</v>
      </c>
      <c r="BG5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7">
        <v>0</v>
      </c>
      <c r="BI547" t="s">
        <v>734</v>
      </c>
      <c r="BJ547" s="11">
        <v>100</v>
      </c>
      <c r="BK547" s="11">
        <v>8</v>
      </c>
      <c r="BL547" s="11">
        <v>35</v>
      </c>
      <c r="BM547">
        <v>0</v>
      </c>
      <c r="BN547" t="s">
        <v>692</v>
      </c>
      <c r="BO547" t="s">
        <v>694</v>
      </c>
      <c r="BP547" t="s">
        <v>701</v>
      </c>
      <c r="BQ547" t="s">
        <v>705</v>
      </c>
      <c r="BR547" t="s">
        <v>706</v>
      </c>
      <c r="BS547" t="s">
        <v>707</v>
      </c>
      <c r="CR547"/>
      <c r="CS547"/>
      <c r="CT547"/>
    </row>
    <row r="548" spans="1:98" x14ac:dyDescent="0.4">
      <c r="A548" s="2" t="s">
        <v>576</v>
      </c>
      <c r="B548" t="str">
        <f>_xlfn.TEXTAFTER(Table1[[#This Row],[VEHIDCODE]],"_")</f>
        <v>South_Africa_Gautrain_Electrostar</v>
      </c>
      <c r="C548" t="s">
        <v>744</v>
      </c>
      <c r="D548" t="b">
        <f>OR(ISNUMBER(SEARCH("wagon_",Table1[[#This Row],[FILENAMES_EXPECTED]])),ISNUMBER(SEARCH("coach_",Table1[[#This Row],[FILENAMES_EXPECTED]])))</f>
        <v>0</v>
      </c>
      <c r="E548" t="str">
        <f>"item_"&amp;Table1[[#This Row],[VEHIDCODE]]</f>
        <v>item_emu_South_Africa_Gautrain_Electrostar</v>
      </c>
      <c r="F548" t="str">
        <f>"str_"&amp;Table1[[#This Row],[VEHIDCODE]]</f>
        <v>str_emu_South_Africa_Gautrain_Electrostar</v>
      </c>
      <c r="H548" t="b">
        <v>1</v>
      </c>
      <c r="AJ548" s="2"/>
      <c r="AK548" s="2" t="b">
        <f>LEN(_xlfn.CONCAT(Table1[[#This Row],[TRACK_TYPE_STANDARD_GAUGE_RAILTYPE_OHLE]:[TRACK_TYPE_MTRO]]))&gt;0</f>
        <v>1</v>
      </c>
      <c r="AL548">
        <v>8</v>
      </c>
      <c r="AM548" t="s">
        <v>18</v>
      </c>
      <c r="AN548">
        <v>1</v>
      </c>
      <c r="AO548" t="s">
        <v>74</v>
      </c>
      <c r="AP548">
        <v>52</v>
      </c>
      <c r="AQ548">
        <v>2010</v>
      </c>
      <c r="AR548">
        <v>8</v>
      </c>
      <c r="AS548" s="2" t="s">
        <v>480</v>
      </c>
      <c r="AT548" t="b">
        <v>1</v>
      </c>
      <c r="AU548" t="b">
        <v>1</v>
      </c>
      <c r="AV548" s="2"/>
      <c r="AW548" t="s">
        <v>21</v>
      </c>
      <c r="AX548">
        <v>1</v>
      </c>
      <c r="AY548">
        <v>553</v>
      </c>
      <c r="AZ548" t="s">
        <v>709</v>
      </c>
      <c r="BA548">
        <v>160</v>
      </c>
      <c r="BB548" s="2">
        <v>0.3</v>
      </c>
      <c r="BC548" t="s">
        <v>926</v>
      </c>
      <c r="BD548" t="s">
        <v>922</v>
      </c>
      <c r="BE548" t="s">
        <v>940</v>
      </c>
      <c r="BF548" s="7">
        <v>25</v>
      </c>
      <c r="BG5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8">
        <v>0</v>
      </c>
      <c r="BI548" t="s">
        <v>734</v>
      </c>
      <c r="BJ548" s="11">
        <v>52</v>
      </c>
      <c r="BK548" s="11">
        <v>8</v>
      </c>
      <c r="BL548" s="11">
        <v>42</v>
      </c>
      <c r="BM548">
        <v>0</v>
      </c>
      <c r="BN548" t="s">
        <v>692</v>
      </c>
      <c r="BO548" t="s">
        <v>694</v>
      </c>
      <c r="BP548" t="s">
        <v>701</v>
      </c>
      <c r="BQ548" t="s">
        <v>705</v>
      </c>
      <c r="BR548" t="s">
        <v>706</v>
      </c>
      <c r="BS548" t="s">
        <v>707</v>
      </c>
      <c r="CR548"/>
      <c r="CS548"/>
      <c r="CT548"/>
    </row>
    <row r="549" spans="1:98" x14ac:dyDescent="0.4">
      <c r="A549" s="2" t="s">
        <v>577</v>
      </c>
      <c r="B549" t="str">
        <f>_xlfn.TEXTAFTER(Table1[[#This Row],[VEHIDCODE]],"_")</f>
        <v>Turkey_TCDD_E8000</v>
      </c>
      <c r="C549" t="s">
        <v>744</v>
      </c>
      <c r="D549" t="b">
        <f>OR(ISNUMBER(SEARCH("wagon_",Table1[[#This Row],[FILENAMES_EXPECTED]])),ISNUMBER(SEARCH("coach_",Table1[[#This Row],[FILENAMES_EXPECTED]])))</f>
        <v>0</v>
      </c>
      <c r="E549" t="str">
        <f>"item_"&amp;Table1[[#This Row],[VEHIDCODE]]</f>
        <v>item_emu_Turkey_TCDD_E8000</v>
      </c>
      <c r="F549" t="str">
        <f>"str_"&amp;Table1[[#This Row],[VEHIDCODE]]</f>
        <v>str_emu_Turkey_TCDD_E8000</v>
      </c>
      <c r="H549" t="b">
        <v>1</v>
      </c>
      <c r="AJ549" s="2"/>
      <c r="AK549" s="2" t="b">
        <f>LEN(_xlfn.CONCAT(Table1[[#This Row],[TRACK_TYPE_STANDARD_GAUGE_RAILTYPE_OHLE]:[TRACK_TYPE_MTRO]]))&gt;0</f>
        <v>1</v>
      </c>
      <c r="AL549">
        <v>8</v>
      </c>
      <c r="AM549" t="s">
        <v>18</v>
      </c>
      <c r="AN549">
        <v>1</v>
      </c>
      <c r="AO549" t="s">
        <v>74</v>
      </c>
      <c r="AP549">
        <v>81</v>
      </c>
      <c r="AQ549">
        <v>1955</v>
      </c>
      <c r="AR549">
        <v>8</v>
      </c>
      <c r="AS549" s="2" t="s">
        <v>24</v>
      </c>
      <c r="AT549" t="b">
        <v>1</v>
      </c>
      <c r="AU549" t="b">
        <v>1</v>
      </c>
      <c r="AV549" s="2"/>
      <c r="AW549">
        <v>45</v>
      </c>
      <c r="AX549">
        <v>1</v>
      </c>
      <c r="AY549">
        <v>550</v>
      </c>
      <c r="AZ549" t="s">
        <v>709</v>
      </c>
      <c r="BA549">
        <v>110</v>
      </c>
      <c r="BB549" s="2">
        <v>0.2</v>
      </c>
      <c r="BC549" t="s">
        <v>931</v>
      </c>
      <c r="BD549" t="s">
        <v>922</v>
      </c>
      <c r="BE549" t="s">
        <v>940</v>
      </c>
      <c r="BF549" s="7">
        <v>25</v>
      </c>
      <c r="BG5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49">
        <v>0</v>
      </c>
      <c r="BI549" t="s">
        <v>734</v>
      </c>
      <c r="BJ549" s="11">
        <v>81</v>
      </c>
      <c r="BK549" s="11">
        <v>8</v>
      </c>
      <c r="BL549" s="11">
        <v>40</v>
      </c>
      <c r="BM549">
        <v>0</v>
      </c>
      <c r="BN549" t="s">
        <v>692</v>
      </c>
      <c r="BO549" t="s">
        <v>694</v>
      </c>
      <c r="BP549" t="s">
        <v>701</v>
      </c>
      <c r="BQ549" t="s">
        <v>705</v>
      </c>
      <c r="BR549" t="s">
        <v>706</v>
      </c>
      <c r="BS549" t="s">
        <v>707</v>
      </c>
      <c r="CR549"/>
      <c r="CS549"/>
      <c r="CT549"/>
    </row>
    <row r="550" spans="1:98" x14ac:dyDescent="0.4">
      <c r="A550" s="2" t="s">
        <v>578</v>
      </c>
      <c r="B550" t="str">
        <f>_xlfn.TEXTAFTER(Table1[[#This Row],[VEHIDCODE]],"_")</f>
        <v>China_Railways_CHR380A</v>
      </c>
      <c r="C550" t="s">
        <v>744</v>
      </c>
      <c r="D550" t="b">
        <f>OR(ISNUMBER(SEARCH("wagon_",Table1[[#This Row],[FILENAMES_EXPECTED]])),ISNUMBER(SEARCH("coach_",Table1[[#This Row],[FILENAMES_EXPECTED]])))</f>
        <v>0</v>
      </c>
      <c r="E550" t="str">
        <f>"item_"&amp;Table1[[#This Row],[VEHIDCODE]]</f>
        <v>item_emu_China_Railways_CHR380A</v>
      </c>
      <c r="F550" t="str">
        <f>"str_"&amp;Table1[[#This Row],[VEHIDCODE]]</f>
        <v>str_emu_China_Railways_CHR380A</v>
      </c>
      <c r="H550" t="b">
        <v>1</v>
      </c>
      <c r="AJ550" s="2"/>
      <c r="AK550" s="2" t="b">
        <f>LEN(_xlfn.CONCAT(Table1[[#This Row],[TRACK_TYPE_STANDARD_GAUGE_RAILTYPE_OHLE]:[TRACK_TYPE_MTRO]]))&gt;0</f>
        <v>1</v>
      </c>
      <c r="AL550">
        <v>8</v>
      </c>
      <c r="AM550" t="s">
        <v>18</v>
      </c>
      <c r="AN550">
        <v>1</v>
      </c>
      <c r="AO550" t="s">
        <v>74</v>
      </c>
      <c r="AP550">
        <v>70</v>
      </c>
      <c r="AQ550">
        <v>2010</v>
      </c>
      <c r="AR550">
        <v>8</v>
      </c>
      <c r="AS550" s="2" t="s">
        <v>24</v>
      </c>
      <c r="AT550" t="b">
        <v>1</v>
      </c>
      <c r="AU550" t="b">
        <v>1</v>
      </c>
      <c r="AV550" s="2"/>
      <c r="AW550" t="s">
        <v>21</v>
      </c>
      <c r="AX550">
        <v>1</v>
      </c>
      <c r="AY550">
        <v>6450</v>
      </c>
      <c r="AZ550" t="s">
        <v>709</v>
      </c>
      <c r="BA550">
        <v>380</v>
      </c>
      <c r="BB550" s="2">
        <v>0.14000000000000001</v>
      </c>
      <c r="BC550" t="s">
        <v>931</v>
      </c>
      <c r="BD550" t="s">
        <v>922</v>
      </c>
      <c r="BE550" t="s">
        <v>940</v>
      </c>
      <c r="BF550" s="7">
        <v>25</v>
      </c>
      <c r="BG5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0">
        <v>0</v>
      </c>
      <c r="BI550" t="s">
        <v>734</v>
      </c>
      <c r="BJ550" s="11">
        <v>70</v>
      </c>
      <c r="BK550" s="11">
        <v>8</v>
      </c>
      <c r="BL550" s="11">
        <v>48</v>
      </c>
      <c r="BM550">
        <v>0</v>
      </c>
      <c r="BN550" t="s">
        <v>692</v>
      </c>
      <c r="BO550" t="s">
        <v>694</v>
      </c>
      <c r="BP550" t="s">
        <v>701</v>
      </c>
      <c r="BQ550" t="s">
        <v>705</v>
      </c>
      <c r="BR550" t="s">
        <v>706</v>
      </c>
      <c r="BS550" t="s">
        <v>707</v>
      </c>
      <c r="CR550"/>
      <c r="CS550"/>
      <c r="CT550"/>
    </row>
    <row r="551" spans="1:98" x14ac:dyDescent="0.4">
      <c r="A551" s="2" t="s">
        <v>579</v>
      </c>
      <c r="B551" t="str">
        <f>_xlfn.TEXTAFTER(Table1[[#This Row],[VEHIDCODE]],"_")</f>
        <v>USA_PRR_MP54</v>
      </c>
      <c r="C551" t="s">
        <v>744</v>
      </c>
      <c r="D551" t="b">
        <f>OR(ISNUMBER(SEARCH("wagon_",Table1[[#This Row],[FILENAMES_EXPECTED]])),ISNUMBER(SEARCH("coach_",Table1[[#This Row],[FILENAMES_EXPECTED]])))</f>
        <v>0</v>
      </c>
      <c r="E551" t="str">
        <f>"item_"&amp;Table1[[#This Row],[VEHIDCODE]]</f>
        <v>item_emu_USA_PRR_MP54</v>
      </c>
      <c r="F551" t="str">
        <f>"str_"&amp;Table1[[#This Row],[VEHIDCODE]]</f>
        <v>str_emu_USA_PRR_MP54</v>
      </c>
      <c r="G551" t="b">
        <v>1</v>
      </c>
      <c r="N551" t="b">
        <v>1</v>
      </c>
      <c r="AJ551" s="2"/>
      <c r="AK551" s="2" t="b">
        <f>LEN(_xlfn.CONCAT(Table1[[#This Row],[TRACK_TYPE_STANDARD_GAUGE_RAILTYPE_OHLE]:[TRACK_TYPE_MTRO]]))&gt;0</f>
        <v>1</v>
      </c>
      <c r="AL551">
        <v>8</v>
      </c>
      <c r="AM551" t="s">
        <v>18</v>
      </c>
      <c r="AN551">
        <v>1</v>
      </c>
      <c r="AO551" t="s">
        <v>74</v>
      </c>
      <c r="AP551">
        <v>72</v>
      </c>
      <c r="AQ551">
        <v>1908</v>
      </c>
      <c r="AR551">
        <v>8</v>
      </c>
      <c r="AS551" s="2" t="s">
        <v>24</v>
      </c>
      <c r="AT551" t="b">
        <v>1</v>
      </c>
      <c r="AU551" t="b">
        <v>1</v>
      </c>
      <c r="AV551" s="2"/>
      <c r="AW551">
        <v>45</v>
      </c>
      <c r="AX551">
        <v>1</v>
      </c>
      <c r="AY551">
        <v>450</v>
      </c>
      <c r="AZ551" t="s">
        <v>709</v>
      </c>
      <c r="BA551">
        <v>105</v>
      </c>
      <c r="BB551" s="2">
        <v>0.22</v>
      </c>
      <c r="BC551" t="s">
        <v>928</v>
      </c>
      <c r="BD551" t="s">
        <v>922</v>
      </c>
      <c r="BE551" t="s">
        <v>940</v>
      </c>
      <c r="BF551" s="7">
        <v>25</v>
      </c>
      <c r="BG5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1">
        <v>0</v>
      </c>
      <c r="BI551" t="s">
        <v>734</v>
      </c>
      <c r="BJ551" s="11">
        <v>72</v>
      </c>
      <c r="BK551" s="11">
        <v>8</v>
      </c>
      <c r="BL551" s="11">
        <v>68</v>
      </c>
      <c r="BM551">
        <v>0</v>
      </c>
      <c r="BN551" t="s">
        <v>692</v>
      </c>
      <c r="BO551" t="s">
        <v>694</v>
      </c>
      <c r="BP551" t="s">
        <v>701</v>
      </c>
      <c r="BQ551" t="s">
        <v>705</v>
      </c>
      <c r="BR551" t="s">
        <v>706</v>
      </c>
      <c r="BS551" t="s">
        <v>707</v>
      </c>
      <c r="CR551"/>
      <c r="CS551"/>
      <c r="CT551"/>
    </row>
    <row r="552" spans="1:98" x14ac:dyDescent="0.4">
      <c r="A552" s="2" t="s">
        <v>580</v>
      </c>
      <c r="B552" t="str">
        <f>_xlfn.TEXTAFTER(Table1[[#This Row],[VEHIDCODE]],"_")</f>
        <v>Italy_NTV_AGV</v>
      </c>
      <c r="C552" t="s">
        <v>744</v>
      </c>
      <c r="D552" t="b">
        <f>OR(ISNUMBER(SEARCH("wagon_",Table1[[#This Row],[FILENAMES_EXPECTED]])),ISNUMBER(SEARCH("coach_",Table1[[#This Row],[FILENAMES_EXPECTED]])))</f>
        <v>0</v>
      </c>
      <c r="E552" t="str">
        <f>"item_"&amp;Table1[[#This Row],[VEHIDCODE]]</f>
        <v>item_emu_Italy_NTV_AGV</v>
      </c>
      <c r="F552" t="str">
        <f>"str_"&amp;Table1[[#This Row],[VEHIDCODE]]</f>
        <v>str_emu_Italy_NTV_AGV</v>
      </c>
      <c r="G552" t="b">
        <v>1</v>
      </c>
      <c r="AJ552" s="2"/>
      <c r="AK552" s="2" t="b">
        <f>LEN(_xlfn.CONCAT(Table1[[#This Row],[TRACK_TYPE_STANDARD_GAUGE_RAILTYPE_OHLE]:[TRACK_TYPE_MTRO]]))&gt;0</f>
        <v>1</v>
      </c>
      <c r="AL552">
        <v>8</v>
      </c>
      <c r="AM552" t="s">
        <v>18</v>
      </c>
      <c r="AN552">
        <v>1</v>
      </c>
      <c r="AO552" t="s">
        <v>74</v>
      </c>
      <c r="AP552">
        <v>42</v>
      </c>
      <c r="AQ552">
        <v>2011</v>
      </c>
      <c r="AR552">
        <v>8</v>
      </c>
      <c r="AS552" s="2" t="s">
        <v>480</v>
      </c>
      <c r="AT552" t="b">
        <v>1</v>
      </c>
      <c r="AU552" t="b">
        <v>1</v>
      </c>
      <c r="AV552" s="2"/>
      <c r="AW552" t="s">
        <v>21</v>
      </c>
      <c r="AX552">
        <v>1</v>
      </c>
      <c r="AY552">
        <v>1150</v>
      </c>
      <c r="AZ552" t="s">
        <v>709</v>
      </c>
      <c r="BA552">
        <v>360</v>
      </c>
      <c r="BB552" s="2">
        <v>0.9</v>
      </c>
      <c r="BC552" t="s">
        <v>924</v>
      </c>
      <c r="BD552" t="s">
        <v>922</v>
      </c>
      <c r="BE552" t="s">
        <v>940</v>
      </c>
      <c r="BF552" s="7">
        <v>25</v>
      </c>
      <c r="BG5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2">
        <v>0</v>
      </c>
      <c r="BI552" t="s">
        <v>734</v>
      </c>
      <c r="BJ552" s="11">
        <v>42</v>
      </c>
      <c r="BK552" s="11">
        <v>7</v>
      </c>
      <c r="BL552" s="11">
        <v>30</v>
      </c>
      <c r="BM552">
        <v>0</v>
      </c>
      <c r="BN552" t="s">
        <v>692</v>
      </c>
      <c r="BO552" t="s">
        <v>694</v>
      </c>
      <c r="BP552" t="s">
        <v>701</v>
      </c>
      <c r="BQ552" t="s">
        <v>705</v>
      </c>
      <c r="BR552" t="s">
        <v>706</v>
      </c>
      <c r="BS552" t="s">
        <v>707</v>
      </c>
      <c r="CR552"/>
      <c r="CS552"/>
      <c r="CT552"/>
    </row>
    <row r="553" spans="1:98" x14ac:dyDescent="0.4">
      <c r="A553" s="2" t="s">
        <v>581</v>
      </c>
      <c r="B553" t="str">
        <f>_xlfn.TEXTAFTER(Table1[[#This Row],[VEHIDCODE]],"_")</f>
        <v>Italy_NTV_AGV_Duplex</v>
      </c>
      <c r="C553" t="s">
        <v>744</v>
      </c>
      <c r="D553" t="b">
        <f>OR(ISNUMBER(SEARCH("wagon_",Table1[[#This Row],[FILENAMES_EXPECTED]])),ISNUMBER(SEARCH("coach_",Table1[[#This Row],[FILENAMES_EXPECTED]])))</f>
        <v>0</v>
      </c>
      <c r="E553" t="str">
        <f>"item_"&amp;Table1[[#This Row],[VEHIDCODE]]</f>
        <v>item_emu_Italy_NTV_AGV_Duplex</v>
      </c>
      <c r="F553" t="str">
        <f>"str_"&amp;Table1[[#This Row],[VEHIDCODE]]</f>
        <v>str_emu_Italy_NTV_AGV_Duplex</v>
      </c>
      <c r="G553" t="b">
        <v>1</v>
      </c>
      <c r="AJ553" s="2"/>
      <c r="AK553" s="2" t="b">
        <f>LEN(_xlfn.CONCAT(Table1[[#This Row],[TRACK_TYPE_STANDARD_GAUGE_RAILTYPE_OHLE]:[TRACK_TYPE_MTRO]]))&gt;0</f>
        <v>1</v>
      </c>
      <c r="AL553">
        <v>8</v>
      </c>
      <c r="AM553" t="s">
        <v>18</v>
      </c>
      <c r="AN553">
        <v>1</v>
      </c>
      <c r="AO553" t="s">
        <v>74</v>
      </c>
      <c r="AP553">
        <v>67</v>
      </c>
      <c r="AQ553">
        <v>2015</v>
      </c>
      <c r="AR553">
        <v>8</v>
      </c>
      <c r="AS553" s="2" t="s">
        <v>480</v>
      </c>
      <c r="AT553" t="b">
        <v>1</v>
      </c>
      <c r="AU553" t="b">
        <v>1</v>
      </c>
      <c r="AV553" s="2"/>
      <c r="AW553" t="s">
        <v>21</v>
      </c>
      <c r="AX553">
        <v>1</v>
      </c>
      <c r="AY553">
        <v>1750</v>
      </c>
      <c r="AZ553" t="s">
        <v>709</v>
      </c>
      <c r="BA553">
        <v>360</v>
      </c>
      <c r="BB553" s="2">
        <v>0.83</v>
      </c>
      <c r="BC553" t="s">
        <v>924</v>
      </c>
      <c r="BD553" t="s">
        <v>922</v>
      </c>
      <c r="BE553" t="s">
        <v>940</v>
      </c>
      <c r="BF553" s="7">
        <v>25</v>
      </c>
      <c r="BG5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3">
        <v>0</v>
      </c>
      <c r="BI553" t="s">
        <v>734</v>
      </c>
      <c r="BJ553" s="11">
        <v>67</v>
      </c>
      <c r="BK553" s="11">
        <v>7</v>
      </c>
      <c r="BL553" s="11">
        <v>44</v>
      </c>
      <c r="BM553">
        <v>0</v>
      </c>
      <c r="BN553" t="s">
        <v>692</v>
      </c>
      <c r="BO553" t="s">
        <v>694</v>
      </c>
      <c r="BP553" t="s">
        <v>701</v>
      </c>
      <c r="BQ553" t="s">
        <v>705</v>
      </c>
      <c r="BR553" t="s">
        <v>706</v>
      </c>
      <c r="BS553" t="s">
        <v>707</v>
      </c>
      <c r="CR553"/>
      <c r="CS553"/>
      <c r="CT553"/>
    </row>
    <row r="554" spans="1:98" x14ac:dyDescent="0.4">
      <c r="A554" s="2" t="s">
        <v>582</v>
      </c>
      <c r="B554" t="str">
        <f>_xlfn.TEXTAFTER(Table1[[#This Row],[VEHIDCODE]],"_")</f>
        <v>Netherlands_NS_Hispeed_V250_Albatros</v>
      </c>
      <c r="C554" t="s">
        <v>744</v>
      </c>
      <c r="D554" t="b">
        <f>OR(ISNUMBER(SEARCH("wagon_",Table1[[#This Row],[FILENAMES_EXPECTED]])),ISNUMBER(SEARCH("coach_",Table1[[#This Row],[FILENAMES_EXPECTED]])))</f>
        <v>0</v>
      </c>
      <c r="E554" t="str">
        <f>"item_"&amp;Table1[[#This Row],[VEHIDCODE]]</f>
        <v>item_emu_Netherlands_NS_Hispeed_V250_Albatros</v>
      </c>
      <c r="F554" t="str">
        <f>"str_"&amp;Table1[[#This Row],[VEHIDCODE]]</f>
        <v>str_emu_Netherlands_NS_Hispeed_V250_Albatros</v>
      </c>
      <c r="G554" t="b">
        <v>1</v>
      </c>
      <c r="AJ554" s="2"/>
      <c r="AK554" s="2" t="b">
        <f>LEN(_xlfn.CONCAT(Table1[[#This Row],[TRACK_TYPE_STANDARD_GAUGE_RAILTYPE_OHLE]:[TRACK_TYPE_MTRO]]))&gt;0</f>
        <v>1</v>
      </c>
      <c r="AL554">
        <v>8</v>
      </c>
      <c r="AM554" t="s">
        <v>18</v>
      </c>
      <c r="AN554">
        <v>1</v>
      </c>
      <c r="AO554" t="s">
        <v>74</v>
      </c>
      <c r="AP554">
        <v>71</v>
      </c>
      <c r="AQ554">
        <v>2012</v>
      </c>
      <c r="AR554">
        <v>8</v>
      </c>
      <c r="AS554" s="2" t="s">
        <v>24</v>
      </c>
      <c r="AT554" t="b">
        <v>1</v>
      </c>
      <c r="AU554" t="b">
        <v>1</v>
      </c>
      <c r="AV554" s="2"/>
      <c r="AW554" t="s">
        <v>21</v>
      </c>
      <c r="AX554">
        <v>1</v>
      </c>
      <c r="AY554">
        <v>1850</v>
      </c>
      <c r="AZ554" t="s">
        <v>709</v>
      </c>
      <c r="BA554">
        <v>251</v>
      </c>
      <c r="BB554" s="2">
        <v>0.52</v>
      </c>
      <c r="BC554" t="s">
        <v>923</v>
      </c>
      <c r="BD554" t="s">
        <v>922</v>
      </c>
      <c r="BE554" t="s">
        <v>940</v>
      </c>
      <c r="BF554" s="7">
        <v>25</v>
      </c>
      <c r="BG5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4">
        <v>0</v>
      </c>
      <c r="BI554" t="s">
        <v>734</v>
      </c>
      <c r="BJ554" s="11">
        <v>71</v>
      </c>
      <c r="BK554" s="11">
        <v>8</v>
      </c>
      <c r="BL554" s="11">
        <v>58</v>
      </c>
      <c r="BM554">
        <v>0</v>
      </c>
      <c r="BN554" t="s">
        <v>692</v>
      </c>
      <c r="BO554" t="s">
        <v>694</v>
      </c>
      <c r="BP554" t="s">
        <v>701</v>
      </c>
      <c r="BQ554" t="s">
        <v>705</v>
      </c>
      <c r="BR554" t="s">
        <v>706</v>
      </c>
      <c r="BS554" t="s">
        <v>707</v>
      </c>
      <c r="CR554"/>
      <c r="CS554"/>
      <c r="CT554"/>
    </row>
    <row r="555" spans="1:98" x14ac:dyDescent="0.4">
      <c r="A555" s="2" t="s">
        <v>583</v>
      </c>
      <c r="B555" t="str">
        <f>_xlfn.TEXTAFTER(Table1[[#This Row],[VEHIDCODE]],"_")</f>
        <v>Netherlands_NS_4800_HSA</v>
      </c>
      <c r="C555" t="s">
        <v>744</v>
      </c>
      <c r="D555" t="b">
        <f>OR(ISNUMBER(SEARCH("wagon_",Table1[[#This Row],[FILENAMES_EXPECTED]])),ISNUMBER(SEARCH("coach_",Table1[[#This Row],[FILENAMES_EXPECTED]])))</f>
        <v>0</v>
      </c>
      <c r="E555" t="str">
        <f>"item_"&amp;Table1[[#This Row],[VEHIDCODE]]</f>
        <v>item_emu_Netherlands_NS_4800_HSA</v>
      </c>
      <c r="F555" t="str">
        <f>"str_"&amp;Table1[[#This Row],[VEHIDCODE]]</f>
        <v>str_emu_Netherlands_NS_4800_HSA</v>
      </c>
      <c r="G555" t="b">
        <v>1</v>
      </c>
      <c r="AJ555" s="2"/>
      <c r="AK555" s="2" t="b">
        <f>LEN(_xlfn.CONCAT(Table1[[#This Row],[TRACK_TYPE_STANDARD_GAUGE_RAILTYPE_OHLE]:[TRACK_TYPE_MTRO]]))&gt;0</f>
        <v>1</v>
      </c>
      <c r="AL555">
        <v>8</v>
      </c>
      <c r="AM555" t="s">
        <v>18</v>
      </c>
      <c r="AN555">
        <v>1</v>
      </c>
      <c r="AO555" t="s">
        <v>74</v>
      </c>
      <c r="AP555">
        <v>42</v>
      </c>
      <c r="AQ555">
        <v>2012</v>
      </c>
      <c r="AR555">
        <v>8</v>
      </c>
      <c r="AS555" s="2" t="s">
        <v>480</v>
      </c>
      <c r="AT555" t="b">
        <v>1</v>
      </c>
      <c r="AU555" t="b">
        <v>1</v>
      </c>
      <c r="AV555" s="2"/>
      <c r="AW555" t="s">
        <v>21</v>
      </c>
      <c r="AX555">
        <v>1</v>
      </c>
      <c r="AY555">
        <v>1000</v>
      </c>
      <c r="AZ555" t="s">
        <v>709</v>
      </c>
      <c r="BA555">
        <v>300</v>
      </c>
      <c r="BB555" s="2">
        <v>0.8</v>
      </c>
      <c r="BC555" t="s">
        <v>923</v>
      </c>
      <c r="BD555" t="s">
        <v>922</v>
      </c>
      <c r="BE555" t="s">
        <v>941</v>
      </c>
      <c r="BF555" s="7">
        <v>25</v>
      </c>
      <c r="BG5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5">
        <v>0</v>
      </c>
      <c r="BI555" t="s">
        <v>734</v>
      </c>
      <c r="BJ555" s="11">
        <v>42</v>
      </c>
      <c r="BK555" s="11">
        <v>8</v>
      </c>
      <c r="BL555" s="11">
        <v>35</v>
      </c>
      <c r="BM555">
        <v>0</v>
      </c>
      <c r="BN555" t="s">
        <v>692</v>
      </c>
      <c r="BO555" t="s">
        <v>694</v>
      </c>
      <c r="BP555" t="s">
        <v>701</v>
      </c>
      <c r="BQ555" t="s">
        <v>705</v>
      </c>
      <c r="BR555" t="s">
        <v>706</v>
      </c>
      <c r="BS555" t="s">
        <v>707</v>
      </c>
      <c r="CR555"/>
      <c r="CS555"/>
      <c r="CT555"/>
    </row>
    <row r="556" spans="1:98" x14ac:dyDescent="0.4">
      <c r="A556" s="2" t="s">
        <v>584</v>
      </c>
      <c r="B556" t="str">
        <f>_xlfn.TEXTAFTER(Table1[[#This Row],[VEHIDCODE]],"_")</f>
        <v>Switzerland_SBB_Rae_TEE_II</v>
      </c>
      <c r="C556" t="s">
        <v>744</v>
      </c>
      <c r="D556" t="b">
        <f>OR(ISNUMBER(SEARCH("wagon_",Table1[[#This Row],[FILENAMES_EXPECTED]])),ISNUMBER(SEARCH("coach_",Table1[[#This Row],[FILENAMES_EXPECTED]])))</f>
        <v>0</v>
      </c>
      <c r="E556" t="str">
        <f>"item_"&amp;Table1[[#This Row],[VEHIDCODE]]</f>
        <v>item_emu_Switzerland_SBB_Rae_TEE_II</v>
      </c>
      <c r="F556" t="str">
        <f>"str_"&amp;Table1[[#This Row],[VEHIDCODE]]</f>
        <v>str_emu_Switzerland_SBB_Rae_TEE_II</v>
      </c>
      <c r="G556" t="b">
        <v>1</v>
      </c>
      <c r="AJ556" s="2"/>
      <c r="AK556" s="2" t="b">
        <f>LEN(_xlfn.CONCAT(Table1[[#This Row],[TRACK_TYPE_STANDARD_GAUGE_RAILTYPE_OHLE]:[TRACK_TYPE_MTRO]]))&gt;0</f>
        <v>1</v>
      </c>
      <c r="AL556">
        <v>8</v>
      </c>
      <c r="AM556" t="s">
        <v>18</v>
      </c>
      <c r="AN556">
        <v>1</v>
      </c>
      <c r="AO556" t="s">
        <v>74</v>
      </c>
      <c r="AP556">
        <v>60</v>
      </c>
      <c r="AQ556">
        <v>1961</v>
      </c>
      <c r="AR556">
        <v>8</v>
      </c>
      <c r="AS556" s="2" t="s">
        <v>480</v>
      </c>
      <c r="AT556" t="b">
        <v>1</v>
      </c>
      <c r="AU556" t="b">
        <v>1</v>
      </c>
      <c r="AV556" s="2"/>
      <c r="AW556">
        <v>45</v>
      </c>
      <c r="AX556">
        <v>1</v>
      </c>
      <c r="AY556">
        <v>425</v>
      </c>
      <c r="AZ556" t="s">
        <v>709</v>
      </c>
      <c r="BA556">
        <v>160</v>
      </c>
      <c r="BB556" s="2">
        <v>0.26</v>
      </c>
      <c r="BC556" t="s">
        <v>923</v>
      </c>
      <c r="BD556" t="s">
        <v>922</v>
      </c>
      <c r="BE556" t="s">
        <v>940</v>
      </c>
      <c r="BF556" s="7">
        <v>25</v>
      </c>
      <c r="BG5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6">
        <v>0</v>
      </c>
      <c r="BI556" t="s">
        <v>734</v>
      </c>
      <c r="BJ556" s="11">
        <v>60</v>
      </c>
      <c r="BK556" s="11">
        <v>8</v>
      </c>
      <c r="BL556" s="11">
        <v>47</v>
      </c>
      <c r="BM556">
        <v>0</v>
      </c>
      <c r="BN556" t="s">
        <v>692</v>
      </c>
      <c r="BO556" t="s">
        <v>694</v>
      </c>
      <c r="BP556" t="s">
        <v>701</v>
      </c>
      <c r="BQ556" t="s">
        <v>705</v>
      </c>
      <c r="BR556" t="s">
        <v>706</v>
      </c>
      <c r="BS556" t="s">
        <v>707</v>
      </c>
      <c r="CR556"/>
      <c r="CS556"/>
      <c r="CT556"/>
    </row>
    <row r="557" spans="1:98" x14ac:dyDescent="0.4">
      <c r="A557" s="2" t="s">
        <v>585</v>
      </c>
      <c r="B557" t="str">
        <f>_xlfn.TEXTAFTER(Table1[[#This Row],[VEHIDCODE]],"_")</f>
        <v>USA_Erie_Lackawanna_MU_Cars</v>
      </c>
      <c r="C557" t="s">
        <v>744</v>
      </c>
      <c r="D557" t="b">
        <f>OR(ISNUMBER(SEARCH("wagon_",Table1[[#This Row],[FILENAMES_EXPECTED]])),ISNUMBER(SEARCH("coach_",Table1[[#This Row],[FILENAMES_EXPECTED]])))</f>
        <v>0</v>
      </c>
      <c r="E557" t="str">
        <f>"item_"&amp;Table1[[#This Row],[VEHIDCODE]]</f>
        <v>item_emu_USA_Erie_Lackawanna_MU_Cars</v>
      </c>
      <c r="F557" t="str">
        <f>"str_"&amp;Table1[[#This Row],[VEHIDCODE]]</f>
        <v>str_emu_USA_Erie_Lackawanna_MU_Cars</v>
      </c>
      <c r="G557" t="b">
        <v>1</v>
      </c>
      <c r="AJ557" s="2"/>
      <c r="AK557" s="2" t="b">
        <f>LEN(_xlfn.CONCAT(Table1[[#This Row],[TRACK_TYPE_STANDARD_GAUGE_RAILTYPE_OHLE]:[TRACK_TYPE_MTRO]]))&gt;0</f>
        <v>1</v>
      </c>
      <c r="AL557">
        <v>8</v>
      </c>
      <c r="AM557" t="s">
        <v>18</v>
      </c>
      <c r="AN557">
        <v>1</v>
      </c>
      <c r="AO557" t="s">
        <v>74</v>
      </c>
      <c r="AP557">
        <v>58</v>
      </c>
      <c r="AQ557">
        <v>1930</v>
      </c>
      <c r="AR557">
        <v>8</v>
      </c>
      <c r="AS557" s="2" t="s">
        <v>24</v>
      </c>
      <c r="AT557" t="b">
        <v>1</v>
      </c>
      <c r="AU557" t="b">
        <v>1</v>
      </c>
      <c r="AV557" s="2"/>
      <c r="AW557">
        <v>45</v>
      </c>
      <c r="AX557">
        <v>1</v>
      </c>
      <c r="AY557">
        <v>510</v>
      </c>
      <c r="AZ557" t="s">
        <v>709</v>
      </c>
      <c r="BA557">
        <v>101</v>
      </c>
      <c r="BB557" s="2">
        <v>0.25</v>
      </c>
      <c r="BC557" t="s">
        <v>928</v>
      </c>
      <c r="BD557" t="s">
        <v>922</v>
      </c>
      <c r="BE557" t="s">
        <v>940</v>
      </c>
      <c r="BF557" s="7">
        <v>25</v>
      </c>
      <c r="BG5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7">
        <v>0</v>
      </c>
      <c r="BI557" t="s">
        <v>734</v>
      </c>
      <c r="BJ557" s="11">
        <v>58</v>
      </c>
      <c r="BK557" s="11">
        <v>8</v>
      </c>
      <c r="BL557" s="11">
        <v>51</v>
      </c>
      <c r="BM557">
        <v>0</v>
      </c>
      <c r="BN557" t="s">
        <v>692</v>
      </c>
      <c r="BO557" t="s">
        <v>694</v>
      </c>
      <c r="BP557" t="s">
        <v>701</v>
      </c>
      <c r="BQ557" t="s">
        <v>705</v>
      </c>
      <c r="BR557" t="s">
        <v>706</v>
      </c>
      <c r="BS557" t="s">
        <v>707</v>
      </c>
      <c r="CR557"/>
      <c r="CS557"/>
      <c r="CT557"/>
    </row>
    <row r="558" spans="1:98" x14ac:dyDescent="0.4">
      <c r="A558" s="2" t="s">
        <v>586</v>
      </c>
      <c r="B558" t="str">
        <f>_xlfn.TEXTAFTER(Table1[[#This Row],[VEHIDCODE]],"_")</f>
        <v>France_SNCF_TGV_Sud_Est</v>
      </c>
      <c r="C558" t="s">
        <v>744</v>
      </c>
      <c r="D558" t="b">
        <f>OR(ISNUMBER(SEARCH("wagon_",Table1[[#This Row],[FILENAMES_EXPECTED]])),ISNUMBER(SEARCH("coach_",Table1[[#This Row],[FILENAMES_EXPECTED]])))</f>
        <v>0</v>
      </c>
      <c r="E558" t="str">
        <f>"item_"&amp;Table1[[#This Row],[VEHIDCODE]]</f>
        <v>item_emu_France_SNCF_TGV_Sud_Est</v>
      </c>
      <c r="F558" t="str">
        <f>"str_"&amp;Table1[[#This Row],[VEHIDCODE]]</f>
        <v>str_emu_France_SNCF_TGV_Sud_Est</v>
      </c>
      <c r="G558" t="b">
        <v>1</v>
      </c>
      <c r="AJ558" s="2"/>
      <c r="AK558" s="2" t="b">
        <f>LEN(_xlfn.CONCAT(Table1[[#This Row],[TRACK_TYPE_STANDARD_GAUGE_RAILTYPE_OHLE]:[TRACK_TYPE_MTRO]]))&gt;0</f>
        <v>1</v>
      </c>
      <c r="AL558">
        <v>8</v>
      </c>
      <c r="AM558" t="s">
        <v>18</v>
      </c>
      <c r="AN558">
        <v>1</v>
      </c>
      <c r="AO558" t="s">
        <v>74</v>
      </c>
      <c r="AP558">
        <v>0</v>
      </c>
      <c r="AQ558">
        <v>1981</v>
      </c>
      <c r="AR558">
        <v>8</v>
      </c>
      <c r="AS558" s="2" t="s">
        <v>480</v>
      </c>
      <c r="AT558" t="b">
        <v>1</v>
      </c>
      <c r="AU558" t="b">
        <v>1</v>
      </c>
      <c r="AV558" s="2"/>
      <c r="AW558">
        <v>45</v>
      </c>
      <c r="AX558">
        <v>1</v>
      </c>
      <c r="AY558">
        <v>9000</v>
      </c>
      <c r="AZ558" t="s">
        <v>709</v>
      </c>
      <c r="BA558">
        <v>240</v>
      </c>
      <c r="BB558" s="2">
        <v>0.92</v>
      </c>
      <c r="BC558" t="s">
        <v>923</v>
      </c>
      <c r="BD558" t="s">
        <v>922</v>
      </c>
      <c r="BE558" t="s">
        <v>940</v>
      </c>
      <c r="BF558" s="7">
        <v>25</v>
      </c>
      <c r="BG5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8">
        <v>0</v>
      </c>
      <c r="BI558" t="s">
        <v>734</v>
      </c>
      <c r="BJ558" s="11">
        <v>43</v>
      </c>
      <c r="BK558" s="11">
        <v>6</v>
      </c>
      <c r="BL558" s="11">
        <v>38</v>
      </c>
      <c r="BM558">
        <v>0</v>
      </c>
      <c r="BN558" t="s">
        <v>692</v>
      </c>
      <c r="BO558" t="s">
        <v>694</v>
      </c>
      <c r="BP558" t="s">
        <v>701</v>
      </c>
      <c r="BQ558" t="s">
        <v>705</v>
      </c>
      <c r="BR558" t="s">
        <v>706</v>
      </c>
      <c r="BS558" t="s">
        <v>707</v>
      </c>
      <c r="CR558"/>
      <c r="CS558"/>
      <c r="CT558"/>
    </row>
    <row r="559" spans="1:98" x14ac:dyDescent="0.4">
      <c r="A559" s="2" t="s">
        <v>587</v>
      </c>
      <c r="B559" t="str">
        <f>_xlfn.TEXTAFTER(Table1[[#This Row],[VEHIDCODE]],"_")</f>
        <v>France_SNCF_TGV_Duplex</v>
      </c>
      <c r="C559" t="s">
        <v>744</v>
      </c>
      <c r="D559" t="b">
        <f>OR(ISNUMBER(SEARCH("wagon_",Table1[[#This Row],[FILENAMES_EXPECTED]])),ISNUMBER(SEARCH("coach_",Table1[[#This Row],[FILENAMES_EXPECTED]])))</f>
        <v>0</v>
      </c>
      <c r="E559" t="str">
        <f>"item_"&amp;Table1[[#This Row],[VEHIDCODE]]</f>
        <v>item_emu_France_SNCF_TGV_Duplex</v>
      </c>
      <c r="F559" t="str">
        <f>"str_"&amp;Table1[[#This Row],[VEHIDCODE]]</f>
        <v>str_emu_France_SNCF_TGV_Duplex</v>
      </c>
      <c r="G559" t="b">
        <v>1</v>
      </c>
      <c r="AJ559" s="2"/>
      <c r="AK559" s="2" t="b">
        <f>LEN(_xlfn.CONCAT(Table1[[#This Row],[TRACK_TYPE_STANDARD_GAUGE_RAILTYPE_OHLE]:[TRACK_TYPE_MTRO]]))&gt;0</f>
        <v>1</v>
      </c>
      <c r="AL559">
        <v>8</v>
      </c>
      <c r="AM559" t="s">
        <v>18</v>
      </c>
      <c r="AN559">
        <v>1</v>
      </c>
      <c r="AO559" t="s">
        <v>74</v>
      </c>
      <c r="AP559">
        <v>0</v>
      </c>
      <c r="AQ559">
        <v>1995</v>
      </c>
      <c r="AR559">
        <v>8</v>
      </c>
      <c r="AS559" s="2" t="s">
        <v>480</v>
      </c>
      <c r="AT559" t="b">
        <v>1</v>
      </c>
      <c r="AU559" t="b">
        <v>1</v>
      </c>
      <c r="AV559" s="2"/>
      <c r="AW559" t="s">
        <v>21</v>
      </c>
      <c r="AX559">
        <v>1</v>
      </c>
      <c r="AY559">
        <v>12800</v>
      </c>
      <c r="AZ559" t="s">
        <v>709</v>
      </c>
      <c r="BA559">
        <v>320</v>
      </c>
      <c r="BB559" s="2">
        <v>0.81</v>
      </c>
      <c r="BC559" t="s">
        <v>923</v>
      </c>
      <c r="BD559" t="s">
        <v>922</v>
      </c>
      <c r="BE559" t="s">
        <v>940</v>
      </c>
      <c r="BF559" s="7">
        <v>25</v>
      </c>
      <c r="BG5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59">
        <v>-3</v>
      </c>
      <c r="BI559" t="s">
        <v>734</v>
      </c>
      <c r="BJ559" s="11">
        <v>72</v>
      </c>
      <c r="BK559" s="11">
        <v>6</v>
      </c>
      <c r="BL559" s="11">
        <v>43</v>
      </c>
      <c r="BM559">
        <v>0</v>
      </c>
      <c r="BN559" t="s">
        <v>692</v>
      </c>
      <c r="BO559" t="s">
        <v>694</v>
      </c>
      <c r="BP559" t="s">
        <v>701</v>
      </c>
      <c r="BQ559" t="s">
        <v>705</v>
      </c>
      <c r="BR559" t="s">
        <v>706</v>
      </c>
      <c r="BS559" t="s">
        <v>707</v>
      </c>
      <c r="CR559"/>
      <c r="CS559"/>
      <c r="CT559"/>
    </row>
    <row r="560" spans="1:98" x14ac:dyDescent="0.4">
      <c r="A560" s="2" t="s">
        <v>588</v>
      </c>
      <c r="B560" t="str">
        <f>_xlfn.TEXTAFTER(Table1[[#This Row],[VEHIDCODE]],"_")</f>
        <v>France_Thalys_PBKA</v>
      </c>
      <c r="C560" t="s">
        <v>744</v>
      </c>
      <c r="D560" t="b">
        <f>OR(ISNUMBER(SEARCH("wagon_",Table1[[#This Row],[FILENAMES_EXPECTED]])),ISNUMBER(SEARCH("coach_",Table1[[#This Row],[FILENAMES_EXPECTED]])))</f>
        <v>0</v>
      </c>
      <c r="E560" t="str">
        <f>"item_"&amp;Table1[[#This Row],[VEHIDCODE]]</f>
        <v>item_emu_France_Thalys_PBKA</v>
      </c>
      <c r="F560" t="str">
        <f>"str_"&amp;Table1[[#This Row],[VEHIDCODE]]</f>
        <v>str_emu_France_Thalys_PBKA</v>
      </c>
      <c r="G560" t="b">
        <v>1</v>
      </c>
      <c r="AJ560" s="2"/>
      <c r="AK560" s="2" t="b">
        <f>LEN(_xlfn.CONCAT(Table1[[#This Row],[TRACK_TYPE_STANDARD_GAUGE_RAILTYPE_OHLE]:[TRACK_TYPE_MTRO]]))&gt;0</f>
        <v>1</v>
      </c>
      <c r="AL560">
        <v>8</v>
      </c>
      <c r="AM560" t="s">
        <v>18</v>
      </c>
      <c r="AN560">
        <v>1</v>
      </c>
      <c r="AO560" t="s">
        <v>74</v>
      </c>
      <c r="AP560">
        <v>0</v>
      </c>
      <c r="AQ560">
        <v>1995</v>
      </c>
      <c r="AR560">
        <v>8</v>
      </c>
      <c r="AS560" s="2" t="s">
        <v>480</v>
      </c>
      <c r="AT560" t="b">
        <v>1</v>
      </c>
      <c r="AU560" t="b">
        <v>1</v>
      </c>
      <c r="AV560" s="2"/>
      <c r="AW560" t="s">
        <v>21</v>
      </c>
      <c r="AX560">
        <v>1</v>
      </c>
      <c r="AY560">
        <v>12000</v>
      </c>
      <c r="AZ560" t="s">
        <v>709</v>
      </c>
      <c r="BA560">
        <v>300</v>
      </c>
      <c r="BB560" s="2">
        <v>0.85</v>
      </c>
      <c r="BC560" t="s">
        <v>923</v>
      </c>
      <c r="BD560" t="s">
        <v>922</v>
      </c>
      <c r="BE560" t="s">
        <v>940</v>
      </c>
      <c r="BF560" s="7">
        <v>25</v>
      </c>
      <c r="BG5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60">
        <v>0</v>
      </c>
      <c r="BI560" t="s">
        <v>734</v>
      </c>
      <c r="BJ560" s="11">
        <v>47</v>
      </c>
      <c r="BK560" s="11">
        <v>6</v>
      </c>
      <c r="BL560" s="11">
        <v>41</v>
      </c>
      <c r="BM560">
        <v>0</v>
      </c>
      <c r="BN560" t="s">
        <v>692</v>
      </c>
      <c r="BO560" t="s">
        <v>694</v>
      </c>
      <c r="BP560" t="s">
        <v>701</v>
      </c>
      <c r="BQ560" t="s">
        <v>705</v>
      </c>
      <c r="BR560" t="s">
        <v>706</v>
      </c>
      <c r="BS560" t="s">
        <v>707</v>
      </c>
      <c r="CR560"/>
      <c r="CS560"/>
      <c r="CT560"/>
    </row>
    <row r="561" spans="1:98" x14ac:dyDescent="0.4">
      <c r="A561" s="2" t="s">
        <v>589</v>
      </c>
      <c r="B561" t="str">
        <f>_xlfn.TEXTAFTER(Table1[[#This Row],[VEHIDCODE]],"_")</f>
        <v>Czech_Republic_CD_680_Pendolino</v>
      </c>
      <c r="C561" t="s">
        <v>744</v>
      </c>
      <c r="D561" t="b">
        <f>OR(ISNUMBER(SEARCH("wagon_",Table1[[#This Row],[FILENAMES_EXPECTED]])),ISNUMBER(SEARCH("coach_",Table1[[#This Row],[FILENAMES_EXPECTED]])))</f>
        <v>0</v>
      </c>
      <c r="E561" t="str">
        <f>"item_"&amp;Table1[[#This Row],[VEHIDCODE]]</f>
        <v>item_emu_Czech_Republic_CD_680_Pendolino</v>
      </c>
      <c r="F561" t="str">
        <f>"str_"&amp;Table1[[#This Row],[VEHIDCODE]]</f>
        <v>str_emu_Czech_Republic_CD_680_Pendolino</v>
      </c>
      <c r="G561" t="b">
        <v>1</v>
      </c>
      <c r="AJ561" s="2"/>
      <c r="AK561" s="2" t="b">
        <f>LEN(_xlfn.CONCAT(Table1[[#This Row],[TRACK_TYPE_STANDARD_GAUGE_RAILTYPE_OHLE]:[TRACK_TYPE_MTRO]]))&gt;0</f>
        <v>1</v>
      </c>
      <c r="AL561">
        <v>8</v>
      </c>
      <c r="AM561" t="s">
        <v>18</v>
      </c>
      <c r="AN561">
        <v>1</v>
      </c>
      <c r="AO561" t="s">
        <v>74</v>
      </c>
      <c r="AP561">
        <v>47</v>
      </c>
      <c r="AQ561">
        <v>1999</v>
      </c>
      <c r="AR561">
        <v>8</v>
      </c>
      <c r="AS561" s="2" t="s">
        <v>480</v>
      </c>
      <c r="AT561" t="b">
        <v>1</v>
      </c>
      <c r="AU561" t="b">
        <v>1</v>
      </c>
      <c r="AV561" s="2"/>
      <c r="AW561" t="s">
        <v>21</v>
      </c>
      <c r="AX561">
        <v>1</v>
      </c>
      <c r="AY561">
        <v>750</v>
      </c>
      <c r="AZ561" t="s">
        <v>709</v>
      </c>
      <c r="BA561">
        <v>230</v>
      </c>
      <c r="BB561" s="2">
        <v>0.67</v>
      </c>
      <c r="BC561" t="s">
        <v>929</v>
      </c>
      <c r="BD561" t="s">
        <v>922</v>
      </c>
      <c r="BE561" t="s">
        <v>940</v>
      </c>
      <c r="BF561" s="7">
        <v>25</v>
      </c>
      <c r="BG5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61">
        <v>0</v>
      </c>
      <c r="BI561" t="s">
        <v>734</v>
      </c>
      <c r="BJ561" s="11">
        <v>47</v>
      </c>
      <c r="BK561" s="11">
        <v>8</v>
      </c>
      <c r="BL561" s="11">
        <v>55</v>
      </c>
      <c r="BM561">
        <v>0</v>
      </c>
      <c r="BN561" t="s">
        <v>692</v>
      </c>
      <c r="BO561" t="s">
        <v>694</v>
      </c>
      <c r="BP561" t="s">
        <v>701</v>
      </c>
      <c r="BQ561" t="s">
        <v>705</v>
      </c>
      <c r="BR561" t="s">
        <v>706</v>
      </c>
      <c r="BS561" t="s">
        <v>707</v>
      </c>
      <c r="CR561"/>
      <c r="CS561"/>
      <c r="CT561"/>
    </row>
    <row r="562" spans="1:98" x14ac:dyDescent="0.4">
      <c r="A562" s="2" t="s">
        <v>590</v>
      </c>
      <c r="B562" t="str">
        <f>_xlfn.TEXTAFTER(Table1[[#This Row],[VEHIDCODE]],"_")</f>
        <v>Spain_RENFE_120</v>
      </c>
      <c r="C562" t="s">
        <v>744</v>
      </c>
      <c r="D562" t="b">
        <f>OR(ISNUMBER(SEARCH("wagon_",Table1[[#This Row],[FILENAMES_EXPECTED]])),ISNUMBER(SEARCH("coach_",Table1[[#This Row],[FILENAMES_EXPECTED]])))</f>
        <v>0</v>
      </c>
      <c r="E562" t="str">
        <f>"item_"&amp;Table1[[#This Row],[VEHIDCODE]]</f>
        <v>item_emu_Spain_RENFE_120</v>
      </c>
      <c r="F562" t="str">
        <f>"str_"&amp;Table1[[#This Row],[VEHIDCODE]]</f>
        <v>str_emu_Spain_RENFE_120</v>
      </c>
      <c r="G562" t="b">
        <v>1</v>
      </c>
      <c r="AJ562" s="2"/>
      <c r="AK562" s="2" t="b">
        <f>LEN(_xlfn.CONCAT(Table1[[#This Row],[TRACK_TYPE_STANDARD_GAUGE_RAILTYPE_OHLE]:[TRACK_TYPE_MTRO]]))&gt;0</f>
        <v>1</v>
      </c>
      <c r="AL562">
        <v>8</v>
      </c>
      <c r="AM562" t="s">
        <v>18</v>
      </c>
      <c r="AN562">
        <v>1</v>
      </c>
      <c r="AO562" t="s">
        <v>74</v>
      </c>
      <c r="AP562">
        <v>60</v>
      </c>
      <c r="AQ562">
        <v>2001</v>
      </c>
      <c r="AR562">
        <v>8</v>
      </c>
      <c r="AS562" s="2" t="s">
        <v>24</v>
      </c>
      <c r="AT562" t="b">
        <v>1</v>
      </c>
      <c r="AU562" t="b">
        <v>1</v>
      </c>
      <c r="AV562" s="2"/>
      <c r="AW562" t="s">
        <v>21</v>
      </c>
      <c r="AX562">
        <v>1</v>
      </c>
      <c r="AY562">
        <v>1340</v>
      </c>
      <c r="AZ562" t="s">
        <v>709</v>
      </c>
      <c r="BA562">
        <v>250</v>
      </c>
      <c r="BB562" s="2">
        <v>0.36</v>
      </c>
      <c r="BC562" t="s">
        <v>924</v>
      </c>
      <c r="BD562" t="s">
        <v>922</v>
      </c>
      <c r="BE562" t="s">
        <v>940</v>
      </c>
      <c r="BF562" s="7">
        <v>25</v>
      </c>
      <c r="BG5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62">
        <v>0</v>
      </c>
      <c r="BI562" t="s">
        <v>734</v>
      </c>
      <c r="BJ562" s="11">
        <v>60</v>
      </c>
      <c r="BK562" s="11">
        <v>8</v>
      </c>
      <c r="BL562" s="11">
        <v>56</v>
      </c>
      <c r="BM562">
        <v>0</v>
      </c>
      <c r="BN562" t="s">
        <v>692</v>
      </c>
      <c r="BO562" t="s">
        <v>694</v>
      </c>
      <c r="BP562" t="s">
        <v>701</v>
      </c>
      <c r="BQ562" t="s">
        <v>705</v>
      </c>
      <c r="BR562" t="s">
        <v>706</v>
      </c>
      <c r="BS562" t="s">
        <v>707</v>
      </c>
      <c r="CR562"/>
      <c r="CS562"/>
      <c r="CT562"/>
    </row>
    <row r="563" spans="1:98" x14ac:dyDescent="0.4">
      <c r="A563" s="2" t="s">
        <v>591</v>
      </c>
      <c r="B563" t="str">
        <f>_xlfn.TEXTAFTER(Table1[[#This Row],[VEHIDCODE]],"_")</f>
        <v>USA_Amtrak_Acela_Express</v>
      </c>
      <c r="C563" t="s">
        <v>744</v>
      </c>
      <c r="D563" t="b">
        <f>OR(ISNUMBER(SEARCH("wagon_",Table1[[#This Row],[FILENAMES_EXPECTED]])),ISNUMBER(SEARCH("coach_",Table1[[#This Row],[FILENAMES_EXPECTED]])))</f>
        <v>0</v>
      </c>
      <c r="E563" t="str">
        <f>"item_"&amp;Table1[[#This Row],[VEHIDCODE]]</f>
        <v>item_emu_USA_Amtrak_Acela_Express</v>
      </c>
      <c r="F563" t="str">
        <f>"str_"&amp;Table1[[#This Row],[VEHIDCODE]]</f>
        <v>str_emu_USA_Amtrak_Acela_Express</v>
      </c>
      <c r="G563" t="b">
        <v>1</v>
      </c>
      <c r="AJ563" s="2"/>
      <c r="AK563" s="2" t="b">
        <f>LEN(_xlfn.CONCAT(Table1[[#This Row],[TRACK_TYPE_STANDARD_GAUGE_RAILTYPE_OHLE]:[TRACK_TYPE_MTRO]]))&gt;0</f>
        <v>1</v>
      </c>
      <c r="AL563">
        <v>8</v>
      </c>
      <c r="AM563" t="s">
        <v>18</v>
      </c>
      <c r="AN563">
        <v>1</v>
      </c>
      <c r="AO563" t="s">
        <v>74</v>
      </c>
      <c r="AP563">
        <v>0</v>
      </c>
      <c r="AQ563">
        <v>1999</v>
      </c>
      <c r="AR563">
        <v>8</v>
      </c>
      <c r="AS563" s="2" t="s">
        <v>24</v>
      </c>
      <c r="AT563" t="b">
        <v>1</v>
      </c>
      <c r="AU563" t="b">
        <v>1</v>
      </c>
      <c r="AV563" s="2"/>
      <c r="AW563">
        <v>45</v>
      </c>
      <c r="AX563">
        <v>1</v>
      </c>
      <c r="AY563">
        <v>12400</v>
      </c>
      <c r="AZ563" t="s">
        <v>709</v>
      </c>
      <c r="BA563">
        <v>266</v>
      </c>
      <c r="BB563" s="2">
        <v>0.24</v>
      </c>
      <c r="BC563" t="s">
        <v>928</v>
      </c>
      <c r="BD563" t="s">
        <v>922</v>
      </c>
      <c r="BE563" t="s">
        <v>940</v>
      </c>
      <c r="BF563" s="7">
        <v>40</v>
      </c>
      <c r="BG5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63">
        <v>0</v>
      </c>
      <c r="BI563" t="s">
        <v>734</v>
      </c>
      <c r="BJ563" s="11">
        <v>50</v>
      </c>
      <c r="BK563" s="11">
        <v>8</v>
      </c>
      <c r="BL563" s="11">
        <v>93</v>
      </c>
      <c r="BM563">
        <v>0</v>
      </c>
      <c r="BN563" t="s">
        <v>692</v>
      </c>
      <c r="BO563" t="s">
        <v>694</v>
      </c>
      <c r="BP563" t="s">
        <v>701</v>
      </c>
      <c r="BQ563" t="s">
        <v>705</v>
      </c>
      <c r="BR563" t="s">
        <v>706</v>
      </c>
      <c r="BS563" t="s">
        <v>707</v>
      </c>
      <c r="CR563"/>
      <c r="CS563"/>
      <c r="CT563"/>
    </row>
    <row r="564" spans="1:98" x14ac:dyDescent="0.4">
      <c r="A564" s="2" t="s">
        <v>592</v>
      </c>
      <c r="B564" t="str">
        <f>_xlfn.TEXTAFTER(Table1[[#This Row],[VEHIDCODE]],"_")</f>
        <v>USA_Brooklyn_Union_Gate_Car</v>
      </c>
      <c r="C564" t="s">
        <v>745</v>
      </c>
      <c r="D564" t="b">
        <f>OR(ISNUMBER(SEARCH("wagon_",Table1[[#This Row],[FILENAMES_EXPECTED]])),ISNUMBER(SEARCH("coach_",Table1[[#This Row],[FILENAMES_EXPECTED]])))</f>
        <v>0</v>
      </c>
      <c r="E564" t="str">
        <f>"item_"&amp;Table1[[#This Row],[VEHIDCODE]]</f>
        <v>item_singlemtro_USA_Brooklyn_Union_Gate_Car</v>
      </c>
      <c r="F564" t="str">
        <f>"str_"&amp;Table1[[#This Row],[VEHIDCODE]]</f>
        <v>str_singlemtro_USA_Brooklyn_Union_Gate_Car</v>
      </c>
      <c r="L564" t="b">
        <v>1</v>
      </c>
      <c r="AJ564" s="2"/>
      <c r="AK564" s="2" t="b">
        <f>LEN(_xlfn.CONCAT(Table1[[#This Row],[TRACK_TYPE_STANDARD_GAUGE_RAILTYPE_OHLE]:[TRACK_TYPE_MTRO]]))&gt;0</f>
        <v>1</v>
      </c>
      <c r="AL564">
        <v>7</v>
      </c>
      <c r="AM564" t="s">
        <v>326</v>
      </c>
      <c r="AN564">
        <v>0</v>
      </c>
      <c r="AO564" t="s">
        <v>19</v>
      </c>
      <c r="AP564">
        <v>60</v>
      </c>
      <c r="AQ564">
        <v>1880</v>
      </c>
      <c r="AR564">
        <v>7</v>
      </c>
      <c r="AS564" s="2" t="s">
        <v>327</v>
      </c>
      <c r="AT564" t="b">
        <v>1</v>
      </c>
      <c r="AV564" s="2"/>
      <c r="AW564">
        <v>45</v>
      </c>
      <c r="AX564">
        <v>1</v>
      </c>
      <c r="AY564">
        <v>200</v>
      </c>
      <c r="AZ564" t="s">
        <v>709</v>
      </c>
      <c r="BA564">
        <v>60</v>
      </c>
      <c r="BB564" s="2">
        <v>0.5</v>
      </c>
      <c r="BC564" t="s">
        <v>928</v>
      </c>
      <c r="BD564" t="s">
        <v>922</v>
      </c>
      <c r="BE564" t="s">
        <v>940</v>
      </c>
      <c r="BF564" s="7">
        <v>60</v>
      </c>
      <c r="BG5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64">
        <v>0</v>
      </c>
      <c r="BI564" t="s">
        <v>734</v>
      </c>
      <c r="BJ564" s="11"/>
      <c r="BK564" s="11"/>
      <c r="BL564" s="11">
        <v>20</v>
      </c>
      <c r="BM564">
        <v>0</v>
      </c>
      <c r="BN564" t="s">
        <v>692</v>
      </c>
      <c r="BO564" t="s">
        <v>694</v>
      </c>
      <c r="BP564" t="s">
        <v>701</v>
      </c>
      <c r="BQ564" t="s">
        <v>705</v>
      </c>
      <c r="BR564" t="s">
        <v>706</v>
      </c>
      <c r="BS564" t="s">
        <v>707</v>
      </c>
      <c r="CR564"/>
      <c r="CS564"/>
      <c r="CT564"/>
    </row>
    <row r="565" spans="1:98" x14ac:dyDescent="0.4">
      <c r="A565" s="2" t="s">
        <v>593</v>
      </c>
      <c r="B565" t="str">
        <f>_xlfn.TEXTAFTER(Table1[[#This Row],[VEHIDCODE]],"_")</f>
        <v>Hungary_Budapest_1894_Stock</v>
      </c>
      <c r="C565" t="s">
        <v>745</v>
      </c>
      <c r="D565" t="b">
        <f>OR(ISNUMBER(SEARCH("wagon_",Table1[[#This Row],[FILENAMES_EXPECTED]])),ISNUMBER(SEARCH("coach_",Table1[[#This Row],[FILENAMES_EXPECTED]])))</f>
        <v>0</v>
      </c>
      <c r="E565" t="str">
        <f>"item_"&amp;Table1[[#This Row],[VEHIDCODE]]</f>
        <v>item_singlemtro_Hungary_Budapest_1894_Stock</v>
      </c>
      <c r="F565" t="str">
        <f>"str_"&amp;Table1[[#This Row],[VEHIDCODE]]</f>
        <v>str_singlemtro_Hungary_Budapest_1894_Stock</v>
      </c>
      <c r="L565" t="b">
        <v>1</v>
      </c>
      <c r="AJ565" s="2"/>
      <c r="AK565" s="2" t="b">
        <f>LEN(_xlfn.CONCAT(Table1[[#This Row],[TRACK_TYPE_STANDARD_GAUGE_RAILTYPE_OHLE]:[TRACK_TYPE_MTRO]]))&gt;0</f>
        <v>1</v>
      </c>
      <c r="AL565">
        <v>8</v>
      </c>
      <c r="AM565" t="s">
        <v>326</v>
      </c>
      <c r="AN565">
        <v>0</v>
      </c>
      <c r="AO565" t="s">
        <v>19</v>
      </c>
      <c r="AP565">
        <v>100</v>
      </c>
      <c r="AQ565">
        <v>1894</v>
      </c>
      <c r="AR565">
        <v>8</v>
      </c>
      <c r="AS565" s="2" t="s">
        <v>327</v>
      </c>
      <c r="AT565" t="b">
        <v>1</v>
      </c>
      <c r="AV565" s="2"/>
      <c r="AW565">
        <v>45</v>
      </c>
      <c r="AX565">
        <v>1</v>
      </c>
      <c r="AY565">
        <v>200</v>
      </c>
      <c r="AZ565" t="s">
        <v>709</v>
      </c>
      <c r="BA565">
        <v>60</v>
      </c>
      <c r="BB565" s="2">
        <v>0.32</v>
      </c>
      <c r="BC565" t="s">
        <v>929</v>
      </c>
      <c r="BD565" t="s">
        <v>922</v>
      </c>
      <c r="BE565" t="s">
        <v>940</v>
      </c>
      <c r="BF565" s="7">
        <v>60</v>
      </c>
      <c r="BG5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65">
        <v>0</v>
      </c>
      <c r="BI565" t="s">
        <v>734</v>
      </c>
      <c r="BJ565" s="11"/>
      <c r="BK565" s="11"/>
      <c r="BL565" s="11">
        <v>25</v>
      </c>
      <c r="BM565">
        <v>0</v>
      </c>
      <c r="BN565" t="s">
        <v>692</v>
      </c>
      <c r="BO565" t="s">
        <v>694</v>
      </c>
      <c r="BP565" t="s">
        <v>701</v>
      </c>
      <c r="BQ565" t="s">
        <v>705</v>
      </c>
      <c r="BR565" t="s">
        <v>706</v>
      </c>
      <c r="BS565" t="s">
        <v>707</v>
      </c>
      <c r="CR565"/>
      <c r="CS565"/>
      <c r="CT565"/>
    </row>
    <row r="566" spans="1:98" x14ac:dyDescent="0.4">
      <c r="A566" s="2" t="s">
        <v>594</v>
      </c>
      <c r="B566" t="str">
        <f>_xlfn.TEXTAFTER(Table1[[#This Row],[VEHIDCODE]],"_")</f>
        <v>USA_Chicago_L_Northwest_Elevated_1907_Stock</v>
      </c>
      <c r="C566" t="s">
        <v>745</v>
      </c>
      <c r="D566" t="b">
        <f>OR(ISNUMBER(SEARCH("wagon_",Table1[[#This Row],[FILENAMES_EXPECTED]])),ISNUMBER(SEARCH("coach_",Table1[[#This Row],[FILENAMES_EXPECTED]])))</f>
        <v>0</v>
      </c>
      <c r="E566" t="str">
        <f>"item_"&amp;Table1[[#This Row],[VEHIDCODE]]</f>
        <v>item_singlemtro_USA_Chicago_L_Northwest_Elevated_1907_Stock</v>
      </c>
      <c r="F566" t="str">
        <f>"str_"&amp;Table1[[#This Row],[VEHIDCODE]]</f>
        <v>str_singlemtro_USA_Chicago_L_Northwest_Elevated_1907_Stock</v>
      </c>
      <c r="L566" t="b">
        <v>1</v>
      </c>
      <c r="AJ566" s="2"/>
      <c r="AK566" s="2" t="b">
        <f>LEN(_xlfn.CONCAT(Table1[[#This Row],[TRACK_TYPE_STANDARD_GAUGE_RAILTYPE_OHLE]:[TRACK_TYPE_MTRO]]))&gt;0</f>
        <v>1</v>
      </c>
      <c r="AL566">
        <v>8</v>
      </c>
      <c r="AM566" t="s">
        <v>326</v>
      </c>
      <c r="AN566">
        <v>0</v>
      </c>
      <c r="AO566" t="s">
        <v>19</v>
      </c>
      <c r="AP566">
        <v>130</v>
      </c>
      <c r="AQ566">
        <v>1907</v>
      </c>
      <c r="AR566">
        <v>8</v>
      </c>
      <c r="AS566" s="2" t="s">
        <v>327</v>
      </c>
      <c r="AT566" t="b">
        <v>1</v>
      </c>
      <c r="AV566" s="2"/>
      <c r="AW566">
        <v>45</v>
      </c>
      <c r="AX566">
        <v>1</v>
      </c>
      <c r="AY566">
        <v>250</v>
      </c>
      <c r="AZ566" t="s">
        <v>709</v>
      </c>
      <c r="BA566">
        <v>70</v>
      </c>
      <c r="BB566" s="2">
        <v>0.1</v>
      </c>
      <c r="BC566" t="s">
        <v>928</v>
      </c>
      <c r="BD566" t="s">
        <v>922</v>
      </c>
      <c r="BE566" t="s">
        <v>940</v>
      </c>
      <c r="BF566" s="7">
        <v>60</v>
      </c>
      <c r="BG5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66">
        <v>0</v>
      </c>
      <c r="BI566" t="s">
        <v>734</v>
      </c>
      <c r="BJ566" s="11"/>
      <c r="BK566" s="11"/>
      <c r="BL566" s="11">
        <v>50</v>
      </c>
      <c r="BM566">
        <v>0</v>
      </c>
      <c r="BN566" t="s">
        <v>692</v>
      </c>
      <c r="BO566" t="s">
        <v>694</v>
      </c>
      <c r="BP566" t="s">
        <v>701</v>
      </c>
      <c r="BQ566" t="s">
        <v>705</v>
      </c>
      <c r="BR566" t="s">
        <v>706</v>
      </c>
      <c r="BS566" t="s">
        <v>707</v>
      </c>
      <c r="CR566"/>
      <c r="CS566"/>
      <c r="CT566"/>
    </row>
    <row r="567" spans="1:98" x14ac:dyDescent="0.4">
      <c r="A567" s="2" t="s">
        <v>595</v>
      </c>
      <c r="B567" t="str">
        <f>_xlfn.TEXTAFTER(Table1[[#This Row],[VEHIDCODE]],"_")</f>
        <v>Germany_Berlin_U_Bahn_C_II</v>
      </c>
      <c r="C567" t="s">
        <v>745</v>
      </c>
      <c r="D567" t="b">
        <f>OR(ISNUMBER(SEARCH("wagon_",Table1[[#This Row],[FILENAMES_EXPECTED]])),ISNUMBER(SEARCH("coach_",Table1[[#This Row],[FILENAMES_EXPECTED]])))</f>
        <v>0</v>
      </c>
      <c r="E567" t="str">
        <f>"item_"&amp;Table1[[#This Row],[VEHIDCODE]]</f>
        <v>item_singlemtro_Germany_Berlin_U_Bahn_C_II</v>
      </c>
      <c r="F567" t="str">
        <f>"str_"&amp;Table1[[#This Row],[VEHIDCODE]]</f>
        <v>str_singlemtro_Germany_Berlin_U_Bahn_C_II</v>
      </c>
      <c r="L567" t="b">
        <v>1</v>
      </c>
      <c r="AJ567" s="2"/>
      <c r="AK567" s="2" t="b">
        <f>LEN(_xlfn.CONCAT(Table1[[#This Row],[TRACK_TYPE_STANDARD_GAUGE_RAILTYPE_OHLE]:[TRACK_TYPE_MTRO]]))&gt;0</f>
        <v>1</v>
      </c>
      <c r="AL567">
        <v>8</v>
      </c>
      <c r="AM567" t="s">
        <v>326</v>
      </c>
      <c r="AN567">
        <v>0</v>
      </c>
      <c r="AO567" t="s">
        <v>19</v>
      </c>
      <c r="AP567">
        <v>157</v>
      </c>
      <c r="AQ567">
        <v>1929</v>
      </c>
      <c r="AR567">
        <v>8</v>
      </c>
      <c r="AS567" s="2" t="s">
        <v>327</v>
      </c>
      <c r="AT567" t="b">
        <v>1</v>
      </c>
      <c r="AV567" s="2"/>
      <c r="AW567">
        <v>45</v>
      </c>
      <c r="AX567">
        <v>1</v>
      </c>
      <c r="AY567">
        <v>375</v>
      </c>
      <c r="AZ567" t="s">
        <v>709</v>
      </c>
      <c r="BA567">
        <v>60</v>
      </c>
      <c r="BB567" s="2">
        <v>7.0000000000000007E-2</v>
      </c>
      <c r="BC567" t="s">
        <v>923</v>
      </c>
      <c r="BD567" t="s">
        <v>922</v>
      </c>
      <c r="BE567" t="s">
        <v>940</v>
      </c>
      <c r="BF567" s="7">
        <v>60</v>
      </c>
      <c r="BG5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67">
        <v>0</v>
      </c>
      <c r="BI567" t="s">
        <v>734</v>
      </c>
      <c r="BJ567" s="11"/>
      <c r="BK567" s="11"/>
      <c r="BL567" s="11">
        <v>50</v>
      </c>
      <c r="BM567">
        <v>0</v>
      </c>
      <c r="BN567" t="s">
        <v>692</v>
      </c>
      <c r="BO567" t="s">
        <v>694</v>
      </c>
      <c r="BP567" t="s">
        <v>701</v>
      </c>
      <c r="BQ567" t="s">
        <v>705</v>
      </c>
      <c r="BR567" t="s">
        <v>706</v>
      </c>
      <c r="BS567" t="s">
        <v>707</v>
      </c>
      <c r="CR567"/>
      <c r="CS567"/>
      <c r="CT567"/>
    </row>
    <row r="568" spans="1:98" x14ac:dyDescent="0.4">
      <c r="A568" s="2" t="s">
        <v>596</v>
      </c>
      <c r="B568" t="str">
        <f>_xlfn.TEXTAFTER(Table1[[#This Row],[VEHIDCODE]],"_")</f>
        <v>World_Turbobus</v>
      </c>
      <c r="C568" t="s">
        <v>746</v>
      </c>
      <c r="D568" t="b">
        <f>OR(ISNUMBER(SEARCH("wagon_",Table1[[#This Row],[FILENAMES_EXPECTED]])),ISNUMBER(SEARCH("coach_",Table1[[#This Row],[FILENAMES_EXPECTED]])))</f>
        <v>0</v>
      </c>
      <c r="E568" t="str">
        <f>"item_"&amp;Table1[[#This Row],[VEHIDCODE]]</f>
        <v>item_rbm_World_Turbobus</v>
      </c>
      <c r="F568" t="str">
        <f>"str_"&amp;Table1[[#This Row],[VEHIDCODE]]</f>
        <v>str_rbm_World_Turbobus</v>
      </c>
      <c r="AI568" t="b">
        <v>1</v>
      </c>
      <c r="AJ568" s="2"/>
      <c r="AK568" s="2" t="b">
        <f>LEN(_xlfn.CONCAT(Table1[[#This Row],[TRACK_TYPE_STANDARD_GAUGE_RAILTYPE_OHLE]:[TRACK_TYPE_MTRO]]))&gt;0</f>
        <v>1</v>
      </c>
      <c r="AL568">
        <v>4</v>
      </c>
      <c r="AM568" t="s">
        <v>18</v>
      </c>
      <c r="AN568">
        <v>0</v>
      </c>
      <c r="AO568" t="s">
        <v>19</v>
      </c>
      <c r="AP568">
        <v>45</v>
      </c>
      <c r="AQ568">
        <v>2040</v>
      </c>
      <c r="AR568">
        <v>8</v>
      </c>
      <c r="AS568" s="2" t="s">
        <v>24</v>
      </c>
      <c r="AT568" t="b">
        <v>1</v>
      </c>
      <c r="AV568" s="2"/>
      <c r="AW568" t="s">
        <v>21</v>
      </c>
      <c r="AX568">
        <v>1</v>
      </c>
      <c r="AY568">
        <v>5070</v>
      </c>
      <c r="AZ568" t="s">
        <v>709</v>
      </c>
      <c r="BA568">
        <v>753</v>
      </c>
      <c r="BB568" s="2">
        <v>0.28999999999999998</v>
      </c>
      <c r="BC568" t="s">
        <v>936</v>
      </c>
      <c r="BD568" t="s">
        <v>922</v>
      </c>
      <c r="BE568" t="s">
        <v>941</v>
      </c>
      <c r="BF568" s="7">
        <v>15</v>
      </c>
      <c r="BG5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68">
        <v>0</v>
      </c>
      <c r="BI568" t="s">
        <v>734</v>
      </c>
      <c r="BJ568" s="11"/>
      <c r="BK568" s="11"/>
      <c r="BL568" s="11">
        <v>30</v>
      </c>
      <c r="BM568">
        <v>0</v>
      </c>
      <c r="BN568" t="s">
        <v>692</v>
      </c>
      <c r="BO568" t="s">
        <v>694</v>
      </c>
      <c r="BP568" t="s">
        <v>701</v>
      </c>
      <c r="BQ568" t="s">
        <v>705</v>
      </c>
      <c r="BR568" t="s">
        <v>706</v>
      </c>
      <c r="BS568" t="s">
        <v>707</v>
      </c>
      <c r="CR568"/>
      <c r="CS568"/>
      <c r="CT568"/>
    </row>
    <row r="569" spans="1:98" x14ac:dyDescent="0.4">
      <c r="A569" s="2" t="s">
        <v>597</v>
      </c>
      <c r="B569" t="str">
        <f>_xlfn.TEXTAFTER(Table1[[#This Row],[VEHIDCODE]],"_")</f>
        <v>Germany_DB_182_ES64UM_Mutus</v>
      </c>
      <c r="C569" t="s">
        <v>747</v>
      </c>
      <c r="D569" t="b">
        <f>OR(ISNUMBER(SEARCH("wagon_",Table1[[#This Row],[FILENAMES_EXPECTED]])),ISNUMBER(SEARCH("coach_",Table1[[#This Row],[FILENAMES_EXPECTED]])))</f>
        <v>0</v>
      </c>
      <c r="E569" t="str">
        <f>"item_"&amp;Table1[[#This Row],[VEHIDCODE]]</f>
        <v>item_mglv_Germany_DB_182_ES64UM_Mutus</v>
      </c>
      <c r="F569" t="str">
        <f>"str_"&amp;Table1[[#This Row],[VEHIDCODE]]</f>
        <v>str_mglv_Germany_DB_182_ES64UM_Mutus</v>
      </c>
      <c r="AI569" t="b">
        <v>1</v>
      </c>
      <c r="AJ569" s="2"/>
      <c r="AK569" s="2" t="b">
        <f>LEN(_xlfn.CONCAT(Table1[[#This Row],[TRACK_TYPE_STANDARD_GAUGE_RAILTYPE_OHLE]:[TRACK_TYPE_MTRO]]))&gt;0</f>
        <v>1</v>
      </c>
      <c r="AL569">
        <v>8</v>
      </c>
      <c r="AM569" t="s">
        <v>20</v>
      </c>
      <c r="AN569">
        <v>0</v>
      </c>
      <c r="AO569" t="s">
        <v>19</v>
      </c>
      <c r="AP569">
        <v>0</v>
      </c>
      <c r="AQ569">
        <v>2005</v>
      </c>
      <c r="AR569">
        <v>8</v>
      </c>
      <c r="AS569" s="2" t="s">
        <v>20</v>
      </c>
      <c r="AT569" t="b">
        <v>1</v>
      </c>
      <c r="AV569" s="2"/>
      <c r="AW569" t="s">
        <v>21</v>
      </c>
      <c r="AX569">
        <v>1</v>
      </c>
      <c r="AY569">
        <v>11266</v>
      </c>
      <c r="AZ569" t="s">
        <v>709</v>
      </c>
      <c r="BA569">
        <v>230</v>
      </c>
      <c r="BB569" s="2">
        <v>0.35</v>
      </c>
      <c r="BC569" t="s">
        <v>923</v>
      </c>
      <c r="BD569" t="s">
        <v>922</v>
      </c>
      <c r="BE569" t="s">
        <v>941</v>
      </c>
      <c r="BF569" s="7">
        <v>40</v>
      </c>
      <c r="BG5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69">
        <v>0</v>
      </c>
      <c r="BI569" t="s">
        <v>734</v>
      </c>
      <c r="BJ569" s="11"/>
      <c r="BK569" s="11"/>
      <c r="BL569" s="11">
        <v>86</v>
      </c>
      <c r="BM569">
        <v>0</v>
      </c>
      <c r="BN569" t="s">
        <v>692</v>
      </c>
      <c r="BO569" t="s">
        <v>694</v>
      </c>
      <c r="BP569" t="s">
        <v>701</v>
      </c>
      <c r="BQ569" t="s">
        <v>705</v>
      </c>
      <c r="BR569" t="s">
        <v>706</v>
      </c>
      <c r="BS569" t="s">
        <v>707</v>
      </c>
      <c r="CR569"/>
      <c r="CS569"/>
      <c r="CT569"/>
    </row>
    <row r="570" spans="1:98" x14ac:dyDescent="0.4">
      <c r="A570" s="2" t="s">
        <v>598</v>
      </c>
      <c r="B570" t="str">
        <f>_xlfn.TEXTAFTER(Table1[[#This Row],[VEHIDCODE]],"_")</f>
        <v>China_Transrapid</v>
      </c>
      <c r="C570" t="s">
        <v>747</v>
      </c>
      <c r="D570" t="b">
        <f>OR(ISNUMBER(SEARCH("wagon_",Table1[[#This Row],[FILENAMES_EXPECTED]])),ISNUMBER(SEARCH("coach_",Table1[[#This Row],[FILENAMES_EXPECTED]])))</f>
        <v>0</v>
      </c>
      <c r="E570" t="str">
        <f>"item_"&amp;Table1[[#This Row],[VEHIDCODE]]</f>
        <v>item_mglv_China_Transrapid</v>
      </c>
      <c r="F570" t="str">
        <f>"str_"&amp;Table1[[#This Row],[VEHIDCODE]]</f>
        <v>str_mglv_China_Transrapid</v>
      </c>
      <c r="AI570" t="b">
        <v>1</v>
      </c>
      <c r="AJ570" s="2"/>
      <c r="AK570" s="2" t="b">
        <f>LEN(_xlfn.CONCAT(Table1[[#This Row],[TRACK_TYPE_STANDARD_GAUGE_RAILTYPE_OHLE]:[TRACK_TYPE_MTRO]]))&gt;0</f>
        <v>1</v>
      </c>
      <c r="AL570">
        <v>8</v>
      </c>
      <c r="AM570" t="s">
        <v>18</v>
      </c>
      <c r="AN570">
        <v>1</v>
      </c>
      <c r="AO570" t="s">
        <v>19</v>
      </c>
      <c r="AP570">
        <v>50</v>
      </c>
      <c r="AQ570">
        <v>2004</v>
      </c>
      <c r="AR570">
        <v>8</v>
      </c>
      <c r="AS570" s="2" t="s">
        <v>480</v>
      </c>
      <c r="AT570" t="b">
        <v>1</v>
      </c>
      <c r="AU570" t="b">
        <v>1</v>
      </c>
      <c r="AV570" s="2"/>
      <c r="AW570" t="s">
        <v>21</v>
      </c>
      <c r="AX570">
        <v>1</v>
      </c>
      <c r="AY570">
        <v>2028</v>
      </c>
      <c r="AZ570" t="s">
        <v>709</v>
      </c>
      <c r="BA570">
        <v>433</v>
      </c>
      <c r="BB570" s="2">
        <v>0.3</v>
      </c>
      <c r="BC570" t="s">
        <v>931</v>
      </c>
      <c r="BD570" t="s">
        <v>922</v>
      </c>
      <c r="BE570" t="s">
        <v>940</v>
      </c>
      <c r="BF570" s="7">
        <v>25</v>
      </c>
      <c r="BG5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70">
        <v>0</v>
      </c>
      <c r="BI570" t="s">
        <v>734</v>
      </c>
      <c r="BJ570" s="11">
        <v>55</v>
      </c>
      <c r="BK570" s="11">
        <v>8</v>
      </c>
      <c r="BL570" s="11">
        <v>30</v>
      </c>
      <c r="BM570">
        <v>0</v>
      </c>
      <c r="BN570" t="s">
        <v>692</v>
      </c>
      <c r="BO570" t="s">
        <v>694</v>
      </c>
      <c r="BP570" t="s">
        <v>701</v>
      </c>
      <c r="BQ570" t="s">
        <v>705</v>
      </c>
      <c r="BR570" t="s">
        <v>706</v>
      </c>
      <c r="BS570" t="s">
        <v>707</v>
      </c>
      <c r="CR570"/>
      <c r="CS570"/>
      <c r="CT570"/>
    </row>
    <row r="571" spans="1:98" x14ac:dyDescent="0.4">
      <c r="A571" s="2" t="s">
        <v>599</v>
      </c>
      <c r="B571" t="str">
        <f>_xlfn.TEXTAFTER(Table1[[#This Row],[VEHIDCODE]],"_")</f>
        <v>Japan_MLX01_901</v>
      </c>
      <c r="C571" t="s">
        <v>747</v>
      </c>
      <c r="D571" t="b">
        <f>OR(ISNUMBER(SEARCH("wagon_",Table1[[#This Row],[FILENAMES_EXPECTED]])),ISNUMBER(SEARCH("coach_",Table1[[#This Row],[FILENAMES_EXPECTED]])))</f>
        <v>0</v>
      </c>
      <c r="E571" t="str">
        <f>"item_"&amp;Table1[[#This Row],[VEHIDCODE]]</f>
        <v>item_mglv_Japan_MLX01_901</v>
      </c>
      <c r="F571" t="str">
        <f>"str_"&amp;Table1[[#This Row],[VEHIDCODE]]</f>
        <v>str_mglv_Japan_MLX01_901</v>
      </c>
      <c r="AI571" t="b">
        <v>1</v>
      </c>
      <c r="AJ571" s="2"/>
      <c r="AK571" s="2" t="b">
        <f>LEN(_xlfn.CONCAT(Table1[[#This Row],[TRACK_TYPE_STANDARD_GAUGE_RAILTYPE_OHLE]:[TRACK_TYPE_MTRO]]))&gt;0</f>
        <v>1</v>
      </c>
      <c r="AL571">
        <v>8</v>
      </c>
      <c r="AM571" t="s">
        <v>18</v>
      </c>
      <c r="AN571">
        <v>1</v>
      </c>
      <c r="AO571" t="s">
        <v>19</v>
      </c>
      <c r="AP571">
        <v>55</v>
      </c>
      <c r="AQ571">
        <v>2025</v>
      </c>
      <c r="AR571">
        <v>8</v>
      </c>
      <c r="AS571" s="2" t="s">
        <v>480</v>
      </c>
      <c r="AT571" t="b">
        <v>1</v>
      </c>
      <c r="AU571" t="b">
        <v>1</v>
      </c>
      <c r="AV571" s="2"/>
      <c r="AW571" t="s">
        <v>21</v>
      </c>
      <c r="AX571">
        <v>1</v>
      </c>
      <c r="AY571">
        <v>3042</v>
      </c>
      <c r="AZ571" t="s">
        <v>709</v>
      </c>
      <c r="BA571">
        <v>603</v>
      </c>
      <c r="BB571" s="2">
        <v>0.3</v>
      </c>
      <c r="BC571" t="s">
        <v>931</v>
      </c>
      <c r="BD571" t="s">
        <v>922</v>
      </c>
      <c r="BE571" t="s">
        <v>941</v>
      </c>
      <c r="BF571" s="7">
        <v>25</v>
      </c>
      <c r="BG5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71">
        <v>0</v>
      </c>
      <c r="BI571" t="s">
        <v>734</v>
      </c>
      <c r="BJ571" s="11">
        <v>55</v>
      </c>
      <c r="BK571" s="11">
        <v>8</v>
      </c>
      <c r="BL571" s="11">
        <v>72</v>
      </c>
      <c r="BM571">
        <v>0</v>
      </c>
      <c r="BN571" t="s">
        <v>692</v>
      </c>
      <c r="BO571" t="s">
        <v>694</v>
      </c>
      <c r="BP571" t="s">
        <v>701</v>
      </c>
      <c r="BQ571" t="s">
        <v>705</v>
      </c>
      <c r="BR571" t="s">
        <v>706</v>
      </c>
      <c r="BS571" t="s">
        <v>707</v>
      </c>
      <c r="CR571"/>
      <c r="CS571"/>
      <c r="CT571"/>
    </row>
    <row r="572" spans="1:98" x14ac:dyDescent="0.4">
      <c r="A572" s="2" t="s">
        <v>920</v>
      </c>
      <c r="B572" t="str">
        <f>_xlfn.TEXTAFTER(Table1[[#This Row],[VEHIDCODE]],"_")</f>
        <v>Wagon_Gen7M_Boxcar_Type1</v>
      </c>
      <c r="C572" t="s">
        <v>769</v>
      </c>
      <c r="D572" t="b">
        <f>OR(ISNUMBER(SEARCH("wagon_",Table1[[#This Row],[FILENAMES_EXPECTED]])),ISNUMBER(SEARCH("coach_",Table1[[#This Row],[FILENAMES_EXPECTED]])))</f>
        <v>1</v>
      </c>
      <c r="E572" t="str">
        <f>"item_"&amp;Table1[[#This Row],[VEHIDCODE]]</f>
        <v>item_mglv_Wagon_Gen7M_Boxcar_Type1</v>
      </c>
      <c r="F572" t="str">
        <f>"str_"&amp;Table1[[#This Row],[VEHIDCODE]]</f>
        <v>str_mglv_Wagon_Gen7M_Boxcar_Type1</v>
      </c>
      <c r="AI572" t="b">
        <v>1</v>
      </c>
      <c r="AJ572" s="2"/>
      <c r="AK572" s="2" t="b">
        <f>LEN(_xlfn.CONCAT(Table1[[#This Row],[TRACK_TYPE_STANDARD_GAUGE_RAILTYPE_OHLE]:[TRACK_TYPE_MTRO]]))&gt;0</f>
        <v>1</v>
      </c>
      <c r="AL572">
        <v>8</v>
      </c>
      <c r="AM572" t="s">
        <v>600</v>
      </c>
      <c r="AN572">
        <v>0</v>
      </c>
      <c r="AO572" t="s">
        <v>19</v>
      </c>
      <c r="AP572">
        <v>74</v>
      </c>
      <c r="AQ572">
        <v>2010</v>
      </c>
      <c r="AR572">
        <v>8</v>
      </c>
      <c r="AS572" s="2" t="s">
        <v>33</v>
      </c>
      <c r="AT572" t="b">
        <v>1</v>
      </c>
      <c r="AV572" s="2" t="b">
        <v>1</v>
      </c>
      <c r="AW572" t="s">
        <v>21</v>
      </c>
      <c r="AX572">
        <v>0</v>
      </c>
      <c r="AY572">
        <v>0</v>
      </c>
      <c r="AZ572" t="s">
        <v>709</v>
      </c>
      <c r="BA572">
        <v>160</v>
      </c>
      <c r="BB572" s="2">
        <v>0.3</v>
      </c>
      <c r="BC572" t="s">
        <v>933</v>
      </c>
      <c r="BD572" t="s">
        <v>922</v>
      </c>
      <c r="BE572" t="s">
        <v>941</v>
      </c>
      <c r="BF572" s="7">
        <v>25</v>
      </c>
      <c r="BG5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72">
        <v>0</v>
      </c>
      <c r="BI572" t="s">
        <v>734</v>
      </c>
      <c r="BJ572" s="11"/>
      <c r="BK572" s="11"/>
      <c r="BL572" s="11">
        <v>27</v>
      </c>
      <c r="BM572">
        <v>0</v>
      </c>
      <c r="BN572" t="s">
        <v>692</v>
      </c>
      <c r="BO572" t="s">
        <v>694</v>
      </c>
      <c r="BP572" t="s">
        <v>701</v>
      </c>
      <c r="BQ572" t="s">
        <v>705</v>
      </c>
      <c r="BR572" t="s">
        <v>706</v>
      </c>
      <c r="BS572" t="s">
        <v>707</v>
      </c>
      <c r="CR572"/>
      <c r="CS572"/>
      <c r="CT572"/>
    </row>
    <row r="573" spans="1:98" x14ac:dyDescent="0.4">
      <c r="A573" s="2" t="s">
        <v>903</v>
      </c>
      <c r="B573" t="str">
        <f>_xlfn.TEXTAFTER(Table1[[#This Row],[VEHIDCODE]],"_")</f>
        <v>Wagon_Gen7M_Boxcar_Type2</v>
      </c>
      <c r="C573" t="s">
        <v>769</v>
      </c>
      <c r="D573" t="b">
        <f>OR(ISNUMBER(SEARCH("wagon_",Table1[[#This Row],[FILENAMES_EXPECTED]])),ISNUMBER(SEARCH("coach_",Table1[[#This Row],[FILENAMES_EXPECTED]])))</f>
        <v>1</v>
      </c>
      <c r="E573" t="str">
        <f>"item_"&amp;Table1[[#This Row],[VEHIDCODE]]</f>
        <v>item_mglv_Wagon_Gen7M_Boxcar_Type2</v>
      </c>
      <c r="F573" t="str">
        <f>"str_"&amp;Table1[[#This Row],[VEHIDCODE]]</f>
        <v>str_mglv_Wagon_Gen7M_Boxcar_Type2</v>
      </c>
      <c r="AI573" t="b">
        <v>1</v>
      </c>
      <c r="AJ573" s="2"/>
      <c r="AK573" s="2" t="b">
        <f>LEN(_xlfn.CONCAT(Table1[[#This Row],[TRACK_TYPE_STANDARD_GAUGE_RAILTYPE_OHLE]:[TRACK_TYPE_MTRO]]))&gt;0</f>
        <v>1</v>
      </c>
      <c r="AL573">
        <v>8</v>
      </c>
      <c r="AM573" t="s">
        <v>600</v>
      </c>
      <c r="AN573">
        <v>0</v>
      </c>
      <c r="AO573" t="s">
        <v>19</v>
      </c>
      <c r="AP573">
        <v>74</v>
      </c>
      <c r="AQ573">
        <v>2010</v>
      </c>
      <c r="AR573">
        <v>8</v>
      </c>
      <c r="AS573" s="2" t="s">
        <v>33</v>
      </c>
      <c r="AT573" t="b">
        <v>1</v>
      </c>
      <c r="AV573" s="2" t="b">
        <v>1</v>
      </c>
      <c r="AW573" t="s">
        <v>21</v>
      </c>
      <c r="AX573">
        <v>0</v>
      </c>
      <c r="AY573">
        <v>0</v>
      </c>
      <c r="AZ573" t="s">
        <v>709</v>
      </c>
      <c r="BA573">
        <v>160</v>
      </c>
      <c r="BB573" s="2">
        <v>0.3</v>
      </c>
      <c r="BC573" t="s">
        <v>934</v>
      </c>
      <c r="BD573" t="s">
        <v>922</v>
      </c>
      <c r="BE573" t="s">
        <v>941</v>
      </c>
      <c r="BF573" s="7">
        <v>25</v>
      </c>
      <c r="BG5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73">
        <v>0</v>
      </c>
      <c r="BI573" t="s">
        <v>734</v>
      </c>
      <c r="BJ573" s="11"/>
      <c r="BK573" s="11"/>
      <c r="BL573" s="11">
        <v>27</v>
      </c>
      <c r="BM573">
        <v>0</v>
      </c>
      <c r="BN573" t="s">
        <v>692</v>
      </c>
      <c r="BO573" t="s">
        <v>694</v>
      </c>
      <c r="BP573" t="s">
        <v>701</v>
      </c>
      <c r="BQ573" t="s">
        <v>705</v>
      </c>
      <c r="BR573" t="s">
        <v>706</v>
      </c>
      <c r="BS573" t="s">
        <v>707</v>
      </c>
      <c r="CR573"/>
      <c r="CS573"/>
      <c r="CT573"/>
    </row>
    <row r="574" spans="1:98" x14ac:dyDescent="0.4">
      <c r="A574" s="2" t="s">
        <v>904</v>
      </c>
      <c r="B574" t="str">
        <f>_xlfn.TEXTAFTER(Table1[[#This Row],[VEHIDCODE]],"_")</f>
        <v>Wagon_Gen7M_Car_Transporter</v>
      </c>
      <c r="C574" t="s">
        <v>769</v>
      </c>
      <c r="D574" t="b">
        <f>OR(ISNUMBER(SEARCH("wagon_",Table1[[#This Row],[FILENAMES_EXPECTED]])),ISNUMBER(SEARCH("coach_",Table1[[#This Row],[FILENAMES_EXPECTED]])))</f>
        <v>1</v>
      </c>
      <c r="E574" t="str">
        <f>"item_"&amp;Table1[[#This Row],[VEHIDCODE]]</f>
        <v>item_mglv_Wagon_Gen7M_Car_Transporter</v>
      </c>
      <c r="F574" t="str">
        <f>"str_"&amp;Table1[[#This Row],[VEHIDCODE]]</f>
        <v>str_mglv_Wagon_Gen7M_Car_Transporter</v>
      </c>
      <c r="AI574" t="b">
        <v>1</v>
      </c>
      <c r="AJ574" s="2"/>
      <c r="AK574" s="2" t="b">
        <f>LEN(_xlfn.CONCAT(Table1[[#This Row],[TRACK_TYPE_STANDARD_GAUGE_RAILTYPE_OHLE]:[TRACK_TYPE_MTRO]]))&gt;0</f>
        <v>1</v>
      </c>
      <c r="AL574">
        <v>8</v>
      </c>
      <c r="AM574" t="s">
        <v>601</v>
      </c>
      <c r="AN574">
        <v>0</v>
      </c>
      <c r="AO574" t="s">
        <v>19</v>
      </c>
      <c r="AP574">
        <v>20</v>
      </c>
      <c r="AQ574">
        <v>2020</v>
      </c>
      <c r="AR574">
        <v>8</v>
      </c>
      <c r="AS574" s="2" t="s">
        <v>33</v>
      </c>
      <c r="AT574" t="b">
        <v>1</v>
      </c>
      <c r="AV574" s="2" t="b">
        <v>1</v>
      </c>
      <c r="AW574" t="s">
        <v>21</v>
      </c>
      <c r="AX574">
        <v>0</v>
      </c>
      <c r="AY574">
        <v>0</v>
      </c>
      <c r="AZ574" t="s">
        <v>709</v>
      </c>
      <c r="BA574">
        <v>160</v>
      </c>
      <c r="BB574" s="2">
        <v>0.3</v>
      </c>
      <c r="BC574" t="s">
        <v>936</v>
      </c>
      <c r="BD574" t="s">
        <v>922</v>
      </c>
      <c r="BE574" t="s">
        <v>941</v>
      </c>
      <c r="BF574" s="7">
        <v>25</v>
      </c>
      <c r="BG5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74">
        <v>0</v>
      </c>
      <c r="BI574" t="s">
        <v>734</v>
      </c>
      <c r="BJ574" s="11"/>
      <c r="BK574" s="11"/>
      <c r="BL574" s="11">
        <v>28</v>
      </c>
      <c r="BM574">
        <v>0</v>
      </c>
      <c r="BN574" t="s">
        <v>692</v>
      </c>
      <c r="BO574" t="s">
        <v>694</v>
      </c>
      <c r="BP574" t="s">
        <v>701</v>
      </c>
      <c r="BQ574" t="s">
        <v>705</v>
      </c>
      <c r="BR574" t="s">
        <v>706</v>
      </c>
      <c r="BS574" t="s">
        <v>707</v>
      </c>
      <c r="CR574"/>
      <c r="CS574"/>
      <c r="CT574"/>
    </row>
    <row r="575" spans="1:98" x14ac:dyDescent="0.4">
      <c r="A575" s="2" t="s">
        <v>905</v>
      </c>
      <c r="B575" t="str">
        <f>_xlfn.TEXTAFTER(Table1[[#This Row],[VEHIDCODE]],"_")</f>
        <v>Wagon_Gen7M_Centerbeam</v>
      </c>
      <c r="C575" t="s">
        <v>769</v>
      </c>
      <c r="D575" t="b">
        <f>OR(ISNUMBER(SEARCH("wagon_",Table1[[#This Row],[FILENAMES_EXPECTED]])),ISNUMBER(SEARCH("coach_",Table1[[#This Row],[FILENAMES_EXPECTED]])))</f>
        <v>1</v>
      </c>
      <c r="E575" t="str">
        <f>"item_"&amp;Table1[[#This Row],[VEHIDCODE]]</f>
        <v>item_mglv_Wagon_Gen7M_Centerbeam</v>
      </c>
      <c r="F575" t="str">
        <f>"str_"&amp;Table1[[#This Row],[VEHIDCODE]]</f>
        <v>str_mglv_Wagon_Gen7M_Centerbeam</v>
      </c>
      <c r="AI575" t="b">
        <v>1</v>
      </c>
      <c r="AJ575" s="2"/>
      <c r="AK575" s="2" t="b">
        <f>LEN(_xlfn.CONCAT(Table1[[#This Row],[TRACK_TYPE_STANDARD_GAUGE_RAILTYPE_OHLE]:[TRACK_TYPE_MTRO]]))&gt;0</f>
        <v>1</v>
      </c>
      <c r="AL575">
        <v>8</v>
      </c>
      <c r="AM575" t="s">
        <v>602</v>
      </c>
      <c r="AN575">
        <v>0</v>
      </c>
      <c r="AO575" t="s">
        <v>19</v>
      </c>
      <c r="AP575">
        <v>65</v>
      </c>
      <c r="AQ575">
        <v>2010</v>
      </c>
      <c r="AR575">
        <v>8</v>
      </c>
      <c r="AS575" s="2" t="s">
        <v>33</v>
      </c>
      <c r="AT575" t="b">
        <v>1</v>
      </c>
      <c r="AV575" s="2" t="b">
        <v>1</v>
      </c>
      <c r="AW575" t="s">
        <v>21</v>
      </c>
      <c r="AX575">
        <v>0</v>
      </c>
      <c r="AY575">
        <v>0</v>
      </c>
      <c r="AZ575" t="s">
        <v>709</v>
      </c>
      <c r="BA575">
        <v>160</v>
      </c>
      <c r="BB575" s="2">
        <v>0.3</v>
      </c>
      <c r="BC575" t="s">
        <v>936</v>
      </c>
      <c r="BD575" t="s">
        <v>922</v>
      </c>
      <c r="BE575" t="s">
        <v>941</v>
      </c>
      <c r="BF575" s="7">
        <v>25</v>
      </c>
      <c r="BG5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75">
        <v>0</v>
      </c>
      <c r="BI575" t="s">
        <v>734</v>
      </c>
      <c r="BJ575" s="11"/>
      <c r="BK575" s="11"/>
      <c r="BL575" s="11">
        <v>40</v>
      </c>
      <c r="BM575">
        <v>0</v>
      </c>
      <c r="BN575" t="s">
        <v>692</v>
      </c>
      <c r="BO575" t="s">
        <v>694</v>
      </c>
      <c r="BP575" t="s">
        <v>701</v>
      </c>
      <c r="BQ575" t="s">
        <v>705</v>
      </c>
      <c r="BR575" t="s">
        <v>706</v>
      </c>
      <c r="BS575" t="s">
        <v>707</v>
      </c>
      <c r="CR575"/>
      <c r="CS575"/>
      <c r="CT575"/>
    </row>
    <row r="576" spans="1:98" x14ac:dyDescent="0.4">
      <c r="A576" s="2" t="s">
        <v>906</v>
      </c>
      <c r="B576" t="str">
        <f>_xlfn.TEXTAFTER(Table1[[#This Row],[VEHIDCODE]],"_")</f>
        <v>Wagon_Gen7M_Container_Carrier</v>
      </c>
      <c r="C576" t="s">
        <v>769</v>
      </c>
      <c r="D576" t="b">
        <f>OR(ISNUMBER(SEARCH("wagon_",Table1[[#This Row],[FILENAMES_EXPECTED]])),ISNUMBER(SEARCH("coach_",Table1[[#This Row],[FILENAMES_EXPECTED]])))</f>
        <v>1</v>
      </c>
      <c r="E576" t="str">
        <f>"item_"&amp;Table1[[#This Row],[VEHIDCODE]]</f>
        <v>item_mglv_Wagon_Gen7M_Container_Carrier</v>
      </c>
      <c r="F576" t="str">
        <f>"str_"&amp;Table1[[#This Row],[VEHIDCODE]]</f>
        <v>str_mglv_Wagon_Gen7M_Container_Carrier</v>
      </c>
      <c r="AI576" t="b">
        <v>1</v>
      </c>
      <c r="AJ576" s="2"/>
      <c r="AK576" s="2" t="b">
        <f>LEN(_xlfn.CONCAT(Table1[[#This Row],[TRACK_TYPE_STANDARD_GAUGE_RAILTYPE_OHLE]:[TRACK_TYPE_MTRO]]))&gt;0</f>
        <v>1</v>
      </c>
      <c r="AL576">
        <v>8</v>
      </c>
      <c r="AM576" t="s">
        <v>533</v>
      </c>
      <c r="AN576">
        <v>0</v>
      </c>
      <c r="AO576" t="s">
        <v>19</v>
      </c>
      <c r="AP576">
        <v>60</v>
      </c>
      <c r="AQ576">
        <v>2010</v>
      </c>
      <c r="AR576">
        <v>8</v>
      </c>
      <c r="AS576" s="2" t="s">
        <v>33</v>
      </c>
      <c r="AT576" t="b">
        <v>1</v>
      </c>
      <c r="AV576" s="2" t="b">
        <v>1</v>
      </c>
      <c r="AW576" t="s">
        <v>21</v>
      </c>
      <c r="AX576">
        <v>0</v>
      </c>
      <c r="AY576">
        <v>0</v>
      </c>
      <c r="AZ576" t="s">
        <v>709</v>
      </c>
      <c r="BA576">
        <v>160</v>
      </c>
      <c r="BB576" s="2">
        <v>0.3</v>
      </c>
      <c r="BC576" t="s">
        <v>936</v>
      </c>
      <c r="BD576" t="s">
        <v>922</v>
      </c>
      <c r="BE576" t="s">
        <v>941</v>
      </c>
      <c r="BF576" s="7">
        <v>25</v>
      </c>
      <c r="BG5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76">
        <v>0</v>
      </c>
      <c r="BI576" t="s">
        <v>734</v>
      </c>
      <c r="BJ576" s="11"/>
      <c r="BK576" s="11"/>
      <c r="BL576" s="11">
        <v>22</v>
      </c>
      <c r="BM576">
        <v>0</v>
      </c>
      <c r="BN576" t="s">
        <v>692</v>
      </c>
      <c r="BO576" t="s">
        <v>694</v>
      </c>
      <c r="BP576" t="s">
        <v>701</v>
      </c>
      <c r="BQ576" t="s">
        <v>705</v>
      </c>
      <c r="BR576" t="s">
        <v>706</v>
      </c>
      <c r="BS576" t="s">
        <v>707</v>
      </c>
      <c r="CR576"/>
      <c r="CS576"/>
      <c r="CT576"/>
    </row>
    <row r="577" spans="1:98" x14ac:dyDescent="0.4">
      <c r="A577" s="2" t="s">
        <v>907</v>
      </c>
      <c r="B577" t="str">
        <f>_xlfn.TEXTAFTER(Table1[[#This Row],[VEHIDCODE]],"_")</f>
        <v>Wagon_Gen7M_Container_Doublestack</v>
      </c>
      <c r="C577" t="s">
        <v>769</v>
      </c>
      <c r="D577" t="b">
        <f>OR(ISNUMBER(SEARCH("wagon_",Table1[[#This Row],[FILENAMES_EXPECTED]])),ISNUMBER(SEARCH("coach_",Table1[[#This Row],[FILENAMES_EXPECTED]])))</f>
        <v>1</v>
      </c>
      <c r="E577" t="str">
        <f>"item_"&amp;Table1[[#This Row],[VEHIDCODE]]</f>
        <v>item_mglv_Wagon_Gen7M_Container_Doublestack</v>
      </c>
      <c r="F577" t="str">
        <f>"str_"&amp;Table1[[#This Row],[VEHIDCODE]]</f>
        <v>str_mglv_Wagon_Gen7M_Container_Doublestack</v>
      </c>
      <c r="AI577" t="b">
        <v>1</v>
      </c>
      <c r="AJ577" s="2"/>
      <c r="AK577" s="2" t="b">
        <f>LEN(_xlfn.CONCAT(Table1[[#This Row],[TRACK_TYPE_STANDARD_GAUGE_RAILTYPE_OHLE]:[TRACK_TYPE_MTRO]]))&gt;0</f>
        <v>1</v>
      </c>
      <c r="AL577">
        <v>8</v>
      </c>
      <c r="AM577" t="s">
        <v>603</v>
      </c>
      <c r="AN577">
        <v>0</v>
      </c>
      <c r="AO577" t="s">
        <v>19</v>
      </c>
      <c r="AP577">
        <v>75</v>
      </c>
      <c r="AQ577">
        <v>2000</v>
      </c>
      <c r="AR577">
        <v>8</v>
      </c>
      <c r="AS577" s="2" t="s">
        <v>33</v>
      </c>
      <c r="AT577" t="b">
        <v>1</v>
      </c>
      <c r="AV577" s="2" t="b">
        <v>1</v>
      </c>
      <c r="AW577" t="s">
        <v>21</v>
      </c>
      <c r="AX577">
        <v>0</v>
      </c>
      <c r="AY577">
        <v>0</v>
      </c>
      <c r="AZ577" t="s">
        <v>709</v>
      </c>
      <c r="BA577">
        <v>160</v>
      </c>
      <c r="BB577" s="2">
        <v>0.3</v>
      </c>
      <c r="BC577" t="s">
        <v>936</v>
      </c>
      <c r="BD577" t="s">
        <v>922</v>
      </c>
      <c r="BE577" t="s">
        <v>941</v>
      </c>
      <c r="BF577" s="7">
        <v>25</v>
      </c>
      <c r="BG5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77">
        <v>0</v>
      </c>
      <c r="BI577" t="s">
        <v>734</v>
      </c>
      <c r="BJ577" s="11"/>
      <c r="BK577" s="11"/>
      <c r="BL577" s="11">
        <v>25</v>
      </c>
      <c r="BM577">
        <v>0</v>
      </c>
      <c r="BN577" t="s">
        <v>692</v>
      </c>
      <c r="BO577" t="s">
        <v>694</v>
      </c>
      <c r="BP577" t="s">
        <v>701</v>
      </c>
      <c r="BQ577" t="s">
        <v>705</v>
      </c>
      <c r="BR577" t="s">
        <v>706</v>
      </c>
      <c r="BS577" t="s">
        <v>707</v>
      </c>
      <c r="CR577"/>
      <c r="CS577"/>
      <c r="CT577"/>
    </row>
    <row r="578" spans="1:98" x14ac:dyDescent="0.4">
      <c r="A578" s="2" t="s">
        <v>908</v>
      </c>
      <c r="B578" t="str">
        <f>_xlfn.TEXTAFTER(Table1[[#This Row],[VEHIDCODE]],"_")</f>
        <v>Wagon_Gen7M_Flatcar</v>
      </c>
      <c r="C578" t="s">
        <v>769</v>
      </c>
      <c r="D578" t="b">
        <f>OR(ISNUMBER(SEARCH("wagon_",Table1[[#This Row],[FILENAMES_EXPECTED]])),ISNUMBER(SEARCH("coach_",Table1[[#This Row],[FILENAMES_EXPECTED]])))</f>
        <v>1</v>
      </c>
      <c r="E578" t="str">
        <f>"item_"&amp;Table1[[#This Row],[VEHIDCODE]]</f>
        <v>item_mglv_Wagon_Gen7M_Flatcar</v>
      </c>
      <c r="F578" t="str">
        <f>"str_"&amp;Table1[[#This Row],[VEHIDCODE]]</f>
        <v>str_mglv_Wagon_Gen7M_Flatcar</v>
      </c>
      <c r="AI578" t="b">
        <v>1</v>
      </c>
      <c r="AJ578" s="2"/>
      <c r="AK578" s="2" t="b">
        <f>LEN(_xlfn.CONCAT(Table1[[#This Row],[TRACK_TYPE_STANDARD_GAUGE_RAILTYPE_OHLE]:[TRACK_TYPE_MTRO]]))&gt;0</f>
        <v>1</v>
      </c>
      <c r="AL578">
        <v>8</v>
      </c>
      <c r="AM578" t="s">
        <v>604</v>
      </c>
      <c r="AN578">
        <v>0</v>
      </c>
      <c r="AO578" t="s">
        <v>19</v>
      </c>
      <c r="AP578">
        <v>72</v>
      </c>
      <c r="AQ578">
        <v>2010</v>
      </c>
      <c r="AR578">
        <v>8</v>
      </c>
      <c r="AS578" s="2" t="s">
        <v>33</v>
      </c>
      <c r="AT578" t="b">
        <v>1</v>
      </c>
      <c r="AV578" s="2" t="b">
        <v>1</v>
      </c>
      <c r="AW578" t="s">
        <v>21</v>
      </c>
      <c r="AX578">
        <v>0</v>
      </c>
      <c r="AY578">
        <v>0</v>
      </c>
      <c r="AZ578" t="s">
        <v>709</v>
      </c>
      <c r="BA578">
        <v>160</v>
      </c>
      <c r="BB578" s="2">
        <v>0.3</v>
      </c>
      <c r="BC578" t="s">
        <v>936</v>
      </c>
      <c r="BD578" t="s">
        <v>922</v>
      </c>
      <c r="BE578" t="s">
        <v>941</v>
      </c>
      <c r="BF578" s="7">
        <v>25</v>
      </c>
      <c r="BG5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78">
        <v>0</v>
      </c>
      <c r="BI578" t="s">
        <v>734</v>
      </c>
      <c r="BJ578" s="11"/>
      <c r="BK578" s="11"/>
      <c r="BL578" s="11">
        <v>23</v>
      </c>
      <c r="BM578">
        <v>0</v>
      </c>
      <c r="BN578" t="s">
        <v>692</v>
      </c>
      <c r="BO578" t="s">
        <v>694</v>
      </c>
      <c r="BP578" t="s">
        <v>701</v>
      </c>
      <c r="BQ578" t="s">
        <v>705</v>
      </c>
      <c r="BR578" t="s">
        <v>706</v>
      </c>
      <c r="BS578" t="s">
        <v>707</v>
      </c>
      <c r="CR578"/>
      <c r="CS578"/>
      <c r="CT578"/>
    </row>
    <row r="579" spans="1:98" x14ac:dyDescent="0.4">
      <c r="A579" s="2" t="s">
        <v>909</v>
      </c>
      <c r="B579" t="str">
        <f>_xlfn.TEXTAFTER(Table1[[#This Row],[VEHIDCODE]],"_")</f>
        <v>Wagon_Gen7M_Gondola</v>
      </c>
      <c r="C579" t="s">
        <v>769</v>
      </c>
      <c r="D579" t="b">
        <f>OR(ISNUMBER(SEARCH("wagon_",Table1[[#This Row],[FILENAMES_EXPECTED]])),ISNUMBER(SEARCH("coach_",Table1[[#This Row],[FILENAMES_EXPECTED]])))</f>
        <v>1</v>
      </c>
      <c r="E579" t="str">
        <f>"item_"&amp;Table1[[#This Row],[VEHIDCODE]]</f>
        <v>item_mglv_Wagon_Gen7M_Gondola</v>
      </c>
      <c r="F579" t="str">
        <f>"str_"&amp;Table1[[#This Row],[VEHIDCODE]]</f>
        <v>str_mglv_Wagon_Gen7M_Gondola</v>
      </c>
      <c r="AI579" t="b">
        <v>1</v>
      </c>
      <c r="AJ579" s="2"/>
      <c r="AK579" s="2" t="b">
        <f>LEN(_xlfn.CONCAT(Table1[[#This Row],[TRACK_TYPE_STANDARD_GAUGE_RAILTYPE_OHLE]:[TRACK_TYPE_MTRO]]))&gt;0</f>
        <v>1</v>
      </c>
      <c r="AL579">
        <v>8</v>
      </c>
      <c r="AM579" t="s">
        <v>605</v>
      </c>
      <c r="AN579">
        <v>0</v>
      </c>
      <c r="AO579" t="s">
        <v>19</v>
      </c>
      <c r="AP579">
        <v>75</v>
      </c>
      <c r="AQ579">
        <v>2010</v>
      </c>
      <c r="AR579">
        <v>8</v>
      </c>
      <c r="AS579" s="2" t="s">
        <v>33</v>
      </c>
      <c r="AT579" t="b">
        <v>1</v>
      </c>
      <c r="AV579" s="2" t="b">
        <v>1</v>
      </c>
      <c r="AW579" t="s">
        <v>21</v>
      </c>
      <c r="AX579">
        <v>0</v>
      </c>
      <c r="AY579">
        <v>0</v>
      </c>
      <c r="AZ579" t="s">
        <v>709</v>
      </c>
      <c r="BA579">
        <v>160</v>
      </c>
      <c r="BB579" s="2">
        <v>0.3</v>
      </c>
      <c r="BC579" t="s">
        <v>936</v>
      </c>
      <c r="BD579" t="s">
        <v>922</v>
      </c>
      <c r="BE579" t="s">
        <v>941</v>
      </c>
      <c r="BF579" s="7">
        <v>25</v>
      </c>
      <c r="BG5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79">
        <v>0</v>
      </c>
      <c r="BI579" t="s">
        <v>734</v>
      </c>
      <c r="BJ579" s="11"/>
      <c r="BK579" s="11"/>
      <c r="BL579" s="11">
        <v>22</v>
      </c>
      <c r="BM579">
        <v>0</v>
      </c>
      <c r="BN579" t="s">
        <v>692</v>
      </c>
      <c r="BO579" t="s">
        <v>694</v>
      </c>
      <c r="BP579" t="s">
        <v>701</v>
      </c>
      <c r="BQ579" t="s">
        <v>705</v>
      </c>
      <c r="BR579" t="s">
        <v>706</v>
      </c>
      <c r="BS579" t="s">
        <v>707</v>
      </c>
      <c r="CR579"/>
      <c r="CS579"/>
      <c r="CT579"/>
    </row>
    <row r="580" spans="1:98" x14ac:dyDescent="0.4">
      <c r="A580" s="2" t="s">
        <v>910</v>
      </c>
      <c r="B580" t="str">
        <f>_xlfn.TEXTAFTER(Table1[[#This Row],[VEHIDCODE]],"_")</f>
        <v>Wagon_Gen7M_Heavy_Flatcar</v>
      </c>
      <c r="C580" t="s">
        <v>769</v>
      </c>
      <c r="D580" t="b">
        <f>OR(ISNUMBER(SEARCH("wagon_",Table1[[#This Row],[FILENAMES_EXPECTED]])),ISNUMBER(SEARCH("coach_",Table1[[#This Row],[FILENAMES_EXPECTED]])))</f>
        <v>1</v>
      </c>
      <c r="E580" t="str">
        <f>"item_"&amp;Table1[[#This Row],[VEHIDCODE]]</f>
        <v>item_mglv_Wagon_Gen7M_Heavy_Flatcar</v>
      </c>
      <c r="F580" t="str">
        <f>"str_"&amp;Table1[[#This Row],[VEHIDCODE]]</f>
        <v>str_mglv_Wagon_Gen7M_Heavy_Flatcar</v>
      </c>
      <c r="AI580" t="b">
        <v>1</v>
      </c>
      <c r="AJ580" s="2"/>
      <c r="AK580" s="2" t="b">
        <f>LEN(_xlfn.CONCAT(Table1[[#This Row],[TRACK_TYPE_STANDARD_GAUGE_RAILTYPE_OHLE]:[TRACK_TYPE_MTRO]]))&gt;0</f>
        <v>1</v>
      </c>
      <c r="AL580">
        <v>8</v>
      </c>
      <c r="AM580" t="s">
        <v>606</v>
      </c>
      <c r="AN580">
        <v>0</v>
      </c>
      <c r="AO580" t="s">
        <v>19</v>
      </c>
      <c r="AP580">
        <v>96</v>
      </c>
      <c r="AQ580">
        <v>2020</v>
      </c>
      <c r="AR580">
        <v>8</v>
      </c>
      <c r="AS580" s="2" t="s">
        <v>33</v>
      </c>
      <c r="AT580" t="b">
        <v>1</v>
      </c>
      <c r="AV580" s="2" t="b">
        <v>1</v>
      </c>
      <c r="AW580" t="s">
        <v>21</v>
      </c>
      <c r="AX580">
        <v>0</v>
      </c>
      <c r="AY580">
        <v>0</v>
      </c>
      <c r="AZ580" t="s">
        <v>709</v>
      </c>
      <c r="BA580">
        <v>140</v>
      </c>
      <c r="BB580" s="2">
        <v>0.3</v>
      </c>
      <c r="BC580" t="s">
        <v>936</v>
      </c>
      <c r="BD580" t="s">
        <v>922</v>
      </c>
      <c r="BE580" t="s">
        <v>941</v>
      </c>
      <c r="BF580" s="7">
        <v>25</v>
      </c>
      <c r="BG5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80">
        <v>0</v>
      </c>
      <c r="BI580" t="s">
        <v>734</v>
      </c>
      <c r="BJ580" s="11"/>
      <c r="BK580" s="11"/>
      <c r="BL580" s="11">
        <v>42</v>
      </c>
      <c r="BM580">
        <v>0</v>
      </c>
      <c r="BN580" t="s">
        <v>692</v>
      </c>
      <c r="BO580" t="s">
        <v>694</v>
      </c>
      <c r="BP580" t="s">
        <v>701</v>
      </c>
      <c r="BQ580" t="s">
        <v>705</v>
      </c>
      <c r="BR580" t="s">
        <v>706</v>
      </c>
      <c r="BS580" t="s">
        <v>707</v>
      </c>
      <c r="CR580"/>
      <c r="CS580"/>
      <c r="CT580"/>
    </row>
    <row r="581" spans="1:98" x14ac:dyDescent="0.4">
      <c r="A581" s="2" t="s">
        <v>911</v>
      </c>
      <c r="B581" t="str">
        <f>_xlfn.TEXTAFTER(Table1[[#This Row],[VEHIDCODE]],"_")</f>
        <v>Wagon_Gen7M_Hopper_Type1</v>
      </c>
      <c r="C581" t="s">
        <v>769</v>
      </c>
      <c r="D581" t="b">
        <f>OR(ISNUMBER(SEARCH("wagon_",Table1[[#This Row],[FILENAMES_EXPECTED]])),ISNUMBER(SEARCH("coach_",Table1[[#This Row],[FILENAMES_EXPECTED]])))</f>
        <v>1</v>
      </c>
      <c r="E581" t="str">
        <f>"item_"&amp;Table1[[#This Row],[VEHIDCODE]]</f>
        <v>item_mglv_Wagon_Gen7M_Hopper_Type1</v>
      </c>
      <c r="F581" t="str">
        <f>"str_"&amp;Table1[[#This Row],[VEHIDCODE]]</f>
        <v>str_mglv_Wagon_Gen7M_Hopper_Type1</v>
      </c>
      <c r="AI581" t="b">
        <v>1</v>
      </c>
      <c r="AJ581" s="2"/>
      <c r="AK581" s="2" t="b">
        <f>LEN(_xlfn.CONCAT(Table1[[#This Row],[TRACK_TYPE_STANDARD_GAUGE_RAILTYPE_OHLE]:[TRACK_TYPE_MTRO]]))&gt;0</f>
        <v>1</v>
      </c>
      <c r="AL581">
        <v>8</v>
      </c>
      <c r="AM581" t="s">
        <v>607</v>
      </c>
      <c r="AN581">
        <v>0</v>
      </c>
      <c r="AO581" t="s">
        <v>19</v>
      </c>
      <c r="AP581">
        <v>75</v>
      </c>
      <c r="AQ581">
        <v>2020</v>
      </c>
      <c r="AR581">
        <v>8</v>
      </c>
      <c r="AS581" s="2" t="s">
        <v>33</v>
      </c>
      <c r="AT581" t="b">
        <v>1</v>
      </c>
      <c r="AV581" s="2" t="b">
        <v>1</v>
      </c>
      <c r="AW581" t="s">
        <v>21</v>
      </c>
      <c r="AX581">
        <v>0</v>
      </c>
      <c r="AY581">
        <v>0</v>
      </c>
      <c r="AZ581" t="s">
        <v>709</v>
      </c>
      <c r="BA581">
        <v>160</v>
      </c>
      <c r="BB581" s="2">
        <v>0.3</v>
      </c>
      <c r="BC581" t="s">
        <v>933</v>
      </c>
      <c r="BD581" t="s">
        <v>922</v>
      </c>
      <c r="BE581" t="s">
        <v>941</v>
      </c>
      <c r="BF581" s="7">
        <v>25</v>
      </c>
      <c r="BG5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81">
        <v>0</v>
      </c>
      <c r="BI581" t="s">
        <v>734</v>
      </c>
      <c r="BJ581" s="11"/>
      <c r="BK581" s="11"/>
      <c r="BL581" s="11">
        <v>26</v>
      </c>
      <c r="BM581">
        <v>0</v>
      </c>
      <c r="BN581" t="s">
        <v>692</v>
      </c>
      <c r="BO581" t="s">
        <v>694</v>
      </c>
      <c r="BP581" t="s">
        <v>701</v>
      </c>
      <c r="BQ581" t="s">
        <v>705</v>
      </c>
      <c r="BR581" t="s">
        <v>706</v>
      </c>
      <c r="BS581" t="s">
        <v>707</v>
      </c>
      <c r="CR581"/>
      <c r="CS581"/>
      <c r="CT581"/>
    </row>
    <row r="582" spans="1:98" x14ac:dyDescent="0.4">
      <c r="A582" s="2" t="s">
        <v>912</v>
      </c>
      <c r="B582" t="str">
        <f>_xlfn.TEXTAFTER(Table1[[#This Row],[VEHIDCODE]],"_")</f>
        <v>Wagon_Gen7M_Hopper_Type2</v>
      </c>
      <c r="C582" t="s">
        <v>769</v>
      </c>
      <c r="D582" t="b">
        <f>OR(ISNUMBER(SEARCH("wagon_",Table1[[#This Row],[FILENAMES_EXPECTED]])),ISNUMBER(SEARCH("coach_",Table1[[#This Row],[FILENAMES_EXPECTED]])))</f>
        <v>1</v>
      </c>
      <c r="E582" t="str">
        <f>"item_"&amp;Table1[[#This Row],[VEHIDCODE]]</f>
        <v>item_mglv_Wagon_Gen7M_Hopper_Type2</v>
      </c>
      <c r="F582" t="str">
        <f>"str_"&amp;Table1[[#This Row],[VEHIDCODE]]</f>
        <v>str_mglv_Wagon_Gen7M_Hopper_Type2</v>
      </c>
      <c r="AI582" t="b">
        <v>1</v>
      </c>
      <c r="AJ582" s="2"/>
      <c r="AK582" s="2" t="b">
        <f>LEN(_xlfn.CONCAT(Table1[[#This Row],[TRACK_TYPE_STANDARD_GAUGE_RAILTYPE_OHLE]:[TRACK_TYPE_MTRO]]))&gt;0</f>
        <v>1</v>
      </c>
      <c r="AL582">
        <v>8</v>
      </c>
      <c r="AM582" t="s">
        <v>607</v>
      </c>
      <c r="AN582">
        <v>0</v>
      </c>
      <c r="AO582" t="s">
        <v>19</v>
      </c>
      <c r="AP582">
        <v>75</v>
      </c>
      <c r="AQ582">
        <v>2020</v>
      </c>
      <c r="AR582">
        <v>8</v>
      </c>
      <c r="AS582" s="2" t="s">
        <v>33</v>
      </c>
      <c r="AT582" t="b">
        <v>1</v>
      </c>
      <c r="AV582" s="2" t="b">
        <v>1</v>
      </c>
      <c r="AW582" t="s">
        <v>21</v>
      </c>
      <c r="AX582">
        <v>0</v>
      </c>
      <c r="AY582">
        <v>0</v>
      </c>
      <c r="AZ582" t="s">
        <v>709</v>
      </c>
      <c r="BA582">
        <v>160</v>
      </c>
      <c r="BB582" s="2">
        <v>0.3</v>
      </c>
      <c r="BC582" t="s">
        <v>936</v>
      </c>
      <c r="BD582" t="s">
        <v>922</v>
      </c>
      <c r="BE582" t="s">
        <v>941</v>
      </c>
      <c r="BF582" s="7">
        <v>25</v>
      </c>
      <c r="BG5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82">
        <v>0</v>
      </c>
      <c r="BI582" t="s">
        <v>734</v>
      </c>
      <c r="BJ582" s="11"/>
      <c r="BK582" s="11"/>
      <c r="BL582" s="11">
        <v>26</v>
      </c>
      <c r="BM582">
        <v>0</v>
      </c>
      <c r="BN582" t="s">
        <v>692</v>
      </c>
      <c r="BO582" t="s">
        <v>694</v>
      </c>
      <c r="BP582" t="s">
        <v>701</v>
      </c>
      <c r="BQ582" t="s">
        <v>705</v>
      </c>
      <c r="BR582" t="s">
        <v>706</v>
      </c>
      <c r="BS582" t="s">
        <v>707</v>
      </c>
      <c r="CR582"/>
      <c r="CS582"/>
      <c r="CT582"/>
    </row>
    <row r="583" spans="1:98" x14ac:dyDescent="0.4">
      <c r="A583" s="2" t="s">
        <v>913</v>
      </c>
      <c r="B583" t="str">
        <f>_xlfn.TEXTAFTER(Table1[[#This Row],[VEHIDCODE]],"_")</f>
        <v>Wagon_Gen7M_Silo_Type1</v>
      </c>
      <c r="C583" t="s">
        <v>769</v>
      </c>
      <c r="D583" t="b">
        <f>OR(ISNUMBER(SEARCH("wagon_",Table1[[#This Row],[FILENAMES_EXPECTED]])),ISNUMBER(SEARCH("coach_",Table1[[#This Row],[FILENAMES_EXPECTED]])))</f>
        <v>1</v>
      </c>
      <c r="E583" t="str">
        <f>"item_"&amp;Table1[[#This Row],[VEHIDCODE]]</f>
        <v>item_mglv_Wagon_Gen7M_Silo_Type1</v>
      </c>
      <c r="F583" t="str">
        <f>"str_"&amp;Table1[[#This Row],[VEHIDCODE]]</f>
        <v>str_mglv_Wagon_Gen7M_Silo_Type1</v>
      </c>
      <c r="AI583" t="b">
        <v>1</v>
      </c>
      <c r="AJ583" s="2"/>
      <c r="AK583" s="2" t="b">
        <f>LEN(_xlfn.CONCAT(Table1[[#This Row],[TRACK_TYPE_STANDARD_GAUGE_RAILTYPE_OHLE]:[TRACK_TYPE_MTRO]]))&gt;0</f>
        <v>1</v>
      </c>
      <c r="AL583">
        <v>8</v>
      </c>
      <c r="AM583" t="s">
        <v>608</v>
      </c>
      <c r="AN583">
        <v>0</v>
      </c>
      <c r="AO583" t="s">
        <v>19</v>
      </c>
      <c r="AP583">
        <v>75</v>
      </c>
      <c r="AQ583">
        <v>2020</v>
      </c>
      <c r="AR583">
        <v>8</v>
      </c>
      <c r="AS583" s="2" t="s">
        <v>33</v>
      </c>
      <c r="AT583" t="b">
        <v>1</v>
      </c>
      <c r="AV583" s="2" t="b">
        <v>1</v>
      </c>
      <c r="AW583" t="s">
        <v>21</v>
      </c>
      <c r="AX583">
        <v>0</v>
      </c>
      <c r="AY583">
        <v>0</v>
      </c>
      <c r="AZ583" t="s">
        <v>709</v>
      </c>
      <c r="BA583">
        <v>160</v>
      </c>
      <c r="BB583" s="2">
        <v>0.3</v>
      </c>
      <c r="BC583" t="s">
        <v>933</v>
      </c>
      <c r="BD583" t="s">
        <v>922</v>
      </c>
      <c r="BE583" t="s">
        <v>941</v>
      </c>
      <c r="BF583" s="7">
        <v>25</v>
      </c>
      <c r="BG5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83">
        <v>0</v>
      </c>
      <c r="BI583" t="s">
        <v>734</v>
      </c>
      <c r="BJ583" s="11"/>
      <c r="BK583" s="11"/>
      <c r="BL583" s="11">
        <v>27</v>
      </c>
      <c r="BM583">
        <v>0</v>
      </c>
      <c r="BN583" t="s">
        <v>692</v>
      </c>
      <c r="BO583" t="s">
        <v>694</v>
      </c>
      <c r="BP583" t="s">
        <v>701</v>
      </c>
      <c r="BQ583" t="s">
        <v>705</v>
      </c>
      <c r="BR583" t="s">
        <v>706</v>
      </c>
      <c r="BS583" t="s">
        <v>707</v>
      </c>
      <c r="CR583"/>
      <c r="CS583"/>
      <c r="CT583"/>
    </row>
    <row r="584" spans="1:98" x14ac:dyDescent="0.4">
      <c r="A584" s="2" t="s">
        <v>914</v>
      </c>
      <c r="B584" t="str">
        <f>_xlfn.TEXTAFTER(Table1[[#This Row],[VEHIDCODE]],"_")</f>
        <v>Wagon_Gen7M_Silo_Type2</v>
      </c>
      <c r="C584" t="s">
        <v>769</v>
      </c>
      <c r="D584" t="b">
        <f>OR(ISNUMBER(SEARCH("wagon_",Table1[[#This Row],[FILENAMES_EXPECTED]])),ISNUMBER(SEARCH("coach_",Table1[[#This Row],[FILENAMES_EXPECTED]])))</f>
        <v>1</v>
      </c>
      <c r="E584" t="str">
        <f>"item_"&amp;Table1[[#This Row],[VEHIDCODE]]</f>
        <v>item_mglv_Wagon_Gen7M_Silo_Type2</v>
      </c>
      <c r="F584" t="str">
        <f>"str_"&amp;Table1[[#This Row],[VEHIDCODE]]</f>
        <v>str_mglv_Wagon_Gen7M_Silo_Type2</v>
      </c>
      <c r="AI584" t="b">
        <v>1</v>
      </c>
      <c r="AJ584" s="2"/>
      <c r="AK584" s="2" t="b">
        <f>LEN(_xlfn.CONCAT(Table1[[#This Row],[TRACK_TYPE_STANDARD_GAUGE_RAILTYPE_OHLE]:[TRACK_TYPE_MTRO]]))&gt;0</f>
        <v>1</v>
      </c>
      <c r="AL584">
        <v>8</v>
      </c>
      <c r="AM584" t="s">
        <v>608</v>
      </c>
      <c r="AN584">
        <v>0</v>
      </c>
      <c r="AO584" t="s">
        <v>19</v>
      </c>
      <c r="AP584">
        <v>75</v>
      </c>
      <c r="AQ584">
        <v>2020</v>
      </c>
      <c r="AR584">
        <v>8</v>
      </c>
      <c r="AS584" s="2" t="s">
        <v>33</v>
      </c>
      <c r="AT584" t="b">
        <v>1</v>
      </c>
      <c r="AV584" s="2" t="b">
        <v>1</v>
      </c>
      <c r="AW584" t="s">
        <v>21</v>
      </c>
      <c r="AX584">
        <v>0</v>
      </c>
      <c r="AY584">
        <v>0</v>
      </c>
      <c r="AZ584" t="s">
        <v>709</v>
      </c>
      <c r="BA584">
        <v>160</v>
      </c>
      <c r="BB584" s="2">
        <v>0.3</v>
      </c>
      <c r="BC584" t="s">
        <v>934</v>
      </c>
      <c r="BD584" t="s">
        <v>922</v>
      </c>
      <c r="BE584" t="s">
        <v>941</v>
      </c>
      <c r="BF584" s="7">
        <v>25</v>
      </c>
      <c r="BG5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84">
        <v>0</v>
      </c>
      <c r="BI584" t="s">
        <v>734</v>
      </c>
      <c r="BJ584" s="11"/>
      <c r="BK584" s="11"/>
      <c r="BL584" s="11">
        <v>27</v>
      </c>
      <c r="BM584">
        <v>0</v>
      </c>
      <c r="BN584" t="s">
        <v>692</v>
      </c>
      <c r="BO584" t="s">
        <v>694</v>
      </c>
      <c r="BP584" t="s">
        <v>701</v>
      </c>
      <c r="BQ584" t="s">
        <v>705</v>
      </c>
      <c r="BR584" t="s">
        <v>706</v>
      </c>
      <c r="BS584" t="s">
        <v>707</v>
      </c>
      <c r="CR584"/>
      <c r="CS584"/>
      <c r="CT584"/>
    </row>
    <row r="585" spans="1:98" x14ac:dyDescent="0.4">
      <c r="A585" s="2" t="s">
        <v>915</v>
      </c>
      <c r="B585" t="str">
        <f>_xlfn.TEXTAFTER(Table1[[#This Row],[VEHIDCODE]],"_")</f>
        <v>Wagon_Gen7M_Superheavy_Flatcar</v>
      </c>
      <c r="C585" t="s">
        <v>769</v>
      </c>
      <c r="D585" t="b">
        <f>OR(ISNUMBER(SEARCH("wagon_",Table1[[#This Row],[FILENAMES_EXPECTED]])),ISNUMBER(SEARCH("coach_",Table1[[#This Row],[FILENAMES_EXPECTED]])))</f>
        <v>1</v>
      </c>
      <c r="E585" t="str">
        <f>"item_"&amp;Table1[[#This Row],[VEHIDCODE]]</f>
        <v>item_mglv_Wagon_Gen7M_Superheavy_Flatcar</v>
      </c>
      <c r="F585" t="str">
        <f>"str_"&amp;Table1[[#This Row],[VEHIDCODE]]</f>
        <v>str_mglv_Wagon_Gen7M_Superheavy_Flatcar</v>
      </c>
      <c r="AI585" t="b">
        <v>1</v>
      </c>
      <c r="AJ585" s="2"/>
      <c r="AK585" s="2" t="b">
        <f>LEN(_xlfn.CONCAT(Table1[[#This Row],[TRACK_TYPE_STANDARD_GAUGE_RAILTYPE_OHLE]:[TRACK_TYPE_MTRO]]))&gt;0</f>
        <v>1</v>
      </c>
      <c r="AL585">
        <v>12</v>
      </c>
      <c r="AM585" t="s">
        <v>609</v>
      </c>
      <c r="AN585">
        <v>0</v>
      </c>
      <c r="AO585" t="s">
        <v>19</v>
      </c>
      <c r="AP585">
        <v>65</v>
      </c>
      <c r="AQ585">
        <v>2010</v>
      </c>
      <c r="AR585">
        <v>4</v>
      </c>
      <c r="AS585" s="2" t="s">
        <v>33</v>
      </c>
      <c r="AT585" t="b">
        <v>1</v>
      </c>
      <c r="AV585" s="2" t="b">
        <v>1</v>
      </c>
      <c r="AW585" t="s">
        <v>21</v>
      </c>
      <c r="AX585">
        <v>0</v>
      </c>
      <c r="AY585">
        <v>0</v>
      </c>
      <c r="AZ585" t="s">
        <v>709</v>
      </c>
      <c r="BA585">
        <v>140</v>
      </c>
      <c r="BB585" s="2">
        <v>0.3</v>
      </c>
      <c r="BC585" t="s">
        <v>936</v>
      </c>
      <c r="BD585" t="s">
        <v>922</v>
      </c>
      <c r="BE585" t="s">
        <v>941</v>
      </c>
      <c r="BF585" s="7">
        <v>25</v>
      </c>
      <c r="BG5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85">
        <v>0</v>
      </c>
      <c r="BI585" t="s">
        <v>734</v>
      </c>
      <c r="BJ585" s="11"/>
      <c r="BK585" s="11"/>
      <c r="BL585" s="11">
        <v>50</v>
      </c>
      <c r="BM585">
        <v>0</v>
      </c>
      <c r="BN585" t="s">
        <v>692</v>
      </c>
      <c r="BO585" t="s">
        <v>694</v>
      </c>
      <c r="BP585" t="s">
        <v>701</v>
      </c>
      <c r="BQ585" t="s">
        <v>705</v>
      </c>
      <c r="BR585" t="s">
        <v>706</v>
      </c>
      <c r="BS585" t="s">
        <v>707</v>
      </c>
      <c r="CR585"/>
      <c r="CS585"/>
      <c r="CT585"/>
    </row>
    <row r="586" spans="1:98" x14ac:dyDescent="0.4">
      <c r="A586" s="2" t="s">
        <v>916</v>
      </c>
      <c r="B586" t="str">
        <f>_xlfn.TEXTAFTER(Table1[[#This Row],[VEHIDCODE]],"_")</f>
        <v>Wagon_Gen7M_Tanker</v>
      </c>
      <c r="C586" t="s">
        <v>769</v>
      </c>
      <c r="D586" t="b">
        <f>OR(ISNUMBER(SEARCH("wagon_",Table1[[#This Row],[FILENAMES_EXPECTED]])),ISNUMBER(SEARCH("coach_",Table1[[#This Row],[FILENAMES_EXPECTED]])))</f>
        <v>1</v>
      </c>
      <c r="E586" t="str">
        <f>"item_"&amp;Table1[[#This Row],[VEHIDCODE]]</f>
        <v>item_mglv_Wagon_Gen7M_Tanker</v>
      </c>
      <c r="F586" t="str">
        <f>"str_"&amp;Table1[[#This Row],[VEHIDCODE]]</f>
        <v>str_mglv_Wagon_Gen7M_Tanker</v>
      </c>
      <c r="AI586" t="b">
        <v>1</v>
      </c>
      <c r="AJ586" s="2"/>
      <c r="AK586" s="2" t="b">
        <f>LEN(_xlfn.CONCAT(Table1[[#This Row],[TRACK_TYPE_STANDARD_GAUGE_RAILTYPE_OHLE]:[TRACK_TYPE_MTRO]]))&gt;0</f>
        <v>1</v>
      </c>
      <c r="AL586">
        <v>8</v>
      </c>
      <c r="AM586" t="s">
        <v>610</v>
      </c>
      <c r="AN586">
        <v>0</v>
      </c>
      <c r="AO586" t="s">
        <v>19</v>
      </c>
      <c r="AP586">
        <v>105</v>
      </c>
      <c r="AQ586">
        <v>2020</v>
      </c>
      <c r="AR586">
        <v>8</v>
      </c>
      <c r="AS586" s="2" t="s">
        <v>33</v>
      </c>
      <c r="AT586" t="b">
        <v>1</v>
      </c>
      <c r="AV586" s="2" t="b">
        <v>1</v>
      </c>
      <c r="AW586" t="s">
        <v>21</v>
      </c>
      <c r="AX586">
        <v>0</v>
      </c>
      <c r="AY586">
        <v>0</v>
      </c>
      <c r="AZ586" t="s">
        <v>709</v>
      </c>
      <c r="BA586">
        <v>160</v>
      </c>
      <c r="BB586" s="2">
        <v>0.3</v>
      </c>
      <c r="BC586" t="s">
        <v>936</v>
      </c>
      <c r="BD586" t="s">
        <v>922</v>
      </c>
      <c r="BE586" t="s">
        <v>941</v>
      </c>
      <c r="BF586" s="7">
        <v>25</v>
      </c>
      <c r="BG5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586">
        <v>0</v>
      </c>
      <c r="BI586" t="s">
        <v>734</v>
      </c>
      <c r="BJ586" s="11"/>
      <c r="BK586" s="11"/>
      <c r="BL586" s="11">
        <v>24</v>
      </c>
      <c r="BM586">
        <v>0</v>
      </c>
      <c r="BN586" t="s">
        <v>692</v>
      </c>
      <c r="BO586" t="s">
        <v>694</v>
      </c>
      <c r="BP586" t="s">
        <v>701</v>
      </c>
      <c r="BQ586" t="s">
        <v>705</v>
      </c>
      <c r="BR586" t="s">
        <v>706</v>
      </c>
      <c r="BS586" t="s">
        <v>707</v>
      </c>
      <c r="CR586"/>
      <c r="CS586"/>
      <c r="CT586"/>
    </row>
    <row r="587" spans="1:98" x14ac:dyDescent="0.4">
      <c r="A587" s="2" t="s">
        <v>611</v>
      </c>
      <c r="B587" t="str">
        <f>_xlfn.TEXTAFTER(Table1[[#This Row],[VEHIDCODE]],"_")</f>
        <v>Japan_JR_Shikoku_1000</v>
      </c>
      <c r="C587" t="s">
        <v>737</v>
      </c>
      <c r="D587" t="b">
        <f>OR(ISNUMBER(SEARCH("wagon_",Table1[[#This Row],[FILENAMES_EXPECTED]])),ISNUMBER(SEARCH("coach_",Table1[[#This Row],[FILENAMES_EXPECTED]])))</f>
        <v>0</v>
      </c>
      <c r="E587" t="str">
        <f>"item_"&amp;Table1[[#This Row],[VEHIDCODE]]</f>
        <v>item_rbd_Japan_JR_Shikoku_1000</v>
      </c>
      <c r="F587" t="str">
        <f>"str_"&amp;Table1[[#This Row],[VEHIDCODE]]</f>
        <v>str_rbd_Japan_JR_Shikoku_1000</v>
      </c>
      <c r="X587" s="2" t="b">
        <v>1</v>
      </c>
      <c r="AJ587" s="2"/>
      <c r="AK587" s="2" t="b">
        <f>LEN(_xlfn.CONCAT(Table1[[#This Row],[TRACK_TYPE_STANDARD_GAUGE_RAILTYPE_OHLE]:[TRACK_TYPE_MTRO]]))&gt;0</f>
        <v>1</v>
      </c>
      <c r="AL587">
        <v>7</v>
      </c>
      <c r="AM587" t="s">
        <v>18</v>
      </c>
      <c r="AN587">
        <v>0</v>
      </c>
      <c r="AO587" t="s">
        <v>35</v>
      </c>
      <c r="AP587">
        <v>70</v>
      </c>
      <c r="AQ587">
        <v>1990</v>
      </c>
      <c r="AR587">
        <v>7</v>
      </c>
      <c r="AS587" s="2" t="s">
        <v>24</v>
      </c>
      <c r="AT587" t="b">
        <v>1</v>
      </c>
      <c r="AV587" s="2"/>
      <c r="AW587">
        <v>45</v>
      </c>
      <c r="AX587">
        <v>1</v>
      </c>
      <c r="AY587">
        <v>400</v>
      </c>
      <c r="AZ587" t="s">
        <v>711</v>
      </c>
      <c r="BA587">
        <v>110</v>
      </c>
      <c r="BB587" s="2">
        <v>0.34</v>
      </c>
      <c r="BC587" t="s">
        <v>931</v>
      </c>
      <c r="BD587" t="s">
        <v>922</v>
      </c>
      <c r="BE587" t="s">
        <v>940</v>
      </c>
      <c r="BF587" s="7">
        <v>15</v>
      </c>
      <c r="BG5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87">
        <v>0</v>
      </c>
      <c r="BI587" t="s">
        <v>734</v>
      </c>
      <c r="BJ587" s="11"/>
      <c r="BK587" s="11"/>
      <c r="BL587" s="11">
        <v>32</v>
      </c>
      <c r="BM587">
        <v>0</v>
      </c>
      <c r="BN587" t="s">
        <v>692</v>
      </c>
      <c r="BO587" t="s">
        <v>694</v>
      </c>
      <c r="BP587" t="s">
        <v>701</v>
      </c>
      <c r="BQ587" t="s">
        <v>705</v>
      </c>
      <c r="BR587" t="s">
        <v>706</v>
      </c>
      <c r="BS587" t="s">
        <v>707</v>
      </c>
      <c r="CR587"/>
      <c r="CS587"/>
      <c r="CT587"/>
    </row>
    <row r="588" spans="1:98" x14ac:dyDescent="0.4">
      <c r="A588" s="2" t="s">
        <v>612</v>
      </c>
      <c r="B588" t="str">
        <f>_xlfn.TEXTAFTER(Table1[[#This Row],[VEHIDCODE]],"_")</f>
        <v>Japan_JR_KiHa_E120</v>
      </c>
      <c r="C588" t="s">
        <v>737</v>
      </c>
      <c r="D588" t="b">
        <f>OR(ISNUMBER(SEARCH("wagon_",Table1[[#This Row],[FILENAMES_EXPECTED]])),ISNUMBER(SEARCH("coach_",Table1[[#This Row],[FILENAMES_EXPECTED]])))</f>
        <v>0</v>
      </c>
      <c r="E588" t="str">
        <f>"item_"&amp;Table1[[#This Row],[VEHIDCODE]]</f>
        <v>item_rbd_Japan_JR_KiHa_E120</v>
      </c>
      <c r="F588" t="str">
        <f>"str_"&amp;Table1[[#This Row],[VEHIDCODE]]</f>
        <v>str_rbd_Japan_JR_KiHa_E120</v>
      </c>
      <c r="X588" s="2" t="b">
        <v>1</v>
      </c>
      <c r="AJ588" s="2"/>
      <c r="AK588" s="2" t="b">
        <f>LEN(_xlfn.CONCAT(Table1[[#This Row],[TRACK_TYPE_STANDARD_GAUGE_RAILTYPE_OHLE]:[TRACK_TYPE_MTRO]]))&gt;0</f>
        <v>1</v>
      </c>
      <c r="AL588">
        <v>8</v>
      </c>
      <c r="AM588" t="s">
        <v>18</v>
      </c>
      <c r="AN588">
        <v>0</v>
      </c>
      <c r="AO588" t="s">
        <v>35</v>
      </c>
      <c r="AP588">
        <v>39</v>
      </c>
      <c r="AQ588">
        <v>2008</v>
      </c>
      <c r="AR588">
        <v>8</v>
      </c>
      <c r="AS588" s="2" t="s">
        <v>24</v>
      </c>
      <c r="AT588" t="b">
        <v>1</v>
      </c>
      <c r="AV588" s="2"/>
      <c r="AW588" t="s">
        <v>21</v>
      </c>
      <c r="AX588">
        <v>1</v>
      </c>
      <c r="AY588">
        <v>444</v>
      </c>
      <c r="AZ588" t="s">
        <v>711</v>
      </c>
      <c r="BA588">
        <v>100</v>
      </c>
      <c r="BB588" s="2">
        <v>0.26</v>
      </c>
      <c r="BC588" t="s">
        <v>931</v>
      </c>
      <c r="BD588" t="s">
        <v>922</v>
      </c>
      <c r="BE588" t="s">
        <v>940</v>
      </c>
      <c r="BF588" s="7">
        <v>15</v>
      </c>
      <c r="BG5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88">
        <v>0</v>
      </c>
      <c r="BI588" t="s">
        <v>734</v>
      </c>
      <c r="BJ588" s="11"/>
      <c r="BK588" s="11"/>
      <c r="BL588" s="11">
        <v>39</v>
      </c>
      <c r="BM588">
        <v>0</v>
      </c>
      <c r="BN588" t="s">
        <v>692</v>
      </c>
      <c r="BO588" t="s">
        <v>694</v>
      </c>
      <c r="BP588" t="s">
        <v>701</v>
      </c>
      <c r="BQ588" t="s">
        <v>705</v>
      </c>
      <c r="BR588" t="s">
        <v>706</v>
      </c>
      <c r="BS588" t="s">
        <v>707</v>
      </c>
      <c r="CR588"/>
      <c r="CS588"/>
      <c r="CT588"/>
    </row>
    <row r="589" spans="1:98" x14ac:dyDescent="0.4">
      <c r="A589" s="2" t="s">
        <v>613</v>
      </c>
      <c r="B589" t="str">
        <f>_xlfn.TEXTAFTER(Table1[[#This Row],[VEHIDCODE]],"_")</f>
        <v>Chile_EFE_Buscarril</v>
      </c>
      <c r="C589" t="s">
        <v>737</v>
      </c>
      <c r="D589" t="b">
        <f>OR(ISNUMBER(SEARCH("wagon_",Table1[[#This Row],[FILENAMES_EXPECTED]])),ISNUMBER(SEARCH("coach_",Table1[[#This Row],[FILENAMES_EXPECTED]])))</f>
        <v>0</v>
      </c>
      <c r="E589" t="str">
        <f>"item_"&amp;Table1[[#This Row],[VEHIDCODE]]</f>
        <v>item_rbd_Chile_EFE_Buscarril</v>
      </c>
      <c r="F589" t="str">
        <f>"str_"&amp;Table1[[#This Row],[VEHIDCODE]]</f>
        <v>str_rbd_Chile_EFE_Buscarril</v>
      </c>
      <c r="X589" s="2" t="b">
        <v>1</v>
      </c>
      <c r="AJ589" s="2"/>
      <c r="AK589" s="2" t="b">
        <f>LEN(_xlfn.CONCAT(Table1[[#This Row],[TRACK_TYPE_STANDARD_GAUGE_RAILTYPE_OHLE]:[TRACK_TYPE_MTRO]]))&gt;0</f>
        <v>1</v>
      </c>
      <c r="AL589">
        <v>8</v>
      </c>
      <c r="AM589" t="s">
        <v>18</v>
      </c>
      <c r="AN589">
        <v>0</v>
      </c>
      <c r="AO589" t="s">
        <v>35</v>
      </c>
      <c r="AP589">
        <v>80</v>
      </c>
      <c r="AQ589">
        <v>1961</v>
      </c>
      <c r="AR589">
        <v>8</v>
      </c>
      <c r="AS589" s="2" t="s">
        <v>24</v>
      </c>
      <c r="AT589" t="b">
        <v>1</v>
      </c>
      <c r="AV589" s="2"/>
      <c r="AW589">
        <v>45</v>
      </c>
      <c r="AX589">
        <v>1</v>
      </c>
      <c r="AY589">
        <v>180</v>
      </c>
      <c r="AZ589" t="s">
        <v>711</v>
      </c>
      <c r="BA589">
        <v>60</v>
      </c>
      <c r="BB589" s="2">
        <v>0.22</v>
      </c>
      <c r="BC589" t="s">
        <v>930</v>
      </c>
      <c r="BD589" t="s">
        <v>922</v>
      </c>
      <c r="BE589" t="s">
        <v>940</v>
      </c>
      <c r="BF589" s="7">
        <v>15</v>
      </c>
      <c r="BG5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89">
        <v>0</v>
      </c>
      <c r="BI589" t="s">
        <v>734</v>
      </c>
      <c r="BJ589" s="11"/>
      <c r="BK589" s="11"/>
      <c r="BL589" s="11">
        <v>30</v>
      </c>
      <c r="BM589">
        <v>0</v>
      </c>
      <c r="BN589" t="s">
        <v>692</v>
      </c>
      <c r="BO589" t="s">
        <v>694</v>
      </c>
      <c r="BP589" t="s">
        <v>701</v>
      </c>
      <c r="BQ589" t="s">
        <v>705</v>
      </c>
      <c r="BR589" t="s">
        <v>706</v>
      </c>
      <c r="BS589" t="s">
        <v>707</v>
      </c>
      <c r="CR589"/>
      <c r="CS589"/>
      <c r="CT589"/>
    </row>
    <row r="590" spans="1:98" x14ac:dyDescent="0.4">
      <c r="A590" s="2" t="s">
        <v>614</v>
      </c>
      <c r="B590" t="str">
        <f>_xlfn.TEXTAFTER(Table1[[#This Row],[VEHIDCODE]],"_")</f>
        <v>Argentina_FCPBA_M_Railcar</v>
      </c>
      <c r="C590" t="s">
        <v>737</v>
      </c>
      <c r="D590" t="b">
        <f>OR(ISNUMBER(SEARCH("wagon_",Table1[[#This Row],[FILENAMES_EXPECTED]])),ISNUMBER(SEARCH("coach_",Table1[[#This Row],[FILENAMES_EXPECTED]])))</f>
        <v>0</v>
      </c>
      <c r="E590" t="str">
        <f>"item_"&amp;Table1[[#This Row],[VEHIDCODE]]</f>
        <v>item_rbd_Argentina_FCPBA_M_Railcar</v>
      </c>
      <c r="F590" t="str">
        <f>"str_"&amp;Table1[[#This Row],[VEHIDCODE]]</f>
        <v>str_rbd_Argentina_FCPBA_M_Railcar</v>
      </c>
      <c r="X590" s="2" t="b">
        <v>1</v>
      </c>
      <c r="AJ590" s="2"/>
      <c r="AK590" s="2" t="b">
        <f>LEN(_xlfn.CONCAT(Table1[[#This Row],[TRACK_TYPE_STANDARD_GAUGE_RAILTYPE_OHLE]:[TRACK_TYPE_MTRO]]))&gt;0</f>
        <v>1</v>
      </c>
      <c r="AL590">
        <v>7</v>
      </c>
      <c r="AM590" t="s">
        <v>18</v>
      </c>
      <c r="AN590">
        <v>0</v>
      </c>
      <c r="AO590" t="s">
        <v>35</v>
      </c>
      <c r="AP590">
        <v>62</v>
      </c>
      <c r="AQ590">
        <v>1935</v>
      </c>
      <c r="AR590">
        <v>7</v>
      </c>
      <c r="AS590" s="2" t="s">
        <v>24</v>
      </c>
      <c r="AT590" t="b">
        <v>1</v>
      </c>
      <c r="AV590" s="2"/>
      <c r="AW590">
        <v>45</v>
      </c>
      <c r="AX590">
        <v>1</v>
      </c>
      <c r="AY590">
        <v>290</v>
      </c>
      <c r="AZ590" t="s">
        <v>711</v>
      </c>
      <c r="BA590">
        <v>80</v>
      </c>
      <c r="BB590" s="2">
        <v>0.14000000000000001</v>
      </c>
      <c r="BC590" t="s">
        <v>930</v>
      </c>
      <c r="BD590" t="s">
        <v>922</v>
      </c>
      <c r="BE590" t="s">
        <v>940</v>
      </c>
      <c r="BF590" s="7">
        <v>15</v>
      </c>
      <c r="BG5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90">
        <v>0</v>
      </c>
      <c r="BI590" t="s">
        <v>734</v>
      </c>
      <c r="BJ590" s="11"/>
      <c r="BK590" s="11"/>
      <c r="BL590" s="11">
        <v>36</v>
      </c>
      <c r="BM590">
        <v>0</v>
      </c>
      <c r="BN590" t="s">
        <v>692</v>
      </c>
      <c r="BO590" t="s">
        <v>694</v>
      </c>
      <c r="BP590" t="s">
        <v>701</v>
      </c>
      <c r="BQ590" t="s">
        <v>705</v>
      </c>
      <c r="BR590" t="s">
        <v>706</v>
      </c>
      <c r="BS590" t="s">
        <v>707</v>
      </c>
      <c r="CR590"/>
      <c r="CS590"/>
      <c r="CT590"/>
    </row>
    <row r="591" spans="1:98" x14ac:dyDescent="0.4">
      <c r="A591" s="2" t="s">
        <v>615</v>
      </c>
      <c r="B591" t="str">
        <f>_xlfn.TEXTAFTER(Table1[[#This Row],[VEHIDCODE]],"_")</f>
        <v>Eritrea_Eritrean_Railway_A62_70_Littorina</v>
      </c>
      <c r="C591" t="s">
        <v>737</v>
      </c>
      <c r="D591" t="b">
        <f>OR(ISNUMBER(SEARCH("wagon_",Table1[[#This Row],[FILENAMES_EXPECTED]])),ISNUMBER(SEARCH("coach_",Table1[[#This Row],[FILENAMES_EXPECTED]])))</f>
        <v>0</v>
      </c>
      <c r="E591" t="str">
        <f>"item_"&amp;Table1[[#This Row],[VEHIDCODE]]</f>
        <v>item_rbd_Eritrea_Eritrean_Railway_A62_70_Littorina</v>
      </c>
      <c r="F591" t="str">
        <f>"str_"&amp;Table1[[#This Row],[VEHIDCODE]]</f>
        <v>str_rbd_Eritrea_Eritrean_Railway_A62_70_Littorina</v>
      </c>
      <c r="X591" s="2" t="b">
        <v>1</v>
      </c>
      <c r="AJ591" s="2"/>
      <c r="AK591" s="2" t="b">
        <f>LEN(_xlfn.CONCAT(Table1[[#This Row],[TRACK_TYPE_STANDARD_GAUGE_RAILTYPE_OHLE]:[TRACK_TYPE_MTRO]]))&gt;0</f>
        <v>1</v>
      </c>
      <c r="AL591">
        <v>5</v>
      </c>
      <c r="AM591" t="s">
        <v>18</v>
      </c>
      <c r="AN591">
        <v>0</v>
      </c>
      <c r="AO591" t="s">
        <v>35</v>
      </c>
      <c r="AP591">
        <v>32</v>
      </c>
      <c r="AQ591">
        <v>1937</v>
      </c>
      <c r="AR591">
        <v>5</v>
      </c>
      <c r="AS591" s="2" t="s">
        <v>24</v>
      </c>
      <c r="AT591" t="b">
        <v>1</v>
      </c>
      <c r="AV591" s="2"/>
      <c r="AW591">
        <v>45</v>
      </c>
      <c r="AX591">
        <v>1</v>
      </c>
      <c r="AY591">
        <v>227</v>
      </c>
      <c r="AZ591" t="s">
        <v>711</v>
      </c>
      <c r="BA591">
        <v>68</v>
      </c>
      <c r="BB591" s="2">
        <v>0.26</v>
      </c>
      <c r="BC591" t="s">
        <v>926</v>
      </c>
      <c r="BD591" t="s">
        <v>922</v>
      </c>
      <c r="BE591" t="s">
        <v>940</v>
      </c>
      <c r="BF591" s="7">
        <v>15</v>
      </c>
      <c r="BG5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591">
        <v>0</v>
      </c>
      <c r="BI591" t="s">
        <v>734</v>
      </c>
      <c r="BJ591" s="11"/>
      <c r="BK591" s="11"/>
      <c r="BL591" s="11">
        <v>18</v>
      </c>
      <c r="BM591">
        <v>0</v>
      </c>
      <c r="BN591" t="s">
        <v>692</v>
      </c>
      <c r="BO591" t="s">
        <v>694</v>
      </c>
      <c r="BP591" t="s">
        <v>701</v>
      </c>
      <c r="BQ591" t="s">
        <v>705</v>
      </c>
      <c r="BR591" t="s">
        <v>706</v>
      </c>
      <c r="BS591" t="s">
        <v>707</v>
      </c>
      <c r="CR591"/>
      <c r="CS591"/>
      <c r="CT591"/>
    </row>
    <row r="592" spans="1:98" x14ac:dyDescent="0.4">
      <c r="A592" s="2" t="s">
        <v>616</v>
      </c>
      <c r="B592" t="str">
        <f>_xlfn.TEXTAFTER(Table1[[#This Row],[VEHIDCODE]],"_")</f>
        <v>Switzerland_AB_CFe_3_3</v>
      </c>
      <c r="C592" t="s">
        <v>738</v>
      </c>
      <c r="D592" t="b">
        <f>OR(ISNUMBER(SEARCH("wagon_",Table1[[#This Row],[FILENAMES_EXPECTED]])),ISNUMBER(SEARCH("coach_",Table1[[#This Row],[FILENAMES_EXPECTED]])))</f>
        <v>0</v>
      </c>
      <c r="E592" t="str">
        <f>"item_"&amp;Table1[[#This Row],[VEHIDCODE]]</f>
        <v>item_rbe_Switzerland_AB_CFe_3_3</v>
      </c>
      <c r="F592" t="str">
        <f>"str_"&amp;Table1[[#This Row],[VEHIDCODE]]</f>
        <v>str_rbe_Switzerland_AB_CFe_3_3</v>
      </c>
      <c r="T592" t="b">
        <v>1</v>
      </c>
      <c r="AJ592" s="2"/>
      <c r="AK592" s="2" t="b">
        <f>LEN(_xlfn.CONCAT(Table1[[#This Row],[TRACK_TYPE_STANDARD_GAUGE_RAILTYPE_OHLE]:[TRACK_TYPE_MTRO]]))&gt;0</f>
        <v>1</v>
      </c>
      <c r="AL592">
        <v>6</v>
      </c>
      <c r="AM592" t="s">
        <v>18</v>
      </c>
      <c r="AN592">
        <v>0</v>
      </c>
      <c r="AO592" t="s">
        <v>74</v>
      </c>
      <c r="AP592">
        <v>24</v>
      </c>
      <c r="AQ592">
        <v>1911</v>
      </c>
      <c r="AR592">
        <v>6</v>
      </c>
      <c r="AS592" s="2" t="s">
        <v>24</v>
      </c>
      <c r="AT592" t="b">
        <v>1</v>
      </c>
      <c r="AV592" s="2"/>
      <c r="AW592">
        <v>45</v>
      </c>
      <c r="AX592">
        <v>1</v>
      </c>
      <c r="AY592">
        <v>195</v>
      </c>
      <c r="AZ592" t="s">
        <v>709</v>
      </c>
      <c r="BA592">
        <v>35</v>
      </c>
      <c r="BB592" s="2">
        <v>0.15</v>
      </c>
      <c r="BC592" t="s">
        <v>923</v>
      </c>
      <c r="BD592" t="s">
        <v>922</v>
      </c>
      <c r="BE592" t="s">
        <v>940</v>
      </c>
      <c r="BF592" s="7">
        <v>15</v>
      </c>
      <c r="BG5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92">
        <v>-3</v>
      </c>
      <c r="BI592" t="s">
        <v>734</v>
      </c>
      <c r="BJ592" s="11"/>
      <c r="BK592" s="11"/>
      <c r="BL592" s="11">
        <v>24</v>
      </c>
      <c r="BM592">
        <v>0</v>
      </c>
      <c r="BN592" t="s">
        <v>692</v>
      </c>
      <c r="BO592" t="s">
        <v>694</v>
      </c>
      <c r="BP592" t="s">
        <v>701</v>
      </c>
      <c r="BQ592" t="s">
        <v>705</v>
      </c>
      <c r="BR592" t="s">
        <v>706</v>
      </c>
      <c r="BS592" t="s">
        <v>707</v>
      </c>
      <c r="CR592"/>
      <c r="CS592"/>
      <c r="CT592"/>
    </row>
    <row r="593" spans="1:98" x14ac:dyDescent="0.4">
      <c r="A593" s="2" t="s">
        <v>617</v>
      </c>
      <c r="B593" t="str">
        <f>_xlfn.TEXTAFTER(Table1[[#This Row],[VEHIDCODE]],"_")</f>
        <v>Switzerland_TPC_BVB_Be_2_2</v>
      </c>
      <c r="C593" t="s">
        <v>738</v>
      </c>
      <c r="D593" t="b">
        <f>OR(ISNUMBER(SEARCH("wagon_",Table1[[#This Row],[FILENAMES_EXPECTED]])),ISNUMBER(SEARCH("coach_",Table1[[#This Row],[FILENAMES_EXPECTED]])))</f>
        <v>0</v>
      </c>
      <c r="E593" t="str">
        <f>"item_"&amp;Table1[[#This Row],[VEHIDCODE]]</f>
        <v>item_rbe_Switzerland_TPC_BVB_Be_2_2</v>
      </c>
      <c r="F593" t="str">
        <f>"str_"&amp;Table1[[#This Row],[VEHIDCODE]]</f>
        <v>str_rbe_Switzerland_TPC_BVB_Be_2_2</v>
      </c>
      <c r="T593" t="b">
        <v>1</v>
      </c>
      <c r="AJ593" s="2"/>
      <c r="AK593" s="2" t="b">
        <f>LEN(_xlfn.CONCAT(Table1[[#This Row],[TRACK_TYPE_STANDARD_GAUGE_RAILTYPE_OHLE]:[TRACK_TYPE_MTRO]]))&gt;0</f>
        <v>1</v>
      </c>
      <c r="AL593">
        <v>4</v>
      </c>
      <c r="AM593" t="s">
        <v>18</v>
      </c>
      <c r="AN593">
        <v>0</v>
      </c>
      <c r="AO593" t="s">
        <v>74</v>
      </c>
      <c r="AP593">
        <v>20</v>
      </c>
      <c r="AQ593">
        <v>1907</v>
      </c>
      <c r="AR593">
        <v>4</v>
      </c>
      <c r="AS593" s="2" t="s">
        <v>24</v>
      </c>
      <c r="AT593" t="b">
        <v>1</v>
      </c>
      <c r="AV593" s="2"/>
      <c r="AW593">
        <v>45</v>
      </c>
      <c r="AX593">
        <v>1</v>
      </c>
      <c r="AY593">
        <v>144</v>
      </c>
      <c r="AZ593" t="s">
        <v>709</v>
      </c>
      <c r="BA593">
        <v>37</v>
      </c>
      <c r="BB593" s="2">
        <v>0.33</v>
      </c>
      <c r="BC593" t="s">
        <v>923</v>
      </c>
      <c r="BD593" t="s">
        <v>922</v>
      </c>
      <c r="BE593" t="s">
        <v>940</v>
      </c>
      <c r="BF593" s="7">
        <v>15</v>
      </c>
      <c r="BG5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93">
        <v>0</v>
      </c>
      <c r="BI593" t="s">
        <v>734</v>
      </c>
      <c r="BJ593" s="11"/>
      <c r="BK593" s="11"/>
      <c r="BL593" s="11">
        <v>15</v>
      </c>
      <c r="BM593">
        <v>0</v>
      </c>
      <c r="BN593" t="s">
        <v>692</v>
      </c>
      <c r="BO593" t="s">
        <v>694</v>
      </c>
      <c r="BP593" t="s">
        <v>701</v>
      </c>
      <c r="BQ593" t="s">
        <v>705</v>
      </c>
      <c r="BR593" t="s">
        <v>706</v>
      </c>
      <c r="BS593" t="s">
        <v>707</v>
      </c>
      <c r="CR593"/>
      <c r="CS593"/>
      <c r="CT593"/>
    </row>
    <row r="594" spans="1:98" x14ac:dyDescent="0.4">
      <c r="A594" s="2" t="s">
        <v>618</v>
      </c>
      <c r="B594" t="str">
        <f>_xlfn.TEXTAFTER(Table1[[#This Row],[VEHIDCODE]],"_")</f>
        <v>Switzerland_MVR_Beh_2_4</v>
      </c>
      <c r="C594" t="s">
        <v>738</v>
      </c>
      <c r="D594" t="b">
        <f>OR(ISNUMBER(SEARCH("wagon_",Table1[[#This Row],[FILENAMES_EXPECTED]])),ISNUMBER(SEARCH("coach_",Table1[[#This Row],[FILENAMES_EXPECTED]])))</f>
        <v>0</v>
      </c>
      <c r="E594" t="str">
        <f>"item_"&amp;Table1[[#This Row],[VEHIDCODE]]</f>
        <v>item_rbe_Switzerland_MVR_Beh_2_4</v>
      </c>
      <c r="F594" t="str">
        <f>"str_"&amp;Table1[[#This Row],[VEHIDCODE]]</f>
        <v>str_rbe_Switzerland_MVR_Beh_2_4</v>
      </c>
      <c r="T594" t="b">
        <v>1</v>
      </c>
      <c r="AJ594" s="2"/>
      <c r="AK594" s="2" t="b">
        <f>LEN(_xlfn.CONCAT(Table1[[#This Row],[TRACK_TYPE_STANDARD_GAUGE_RAILTYPE_OHLE]:[TRACK_TYPE_MTRO]]))&gt;0</f>
        <v>1</v>
      </c>
      <c r="AL594">
        <v>8</v>
      </c>
      <c r="AM594" t="s">
        <v>18</v>
      </c>
      <c r="AN594">
        <v>0</v>
      </c>
      <c r="AO594" t="s">
        <v>74</v>
      </c>
      <c r="AP594">
        <v>40</v>
      </c>
      <c r="AQ594">
        <v>1998</v>
      </c>
      <c r="AR594">
        <v>8</v>
      </c>
      <c r="AS594" s="2" t="s">
        <v>24</v>
      </c>
      <c r="AT594" t="b">
        <v>1</v>
      </c>
      <c r="AV594" s="2"/>
      <c r="AW594">
        <v>45</v>
      </c>
      <c r="AX594">
        <v>1</v>
      </c>
      <c r="AY594">
        <v>752</v>
      </c>
      <c r="AZ594" t="s">
        <v>709</v>
      </c>
      <c r="BA594">
        <v>50</v>
      </c>
      <c r="BB594" s="2">
        <v>0.27</v>
      </c>
      <c r="BC594" t="s">
        <v>923</v>
      </c>
      <c r="BD594" t="s">
        <v>922</v>
      </c>
      <c r="BE594" t="s">
        <v>940</v>
      </c>
      <c r="BF594" s="7">
        <v>15</v>
      </c>
      <c r="BG5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94">
        <v>0</v>
      </c>
      <c r="BI594" t="s">
        <v>734</v>
      </c>
      <c r="BJ594" s="11"/>
      <c r="BK594" s="11"/>
      <c r="BL594" s="11">
        <v>32</v>
      </c>
      <c r="BM594">
        <v>0</v>
      </c>
      <c r="BN594" t="s">
        <v>692</v>
      </c>
      <c r="BO594" t="s">
        <v>694</v>
      </c>
      <c r="BP594" t="s">
        <v>701</v>
      </c>
      <c r="BQ594" t="s">
        <v>705</v>
      </c>
      <c r="BR594" t="s">
        <v>706</v>
      </c>
      <c r="BS594" t="s">
        <v>707</v>
      </c>
      <c r="CR594"/>
      <c r="CS594"/>
      <c r="CT594"/>
    </row>
    <row r="595" spans="1:98" x14ac:dyDescent="0.4">
      <c r="A595" s="2" t="s">
        <v>619</v>
      </c>
      <c r="B595" t="str">
        <f>_xlfn.TEXTAFTER(Table1[[#This Row],[VEHIDCODE]],"_")</f>
        <v>Spain_Ferrocarril_de_Soller_1_3</v>
      </c>
      <c r="C595" t="s">
        <v>738</v>
      </c>
      <c r="D595" t="b">
        <f>OR(ISNUMBER(SEARCH("wagon_",Table1[[#This Row],[FILENAMES_EXPECTED]])),ISNUMBER(SEARCH("coach_",Table1[[#This Row],[FILENAMES_EXPECTED]])))</f>
        <v>0</v>
      </c>
      <c r="E595" t="str">
        <f>"item_"&amp;Table1[[#This Row],[VEHIDCODE]]</f>
        <v>item_rbe_Spain_Ferrocarril_de_Soller_1_3</v>
      </c>
      <c r="F595" t="str">
        <f>"str_"&amp;Table1[[#This Row],[VEHIDCODE]]</f>
        <v>str_rbe_Spain_Ferrocarril_de_Soller_1_3</v>
      </c>
      <c r="T595" t="b">
        <v>1</v>
      </c>
      <c r="AJ595" s="2"/>
      <c r="AK595" s="2" t="b">
        <f>LEN(_xlfn.CONCAT(Table1[[#This Row],[TRACK_TYPE_STANDARD_GAUGE_RAILTYPE_OHLE]:[TRACK_TYPE_MTRO]]))&gt;0</f>
        <v>1</v>
      </c>
      <c r="AL595">
        <v>6</v>
      </c>
      <c r="AM595" t="s">
        <v>18</v>
      </c>
      <c r="AN595">
        <v>0</v>
      </c>
      <c r="AO595" t="s">
        <v>74</v>
      </c>
      <c r="AP595">
        <v>44</v>
      </c>
      <c r="AQ595">
        <v>1929</v>
      </c>
      <c r="AR595">
        <v>6</v>
      </c>
      <c r="AS595" s="2" t="s">
        <v>24</v>
      </c>
      <c r="AT595" t="b">
        <v>1</v>
      </c>
      <c r="AV595" s="2"/>
      <c r="AW595">
        <v>45</v>
      </c>
      <c r="AX595">
        <v>1</v>
      </c>
      <c r="AY595">
        <v>350</v>
      </c>
      <c r="AZ595" t="s">
        <v>709</v>
      </c>
      <c r="BA595">
        <v>60</v>
      </c>
      <c r="BB595" s="2">
        <v>0.05</v>
      </c>
      <c r="BC595" t="s">
        <v>924</v>
      </c>
      <c r="BD595" t="s">
        <v>922</v>
      </c>
      <c r="BE595" t="s">
        <v>940</v>
      </c>
      <c r="BF595" s="7">
        <v>15</v>
      </c>
      <c r="BG5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95">
        <v>0</v>
      </c>
      <c r="BI595" t="s">
        <v>734</v>
      </c>
      <c r="BJ595" s="11"/>
      <c r="BK595" s="11"/>
      <c r="BL595" s="11">
        <v>38</v>
      </c>
      <c r="BM595">
        <v>0</v>
      </c>
      <c r="BN595" t="s">
        <v>692</v>
      </c>
      <c r="BO595" t="s">
        <v>694</v>
      </c>
      <c r="BP595" t="s">
        <v>701</v>
      </c>
      <c r="BQ595" t="s">
        <v>705</v>
      </c>
      <c r="BR595" t="s">
        <v>706</v>
      </c>
      <c r="BS595" t="s">
        <v>707</v>
      </c>
      <c r="CR595"/>
      <c r="CS595"/>
      <c r="CT595"/>
    </row>
    <row r="596" spans="1:98" x14ac:dyDescent="0.4">
      <c r="A596" s="2" t="s">
        <v>620</v>
      </c>
      <c r="B596" t="str">
        <f>_xlfn.TEXTAFTER(Table1[[#This Row],[VEHIDCODE]],"_")</f>
        <v>Japan_Choshi_DeHa_1000</v>
      </c>
      <c r="C596" t="s">
        <v>738</v>
      </c>
      <c r="D596" t="b">
        <f>OR(ISNUMBER(SEARCH("wagon_",Table1[[#This Row],[FILENAMES_EXPECTED]])),ISNUMBER(SEARCH("coach_",Table1[[#This Row],[FILENAMES_EXPECTED]])))</f>
        <v>0</v>
      </c>
      <c r="E596" t="str">
        <f>"item_"&amp;Table1[[#This Row],[VEHIDCODE]]</f>
        <v>item_rbe_Japan_Choshi_DeHa_1000</v>
      </c>
      <c r="F596" t="str">
        <f>"str_"&amp;Table1[[#This Row],[VEHIDCODE]]</f>
        <v>str_rbe_Japan_Choshi_DeHa_1000</v>
      </c>
      <c r="T596" t="b">
        <v>1</v>
      </c>
      <c r="AJ596" s="2"/>
      <c r="AK596" s="2" t="b">
        <f>LEN(_xlfn.CONCAT(Table1[[#This Row],[TRACK_TYPE_STANDARD_GAUGE_RAILTYPE_OHLE]:[TRACK_TYPE_MTRO]]))&gt;0</f>
        <v>1</v>
      </c>
      <c r="AL596">
        <v>7</v>
      </c>
      <c r="AM596" t="s">
        <v>18</v>
      </c>
      <c r="AN596">
        <v>0</v>
      </c>
      <c r="AO596" t="s">
        <v>74</v>
      </c>
      <c r="AP596">
        <v>34</v>
      </c>
      <c r="AQ596">
        <v>1960</v>
      </c>
      <c r="AR596">
        <v>7</v>
      </c>
      <c r="AS596" s="2" t="s">
        <v>24</v>
      </c>
      <c r="AT596" t="b">
        <v>1</v>
      </c>
      <c r="AV596" s="2"/>
      <c r="AW596">
        <v>45</v>
      </c>
      <c r="AX596">
        <v>1</v>
      </c>
      <c r="AY596">
        <v>402</v>
      </c>
      <c r="AZ596" t="s">
        <v>709</v>
      </c>
      <c r="BA596">
        <v>40</v>
      </c>
      <c r="BB596" s="2">
        <v>0.18</v>
      </c>
      <c r="BC596" t="s">
        <v>931</v>
      </c>
      <c r="BD596" t="s">
        <v>922</v>
      </c>
      <c r="BE596" t="s">
        <v>940</v>
      </c>
      <c r="BF596" s="7">
        <v>15</v>
      </c>
      <c r="BG5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596">
        <v>0</v>
      </c>
      <c r="BI596" t="s">
        <v>734</v>
      </c>
      <c r="BJ596" s="11"/>
      <c r="BK596" s="11"/>
      <c r="BL596" s="11">
        <v>31</v>
      </c>
      <c r="BM596">
        <v>0</v>
      </c>
      <c r="BN596" t="s">
        <v>692</v>
      </c>
      <c r="BO596" t="s">
        <v>694</v>
      </c>
      <c r="BP596" t="s">
        <v>701</v>
      </c>
      <c r="BQ596" t="s">
        <v>705</v>
      </c>
      <c r="BR596" t="s">
        <v>706</v>
      </c>
      <c r="BS596" t="s">
        <v>707</v>
      </c>
      <c r="CR596"/>
      <c r="CS596"/>
      <c r="CT596"/>
    </row>
    <row r="597" spans="1:98" x14ac:dyDescent="0.4">
      <c r="A597" s="2" t="s">
        <v>621</v>
      </c>
      <c r="B597" t="str">
        <f>_xlfn.TEXTAFTER(Table1[[#This Row],[VEHIDCODE]],"_")</f>
        <v>Switzerland_RhB_G_3_4</v>
      </c>
      <c r="C597" t="s">
        <v>739</v>
      </c>
      <c r="D597" t="b">
        <f>OR(ISNUMBER(SEARCH("wagon_",Table1[[#This Row],[FILENAMES_EXPECTED]])),ISNUMBER(SEARCH("coach_",Table1[[#This Row],[FILENAMES_EXPECTED]])))</f>
        <v>0</v>
      </c>
      <c r="E597" t="str">
        <f>"item_"&amp;Table1[[#This Row],[VEHIDCODE]]</f>
        <v>item_steam_Switzerland_RhB_G_3_4</v>
      </c>
      <c r="F597" t="str">
        <f>"str_"&amp;Table1[[#This Row],[VEHIDCODE]]</f>
        <v>str_steam_Switzerland_RhB_G_3_4</v>
      </c>
      <c r="X597" s="2" t="b">
        <v>1</v>
      </c>
      <c r="AJ597" s="2"/>
      <c r="AK597" s="2" t="b">
        <f>LEN(_xlfn.CONCAT(Table1[[#This Row],[TRACK_TYPE_STANDARD_GAUGE_RAILTYPE_OHLE]:[TRACK_TYPE_MTRO]]))&gt;0</f>
        <v>1</v>
      </c>
      <c r="AL597">
        <v>6</v>
      </c>
      <c r="AM597" t="s">
        <v>18</v>
      </c>
      <c r="AN597">
        <v>0</v>
      </c>
      <c r="AO597" t="s">
        <v>23</v>
      </c>
      <c r="AP597">
        <v>0</v>
      </c>
      <c r="AQ597">
        <v>1889</v>
      </c>
      <c r="AR597">
        <v>6</v>
      </c>
      <c r="AS597" s="2" t="s">
        <v>20</v>
      </c>
      <c r="AT597" t="b">
        <v>1</v>
      </c>
      <c r="AV597" s="2"/>
      <c r="AW597">
        <v>45</v>
      </c>
      <c r="AX597">
        <v>1</v>
      </c>
      <c r="AY597">
        <v>247</v>
      </c>
      <c r="AZ597" t="s">
        <v>710</v>
      </c>
      <c r="BA597">
        <v>45</v>
      </c>
      <c r="BB597" s="2">
        <v>0.19</v>
      </c>
      <c r="BC597" t="s">
        <v>923</v>
      </c>
      <c r="BD597" t="s">
        <v>922</v>
      </c>
      <c r="BE597" t="s">
        <v>940</v>
      </c>
      <c r="BF597" s="7">
        <v>40</v>
      </c>
      <c r="BG5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597">
        <v>0</v>
      </c>
      <c r="BI597" t="s">
        <v>734</v>
      </c>
      <c r="BJ597" s="11"/>
      <c r="BK597" s="11"/>
      <c r="BL597" s="11">
        <v>30</v>
      </c>
      <c r="BM597">
        <v>0</v>
      </c>
      <c r="BN597" t="s">
        <v>692</v>
      </c>
      <c r="BO597" t="s">
        <v>694</v>
      </c>
      <c r="BP597" t="s">
        <v>701</v>
      </c>
      <c r="BQ597" t="s">
        <v>705</v>
      </c>
      <c r="BR597" t="s">
        <v>706</v>
      </c>
      <c r="BS597" t="s">
        <v>707</v>
      </c>
      <c r="CR597"/>
      <c r="CS597"/>
      <c r="CT597"/>
    </row>
    <row r="598" spans="1:98" x14ac:dyDescent="0.4">
      <c r="A598" s="2" t="s">
        <v>622</v>
      </c>
      <c r="B598" t="str">
        <f>_xlfn.TEXTAFTER(Table1[[#This Row],[VEHIDCODE]],"_")</f>
        <v>Japan_JNR_Class_E10</v>
      </c>
      <c r="C598" t="s">
        <v>739</v>
      </c>
      <c r="D598" t="b">
        <f>OR(ISNUMBER(SEARCH("wagon_",Table1[[#This Row],[FILENAMES_EXPECTED]])),ISNUMBER(SEARCH("coach_",Table1[[#This Row],[FILENAMES_EXPECTED]])))</f>
        <v>0</v>
      </c>
      <c r="E598" t="str">
        <f>"item_"&amp;Table1[[#This Row],[VEHIDCODE]]</f>
        <v>item_steam_Japan_JNR_Class_E10</v>
      </c>
      <c r="F598" t="str">
        <f>"str_"&amp;Table1[[#This Row],[VEHIDCODE]]</f>
        <v>str_steam_Japan_JNR_Class_E10</v>
      </c>
      <c r="X598" s="2" t="b">
        <v>1</v>
      </c>
      <c r="AJ598" s="2"/>
      <c r="AK598" s="2" t="b">
        <f>LEN(_xlfn.CONCAT(Table1[[#This Row],[TRACK_TYPE_STANDARD_GAUGE_RAILTYPE_OHLE]:[TRACK_TYPE_MTRO]]))&gt;0</f>
        <v>1</v>
      </c>
      <c r="AL598">
        <v>7</v>
      </c>
      <c r="AM598" t="s">
        <v>18</v>
      </c>
      <c r="AN598">
        <v>0</v>
      </c>
      <c r="AO598" t="s">
        <v>23</v>
      </c>
      <c r="AP598">
        <v>0</v>
      </c>
      <c r="AQ598">
        <v>1948</v>
      </c>
      <c r="AR598">
        <v>7</v>
      </c>
      <c r="AS598" s="2" t="s">
        <v>20</v>
      </c>
      <c r="AT598" t="b">
        <v>1</v>
      </c>
      <c r="AV598" s="2"/>
      <c r="AW598">
        <v>45</v>
      </c>
      <c r="AX598">
        <v>1</v>
      </c>
      <c r="AY598">
        <v>1300</v>
      </c>
      <c r="AZ598" t="s">
        <v>710</v>
      </c>
      <c r="BA598">
        <v>65</v>
      </c>
      <c r="BB598" s="2">
        <v>0.21</v>
      </c>
      <c r="BC598" t="s">
        <v>931</v>
      </c>
      <c r="BD598" t="s">
        <v>922</v>
      </c>
      <c r="BE598" t="s">
        <v>940</v>
      </c>
      <c r="BF598" s="7">
        <v>40</v>
      </c>
      <c r="BG5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598">
        <v>0</v>
      </c>
      <c r="BI598" t="s">
        <v>734</v>
      </c>
      <c r="BJ598" s="11"/>
      <c r="BK598" s="11"/>
      <c r="BL598" s="11">
        <v>102</v>
      </c>
      <c r="BM598">
        <v>0</v>
      </c>
      <c r="BN598" t="s">
        <v>692</v>
      </c>
      <c r="BO598" t="s">
        <v>694</v>
      </c>
      <c r="BP598" t="s">
        <v>701</v>
      </c>
      <c r="BQ598" t="s">
        <v>705</v>
      </c>
      <c r="BR598" t="s">
        <v>706</v>
      </c>
      <c r="BS598" t="s">
        <v>707</v>
      </c>
      <c r="CR598"/>
      <c r="CS598"/>
      <c r="CT598"/>
    </row>
    <row r="599" spans="1:98" x14ac:dyDescent="0.4">
      <c r="A599" s="2" t="s">
        <v>623</v>
      </c>
      <c r="B599" t="str">
        <f>_xlfn.TEXTAFTER(Table1[[#This Row],[VEHIDCODE]],"_")</f>
        <v>Japan_JNR_7100</v>
      </c>
      <c r="C599" t="s">
        <v>739</v>
      </c>
      <c r="D599" t="b">
        <f>OR(ISNUMBER(SEARCH("wagon_",Table1[[#This Row],[FILENAMES_EXPECTED]])),ISNUMBER(SEARCH("coach_",Table1[[#This Row],[FILENAMES_EXPECTED]])))</f>
        <v>0</v>
      </c>
      <c r="E599" t="str">
        <f>"item_"&amp;Table1[[#This Row],[VEHIDCODE]]</f>
        <v>item_steam_Japan_JNR_7100</v>
      </c>
      <c r="F599" t="str">
        <f>"str_"&amp;Table1[[#This Row],[VEHIDCODE]]</f>
        <v>str_steam_Japan_JNR_7100</v>
      </c>
      <c r="X599" s="2" t="b">
        <v>1</v>
      </c>
      <c r="AJ599" s="2"/>
      <c r="AK599" s="2" t="b">
        <f>LEN(_xlfn.CONCAT(Table1[[#This Row],[TRACK_TYPE_STANDARD_GAUGE_RAILTYPE_OHLE]:[TRACK_TYPE_MTRO]]))&gt;0</f>
        <v>1</v>
      </c>
      <c r="AL599">
        <v>6</v>
      </c>
      <c r="AM599" t="s">
        <v>20</v>
      </c>
      <c r="AN599">
        <v>0</v>
      </c>
      <c r="AO599" t="s">
        <v>23</v>
      </c>
      <c r="AP599">
        <v>0</v>
      </c>
      <c r="AQ599">
        <v>1880</v>
      </c>
      <c r="AR599">
        <v>5</v>
      </c>
      <c r="AS599" s="2" t="s">
        <v>24</v>
      </c>
      <c r="AT599" t="b">
        <v>1</v>
      </c>
      <c r="AV599" s="2"/>
      <c r="AW599">
        <v>45</v>
      </c>
      <c r="AX599">
        <v>1</v>
      </c>
      <c r="AY599">
        <v>200</v>
      </c>
      <c r="AZ599" t="s">
        <v>710</v>
      </c>
      <c r="BA599">
        <v>36</v>
      </c>
      <c r="BB599" s="2">
        <v>7.0000000000000007E-2</v>
      </c>
      <c r="BC599" t="s">
        <v>931</v>
      </c>
      <c r="BD599" t="s">
        <v>922</v>
      </c>
      <c r="BE599" t="s">
        <v>940</v>
      </c>
      <c r="BF599" s="7">
        <v>40</v>
      </c>
      <c r="BG5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599">
        <v>0</v>
      </c>
      <c r="BI599" t="s">
        <v>734</v>
      </c>
      <c r="BJ599" s="11"/>
      <c r="BK599" s="11"/>
      <c r="BL599" s="11">
        <v>31</v>
      </c>
      <c r="BM599">
        <v>0</v>
      </c>
      <c r="BN599" t="s">
        <v>692</v>
      </c>
      <c r="BO599" t="s">
        <v>694</v>
      </c>
      <c r="BP599" t="s">
        <v>701</v>
      </c>
      <c r="BQ599" t="s">
        <v>705</v>
      </c>
      <c r="BR599" t="s">
        <v>706</v>
      </c>
      <c r="BS599" t="s">
        <v>707</v>
      </c>
      <c r="CR599"/>
      <c r="CS599"/>
      <c r="CT599"/>
    </row>
    <row r="600" spans="1:98" x14ac:dyDescent="0.4">
      <c r="A600" s="2" t="s">
        <v>624</v>
      </c>
      <c r="B600" t="str">
        <f>_xlfn.TEXTAFTER(Table1[[#This Row],[VEHIDCODE]],"_")</f>
        <v>Japan_JNR_860</v>
      </c>
      <c r="C600" t="s">
        <v>739</v>
      </c>
      <c r="D600" t="b">
        <f>OR(ISNUMBER(SEARCH("wagon_",Table1[[#This Row],[FILENAMES_EXPECTED]])),ISNUMBER(SEARCH("coach_",Table1[[#This Row],[FILENAMES_EXPECTED]])))</f>
        <v>0</v>
      </c>
      <c r="E600" t="str">
        <f>"item_"&amp;Table1[[#This Row],[VEHIDCODE]]</f>
        <v>item_steam_Japan_JNR_860</v>
      </c>
      <c r="F600" t="str">
        <f>"str_"&amp;Table1[[#This Row],[VEHIDCODE]]</f>
        <v>str_steam_Japan_JNR_860</v>
      </c>
      <c r="X600" s="2" t="b">
        <v>1</v>
      </c>
      <c r="AJ600" s="2"/>
      <c r="AK600" s="2" t="b">
        <f>LEN(_xlfn.CONCAT(Table1[[#This Row],[TRACK_TYPE_STANDARD_GAUGE_RAILTYPE_OHLE]:[TRACK_TYPE_MTRO]]))&gt;0</f>
        <v>1</v>
      </c>
      <c r="AL600">
        <v>5</v>
      </c>
      <c r="AM600" t="s">
        <v>20</v>
      </c>
      <c r="AN600">
        <v>0</v>
      </c>
      <c r="AO600" t="s">
        <v>23</v>
      </c>
      <c r="AP600">
        <v>0</v>
      </c>
      <c r="AQ600">
        <v>1893</v>
      </c>
      <c r="AR600">
        <v>5</v>
      </c>
      <c r="AS600" s="2" t="s">
        <v>24</v>
      </c>
      <c r="AT600" t="b">
        <v>1</v>
      </c>
      <c r="AV600" s="2"/>
      <c r="AW600">
        <v>45</v>
      </c>
      <c r="AX600">
        <v>1</v>
      </c>
      <c r="AY600">
        <v>186</v>
      </c>
      <c r="AZ600" t="s">
        <v>710</v>
      </c>
      <c r="BA600">
        <v>48</v>
      </c>
      <c r="BB600" s="2">
        <v>0.15</v>
      </c>
      <c r="BC600" t="s">
        <v>931</v>
      </c>
      <c r="BD600" t="s">
        <v>922</v>
      </c>
      <c r="BE600" t="s">
        <v>940</v>
      </c>
      <c r="BF600" s="7">
        <v>40</v>
      </c>
      <c r="BG6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600">
        <v>0</v>
      </c>
      <c r="BI600" t="s">
        <v>734</v>
      </c>
      <c r="BJ600" s="11"/>
      <c r="BK600" s="11"/>
      <c r="BL600" s="11">
        <v>32</v>
      </c>
      <c r="BM600">
        <v>0</v>
      </c>
      <c r="BN600" t="s">
        <v>692</v>
      </c>
      <c r="BO600" t="s">
        <v>694</v>
      </c>
      <c r="BP600" t="s">
        <v>701</v>
      </c>
      <c r="BQ600" t="s">
        <v>705</v>
      </c>
      <c r="BR600" t="s">
        <v>706</v>
      </c>
      <c r="BS600" t="s">
        <v>707</v>
      </c>
      <c r="CR600"/>
      <c r="CS600"/>
      <c r="CT600"/>
    </row>
    <row r="601" spans="1:98" x14ac:dyDescent="0.4">
      <c r="A601" s="2" t="s">
        <v>625</v>
      </c>
      <c r="B601" t="str">
        <f>_xlfn.TEXTAFTER(Table1[[#This Row],[VEHIDCODE]],"_")</f>
        <v>Japan_JNR_9600</v>
      </c>
      <c r="C601" t="s">
        <v>739</v>
      </c>
      <c r="D601" t="b">
        <f>OR(ISNUMBER(SEARCH("wagon_",Table1[[#This Row],[FILENAMES_EXPECTED]])),ISNUMBER(SEARCH("coach_",Table1[[#This Row],[FILENAMES_EXPECTED]])))</f>
        <v>0</v>
      </c>
      <c r="E601" t="str">
        <f>"item_"&amp;Table1[[#This Row],[VEHIDCODE]]</f>
        <v>item_steam_Japan_JNR_9600</v>
      </c>
      <c r="F601" t="str">
        <f>"str_"&amp;Table1[[#This Row],[VEHIDCODE]]</f>
        <v>str_steam_Japan_JNR_9600</v>
      </c>
      <c r="X601" s="2" t="b">
        <v>1</v>
      </c>
      <c r="AJ601" s="2"/>
      <c r="AK601" s="2" t="b">
        <f>LEN(_xlfn.CONCAT(Table1[[#This Row],[TRACK_TYPE_STANDARD_GAUGE_RAILTYPE_OHLE]:[TRACK_TYPE_MTRO]]))&gt;0</f>
        <v>1</v>
      </c>
      <c r="AL601">
        <v>8</v>
      </c>
      <c r="AM601" t="s">
        <v>20</v>
      </c>
      <c r="AN601">
        <v>0</v>
      </c>
      <c r="AO601" t="s">
        <v>23</v>
      </c>
      <c r="AP601">
        <v>0</v>
      </c>
      <c r="AQ601">
        <v>1913</v>
      </c>
      <c r="AR601">
        <v>7</v>
      </c>
      <c r="AS601" s="2" t="s">
        <v>24</v>
      </c>
      <c r="AT601" t="b">
        <v>1</v>
      </c>
      <c r="AV601" s="2"/>
      <c r="AW601">
        <v>45</v>
      </c>
      <c r="AX601">
        <v>1</v>
      </c>
      <c r="AY601">
        <v>870</v>
      </c>
      <c r="AZ601" t="s">
        <v>710</v>
      </c>
      <c r="BA601">
        <v>65</v>
      </c>
      <c r="BB601" s="2">
        <v>0.15</v>
      </c>
      <c r="BC601" t="s">
        <v>931</v>
      </c>
      <c r="BD601" t="s">
        <v>922</v>
      </c>
      <c r="BE601" t="s">
        <v>940</v>
      </c>
      <c r="BF601" s="7">
        <v>40</v>
      </c>
      <c r="BG6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601">
        <v>0</v>
      </c>
      <c r="BI601" t="s">
        <v>734</v>
      </c>
      <c r="BJ601" s="11"/>
      <c r="BK601" s="11"/>
      <c r="BL601" s="11">
        <v>95</v>
      </c>
      <c r="BM601">
        <v>0</v>
      </c>
      <c r="BN601" t="s">
        <v>692</v>
      </c>
      <c r="BO601" t="s">
        <v>694</v>
      </c>
      <c r="BP601" t="s">
        <v>701</v>
      </c>
      <c r="BQ601" t="s">
        <v>705</v>
      </c>
      <c r="BR601" t="s">
        <v>706</v>
      </c>
      <c r="BS601" t="s">
        <v>707</v>
      </c>
      <c r="CR601"/>
      <c r="CS601"/>
      <c r="CT601"/>
    </row>
    <row r="602" spans="1:98" x14ac:dyDescent="0.4">
      <c r="A602" s="2" t="s">
        <v>626</v>
      </c>
      <c r="B602" t="str">
        <f>_xlfn.TEXTAFTER(Table1[[#This Row],[VEHIDCODE]],"_")</f>
        <v>Japan_JNR_D50</v>
      </c>
      <c r="C602" t="s">
        <v>739</v>
      </c>
      <c r="D602" t="b">
        <f>OR(ISNUMBER(SEARCH("wagon_",Table1[[#This Row],[FILENAMES_EXPECTED]])),ISNUMBER(SEARCH("coach_",Table1[[#This Row],[FILENAMES_EXPECTED]])))</f>
        <v>0</v>
      </c>
      <c r="E602" t="str">
        <f>"item_"&amp;Table1[[#This Row],[VEHIDCODE]]</f>
        <v>item_steam_Japan_JNR_D50</v>
      </c>
      <c r="F602" t="str">
        <f>"str_"&amp;Table1[[#This Row],[VEHIDCODE]]</f>
        <v>str_steam_Japan_JNR_D50</v>
      </c>
      <c r="X602" s="2" t="b">
        <v>1</v>
      </c>
      <c r="AJ602" s="2"/>
      <c r="AK602" s="2" t="b">
        <f>LEN(_xlfn.CONCAT(Table1[[#This Row],[TRACK_TYPE_STANDARD_GAUGE_RAILTYPE_OHLE]:[TRACK_TYPE_MTRO]]))&gt;0</f>
        <v>1</v>
      </c>
      <c r="AL602">
        <v>8</v>
      </c>
      <c r="AM602" t="s">
        <v>20</v>
      </c>
      <c r="AN602">
        <v>0</v>
      </c>
      <c r="AO602" t="s">
        <v>23</v>
      </c>
      <c r="AP602">
        <v>0</v>
      </c>
      <c r="AQ602">
        <v>1923</v>
      </c>
      <c r="AR602">
        <v>6</v>
      </c>
      <c r="AS602" s="2" t="s">
        <v>20</v>
      </c>
      <c r="AT602" t="b">
        <v>1</v>
      </c>
      <c r="AV602" s="2"/>
      <c r="AW602">
        <v>45</v>
      </c>
      <c r="AX602">
        <v>1</v>
      </c>
      <c r="AY602">
        <v>1520</v>
      </c>
      <c r="AZ602" t="s">
        <v>710</v>
      </c>
      <c r="BA602">
        <v>70</v>
      </c>
      <c r="BB602" s="2">
        <v>0.16</v>
      </c>
      <c r="BC602" t="s">
        <v>931</v>
      </c>
      <c r="BD602" t="s">
        <v>922</v>
      </c>
      <c r="BE602" t="s">
        <v>940</v>
      </c>
      <c r="BF602" s="7">
        <v>40</v>
      </c>
      <c r="BG6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H602">
        <v>0</v>
      </c>
      <c r="BI602" t="s">
        <v>734</v>
      </c>
      <c r="BJ602" s="11"/>
      <c r="BK602" s="11"/>
      <c r="BL602" s="11">
        <v>122</v>
      </c>
      <c r="BM602">
        <v>0</v>
      </c>
      <c r="BN602" t="s">
        <v>692</v>
      </c>
      <c r="BO602" t="s">
        <v>694</v>
      </c>
      <c r="BP602" t="s">
        <v>701</v>
      </c>
      <c r="BQ602" t="s">
        <v>705</v>
      </c>
      <c r="BR602" t="s">
        <v>706</v>
      </c>
      <c r="BS602" t="s">
        <v>707</v>
      </c>
      <c r="CR602"/>
      <c r="CS602"/>
      <c r="CT602"/>
    </row>
    <row r="603" spans="1:98" x14ac:dyDescent="0.4">
      <c r="A603" s="2" t="s">
        <v>627</v>
      </c>
      <c r="B603" t="str">
        <f>_xlfn.TEXTAFTER(Table1[[#This Row],[VEHIDCODE]],"_")</f>
        <v>Japan_JNR_DF50</v>
      </c>
      <c r="C603" t="s">
        <v>740</v>
      </c>
      <c r="D603" t="b">
        <f>OR(ISNUMBER(SEARCH("wagon_",Table1[[#This Row],[FILENAMES_EXPECTED]])),ISNUMBER(SEARCH("coach_",Table1[[#This Row],[FILENAMES_EXPECTED]])))</f>
        <v>0</v>
      </c>
      <c r="E603" t="str">
        <f>"item_"&amp;Table1[[#This Row],[VEHIDCODE]]</f>
        <v>item_diesel_Japan_JNR_DF50</v>
      </c>
      <c r="F603" t="str">
        <f>"str_"&amp;Table1[[#This Row],[VEHIDCODE]]</f>
        <v>str_diesel_Japan_JNR_DF50</v>
      </c>
      <c r="X603" s="2" t="b">
        <v>1</v>
      </c>
      <c r="AJ603" s="2"/>
      <c r="AK603" s="2" t="b">
        <f>LEN(_xlfn.CONCAT(Table1[[#This Row],[TRACK_TYPE_STANDARD_GAUGE_RAILTYPE_OHLE]:[TRACK_TYPE_MTRO]]))&gt;0</f>
        <v>1</v>
      </c>
      <c r="AL603">
        <v>7</v>
      </c>
      <c r="AM603" t="s">
        <v>20</v>
      </c>
      <c r="AN603">
        <v>0</v>
      </c>
      <c r="AO603" t="s">
        <v>35</v>
      </c>
      <c r="AP603">
        <v>0</v>
      </c>
      <c r="AQ603">
        <v>1957</v>
      </c>
      <c r="AR603">
        <v>7</v>
      </c>
      <c r="AS603" s="2" t="s">
        <v>20</v>
      </c>
      <c r="AT603" t="b">
        <v>1</v>
      </c>
      <c r="AV603" s="2"/>
      <c r="AW603">
        <v>45</v>
      </c>
      <c r="AX603">
        <v>1</v>
      </c>
      <c r="AY603">
        <v>1060</v>
      </c>
      <c r="AZ603" t="s">
        <v>711</v>
      </c>
      <c r="BA603">
        <v>90</v>
      </c>
      <c r="BB603" s="2">
        <v>0.28999999999999998</v>
      </c>
      <c r="BC603" t="s">
        <v>931</v>
      </c>
      <c r="BD603" t="s">
        <v>922</v>
      </c>
      <c r="BE603" t="s">
        <v>940</v>
      </c>
      <c r="BF603" s="7">
        <v>40</v>
      </c>
      <c r="BG6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603">
        <v>0</v>
      </c>
      <c r="BI603" t="s">
        <v>734</v>
      </c>
      <c r="BJ603" s="11"/>
      <c r="BK603" s="11"/>
      <c r="BL603" s="11">
        <v>85</v>
      </c>
      <c r="BM603">
        <v>0</v>
      </c>
      <c r="BN603" t="s">
        <v>692</v>
      </c>
      <c r="BO603" t="s">
        <v>694</v>
      </c>
      <c r="BP603" t="s">
        <v>701</v>
      </c>
      <c r="BQ603" t="s">
        <v>705</v>
      </c>
      <c r="BR603" t="s">
        <v>706</v>
      </c>
      <c r="BS603" t="s">
        <v>707</v>
      </c>
      <c r="CR603"/>
      <c r="CS603"/>
      <c r="CT603"/>
    </row>
    <row r="604" spans="1:98" x14ac:dyDescent="0.4">
      <c r="A604" s="2" t="s">
        <v>628</v>
      </c>
      <c r="B604" t="str">
        <f>_xlfn.TEXTAFTER(Table1[[#This Row],[VEHIDCODE]],"_")</f>
        <v>Switzerland_RhB_DE_2_2</v>
      </c>
      <c r="C604" t="s">
        <v>741</v>
      </c>
      <c r="D604" t="b">
        <f>OR(ISNUMBER(SEARCH("wagon_",Table1[[#This Row],[FILENAMES_EXPECTED]])),ISNUMBER(SEARCH("coach_",Table1[[#This Row],[FILENAMES_EXPECTED]])))</f>
        <v>0</v>
      </c>
      <c r="E604" t="str">
        <f>"item_"&amp;Table1[[#This Row],[VEHIDCODE]]</f>
        <v>item_electric_Switzerland_RhB_DE_2_2</v>
      </c>
      <c r="F604" t="str">
        <f>"str_"&amp;Table1[[#This Row],[VEHIDCODE]]</f>
        <v>str_electric_Switzerland_RhB_DE_2_2</v>
      </c>
      <c r="T604" t="b">
        <v>1</v>
      </c>
      <c r="AJ604" s="2"/>
      <c r="AK604" s="2" t="b">
        <f>LEN(_xlfn.CONCAT(Table1[[#This Row],[TRACK_TYPE_STANDARD_GAUGE_RAILTYPE_OHLE]:[TRACK_TYPE_MTRO]]))&gt;0</f>
        <v>1</v>
      </c>
      <c r="AL604">
        <v>5</v>
      </c>
      <c r="AM604" t="s">
        <v>20</v>
      </c>
      <c r="AN604">
        <v>0</v>
      </c>
      <c r="AO604" t="s">
        <v>74</v>
      </c>
      <c r="AP604">
        <v>0</v>
      </c>
      <c r="AQ604">
        <v>1909</v>
      </c>
      <c r="AR604">
        <v>5</v>
      </c>
      <c r="AS604" s="2" t="s">
        <v>20</v>
      </c>
      <c r="AT604" t="b">
        <v>1</v>
      </c>
      <c r="AV604" s="2"/>
      <c r="AW604">
        <v>45</v>
      </c>
      <c r="AX604">
        <v>1</v>
      </c>
      <c r="AY604">
        <v>200</v>
      </c>
      <c r="AZ604" t="s">
        <v>709</v>
      </c>
      <c r="BA604">
        <v>45</v>
      </c>
      <c r="BB604" s="2">
        <v>0.3</v>
      </c>
      <c r="BC604" t="s">
        <v>923</v>
      </c>
      <c r="BD604" t="s">
        <v>922</v>
      </c>
      <c r="BE604" t="s">
        <v>940</v>
      </c>
      <c r="BF604" s="7">
        <v>40</v>
      </c>
      <c r="BG6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04">
        <v>-3</v>
      </c>
      <c r="BI604" t="s">
        <v>734</v>
      </c>
      <c r="BJ604" s="11"/>
      <c r="BK604" s="11"/>
      <c r="BL604" s="11">
        <v>16</v>
      </c>
      <c r="BM604">
        <v>0</v>
      </c>
      <c r="BN604" t="s">
        <v>692</v>
      </c>
      <c r="BO604" t="s">
        <v>694</v>
      </c>
      <c r="BP604" t="s">
        <v>701</v>
      </c>
      <c r="BQ604" t="s">
        <v>705</v>
      </c>
      <c r="BR604" t="s">
        <v>706</v>
      </c>
      <c r="BS604" t="s">
        <v>707</v>
      </c>
      <c r="CR604"/>
      <c r="CS604"/>
      <c r="CT604"/>
    </row>
    <row r="605" spans="1:98" x14ac:dyDescent="0.4">
      <c r="A605" s="2" t="s">
        <v>629</v>
      </c>
      <c r="B605" t="str">
        <f>_xlfn.TEXTAFTER(Table1[[#This Row],[VEHIDCODE]],"_")</f>
        <v>Japan_JNR_EH10</v>
      </c>
      <c r="C605" t="s">
        <v>741</v>
      </c>
      <c r="D605" t="b">
        <f>OR(ISNUMBER(SEARCH("wagon_",Table1[[#This Row],[FILENAMES_EXPECTED]])),ISNUMBER(SEARCH("coach_",Table1[[#This Row],[FILENAMES_EXPECTED]])))</f>
        <v>0</v>
      </c>
      <c r="E605" t="str">
        <f>"item_"&amp;Table1[[#This Row],[VEHIDCODE]]</f>
        <v>item_electric_Japan_JNR_EH10</v>
      </c>
      <c r="F605" t="str">
        <f>"str_"&amp;Table1[[#This Row],[VEHIDCODE]]</f>
        <v>str_electric_Japan_JNR_EH10</v>
      </c>
      <c r="T605" t="b">
        <v>1</v>
      </c>
      <c r="AJ605" s="2"/>
      <c r="AK605" s="2" t="b">
        <f>LEN(_xlfn.CONCAT(Table1[[#This Row],[TRACK_TYPE_STANDARD_GAUGE_RAILTYPE_OHLE]:[TRACK_TYPE_MTRO]]))&gt;0</f>
        <v>1</v>
      </c>
      <c r="AL605">
        <v>14</v>
      </c>
      <c r="AM605" t="s">
        <v>20</v>
      </c>
      <c r="AN605">
        <v>0</v>
      </c>
      <c r="AO605" t="s">
        <v>74</v>
      </c>
      <c r="AP605">
        <v>0</v>
      </c>
      <c r="AQ605">
        <v>1954</v>
      </c>
      <c r="AR605">
        <v>7</v>
      </c>
      <c r="AS605" s="2" t="s">
        <v>20</v>
      </c>
      <c r="AT605" t="b">
        <v>1</v>
      </c>
      <c r="AV605" s="2"/>
      <c r="AW605">
        <v>45</v>
      </c>
      <c r="AX605">
        <v>1</v>
      </c>
      <c r="AY605">
        <v>3390</v>
      </c>
      <c r="AZ605" t="s">
        <v>709</v>
      </c>
      <c r="BA605">
        <v>110</v>
      </c>
      <c r="BB605" s="2">
        <v>0.16</v>
      </c>
      <c r="BC605" t="s">
        <v>931</v>
      </c>
      <c r="BD605" t="s">
        <v>922</v>
      </c>
      <c r="BE605" t="s">
        <v>940</v>
      </c>
      <c r="BF605" s="7">
        <v>40</v>
      </c>
      <c r="BG6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05">
        <v>0</v>
      </c>
      <c r="BI605" t="s">
        <v>734</v>
      </c>
      <c r="BJ605" s="11"/>
      <c r="BK605" s="11"/>
      <c r="BL605" s="11">
        <v>116</v>
      </c>
      <c r="BM605">
        <v>0</v>
      </c>
      <c r="BN605" t="s">
        <v>692</v>
      </c>
      <c r="BO605" t="s">
        <v>694</v>
      </c>
      <c r="BP605" t="s">
        <v>701</v>
      </c>
      <c r="BQ605" t="s">
        <v>705</v>
      </c>
      <c r="BR605" t="s">
        <v>706</v>
      </c>
      <c r="BS605" t="s">
        <v>707</v>
      </c>
      <c r="CR605"/>
      <c r="CS605"/>
      <c r="CT605"/>
    </row>
    <row r="606" spans="1:98" x14ac:dyDescent="0.4">
      <c r="A606" s="2" t="s">
        <v>630</v>
      </c>
      <c r="B606" t="str">
        <f>_xlfn.TEXTAFTER(Table1[[#This Row],[VEHIDCODE]],"_")</f>
        <v>Japan_JNR_EF64</v>
      </c>
      <c r="C606" t="s">
        <v>741</v>
      </c>
      <c r="D606" t="b">
        <f>OR(ISNUMBER(SEARCH("wagon_",Table1[[#This Row],[FILENAMES_EXPECTED]])),ISNUMBER(SEARCH("coach_",Table1[[#This Row],[FILENAMES_EXPECTED]])))</f>
        <v>0</v>
      </c>
      <c r="E606" t="str">
        <f>"item_"&amp;Table1[[#This Row],[VEHIDCODE]]</f>
        <v>item_electric_Japan_JNR_EF64</v>
      </c>
      <c r="F606" t="str">
        <f>"str_"&amp;Table1[[#This Row],[VEHIDCODE]]</f>
        <v>str_electric_Japan_JNR_EF64</v>
      </c>
      <c r="T606" t="b">
        <v>1</v>
      </c>
      <c r="AJ606" s="2"/>
      <c r="AK606" s="2" t="b">
        <f>LEN(_xlfn.CONCAT(Table1[[#This Row],[TRACK_TYPE_STANDARD_GAUGE_RAILTYPE_OHLE]:[TRACK_TYPE_MTRO]]))&gt;0</f>
        <v>1</v>
      </c>
      <c r="AL606">
        <v>8</v>
      </c>
      <c r="AM606" t="s">
        <v>20</v>
      </c>
      <c r="AN606">
        <v>0</v>
      </c>
      <c r="AO606" t="s">
        <v>74</v>
      </c>
      <c r="AP606">
        <v>0</v>
      </c>
      <c r="AQ606">
        <v>1964</v>
      </c>
      <c r="AR606">
        <v>8</v>
      </c>
      <c r="AS606" s="2" t="s">
        <v>20</v>
      </c>
      <c r="AT606" t="b">
        <v>1</v>
      </c>
      <c r="AV606" s="2"/>
      <c r="AW606">
        <v>45</v>
      </c>
      <c r="AX606">
        <v>1</v>
      </c>
      <c r="AY606">
        <v>3420</v>
      </c>
      <c r="AZ606" t="s">
        <v>709</v>
      </c>
      <c r="BA606">
        <v>100</v>
      </c>
      <c r="BB606" s="2">
        <v>0.3</v>
      </c>
      <c r="BC606" t="s">
        <v>931</v>
      </c>
      <c r="BD606" t="s">
        <v>922</v>
      </c>
      <c r="BE606" t="s">
        <v>940</v>
      </c>
      <c r="BF606" s="7">
        <v>40</v>
      </c>
      <c r="BG6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06">
        <v>-3</v>
      </c>
      <c r="BI606" t="s">
        <v>734</v>
      </c>
      <c r="BJ606" s="11"/>
      <c r="BK606" s="11"/>
      <c r="BL606" s="11">
        <v>96</v>
      </c>
      <c r="BM606">
        <v>0</v>
      </c>
      <c r="BN606" t="s">
        <v>692</v>
      </c>
      <c r="BO606" t="s">
        <v>694</v>
      </c>
      <c r="BP606" t="s">
        <v>701</v>
      </c>
      <c r="BQ606" t="s">
        <v>705</v>
      </c>
      <c r="BR606" t="s">
        <v>706</v>
      </c>
      <c r="BS606" t="s">
        <v>707</v>
      </c>
      <c r="CR606"/>
      <c r="CS606"/>
      <c r="CT606"/>
    </row>
    <row r="607" spans="1:98" x14ac:dyDescent="0.4">
      <c r="A607" s="2" t="s">
        <v>631</v>
      </c>
      <c r="B607" t="str">
        <f>_xlfn.TEXTAFTER(Table1[[#This Row],[VEHIDCODE]],"_")</f>
        <v>New_Zealand_NZR_EO_Class</v>
      </c>
      <c r="C607" t="s">
        <v>741</v>
      </c>
      <c r="D607" t="b">
        <f>OR(ISNUMBER(SEARCH("wagon_",Table1[[#This Row],[FILENAMES_EXPECTED]])),ISNUMBER(SEARCH("coach_",Table1[[#This Row],[FILENAMES_EXPECTED]])))</f>
        <v>0</v>
      </c>
      <c r="E607" t="str">
        <f>"item_"&amp;Table1[[#This Row],[VEHIDCODE]]</f>
        <v>item_electric_New_Zealand_NZR_EO_Class</v>
      </c>
      <c r="F607" t="str">
        <f>"str_"&amp;Table1[[#This Row],[VEHIDCODE]]</f>
        <v>str_electric_New_Zealand_NZR_EO_Class</v>
      </c>
      <c r="T607" t="b">
        <v>1</v>
      </c>
      <c r="AJ607" s="2"/>
      <c r="AK607" s="2" t="b">
        <f>LEN(_xlfn.CONCAT(Table1[[#This Row],[TRACK_TYPE_STANDARD_GAUGE_RAILTYPE_OHLE]:[TRACK_TYPE_MTRO]]))&gt;0</f>
        <v>1</v>
      </c>
      <c r="AL607">
        <v>7</v>
      </c>
      <c r="AM607" t="s">
        <v>20</v>
      </c>
      <c r="AN607">
        <v>0</v>
      </c>
      <c r="AO607" t="s">
        <v>74</v>
      </c>
      <c r="AP607">
        <v>0</v>
      </c>
      <c r="AQ607">
        <v>1923</v>
      </c>
      <c r="AR607">
        <v>7</v>
      </c>
      <c r="AS607" s="2" t="s">
        <v>20</v>
      </c>
      <c r="AT607" t="b">
        <v>1</v>
      </c>
      <c r="AV607" s="2"/>
      <c r="AW607">
        <v>45</v>
      </c>
      <c r="AX607">
        <v>1</v>
      </c>
      <c r="AY607">
        <v>680</v>
      </c>
      <c r="AZ607" t="s">
        <v>709</v>
      </c>
      <c r="BA607">
        <v>64</v>
      </c>
      <c r="BB607" s="2">
        <v>0.13</v>
      </c>
      <c r="BC607" t="s">
        <v>925</v>
      </c>
      <c r="BD607" t="s">
        <v>922</v>
      </c>
      <c r="BE607" t="s">
        <v>940</v>
      </c>
      <c r="BF607" s="7">
        <v>40</v>
      </c>
      <c r="BG6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07">
        <v>0</v>
      </c>
      <c r="BI607" t="s">
        <v>734</v>
      </c>
      <c r="BJ607" s="11"/>
      <c r="BK607" s="11"/>
      <c r="BL607" s="11">
        <v>50</v>
      </c>
      <c r="BM607">
        <v>0</v>
      </c>
      <c r="BN607" t="s">
        <v>692</v>
      </c>
      <c r="BO607" t="s">
        <v>694</v>
      </c>
      <c r="BP607" t="s">
        <v>701</v>
      </c>
      <c r="BQ607" t="s">
        <v>705</v>
      </c>
      <c r="BR607" t="s">
        <v>706</v>
      </c>
      <c r="BS607" t="s">
        <v>707</v>
      </c>
      <c r="CR607"/>
      <c r="CS607"/>
      <c r="CT607"/>
    </row>
    <row r="608" spans="1:98" x14ac:dyDescent="0.4">
      <c r="A608" s="2" t="s">
        <v>632</v>
      </c>
      <c r="B608" t="str">
        <f>_xlfn.TEXTAFTER(Table1[[#This Row],[VEHIDCODE]],"_")</f>
        <v>Australia_NSWGR_71</v>
      </c>
      <c r="C608" t="s">
        <v>741</v>
      </c>
      <c r="D608" t="b">
        <f>OR(ISNUMBER(SEARCH("wagon_",Table1[[#This Row],[FILENAMES_EXPECTED]])),ISNUMBER(SEARCH("coach_",Table1[[#This Row],[FILENAMES_EXPECTED]])))</f>
        <v>0</v>
      </c>
      <c r="E608" t="str">
        <f>"item_"&amp;Table1[[#This Row],[VEHIDCODE]]</f>
        <v>item_electric_Australia_NSWGR_71</v>
      </c>
      <c r="F608" t="str">
        <f>"str_"&amp;Table1[[#This Row],[VEHIDCODE]]</f>
        <v>str_electric_Australia_NSWGR_71</v>
      </c>
      <c r="T608" t="b">
        <v>1</v>
      </c>
      <c r="AJ608" s="2"/>
      <c r="AK608" s="2" t="b">
        <f>LEN(_xlfn.CONCAT(Table1[[#This Row],[TRACK_TYPE_STANDARD_GAUGE_RAILTYPE_OHLE]:[TRACK_TYPE_MTRO]]))&gt;0</f>
        <v>1</v>
      </c>
      <c r="AL608">
        <v>7</v>
      </c>
      <c r="AM608" t="s">
        <v>20</v>
      </c>
      <c r="AN608">
        <v>0</v>
      </c>
      <c r="AO608" t="s">
        <v>74</v>
      </c>
      <c r="AP608">
        <v>0</v>
      </c>
      <c r="AQ608">
        <v>1952</v>
      </c>
      <c r="AR608">
        <v>7</v>
      </c>
      <c r="AS608" s="2" t="s">
        <v>20</v>
      </c>
      <c r="AT608" t="b">
        <v>1</v>
      </c>
      <c r="AV608" s="2"/>
      <c r="AW608">
        <v>45</v>
      </c>
      <c r="AX608">
        <v>1</v>
      </c>
      <c r="AY608">
        <v>2700</v>
      </c>
      <c r="AZ608" t="s">
        <v>709</v>
      </c>
      <c r="BA608">
        <v>113</v>
      </c>
      <c r="BB608" s="2">
        <v>0.11</v>
      </c>
      <c r="BC608" t="s">
        <v>925</v>
      </c>
      <c r="BD608" t="s">
        <v>922</v>
      </c>
      <c r="BE608" t="s">
        <v>940</v>
      </c>
      <c r="BF608" s="7">
        <v>40</v>
      </c>
      <c r="BG6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08">
        <v>0</v>
      </c>
      <c r="BI608" t="s">
        <v>734</v>
      </c>
      <c r="BJ608" s="11"/>
      <c r="BK608" s="11"/>
      <c r="BL608" s="11">
        <v>110</v>
      </c>
      <c r="BM608">
        <v>0</v>
      </c>
      <c r="BN608" t="s">
        <v>692</v>
      </c>
      <c r="BO608" t="s">
        <v>694</v>
      </c>
      <c r="BP608" t="s">
        <v>701</v>
      </c>
      <c r="BQ608" t="s">
        <v>705</v>
      </c>
      <c r="BR608" t="s">
        <v>706</v>
      </c>
      <c r="BS608" t="s">
        <v>707</v>
      </c>
      <c r="CR608"/>
      <c r="CS608"/>
      <c r="CT608"/>
    </row>
    <row r="609" spans="1:98" x14ac:dyDescent="0.4">
      <c r="A609" s="2" t="s">
        <v>633</v>
      </c>
      <c r="B609" t="str">
        <f>_xlfn.TEXTAFTER(Table1[[#This Row],[VEHIDCODE]],"_")</f>
        <v>South_Africa_SAR_4E</v>
      </c>
      <c r="C609" t="s">
        <v>741</v>
      </c>
      <c r="D609" t="b">
        <f>OR(ISNUMBER(SEARCH("wagon_",Table1[[#This Row],[FILENAMES_EXPECTED]])),ISNUMBER(SEARCH("coach_",Table1[[#This Row],[FILENAMES_EXPECTED]])))</f>
        <v>0</v>
      </c>
      <c r="E609" t="str">
        <f>"item_"&amp;Table1[[#This Row],[VEHIDCODE]]</f>
        <v>item_electric_South_Africa_SAR_4E</v>
      </c>
      <c r="F609" t="str">
        <f>"str_"&amp;Table1[[#This Row],[VEHIDCODE]]</f>
        <v>str_electric_South_Africa_SAR_4E</v>
      </c>
      <c r="S609" t="b">
        <v>1</v>
      </c>
      <c r="AJ609" s="2"/>
      <c r="AK609" s="2" t="b">
        <f>LEN(_xlfn.CONCAT(Table1[[#This Row],[TRACK_TYPE_STANDARD_GAUGE_RAILTYPE_OHLE]:[TRACK_TYPE_MTRO]]))&gt;0</f>
        <v>1</v>
      </c>
      <c r="AL609">
        <v>8</v>
      </c>
      <c r="AM609" t="s">
        <v>20</v>
      </c>
      <c r="AN609">
        <v>0</v>
      </c>
      <c r="AO609" t="s">
        <v>74</v>
      </c>
      <c r="AP609">
        <v>0</v>
      </c>
      <c r="AQ609">
        <v>1952</v>
      </c>
      <c r="AR609">
        <v>8</v>
      </c>
      <c r="AS609" s="2" t="s">
        <v>20</v>
      </c>
      <c r="AT609" t="b">
        <v>1</v>
      </c>
      <c r="AV609" s="2"/>
      <c r="AW609">
        <v>45</v>
      </c>
      <c r="AX609">
        <v>1</v>
      </c>
      <c r="AY609">
        <v>2520</v>
      </c>
      <c r="AZ609" t="s">
        <v>709</v>
      </c>
      <c r="BA609">
        <v>97</v>
      </c>
      <c r="BB609" s="2">
        <v>0.09</v>
      </c>
      <c r="BC609" t="s">
        <v>926</v>
      </c>
      <c r="BD609" t="s">
        <v>922</v>
      </c>
      <c r="BE609" t="s">
        <v>940</v>
      </c>
      <c r="BF609" s="7">
        <v>40</v>
      </c>
      <c r="BG6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09">
        <v>0</v>
      </c>
      <c r="BI609" t="s">
        <v>734</v>
      </c>
      <c r="BJ609" s="11"/>
      <c r="BK609" s="11"/>
      <c r="BL609" s="11">
        <v>155</v>
      </c>
      <c r="BM609">
        <v>0</v>
      </c>
      <c r="BN609" t="s">
        <v>692</v>
      </c>
      <c r="BO609" t="s">
        <v>694</v>
      </c>
      <c r="BP609" t="s">
        <v>701</v>
      </c>
      <c r="BQ609" t="s">
        <v>705</v>
      </c>
      <c r="BR609" t="s">
        <v>706</v>
      </c>
      <c r="BS609" t="s">
        <v>707</v>
      </c>
      <c r="CR609"/>
      <c r="CS609"/>
      <c r="CT609"/>
    </row>
    <row r="610" spans="1:98" x14ac:dyDescent="0.4">
      <c r="A610" s="2" t="s">
        <v>634</v>
      </c>
      <c r="B610" t="str">
        <f>_xlfn.TEXTAFTER(Table1[[#This Row],[VEHIDCODE]],"_")</f>
        <v>South_Africa_SAR_5E1</v>
      </c>
      <c r="C610" t="s">
        <v>741</v>
      </c>
      <c r="D610" t="b">
        <f>OR(ISNUMBER(SEARCH("wagon_",Table1[[#This Row],[FILENAMES_EXPECTED]])),ISNUMBER(SEARCH("coach_",Table1[[#This Row],[FILENAMES_EXPECTED]])))</f>
        <v>0</v>
      </c>
      <c r="E610" t="str">
        <f>"item_"&amp;Table1[[#This Row],[VEHIDCODE]]</f>
        <v>item_electric_South_Africa_SAR_5E1</v>
      </c>
      <c r="F610" t="str">
        <f>"str_"&amp;Table1[[#This Row],[VEHIDCODE]]</f>
        <v>str_electric_South_Africa_SAR_5E1</v>
      </c>
      <c r="S610" t="b">
        <v>1</v>
      </c>
      <c r="AJ610" s="2"/>
      <c r="AK610" s="2" t="b">
        <f>LEN(_xlfn.CONCAT(Table1[[#This Row],[TRACK_TYPE_STANDARD_GAUGE_RAILTYPE_OHLE]:[TRACK_TYPE_MTRO]]))&gt;0</f>
        <v>1</v>
      </c>
      <c r="AL610">
        <v>7</v>
      </c>
      <c r="AM610" t="s">
        <v>20</v>
      </c>
      <c r="AN610">
        <v>0</v>
      </c>
      <c r="AO610" t="s">
        <v>74</v>
      </c>
      <c r="AP610">
        <v>0</v>
      </c>
      <c r="AQ610">
        <v>1965</v>
      </c>
      <c r="AR610">
        <v>7</v>
      </c>
      <c r="AS610" s="2" t="s">
        <v>20</v>
      </c>
      <c r="AT610" t="b">
        <v>1</v>
      </c>
      <c r="AV610" s="2"/>
      <c r="AW610">
        <v>45</v>
      </c>
      <c r="AX610">
        <v>1</v>
      </c>
      <c r="AY610">
        <v>1456</v>
      </c>
      <c r="AZ610" t="s">
        <v>709</v>
      </c>
      <c r="BA610">
        <v>97</v>
      </c>
      <c r="BB610" s="2">
        <v>0.28999999999999998</v>
      </c>
      <c r="BC610" t="s">
        <v>926</v>
      </c>
      <c r="BD610" t="s">
        <v>922</v>
      </c>
      <c r="BE610" t="s">
        <v>940</v>
      </c>
      <c r="BF610" s="7">
        <v>40</v>
      </c>
      <c r="BG6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0">
        <v>0</v>
      </c>
      <c r="BI610" t="s">
        <v>734</v>
      </c>
      <c r="BJ610" s="11"/>
      <c r="BK610" s="11"/>
      <c r="BL610" s="11">
        <v>86</v>
      </c>
      <c r="BM610">
        <v>0</v>
      </c>
      <c r="BN610" t="s">
        <v>692</v>
      </c>
      <c r="BO610" t="s">
        <v>694</v>
      </c>
      <c r="BP610" t="s">
        <v>701</v>
      </c>
      <c r="BQ610" t="s">
        <v>705</v>
      </c>
      <c r="BR610" t="s">
        <v>706</v>
      </c>
      <c r="BS610" t="s">
        <v>707</v>
      </c>
      <c r="CR610"/>
      <c r="CS610"/>
      <c r="CT610"/>
    </row>
    <row r="611" spans="1:98" x14ac:dyDescent="0.4">
      <c r="A611" s="2" t="s">
        <v>635</v>
      </c>
      <c r="B611" t="str">
        <f>_xlfn.TEXTAFTER(Table1[[#This Row],[VEHIDCODE]],"_")</f>
        <v>South_Africa_SAR_6E</v>
      </c>
      <c r="C611" t="s">
        <v>741</v>
      </c>
      <c r="D611" t="b">
        <f>OR(ISNUMBER(SEARCH("wagon_",Table1[[#This Row],[FILENAMES_EXPECTED]])),ISNUMBER(SEARCH("coach_",Table1[[#This Row],[FILENAMES_EXPECTED]])))</f>
        <v>0</v>
      </c>
      <c r="E611" t="str">
        <f>"item_"&amp;Table1[[#This Row],[VEHIDCODE]]</f>
        <v>item_electric_South_Africa_SAR_6E</v>
      </c>
      <c r="F611" t="str">
        <f>"str_"&amp;Table1[[#This Row],[VEHIDCODE]]</f>
        <v>str_electric_South_Africa_SAR_6E</v>
      </c>
      <c r="S611" t="b">
        <v>1</v>
      </c>
      <c r="AJ611" s="2"/>
      <c r="AK611" s="2" t="b">
        <f>LEN(_xlfn.CONCAT(Table1[[#This Row],[TRACK_TYPE_STANDARD_GAUGE_RAILTYPE_OHLE]:[TRACK_TYPE_MTRO]]))&gt;0</f>
        <v>1</v>
      </c>
      <c r="AL611">
        <v>8</v>
      </c>
      <c r="AM611" t="s">
        <v>20</v>
      </c>
      <c r="AN611">
        <v>0</v>
      </c>
      <c r="AO611" t="s">
        <v>74</v>
      </c>
      <c r="AP611">
        <v>0</v>
      </c>
      <c r="AQ611">
        <v>1970</v>
      </c>
      <c r="AR611">
        <v>8</v>
      </c>
      <c r="AS611" s="2" t="s">
        <v>20</v>
      </c>
      <c r="AT611" t="b">
        <v>1</v>
      </c>
      <c r="AV611" s="2"/>
      <c r="AW611">
        <v>45</v>
      </c>
      <c r="AX611">
        <v>1</v>
      </c>
      <c r="AY611">
        <v>3300</v>
      </c>
      <c r="AZ611" t="s">
        <v>709</v>
      </c>
      <c r="BA611">
        <v>115</v>
      </c>
      <c r="BB611" s="2">
        <v>0.36</v>
      </c>
      <c r="BC611" t="s">
        <v>926</v>
      </c>
      <c r="BD611" t="s">
        <v>922</v>
      </c>
      <c r="BE611" t="s">
        <v>940</v>
      </c>
      <c r="BF611" s="7">
        <v>40</v>
      </c>
      <c r="BG6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1">
        <v>-3</v>
      </c>
      <c r="BI611" t="s">
        <v>734</v>
      </c>
      <c r="BJ611" s="11"/>
      <c r="BK611" s="11"/>
      <c r="BL611" s="11">
        <v>89</v>
      </c>
      <c r="BM611">
        <v>0</v>
      </c>
      <c r="BN611" t="s">
        <v>692</v>
      </c>
      <c r="BO611" t="s">
        <v>694</v>
      </c>
      <c r="BP611" t="s">
        <v>701</v>
      </c>
      <c r="BQ611" t="s">
        <v>705</v>
      </c>
      <c r="BR611" t="s">
        <v>706</v>
      </c>
      <c r="BS611" t="s">
        <v>707</v>
      </c>
      <c r="CR611"/>
      <c r="CS611"/>
      <c r="CT611"/>
    </row>
    <row r="612" spans="1:98" x14ac:dyDescent="0.4">
      <c r="A612" s="2" t="s">
        <v>636</v>
      </c>
      <c r="B612" t="str">
        <f>_xlfn.TEXTAFTER(Table1[[#This Row],[VEHIDCODE]],"_")</f>
        <v>Switzerland_RhB_Ge_4_4_I</v>
      </c>
      <c r="C612" t="s">
        <v>741</v>
      </c>
      <c r="D612" t="b">
        <f>OR(ISNUMBER(SEARCH("wagon_",Table1[[#This Row],[FILENAMES_EXPECTED]])),ISNUMBER(SEARCH("coach_",Table1[[#This Row],[FILENAMES_EXPECTED]])))</f>
        <v>0</v>
      </c>
      <c r="E612" t="str">
        <f>"item_"&amp;Table1[[#This Row],[VEHIDCODE]]</f>
        <v>item_electric_Switzerland_RhB_Ge_4_4_I</v>
      </c>
      <c r="F612" t="str">
        <f>"str_"&amp;Table1[[#This Row],[VEHIDCODE]]</f>
        <v>str_electric_Switzerland_RhB_Ge_4_4_I</v>
      </c>
      <c r="S612" t="b">
        <v>1</v>
      </c>
      <c r="AJ612" s="2"/>
      <c r="AK612" s="2" t="b">
        <f>LEN(_xlfn.CONCAT(Table1[[#This Row],[TRACK_TYPE_STANDARD_GAUGE_RAILTYPE_OHLE]:[TRACK_TYPE_MTRO]]))&gt;0</f>
        <v>1</v>
      </c>
      <c r="AL612">
        <v>8</v>
      </c>
      <c r="AM612" t="s">
        <v>20</v>
      </c>
      <c r="AN612">
        <v>0</v>
      </c>
      <c r="AO612" t="s">
        <v>74</v>
      </c>
      <c r="AP612">
        <v>0</v>
      </c>
      <c r="AQ612">
        <v>1947</v>
      </c>
      <c r="AR612">
        <v>8</v>
      </c>
      <c r="AS612" s="2" t="s">
        <v>20</v>
      </c>
      <c r="AT612" t="b">
        <v>1</v>
      </c>
      <c r="AV612" s="2"/>
      <c r="AW612">
        <v>45</v>
      </c>
      <c r="AX612">
        <v>1</v>
      </c>
      <c r="AY612">
        <v>1590</v>
      </c>
      <c r="AZ612" t="s">
        <v>709</v>
      </c>
      <c r="BA612">
        <v>80</v>
      </c>
      <c r="BB612" s="2">
        <v>0.3</v>
      </c>
      <c r="BC612" t="s">
        <v>923</v>
      </c>
      <c r="BD612" t="s">
        <v>922</v>
      </c>
      <c r="BE612" t="s">
        <v>940</v>
      </c>
      <c r="BF612" s="7">
        <v>40</v>
      </c>
      <c r="BG6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2">
        <v>0</v>
      </c>
      <c r="BI612" t="s">
        <v>734</v>
      </c>
      <c r="BJ612" s="11"/>
      <c r="BK612" s="11"/>
      <c r="BL612" s="11">
        <v>47</v>
      </c>
      <c r="BM612">
        <v>0</v>
      </c>
      <c r="BN612" t="s">
        <v>692</v>
      </c>
      <c r="BO612" t="s">
        <v>694</v>
      </c>
      <c r="BP612" t="s">
        <v>701</v>
      </c>
      <c r="BQ612" t="s">
        <v>705</v>
      </c>
      <c r="BR612" t="s">
        <v>706</v>
      </c>
      <c r="BS612" t="s">
        <v>707</v>
      </c>
      <c r="CR612"/>
      <c r="CS612"/>
      <c r="CT612"/>
    </row>
    <row r="613" spans="1:98" x14ac:dyDescent="0.4">
      <c r="A613" s="2" t="s">
        <v>637</v>
      </c>
      <c r="B613" t="str">
        <f>_xlfn.TEXTAFTER(Table1[[#This Row],[VEHIDCODE]],"_")</f>
        <v>Switzerland_RhB_Ge_6_6_Krokodil</v>
      </c>
      <c r="C613" t="s">
        <v>741</v>
      </c>
      <c r="D613" t="b">
        <f>OR(ISNUMBER(SEARCH("wagon_",Table1[[#This Row],[FILENAMES_EXPECTED]])),ISNUMBER(SEARCH("coach_",Table1[[#This Row],[FILENAMES_EXPECTED]])))</f>
        <v>0</v>
      </c>
      <c r="E613" t="str">
        <f>"item_"&amp;Table1[[#This Row],[VEHIDCODE]]</f>
        <v>item_electric_Switzerland_RhB_Ge_6_6_Krokodil</v>
      </c>
      <c r="F613" t="str">
        <f>"str_"&amp;Table1[[#This Row],[VEHIDCODE]]</f>
        <v>str_electric_Switzerland_RhB_Ge_6_6_Krokodil</v>
      </c>
      <c r="S613" t="b">
        <v>1</v>
      </c>
      <c r="AJ613" s="2"/>
      <c r="AK613" s="2" t="b">
        <f>LEN(_xlfn.CONCAT(Table1[[#This Row],[TRACK_TYPE_STANDARD_GAUGE_RAILTYPE_OHLE]:[TRACK_TYPE_MTRO]]))&gt;0</f>
        <v>1</v>
      </c>
      <c r="AL613">
        <v>8</v>
      </c>
      <c r="AM613" t="s">
        <v>20</v>
      </c>
      <c r="AN613">
        <v>0</v>
      </c>
      <c r="AO613" t="s">
        <v>74</v>
      </c>
      <c r="AP613">
        <v>0</v>
      </c>
      <c r="AQ613">
        <v>1921</v>
      </c>
      <c r="AR613">
        <v>8</v>
      </c>
      <c r="AS613" s="2" t="s">
        <v>20</v>
      </c>
      <c r="AT613" t="b">
        <v>1</v>
      </c>
      <c r="AV613" s="2"/>
      <c r="AW613">
        <v>45</v>
      </c>
      <c r="AX613">
        <v>1</v>
      </c>
      <c r="AY613">
        <v>1260</v>
      </c>
      <c r="AZ613" t="s">
        <v>709</v>
      </c>
      <c r="BA613">
        <v>55</v>
      </c>
      <c r="BB613" s="2">
        <v>0.26</v>
      </c>
      <c r="BC613" t="s">
        <v>923</v>
      </c>
      <c r="BD613" t="s">
        <v>922</v>
      </c>
      <c r="BE613" t="s">
        <v>940</v>
      </c>
      <c r="BF613" s="7">
        <v>40</v>
      </c>
      <c r="BG6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3">
        <v>0</v>
      </c>
      <c r="BI613" t="s">
        <v>734</v>
      </c>
      <c r="BJ613" s="11"/>
      <c r="BK613" s="11"/>
      <c r="BL613" s="11">
        <v>66</v>
      </c>
      <c r="BM613">
        <v>0</v>
      </c>
      <c r="BN613" t="s">
        <v>692</v>
      </c>
      <c r="BO613" t="s">
        <v>694</v>
      </c>
      <c r="BP613" t="s">
        <v>701</v>
      </c>
      <c r="BQ613" t="s">
        <v>705</v>
      </c>
      <c r="BR613" t="s">
        <v>706</v>
      </c>
      <c r="BS613" t="s">
        <v>707</v>
      </c>
      <c r="CR613"/>
      <c r="CS613"/>
      <c r="CT613"/>
    </row>
    <row r="614" spans="1:98" x14ac:dyDescent="0.4">
      <c r="A614" s="2" t="s">
        <v>638</v>
      </c>
      <c r="B614" t="str">
        <f>_xlfn.TEXTAFTER(Table1[[#This Row],[VEHIDCODE]],"_")</f>
        <v>Brasil_MRS_He_4_4</v>
      </c>
      <c r="C614" t="s">
        <v>741</v>
      </c>
      <c r="D614" t="b">
        <f>OR(ISNUMBER(SEARCH("wagon_",Table1[[#This Row],[FILENAMES_EXPECTED]])),ISNUMBER(SEARCH("coach_",Table1[[#This Row],[FILENAMES_EXPECTED]])))</f>
        <v>0</v>
      </c>
      <c r="E614" t="str">
        <f>"item_"&amp;Table1[[#This Row],[VEHIDCODE]]</f>
        <v>item_electric_Brasil_MRS_He_4_4</v>
      </c>
      <c r="F614" t="str">
        <f>"str_"&amp;Table1[[#This Row],[VEHIDCODE]]</f>
        <v>str_electric_Brasil_MRS_He_4_4</v>
      </c>
      <c r="AB614" t="b">
        <v>1</v>
      </c>
      <c r="AJ614" s="2"/>
      <c r="AK614" s="2" t="b">
        <f>LEN(_xlfn.CONCAT(Table1[[#This Row],[TRACK_TYPE_STANDARD_GAUGE_RAILTYPE_OHLE]:[TRACK_TYPE_MTRO]]))&gt;0</f>
        <v>1</v>
      </c>
      <c r="AL614">
        <v>7</v>
      </c>
      <c r="AM614" t="s">
        <v>20</v>
      </c>
      <c r="AN614">
        <v>0</v>
      </c>
      <c r="AO614" t="s">
        <v>74</v>
      </c>
      <c r="AP614">
        <v>0</v>
      </c>
      <c r="AQ614">
        <v>2012</v>
      </c>
      <c r="AR614">
        <v>7</v>
      </c>
      <c r="AS614" s="2" t="s">
        <v>24</v>
      </c>
      <c r="AT614" t="b">
        <v>1</v>
      </c>
      <c r="AV614" s="2"/>
      <c r="AW614">
        <v>45</v>
      </c>
      <c r="AX614">
        <v>1</v>
      </c>
      <c r="AY614">
        <v>6710</v>
      </c>
      <c r="AZ614" t="s">
        <v>709</v>
      </c>
      <c r="BA614">
        <v>60</v>
      </c>
      <c r="BB614" s="2">
        <v>0.63</v>
      </c>
      <c r="BC614" t="s">
        <v>930</v>
      </c>
      <c r="BD614" t="s">
        <v>922</v>
      </c>
      <c r="BE614" t="s">
        <v>940</v>
      </c>
      <c r="BF614" s="7">
        <v>40</v>
      </c>
      <c r="BG6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4">
        <v>0</v>
      </c>
      <c r="BI614" t="s">
        <v>734</v>
      </c>
      <c r="BJ614" s="11"/>
      <c r="BK614" s="11"/>
      <c r="BL614" s="11">
        <v>121</v>
      </c>
      <c r="BM614">
        <v>0</v>
      </c>
      <c r="BN614" t="s">
        <v>692</v>
      </c>
      <c r="BO614" t="s">
        <v>694</v>
      </c>
      <c r="BP614" t="s">
        <v>701</v>
      </c>
      <c r="BQ614" t="s">
        <v>705</v>
      </c>
      <c r="BR614" t="s">
        <v>706</v>
      </c>
      <c r="BS614" t="s">
        <v>707</v>
      </c>
      <c r="CR614"/>
      <c r="CS614"/>
      <c r="CT614"/>
    </row>
    <row r="615" spans="1:98" x14ac:dyDescent="0.4">
      <c r="A615" s="2" t="s">
        <v>639</v>
      </c>
      <c r="B615" t="str">
        <f>_xlfn.TEXTAFTER(Table1[[#This Row],[VEHIDCODE]],"_")</f>
        <v>South_Africa_SAR_7E</v>
      </c>
      <c r="C615" t="s">
        <v>741</v>
      </c>
      <c r="D615" t="b">
        <f>OR(ISNUMBER(SEARCH("wagon_",Table1[[#This Row],[FILENAMES_EXPECTED]])),ISNUMBER(SEARCH("coach_",Table1[[#This Row],[FILENAMES_EXPECTED]])))</f>
        <v>0</v>
      </c>
      <c r="E615" t="str">
        <f>"item_"&amp;Table1[[#This Row],[VEHIDCODE]]</f>
        <v>item_electric_South_Africa_SAR_7E</v>
      </c>
      <c r="F615" t="str">
        <f>"str_"&amp;Table1[[#This Row],[VEHIDCODE]]</f>
        <v>str_electric_South_Africa_SAR_7E</v>
      </c>
      <c r="Q615" t="b">
        <v>1</v>
      </c>
      <c r="AJ615" s="2"/>
      <c r="AK615" s="2" t="b">
        <f>LEN(_xlfn.CONCAT(Table1[[#This Row],[TRACK_TYPE_STANDARD_GAUGE_RAILTYPE_OHLE]:[TRACK_TYPE_MTRO]]))&gt;0</f>
        <v>1</v>
      </c>
      <c r="AL615">
        <v>7</v>
      </c>
      <c r="AM615" t="s">
        <v>20</v>
      </c>
      <c r="AN615">
        <v>0</v>
      </c>
      <c r="AO615" t="s">
        <v>74</v>
      </c>
      <c r="AP615">
        <v>0</v>
      </c>
      <c r="AQ615">
        <v>1978</v>
      </c>
      <c r="AR615">
        <v>7</v>
      </c>
      <c r="AS615" s="2" t="s">
        <v>24</v>
      </c>
      <c r="AT615" t="b">
        <v>1</v>
      </c>
      <c r="AV615" s="2"/>
      <c r="AW615">
        <v>45</v>
      </c>
      <c r="AX615">
        <v>1</v>
      </c>
      <c r="AY615">
        <v>4000</v>
      </c>
      <c r="AZ615" t="s">
        <v>709</v>
      </c>
      <c r="BA615">
        <v>100</v>
      </c>
      <c r="BB615" s="2">
        <v>0.24</v>
      </c>
      <c r="BC615" t="s">
        <v>926</v>
      </c>
      <c r="BD615" t="s">
        <v>922</v>
      </c>
      <c r="BE615" t="s">
        <v>940</v>
      </c>
      <c r="BF615" s="7">
        <v>40</v>
      </c>
      <c r="BG6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5">
        <v>0</v>
      </c>
      <c r="BI615" t="s">
        <v>734</v>
      </c>
      <c r="BJ615" s="11"/>
      <c r="BK615" s="11"/>
      <c r="BL615" s="11">
        <v>124</v>
      </c>
      <c r="BM615">
        <v>0</v>
      </c>
      <c r="BN615" t="s">
        <v>692</v>
      </c>
      <c r="BO615" t="s">
        <v>694</v>
      </c>
      <c r="BP615" t="s">
        <v>701</v>
      </c>
      <c r="BQ615" t="s">
        <v>705</v>
      </c>
      <c r="BR615" t="s">
        <v>706</v>
      </c>
      <c r="BS615" t="s">
        <v>707</v>
      </c>
      <c r="CR615"/>
      <c r="CS615"/>
      <c r="CT615"/>
    </row>
    <row r="616" spans="1:98" x14ac:dyDescent="0.4">
      <c r="A616" s="2" t="s">
        <v>640</v>
      </c>
      <c r="B616" t="str">
        <f>_xlfn.TEXTAFTER(Table1[[#This Row],[VEHIDCODE]],"_")</f>
        <v>South_Africa_SAR_11E</v>
      </c>
      <c r="C616" t="s">
        <v>741</v>
      </c>
      <c r="D616" t="b">
        <f>OR(ISNUMBER(SEARCH("wagon_",Table1[[#This Row],[FILENAMES_EXPECTED]])),ISNUMBER(SEARCH("coach_",Table1[[#This Row],[FILENAMES_EXPECTED]])))</f>
        <v>0</v>
      </c>
      <c r="E616" t="str">
        <f>"item_"&amp;Table1[[#This Row],[VEHIDCODE]]</f>
        <v>item_electric_South_Africa_SAR_11E</v>
      </c>
      <c r="F616" t="str">
        <f>"str_"&amp;Table1[[#This Row],[VEHIDCODE]]</f>
        <v>str_electric_South_Africa_SAR_11E</v>
      </c>
      <c r="Q616" t="b">
        <v>1</v>
      </c>
      <c r="AJ616" s="2"/>
      <c r="AK616" s="2" t="b">
        <f>LEN(_xlfn.CONCAT(Table1[[#This Row],[TRACK_TYPE_STANDARD_GAUGE_RAILTYPE_OHLE]:[TRACK_TYPE_MTRO]]))&gt;0</f>
        <v>1</v>
      </c>
      <c r="AL616">
        <v>8</v>
      </c>
      <c r="AM616" t="s">
        <v>20</v>
      </c>
      <c r="AN616">
        <v>0</v>
      </c>
      <c r="AO616" t="s">
        <v>74</v>
      </c>
      <c r="AP616">
        <v>0</v>
      </c>
      <c r="AQ616">
        <v>1985</v>
      </c>
      <c r="AR616">
        <v>8</v>
      </c>
      <c r="AS616" s="2" t="s">
        <v>24</v>
      </c>
      <c r="AT616" t="b">
        <v>1</v>
      </c>
      <c r="AV616" s="2"/>
      <c r="AW616">
        <v>45</v>
      </c>
      <c r="AX616">
        <v>1</v>
      </c>
      <c r="AY616">
        <v>5200</v>
      </c>
      <c r="AZ616" t="s">
        <v>709</v>
      </c>
      <c r="BA616">
        <v>90</v>
      </c>
      <c r="BB616" s="2">
        <v>0.23</v>
      </c>
      <c r="BC616" t="s">
        <v>926</v>
      </c>
      <c r="BD616" t="s">
        <v>922</v>
      </c>
      <c r="BE616" t="s">
        <v>940</v>
      </c>
      <c r="BF616" s="7">
        <v>40</v>
      </c>
      <c r="BG6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6">
        <v>0</v>
      </c>
      <c r="BI616" t="s">
        <v>734</v>
      </c>
      <c r="BJ616" s="11"/>
      <c r="BK616" s="11"/>
      <c r="BL616" s="11">
        <v>172</v>
      </c>
      <c r="BM616">
        <v>0</v>
      </c>
      <c r="BN616" t="s">
        <v>692</v>
      </c>
      <c r="BO616" t="s">
        <v>694</v>
      </c>
      <c r="BP616" t="s">
        <v>701</v>
      </c>
      <c r="BQ616" t="s">
        <v>705</v>
      </c>
      <c r="BR616" t="s">
        <v>706</v>
      </c>
      <c r="BS616" t="s">
        <v>707</v>
      </c>
      <c r="CR616"/>
      <c r="CS616"/>
      <c r="CT616"/>
    </row>
    <row r="617" spans="1:98" x14ac:dyDescent="0.4">
      <c r="A617" s="2" t="s">
        <v>641</v>
      </c>
      <c r="B617" t="str">
        <f>_xlfn.TEXTAFTER(Table1[[#This Row],[VEHIDCODE]],"_")</f>
        <v>New_Zealand_TranzRail_EF</v>
      </c>
      <c r="C617" t="s">
        <v>741</v>
      </c>
      <c r="D617" t="b">
        <f>OR(ISNUMBER(SEARCH("wagon_",Table1[[#This Row],[FILENAMES_EXPECTED]])),ISNUMBER(SEARCH("coach_",Table1[[#This Row],[FILENAMES_EXPECTED]])))</f>
        <v>0</v>
      </c>
      <c r="E617" t="str">
        <f>"item_"&amp;Table1[[#This Row],[VEHIDCODE]]</f>
        <v>item_electric_New_Zealand_TranzRail_EF</v>
      </c>
      <c r="F617" t="str">
        <f>"str_"&amp;Table1[[#This Row],[VEHIDCODE]]</f>
        <v>str_electric_New_Zealand_TranzRail_EF</v>
      </c>
      <c r="Q617" t="b">
        <v>1</v>
      </c>
      <c r="AJ617" s="2"/>
      <c r="AK617" s="2" t="b">
        <f>LEN(_xlfn.CONCAT(Table1[[#This Row],[TRACK_TYPE_STANDARD_GAUGE_RAILTYPE_OHLE]:[TRACK_TYPE_MTRO]]))&gt;0</f>
        <v>1</v>
      </c>
      <c r="AL617">
        <v>8</v>
      </c>
      <c r="AM617" t="s">
        <v>20</v>
      </c>
      <c r="AN617">
        <v>0</v>
      </c>
      <c r="AO617" t="s">
        <v>74</v>
      </c>
      <c r="AP617">
        <v>0</v>
      </c>
      <c r="AQ617">
        <v>1986</v>
      </c>
      <c r="AR617">
        <v>8</v>
      </c>
      <c r="AS617" s="2" t="s">
        <v>20</v>
      </c>
      <c r="AT617" t="b">
        <v>1</v>
      </c>
      <c r="AV617" s="2"/>
      <c r="AW617">
        <v>45</v>
      </c>
      <c r="AX617">
        <v>1</v>
      </c>
      <c r="AY617">
        <v>4000</v>
      </c>
      <c r="AZ617" t="s">
        <v>709</v>
      </c>
      <c r="BA617">
        <v>105</v>
      </c>
      <c r="BB617" s="2">
        <v>0.21</v>
      </c>
      <c r="BC617" t="s">
        <v>925</v>
      </c>
      <c r="BD617" t="s">
        <v>922</v>
      </c>
      <c r="BE617" t="s">
        <v>940</v>
      </c>
      <c r="BF617" s="7">
        <v>40</v>
      </c>
      <c r="BG6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7">
        <v>0</v>
      </c>
      <c r="BI617" t="s">
        <v>734</v>
      </c>
      <c r="BJ617" s="11"/>
      <c r="BK617" s="11"/>
      <c r="BL617" s="11">
        <v>107</v>
      </c>
      <c r="BM617">
        <v>0</v>
      </c>
      <c r="BN617" t="s">
        <v>692</v>
      </c>
      <c r="BO617" t="s">
        <v>694</v>
      </c>
      <c r="BP617" t="s">
        <v>701</v>
      </c>
      <c r="BQ617" t="s">
        <v>705</v>
      </c>
      <c r="BR617" t="s">
        <v>706</v>
      </c>
      <c r="BS617" t="s">
        <v>707</v>
      </c>
      <c r="CR617"/>
      <c r="CS617"/>
      <c r="CT617"/>
    </row>
    <row r="618" spans="1:98" x14ac:dyDescent="0.4">
      <c r="A618" s="2" t="s">
        <v>642</v>
      </c>
      <c r="B618" t="str">
        <f>_xlfn.TEXTAFTER(Table1[[#This Row],[VEHIDCODE]],"_")</f>
        <v>Japan_Odakyu_3100_Series_Romance</v>
      </c>
      <c r="C618" t="s">
        <v>744</v>
      </c>
      <c r="D618" t="b">
        <f>OR(ISNUMBER(SEARCH("wagon_",Table1[[#This Row],[FILENAMES_EXPECTED]])),ISNUMBER(SEARCH("coach_",Table1[[#This Row],[FILENAMES_EXPECTED]])))</f>
        <v>0</v>
      </c>
      <c r="E618" t="str">
        <f>"item_"&amp;Table1[[#This Row],[VEHIDCODE]]</f>
        <v>item_emu_Japan_Odakyu_3100_Series_Romance</v>
      </c>
      <c r="F618" t="str">
        <f>"str_"&amp;Table1[[#This Row],[VEHIDCODE]]</f>
        <v>str_emu_Japan_Odakyu_3100_Series_Romance</v>
      </c>
      <c r="T618" t="b">
        <v>1</v>
      </c>
      <c r="AJ618" s="2"/>
      <c r="AK618" s="2" t="b">
        <f>LEN(_xlfn.CONCAT(Table1[[#This Row],[TRACK_TYPE_STANDARD_GAUGE_RAILTYPE_OHLE]:[TRACK_TYPE_MTRO]]))&gt;0</f>
        <v>1</v>
      </c>
      <c r="AL618">
        <v>8</v>
      </c>
      <c r="AM618" t="s">
        <v>18</v>
      </c>
      <c r="AN618">
        <v>1</v>
      </c>
      <c r="AO618" t="s">
        <v>74</v>
      </c>
      <c r="AP618">
        <v>40</v>
      </c>
      <c r="AQ618">
        <v>1962</v>
      </c>
      <c r="AR618">
        <v>8</v>
      </c>
      <c r="AS618" s="2" t="s">
        <v>24</v>
      </c>
      <c r="AT618" t="b">
        <v>1</v>
      </c>
      <c r="AU618" t="b">
        <v>1</v>
      </c>
      <c r="AV618" s="2"/>
      <c r="AW618">
        <v>45</v>
      </c>
      <c r="AX618">
        <v>1</v>
      </c>
      <c r="AY618">
        <v>230</v>
      </c>
      <c r="AZ618" t="s">
        <v>709</v>
      </c>
      <c r="BA618">
        <v>110</v>
      </c>
      <c r="BB618" s="2">
        <v>0.27</v>
      </c>
      <c r="BC618" t="s">
        <v>931</v>
      </c>
      <c r="BD618" t="s">
        <v>922</v>
      </c>
      <c r="BE618" t="s">
        <v>940</v>
      </c>
      <c r="BF618" s="7">
        <v>25</v>
      </c>
      <c r="BG6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8">
        <v>0</v>
      </c>
      <c r="BI618" t="s">
        <v>734</v>
      </c>
      <c r="BJ618" s="11">
        <v>40</v>
      </c>
      <c r="BK618" s="11">
        <v>8</v>
      </c>
      <c r="BL618" s="11">
        <v>47</v>
      </c>
      <c r="BM618">
        <v>0</v>
      </c>
      <c r="BN618" t="s">
        <v>692</v>
      </c>
      <c r="BO618" t="s">
        <v>694</v>
      </c>
      <c r="BP618" t="s">
        <v>701</v>
      </c>
      <c r="BQ618" t="s">
        <v>705</v>
      </c>
      <c r="BR618" t="s">
        <v>706</v>
      </c>
      <c r="BS618" t="s">
        <v>707</v>
      </c>
      <c r="CR618"/>
      <c r="CS618"/>
      <c r="CT618"/>
    </row>
    <row r="619" spans="1:98" x14ac:dyDescent="0.4">
      <c r="A619" s="2" t="s">
        <v>643</v>
      </c>
      <c r="B619" t="str">
        <f>_xlfn.TEXTAFTER(Table1[[#This Row],[VEHIDCODE]],"_")</f>
        <v>Japan_Odakyu_10000_Series_Romance</v>
      </c>
      <c r="C619" t="s">
        <v>744</v>
      </c>
      <c r="D619" t="b">
        <f>OR(ISNUMBER(SEARCH("wagon_",Table1[[#This Row],[FILENAMES_EXPECTED]])),ISNUMBER(SEARCH("coach_",Table1[[#This Row],[FILENAMES_EXPECTED]])))</f>
        <v>0</v>
      </c>
      <c r="E619" t="str">
        <f>"item_"&amp;Table1[[#This Row],[VEHIDCODE]]</f>
        <v>item_emu_Japan_Odakyu_10000_Series_Romance</v>
      </c>
      <c r="F619" t="str">
        <f>"str_"&amp;Table1[[#This Row],[VEHIDCODE]]</f>
        <v>str_emu_Japan_Odakyu_10000_Series_Romance</v>
      </c>
      <c r="T619" t="b">
        <v>1</v>
      </c>
      <c r="AJ619" s="2"/>
      <c r="AK619" s="2" t="b">
        <f>LEN(_xlfn.CONCAT(Table1[[#This Row],[TRACK_TYPE_STANDARD_GAUGE_RAILTYPE_OHLE]:[TRACK_TYPE_MTRO]]))&gt;0</f>
        <v>1</v>
      </c>
      <c r="AL619">
        <v>8</v>
      </c>
      <c r="AM619" t="s">
        <v>18</v>
      </c>
      <c r="AN619">
        <v>1</v>
      </c>
      <c r="AO619" t="s">
        <v>74</v>
      </c>
      <c r="AP619">
        <v>40</v>
      </c>
      <c r="AQ619">
        <v>1986</v>
      </c>
      <c r="AR619">
        <v>8</v>
      </c>
      <c r="AS619" s="2" t="s">
        <v>24</v>
      </c>
      <c r="AT619" t="b">
        <v>1</v>
      </c>
      <c r="AU619" t="b">
        <v>1</v>
      </c>
      <c r="AV619" s="2"/>
      <c r="AW619">
        <v>45</v>
      </c>
      <c r="AX619">
        <v>1</v>
      </c>
      <c r="AY619">
        <v>1550</v>
      </c>
      <c r="AZ619" t="s">
        <v>709</v>
      </c>
      <c r="BA619">
        <v>110</v>
      </c>
      <c r="BB619" s="2">
        <v>0.22</v>
      </c>
      <c r="BC619" t="s">
        <v>931</v>
      </c>
      <c r="BD619" t="s">
        <v>922</v>
      </c>
      <c r="BE619" t="s">
        <v>940</v>
      </c>
      <c r="BF619" s="7">
        <v>25</v>
      </c>
      <c r="BG6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19">
        <v>0</v>
      </c>
      <c r="BI619" t="s">
        <v>734</v>
      </c>
      <c r="BJ619" s="11">
        <v>40</v>
      </c>
      <c r="BK619" s="11">
        <v>8</v>
      </c>
      <c r="BL619" s="11">
        <v>35</v>
      </c>
      <c r="BM619">
        <v>0</v>
      </c>
      <c r="BN619" t="s">
        <v>692</v>
      </c>
      <c r="BO619" t="s">
        <v>694</v>
      </c>
      <c r="BP619" t="s">
        <v>701</v>
      </c>
      <c r="BQ619" t="s">
        <v>705</v>
      </c>
      <c r="BR619" t="s">
        <v>706</v>
      </c>
      <c r="BS619" t="s">
        <v>707</v>
      </c>
      <c r="CR619"/>
      <c r="CS619"/>
      <c r="CT619"/>
    </row>
    <row r="620" spans="1:98" x14ac:dyDescent="0.4">
      <c r="A620" s="2" t="s">
        <v>644</v>
      </c>
      <c r="B620" t="str">
        <f>_xlfn.TEXTAFTER(Table1[[#This Row],[VEHIDCODE]],"_")</f>
        <v>Australia_Sydney_Trains_S_Set</v>
      </c>
      <c r="C620" t="s">
        <v>744</v>
      </c>
      <c r="D620" t="b">
        <f>OR(ISNUMBER(SEARCH("wagon_",Table1[[#This Row],[FILENAMES_EXPECTED]])),ISNUMBER(SEARCH("coach_",Table1[[#This Row],[FILENAMES_EXPECTED]])))</f>
        <v>0</v>
      </c>
      <c r="E620" t="str">
        <f>"item_"&amp;Table1[[#This Row],[VEHIDCODE]]</f>
        <v>item_emu_Australia_Sydney_Trains_S_Set</v>
      </c>
      <c r="F620" t="str">
        <f>"str_"&amp;Table1[[#This Row],[VEHIDCODE]]</f>
        <v>str_emu_Australia_Sydney_Trains_S_Set</v>
      </c>
      <c r="K620" t="b">
        <v>1</v>
      </c>
      <c r="AJ620" s="2"/>
      <c r="AK620" s="2" t="b">
        <f>LEN(_xlfn.CONCAT(Table1[[#This Row],[TRACK_TYPE_STANDARD_GAUGE_RAILTYPE_OHLE]:[TRACK_TYPE_MTRO]]))&gt;0</f>
        <v>1</v>
      </c>
      <c r="AL620">
        <v>8</v>
      </c>
      <c r="AM620" t="s">
        <v>18</v>
      </c>
      <c r="AN620">
        <v>1</v>
      </c>
      <c r="AO620" t="s">
        <v>74</v>
      </c>
      <c r="AP620">
        <v>112</v>
      </c>
      <c r="AQ620">
        <v>1972</v>
      </c>
      <c r="AR620">
        <v>8</v>
      </c>
      <c r="AS620" s="2" t="s">
        <v>24</v>
      </c>
      <c r="AT620" t="b">
        <v>1</v>
      </c>
      <c r="AU620" t="b">
        <v>1</v>
      </c>
      <c r="AV620" s="2"/>
      <c r="AW620">
        <v>45</v>
      </c>
      <c r="AX620">
        <v>1</v>
      </c>
      <c r="AY620">
        <v>800</v>
      </c>
      <c r="AZ620" t="s">
        <v>709</v>
      </c>
      <c r="BA620">
        <v>115</v>
      </c>
      <c r="BB620" s="2">
        <v>0.31</v>
      </c>
      <c r="BC620" t="s">
        <v>925</v>
      </c>
      <c r="BD620" t="s">
        <v>922</v>
      </c>
      <c r="BE620" t="s">
        <v>940</v>
      </c>
      <c r="BF620" s="7">
        <v>25</v>
      </c>
      <c r="BG6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0">
        <v>-3</v>
      </c>
      <c r="BI620" t="s">
        <v>734</v>
      </c>
      <c r="BJ620" s="11">
        <v>112</v>
      </c>
      <c r="BK620" s="11">
        <v>8</v>
      </c>
      <c r="BL620" s="11">
        <v>68</v>
      </c>
      <c r="BM620">
        <v>0</v>
      </c>
      <c r="BN620" t="s">
        <v>692</v>
      </c>
      <c r="BO620" t="s">
        <v>694</v>
      </c>
      <c r="BP620" t="s">
        <v>701</v>
      </c>
      <c r="BQ620" t="s">
        <v>705</v>
      </c>
      <c r="BR620" t="s">
        <v>706</v>
      </c>
      <c r="BS620" t="s">
        <v>707</v>
      </c>
      <c r="CR620"/>
      <c r="CS620"/>
      <c r="CT620"/>
    </row>
    <row r="621" spans="1:98" x14ac:dyDescent="0.4">
      <c r="A621" s="2" t="s">
        <v>645</v>
      </c>
      <c r="B621" t="str">
        <f>_xlfn.TEXTAFTER(Table1[[#This Row],[VEHIDCODE]],"_")</f>
        <v>Australia_Sydney_Trains_OSCars</v>
      </c>
      <c r="C621" t="s">
        <v>744</v>
      </c>
      <c r="D621" t="b">
        <f>OR(ISNUMBER(SEARCH("wagon_",Table1[[#This Row],[FILENAMES_EXPECTED]])),ISNUMBER(SEARCH("coach_",Table1[[#This Row],[FILENAMES_EXPECTED]])))</f>
        <v>0</v>
      </c>
      <c r="E621" t="str">
        <f>"item_"&amp;Table1[[#This Row],[VEHIDCODE]]</f>
        <v>item_emu_Australia_Sydney_Trains_OSCars</v>
      </c>
      <c r="F621" t="str">
        <f>"str_"&amp;Table1[[#This Row],[VEHIDCODE]]</f>
        <v>str_emu_Australia_Sydney_Trains_OSCars</v>
      </c>
      <c r="K621" t="b">
        <v>1</v>
      </c>
      <c r="AJ621" s="2"/>
      <c r="AK621" s="2" t="b">
        <f>LEN(_xlfn.CONCAT(Table1[[#This Row],[TRACK_TYPE_STANDARD_GAUGE_RAILTYPE_OHLE]:[TRACK_TYPE_MTRO]]))&gt;0</f>
        <v>1</v>
      </c>
      <c r="AL621">
        <v>8</v>
      </c>
      <c r="AM621" t="s">
        <v>18</v>
      </c>
      <c r="AN621">
        <v>1</v>
      </c>
      <c r="AO621" t="s">
        <v>74</v>
      </c>
      <c r="AP621">
        <v>120</v>
      </c>
      <c r="AQ621">
        <v>2007</v>
      </c>
      <c r="AR621">
        <v>8</v>
      </c>
      <c r="AS621" s="2" t="s">
        <v>24</v>
      </c>
      <c r="AT621" t="b">
        <v>1</v>
      </c>
      <c r="AU621" t="b">
        <v>1</v>
      </c>
      <c r="AV621" s="2"/>
      <c r="AW621" t="s">
        <v>21</v>
      </c>
      <c r="AX621">
        <v>1</v>
      </c>
      <c r="AY621">
        <v>950</v>
      </c>
      <c r="AZ621" t="s">
        <v>709</v>
      </c>
      <c r="BA621">
        <v>130</v>
      </c>
      <c r="BB621" s="2">
        <v>0.41</v>
      </c>
      <c r="BC621" t="s">
        <v>925</v>
      </c>
      <c r="BD621" t="s">
        <v>922</v>
      </c>
      <c r="BE621" t="s">
        <v>940</v>
      </c>
      <c r="BF621" s="7">
        <v>25</v>
      </c>
      <c r="BG6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1">
        <v>0</v>
      </c>
      <c r="BI621" t="s">
        <v>734</v>
      </c>
      <c r="BJ621" s="11">
        <v>120</v>
      </c>
      <c r="BK621" s="11">
        <v>8</v>
      </c>
      <c r="BL621" s="11">
        <v>47</v>
      </c>
      <c r="BM621">
        <v>0</v>
      </c>
      <c r="BN621" t="s">
        <v>692</v>
      </c>
      <c r="BO621" t="s">
        <v>694</v>
      </c>
      <c r="BP621" t="s">
        <v>701</v>
      </c>
      <c r="BQ621" t="s">
        <v>705</v>
      </c>
      <c r="BR621" t="s">
        <v>706</v>
      </c>
      <c r="BS621" t="s">
        <v>707</v>
      </c>
      <c r="CR621"/>
      <c r="CS621"/>
      <c r="CT621"/>
    </row>
    <row r="622" spans="1:98" x14ac:dyDescent="0.4">
      <c r="A622" s="2" t="s">
        <v>646</v>
      </c>
      <c r="B622" t="str">
        <f>_xlfn.TEXTAFTER(Table1[[#This Row],[VEHIDCODE]],"_")</f>
        <v>Australia_Victorian_Railways_Swing_Door</v>
      </c>
      <c r="C622" t="s">
        <v>744</v>
      </c>
      <c r="D622" t="b">
        <f>OR(ISNUMBER(SEARCH("wagon_",Table1[[#This Row],[FILENAMES_EXPECTED]])),ISNUMBER(SEARCH("coach_",Table1[[#This Row],[FILENAMES_EXPECTED]])))</f>
        <v>0</v>
      </c>
      <c r="E622" t="str">
        <f>"item_"&amp;Table1[[#This Row],[VEHIDCODE]]</f>
        <v>item_emu_Australia_Victorian_Railways_Swing_Door</v>
      </c>
      <c r="F622" t="str">
        <f>"str_"&amp;Table1[[#This Row],[VEHIDCODE]]</f>
        <v>str_emu_Australia_Victorian_Railways_Swing_Door</v>
      </c>
      <c r="T622" t="b">
        <v>1</v>
      </c>
      <c r="AJ622" s="2"/>
      <c r="AK622" s="2" t="b">
        <f>LEN(_xlfn.CONCAT(Table1[[#This Row],[TRACK_TYPE_STANDARD_GAUGE_RAILTYPE_OHLE]:[TRACK_TYPE_MTRO]]))&gt;0</f>
        <v>1</v>
      </c>
      <c r="AL622">
        <v>8</v>
      </c>
      <c r="AM622" t="s">
        <v>18</v>
      </c>
      <c r="AN622">
        <v>1</v>
      </c>
      <c r="AO622" t="s">
        <v>74</v>
      </c>
      <c r="AP622">
        <v>48</v>
      </c>
      <c r="AQ622">
        <v>1917</v>
      </c>
      <c r="AR622">
        <v>8</v>
      </c>
      <c r="AS622" s="2" t="s">
        <v>24</v>
      </c>
      <c r="AT622" t="b">
        <v>1</v>
      </c>
      <c r="AU622" t="b">
        <v>1</v>
      </c>
      <c r="AV622" s="2"/>
      <c r="AW622">
        <v>45</v>
      </c>
      <c r="AX622">
        <v>1</v>
      </c>
      <c r="AY622">
        <v>280</v>
      </c>
      <c r="AZ622" t="s">
        <v>709</v>
      </c>
      <c r="BA622">
        <v>83</v>
      </c>
      <c r="BB622" s="2">
        <v>0.16</v>
      </c>
      <c r="BC622" t="s">
        <v>925</v>
      </c>
      <c r="BD622" t="s">
        <v>922</v>
      </c>
      <c r="BE622" t="s">
        <v>940</v>
      </c>
      <c r="BF622" s="7">
        <v>25</v>
      </c>
      <c r="BG6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2">
        <v>0</v>
      </c>
      <c r="BI622" t="s">
        <v>734</v>
      </c>
      <c r="BJ622" s="11">
        <v>48</v>
      </c>
      <c r="BK622" s="11">
        <v>8</v>
      </c>
      <c r="BL622" s="11">
        <v>55</v>
      </c>
      <c r="BM622">
        <v>0</v>
      </c>
      <c r="BN622" t="s">
        <v>692</v>
      </c>
      <c r="BO622" t="s">
        <v>694</v>
      </c>
      <c r="BP622" t="s">
        <v>701</v>
      </c>
      <c r="BQ622" t="s">
        <v>705</v>
      </c>
      <c r="BR622" t="s">
        <v>706</v>
      </c>
      <c r="BS622" t="s">
        <v>707</v>
      </c>
      <c r="CR622"/>
      <c r="CS622"/>
      <c r="CT622"/>
    </row>
    <row r="623" spans="1:98" x14ac:dyDescent="0.4">
      <c r="A623" s="2" t="s">
        <v>647</v>
      </c>
      <c r="B623" t="str">
        <f>_xlfn.TEXTAFTER(Table1[[#This Row],[VEHIDCODE]],"_")</f>
        <v>New_Zealand_NZR_EM_ET_Class</v>
      </c>
      <c r="C623" t="s">
        <v>744</v>
      </c>
      <c r="D623" t="b">
        <f>OR(ISNUMBER(SEARCH("wagon_",Table1[[#This Row],[FILENAMES_EXPECTED]])),ISNUMBER(SEARCH("coach_",Table1[[#This Row],[FILENAMES_EXPECTED]])))</f>
        <v>0</v>
      </c>
      <c r="E623" t="str">
        <f>"item_"&amp;Table1[[#This Row],[VEHIDCODE]]</f>
        <v>item_emu_New_Zealand_NZR_EM_ET_Class</v>
      </c>
      <c r="F623" t="str">
        <f>"str_"&amp;Table1[[#This Row],[VEHIDCODE]]</f>
        <v>str_emu_New_Zealand_NZR_EM_ET_Class</v>
      </c>
      <c r="T623" t="b">
        <v>1</v>
      </c>
      <c r="AJ623" s="2"/>
      <c r="AK623" s="2" t="b">
        <f>LEN(_xlfn.CONCAT(Table1[[#This Row],[TRACK_TYPE_STANDARD_GAUGE_RAILTYPE_OHLE]:[TRACK_TYPE_MTRO]]))&gt;0</f>
        <v>1</v>
      </c>
      <c r="AL623">
        <v>8</v>
      </c>
      <c r="AM623" t="s">
        <v>18</v>
      </c>
      <c r="AN623">
        <v>1</v>
      </c>
      <c r="AO623" t="s">
        <v>74</v>
      </c>
      <c r="AP623">
        <v>74</v>
      </c>
      <c r="AQ623">
        <v>1979</v>
      </c>
      <c r="AR623">
        <v>8</v>
      </c>
      <c r="AS623" s="2" t="s">
        <v>24</v>
      </c>
      <c r="AT623" t="b">
        <v>1</v>
      </c>
      <c r="AU623" t="b">
        <v>1</v>
      </c>
      <c r="AV623" s="2"/>
      <c r="AW623">
        <v>45</v>
      </c>
      <c r="AX623">
        <v>1</v>
      </c>
      <c r="AY623">
        <v>540</v>
      </c>
      <c r="AZ623" t="s">
        <v>709</v>
      </c>
      <c r="BA623">
        <v>110</v>
      </c>
      <c r="BB623" s="2">
        <v>0.26</v>
      </c>
      <c r="BC623" t="s">
        <v>925</v>
      </c>
      <c r="BD623" t="s">
        <v>922</v>
      </c>
      <c r="BE623" t="s">
        <v>940</v>
      </c>
      <c r="BF623" s="7">
        <v>25</v>
      </c>
      <c r="BG6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3">
        <v>0</v>
      </c>
      <c r="BI623" t="s">
        <v>734</v>
      </c>
      <c r="BJ623" s="11">
        <v>74</v>
      </c>
      <c r="BK623" s="11">
        <v>8</v>
      </c>
      <c r="BL623" s="11">
        <v>37</v>
      </c>
      <c r="BM623">
        <v>0</v>
      </c>
      <c r="BN623" t="s">
        <v>692</v>
      </c>
      <c r="BO623" t="s">
        <v>694</v>
      </c>
      <c r="BP623" t="s">
        <v>701</v>
      </c>
      <c r="BQ623" t="s">
        <v>705</v>
      </c>
      <c r="BR623" t="s">
        <v>706</v>
      </c>
      <c r="BS623" t="s">
        <v>707</v>
      </c>
      <c r="CR623"/>
      <c r="CS623"/>
      <c r="CT623"/>
    </row>
    <row r="624" spans="1:98" x14ac:dyDescent="0.4">
      <c r="A624" s="2" t="s">
        <v>648</v>
      </c>
      <c r="B624" t="str">
        <f>_xlfn.TEXTAFTER(Table1[[#This Row],[VEHIDCODE]],"_")</f>
        <v>South_Africa_SAR_5M2</v>
      </c>
      <c r="C624" t="s">
        <v>744</v>
      </c>
      <c r="D624" t="b">
        <f>OR(ISNUMBER(SEARCH("wagon_",Table1[[#This Row],[FILENAMES_EXPECTED]])),ISNUMBER(SEARCH("coach_",Table1[[#This Row],[FILENAMES_EXPECTED]])))</f>
        <v>0</v>
      </c>
      <c r="E624" t="str">
        <f>"item_"&amp;Table1[[#This Row],[VEHIDCODE]]</f>
        <v>item_emu_South_Africa_SAR_5M2</v>
      </c>
      <c r="F624" t="str">
        <f>"str_"&amp;Table1[[#This Row],[VEHIDCODE]]</f>
        <v>str_emu_South_Africa_SAR_5M2</v>
      </c>
      <c r="S624" t="b">
        <v>1</v>
      </c>
      <c r="AJ624" s="2"/>
      <c r="AK624" s="2" t="b">
        <f>LEN(_xlfn.CONCAT(Table1[[#This Row],[TRACK_TYPE_STANDARD_GAUGE_RAILTYPE_OHLE]:[TRACK_TYPE_MTRO]]))&gt;0</f>
        <v>1</v>
      </c>
      <c r="AL624">
        <v>7</v>
      </c>
      <c r="AM624" t="s">
        <v>18</v>
      </c>
      <c r="AN624">
        <v>1</v>
      </c>
      <c r="AO624" t="s">
        <v>74</v>
      </c>
      <c r="AP624">
        <v>52</v>
      </c>
      <c r="AQ624">
        <v>1954</v>
      </c>
      <c r="AR624">
        <v>7</v>
      </c>
      <c r="AS624" s="2" t="s">
        <v>24</v>
      </c>
      <c r="AT624" t="b">
        <v>1</v>
      </c>
      <c r="AU624" t="b">
        <v>1</v>
      </c>
      <c r="AV624" s="2"/>
      <c r="AW624">
        <v>45</v>
      </c>
      <c r="AX624">
        <v>1</v>
      </c>
      <c r="AY624">
        <v>1240</v>
      </c>
      <c r="AZ624" t="s">
        <v>709</v>
      </c>
      <c r="BA624">
        <v>100</v>
      </c>
      <c r="BB624" s="2">
        <v>0.26</v>
      </c>
      <c r="BC624" t="s">
        <v>926</v>
      </c>
      <c r="BD624" t="s">
        <v>922</v>
      </c>
      <c r="BE624" t="s">
        <v>940</v>
      </c>
      <c r="BF624" s="7">
        <v>25</v>
      </c>
      <c r="BG6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4">
        <v>0</v>
      </c>
      <c r="BI624" t="s">
        <v>734</v>
      </c>
      <c r="BJ624" s="11">
        <v>52</v>
      </c>
      <c r="BK624" s="11">
        <v>7</v>
      </c>
      <c r="BL624" s="11">
        <v>60</v>
      </c>
      <c r="BM624">
        <v>0</v>
      </c>
      <c r="BN624" t="s">
        <v>692</v>
      </c>
      <c r="BO624" t="s">
        <v>694</v>
      </c>
      <c r="BP624" t="s">
        <v>701</v>
      </c>
      <c r="BQ624" t="s">
        <v>705</v>
      </c>
      <c r="BR624" t="s">
        <v>706</v>
      </c>
      <c r="BS624" t="s">
        <v>707</v>
      </c>
      <c r="CR624"/>
      <c r="CS624"/>
      <c r="CT624"/>
    </row>
    <row r="625" spans="1:98" x14ac:dyDescent="0.4">
      <c r="A625" s="2" t="s">
        <v>649</v>
      </c>
      <c r="B625" t="str">
        <f>_xlfn.TEXTAFTER(Table1[[#This Row],[VEHIDCODE]],"_")</f>
        <v>Chile_EFE_XTrapolis_100</v>
      </c>
      <c r="C625" t="s">
        <v>744</v>
      </c>
      <c r="D625" t="b">
        <f>OR(ISNUMBER(SEARCH("wagon_",Table1[[#This Row],[FILENAMES_EXPECTED]])),ISNUMBER(SEARCH("coach_",Table1[[#This Row],[FILENAMES_EXPECTED]])))</f>
        <v>0</v>
      </c>
      <c r="E625" t="str">
        <f>"item_"&amp;Table1[[#This Row],[VEHIDCODE]]</f>
        <v>item_emu_Chile_EFE_XTrapolis_100</v>
      </c>
      <c r="F625" t="str">
        <f>"str_"&amp;Table1[[#This Row],[VEHIDCODE]]</f>
        <v>str_emu_Chile_EFE_XTrapolis_100</v>
      </c>
      <c r="AG625" s="2" t="b">
        <v>1</v>
      </c>
      <c r="AJ625" s="2"/>
      <c r="AK625" s="2" t="b">
        <f>LEN(_xlfn.CONCAT(Table1[[#This Row],[TRACK_TYPE_STANDARD_GAUGE_RAILTYPE_OHLE]:[TRACK_TYPE_MTRO]]))&gt;0</f>
        <v>1</v>
      </c>
      <c r="AL625">
        <v>8</v>
      </c>
      <c r="AM625" t="s">
        <v>18</v>
      </c>
      <c r="AN625">
        <v>1</v>
      </c>
      <c r="AO625" t="s">
        <v>74</v>
      </c>
      <c r="AP625">
        <v>72</v>
      </c>
      <c r="AQ625">
        <v>2005</v>
      </c>
      <c r="AR625">
        <v>8</v>
      </c>
      <c r="AS625" s="2" t="s">
        <v>24</v>
      </c>
      <c r="AT625" t="b">
        <v>1</v>
      </c>
      <c r="AU625" t="b">
        <v>1</v>
      </c>
      <c r="AV625" s="2"/>
      <c r="AW625" t="s">
        <v>21</v>
      </c>
      <c r="AX625">
        <v>1</v>
      </c>
      <c r="AY625">
        <v>720</v>
      </c>
      <c r="AZ625" t="s">
        <v>709</v>
      </c>
      <c r="BA625">
        <v>143</v>
      </c>
      <c r="BB625" s="2">
        <v>0.28999999999999998</v>
      </c>
      <c r="BC625" t="s">
        <v>930</v>
      </c>
      <c r="BD625" t="s">
        <v>922</v>
      </c>
      <c r="BE625" t="s">
        <v>940</v>
      </c>
      <c r="BF625" s="7">
        <v>40</v>
      </c>
      <c r="BG6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5">
        <v>0</v>
      </c>
      <c r="BI625" t="s">
        <v>734</v>
      </c>
      <c r="BJ625" s="11">
        <v>96</v>
      </c>
      <c r="BK625" s="11">
        <v>8</v>
      </c>
      <c r="BL625" s="11">
        <v>43</v>
      </c>
      <c r="BM625">
        <v>0</v>
      </c>
      <c r="BN625" t="s">
        <v>692</v>
      </c>
      <c r="BO625" t="s">
        <v>694</v>
      </c>
      <c r="BP625" t="s">
        <v>701</v>
      </c>
      <c r="BQ625" t="s">
        <v>705</v>
      </c>
      <c r="BR625" t="s">
        <v>706</v>
      </c>
      <c r="BS625" t="s">
        <v>707</v>
      </c>
      <c r="CR625"/>
      <c r="CS625"/>
      <c r="CT625"/>
    </row>
    <row r="626" spans="1:98" x14ac:dyDescent="0.4">
      <c r="A626" s="2" t="s">
        <v>650</v>
      </c>
      <c r="B626" t="str">
        <f>_xlfn.TEXTAFTER(Table1[[#This Row],[VEHIDCODE]],"_")</f>
        <v>Chile_EFE_AES_Railcar</v>
      </c>
      <c r="C626" t="s">
        <v>744</v>
      </c>
      <c r="D626" t="b">
        <f>OR(ISNUMBER(SEARCH("wagon_",Table1[[#This Row],[FILENAMES_EXPECTED]])),ISNUMBER(SEARCH("coach_",Table1[[#This Row],[FILENAMES_EXPECTED]])))</f>
        <v>0</v>
      </c>
      <c r="E626" t="str">
        <f>"item_"&amp;Table1[[#This Row],[VEHIDCODE]]</f>
        <v>item_emu_Chile_EFE_AES_Railcar</v>
      </c>
      <c r="F626" t="str">
        <f>"str_"&amp;Table1[[#This Row],[VEHIDCODE]]</f>
        <v>str_emu_Chile_EFE_AES_Railcar</v>
      </c>
      <c r="AB626" t="b">
        <v>1</v>
      </c>
      <c r="AJ626" s="2"/>
      <c r="AK626" s="2" t="b">
        <f>LEN(_xlfn.CONCAT(Table1[[#This Row],[TRACK_TYPE_STANDARD_GAUGE_RAILTYPE_OHLE]:[TRACK_TYPE_MTRO]]))&gt;0</f>
        <v>1</v>
      </c>
      <c r="AL626">
        <v>7</v>
      </c>
      <c r="AM626" t="s">
        <v>18</v>
      </c>
      <c r="AN626">
        <v>1</v>
      </c>
      <c r="AO626" t="s">
        <v>74</v>
      </c>
      <c r="AP626">
        <v>88</v>
      </c>
      <c r="AQ626">
        <v>1976</v>
      </c>
      <c r="AR626">
        <v>7</v>
      </c>
      <c r="AS626" s="2" t="s">
        <v>24</v>
      </c>
      <c r="AT626" t="b">
        <v>1</v>
      </c>
      <c r="AU626" t="b">
        <v>1</v>
      </c>
      <c r="AV626" s="2"/>
      <c r="AW626">
        <v>45</v>
      </c>
      <c r="AX626">
        <v>1</v>
      </c>
      <c r="AY626">
        <v>1500</v>
      </c>
      <c r="AZ626" t="s">
        <v>709</v>
      </c>
      <c r="BA626">
        <v>130</v>
      </c>
      <c r="BB626" s="2">
        <v>0.21</v>
      </c>
      <c r="BC626" t="s">
        <v>930</v>
      </c>
      <c r="BD626" t="s">
        <v>922</v>
      </c>
      <c r="BE626" t="s">
        <v>940</v>
      </c>
      <c r="BF626" s="7">
        <v>40</v>
      </c>
      <c r="BG6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6">
        <v>0</v>
      </c>
      <c r="BI626" t="s">
        <v>734</v>
      </c>
      <c r="BJ626" s="11">
        <v>92</v>
      </c>
      <c r="BK626" s="11">
        <v>7</v>
      </c>
      <c r="BL626" s="11">
        <v>61</v>
      </c>
      <c r="BM626">
        <v>0</v>
      </c>
      <c r="BN626" t="s">
        <v>692</v>
      </c>
      <c r="BO626" t="s">
        <v>694</v>
      </c>
      <c r="BP626" t="s">
        <v>701</v>
      </c>
      <c r="BQ626" t="s">
        <v>705</v>
      </c>
      <c r="BR626" t="s">
        <v>706</v>
      </c>
      <c r="BS626" t="s">
        <v>707</v>
      </c>
      <c r="CR626"/>
      <c r="CS626"/>
      <c r="CT626"/>
    </row>
    <row r="627" spans="1:98" x14ac:dyDescent="0.4">
      <c r="A627" s="2" t="s">
        <v>651</v>
      </c>
      <c r="B627" t="str">
        <f>_xlfn.TEXTAFTER(Table1[[#This Row],[VEHIDCODE]],"_")</f>
        <v>Tunisia_SNCFT_YZ_E</v>
      </c>
      <c r="C627" t="s">
        <v>744</v>
      </c>
      <c r="D627" t="b">
        <f>OR(ISNUMBER(SEARCH("wagon_",Table1[[#This Row],[FILENAMES_EXPECTED]])),ISNUMBER(SEARCH("coach_",Table1[[#This Row],[FILENAMES_EXPECTED]])))</f>
        <v>0</v>
      </c>
      <c r="E627" t="str">
        <f>"item_"&amp;Table1[[#This Row],[VEHIDCODE]]</f>
        <v>item_emu_Tunisia_SNCFT_YZ_E</v>
      </c>
      <c r="F627" t="str">
        <f>"str_"&amp;Table1[[#This Row],[VEHIDCODE]]</f>
        <v>str_emu_Tunisia_SNCFT_YZ_E</v>
      </c>
      <c r="Q627" t="b">
        <v>1</v>
      </c>
      <c r="AJ627" s="2"/>
      <c r="AK627" s="2" t="b">
        <f>LEN(_xlfn.CONCAT(Table1[[#This Row],[TRACK_TYPE_STANDARD_GAUGE_RAILTYPE_OHLE]:[TRACK_TYPE_MTRO]]))&gt;0</f>
        <v>1</v>
      </c>
      <c r="AL627">
        <v>8</v>
      </c>
      <c r="AM627" t="s">
        <v>18</v>
      </c>
      <c r="AN627">
        <v>1</v>
      </c>
      <c r="AO627" t="s">
        <v>74</v>
      </c>
      <c r="AP627">
        <v>48</v>
      </c>
      <c r="AQ627">
        <v>1984</v>
      </c>
      <c r="AR627">
        <v>8</v>
      </c>
      <c r="AS627" s="2" t="s">
        <v>24</v>
      </c>
      <c r="AT627" t="b">
        <v>1</v>
      </c>
      <c r="AU627" t="b">
        <v>1</v>
      </c>
      <c r="AV627" s="2"/>
      <c r="AW627">
        <v>45</v>
      </c>
      <c r="AX627">
        <v>1</v>
      </c>
      <c r="AY627">
        <v>2340</v>
      </c>
      <c r="AZ627" t="s">
        <v>709</v>
      </c>
      <c r="BA627">
        <v>110</v>
      </c>
      <c r="BB627" s="2">
        <v>0.2</v>
      </c>
      <c r="BC627" t="s">
        <v>926</v>
      </c>
      <c r="BD627" t="s">
        <v>922</v>
      </c>
      <c r="BE627" t="s">
        <v>940</v>
      </c>
      <c r="BF627" s="7">
        <v>40</v>
      </c>
      <c r="BG6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7">
        <v>0</v>
      </c>
      <c r="BI627" t="s">
        <v>734</v>
      </c>
      <c r="BJ627" s="11">
        <v>54</v>
      </c>
      <c r="BK627" s="11">
        <v>8</v>
      </c>
      <c r="BL627" s="11">
        <v>50</v>
      </c>
      <c r="BM627">
        <v>0</v>
      </c>
      <c r="BN627" t="s">
        <v>692</v>
      </c>
      <c r="BO627" t="s">
        <v>694</v>
      </c>
      <c r="BP627" t="s">
        <v>701</v>
      </c>
      <c r="BQ627" t="s">
        <v>705</v>
      </c>
      <c r="BR627" t="s">
        <v>706</v>
      </c>
      <c r="BS627" t="s">
        <v>707</v>
      </c>
      <c r="CR627"/>
      <c r="CS627"/>
      <c r="CT627"/>
    </row>
    <row r="628" spans="1:98" x14ac:dyDescent="0.4">
      <c r="A628" s="2" t="s">
        <v>652</v>
      </c>
      <c r="B628" t="str">
        <f>_xlfn.TEXTAFTER(Table1[[#This Row],[VEHIDCODE]],"_")</f>
        <v>Australia_Queensland_Rail_Tilt_Train</v>
      </c>
      <c r="C628" t="s">
        <v>744</v>
      </c>
      <c r="D628" t="b">
        <f>OR(ISNUMBER(SEARCH("wagon_",Table1[[#This Row],[FILENAMES_EXPECTED]])),ISNUMBER(SEARCH("coach_",Table1[[#This Row],[FILENAMES_EXPECTED]])))</f>
        <v>0</v>
      </c>
      <c r="E628" t="str">
        <f>"item_"&amp;Table1[[#This Row],[VEHIDCODE]]</f>
        <v>item_emu_Australia_Queensland_Rail_Tilt_Train</v>
      </c>
      <c r="F628" t="str">
        <f>"str_"&amp;Table1[[#This Row],[VEHIDCODE]]</f>
        <v>str_emu_Australia_Queensland_Rail_Tilt_Train</v>
      </c>
      <c r="Q628" t="b">
        <v>1</v>
      </c>
      <c r="AJ628" s="2"/>
      <c r="AK628" s="2" t="b">
        <f>LEN(_xlfn.CONCAT(Table1[[#This Row],[TRACK_TYPE_STANDARD_GAUGE_RAILTYPE_OHLE]:[TRACK_TYPE_MTRO]]))&gt;0</f>
        <v>1</v>
      </c>
      <c r="AL628">
        <v>8</v>
      </c>
      <c r="AM628" t="s">
        <v>18</v>
      </c>
      <c r="AN628">
        <v>1</v>
      </c>
      <c r="AO628" t="s">
        <v>74</v>
      </c>
      <c r="AP628">
        <v>56</v>
      </c>
      <c r="AQ628">
        <v>1997</v>
      </c>
      <c r="AR628">
        <v>8</v>
      </c>
      <c r="AS628" s="2" t="s">
        <v>24</v>
      </c>
      <c r="AT628" t="b">
        <v>1</v>
      </c>
      <c r="AU628" t="b">
        <v>1</v>
      </c>
      <c r="AV628" s="2"/>
      <c r="AW628">
        <v>45</v>
      </c>
      <c r="AX628">
        <v>1</v>
      </c>
      <c r="AY628">
        <v>910</v>
      </c>
      <c r="AZ628" t="s">
        <v>709</v>
      </c>
      <c r="BA628">
        <v>160</v>
      </c>
      <c r="BB628" s="2">
        <v>0.33</v>
      </c>
      <c r="BC628" t="s">
        <v>925</v>
      </c>
      <c r="BD628" t="s">
        <v>922</v>
      </c>
      <c r="BE628" t="s">
        <v>940</v>
      </c>
      <c r="BF628" s="7">
        <v>40</v>
      </c>
      <c r="BG6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8">
        <v>0</v>
      </c>
      <c r="BI628" t="s">
        <v>734</v>
      </c>
      <c r="BJ628" s="11">
        <v>56</v>
      </c>
      <c r="BK628" s="11">
        <v>8</v>
      </c>
      <c r="BL628" s="11">
        <v>47</v>
      </c>
      <c r="BM628">
        <v>0</v>
      </c>
      <c r="BN628" t="s">
        <v>692</v>
      </c>
      <c r="BO628" t="s">
        <v>694</v>
      </c>
      <c r="BP628" t="s">
        <v>701</v>
      </c>
      <c r="BQ628" t="s">
        <v>705</v>
      </c>
      <c r="BR628" t="s">
        <v>706</v>
      </c>
      <c r="BS628" t="s">
        <v>707</v>
      </c>
      <c r="CR628"/>
      <c r="CS628"/>
      <c r="CT628"/>
    </row>
    <row r="629" spans="1:98" x14ac:dyDescent="0.4">
      <c r="A629" s="2" t="s">
        <v>653</v>
      </c>
      <c r="B629" t="str">
        <f>_xlfn.TEXTAFTER(Table1[[#This Row],[VEHIDCODE]],"_")</f>
        <v>Russia_RZD_VL15</v>
      </c>
      <c r="C629" t="s">
        <v>741</v>
      </c>
      <c r="D629" t="b">
        <f>OR(ISNUMBER(SEARCH("wagon_",Table1[[#This Row],[FILENAMES_EXPECTED]])),ISNUMBER(SEARCH("coach_",Table1[[#This Row],[FILENAMES_EXPECTED]])))</f>
        <v>0</v>
      </c>
      <c r="E629" t="str">
        <f>"item_"&amp;Table1[[#This Row],[VEHIDCODE]]</f>
        <v>item_electric_Russia_RZD_VL15</v>
      </c>
      <c r="F629" t="str">
        <f>"str_"&amp;Table1[[#This Row],[VEHIDCODE]]</f>
        <v>str_electric_Russia_RZD_VL15</v>
      </c>
      <c r="AB629" t="b">
        <v>1</v>
      </c>
      <c r="AJ629" s="2"/>
      <c r="AK629" s="2" t="b">
        <f>LEN(_xlfn.CONCAT(Table1[[#This Row],[TRACK_TYPE_STANDARD_GAUGE_RAILTYPE_OHLE]:[TRACK_TYPE_MTRO]]))&gt;0</f>
        <v>1</v>
      </c>
      <c r="AL629">
        <v>16</v>
      </c>
      <c r="AM629" t="s">
        <v>20</v>
      </c>
      <c r="AN629">
        <v>0</v>
      </c>
      <c r="AO629" t="s">
        <v>74</v>
      </c>
      <c r="AP629">
        <v>0</v>
      </c>
      <c r="AQ629">
        <v>1984</v>
      </c>
      <c r="AR629">
        <v>8</v>
      </c>
      <c r="AS629" s="2" t="s">
        <v>20</v>
      </c>
      <c r="AT629" t="b">
        <v>1</v>
      </c>
      <c r="AV629" s="2"/>
      <c r="AW629">
        <v>45</v>
      </c>
      <c r="AX629">
        <v>1</v>
      </c>
      <c r="AY629">
        <v>8400</v>
      </c>
      <c r="AZ629" t="s">
        <v>709</v>
      </c>
      <c r="BA629">
        <v>100</v>
      </c>
      <c r="BB629" s="2">
        <v>0.23</v>
      </c>
      <c r="BC629" t="s">
        <v>931</v>
      </c>
      <c r="BD629" t="s">
        <v>922</v>
      </c>
      <c r="BE629" t="s">
        <v>940</v>
      </c>
      <c r="BF629" s="7">
        <v>40</v>
      </c>
      <c r="BG6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29">
        <v>0</v>
      </c>
      <c r="BI629" t="s">
        <v>734</v>
      </c>
      <c r="BJ629" s="11"/>
      <c r="BK629" s="11"/>
      <c r="BL629" s="11">
        <v>150</v>
      </c>
      <c r="BM629">
        <v>0</v>
      </c>
      <c r="BN629" t="s">
        <v>692</v>
      </c>
      <c r="BO629" t="s">
        <v>694</v>
      </c>
      <c r="BP629" t="s">
        <v>701</v>
      </c>
      <c r="BQ629" t="s">
        <v>705</v>
      </c>
      <c r="BR629" t="s">
        <v>706</v>
      </c>
      <c r="BS629" t="s">
        <v>707</v>
      </c>
      <c r="CR629"/>
      <c r="CS629"/>
      <c r="CT629"/>
    </row>
    <row r="630" spans="1:98" x14ac:dyDescent="0.4">
      <c r="A630" s="2" t="s">
        <v>654</v>
      </c>
      <c r="B630" t="str">
        <f>_xlfn.TEXTAFTER(Table1[[#This Row],[VEHIDCODE]],"_")</f>
        <v>Russia_RZD_VL11</v>
      </c>
      <c r="C630" t="s">
        <v>741</v>
      </c>
      <c r="D630" t="b">
        <f>OR(ISNUMBER(SEARCH("wagon_",Table1[[#This Row],[FILENAMES_EXPECTED]])),ISNUMBER(SEARCH("coach_",Table1[[#This Row],[FILENAMES_EXPECTED]])))</f>
        <v>0</v>
      </c>
      <c r="E630" t="str">
        <f>"item_"&amp;Table1[[#This Row],[VEHIDCODE]]</f>
        <v>item_electric_Russia_RZD_VL11</v>
      </c>
      <c r="F630" t="str">
        <f>"str_"&amp;Table1[[#This Row],[VEHIDCODE]]</f>
        <v>str_electric_Russia_RZD_VL11</v>
      </c>
      <c r="AB630" t="b">
        <v>1</v>
      </c>
      <c r="AJ630" s="2"/>
      <c r="AK630" s="2" t="b">
        <f>LEN(_xlfn.CONCAT(Table1[[#This Row],[TRACK_TYPE_STANDARD_GAUGE_RAILTYPE_OHLE]:[TRACK_TYPE_MTRO]]))&gt;0</f>
        <v>1</v>
      </c>
      <c r="AL630">
        <v>16</v>
      </c>
      <c r="AM630" t="s">
        <v>20</v>
      </c>
      <c r="AN630">
        <v>0</v>
      </c>
      <c r="AO630" t="s">
        <v>74</v>
      </c>
      <c r="AP630">
        <v>0</v>
      </c>
      <c r="AQ630">
        <v>1974</v>
      </c>
      <c r="AR630">
        <v>8</v>
      </c>
      <c r="AS630" s="2" t="s">
        <v>20</v>
      </c>
      <c r="AT630" t="b">
        <v>1</v>
      </c>
      <c r="AV630" s="2"/>
      <c r="AW630">
        <v>45</v>
      </c>
      <c r="AX630">
        <v>1</v>
      </c>
      <c r="AY630">
        <v>7190</v>
      </c>
      <c r="AZ630" t="s">
        <v>709</v>
      </c>
      <c r="BA630">
        <v>100</v>
      </c>
      <c r="BB630" s="2">
        <v>0.33</v>
      </c>
      <c r="BC630" t="s">
        <v>931</v>
      </c>
      <c r="BD630" t="s">
        <v>922</v>
      </c>
      <c r="BE630" t="s">
        <v>940</v>
      </c>
      <c r="BF630" s="7">
        <v>40</v>
      </c>
      <c r="BG6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0">
        <v>0</v>
      </c>
      <c r="BI630" t="s">
        <v>734</v>
      </c>
      <c r="BJ630" s="11"/>
      <c r="BK630" s="11"/>
      <c r="BL630" s="11">
        <v>184</v>
      </c>
      <c r="BM630">
        <v>0</v>
      </c>
      <c r="BN630" t="s">
        <v>692</v>
      </c>
      <c r="BO630" t="s">
        <v>694</v>
      </c>
      <c r="BP630" t="s">
        <v>701</v>
      </c>
      <c r="BQ630" t="s">
        <v>705</v>
      </c>
      <c r="BR630" t="s">
        <v>706</v>
      </c>
      <c r="BS630" t="s">
        <v>707</v>
      </c>
      <c r="CR630"/>
      <c r="CS630"/>
      <c r="CT630"/>
    </row>
    <row r="631" spans="1:98" x14ac:dyDescent="0.4">
      <c r="A631" s="2" t="s">
        <v>655</v>
      </c>
      <c r="B631" t="str">
        <f>_xlfn.TEXTAFTER(Table1[[#This Row],[VEHIDCODE]],"_")</f>
        <v>Russia_RZD_VL22M</v>
      </c>
      <c r="C631" t="s">
        <v>741</v>
      </c>
      <c r="D631" t="b">
        <f>OR(ISNUMBER(SEARCH("wagon_",Table1[[#This Row],[FILENAMES_EXPECTED]])),ISNUMBER(SEARCH("coach_",Table1[[#This Row],[FILENAMES_EXPECTED]])))</f>
        <v>0</v>
      </c>
      <c r="E631" t="str">
        <f>"item_"&amp;Table1[[#This Row],[VEHIDCODE]]</f>
        <v>item_electric_Russia_RZD_VL22M</v>
      </c>
      <c r="F631" t="str">
        <f>"str_"&amp;Table1[[#This Row],[VEHIDCODE]]</f>
        <v>str_electric_Russia_RZD_VL22M</v>
      </c>
      <c r="AB631" t="b">
        <v>1</v>
      </c>
      <c r="AJ631" s="2"/>
      <c r="AK631" s="2" t="b">
        <f>LEN(_xlfn.CONCAT(Table1[[#This Row],[TRACK_TYPE_STANDARD_GAUGE_RAILTYPE_OHLE]:[TRACK_TYPE_MTRO]]))&gt;0</f>
        <v>1</v>
      </c>
      <c r="AL631">
        <v>8</v>
      </c>
      <c r="AM631" t="s">
        <v>20</v>
      </c>
      <c r="AN631">
        <v>0</v>
      </c>
      <c r="AO631" t="s">
        <v>74</v>
      </c>
      <c r="AP631">
        <v>0</v>
      </c>
      <c r="AQ631">
        <v>1945</v>
      </c>
      <c r="AR631">
        <v>8</v>
      </c>
      <c r="AS631" s="2" t="s">
        <v>20</v>
      </c>
      <c r="AT631" t="b">
        <v>1</v>
      </c>
      <c r="AV631" s="2"/>
      <c r="AW631">
        <v>45</v>
      </c>
      <c r="AX631">
        <v>1</v>
      </c>
      <c r="AY631">
        <v>3220</v>
      </c>
      <c r="AZ631" t="s">
        <v>709</v>
      </c>
      <c r="BA631">
        <v>100</v>
      </c>
      <c r="BB631" s="2">
        <v>0.39</v>
      </c>
      <c r="BC631" t="s">
        <v>931</v>
      </c>
      <c r="BD631" t="s">
        <v>922</v>
      </c>
      <c r="BE631" t="s">
        <v>940</v>
      </c>
      <c r="BF631" s="7">
        <v>40</v>
      </c>
      <c r="BG6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1">
        <v>-3</v>
      </c>
      <c r="BI631" t="s">
        <v>734</v>
      </c>
      <c r="BJ631" s="11"/>
      <c r="BK631" s="11"/>
      <c r="BL631" s="11">
        <v>98</v>
      </c>
      <c r="BM631">
        <v>0</v>
      </c>
      <c r="BN631" t="s">
        <v>692</v>
      </c>
      <c r="BO631" t="s">
        <v>694</v>
      </c>
      <c r="BP631" t="s">
        <v>701</v>
      </c>
      <c r="BQ631" t="s">
        <v>705</v>
      </c>
      <c r="BR631" t="s">
        <v>706</v>
      </c>
      <c r="BS631" t="s">
        <v>707</v>
      </c>
      <c r="CR631"/>
      <c r="CS631"/>
      <c r="CT631"/>
    </row>
    <row r="632" spans="1:98" x14ac:dyDescent="0.4">
      <c r="A632" s="2" t="s">
        <v>656</v>
      </c>
      <c r="B632" t="str">
        <f>_xlfn.TEXTAFTER(Table1[[#This Row],[VEHIDCODE]],"_")</f>
        <v>Ukraine_UZ_DE1</v>
      </c>
      <c r="C632" t="s">
        <v>741</v>
      </c>
      <c r="D632" t="b">
        <f>OR(ISNUMBER(SEARCH("wagon_",Table1[[#This Row],[FILENAMES_EXPECTED]])),ISNUMBER(SEARCH("coach_",Table1[[#This Row],[FILENAMES_EXPECTED]])))</f>
        <v>0</v>
      </c>
      <c r="E632" t="str">
        <f>"item_"&amp;Table1[[#This Row],[VEHIDCODE]]</f>
        <v>item_electric_Ukraine_UZ_DE1</v>
      </c>
      <c r="F632" t="str">
        <f>"str_"&amp;Table1[[#This Row],[VEHIDCODE]]</f>
        <v>str_electric_Ukraine_UZ_DE1</v>
      </c>
      <c r="AB632" t="b">
        <v>1</v>
      </c>
      <c r="AJ632" s="2"/>
      <c r="AK632" s="2" t="b">
        <f>LEN(_xlfn.CONCAT(Table1[[#This Row],[TRACK_TYPE_STANDARD_GAUGE_RAILTYPE_OHLE]:[TRACK_TYPE_MTRO]]))&gt;0</f>
        <v>1</v>
      </c>
      <c r="AL632">
        <v>16</v>
      </c>
      <c r="AM632" t="s">
        <v>20</v>
      </c>
      <c r="AN632">
        <v>0</v>
      </c>
      <c r="AO632" t="s">
        <v>74</v>
      </c>
      <c r="AP632">
        <v>0</v>
      </c>
      <c r="AQ632">
        <v>1995</v>
      </c>
      <c r="AR632">
        <v>8</v>
      </c>
      <c r="AS632" s="2" t="s">
        <v>20</v>
      </c>
      <c r="AT632" t="b">
        <v>1</v>
      </c>
      <c r="AV632" s="2"/>
      <c r="AW632">
        <v>45</v>
      </c>
      <c r="AX632">
        <v>0</v>
      </c>
      <c r="AY632">
        <v>8750</v>
      </c>
      <c r="AZ632" t="s">
        <v>709</v>
      </c>
      <c r="BA632">
        <v>100</v>
      </c>
      <c r="BB632" s="2">
        <v>0.23</v>
      </c>
      <c r="BC632" t="s">
        <v>929</v>
      </c>
      <c r="BD632" t="s">
        <v>922</v>
      </c>
      <c r="BE632" t="s">
        <v>940</v>
      </c>
      <c r="BF632" s="7">
        <v>40</v>
      </c>
      <c r="BG6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2">
        <v>0</v>
      </c>
      <c r="BI632" t="s">
        <v>734</v>
      </c>
      <c r="BJ632" s="11"/>
      <c r="BK632" s="11"/>
      <c r="BL632" s="11">
        <v>184</v>
      </c>
      <c r="BM632">
        <v>0</v>
      </c>
      <c r="BN632" t="s">
        <v>692</v>
      </c>
      <c r="BO632" t="s">
        <v>694</v>
      </c>
      <c r="BP632" t="s">
        <v>701</v>
      </c>
      <c r="BQ632" t="s">
        <v>705</v>
      </c>
      <c r="BR632" t="s">
        <v>706</v>
      </c>
      <c r="BS632" t="s">
        <v>707</v>
      </c>
      <c r="CR632"/>
      <c r="CS632"/>
      <c r="CT632"/>
    </row>
    <row r="633" spans="1:98" x14ac:dyDescent="0.4">
      <c r="A633" s="2" t="s">
        <v>657</v>
      </c>
      <c r="B633" t="str">
        <f>_xlfn.TEXTAFTER(Table1[[#This Row],[VEHIDCODE]],"_")</f>
        <v>Russia_RZD_ChS3</v>
      </c>
      <c r="C633" t="s">
        <v>741</v>
      </c>
      <c r="D633" t="b">
        <f>OR(ISNUMBER(SEARCH("wagon_",Table1[[#This Row],[FILENAMES_EXPECTED]])),ISNUMBER(SEARCH("coach_",Table1[[#This Row],[FILENAMES_EXPECTED]])))</f>
        <v>0</v>
      </c>
      <c r="E633" t="str">
        <f>"item_"&amp;Table1[[#This Row],[VEHIDCODE]]</f>
        <v>item_electric_Russia_RZD_ChS3</v>
      </c>
      <c r="F633" t="str">
        <f>"str_"&amp;Table1[[#This Row],[VEHIDCODE]]</f>
        <v>str_electric_Russia_RZD_ChS3</v>
      </c>
      <c r="AB633" t="b">
        <v>1</v>
      </c>
      <c r="AJ633" s="2"/>
      <c r="AK633" s="2" t="b">
        <f>LEN(_xlfn.CONCAT(Table1[[#This Row],[TRACK_TYPE_STANDARD_GAUGE_RAILTYPE_OHLE]:[TRACK_TYPE_MTRO]]))&gt;0</f>
        <v>1</v>
      </c>
      <c r="AL633">
        <v>7</v>
      </c>
      <c r="AM633" t="s">
        <v>20</v>
      </c>
      <c r="AN633">
        <v>0</v>
      </c>
      <c r="AO633" t="s">
        <v>74</v>
      </c>
      <c r="AP633">
        <v>0</v>
      </c>
      <c r="AQ633">
        <v>1961</v>
      </c>
      <c r="AR633">
        <v>7</v>
      </c>
      <c r="AS633" s="2" t="s">
        <v>20</v>
      </c>
      <c r="AT633" t="b">
        <v>1</v>
      </c>
      <c r="AV633" s="2"/>
      <c r="AW633">
        <v>45</v>
      </c>
      <c r="AX633">
        <v>1</v>
      </c>
      <c r="AY633">
        <v>2000</v>
      </c>
      <c r="AZ633" t="s">
        <v>709</v>
      </c>
      <c r="BA633">
        <v>120</v>
      </c>
      <c r="BB633" s="2">
        <v>0.27</v>
      </c>
      <c r="BC633" t="s">
        <v>931</v>
      </c>
      <c r="BD633" t="s">
        <v>922</v>
      </c>
      <c r="BE633" t="s">
        <v>940</v>
      </c>
      <c r="BF633" s="7">
        <v>40</v>
      </c>
      <c r="BG6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3">
        <v>0</v>
      </c>
      <c r="BI633" t="s">
        <v>734</v>
      </c>
      <c r="BJ633" s="11"/>
      <c r="BK633" s="11"/>
      <c r="BL633" s="11">
        <v>85</v>
      </c>
      <c r="BM633">
        <v>0</v>
      </c>
      <c r="BN633" t="s">
        <v>692</v>
      </c>
      <c r="BO633" t="s">
        <v>694</v>
      </c>
      <c r="BP633" t="s">
        <v>701</v>
      </c>
      <c r="BQ633" t="s">
        <v>705</v>
      </c>
      <c r="BR633" t="s">
        <v>706</v>
      </c>
      <c r="BS633" t="s">
        <v>707</v>
      </c>
      <c r="CR633"/>
      <c r="CS633"/>
      <c r="CT633"/>
    </row>
    <row r="634" spans="1:98" x14ac:dyDescent="0.4">
      <c r="A634" s="2" t="s">
        <v>658</v>
      </c>
      <c r="B634" t="str">
        <f>_xlfn.TEXTAFTER(Table1[[#This Row],[VEHIDCODE]],"_")</f>
        <v>Ukraine_UZ_ChS7</v>
      </c>
      <c r="C634" t="s">
        <v>741</v>
      </c>
      <c r="D634" t="b">
        <f>OR(ISNUMBER(SEARCH("wagon_",Table1[[#This Row],[FILENAMES_EXPECTED]])),ISNUMBER(SEARCH("coach_",Table1[[#This Row],[FILENAMES_EXPECTED]])))</f>
        <v>0</v>
      </c>
      <c r="E634" t="str">
        <f>"item_"&amp;Table1[[#This Row],[VEHIDCODE]]</f>
        <v>item_electric_Ukraine_UZ_ChS7</v>
      </c>
      <c r="F634" t="str">
        <f>"str_"&amp;Table1[[#This Row],[VEHIDCODE]]</f>
        <v>str_electric_Ukraine_UZ_ChS7</v>
      </c>
      <c r="AB634" t="b">
        <v>1</v>
      </c>
      <c r="AJ634" s="2"/>
      <c r="AK634" s="2" t="b">
        <f>LEN(_xlfn.CONCAT(Table1[[#This Row],[TRACK_TYPE_STANDARD_GAUGE_RAILTYPE_OHLE]:[TRACK_TYPE_MTRO]]))&gt;0</f>
        <v>1</v>
      </c>
      <c r="AL634">
        <v>14</v>
      </c>
      <c r="AM634" t="s">
        <v>20</v>
      </c>
      <c r="AN634">
        <v>0</v>
      </c>
      <c r="AO634" t="s">
        <v>74</v>
      </c>
      <c r="AP634">
        <v>0</v>
      </c>
      <c r="AQ634">
        <v>1983</v>
      </c>
      <c r="AR634">
        <v>7</v>
      </c>
      <c r="AS634" s="2" t="s">
        <v>20</v>
      </c>
      <c r="AT634" t="b">
        <v>1</v>
      </c>
      <c r="AV634" s="2"/>
      <c r="AW634">
        <v>45</v>
      </c>
      <c r="AX634">
        <v>1</v>
      </c>
      <c r="AY634">
        <v>8624</v>
      </c>
      <c r="AZ634" t="s">
        <v>709</v>
      </c>
      <c r="BA634">
        <v>160</v>
      </c>
      <c r="BB634" s="2">
        <v>0.22</v>
      </c>
      <c r="BC634" t="s">
        <v>929</v>
      </c>
      <c r="BD634" t="s">
        <v>922</v>
      </c>
      <c r="BE634" t="s">
        <v>940</v>
      </c>
      <c r="BF634" s="7">
        <v>40</v>
      </c>
      <c r="BG6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4">
        <v>0</v>
      </c>
      <c r="BI634" t="s">
        <v>734</v>
      </c>
      <c r="BJ634" s="11"/>
      <c r="BK634" s="11"/>
      <c r="BL634" s="11">
        <v>172</v>
      </c>
      <c r="BM634">
        <v>0</v>
      </c>
      <c r="BN634" t="s">
        <v>692</v>
      </c>
      <c r="BO634" t="s">
        <v>694</v>
      </c>
      <c r="BP634" t="s">
        <v>701</v>
      </c>
      <c r="BQ634" t="s">
        <v>705</v>
      </c>
      <c r="BR634" t="s">
        <v>706</v>
      </c>
      <c r="BS634" t="s">
        <v>707</v>
      </c>
      <c r="CR634"/>
      <c r="CS634"/>
      <c r="CT634"/>
    </row>
    <row r="635" spans="1:98" x14ac:dyDescent="0.4">
      <c r="A635" s="2" t="s">
        <v>659</v>
      </c>
      <c r="B635" t="str">
        <f>_xlfn.TEXTAFTER(Table1[[#This Row],[VEHIDCODE]],"_")</f>
        <v>Brasil_RFFSA_GE_C_C_4400</v>
      </c>
      <c r="C635" t="s">
        <v>741</v>
      </c>
      <c r="D635" t="b">
        <f>OR(ISNUMBER(SEARCH("wagon_",Table1[[#This Row],[FILENAMES_EXPECTED]])),ISNUMBER(SEARCH("coach_",Table1[[#This Row],[FILENAMES_EXPECTED]])))</f>
        <v>0</v>
      </c>
      <c r="E635" t="str">
        <f>"item_"&amp;Table1[[#This Row],[VEHIDCODE]]</f>
        <v>item_electric_Brasil_RFFSA_GE_C_C_4400</v>
      </c>
      <c r="F635" t="str">
        <f>"str_"&amp;Table1[[#This Row],[VEHIDCODE]]</f>
        <v>str_electric_Brasil_RFFSA_GE_C_C_4400</v>
      </c>
      <c r="AB635" t="b">
        <v>1</v>
      </c>
      <c r="AJ635" s="2"/>
      <c r="AK635" s="2" t="b">
        <f>LEN(_xlfn.CONCAT(Table1[[#This Row],[TRACK_TYPE_STANDARD_GAUGE_RAILTYPE_OHLE]:[TRACK_TYPE_MTRO]]))&gt;0</f>
        <v>1</v>
      </c>
      <c r="AL635">
        <v>7</v>
      </c>
      <c r="AM635" t="s">
        <v>20</v>
      </c>
      <c r="AN635">
        <v>0</v>
      </c>
      <c r="AO635" t="s">
        <v>74</v>
      </c>
      <c r="AP635">
        <v>0</v>
      </c>
      <c r="AQ635">
        <v>1962</v>
      </c>
      <c r="AR635">
        <v>7</v>
      </c>
      <c r="AS635" s="2" t="s">
        <v>24</v>
      </c>
      <c r="AT635" t="b">
        <v>1</v>
      </c>
      <c r="AV635" s="2"/>
      <c r="AW635">
        <v>45</v>
      </c>
      <c r="AX635">
        <v>1</v>
      </c>
      <c r="AY635">
        <v>4400</v>
      </c>
      <c r="AZ635" t="s">
        <v>709</v>
      </c>
      <c r="BA635">
        <v>117</v>
      </c>
      <c r="BB635" s="2">
        <v>0.21</v>
      </c>
      <c r="BC635" t="s">
        <v>930</v>
      </c>
      <c r="BD635" t="s">
        <v>922</v>
      </c>
      <c r="BE635" t="s">
        <v>940</v>
      </c>
      <c r="BF635" s="7">
        <v>40</v>
      </c>
      <c r="BG6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5">
        <v>0</v>
      </c>
      <c r="BI635" t="s">
        <v>734</v>
      </c>
      <c r="BJ635" s="11"/>
      <c r="BK635" s="11"/>
      <c r="BL635" s="11">
        <v>123</v>
      </c>
      <c r="BM635">
        <v>0</v>
      </c>
      <c r="BN635" t="s">
        <v>692</v>
      </c>
      <c r="BO635" t="s">
        <v>694</v>
      </c>
      <c r="BP635" t="s">
        <v>701</v>
      </c>
      <c r="BQ635" t="s">
        <v>705</v>
      </c>
      <c r="BR635" t="s">
        <v>706</v>
      </c>
      <c r="BS635" t="s">
        <v>707</v>
      </c>
      <c r="CR635"/>
      <c r="CS635"/>
      <c r="CT635"/>
    </row>
    <row r="636" spans="1:98" x14ac:dyDescent="0.4">
      <c r="A636" s="2" t="s">
        <v>660</v>
      </c>
      <c r="B636" t="str">
        <f>_xlfn.TEXTAFTER(Table1[[#This Row],[VEHIDCODE]],"_")</f>
        <v>Russia_RZD_VL85</v>
      </c>
      <c r="C636" t="s">
        <v>741</v>
      </c>
      <c r="D636" t="b">
        <f>OR(ISNUMBER(SEARCH("wagon_",Table1[[#This Row],[FILENAMES_EXPECTED]])),ISNUMBER(SEARCH("coach_",Table1[[#This Row],[FILENAMES_EXPECTED]])))</f>
        <v>0</v>
      </c>
      <c r="E636" t="str">
        <f>"item_"&amp;Table1[[#This Row],[VEHIDCODE]]</f>
        <v>item_electric_Russia_RZD_VL85</v>
      </c>
      <c r="F636" t="str">
        <f>"str_"&amp;Table1[[#This Row],[VEHIDCODE]]</f>
        <v>str_electric_Russia_RZD_VL85</v>
      </c>
      <c r="Z636" t="b">
        <v>1</v>
      </c>
      <c r="AJ636" s="2"/>
      <c r="AK636" s="2" t="b">
        <f>LEN(_xlfn.CONCAT(Table1[[#This Row],[TRACK_TYPE_STANDARD_GAUGE_RAILTYPE_OHLE]:[TRACK_TYPE_MTRO]]))&gt;0</f>
        <v>1</v>
      </c>
      <c r="AL636">
        <v>16</v>
      </c>
      <c r="AM636" t="s">
        <v>20</v>
      </c>
      <c r="AN636">
        <v>0</v>
      </c>
      <c r="AO636" t="s">
        <v>74</v>
      </c>
      <c r="AP636">
        <v>0</v>
      </c>
      <c r="AQ636">
        <v>1983</v>
      </c>
      <c r="AR636">
        <v>8</v>
      </c>
      <c r="AS636" s="2" t="s">
        <v>20</v>
      </c>
      <c r="AT636" t="b">
        <v>1</v>
      </c>
      <c r="AV636" s="2"/>
      <c r="AW636">
        <v>45</v>
      </c>
      <c r="AX636">
        <v>1</v>
      </c>
      <c r="AY636">
        <v>12500</v>
      </c>
      <c r="AZ636" t="s">
        <v>709</v>
      </c>
      <c r="BA636">
        <v>110</v>
      </c>
      <c r="BB636" s="2">
        <v>0.25</v>
      </c>
      <c r="BC636" t="s">
        <v>931</v>
      </c>
      <c r="BD636" t="s">
        <v>922</v>
      </c>
      <c r="BE636" t="s">
        <v>940</v>
      </c>
      <c r="BF636" s="7">
        <v>40</v>
      </c>
      <c r="BG6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6">
        <v>0</v>
      </c>
      <c r="BI636" t="s">
        <v>734</v>
      </c>
      <c r="BJ636" s="11"/>
      <c r="BK636" s="11"/>
      <c r="BL636" s="11">
        <v>288</v>
      </c>
      <c r="BM636">
        <v>0</v>
      </c>
      <c r="BN636" t="s">
        <v>692</v>
      </c>
      <c r="BO636" t="s">
        <v>694</v>
      </c>
      <c r="BP636" t="s">
        <v>701</v>
      </c>
      <c r="BQ636" t="s">
        <v>705</v>
      </c>
      <c r="BR636" t="s">
        <v>706</v>
      </c>
      <c r="BS636" t="s">
        <v>707</v>
      </c>
      <c r="CR636"/>
      <c r="CS636"/>
      <c r="CT636"/>
    </row>
    <row r="637" spans="1:98" x14ac:dyDescent="0.4">
      <c r="A637" s="2" t="s">
        <v>661</v>
      </c>
      <c r="B637" t="str">
        <f>_xlfn.TEXTAFTER(Table1[[#This Row],[VEHIDCODE]],"_")</f>
        <v>Russia_RZD_VL41</v>
      </c>
      <c r="C637" t="s">
        <v>741</v>
      </c>
      <c r="D637" t="b">
        <f>OR(ISNUMBER(SEARCH("wagon_",Table1[[#This Row],[FILENAMES_EXPECTED]])),ISNUMBER(SEARCH("coach_",Table1[[#This Row],[FILENAMES_EXPECTED]])))</f>
        <v>0</v>
      </c>
      <c r="E637" t="str">
        <f>"item_"&amp;Table1[[#This Row],[VEHIDCODE]]</f>
        <v>item_electric_Russia_RZD_VL41</v>
      </c>
      <c r="F637" t="str">
        <f>"str_"&amp;Table1[[#This Row],[VEHIDCODE]]</f>
        <v>str_electric_Russia_RZD_VL41</v>
      </c>
      <c r="Z637" t="b">
        <v>1</v>
      </c>
      <c r="AJ637" s="2"/>
      <c r="AK637" s="2" t="b">
        <f>LEN(_xlfn.CONCAT(Table1[[#This Row],[TRACK_TYPE_STANDARD_GAUGE_RAILTYPE_OHLE]:[TRACK_TYPE_MTRO]]))&gt;0</f>
        <v>1</v>
      </c>
      <c r="AL637">
        <v>8</v>
      </c>
      <c r="AM637" t="s">
        <v>20</v>
      </c>
      <c r="AN637">
        <v>0</v>
      </c>
      <c r="AO637" t="s">
        <v>74</v>
      </c>
      <c r="AP637">
        <v>0</v>
      </c>
      <c r="AQ637">
        <v>1963</v>
      </c>
      <c r="AR637">
        <v>8</v>
      </c>
      <c r="AS637" s="2" t="s">
        <v>20</v>
      </c>
      <c r="AT637" t="b">
        <v>1</v>
      </c>
      <c r="AV637" s="2"/>
      <c r="AW637">
        <v>45</v>
      </c>
      <c r="AX637">
        <v>1</v>
      </c>
      <c r="AY637">
        <v>2280</v>
      </c>
      <c r="AZ637" t="s">
        <v>709</v>
      </c>
      <c r="BA637">
        <v>70</v>
      </c>
      <c r="BB637" s="2">
        <v>0.19</v>
      </c>
      <c r="BC637" t="s">
        <v>931</v>
      </c>
      <c r="BD637" t="s">
        <v>922</v>
      </c>
      <c r="BE637" t="s">
        <v>940</v>
      </c>
      <c r="BF637" s="7">
        <v>40</v>
      </c>
      <c r="BG6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7">
        <v>-3</v>
      </c>
      <c r="BI637" t="s">
        <v>734</v>
      </c>
      <c r="BJ637" s="11"/>
      <c r="BK637" s="11"/>
      <c r="BL637" s="11">
        <v>92</v>
      </c>
      <c r="BM637">
        <v>0</v>
      </c>
      <c r="BN637" t="s">
        <v>692</v>
      </c>
      <c r="BO637" t="s">
        <v>694</v>
      </c>
      <c r="BP637" t="s">
        <v>701</v>
      </c>
      <c r="BQ637" t="s">
        <v>705</v>
      </c>
      <c r="BR637" t="s">
        <v>706</v>
      </c>
      <c r="BS637" t="s">
        <v>707</v>
      </c>
      <c r="CR637"/>
      <c r="CS637"/>
      <c r="CT637"/>
    </row>
    <row r="638" spans="1:98" x14ac:dyDescent="0.4">
      <c r="A638" s="2" t="s">
        <v>662</v>
      </c>
      <c r="B638" t="str">
        <f>_xlfn.TEXTAFTER(Table1[[#This Row],[VEHIDCODE]],"_")</f>
        <v>India_Indian_Railways_WAP_4</v>
      </c>
      <c r="C638" t="s">
        <v>741</v>
      </c>
      <c r="D638" t="b">
        <f>OR(ISNUMBER(SEARCH("wagon_",Table1[[#This Row],[FILENAMES_EXPECTED]])),ISNUMBER(SEARCH("coach_",Table1[[#This Row],[FILENAMES_EXPECTED]])))</f>
        <v>0</v>
      </c>
      <c r="E638" t="str">
        <f>"item_"&amp;Table1[[#This Row],[VEHIDCODE]]</f>
        <v>item_electric_India_Indian_Railways_WAP_4</v>
      </c>
      <c r="F638" t="str">
        <f>"str_"&amp;Table1[[#This Row],[VEHIDCODE]]</f>
        <v>str_electric_India_Indian_Railways_WAP_4</v>
      </c>
      <c r="Z638" t="b">
        <v>1</v>
      </c>
      <c r="AJ638" s="2"/>
      <c r="AK638" s="2" t="b">
        <f>LEN(_xlfn.CONCAT(Table1[[#This Row],[TRACK_TYPE_STANDARD_GAUGE_RAILTYPE_OHLE]:[TRACK_TYPE_MTRO]]))&gt;0</f>
        <v>1</v>
      </c>
      <c r="AL638">
        <v>8</v>
      </c>
      <c r="AM638" t="s">
        <v>20</v>
      </c>
      <c r="AN638">
        <v>0</v>
      </c>
      <c r="AO638" t="s">
        <v>74</v>
      </c>
      <c r="AP638">
        <v>0</v>
      </c>
      <c r="AQ638">
        <v>1994</v>
      </c>
      <c r="AR638">
        <v>8</v>
      </c>
      <c r="AS638" s="2" t="s">
        <v>20</v>
      </c>
      <c r="AT638" t="b">
        <v>1</v>
      </c>
      <c r="AV638" s="2"/>
      <c r="AW638">
        <v>45</v>
      </c>
      <c r="AX638">
        <v>1</v>
      </c>
      <c r="AY638">
        <v>5350</v>
      </c>
      <c r="AZ638" t="s">
        <v>709</v>
      </c>
      <c r="BA638">
        <v>140</v>
      </c>
      <c r="BB638" s="2">
        <v>0.28000000000000003</v>
      </c>
      <c r="BC638" t="s">
        <v>931</v>
      </c>
      <c r="BD638" t="s">
        <v>922</v>
      </c>
      <c r="BE638" t="s">
        <v>940</v>
      </c>
      <c r="BF638" s="7">
        <v>40</v>
      </c>
      <c r="BG6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8">
        <v>-3</v>
      </c>
      <c r="BI638" t="s">
        <v>734</v>
      </c>
      <c r="BJ638" s="11"/>
      <c r="BK638" s="11"/>
      <c r="BL638" s="11">
        <v>113</v>
      </c>
      <c r="BM638">
        <v>0</v>
      </c>
      <c r="BN638" t="s">
        <v>692</v>
      </c>
      <c r="BO638" t="s">
        <v>694</v>
      </c>
      <c r="BP638" t="s">
        <v>701</v>
      </c>
      <c r="BQ638" t="s">
        <v>705</v>
      </c>
      <c r="BR638" t="s">
        <v>706</v>
      </c>
      <c r="BS638" t="s">
        <v>707</v>
      </c>
      <c r="CR638"/>
      <c r="CS638"/>
      <c r="CT638"/>
    </row>
    <row r="639" spans="1:98" x14ac:dyDescent="0.4">
      <c r="A639" s="2" t="s">
        <v>663</v>
      </c>
      <c r="B639" t="str">
        <f>_xlfn.TEXTAFTER(Table1[[#This Row],[VEHIDCODE]],"_")</f>
        <v>Finland_VR_Sr1</v>
      </c>
      <c r="C639" t="s">
        <v>741</v>
      </c>
      <c r="D639" t="b">
        <f>OR(ISNUMBER(SEARCH("wagon_",Table1[[#This Row],[FILENAMES_EXPECTED]])),ISNUMBER(SEARCH("coach_",Table1[[#This Row],[FILENAMES_EXPECTED]])))</f>
        <v>0</v>
      </c>
      <c r="E639" t="str">
        <f>"item_"&amp;Table1[[#This Row],[VEHIDCODE]]</f>
        <v>item_electric_Finland_VR_Sr1</v>
      </c>
      <c r="F639" t="str">
        <f>"str_"&amp;Table1[[#This Row],[VEHIDCODE]]</f>
        <v>str_electric_Finland_VR_Sr1</v>
      </c>
      <c r="Z639" t="b">
        <v>1</v>
      </c>
      <c r="AJ639" s="2"/>
      <c r="AK639" s="2" t="b">
        <f>LEN(_xlfn.CONCAT(Table1[[#This Row],[TRACK_TYPE_STANDARD_GAUGE_RAILTYPE_OHLE]:[TRACK_TYPE_MTRO]]))&gt;0</f>
        <v>1</v>
      </c>
      <c r="AL639">
        <v>8</v>
      </c>
      <c r="AM639" t="s">
        <v>20</v>
      </c>
      <c r="AN639">
        <v>0</v>
      </c>
      <c r="AO639" t="s">
        <v>74</v>
      </c>
      <c r="AP639">
        <v>0</v>
      </c>
      <c r="AQ639">
        <v>1973</v>
      </c>
      <c r="AR639">
        <v>8</v>
      </c>
      <c r="AS639" s="2" t="s">
        <v>20</v>
      </c>
      <c r="AT639" t="b">
        <v>1</v>
      </c>
      <c r="AV639" s="2"/>
      <c r="AW639">
        <v>45</v>
      </c>
      <c r="AX639">
        <v>0</v>
      </c>
      <c r="AY639">
        <v>4428</v>
      </c>
      <c r="AZ639" t="s">
        <v>709</v>
      </c>
      <c r="BA639">
        <v>140</v>
      </c>
      <c r="BB639" s="2">
        <v>0.33</v>
      </c>
      <c r="BC639" t="s">
        <v>927</v>
      </c>
      <c r="BD639" t="s">
        <v>922</v>
      </c>
      <c r="BE639" t="s">
        <v>940</v>
      </c>
      <c r="BF639" s="7">
        <v>40</v>
      </c>
      <c r="BG6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39">
        <v>-3</v>
      </c>
      <c r="BI639" t="s">
        <v>734</v>
      </c>
      <c r="BJ639" s="11"/>
      <c r="BK639" s="11"/>
      <c r="BL639" s="11">
        <v>84</v>
      </c>
      <c r="BM639">
        <v>0</v>
      </c>
      <c r="BN639" t="s">
        <v>692</v>
      </c>
      <c r="BO639" t="s">
        <v>694</v>
      </c>
      <c r="BP639" t="s">
        <v>701</v>
      </c>
      <c r="BQ639" t="s">
        <v>705</v>
      </c>
      <c r="BR639" t="s">
        <v>706</v>
      </c>
      <c r="BS639" t="s">
        <v>707</v>
      </c>
      <c r="CR639"/>
      <c r="CS639"/>
      <c r="CT639"/>
    </row>
    <row r="640" spans="1:98" x14ac:dyDescent="0.4">
      <c r="A640" s="2" t="s">
        <v>664</v>
      </c>
      <c r="B640" t="str">
        <f>_xlfn.TEXTAFTER(Table1[[#This Row],[VEHIDCODE]],"_")</f>
        <v>Kazakhstan_KTZ_KZ4A</v>
      </c>
      <c r="C640" t="s">
        <v>741</v>
      </c>
      <c r="D640" t="b">
        <f>OR(ISNUMBER(SEARCH("wagon_",Table1[[#This Row],[FILENAMES_EXPECTED]])),ISNUMBER(SEARCH("coach_",Table1[[#This Row],[FILENAMES_EXPECTED]])))</f>
        <v>0</v>
      </c>
      <c r="E640" t="str">
        <f>"item_"&amp;Table1[[#This Row],[VEHIDCODE]]</f>
        <v>item_electric_Kazakhstan_KTZ_KZ4A</v>
      </c>
      <c r="F640" t="str">
        <f>"str_"&amp;Table1[[#This Row],[VEHIDCODE]]</f>
        <v>str_electric_Kazakhstan_KTZ_KZ4A</v>
      </c>
      <c r="Z640" t="b">
        <v>1</v>
      </c>
      <c r="AJ640" s="2"/>
      <c r="AK640" s="2" t="b">
        <f>LEN(_xlfn.CONCAT(Table1[[#This Row],[TRACK_TYPE_STANDARD_GAUGE_RAILTYPE_OHLE]:[TRACK_TYPE_MTRO]]))&gt;0</f>
        <v>1</v>
      </c>
      <c r="AL640">
        <v>8</v>
      </c>
      <c r="AM640" t="s">
        <v>20</v>
      </c>
      <c r="AN640">
        <v>0</v>
      </c>
      <c r="AO640" t="s">
        <v>74</v>
      </c>
      <c r="AP640">
        <v>0</v>
      </c>
      <c r="AQ640">
        <v>2004</v>
      </c>
      <c r="AR640">
        <v>8</v>
      </c>
      <c r="AS640" s="2" t="s">
        <v>20</v>
      </c>
      <c r="AT640" t="b">
        <v>1</v>
      </c>
      <c r="AV640" s="2"/>
      <c r="AW640" t="s">
        <v>21</v>
      </c>
      <c r="AX640">
        <v>1</v>
      </c>
      <c r="AY640">
        <v>6500</v>
      </c>
      <c r="AZ640" t="s">
        <v>709</v>
      </c>
      <c r="BA640">
        <v>210</v>
      </c>
      <c r="BB640" s="2">
        <v>0.32</v>
      </c>
      <c r="BC640" t="s">
        <v>931</v>
      </c>
      <c r="BD640" t="s">
        <v>922</v>
      </c>
      <c r="BE640" t="s">
        <v>940</v>
      </c>
      <c r="BF640" s="7">
        <v>40</v>
      </c>
      <c r="BG6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40">
        <v>-3</v>
      </c>
      <c r="BI640" t="s">
        <v>734</v>
      </c>
      <c r="BJ640" s="11"/>
      <c r="BK640" s="11"/>
      <c r="BL640" s="11">
        <v>82</v>
      </c>
      <c r="BM640">
        <v>0</v>
      </c>
      <c r="BN640" t="s">
        <v>692</v>
      </c>
      <c r="BO640" t="s">
        <v>694</v>
      </c>
      <c r="BP640" t="s">
        <v>701</v>
      </c>
      <c r="BQ640" t="s">
        <v>705</v>
      </c>
      <c r="BR640" t="s">
        <v>706</v>
      </c>
      <c r="BS640" t="s">
        <v>707</v>
      </c>
      <c r="CR640"/>
      <c r="CS640"/>
      <c r="CT640"/>
    </row>
    <row r="641" spans="1:98" x14ac:dyDescent="0.4">
      <c r="A641" s="2" t="s">
        <v>665</v>
      </c>
      <c r="B641" t="str">
        <f>_xlfn.TEXTAFTER(Table1[[#This Row],[VEHIDCODE]],"_")</f>
        <v>Kazakhstan_KTZ_KZ8A</v>
      </c>
      <c r="C641" t="s">
        <v>741</v>
      </c>
      <c r="D641" t="b">
        <f>OR(ISNUMBER(SEARCH("wagon_",Table1[[#This Row],[FILENAMES_EXPECTED]])),ISNUMBER(SEARCH("coach_",Table1[[#This Row],[FILENAMES_EXPECTED]])))</f>
        <v>0</v>
      </c>
      <c r="E641" t="str">
        <f>"item_"&amp;Table1[[#This Row],[VEHIDCODE]]</f>
        <v>item_electric_Kazakhstan_KTZ_KZ8A</v>
      </c>
      <c r="F641" t="str">
        <f>"str_"&amp;Table1[[#This Row],[VEHIDCODE]]</f>
        <v>str_electric_Kazakhstan_KTZ_KZ8A</v>
      </c>
      <c r="Z641" t="b">
        <v>1</v>
      </c>
      <c r="AJ641" s="2"/>
      <c r="AK641" s="2" t="b">
        <f>LEN(_xlfn.CONCAT(Table1[[#This Row],[TRACK_TYPE_STANDARD_GAUGE_RAILTYPE_OHLE]:[TRACK_TYPE_MTRO]]))&gt;0</f>
        <v>1</v>
      </c>
      <c r="AL641">
        <v>16</v>
      </c>
      <c r="AM641" t="s">
        <v>20</v>
      </c>
      <c r="AN641">
        <v>0</v>
      </c>
      <c r="AO641" t="s">
        <v>74</v>
      </c>
      <c r="AP641">
        <v>0</v>
      </c>
      <c r="AQ641">
        <v>2014</v>
      </c>
      <c r="AR641">
        <v>8</v>
      </c>
      <c r="AS641" s="2" t="s">
        <v>20</v>
      </c>
      <c r="AT641" t="b">
        <v>1</v>
      </c>
      <c r="AV641" s="2"/>
      <c r="AW641" t="s">
        <v>21</v>
      </c>
      <c r="AX641">
        <v>1</v>
      </c>
      <c r="AY641">
        <v>11800</v>
      </c>
      <c r="AZ641" t="s">
        <v>709</v>
      </c>
      <c r="BA641">
        <v>120</v>
      </c>
      <c r="BB641" s="2">
        <v>0.42</v>
      </c>
      <c r="BC641" t="s">
        <v>931</v>
      </c>
      <c r="BD641" t="s">
        <v>922</v>
      </c>
      <c r="BE641" t="s">
        <v>940</v>
      </c>
      <c r="BF641" s="7">
        <v>40</v>
      </c>
      <c r="BG6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41">
        <v>0</v>
      </c>
      <c r="BI641" t="s">
        <v>734</v>
      </c>
      <c r="BJ641" s="11"/>
      <c r="BK641" s="11"/>
      <c r="BL641" s="11">
        <v>200</v>
      </c>
      <c r="BM641">
        <v>0</v>
      </c>
      <c r="BN641" t="s">
        <v>692</v>
      </c>
      <c r="BO641" t="s">
        <v>694</v>
      </c>
      <c r="BP641" t="s">
        <v>701</v>
      </c>
      <c r="BQ641" t="s">
        <v>705</v>
      </c>
      <c r="BR641" t="s">
        <v>706</v>
      </c>
      <c r="BS641" t="s">
        <v>707</v>
      </c>
      <c r="CR641"/>
      <c r="CS641"/>
      <c r="CT641"/>
    </row>
    <row r="642" spans="1:98" x14ac:dyDescent="0.4">
      <c r="A642" s="2" t="s">
        <v>666</v>
      </c>
      <c r="B642" t="str">
        <f>_xlfn.TEXTAFTER(Table1[[#This Row],[VEHIDCODE]],"_")</f>
        <v>Russia_RZD_EP20</v>
      </c>
      <c r="C642" t="s">
        <v>741</v>
      </c>
      <c r="D642" t="b">
        <f>OR(ISNUMBER(SEARCH("wagon_",Table1[[#This Row],[FILENAMES_EXPECTED]])),ISNUMBER(SEARCH("coach_",Table1[[#This Row],[FILENAMES_EXPECTED]])))</f>
        <v>0</v>
      </c>
      <c r="E642" t="str">
        <f>"item_"&amp;Table1[[#This Row],[VEHIDCODE]]</f>
        <v>item_electric_Russia_RZD_EP20</v>
      </c>
      <c r="F642" t="str">
        <f>"str_"&amp;Table1[[#This Row],[VEHIDCODE]]</f>
        <v>str_electric_Russia_RZD_EP20</v>
      </c>
      <c r="Y642" t="b">
        <v>1</v>
      </c>
      <c r="AJ642" s="2"/>
      <c r="AK642" s="2" t="b">
        <f>LEN(_xlfn.CONCAT(Table1[[#This Row],[TRACK_TYPE_STANDARD_GAUGE_RAILTYPE_OHLE]:[TRACK_TYPE_MTRO]]))&gt;0</f>
        <v>1</v>
      </c>
      <c r="AL642">
        <v>8</v>
      </c>
      <c r="AM642" t="s">
        <v>20</v>
      </c>
      <c r="AN642">
        <v>0</v>
      </c>
      <c r="AO642" t="s">
        <v>74</v>
      </c>
      <c r="AP642">
        <v>0</v>
      </c>
      <c r="AQ642">
        <v>2011</v>
      </c>
      <c r="AR642">
        <v>8</v>
      </c>
      <c r="AS642" s="2" t="s">
        <v>20</v>
      </c>
      <c r="AT642" t="b">
        <v>1</v>
      </c>
      <c r="AV642" s="2"/>
      <c r="AW642" t="s">
        <v>21</v>
      </c>
      <c r="AX642">
        <v>1</v>
      </c>
      <c r="AY642">
        <v>9655</v>
      </c>
      <c r="AZ642" t="s">
        <v>709</v>
      </c>
      <c r="BA642">
        <v>200</v>
      </c>
      <c r="BB642" s="2">
        <v>0.26</v>
      </c>
      <c r="BC642" t="s">
        <v>931</v>
      </c>
      <c r="BD642" t="s">
        <v>922</v>
      </c>
      <c r="BE642" t="s">
        <v>940</v>
      </c>
      <c r="BF642" s="7">
        <v>40</v>
      </c>
      <c r="BG6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42">
        <v>0</v>
      </c>
      <c r="BI642" t="s">
        <v>734</v>
      </c>
      <c r="BJ642" s="11"/>
      <c r="BK642" s="11"/>
      <c r="BL642" s="11">
        <v>135</v>
      </c>
      <c r="BM642">
        <v>0</v>
      </c>
      <c r="BN642" t="s">
        <v>692</v>
      </c>
      <c r="BO642" t="s">
        <v>694</v>
      </c>
      <c r="BP642" t="s">
        <v>701</v>
      </c>
      <c r="BQ642" t="s">
        <v>705</v>
      </c>
      <c r="BR642" t="s">
        <v>706</v>
      </c>
      <c r="BS642" t="s">
        <v>707</v>
      </c>
      <c r="CR642"/>
      <c r="CS642"/>
      <c r="CT642"/>
    </row>
    <row r="643" spans="1:98" x14ac:dyDescent="0.4">
      <c r="A643" s="2" t="s">
        <v>667</v>
      </c>
      <c r="B643" t="str">
        <f>_xlfn.TEXTAFTER(Table1[[#This Row],[VEHIDCODE]],"_")</f>
        <v>Finland_VR_Dm7</v>
      </c>
      <c r="C643" t="s">
        <v>737</v>
      </c>
      <c r="D643" t="b">
        <f>OR(ISNUMBER(SEARCH("wagon_",Table1[[#This Row],[FILENAMES_EXPECTED]])),ISNUMBER(SEARCH("coach_",Table1[[#This Row],[FILENAMES_EXPECTED]])))</f>
        <v>0</v>
      </c>
      <c r="E643" t="str">
        <f>"item_"&amp;Table1[[#This Row],[VEHIDCODE]]</f>
        <v>item_rbd_Finland_VR_Dm7</v>
      </c>
      <c r="F643" t="str">
        <f>"str_"&amp;Table1[[#This Row],[VEHIDCODE]]</f>
        <v>str_rbd_Finland_VR_Dm7</v>
      </c>
      <c r="AG643" s="2" t="b">
        <v>1</v>
      </c>
      <c r="AJ643" s="2"/>
      <c r="AK643" s="2" t="b">
        <f>LEN(_xlfn.CONCAT(Table1[[#This Row],[TRACK_TYPE_STANDARD_GAUGE_RAILTYPE_OHLE]:[TRACK_TYPE_MTRO]]))&gt;0</f>
        <v>1</v>
      </c>
      <c r="AL643">
        <v>7</v>
      </c>
      <c r="AM643" t="s">
        <v>18</v>
      </c>
      <c r="AN643">
        <v>0</v>
      </c>
      <c r="AO643" t="s">
        <v>35</v>
      </c>
      <c r="AP643">
        <v>64</v>
      </c>
      <c r="AQ643">
        <v>1955</v>
      </c>
      <c r="AR643">
        <v>7</v>
      </c>
      <c r="AS643" s="2" t="s">
        <v>24</v>
      </c>
      <c r="AT643" t="b">
        <v>1</v>
      </c>
      <c r="AV643" s="2"/>
      <c r="AW643">
        <v>45</v>
      </c>
      <c r="AX643">
        <v>1</v>
      </c>
      <c r="AY643">
        <v>180</v>
      </c>
      <c r="AZ643" t="s">
        <v>711</v>
      </c>
      <c r="BA643">
        <v>95</v>
      </c>
      <c r="BB643" s="2">
        <v>0.33</v>
      </c>
      <c r="BC643" t="s">
        <v>927</v>
      </c>
      <c r="BD643" t="s">
        <v>922</v>
      </c>
      <c r="BE643" t="s">
        <v>940</v>
      </c>
      <c r="BF643" s="7">
        <v>15</v>
      </c>
      <c r="BG6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643">
        <v>-3</v>
      </c>
      <c r="BI643" t="s">
        <v>734</v>
      </c>
      <c r="BJ643" s="11"/>
      <c r="BK643" s="11"/>
      <c r="BL643" s="11">
        <v>18</v>
      </c>
      <c r="BM643">
        <v>0</v>
      </c>
      <c r="BN643" t="s">
        <v>692</v>
      </c>
      <c r="BO643" t="s">
        <v>694</v>
      </c>
      <c r="BP643" t="s">
        <v>701</v>
      </c>
      <c r="BQ643" t="s">
        <v>705</v>
      </c>
      <c r="BR643" t="s">
        <v>706</v>
      </c>
      <c r="BS643" t="s">
        <v>707</v>
      </c>
      <c r="CR643"/>
      <c r="CS643"/>
      <c r="CT643"/>
    </row>
    <row r="644" spans="1:98" x14ac:dyDescent="0.4">
      <c r="A644" s="2" t="s">
        <v>668</v>
      </c>
      <c r="B644" t="str">
        <f>_xlfn.TEXTAFTER(Table1[[#This Row],[VEHIDCODE]],"_")</f>
        <v>Russia_RZD_ACh2</v>
      </c>
      <c r="C644" t="s">
        <v>737</v>
      </c>
      <c r="D644" t="b">
        <f>OR(ISNUMBER(SEARCH("wagon_",Table1[[#This Row],[FILENAMES_EXPECTED]])),ISNUMBER(SEARCH("coach_",Table1[[#This Row],[FILENAMES_EXPECTED]])))</f>
        <v>0</v>
      </c>
      <c r="E644" t="str">
        <f>"item_"&amp;Table1[[#This Row],[VEHIDCODE]]</f>
        <v>item_rbd_Russia_RZD_ACh2</v>
      </c>
      <c r="F644" t="str">
        <f>"str_"&amp;Table1[[#This Row],[VEHIDCODE]]</f>
        <v>str_rbd_Russia_RZD_ACh2</v>
      </c>
      <c r="AG644" s="2" t="b">
        <v>1</v>
      </c>
      <c r="AJ644" s="2"/>
      <c r="AK644" s="2" t="b">
        <f>LEN(_xlfn.CONCAT(Table1[[#This Row],[TRACK_TYPE_STANDARD_GAUGE_RAILTYPE_OHLE]:[TRACK_TYPE_MTRO]]))&gt;0</f>
        <v>1</v>
      </c>
      <c r="AL644">
        <v>8</v>
      </c>
      <c r="AM644" t="s">
        <v>18</v>
      </c>
      <c r="AN644">
        <v>0</v>
      </c>
      <c r="AO644" t="s">
        <v>35</v>
      </c>
      <c r="AP644">
        <v>67</v>
      </c>
      <c r="AQ644">
        <v>1984</v>
      </c>
      <c r="AR644">
        <v>8</v>
      </c>
      <c r="AS644" s="2" t="s">
        <v>24</v>
      </c>
      <c r="AT644" t="b">
        <v>1</v>
      </c>
      <c r="AV644" s="2"/>
      <c r="AW644">
        <v>45</v>
      </c>
      <c r="AX644">
        <v>1</v>
      </c>
      <c r="AY644">
        <v>990</v>
      </c>
      <c r="AZ644" t="s">
        <v>711</v>
      </c>
      <c r="BA644">
        <v>120</v>
      </c>
      <c r="BB644" s="2">
        <v>0.24</v>
      </c>
      <c r="BC644" t="s">
        <v>931</v>
      </c>
      <c r="BD644" t="s">
        <v>922</v>
      </c>
      <c r="BE644" t="s">
        <v>940</v>
      </c>
      <c r="BF644" s="7">
        <v>15</v>
      </c>
      <c r="BG6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H644">
        <v>-3</v>
      </c>
      <c r="BI644" t="s">
        <v>734</v>
      </c>
      <c r="BJ644" s="11"/>
      <c r="BK644" s="11"/>
      <c r="BL644" s="11">
        <v>59</v>
      </c>
      <c r="BM644">
        <v>0</v>
      </c>
      <c r="BN644" t="s">
        <v>692</v>
      </c>
      <c r="BO644" t="s">
        <v>694</v>
      </c>
      <c r="BP644" t="s">
        <v>701</v>
      </c>
      <c r="BQ644" t="s">
        <v>705</v>
      </c>
      <c r="BR644" t="s">
        <v>706</v>
      </c>
      <c r="BS644" t="s">
        <v>707</v>
      </c>
      <c r="CR644"/>
      <c r="CS644"/>
      <c r="CT644"/>
    </row>
    <row r="645" spans="1:98" x14ac:dyDescent="0.4">
      <c r="A645" s="2" t="s">
        <v>669</v>
      </c>
      <c r="B645" t="str">
        <f>_xlfn.TEXTAFTER(Table1[[#This Row],[VEHIDCODE]],"_")</f>
        <v>Russia_RZD_ER200</v>
      </c>
      <c r="C645" t="s">
        <v>744</v>
      </c>
      <c r="D645" t="b">
        <f>OR(ISNUMBER(SEARCH("wagon_",Table1[[#This Row],[FILENAMES_EXPECTED]])),ISNUMBER(SEARCH("coach_",Table1[[#This Row],[FILENAMES_EXPECTED]])))</f>
        <v>0</v>
      </c>
      <c r="E645" t="str">
        <f>"item_"&amp;Table1[[#This Row],[VEHIDCODE]]</f>
        <v>item_emu_Russia_RZD_ER200</v>
      </c>
      <c r="F645" t="str">
        <f>"str_"&amp;Table1[[#This Row],[VEHIDCODE]]</f>
        <v>str_emu_Russia_RZD_ER200</v>
      </c>
      <c r="AB645" t="b">
        <v>1</v>
      </c>
      <c r="AJ645" s="2"/>
      <c r="AK645" s="2" t="b">
        <f>LEN(_xlfn.CONCAT(Table1[[#This Row],[TRACK_TYPE_STANDARD_GAUGE_RAILTYPE_OHLE]:[TRACK_TYPE_MTRO]]))&gt;0</f>
        <v>1</v>
      </c>
      <c r="AL645">
        <v>8</v>
      </c>
      <c r="AM645" t="s">
        <v>18</v>
      </c>
      <c r="AN645">
        <v>1</v>
      </c>
      <c r="AO645" t="s">
        <v>74</v>
      </c>
      <c r="AP645">
        <v>64</v>
      </c>
      <c r="AQ645">
        <v>1973</v>
      </c>
      <c r="AR645">
        <v>8</v>
      </c>
      <c r="AS645" s="2" t="s">
        <v>24</v>
      </c>
      <c r="AT645" t="b">
        <v>1</v>
      </c>
      <c r="AU645" t="b">
        <v>1</v>
      </c>
      <c r="AV645" s="2"/>
      <c r="AW645">
        <v>45</v>
      </c>
      <c r="AX645">
        <v>1</v>
      </c>
      <c r="AY645">
        <v>1280</v>
      </c>
      <c r="AZ645" t="s">
        <v>709</v>
      </c>
      <c r="BA645">
        <v>200</v>
      </c>
      <c r="BB645" s="2">
        <v>0.13</v>
      </c>
      <c r="BC645" t="s">
        <v>931</v>
      </c>
      <c r="BD645" t="s">
        <v>922</v>
      </c>
      <c r="BE645" t="s">
        <v>940</v>
      </c>
      <c r="BF645" s="7">
        <v>40</v>
      </c>
      <c r="BG6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45">
        <v>0</v>
      </c>
      <c r="BI645" t="s">
        <v>734</v>
      </c>
      <c r="BJ645" s="11">
        <v>64</v>
      </c>
      <c r="BK645" s="11">
        <v>8</v>
      </c>
      <c r="BL645" s="11">
        <v>49</v>
      </c>
      <c r="BM645">
        <v>0</v>
      </c>
      <c r="BN645" t="s">
        <v>692</v>
      </c>
      <c r="BO645" t="s">
        <v>694</v>
      </c>
      <c r="BP645" t="s">
        <v>701</v>
      </c>
      <c r="BQ645" t="s">
        <v>705</v>
      </c>
      <c r="BR645" t="s">
        <v>706</v>
      </c>
      <c r="BS645" t="s">
        <v>707</v>
      </c>
      <c r="CR645"/>
      <c r="CS645"/>
      <c r="CT645"/>
    </row>
    <row r="646" spans="1:98" x14ac:dyDescent="0.4">
      <c r="A646" s="2" t="s">
        <v>670</v>
      </c>
      <c r="B646" t="str">
        <f>_xlfn.TEXTAFTER(Table1[[#This Row],[VEHIDCODE]],"_")</f>
        <v>Russia_RZD_S</v>
      </c>
      <c r="C646" t="s">
        <v>744</v>
      </c>
      <c r="D646" t="b">
        <f>OR(ISNUMBER(SEARCH("wagon_",Table1[[#This Row],[FILENAMES_EXPECTED]])),ISNUMBER(SEARCH("coach_",Table1[[#This Row],[FILENAMES_EXPECTED]])))</f>
        <v>0</v>
      </c>
      <c r="E646" t="str">
        <f>"item_"&amp;Table1[[#This Row],[VEHIDCODE]]</f>
        <v>item_emu_Russia_RZD_S</v>
      </c>
      <c r="F646" t="str">
        <f>"str_"&amp;Table1[[#This Row],[VEHIDCODE]]</f>
        <v>str_emu_Russia_RZD_S</v>
      </c>
      <c r="AB646" t="b">
        <v>1</v>
      </c>
      <c r="AJ646" s="2"/>
      <c r="AK646" s="2" t="b">
        <f>LEN(_xlfn.CONCAT(Table1[[#This Row],[TRACK_TYPE_STANDARD_GAUGE_RAILTYPE_OHLE]:[TRACK_TYPE_MTRO]]))&gt;0</f>
        <v>1</v>
      </c>
      <c r="AL646">
        <v>7</v>
      </c>
      <c r="AM646" t="s">
        <v>18</v>
      </c>
      <c r="AN646">
        <v>1</v>
      </c>
      <c r="AO646" t="s">
        <v>74</v>
      </c>
      <c r="AP646">
        <v>50</v>
      </c>
      <c r="AQ646">
        <v>1929</v>
      </c>
      <c r="AR646">
        <v>7</v>
      </c>
      <c r="AS646" s="2" t="s">
        <v>24</v>
      </c>
      <c r="AT646" t="b">
        <v>1</v>
      </c>
      <c r="AU646" t="b">
        <v>1</v>
      </c>
      <c r="AV646" s="2"/>
      <c r="AW646">
        <v>45</v>
      </c>
      <c r="AX646">
        <v>1</v>
      </c>
      <c r="AY646">
        <v>804</v>
      </c>
      <c r="AZ646" t="s">
        <v>709</v>
      </c>
      <c r="BA646">
        <v>85</v>
      </c>
      <c r="BB646" s="2">
        <v>0.08</v>
      </c>
      <c r="BC646" t="s">
        <v>931</v>
      </c>
      <c r="BD646" t="s">
        <v>922</v>
      </c>
      <c r="BE646" t="s">
        <v>940</v>
      </c>
      <c r="BF646" s="7">
        <v>40</v>
      </c>
      <c r="BG6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46">
        <v>0</v>
      </c>
      <c r="BI646" t="s">
        <v>734</v>
      </c>
      <c r="BJ646" s="11">
        <v>50</v>
      </c>
      <c r="BK646" s="11">
        <v>7</v>
      </c>
      <c r="BL646" s="11">
        <v>46</v>
      </c>
      <c r="BM646">
        <v>0</v>
      </c>
      <c r="BN646" t="s">
        <v>692</v>
      </c>
      <c r="BO646" t="s">
        <v>694</v>
      </c>
      <c r="BP646" t="s">
        <v>701</v>
      </c>
      <c r="BQ646" t="s">
        <v>705</v>
      </c>
      <c r="BR646" t="s">
        <v>706</v>
      </c>
      <c r="BS646" t="s">
        <v>707</v>
      </c>
      <c r="CR646"/>
      <c r="CS646"/>
      <c r="CT646"/>
    </row>
    <row r="647" spans="1:98" x14ac:dyDescent="0.4">
      <c r="A647" s="2" t="s">
        <v>671</v>
      </c>
      <c r="B647" t="str">
        <f>_xlfn.TEXTAFTER(Table1[[#This Row],[VEHIDCODE]],"_")</f>
        <v>Croatia_HZ_6112</v>
      </c>
      <c r="C647" t="s">
        <v>744</v>
      </c>
      <c r="D647" t="b">
        <f>OR(ISNUMBER(SEARCH("wagon_",Table1[[#This Row],[FILENAMES_EXPECTED]])),ISNUMBER(SEARCH("coach_",Table1[[#This Row],[FILENAMES_EXPECTED]])))</f>
        <v>0</v>
      </c>
      <c r="E647" t="str">
        <f>"item_"&amp;Table1[[#This Row],[VEHIDCODE]]</f>
        <v>item_emu_Croatia_HZ_6112</v>
      </c>
      <c r="F647" t="str">
        <f>"str_"&amp;Table1[[#This Row],[VEHIDCODE]]</f>
        <v>str_emu_Croatia_HZ_6112</v>
      </c>
      <c r="Z647" t="b">
        <v>1</v>
      </c>
      <c r="AJ647" s="2"/>
      <c r="AK647" s="2" t="b">
        <f>LEN(_xlfn.CONCAT(Table1[[#This Row],[TRACK_TYPE_STANDARD_GAUGE_RAILTYPE_OHLE]:[TRACK_TYPE_MTRO]]))&gt;0</f>
        <v>1</v>
      </c>
      <c r="AL647">
        <v>8</v>
      </c>
      <c r="AM647" t="s">
        <v>18</v>
      </c>
      <c r="AN647">
        <v>1</v>
      </c>
      <c r="AO647" t="s">
        <v>74</v>
      </c>
      <c r="AP647">
        <v>60</v>
      </c>
      <c r="AQ647">
        <v>2015</v>
      </c>
      <c r="AR647">
        <v>8</v>
      </c>
      <c r="AS647" s="2" t="s">
        <v>24</v>
      </c>
      <c r="AT647" t="b">
        <v>1</v>
      </c>
      <c r="AU647" t="b">
        <v>1</v>
      </c>
      <c r="AV647" s="2"/>
      <c r="AW647" t="s">
        <v>21</v>
      </c>
      <c r="AX647">
        <v>1</v>
      </c>
      <c r="AY647">
        <v>2700</v>
      </c>
      <c r="AZ647" t="s">
        <v>709</v>
      </c>
      <c r="BA647">
        <v>160</v>
      </c>
      <c r="BB647" s="2">
        <v>0.47</v>
      </c>
      <c r="BC647" t="s">
        <v>929</v>
      </c>
      <c r="BD647" t="s">
        <v>922</v>
      </c>
      <c r="BE647" t="s">
        <v>940</v>
      </c>
      <c r="BF647" s="7">
        <v>40</v>
      </c>
      <c r="BG6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47">
        <v>0</v>
      </c>
      <c r="BI647" t="s">
        <v>734</v>
      </c>
      <c r="BJ647" s="11">
        <v>60</v>
      </c>
      <c r="BK647" s="11">
        <v>8</v>
      </c>
      <c r="BL647" s="11">
        <v>43</v>
      </c>
      <c r="BM647">
        <v>0</v>
      </c>
      <c r="BN647" t="s">
        <v>692</v>
      </c>
      <c r="BO647" t="s">
        <v>694</v>
      </c>
      <c r="BP647" t="s">
        <v>701</v>
      </c>
      <c r="BQ647" t="s">
        <v>705</v>
      </c>
      <c r="BR647" t="s">
        <v>706</v>
      </c>
      <c r="BS647" t="s">
        <v>707</v>
      </c>
      <c r="CR647"/>
      <c r="CS647"/>
      <c r="CT647"/>
    </row>
    <row r="648" spans="1:98" x14ac:dyDescent="0.4">
      <c r="A648" s="2" t="s">
        <v>672</v>
      </c>
      <c r="B648" t="str">
        <f>_xlfn.TEXTAFTER(Table1[[#This Row],[VEHIDCODE]],"_")</f>
        <v>Russia_RZD_ES1_Lastochka</v>
      </c>
      <c r="C648" t="s">
        <v>744</v>
      </c>
      <c r="D648" t="b">
        <f>OR(ISNUMBER(SEARCH("wagon_",Table1[[#This Row],[FILENAMES_EXPECTED]])),ISNUMBER(SEARCH("coach_",Table1[[#This Row],[FILENAMES_EXPECTED]])))</f>
        <v>0</v>
      </c>
      <c r="E648" t="str">
        <f>"item_"&amp;Table1[[#This Row],[VEHIDCODE]]</f>
        <v>item_emu_Russia_RZD_ES1_Lastochka</v>
      </c>
      <c r="F648" t="str">
        <f>"str_"&amp;Table1[[#This Row],[VEHIDCODE]]</f>
        <v>str_emu_Russia_RZD_ES1_Lastochka</v>
      </c>
      <c r="Y648" t="b">
        <v>1</v>
      </c>
      <c r="AJ648" s="2"/>
      <c r="AK648" s="2" t="b">
        <f>LEN(_xlfn.CONCAT(Table1[[#This Row],[TRACK_TYPE_STANDARD_GAUGE_RAILTYPE_OHLE]:[TRACK_TYPE_MTRO]]))&gt;0</f>
        <v>1</v>
      </c>
      <c r="AL648">
        <v>8</v>
      </c>
      <c r="AM648" t="s">
        <v>18</v>
      </c>
      <c r="AN648">
        <v>1</v>
      </c>
      <c r="AO648" t="s">
        <v>74</v>
      </c>
      <c r="AP648">
        <v>88</v>
      </c>
      <c r="AQ648">
        <v>2011</v>
      </c>
      <c r="AR648">
        <v>8</v>
      </c>
      <c r="AS648" s="2" t="s">
        <v>24</v>
      </c>
      <c r="AT648" t="b">
        <v>1</v>
      </c>
      <c r="AU648" t="b">
        <v>1</v>
      </c>
      <c r="AV648" s="2"/>
      <c r="AW648" t="s">
        <v>21</v>
      </c>
      <c r="AX648">
        <v>1</v>
      </c>
      <c r="AY648">
        <v>3400</v>
      </c>
      <c r="AZ648" t="s">
        <v>709</v>
      </c>
      <c r="BA648">
        <v>160</v>
      </c>
      <c r="BB648" s="2">
        <v>0.54</v>
      </c>
      <c r="BC648" t="s">
        <v>931</v>
      </c>
      <c r="BD648" t="s">
        <v>922</v>
      </c>
      <c r="BE648" t="s">
        <v>940</v>
      </c>
      <c r="BF648" s="7">
        <v>40</v>
      </c>
      <c r="BG6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H648">
        <v>0</v>
      </c>
      <c r="BI648" t="s">
        <v>734</v>
      </c>
      <c r="BJ648" s="11">
        <v>88</v>
      </c>
      <c r="BK648" s="11">
        <v>8</v>
      </c>
      <c r="BL648" s="11">
        <v>56</v>
      </c>
      <c r="BM648">
        <v>0</v>
      </c>
      <c r="BN648" t="s">
        <v>692</v>
      </c>
      <c r="BO648" t="s">
        <v>694</v>
      </c>
      <c r="BP648" t="s">
        <v>701</v>
      </c>
      <c r="BQ648" t="s">
        <v>705</v>
      </c>
      <c r="BR648" t="s">
        <v>706</v>
      </c>
      <c r="BS648" t="s">
        <v>707</v>
      </c>
      <c r="CR648"/>
      <c r="CS648"/>
      <c r="CT648"/>
    </row>
    <row r="649" spans="1:98" x14ac:dyDescent="0.4">
      <c r="A649" s="2" t="s">
        <v>764</v>
      </c>
      <c r="B649" t="str">
        <f>_xlfn.TEXTAFTER(Table1[[#This Row],[VEHIDCODE]],"_")</f>
        <v>Metro_Wagon_Powered</v>
      </c>
      <c r="C649" t="s">
        <v>919</v>
      </c>
      <c r="D649" t="b">
        <f>OR(ISNUMBER(SEARCH("wagon_",Table1[[#This Row],[FILENAMES_EXPECTED]])),ISNUMBER(SEARCH("coach_",Table1[[#This Row],[FILENAMES_EXPECTED]])))</f>
        <v>1</v>
      </c>
      <c r="E649" t="str">
        <f>"item_"&amp;Table1[[#This Row],[VEHIDCODE]]</f>
        <v>item_mtro_Metro_Wagon_Powered</v>
      </c>
      <c r="F649" t="str">
        <f>"str_"&amp;Table1[[#This Row],[VEHIDCODE]]</f>
        <v>str_mtro_Metro_Wagon_Powered</v>
      </c>
      <c r="L649" t="b">
        <v>1</v>
      </c>
      <c r="M649" t="b">
        <v>1</v>
      </c>
      <c r="U649" t="b">
        <v>1</v>
      </c>
      <c r="V649" t="b">
        <v>1</v>
      </c>
      <c r="AD649" t="b">
        <v>1</v>
      </c>
      <c r="AE649" t="b">
        <v>1</v>
      </c>
      <c r="AJ649" s="2"/>
      <c r="AK649" s="2" t="b">
        <f>LEN(_xlfn.CONCAT(Table1[[#This Row],[TRACK_TYPE_STANDARD_GAUGE_RAILTYPE_OHLE]:[TRACK_TYPE_MTRO]]))&gt;0</f>
        <v>1</v>
      </c>
      <c r="AL649">
        <v>8</v>
      </c>
      <c r="AM649" t="s">
        <v>326</v>
      </c>
      <c r="AN649">
        <v>0</v>
      </c>
      <c r="AO649" t="s">
        <v>19</v>
      </c>
      <c r="AP649">
        <v>1</v>
      </c>
      <c r="AQ649">
        <v>1900</v>
      </c>
      <c r="AR649">
        <v>8</v>
      </c>
      <c r="AS649" s="2" t="s">
        <v>20</v>
      </c>
      <c r="AT649" t="b">
        <v>1</v>
      </c>
      <c r="AV649" s="2"/>
      <c r="AW649" t="s">
        <v>21</v>
      </c>
      <c r="AX649">
        <v>1</v>
      </c>
      <c r="AY649">
        <v>0</v>
      </c>
      <c r="AZ649" t="s">
        <v>709</v>
      </c>
      <c r="BA649">
        <v>0</v>
      </c>
      <c r="BB649" s="2">
        <v>0.3</v>
      </c>
      <c r="BC649" t="s">
        <v>936</v>
      </c>
      <c r="BD649" t="s">
        <v>922</v>
      </c>
      <c r="BE649" t="s">
        <v>940</v>
      </c>
      <c r="BF649" s="7">
        <v>60</v>
      </c>
      <c r="BG6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49">
        <v>0</v>
      </c>
      <c r="BI649" t="s">
        <v>734</v>
      </c>
      <c r="BJ649" s="11"/>
      <c r="BK649" s="11"/>
      <c r="BL649" s="11">
        <v>0</v>
      </c>
      <c r="BM649">
        <v>0</v>
      </c>
      <c r="BN649" t="s">
        <v>692</v>
      </c>
      <c r="BO649" t="s">
        <v>694</v>
      </c>
      <c r="BP649" t="s">
        <v>701</v>
      </c>
      <c r="BQ649" t="s">
        <v>705</v>
      </c>
      <c r="BR649" t="s">
        <v>706</v>
      </c>
      <c r="BS649" t="s">
        <v>707</v>
      </c>
      <c r="CR649"/>
      <c r="CS649"/>
      <c r="CT649"/>
    </row>
    <row r="650" spans="1:98" x14ac:dyDescent="0.4">
      <c r="A650" s="2" t="s">
        <v>763</v>
      </c>
      <c r="B650" t="str">
        <f>_xlfn.TEXTAFTER(Table1[[#This Row],[VEHIDCODE]],"_")</f>
        <v>Metro_Wagon_Unpowered</v>
      </c>
      <c r="C650" t="s">
        <v>919</v>
      </c>
      <c r="D650" t="b">
        <f>OR(ISNUMBER(SEARCH("wagon_",Table1[[#This Row],[FILENAMES_EXPECTED]])),ISNUMBER(SEARCH("coach_",Table1[[#This Row],[FILENAMES_EXPECTED]])))</f>
        <v>1</v>
      </c>
      <c r="E650" t="str">
        <f>"item_"&amp;Table1[[#This Row],[VEHIDCODE]]</f>
        <v>item_mtro_Metro_Wagon_Unpowered</v>
      </c>
      <c r="F650" t="str">
        <f>"str_"&amp;Table1[[#This Row],[VEHIDCODE]]</f>
        <v>str_mtro_Metro_Wagon_Unpowered</v>
      </c>
      <c r="L650" t="b">
        <v>1</v>
      </c>
      <c r="M650" t="b">
        <v>1</v>
      </c>
      <c r="U650" t="b">
        <v>1</v>
      </c>
      <c r="V650" t="b">
        <v>1</v>
      </c>
      <c r="AD650" t="b">
        <v>1</v>
      </c>
      <c r="AE650" t="b">
        <v>1</v>
      </c>
      <c r="AJ650" s="2"/>
      <c r="AK650" s="2" t="b">
        <f>LEN(_xlfn.CONCAT(Table1[[#This Row],[TRACK_TYPE_STANDARD_GAUGE_RAILTYPE_OHLE]:[TRACK_TYPE_MTRO]]))&gt;0</f>
        <v>1</v>
      </c>
      <c r="AL650">
        <v>8</v>
      </c>
      <c r="AM650" t="s">
        <v>326</v>
      </c>
      <c r="AN650">
        <v>0</v>
      </c>
      <c r="AO650" t="s">
        <v>19</v>
      </c>
      <c r="AP650">
        <v>1</v>
      </c>
      <c r="AQ650">
        <v>1900</v>
      </c>
      <c r="AR650">
        <v>8</v>
      </c>
      <c r="AS650" s="2" t="s">
        <v>20</v>
      </c>
      <c r="AT650" t="b">
        <v>1</v>
      </c>
      <c r="AV650" s="2"/>
      <c r="AW650" t="s">
        <v>21</v>
      </c>
      <c r="AX650">
        <v>1</v>
      </c>
      <c r="AY650">
        <v>0</v>
      </c>
      <c r="AZ650" t="s">
        <v>709</v>
      </c>
      <c r="BA650">
        <v>0</v>
      </c>
      <c r="BB650" s="2">
        <v>0.3</v>
      </c>
      <c r="BC650" t="s">
        <v>936</v>
      </c>
      <c r="BD650" t="s">
        <v>922</v>
      </c>
      <c r="BE650" t="s">
        <v>940</v>
      </c>
      <c r="BF650" s="7">
        <v>60</v>
      </c>
      <c r="BG6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50">
        <v>0</v>
      </c>
      <c r="BI650" t="s">
        <v>734</v>
      </c>
      <c r="BJ650" s="11"/>
      <c r="BK650" s="11"/>
      <c r="BL650" s="11">
        <v>0</v>
      </c>
      <c r="BM650">
        <v>0</v>
      </c>
      <c r="BN650" t="s">
        <v>692</v>
      </c>
      <c r="BO650" t="s">
        <v>694</v>
      </c>
      <c r="BP650" t="s">
        <v>701</v>
      </c>
      <c r="BQ650" t="s">
        <v>705</v>
      </c>
      <c r="BR650" t="s">
        <v>706</v>
      </c>
      <c r="BS650" t="s">
        <v>707</v>
      </c>
      <c r="CR650"/>
      <c r="CS650"/>
      <c r="CT650"/>
    </row>
    <row r="651" spans="1:98" x14ac:dyDescent="0.4">
      <c r="A651" s="2" t="s">
        <v>765</v>
      </c>
      <c r="B651" t="str">
        <f>_xlfn.TEXTAFTER(Table1[[#This Row],[VEHIDCODE]],"_")</f>
        <v>MU_Cargo_Wagon_Powered</v>
      </c>
      <c r="C651" t="s">
        <v>919</v>
      </c>
      <c r="D651" t="b">
        <f>OR(ISNUMBER(SEARCH("wagon_",Table1[[#This Row],[FILENAMES_EXPECTED]])),ISNUMBER(SEARCH("coach_",Table1[[#This Row],[FILENAMES_EXPECTED]])))</f>
        <v>1</v>
      </c>
      <c r="E651" t="str">
        <f>"item_"&amp;Table1[[#This Row],[VEHIDCODE]]</f>
        <v>item_mu_MU_Cargo_Wagon_Powered</v>
      </c>
      <c r="F651" t="str">
        <f>"str_"&amp;Table1[[#This Row],[VEHIDCODE]]</f>
        <v>str_mu_MU_Cargo_Wagon_Powered</v>
      </c>
      <c r="O651" s="2" t="b">
        <v>1</v>
      </c>
      <c r="X651" s="2" t="b">
        <v>1</v>
      </c>
      <c r="AG651" s="2" t="b">
        <v>1</v>
      </c>
      <c r="AJ651" s="2"/>
      <c r="AK651" s="2" t="b">
        <f>LEN(_xlfn.CONCAT(Table1[[#This Row],[TRACK_TYPE_STANDARD_GAUGE_RAILTYPE_OHLE]:[TRACK_TYPE_MTRO]]))&gt;0</f>
        <v>1</v>
      </c>
      <c r="AL651">
        <v>8</v>
      </c>
      <c r="AM651" t="s">
        <v>533</v>
      </c>
      <c r="AN651">
        <v>0</v>
      </c>
      <c r="AO651" t="s">
        <v>35</v>
      </c>
      <c r="AP651">
        <v>1</v>
      </c>
      <c r="AQ651">
        <v>1992</v>
      </c>
      <c r="AR651">
        <v>8</v>
      </c>
      <c r="AS651" s="2" t="s">
        <v>20</v>
      </c>
      <c r="AT651" t="b">
        <v>1</v>
      </c>
      <c r="AV651" s="2"/>
      <c r="AW651" t="s">
        <v>21</v>
      </c>
      <c r="AX651">
        <v>0</v>
      </c>
      <c r="AY651">
        <v>0</v>
      </c>
      <c r="AZ651" t="s">
        <v>711</v>
      </c>
      <c r="BA651">
        <v>0</v>
      </c>
      <c r="BB651" s="2">
        <v>0.3</v>
      </c>
      <c r="BC651" t="s">
        <v>936</v>
      </c>
      <c r="BD651" t="s">
        <v>922</v>
      </c>
      <c r="BE651" t="s">
        <v>940</v>
      </c>
      <c r="BF651" s="7">
        <v>60</v>
      </c>
      <c r="BG6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51">
        <v>0</v>
      </c>
      <c r="BI651" t="s">
        <v>734</v>
      </c>
      <c r="BJ651" s="11"/>
      <c r="BK651" s="11"/>
      <c r="BL651" s="11">
        <v>0</v>
      </c>
      <c r="BM651">
        <v>0</v>
      </c>
      <c r="BN651" t="s">
        <v>692</v>
      </c>
      <c r="BO651" t="s">
        <v>694</v>
      </c>
      <c r="BP651" t="s">
        <v>701</v>
      </c>
      <c r="BQ651" t="s">
        <v>705</v>
      </c>
      <c r="BR651" t="s">
        <v>706</v>
      </c>
      <c r="BS651" t="s">
        <v>707</v>
      </c>
      <c r="CR651"/>
      <c r="CS651"/>
      <c r="CT651"/>
    </row>
    <row r="652" spans="1:98" x14ac:dyDescent="0.4">
      <c r="A652" s="2" t="s">
        <v>766</v>
      </c>
      <c r="B652" t="str">
        <f>_xlfn.TEXTAFTER(Table1[[#This Row],[VEHIDCODE]],"_")</f>
        <v>MU_Cargo_Wagon_Unpowered</v>
      </c>
      <c r="C652" t="s">
        <v>919</v>
      </c>
      <c r="D652" t="b">
        <f>OR(ISNUMBER(SEARCH("wagon_",Table1[[#This Row],[FILENAMES_EXPECTED]])),ISNUMBER(SEARCH("coach_",Table1[[#This Row],[FILENAMES_EXPECTED]])))</f>
        <v>1</v>
      </c>
      <c r="E652" t="str">
        <f>"item_"&amp;Table1[[#This Row],[VEHIDCODE]]</f>
        <v>item_mu_MU_Cargo_Wagon_Unpowered</v>
      </c>
      <c r="F652" t="str">
        <f>"str_"&amp;Table1[[#This Row],[VEHIDCODE]]</f>
        <v>str_mu_MU_Cargo_Wagon_Unpowered</v>
      </c>
      <c r="O652" s="2" t="b">
        <v>1</v>
      </c>
      <c r="X652" s="2" t="b">
        <v>1</v>
      </c>
      <c r="AG652" s="2" t="b">
        <v>1</v>
      </c>
      <c r="AJ652" s="2"/>
      <c r="AK652" s="2" t="b">
        <f>LEN(_xlfn.CONCAT(Table1[[#This Row],[TRACK_TYPE_STANDARD_GAUGE_RAILTYPE_OHLE]:[TRACK_TYPE_MTRO]]))&gt;0</f>
        <v>1</v>
      </c>
      <c r="AL652">
        <v>8</v>
      </c>
      <c r="AM652" t="s">
        <v>533</v>
      </c>
      <c r="AN652">
        <v>0</v>
      </c>
      <c r="AO652" t="s">
        <v>35</v>
      </c>
      <c r="AP652">
        <v>1</v>
      </c>
      <c r="AQ652">
        <v>1992</v>
      </c>
      <c r="AR652">
        <v>8</v>
      </c>
      <c r="AS652" s="2" t="s">
        <v>20</v>
      </c>
      <c r="AT652" t="b">
        <v>1</v>
      </c>
      <c r="AV652" s="2"/>
      <c r="AW652" t="s">
        <v>21</v>
      </c>
      <c r="AX652">
        <v>0</v>
      </c>
      <c r="AY652">
        <v>0</v>
      </c>
      <c r="AZ652" t="s">
        <v>711</v>
      </c>
      <c r="BA652">
        <v>0</v>
      </c>
      <c r="BB652" s="2">
        <v>0.3</v>
      </c>
      <c r="BC652" t="s">
        <v>936</v>
      </c>
      <c r="BD652" t="s">
        <v>922</v>
      </c>
      <c r="BE652" t="s">
        <v>940</v>
      </c>
      <c r="BF652" s="7">
        <v>60</v>
      </c>
      <c r="BG6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52">
        <v>0</v>
      </c>
      <c r="BI652" t="s">
        <v>734</v>
      </c>
      <c r="BJ652" s="11"/>
      <c r="BK652" s="11"/>
      <c r="BL652" s="11">
        <v>0</v>
      </c>
      <c r="BM652">
        <v>0</v>
      </c>
      <c r="BN652" t="s">
        <v>692</v>
      </c>
      <c r="BO652" t="s">
        <v>694</v>
      </c>
      <c r="BP652" t="s">
        <v>701</v>
      </c>
      <c r="BQ652" t="s">
        <v>705</v>
      </c>
      <c r="BR652" t="s">
        <v>706</v>
      </c>
      <c r="BS652" t="s">
        <v>707</v>
      </c>
      <c r="CR652"/>
      <c r="CS652"/>
      <c r="CT652"/>
    </row>
    <row r="653" spans="1:98" x14ac:dyDescent="0.4">
      <c r="A653" s="2" t="s">
        <v>767</v>
      </c>
      <c r="B653" t="str">
        <f>_xlfn.TEXTAFTER(Table1[[#This Row],[VEHIDCODE]],"_")</f>
        <v>MU_Wagon_Powered</v>
      </c>
      <c r="C653" t="s">
        <v>919</v>
      </c>
      <c r="D653" t="b">
        <f>OR(ISNUMBER(SEARCH("wagon_",Table1[[#This Row],[FILENAMES_EXPECTED]])),ISNUMBER(SEARCH("coach_",Table1[[#This Row],[FILENAMES_EXPECTED]])))</f>
        <v>1</v>
      </c>
      <c r="E653" t="str">
        <f>"item_"&amp;Table1[[#This Row],[VEHIDCODE]]</f>
        <v>item_mu_MU_Wagon_Powered</v>
      </c>
      <c r="F653" t="str">
        <f>"str_"&amp;Table1[[#This Row],[VEHIDCODE]]</f>
        <v>str_mu_MU_Wagon_Powered</v>
      </c>
      <c r="O653" s="2" t="b">
        <v>1</v>
      </c>
      <c r="X653" s="2" t="b">
        <v>1</v>
      </c>
      <c r="AG653" s="2" t="b">
        <v>1</v>
      </c>
      <c r="AJ653" s="2"/>
      <c r="AK653" s="2" t="b">
        <f>LEN(_xlfn.CONCAT(Table1[[#This Row],[TRACK_TYPE_STANDARD_GAUGE_RAILTYPE_OHLE]:[TRACK_TYPE_MTRO]]))&gt;0</f>
        <v>1</v>
      </c>
      <c r="AL653">
        <v>8</v>
      </c>
      <c r="AM653" t="s">
        <v>18</v>
      </c>
      <c r="AN653">
        <v>0</v>
      </c>
      <c r="AO653" t="s">
        <v>35</v>
      </c>
      <c r="AP653">
        <v>1</v>
      </c>
      <c r="AQ653">
        <v>1908</v>
      </c>
      <c r="AR653">
        <v>8</v>
      </c>
      <c r="AS653" s="2" t="s">
        <v>20</v>
      </c>
      <c r="AT653" t="b">
        <v>1</v>
      </c>
      <c r="AV653" s="2"/>
      <c r="AW653" t="s">
        <v>21</v>
      </c>
      <c r="AX653">
        <v>1</v>
      </c>
      <c r="AY653">
        <v>0</v>
      </c>
      <c r="AZ653" t="s">
        <v>711</v>
      </c>
      <c r="BA653">
        <v>0</v>
      </c>
      <c r="BB653" s="2">
        <v>0.3</v>
      </c>
      <c r="BC653" t="s">
        <v>936</v>
      </c>
      <c r="BD653" t="s">
        <v>922</v>
      </c>
      <c r="BE653" t="s">
        <v>940</v>
      </c>
      <c r="BF653" s="7">
        <v>60</v>
      </c>
      <c r="BG6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53">
        <v>0</v>
      </c>
      <c r="BI653" t="s">
        <v>734</v>
      </c>
      <c r="BJ653" s="11"/>
      <c r="BK653" s="11"/>
      <c r="BL653" s="11">
        <v>0</v>
      </c>
      <c r="BM653">
        <v>0</v>
      </c>
      <c r="BN653" t="s">
        <v>692</v>
      </c>
      <c r="BO653" t="s">
        <v>694</v>
      </c>
      <c r="BP653" t="s">
        <v>701</v>
      </c>
      <c r="BQ653" t="s">
        <v>705</v>
      </c>
      <c r="BR653" t="s">
        <v>706</v>
      </c>
      <c r="BS653" t="s">
        <v>707</v>
      </c>
      <c r="CR653"/>
      <c r="CS653"/>
      <c r="CT653"/>
    </row>
    <row r="654" spans="1:98" x14ac:dyDescent="0.4">
      <c r="A654" s="2" t="s">
        <v>768</v>
      </c>
      <c r="B654" t="str">
        <f>_xlfn.TEXTAFTER(Table1[[#This Row],[VEHIDCODE]],"_")</f>
        <v>MU_Wagon_Unpowered</v>
      </c>
      <c r="C654" t="s">
        <v>919</v>
      </c>
      <c r="D654" t="b">
        <f>OR(ISNUMBER(SEARCH("wagon_",Table1[[#This Row],[FILENAMES_EXPECTED]])),ISNUMBER(SEARCH("coach_",Table1[[#This Row],[FILENAMES_EXPECTED]])))</f>
        <v>1</v>
      </c>
      <c r="E654" t="str">
        <f>"item_"&amp;Table1[[#This Row],[VEHIDCODE]]</f>
        <v>item_mu_MU_Wagon_Unpowered</v>
      </c>
      <c r="F654" t="str">
        <f>"str_"&amp;Table1[[#This Row],[VEHIDCODE]]</f>
        <v>str_mu_MU_Wagon_Unpowered</v>
      </c>
      <c r="O654" s="2" t="b">
        <v>1</v>
      </c>
      <c r="X654" s="2" t="b">
        <v>1</v>
      </c>
      <c r="AG654" s="2" t="b">
        <v>1</v>
      </c>
      <c r="AJ654" s="2"/>
      <c r="AK654" s="2" t="b">
        <f>LEN(_xlfn.CONCAT(Table1[[#This Row],[TRACK_TYPE_STANDARD_GAUGE_RAILTYPE_OHLE]:[TRACK_TYPE_MTRO]]))&gt;0</f>
        <v>1</v>
      </c>
      <c r="AL654">
        <v>8</v>
      </c>
      <c r="AM654" t="s">
        <v>18</v>
      </c>
      <c r="AN654">
        <v>0</v>
      </c>
      <c r="AO654" t="s">
        <v>35</v>
      </c>
      <c r="AP654">
        <v>1</v>
      </c>
      <c r="AQ654">
        <v>1908</v>
      </c>
      <c r="AR654">
        <v>8</v>
      </c>
      <c r="AS654" s="2" t="s">
        <v>20</v>
      </c>
      <c r="AT654" t="b">
        <v>1</v>
      </c>
      <c r="AV654" s="2"/>
      <c r="AW654" t="s">
        <v>21</v>
      </c>
      <c r="AX654">
        <v>1</v>
      </c>
      <c r="AY654">
        <v>0</v>
      </c>
      <c r="AZ654" t="s">
        <v>711</v>
      </c>
      <c r="BA654">
        <v>0</v>
      </c>
      <c r="BB654" s="2">
        <v>0.3</v>
      </c>
      <c r="BC654" t="s">
        <v>936</v>
      </c>
      <c r="BD654" t="s">
        <v>922</v>
      </c>
      <c r="BE654" t="s">
        <v>940</v>
      </c>
      <c r="BF654" s="7">
        <v>60</v>
      </c>
      <c r="BG6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54">
        <v>0</v>
      </c>
      <c r="BI654" t="s">
        <v>734</v>
      </c>
      <c r="BJ654" s="11"/>
      <c r="BK654" s="11"/>
      <c r="BL654" s="11">
        <v>0</v>
      </c>
      <c r="BM654">
        <v>0</v>
      </c>
      <c r="BN654" t="s">
        <v>692</v>
      </c>
      <c r="BO654" t="s">
        <v>694</v>
      </c>
      <c r="BP654" t="s">
        <v>701</v>
      </c>
      <c r="BQ654" t="s">
        <v>705</v>
      </c>
      <c r="BR654" t="s">
        <v>706</v>
      </c>
      <c r="BS654" t="s">
        <v>707</v>
      </c>
      <c r="CR654"/>
      <c r="CS654"/>
      <c r="CT654"/>
    </row>
    <row r="655" spans="1:98" x14ac:dyDescent="0.4">
      <c r="A655" s="2" t="s">
        <v>770</v>
      </c>
      <c r="B655" t="str">
        <f>_xlfn.TEXTAFTER(Table1[[#This Row],[VEHIDCODE]],"_")</f>
        <v>Wagon_Gen1_Flat_Wagon</v>
      </c>
      <c r="C655" t="s">
        <v>748</v>
      </c>
      <c r="D655" t="b">
        <f>OR(ISNUMBER(SEARCH("wagon_",Table1[[#This Row],[FILENAMES_EXPECTED]])),ISNUMBER(SEARCH("coach_",Table1[[#This Row],[FILENAMES_EXPECTED]])))</f>
        <v>1</v>
      </c>
      <c r="E655" t="str">
        <f>"item_"&amp;Table1[[#This Row],[VEHIDCODE]]</f>
        <v>item_mu_Wagon_Gen1_Flat_Wagon</v>
      </c>
      <c r="F655" t="str">
        <f>"str_"&amp;Table1[[#This Row],[VEHIDCODE]]</f>
        <v>str_mu_Wagon_Gen1_Flat_Wagon</v>
      </c>
      <c r="O655" s="2" t="b">
        <v>1</v>
      </c>
      <c r="X655" s="2" t="b">
        <v>1</v>
      </c>
      <c r="AG655" s="2" t="b">
        <v>1</v>
      </c>
      <c r="AJ655" s="2"/>
      <c r="AK655" s="2" t="b">
        <f>LEN(_xlfn.CONCAT(Table1[[#This Row],[TRACK_TYPE_STANDARD_GAUGE_RAILTYPE_OHLE]:[TRACK_TYPE_MTRO]]))&gt;0</f>
        <v>1</v>
      </c>
      <c r="AL655">
        <v>4</v>
      </c>
      <c r="AM655" t="s">
        <v>604</v>
      </c>
      <c r="AN655">
        <v>0</v>
      </c>
      <c r="AO655" t="s">
        <v>35</v>
      </c>
      <c r="AP655">
        <v>20</v>
      </c>
      <c r="AQ655">
        <v>1830</v>
      </c>
      <c r="AR655">
        <v>4</v>
      </c>
      <c r="AS655" s="2" t="s">
        <v>33</v>
      </c>
      <c r="AT655" t="b">
        <v>1</v>
      </c>
      <c r="AV655" s="2" t="b">
        <v>1</v>
      </c>
      <c r="AW655">
        <v>90</v>
      </c>
      <c r="AX655">
        <v>0</v>
      </c>
      <c r="AY655">
        <v>0</v>
      </c>
      <c r="AZ655" t="s">
        <v>711</v>
      </c>
      <c r="BA655">
        <v>55</v>
      </c>
      <c r="BB655" s="2">
        <v>0.3</v>
      </c>
      <c r="BC655" t="s">
        <v>936</v>
      </c>
      <c r="BD655" t="s">
        <v>922</v>
      </c>
      <c r="BE655" t="s">
        <v>940</v>
      </c>
      <c r="BF655" s="7">
        <v>25</v>
      </c>
      <c r="BG6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55">
        <v>0</v>
      </c>
      <c r="BI655" t="s">
        <v>734</v>
      </c>
      <c r="BJ655" s="11"/>
      <c r="BK655" s="11"/>
      <c r="BL655" s="11">
        <v>5</v>
      </c>
      <c r="BM655">
        <v>0</v>
      </c>
      <c r="BN655" t="s">
        <v>692</v>
      </c>
      <c r="BO655" t="s">
        <v>694</v>
      </c>
      <c r="BP655" t="s">
        <v>701</v>
      </c>
      <c r="BQ655" t="s">
        <v>705</v>
      </c>
      <c r="BR655" t="s">
        <v>706</v>
      </c>
      <c r="BS655" t="s">
        <v>707</v>
      </c>
      <c r="CR655"/>
      <c r="CS655"/>
      <c r="CT655"/>
    </row>
    <row r="656" spans="1:98" x14ac:dyDescent="0.4">
      <c r="A656" s="2" t="s">
        <v>771</v>
      </c>
      <c r="B656" t="str">
        <f>_xlfn.TEXTAFTER(Table1[[#This Row],[VEHIDCODE]],"_")</f>
        <v>Wagon_Gen1_Boxcar</v>
      </c>
      <c r="C656" t="s">
        <v>748</v>
      </c>
      <c r="D656" t="b">
        <f>OR(ISNUMBER(SEARCH("wagon_",Table1[[#This Row],[FILENAMES_EXPECTED]])),ISNUMBER(SEARCH("coach_",Table1[[#This Row],[FILENAMES_EXPECTED]])))</f>
        <v>1</v>
      </c>
      <c r="E656" t="str">
        <f>"item_"&amp;Table1[[#This Row],[VEHIDCODE]]</f>
        <v>item_mu_Wagon_Gen1_Boxcar</v>
      </c>
      <c r="F656" t="str">
        <f>"str_"&amp;Table1[[#This Row],[VEHIDCODE]]</f>
        <v>str_mu_Wagon_Gen1_Boxcar</v>
      </c>
      <c r="O656" s="2" t="b">
        <v>1</v>
      </c>
      <c r="X656" s="2" t="b">
        <v>1</v>
      </c>
      <c r="AG656" s="2" t="b">
        <v>1</v>
      </c>
      <c r="AJ656" s="2"/>
      <c r="AK656" s="2" t="b">
        <f>LEN(_xlfn.CONCAT(Table1[[#This Row],[TRACK_TYPE_STANDARD_GAUGE_RAILTYPE_OHLE]:[TRACK_TYPE_MTRO]]))&gt;0</f>
        <v>1</v>
      </c>
      <c r="AL656">
        <v>4</v>
      </c>
      <c r="AM656" t="s">
        <v>600</v>
      </c>
      <c r="AN656">
        <v>0</v>
      </c>
      <c r="AO656" t="s">
        <v>35</v>
      </c>
      <c r="AP656">
        <v>20</v>
      </c>
      <c r="AQ656">
        <v>1830</v>
      </c>
      <c r="AR656">
        <v>4</v>
      </c>
      <c r="AS656" s="2" t="s">
        <v>33</v>
      </c>
      <c r="AT656" t="b">
        <v>1</v>
      </c>
      <c r="AV656" s="2" t="b">
        <v>1</v>
      </c>
      <c r="AW656">
        <v>90</v>
      </c>
      <c r="AX656">
        <v>0</v>
      </c>
      <c r="AY656">
        <v>0</v>
      </c>
      <c r="AZ656" t="s">
        <v>711</v>
      </c>
      <c r="BA656">
        <v>55</v>
      </c>
      <c r="BB656" s="2">
        <v>0.3</v>
      </c>
      <c r="BC656" t="s">
        <v>936</v>
      </c>
      <c r="BD656" t="s">
        <v>922</v>
      </c>
      <c r="BE656" t="s">
        <v>940</v>
      </c>
      <c r="BF656" s="7">
        <v>25</v>
      </c>
      <c r="BG6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56">
        <v>0</v>
      </c>
      <c r="BI656" t="s">
        <v>734</v>
      </c>
      <c r="BJ656" s="11"/>
      <c r="BK656" s="11"/>
      <c r="BL656" s="11">
        <v>6</v>
      </c>
      <c r="BM656">
        <v>0</v>
      </c>
      <c r="BN656" t="s">
        <v>692</v>
      </c>
      <c r="BO656" t="s">
        <v>694</v>
      </c>
      <c r="BP656" t="s">
        <v>701</v>
      </c>
      <c r="BQ656" t="s">
        <v>705</v>
      </c>
      <c r="BR656" t="s">
        <v>706</v>
      </c>
      <c r="BS656" t="s">
        <v>707</v>
      </c>
      <c r="CR656"/>
      <c r="CS656"/>
      <c r="CT656"/>
    </row>
    <row r="657" spans="1:98" x14ac:dyDescent="0.4">
      <c r="A657" s="2" t="s">
        <v>772</v>
      </c>
      <c r="B657" t="str">
        <f>_xlfn.TEXTAFTER(Table1[[#This Row],[VEHIDCODE]],"_")</f>
        <v>Wagon_Gen1_Tanker</v>
      </c>
      <c r="C657" t="s">
        <v>748</v>
      </c>
      <c r="D657" t="b">
        <f>OR(ISNUMBER(SEARCH("wagon_",Table1[[#This Row],[FILENAMES_EXPECTED]])),ISNUMBER(SEARCH("coach_",Table1[[#This Row],[FILENAMES_EXPECTED]])))</f>
        <v>1</v>
      </c>
      <c r="E657" t="str">
        <f>"item_"&amp;Table1[[#This Row],[VEHIDCODE]]</f>
        <v>item_mu_Wagon_Gen1_Tanker</v>
      </c>
      <c r="F657" t="str">
        <f>"str_"&amp;Table1[[#This Row],[VEHIDCODE]]</f>
        <v>str_mu_Wagon_Gen1_Tanker</v>
      </c>
      <c r="O657" s="2" t="b">
        <v>1</v>
      </c>
      <c r="X657" s="2" t="b">
        <v>1</v>
      </c>
      <c r="AG657" s="2" t="b">
        <v>1</v>
      </c>
      <c r="AJ657" s="2"/>
      <c r="AK657" s="2" t="b">
        <f>LEN(_xlfn.CONCAT(Table1[[#This Row],[TRACK_TYPE_STANDARD_GAUGE_RAILTYPE_OHLE]:[TRACK_TYPE_MTRO]]))&gt;0</f>
        <v>1</v>
      </c>
      <c r="AL657">
        <v>4</v>
      </c>
      <c r="AM657" t="s">
        <v>610</v>
      </c>
      <c r="AN657">
        <v>0</v>
      </c>
      <c r="AO657" t="s">
        <v>35</v>
      </c>
      <c r="AP657">
        <v>10</v>
      </c>
      <c r="AQ657">
        <v>1830</v>
      </c>
      <c r="AR657">
        <v>4</v>
      </c>
      <c r="AS657" s="2" t="s">
        <v>33</v>
      </c>
      <c r="AT657" t="b">
        <v>1</v>
      </c>
      <c r="AV657" s="2" t="b">
        <v>1</v>
      </c>
      <c r="AW657">
        <v>90</v>
      </c>
      <c r="AX657">
        <v>0</v>
      </c>
      <c r="AY657">
        <v>0</v>
      </c>
      <c r="AZ657" t="s">
        <v>711</v>
      </c>
      <c r="BA657">
        <v>55</v>
      </c>
      <c r="BB657" s="2">
        <v>0.3</v>
      </c>
      <c r="BC657" t="s">
        <v>936</v>
      </c>
      <c r="BD657" t="s">
        <v>922</v>
      </c>
      <c r="BE657" t="s">
        <v>940</v>
      </c>
      <c r="BF657" s="7">
        <v>25</v>
      </c>
      <c r="BG6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57">
        <v>0</v>
      </c>
      <c r="BI657" t="s">
        <v>734</v>
      </c>
      <c r="BJ657" s="11"/>
      <c r="BK657" s="11"/>
      <c r="BL657" s="11">
        <v>7</v>
      </c>
      <c r="BM657">
        <v>0</v>
      </c>
      <c r="BN657" t="s">
        <v>692</v>
      </c>
      <c r="BO657" t="s">
        <v>694</v>
      </c>
      <c r="BP657" t="s">
        <v>701</v>
      </c>
      <c r="BQ657" t="s">
        <v>705</v>
      </c>
      <c r="BR657" t="s">
        <v>706</v>
      </c>
      <c r="BS657" t="s">
        <v>707</v>
      </c>
      <c r="CR657"/>
      <c r="CS657"/>
      <c r="CT657"/>
    </row>
    <row r="658" spans="1:98" x14ac:dyDescent="0.4">
      <c r="A658" s="2" t="s">
        <v>773</v>
      </c>
      <c r="B658" t="str">
        <f>_xlfn.TEXTAFTER(Table1[[#This Row],[VEHIDCODE]],"_")</f>
        <v>Wagon_Gen1_Open_Wagon</v>
      </c>
      <c r="C658" t="s">
        <v>748</v>
      </c>
      <c r="D658" t="b">
        <f>OR(ISNUMBER(SEARCH("wagon_",Table1[[#This Row],[FILENAMES_EXPECTED]])),ISNUMBER(SEARCH("coach_",Table1[[#This Row],[FILENAMES_EXPECTED]])))</f>
        <v>1</v>
      </c>
      <c r="E658" t="str">
        <f>"item_"&amp;Table1[[#This Row],[VEHIDCODE]]</f>
        <v>item_mu_Wagon_Gen1_Open_Wagon</v>
      </c>
      <c r="F658" t="str">
        <f>"str_"&amp;Table1[[#This Row],[VEHIDCODE]]</f>
        <v>str_mu_Wagon_Gen1_Open_Wagon</v>
      </c>
      <c r="O658" s="2" t="b">
        <v>1</v>
      </c>
      <c r="X658" s="2" t="b">
        <v>1</v>
      </c>
      <c r="AG658" s="2" t="b">
        <v>1</v>
      </c>
      <c r="AJ658" s="2"/>
      <c r="AK658" s="2" t="b">
        <f>LEN(_xlfn.CONCAT(Table1[[#This Row],[TRACK_TYPE_STANDARD_GAUGE_RAILTYPE_OHLE]:[TRACK_TYPE_MTRO]]))&gt;0</f>
        <v>1</v>
      </c>
      <c r="AL658">
        <v>4</v>
      </c>
      <c r="AM658" t="s">
        <v>673</v>
      </c>
      <c r="AN658">
        <v>0</v>
      </c>
      <c r="AO658" t="s">
        <v>35</v>
      </c>
      <c r="AP658">
        <v>18</v>
      </c>
      <c r="AQ658">
        <v>1830</v>
      </c>
      <c r="AR658">
        <v>4</v>
      </c>
      <c r="AS658" s="2" t="s">
        <v>33</v>
      </c>
      <c r="AT658" t="b">
        <v>1</v>
      </c>
      <c r="AV658" s="2" t="b">
        <v>1</v>
      </c>
      <c r="AW658">
        <v>90</v>
      </c>
      <c r="AX658">
        <v>0</v>
      </c>
      <c r="AY658">
        <v>0</v>
      </c>
      <c r="AZ658" t="s">
        <v>711</v>
      </c>
      <c r="BA658">
        <v>55</v>
      </c>
      <c r="BB658" s="2">
        <v>0.3</v>
      </c>
      <c r="BC658" t="s">
        <v>936</v>
      </c>
      <c r="BD658" t="s">
        <v>922</v>
      </c>
      <c r="BE658" t="s">
        <v>940</v>
      </c>
      <c r="BF658" s="7">
        <v>25</v>
      </c>
      <c r="BG6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58">
        <v>0</v>
      </c>
      <c r="BI658" t="s">
        <v>734</v>
      </c>
      <c r="BJ658" s="11"/>
      <c r="BK658" s="11"/>
      <c r="BL658" s="11">
        <v>6</v>
      </c>
      <c r="BM658">
        <v>0</v>
      </c>
      <c r="BN658" t="s">
        <v>692</v>
      </c>
      <c r="BO658" t="s">
        <v>694</v>
      </c>
      <c r="BP658" t="s">
        <v>701</v>
      </c>
      <c r="BQ658" t="s">
        <v>705</v>
      </c>
      <c r="BR658" t="s">
        <v>706</v>
      </c>
      <c r="BS658" t="s">
        <v>707</v>
      </c>
      <c r="CR658"/>
      <c r="CS658"/>
      <c r="CT658"/>
    </row>
    <row r="659" spans="1:98" x14ac:dyDescent="0.4">
      <c r="A659" s="2" t="s">
        <v>845</v>
      </c>
      <c r="B659" t="str">
        <f>_xlfn.TEXTAFTER(Table1[[#This Row],[VEHIDCODE]],"_")</f>
        <v>Wagon_Gen2_Flat_Wagon</v>
      </c>
      <c r="C659" t="s">
        <v>749</v>
      </c>
      <c r="D659" t="b">
        <f>OR(ISNUMBER(SEARCH("wagon_",Table1[[#This Row],[FILENAMES_EXPECTED]])),ISNUMBER(SEARCH("coach_",Table1[[#This Row],[FILENAMES_EXPECTED]])))</f>
        <v>1</v>
      </c>
      <c r="E659" t="str">
        <f>"item_"&amp;Table1[[#This Row],[VEHIDCODE]]</f>
        <v>item_mu_Wagon_Gen2_Flat_Wagon</v>
      </c>
      <c r="F659" t="str">
        <f>"str_"&amp;Table1[[#This Row],[VEHIDCODE]]</f>
        <v>str_mu_Wagon_Gen2_Flat_Wagon</v>
      </c>
      <c r="O659" s="2" t="b">
        <v>1</v>
      </c>
      <c r="X659" s="2" t="b">
        <v>1</v>
      </c>
      <c r="AG659" s="2" t="b">
        <v>1</v>
      </c>
      <c r="AJ659" s="2"/>
      <c r="AK659" s="2" t="b">
        <f>LEN(_xlfn.CONCAT(Table1[[#This Row],[TRACK_TYPE_STANDARD_GAUGE_RAILTYPE_OHLE]:[TRACK_TYPE_MTRO]]))&gt;0</f>
        <v>1</v>
      </c>
      <c r="AL659">
        <v>5</v>
      </c>
      <c r="AM659" t="s">
        <v>604</v>
      </c>
      <c r="AN659">
        <v>0</v>
      </c>
      <c r="AO659" t="s">
        <v>35</v>
      </c>
      <c r="AP659">
        <v>30</v>
      </c>
      <c r="AQ659">
        <v>1900</v>
      </c>
      <c r="AR659">
        <v>5</v>
      </c>
      <c r="AS659" s="2" t="s">
        <v>33</v>
      </c>
      <c r="AT659" t="b">
        <v>1</v>
      </c>
      <c r="AV659" s="2" t="b">
        <v>1</v>
      </c>
      <c r="AW659">
        <v>50</v>
      </c>
      <c r="AX659">
        <v>0</v>
      </c>
      <c r="AY659">
        <v>0</v>
      </c>
      <c r="AZ659" t="s">
        <v>711</v>
      </c>
      <c r="BA659">
        <v>70</v>
      </c>
      <c r="BB659" s="2">
        <v>0.3</v>
      </c>
      <c r="BC659" t="s">
        <v>936</v>
      </c>
      <c r="BD659" t="s">
        <v>922</v>
      </c>
      <c r="BE659" t="s">
        <v>940</v>
      </c>
      <c r="BF659" s="7">
        <v>25</v>
      </c>
      <c r="BG6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59">
        <v>0</v>
      </c>
      <c r="BI659" t="s">
        <v>734</v>
      </c>
      <c r="BJ659" s="11"/>
      <c r="BK659" s="11"/>
      <c r="BL659" s="11">
        <v>11</v>
      </c>
      <c r="BM659">
        <v>0</v>
      </c>
      <c r="BN659" t="s">
        <v>692</v>
      </c>
      <c r="BO659" t="s">
        <v>694</v>
      </c>
      <c r="BP659" t="s">
        <v>701</v>
      </c>
      <c r="BQ659" t="s">
        <v>705</v>
      </c>
      <c r="BR659" t="s">
        <v>706</v>
      </c>
      <c r="BS659" t="s">
        <v>707</v>
      </c>
      <c r="CR659"/>
      <c r="CS659"/>
      <c r="CT659"/>
    </row>
    <row r="660" spans="1:98" x14ac:dyDescent="0.4">
      <c r="A660" s="2" t="s">
        <v>846</v>
      </c>
      <c r="B660" t="str">
        <f>_xlfn.TEXTAFTER(Table1[[#This Row],[VEHIDCODE]],"_")</f>
        <v>Wagon_Gen2_Boxcar_Type1</v>
      </c>
      <c r="C660" t="s">
        <v>749</v>
      </c>
      <c r="D660" t="b">
        <f>OR(ISNUMBER(SEARCH("wagon_",Table1[[#This Row],[FILENAMES_EXPECTED]])),ISNUMBER(SEARCH("coach_",Table1[[#This Row],[FILENAMES_EXPECTED]])))</f>
        <v>1</v>
      </c>
      <c r="E660" t="str">
        <f>"item_"&amp;Table1[[#This Row],[VEHIDCODE]]</f>
        <v>item_mu_Wagon_Gen2_Boxcar_Type1</v>
      </c>
      <c r="F660" t="str">
        <f>"str_"&amp;Table1[[#This Row],[VEHIDCODE]]</f>
        <v>str_mu_Wagon_Gen2_Boxcar_Type1</v>
      </c>
      <c r="O660" s="2" t="b">
        <v>1</v>
      </c>
      <c r="X660" s="2" t="b">
        <v>1</v>
      </c>
      <c r="AG660" s="2" t="b">
        <v>1</v>
      </c>
      <c r="AJ660" s="2"/>
      <c r="AK660" s="2" t="b">
        <f>LEN(_xlfn.CONCAT(Table1[[#This Row],[TRACK_TYPE_STANDARD_GAUGE_RAILTYPE_OHLE]:[TRACK_TYPE_MTRO]]))&gt;0</f>
        <v>1</v>
      </c>
      <c r="AL660">
        <v>5</v>
      </c>
      <c r="AM660" t="s">
        <v>600</v>
      </c>
      <c r="AN660">
        <v>0</v>
      </c>
      <c r="AO660" t="s">
        <v>35</v>
      </c>
      <c r="AP660">
        <v>25</v>
      </c>
      <c r="AQ660">
        <v>1890</v>
      </c>
      <c r="AR660">
        <v>5</v>
      </c>
      <c r="AS660" s="2" t="s">
        <v>33</v>
      </c>
      <c r="AT660" t="b">
        <v>1</v>
      </c>
      <c r="AV660" s="2" t="b">
        <v>1</v>
      </c>
      <c r="AW660">
        <v>60</v>
      </c>
      <c r="AX660">
        <v>0</v>
      </c>
      <c r="AY660">
        <v>0</v>
      </c>
      <c r="AZ660" t="s">
        <v>711</v>
      </c>
      <c r="BA660">
        <v>90</v>
      </c>
      <c r="BB660" s="2">
        <v>0.3</v>
      </c>
      <c r="BC660" t="s">
        <v>933</v>
      </c>
      <c r="BD660" t="s">
        <v>922</v>
      </c>
      <c r="BE660" t="s">
        <v>940</v>
      </c>
      <c r="BF660" s="7">
        <v>25</v>
      </c>
      <c r="BG6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60">
        <v>0</v>
      </c>
      <c r="BI660" t="s">
        <v>734</v>
      </c>
      <c r="BJ660" s="11"/>
      <c r="BK660" s="11"/>
      <c r="BL660" s="11">
        <v>12</v>
      </c>
      <c r="BM660">
        <v>0</v>
      </c>
      <c r="BN660" t="s">
        <v>692</v>
      </c>
      <c r="BO660" t="s">
        <v>694</v>
      </c>
      <c r="BP660" t="s">
        <v>701</v>
      </c>
      <c r="BQ660" t="s">
        <v>705</v>
      </c>
      <c r="BR660" t="s">
        <v>706</v>
      </c>
      <c r="BS660" t="s">
        <v>707</v>
      </c>
      <c r="CR660"/>
      <c r="CS660"/>
      <c r="CT660"/>
    </row>
    <row r="661" spans="1:98" x14ac:dyDescent="0.4">
      <c r="A661" s="2" t="s">
        <v>847</v>
      </c>
      <c r="B661" t="str">
        <f>_xlfn.TEXTAFTER(Table1[[#This Row],[VEHIDCODE]],"_")</f>
        <v>Wagon_Gen2_Boxcar_Type2</v>
      </c>
      <c r="C661" t="s">
        <v>749</v>
      </c>
      <c r="D661" t="b">
        <f>OR(ISNUMBER(SEARCH("wagon_",Table1[[#This Row],[FILENAMES_EXPECTED]])),ISNUMBER(SEARCH("coach_",Table1[[#This Row],[FILENAMES_EXPECTED]])))</f>
        <v>1</v>
      </c>
      <c r="E661" t="str">
        <f>"item_"&amp;Table1[[#This Row],[VEHIDCODE]]</f>
        <v>item_mu_Wagon_Gen2_Boxcar_Type2</v>
      </c>
      <c r="F661" t="str">
        <f>"str_"&amp;Table1[[#This Row],[VEHIDCODE]]</f>
        <v>str_mu_Wagon_Gen2_Boxcar_Type2</v>
      </c>
      <c r="O661" s="2" t="b">
        <v>1</v>
      </c>
      <c r="X661" s="2" t="b">
        <v>1</v>
      </c>
      <c r="AG661" s="2" t="b">
        <v>1</v>
      </c>
      <c r="AJ661" s="2"/>
      <c r="AK661" s="2" t="b">
        <f>LEN(_xlfn.CONCAT(Table1[[#This Row],[TRACK_TYPE_STANDARD_GAUGE_RAILTYPE_OHLE]:[TRACK_TYPE_MTRO]]))&gt;0</f>
        <v>1</v>
      </c>
      <c r="AL661">
        <v>5</v>
      </c>
      <c r="AM661" t="s">
        <v>600</v>
      </c>
      <c r="AN661">
        <v>0</v>
      </c>
      <c r="AO661" t="s">
        <v>35</v>
      </c>
      <c r="AP661">
        <v>25</v>
      </c>
      <c r="AQ661">
        <v>1890</v>
      </c>
      <c r="AR661">
        <v>5</v>
      </c>
      <c r="AS661" s="2" t="s">
        <v>33</v>
      </c>
      <c r="AT661" t="b">
        <v>1</v>
      </c>
      <c r="AV661" s="2" t="b">
        <v>1</v>
      </c>
      <c r="AW661">
        <v>60</v>
      </c>
      <c r="AX661">
        <v>0</v>
      </c>
      <c r="AY661">
        <v>0</v>
      </c>
      <c r="AZ661" t="s">
        <v>711</v>
      </c>
      <c r="BA661">
        <v>90</v>
      </c>
      <c r="BB661" s="2">
        <v>0.3</v>
      </c>
      <c r="BC661" t="s">
        <v>934</v>
      </c>
      <c r="BD661" t="s">
        <v>922</v>
      </c>
      <c r="BE661" t="s">
        <v>940</v>
      </c>
      <c r="BF661" s="7">
        <v>25</v>
      </c>
      <c r="BG6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61">
        <v>0</v>
      </c>
      <c r="BI661" t="s">
        <v>734</v>
      </c>
      <c r="BJ661" s="11"/>
      <c r="BK661" s="11"/>
      <c r="BL661" s="11">
        <v>12</v>
      </c>
      <c r="BM661">
        <v>0</v>
      </c>
      <c r="BN661" t="s">
        <v>692</v>
      </c>
      <c r="BO661" t="s">
        <v>694</v>
      </c>
      <c r="BP661" t="s">
        <v>701</v>
      </c>
      <c r="BQ661" t="s">
        <v>705</v>
      </c>
      <c r="BR661" t="s">
        <v>706</v>
      </c>
      <c r="BS661" t="s">
        <v>707</v>
      </c>
      <c r="CR661"/>
      <c r="CS661"/>
      <c r="CT661"/>
    </row>
    <row r="662" spans="1:98" x14ac:dyDescent="0.4">
      <c r="A662" s="2" t="s">
        <v>848</v>
      </c>
      <c r="B662" t="str">
        <f>_xlfn.TEXTAFTER(Table1[[#This Row],[VEHIDCODE]],"_")</f>
        <v>Wagon_Gen2_Tanker</v>
      </c>
      <c r="C662" t="s">
        <v>749</v>
      </c>
      <c r="D662" t="b">
        <f>OR(ISNUMBER(SEARCH("wagon_",Table1[[#This Row],[FILENAMES_EXPECTED]])),ISNUMBER(SEARCH("coach_",Table1[[#This Row],[FILENAMES_EXPECTED]])))</f>
        <v>1</v>
      </c>
      <c r="E662" t="str">
        <f>"item_"&amp;Table1[[#This Row],[VEHIDCODE]]</f>
        <v>item_mu_Wagon_Gen2_Tanker</v>
      </c>
      <c r="F662" t="str">
        <f>"str_"&amp;Table1[[#This Row],[VEHIDCODE]]</f>
        <v>str_mu_Wagon_Gen2_Tanker</v>
      </c>
      <c r="O662" s="2" t="b">
        <v>1</v>
      </c>
      <c r="X662" s="2" t="b">
        <v>1</v>
      </c>
      <c r="AG662" s="2" t="b">
        <v>1</v>
      </c>
      <c r="AJ662" s="2"/>
      <c r="AK662" s="2" t="b">
        <f>LEN(_xlfn.CONCAT(Table1[[#This Row],[TRACK_TYPE_STANDARD_GAUGE_RAILTYPE_OHLE]:[TRACK_TYPE_MTRO]]))&gt;0</f>
        <v>1</v>
      </c>
      <c r="AL662">
        <v>5</v>
      </c>
      <c r="AM662" t="s">
        <v>610</v>
      </c>
      <c r="AN662">
        <v>0</v>
      </c>
      <c r="AO662" t="s">
        <v>35</v>
      </c>
      <c r="AP662">
        <v>20</v>
      </c>
      <c r="AQ662">
        <v>1900</v>
      </c>
      <c r="AR662">
        <v>5</v>
      </c>
      <c r="AS662" s="2" t="s">
        <v>33</v>
      </c>
      <c r="AT662" t="b">
        <v>1</v>
      </c>
      <c r="AV662" s="2" t="b">
        <v>1</v>
      </c>
      <c r="AW662">
        <v>50</v>
      </c>
      <c r="AX662">
        <v>0</v>
      </c>
      <c r="AY662">
        <v>0</v>
      </c>
      <c r="AZ662" t="s">
        <v>711</v>
      </c>
      <c r="BA662">
        <v>70</v>
      </c>
      <c r="BB662" s="2">
        <v>0.3</v>
      </c>
      <c r="BC662" t="s">
        <v>936</v>
      </c>
      <c r="BD662" t="s">
        <v>922</v>
      </c>
      <c r="BE662" t="s">
        <v>940</v>
      </c>
      <c r="BF662" s="7">
        <v>25</v>
      </c>
      <c r="BG6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62">
        <v>0</v>
      </c>
      <c r="BI662" t="s">
        <v>734</v>
      </c>
      <c r="BJ662" s="11"/>
      <c r="BK662" s="11"/>
      <c r="BL662" s="11">
        <v>14</v>
      </c>
      <c r="BM662">
        <v>0</v>
      </c>
      <c r="BN662" t="s">
        <v>692</v>
      </c>
      <c r="BO662" t="s">
        <v>694</v>
      </c>
      <c r="BP662" t="s">
        <v>701</v>
      </c>
      <c r="BQ662" t="s">
        <v>705</v>
      </c>
      <c r="BR662" t="s">
        <v>706</v>
      </c>
      <c r="BS662" t="s">
        <v>707</v>
      </c>
      <c r="CR662"/>
      <c r="CS662"/>
      <c r="CT662"/>
    </row>
    <row r="663" spans="1:98" x14ac:dyDescent="0.4">
      <c r="A663" s="2" t="s">
        <v>849</v>
      </c>
      <c r="B663" t="str">
        <f>_xlfn.TEXTAFTER(Table1[[#This Row],[VEHIDCODE]],"_")</f>
        <v>Wagon_Gen2_Open_Wagon</v>
      </c>
      <c r="C663" t="s">
        <v>749</v>
      </c>
      <c r="D663" t="b">
        <f>OR(ISNUMBER(SEARCH("wagon_",Table1[[#This Row],[FILENAMES_EXPECTED]])),ISNUMBER(SEARCH("coach_",Table1[[#This Row],[FILENAMES_EXPECTED]])))</f>
        <v>1</v>
      </c>
      <c r="E663" t="str">
        <f>"item_"&amp;Table1[[#This Row],[VEHIDCODE]]</f>
        <v>item_mu_Wagon_Gen2_Open_Wagon</v>
      </c>
      <c r="F663" t="str">
        <f>"str_"&amp;Table1[[#This Row],[VEHIDCODE]]</f>
        <v>str_mu_Wagon_Gen2_Open_Wagon</v>
      </c>
      <c r="O663" s="2" t="b">
        <v>1</v>
      </c>
      <c r="X663" s="2" t="b">
        <v>1</v>
      </c>
      <c r="AG663" s="2" t="b">
        <v>1</v>
      </c>
      <c r="AJ663" s="2"/>
      <c r="AK663" s="2" t="b">
        <f>LEN(_xlfn.CONCAT(Table1[[#This Row],[TRACK_TYPE_STANDARD_GAUGE_RAILTYPE_OHLE]:[TRACK_TYPE_MTRO]]))&gt;0</f>
        <v>1</v>
      </c>
      <c r="AL663">
        <v>5</v>
      </c>
      <c r="AM663" t="s">
        <v>673</v>
      </c>
      <c r="AN663">
        <v>0</v>
      </c>
      <c r="AO663" t="s">
        <v>35</v>
      </c>
      <c r="AP663">
        <v>26</v>
      </c>
      <c r="AQ663">
        <v>1890</v>
      </c>
      <c r="AR663">
        <v>5</v>
      </c>
      <c r="AS663" s="2" t="s">
        <v>33</v>
      </c>
      <c r="AT663" t="b">
        <v>1</v>
      </c>
      <c r="AV663" s="2" t="b">
        <v>1</v>
      </c>
      <c r="AW663">
        <v>60</v>
      </c>
      <c r="AX663">
        <v>0</v>
      </c>
      <c r="AY663">
        <v>0</v>
      </c>
      <c r="AZ663" t="s">
        <v>711</v>
      </c>
      <c r="BA663">
        <v>70</v>
      </c>
      <c r="BB663" s="2">
        <v>0.3</v>
      </c>
      <c r="BC663" t="s">
        <v>936</v>
      </c>
      <c r="BD663" t="s">
        <v>922</v>
      </c>
      <c r="BE663" t="s">
        <v>940</v>
      </c>
      <c r="BF663" s="7">
        <v>25</v>
      </c>
      <c r="BG6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63">
        <v>0</v>
      </c>
      <c r="BI663" t="s">
        <v>734</v>
      </c>
      <c r="BJ663" s="11"/>
      <c r="BK663" s="11"/>
      <c r="BL663" s="11">
        <v>11</v>
      </c>
      <c r="BM663">
        <v>0</v>
      </c>
      <c r="BN663" t="s">
        <v>692</v>
      </c>
      <c r="BO663" t="s">
        <v>694</v>
      </c>
      <c r="BP663" t="s">
        <v>701</v>
      </c>
      <c r="BQ663" t="s">
        <v>705</v>
      </c>
      <c r="BR663" t="s">
        <v>706</v>
      </c>
      <c r="BS663" t="s">
        <v>707</v>
      </c>
      <c r="CR663"/>
      <c r="CS663"/>
      <c r="CT663"/>
    </row>
    <row r="664" spans="1:98" x14ac:dyDescent="0.4">
      <c r="A664" s="2" t="s">
        <v>850</v>
      </c>
      <c r="B664" t="str">
        <f>_xlfn.TEXTAFTER(Table1[[#This Row],[VEHIDCODE]],"_")</f>
        <v>Wagon_Gen2_Silo</v>
      </c>
      <c r="C664" t="s">
        <v>749</v>
      </c>
      <c r="D664" t="b">
        <f>OR(ISNUMBER(SEARCH("wagon_",Table1[[#This Row],[FILENAMES_EXPECTED]])),ISNUMBER(SEARCH("coach_",Table1[[#This Row],[FILENAMES_EXPECTED]])))</f>
        <v>1</v>
      </c>
      <c r="E664" t="str">
        <f>"item_"&amp;Table1[[#This Row],[VEHIDCODE]]</f>
        <v>item_mu_Wagon_Gen2_Silo</v>
      </c>
      <c r="F664" t="str">
        <f>"str_"&amp;Table1[[#This Row],[VEHIDCODE]]</f>
        <v>str_mu_Wagon_Gen2_Silo</v>
      </c>
      <c r="O664" s="2" t="b">
        <v>1</v>
      </c>
      <c r="X664" s="2" t="b">
        <v>1</v>
      </c>
      <c r="AG664" s="2" t="b">
        <v>1</v>
      </c>
      <c r="AJ664" s="2"/>
      <c r="AK664" s="2" t="b">
        <f>LEN(_xlfn.CONCAT(Table1[[#This Row],[TRACK_TYPE_STANDARD_GAUGE_RAILTYPE_OHLE]:[TRACK_TYPE_MTRO]]))&gt;0</f>
        <v>1</v>
      </c>
      <c r="AL664">
        <v>5</v>
      </c>
      <c r="AM664" t="s">
        <v>608</v>
      </c>
      <c r="AN664">
        <v>0</v>
      </c>
      <c r="AO664" t="s">
        <v>35</v>
      </c>
      <c r="AP664">
        <v>25</v>
      </c>
      <c r="AQ664">
        <v>1900</v>
      </c>
      <c r="AR664">
        <v>5</v>
      </c>
      <c r="AS664" s="2" t="s">
        <v>33</v>
      </c>
      <c r="AT664" t="b">
        <v>1</v>
      </c>
      <c r="AV664" s="2" t="b">
        <v>1</v>
      </c>
      <c r="AW664">
        <v>50</v>
      </c>
      <c r="AX664">
        <v>0</v>
      </c>
      <c r="AY664">
        <v>0</v>
      </c>
      <c r="AZ664" t="s">
        <v>711</v>
      </c>
      <c r="BA664">
        <v>70</v>
      </c>
      <c r="BB664" s="2">
        <v>0.3</v>
      </c>
      <c r="BC664" t="s">
        <v>936</v>
      </c>
      <c r="BD664" t="s">
        <v>922</v>
      </c>
      <c r="BE664" t="s">
        <v>940</v>
      </c>
      <c r="BF664" s="7">
        <v>25</v>
      </c>
      <c r="BG6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64">
        <v>0</v>
      </c>
      <c r="BI664" t="s">
        <v>734</v>
      </c>
      <c r="BJ664" s="11"/>
      <c r="BK664" s="11"/>
      <c r="BL664" s="11">
        <v>14</v>
      </c>
      <c r="BM664">
        <v>0</v>
      </c>
      <c r="BN664" t="s">
        <v>692</v>
      </c>
      <c r="BO664" t="s">
        <v>694</v>
      </c>
      <c r="BP664" t="s">
        <v>701</v>
      </c>
      <c r="BQ664" t="s">
        <v>705</v>
      </c>
      <c r="BR664" t="s">
        <v>706</v>
      </c>
      <c r="BS664" t="s">
        <v>707</v>
      </c>
      <c r="CR664"/>
      <c r="CS664"/>
      <c r="CT664"/>
    </row>
    <row r="665" spans="1:98" x14ac:dyDescent="0.4">
      <c r="A665" s="2" t="s">
        <v>851</v>
      </c>
      <c r="B665" t="str">
        <f>_xlfn.TEXTAFTER(Table1[[#This Row],[VEHIDCODE]],"_")</f>
        <v>Wagon_Gen2_Hopper</v>
      </c>
      <c r="C665" t="s">
        <v>749</v>
      </c>
      <c r="D665" t="b">
        <f>OR(ISNUMBER(SEARCH("wagon_",Table1[[#This Row],[FILENAMES_EXPECTED]])),ISNUMBER(SEARCH("coach_",Table1[[#This Row],[FILENAMES_EXPECTED]])))</f>
        <v>1</v>
      </c>
      <c r="E665" t="str">
        <f>"item_"&amp;Table1[[#This Row],[VEHIDCODE]]</f>
        <v>item_mu_Wagon_Gen2_Hopper</v>
      </c>
      <c r="F665" t="str">
        <f>"str_"&amp;Table1[[#This Row],[VEHIDCODE]]</f>
        <v>str_mu_Wagon_Gen2_Hopper</v>
      </c>
      <c r="O665" s="2" t="b">
        <v>1</v>
      </c>
      <c r="X665" s="2" t="b">
        <v>1</v>
      </c>
      <c r="AG665" s="2" t="b">
        <v>1</v>
      </c>
      <c r="AJ665" s="2"/>
      <c r="AK665" s="2" t="b">
        <f>LEN(_xlfn.CONCAT(Table1[[#This Row],[TRACK_TYPE_STANDARD_GAUGE_RAILTYPE_OHLE]:[TRACK_TYPE_MTRO]]))&gt;0</f>
        <v>1</v>
      </c>
      <c r="AL665">
        <v>5</v>
      </c>
      <c r="AM665" t="s">
        <v>607</v>
      </c>
      <c r="AN665">
        <v>0</v>
      </c>
      <c r="AO665" t="s">
        <v>35</v>
      </c>
      <c r="AP665">
        <v>30</v>
      </c>
      <c r="AQ665">
        <v>1890</v>
      </c>
      <c r="AR665">
        <v>5</v>
      </c>
      <c r="AS665" s="2" t="s">
        <v>33</v>
      </c>
      <c r="AT665" t="b">
        <v>1</v>
      </c>
      <c r="AV665" s="2" t="b">
        <v>1</v>
      </c>
      <c r="AW665">
        <v>60</v>
      </c>
      <c r="AX665">
        <v>0</v>
      </c>
      <c r="AY665">
        <v>0</v>
      </c>
      <c r="AZ665" t="s">
        <v>711</v>
      </c>
      <c r="BA665">
        <v>70</v>
      </c>
      <c r="BB665" s="2">
        <v>0.3</v>
      </c>
      <c r="BC665" t="s">
        <v>936</v>
      </c>
      <c r="BD665" t="s">
        <v>922</v>
      </c>
      <c r="BE665" t="s">
        <v>940</v>
      </c>
      <c r="BF665" s="7">
        <v>25</v>
      </c>
      <c r="BG6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65">
        <v>0</v>
      </c>
      <c r="BI665" t="s">
        <v>734</v>
      </c>
      <c r="BJ665" s="11"/>
      <c r="BK665" s="11"/>
      <c r="BL665" s="11">
        <v>12</v>
      </c>
      <c r="BM665">
        <v>0</v>
      </c>
      <c r="BN665" t="s">
        <v>692</v>
      </c>
      <c r="BO665" t="s">
        <v>694</v>
      </c>
      <c r="BP665" t="s">
        <v>701</v>
      </c>
      <c r="BQ665" t="s">
        <v>705</v>
      </c>
      <c r="BR665" t="s">
        <v>706</v>
      </c>
      <c r="BS665" t="s">
        <v>707</v>
      </c>
      <c r="CR665"/>
      <c r="CS665"/>
      <c r="CT665"/>
    </row>
    <row r="666" spans="1:98" x14ac:dyDescent="0.4">
      <c r="A666" s="2" t="s">
        <v>852</v>
      </c>
      <c r="B666" t="str">
        <f>_xlfn.TEXTAFTER(Table1[[#This Row],[VEHIDCODE]],"_")</f>
        <v>Wagon_Gen3_Flat_Wagon</v>
      </c>
      <c r="C666" t="s">
        <v>750</v>
      </c>
      <c r="D666" t="b">
        <f>OR(ISNUMBER(SEARCH("wagon_",Table1[[#This Row],[FILENAMES_EXPECTED]])),ISNUMBER(SEARCH("coach_",Table1[[#This Row],[FILENAMES_EXPECTED]])))</f>
        <v>1</v>
      </c>
      <c r="E666" t="str">
        <f>"item_"&amp;Table1[[#This Row],[VEHIDCODE]]</f>
        <v>item_mu_Wagon_Gen3_Flat_Wagon</v>
      </c>
      <c r="F666" t="str">
        <f>"str_"&amp;Table1[[#This Row],[VEHIDCODE]]</f>
        <v>str_mu_Wagon_Gen3_Flat_Wagon</v>
      </c>
      <c r="O666" s="2" t="b">
        <v>1</v>
      </c>
      <c r="X666" s="2" t="b">
        <v>1</v>
      </c>
      <c r="AG666" s="2" t="b">
        <v>1</v>
      </c>
      <c r="AJ666" s="2"/>
      <c r="AK666" s="2" t="b">
        <f>LEN(_xlfn.CONCAT(Table1[[#This Row],[TRACK_TYPE_STANDARD_GAUGE_RAILTYPE_OHLE]:[TRACK_TYPE_MTRO]]))&gt;0</f>
        <v>1</v>
      </c>
      <c r="AL666">
        <v>6</v>
      </c>
      <c r="AM666" t="s">
        <v>604</v>
      </c>
      <c r="AN666">
        <v>0</v>
      </c>
      <c r="AO666" t="s">
        <v>35</v>
      </c>
      <c r="AP666">
        <v>40</v>
      </c>
      <c r="AQ666">
        <v>1930</v>
      </c>
      <c r="AR666">
        <v>6</v>
      </c>
      <c r="AS666" s="2" t="s">
        <v>33</v>
      </c>
      <c r="AT666" t="b">
        <v>1</v>
      </c>
      <c r="AV666" s="2" t="b">
        <v>1</v>
      </c>
      <c r="AW666">
        <v>50</v>
      </c>
      <c r="AX666">
        <v>0</v>
      </c>
      <c r="AY666">
        <v>0</v>
      </c>
      <c r="AZ666" t="s">
        <v>711</v>
      </c>
      <c r="BA666">
        <v>80</v>
      </c>
      <c r="BB666" s="2">
        <v>0.3</v>
      </c>
      <c r="BC666" t="s">
        <v>936</v>
      </c>
      <c r="BD666" t="s">
        <v>922</v>
      </c>
      <c r="BE666" t="s">
        <v>940</v>
      </c>
      <c r="BF666" s="7">
        <v>25</v>
      </c>
      <c r="BG6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66">
        <v>0</v>
      </c>
      <c r="BI666" t="s">
        <v>734</v>
      </c>
      <c r="BJ666" s="11"/>
      <c r="BK666" s="11"/>
      <c r="BL666" s="11">
        <v>21</v>
      </c>
      <c r="BM666">
        <v>0</v>
      </c>
      <c r="BN666" t="s">
        <v>692</v>
      </c>
      <c r="BO666" t="s">
        <v>694</v>
      </c>
      <c r="BP666" t="s">
        <v>701</v>
      </c>
      <c r="BQ666" t="s">
        <v>705</v>
      </c>
      <c r="BR666" t="s">
        <v>706</v>
      </c>
      <c r="BS666" t="s">
        <v>707</v>
      </c>
      <c r="CR666"/>
      <c r="CS666"/>
      <c r="CT666"/>
    </row>
    <row r="667" spans="1:98" x14ac:dyDescent="0.4">
      <c r="A667" s="2" t="s">
        <v>853</v>
      </c>
      <c r="B667" t="str">
        <f>_xlfn.TEXTAFTER(Table1[[#This Row],[VEHIDCODE]],"_")</f>
        <v>Wagon_Gen3_Boxcar_Type1</v>
      </c>
      <c r="C667" t="s">
        <v>750</v>
      </c>
      <c r="D667" t="b">
        <f>OR(ISNUMBER(SEARCH("wagon_",Table1[[#This Row],[FILENAMES_EXPECTED]])),ISNUMBER(SEARCH("coach_",Table1[[#This Row],[FILENAMES_EXPECTED]])))</f>
        <v>1</v>
      </c>
      <c r="E667" t="str">
        <f>"item_"&amp;Table1[[#This Row],[VEHIDCODE]]</f>
        <v>item_mu_Wagon_Gen3_Boxcar_Type1</v>
      </c>
      <c r="F667" t="str">
        <f>"str_"&amp;Table1[[#This Row],[VEHIDCODE]]</f>
        <v>str_mu_Wagon_Gen3_Boxcar_Type1</v>
      </c>
      <c r="O667" s="2" t="b">
        <v>1</v>
      </c>
      <c r="X667" s="2" t="b">
        <v>1</v>
      </c>
      <c r="AG667" s="2" t="b">
        <v>1</v>
      </c>
      <c r="AJ667" s="2"/>
      <c r="AK667" s="2" t="b">
        <f>LEN(_xlfn.CONCAT(Table1[[#This Row],[TRACK_TYPE_STANDARD_GAUGE_RAILTYPE_OHLE]:[TRACK_TYPE_MTRO]]))&gt;0</f>
        <v>1</v>
      </c>
      <c r="AL667">
        <v>6</v>
      </c>
      <c r="AM667" t="s">
        <v>600</v>
      </c>
      <c r="AN667">
        <v>0</v>
      </c>
      <c r="AO667" t="s">
        <v>35</v>
      </c>
      <c r="AP667">
        <v>40</v>
      </c>
      <c r="AQ667">
        <v>1920</v>
      </c>
      <c r="AR667">
        <v>6</v>
      </c>
      <c r="AS667" s="2" t="s">
        <v>33</v>
      </c>
      <c r="AT667" t="b">
        <v>1</v>
      </c>
      <c r="AV667" s="2" t="b">
        <v>1</v>
      </c>
      <c r="AW667">
        <v>60</v>
      </c>
      <c r="AX667">
        <v>0</v>
      </c>
      <c r="AY667">
        <v>0</v>
      </c>
      <c r="AZ667" t="s">
        <v>711</v>
      </c>
      <c r="BA667">
        <v>100</v>
      </c>
      <c r="BB667" s="2">
        <v>0.3</v>
      </c>
      <c r="BC667" t="s">
        <v>933</v>
      </c>
      <c r="BD667" t="s">
        <v>922</v>
      </c>
      <c r="BE667" t="s">
        <v>940</v>
      </c>
      <c r="BF667" s="7">
        <v>25</v>
      </c>
      <c r="BG6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67">
        <v>0</v>
      </c>
      <c r="BI667" t="s">
        <v>734</v>
      </c>
      <c r="BJ667" s="11"/>
      <c r="BK667" s="11"/>
      <c r="BL667" s="11">
        <v>23</v>
      </c>
      <c r="BM667">
        <v>0</v>
      </c>
      <c r="BN667" t="s">
        <v>692</v>
      </c>
      <c r="BO667" t="s">
        <v>694</v>
      </c>
      <c r="BP667" t="s">
        <v>701</v>
      </c>
      <c r="BQ667" t="s">
        <v>705</v>
      </c>
      <c r="BR667" t="s">
        <v>706</v>
      </c>
      <c r="BS667" t="s">
        <v>707</v>
      </c>
      <c r="CR667"/>
      <c r="CS667"/>
      <c r="CT667"/>
    </row>
    <row r="668" spans="1:98" x14ac:dyDescent="0.4">
      <c r="A668" s="2" t="s">
        <v>854</v>
      </c>
      <c r="B668" t="str">
        <f>_xlfn.TEXTAFTER(Table1[[#This Row],[VEHIDCODE]],"_")</f>
        <v>Wagon_Gen3_Boxcar_Type2</v>
      </c>
      <c r="C668" t="s">
        <v>750</v>
      </c>
      <c r="D668" t="b">
        <f>OR(ISNUMBER(SEARCH("wagon_",Table1[[#This Row],[FILENAMES_EXPECTED]])),ISNUMBER(SEARCH("coach_",Table1[[#This Row],[FILENAMES_EXPECTED]])))</f>
        <v>1</v>
      </c>
      <c r="E668" t="str">
        <f>"item_"&amp;Table1[[#This Row],[VEHIDCODE]]</f>
        <v>item_mu_Wagon_Gen3_Boxcar_Type2</v>
      </c>
      <c r="F668" t="str">
        <f>"str_"&amp;Table1[[#This Row],[VEHIDCODE]]</f>
        <v>str_mu_Wagon_Gen3_Boxcar_Type2</v>
      </c>
      <c r="O668" s="2" t="b">
        <v>1</v>
      </c>
      <c r="X668" s="2" t="b">
        <v>1</v>
      </c>
      <c r="AG668" s="2" t="b">
        <v>1</v>
      </c>
      <c r="AJ668" s="2"/>
      <c r="AK668" s="2" t="b">
        <f>LEN(_xlfn.CONCAT(Table1[[#This Row],[TRACK_TYPE_STANDARD_GAUGE_RAILTYPE_OHLE]:[TRACK_TYPE_MTRO]]))&gt;0</f>
        <v>1</v>
      </c>
      <c r="AL668">
        <v>6</v>
      </c>
      <c r="AM668" t="s">
        <v>600</v>
      </c>
      <c r="AN668">
        <v>0</v>
      </c>
      <c r="AO668" t="s">
        <v>35</v>
      </c>
      <c r="AP668">
        <v>40</v>
      </c>
      <c r="AQ668">
        <v>1920</v>
      </c>
      <c r="AR668">
        <v>6</v>
      </c>
      <c r="AS668" s="2" t="s">
        <v>33</v>
      </c>
      <c r="AT668" t="b">
        <v>1</v>
      </c>
      <c r="AV668" s="2" t="b">
        <v>1</v>
      </c>
      <c r="AW668">
        <v>60</v>
      </c>
      <c r="AX668">
        <v>0</v>
      </c>
      <c r="AY668">
        <v>0</v>
      </c>
      <c r="AZ668" t="s">
        <v>711</v>
      </c>
      <c r="BA668">
        <v>100</v>
      </c>
      <c r="BB668" s="2">
        <v>0.3</v>
      </c>
      <c r="BC668" t="s">
        <v>934</v>
      </c>
      <c r="BD668" t="s">
        <v>922</v>
      </c>
      <c r="BE668" t="s">
        <v>940</v>
      </c>
      <c r="BF668" s="7">
        <v>25</v>
      </c>
      <c r="BG6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68">
        <v>0</v>
      </c>
      <c r="BI668" t="s">
        <v>734</v>
      </c>
      <c r="BJ668" s="11"/>
      <c r="BK668" s="11"/>
      <c r="BL668" s="11">
        <v>23</v>
      </c>
      <c r="BM668">
        <v>0</v>
      </c>
      <c r="BN668" t="s">
        <v>692</v>
      </c>
      <c r="BO668" t="s">
        <v>694</v>
      </c>
      <c r="BP668" t="s">
        <v>701</v>
      </c>
      <c r="BQ668" t="s">
        <v>705</v>
      </c>
      <c r="BR668" t="s">
        <v>706</v>
      </c>
      <c r="BS668" t="s">
        <v>707</v>
      </c>
      <c r="CR668"/>
      <c r="CS668"/>
      <c r="CT668"/>
    </row>
    <row r="669" spans="1:98" x14ac:dyDescent="0.4">
      <c r="A669" s="2" t="s">
        <v>855</v>
      </c>
      <c r="B669" t="str">
        <f>_xlfn.TEXTAFTER(Table1[[#This Row],[VEHIDCODE]],"_")</f>
        <v>Wagon_Gen3_Tanker</v>
      </c>
      <c r="C669" t="s">
        <v>750</v>
      </c>
      <c r="D669" t="b">
        <f>OR(ISNUMBER(SEARCH("wagon_",Table1[[#This Row],[FILENAMES_EXPECTED]])),ISNUMBER(SEARCH("coach_",Table1[[#This Row],[FILENAMES_EXPECTED]])))</f>
        <v>1</v>
      </c>
      <c r="E669" t="str">
        <f>"item_"&amp;Table1[[#This Row],[VEHIDCODE]]</f>
        <v>item_mu_Wagon_Gen3_Tanker</v>
      </c>
      <c r="F669" t="str">
        <f>"str_"&amp;Table1[[#This Row],[VEHIDCODE]]</f>
        <v>str_mu_Wagon_Gen3_Tanker</v>
      </c>
      <c r="O669" s="2" t="b">
        <v>1</v>
      </c>
      <c r="X669" s="2" t="b">
        <v>1</v>
      </c>
      <c r="AG669" s="2" t="b">
        <v>1</v>
      </c>
      <c r="AJ669" s="2"/>
      <c r="AK669" s="2" t="b">
        <f>LEN(_xlfn.CONCAT(Table1[[#This Row],[TRACK_TYPE_STANDARD_GAUGE_RAILTYPE_OHLE]:[TRACK_TYPE_MTRO]]))&gt;0</f>
        <v>1</v>
      </c>
      <c r="AL669">
        <v>6</v>
      </c>
      <c r="AM669" t="s">
        <v>610</v>
      </c>
      <c r="AN669">
        <v>0</v>
      </c>
      <c r="AO669" t="s">
        <v>35</v>
      </c>
      <c r="AP669">
        <v>35</v>
      </c>
      <c r="AQ669">
        <v>1930</v>
      </c>
      <c r="AR669">
        <v>6</v>
      </c>
      <c r="AS669" s="2" t="s">
        <v>33</v>
      </c>
      <c r="AT669" t="b">
        <v>1</v>
      </c>
      <c r="AV669" s="2" t="b">
        <v>1</v>
      </c>
      <c r="AW669">
        <v>50</v>
      </c>
      <c r="AX669">
        <v>0</v>
      </c>
      <c r="AY669">
        <v>0</v>
      </c>
      <c r="AZ669" t="s">
        <v>711</v>
      </c>
      <c r="BA669">
        <v>80</v>
      </c>
      <c r="BB669" s="2">
        <v>0.3</v>
      </c>
      <c r="BC669" t="s">
        <v>936</v>
      </c>
      <c r="BD669" t="s">
        <v>922</v>
      </c>
      <c r="BE669" t="s">
        <v>940</v>
      </c>
      <c r="BF669" s="7">
        <v>25</v>
      </c>
      <c r="BG6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69">
        <v>0</v>
      </c>
      <c r="BI669" t="s">
        <v>734</v>
      </c>
      <c r="BJ669" s="11"/>
      <c r="BK669" s="11"/>
      <c r="BL669" s="11">
        <v>20</v>
      </c>
      <c r="BM669">
        <v>0</v>
      </c>
      <c r="BN669" t="s">
        <v>692</v>
      </c>
      <c r="BO669" t="s">
        <v>694</v>
      </c>
      <c r="BP669" t="s">
        <v>701</v>
      </c>
      <c r="BQ669" t="s">
        <v>705</v>
      </c>
      <c r="BR669" t="s">
        <v>706</v>
      </c>
      <c r="BS669" t="s">
        <v>707</v>
      </c>
      <c r="CR669"/>
      <c r="CS669"/>
      <c r="CT669"/>
    </row>
    <row r="670" spans="1:98" x14ac:dyDescent="0.4">
      <c r="A670" s="2" t="s">
        <v>856</v>
      </c>
      <c r="B670" t="str">
        <f>_xlfn.TEXTAFTER(Table1[[#This Row],[VEHIDCODE]],"_")</f>
        <v>Wagon_Gen3_Open_Wagon</v>
      </c>
      <c r="C670" t="s">
        <v>750</v>
      </c>
      <c r="D670" t="b">
        <f>OR(ISNUMBER(SEARCH("wagon_",Table1[[#This Row],[FILENAMES_EXPECTED]])),ISNUMBER(SEARCH("coach_",Table1[[#This Row],[FILENAMES_EXPECTED]])))</f>
        <v>1</v>
      </c>
      <c r="E670" t="str">
        <f>"item_"&amp;Table1[[#This Row],[VEHIDCODE]]</f>
        <v>item_mu_Wagon_Gen3_Open_Wagon</v>
      </c>
      <c r="F670" t="str">
        <f>"str_"&amp;Table1[[#This Row],[VEHIDCODE]]</f>
        <v>str_mu_Wagon_Gen3_Open_Wagon</v>
      </c>
      <c r="O670" s="2" t="b">
        <v>1</v>
      </c>
      <c r="X670" s="2" t="b">
        <v>1</v>
      </c>
      <c r="AG670" s="2" t="b">
        <v>1</v>
      </c>
      <c r="AJ670" s="2"/>
      <c r="AK670" s="2" t="b">
        <f>LEN(_xlfn.CONCAT(Table1[[#This Row],[TRACK_TYPE_STANDARD_GAUGE_RAILTYPE_OHLE]:[TRACK_TYPE_MTRO]]))&gt;0</f>
        <v>1</v>
      </c>
      <c r="AL670">
        <v>6</v>
      </c>
      <c r="AM670" t="s">
        <v>673</v>
      </c>
      <c r="AN670">
        <v>0</v>
      </c>
      <c r="AO670" t="s">
        <v>35</v>
      </c>
      <c r="AP670">
        <v>35</v>
      </c>
      <c r="AQ670">
        <v>1920</v>
      </c>
      <c r="AR670">
        <v>6</v>
      </c>
      <c r="AS670" s="2" t="s">
        <v>33</v>
      </c>
      <c r="AT670" t="b">
        <v>1</v>
      </c>
      <c r="AV670" s="2" t="b">
        <v>1</v>
      </c>
      <c r="AW670">
        <v>60</v>
      </c>
      <c r="AX670">
        <v>0</v>
      </c>
      <c r="AY670">
        <v>0</v>
      </c>
      <c r="AZ670" t="s">
        <v>711</v>
      </c>
      <c r="BA670">
        <v>80</v>
      </c>
      <c r="BB670" s="2">
        <v>0.3</v>
      </c>
      <c r="BC670" t="s">
        <v>936</v>
      </c>
      <c r="BD670" t="s">
        <v>922</v>
      </c>
      <c r="BE670" t="s">
        <v>940</v>
      </c>
      <c r="BF670" s="7">
        <v>25</v>
      </c>
      <c r="BG6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70">
        <v>0</v>
      </c>
      <c r="BI670" t="s">
        <v>734</v>
      </c>
      <c r="BJ670" s="11"/>
      <c r="BK670" s="11"/>
      <c r="BL670" s="11">
        <v>22</v>
      </c>
      <c r="BM670">
        <v>0</v>
      </c>
      <c r="BN670" t="s">
        <v>692</v>
      </c>
      <c r="BO670" t="s">
        <v>694</v>
      </c>
      <c r="BP670" t="s">
        <v>701</v>
      </c>
      <c r="BQ670" t="s">
        <v>705</v>
      </c>
      <c r="BR670" t="s">
        <v>706</v>
      </c>
      <c r="BS670" t="s">
        <v>707</v>
      </c>
      <c r="CR670"/>
      <c r="CS670"/>
      <c r="CT670"/>
    </row>
    <row r="671" spans="1:98" x14ac:dyDescent="0.4">
      <c r="A671" s="2" t="s">
        <v>857</v>
      </c>
      <c r="B671" t="str">
        <f>_xlfn.TEXTAFTER(Table1[[#This Row],[VEHIDCODE]],"_")</f>
        <v>Wagon_Gen3_Silo_Type1</v>
      </c>
      <c r="C671" t="s">
        <v>750</v>
      </c>
      <c r="D671" t="b">
        <f>OR(ISNUMBER(SEARCH("wagon_",Table1[[#This Row],[FILENAMES_EXPECTED]])),ISNUMBER(SEARCH("coach_",Table1[[#This Row],[FILENAMES_EXPECTED]])))</f>
        <v>1</v>
      </c>
      <c r="E671" t="str">
        <f>"item_"&amp;Table1[[#This Row],[VEHIDCODE]]</f>
        <v>item_mu_Wagon_Gen3_Silo_Type1</v>
      </c>
      <c r="F671" t="str">
        <f>"str_"&amp;Table1[[#This Row],[VEHIDCODE]]</f>
        <v>str_mu_Wagon_Gen3_Silo_Type1</v>
      </c>
      <c r="O671" s="2" t="b">
        <v>1</v>
      </c>
      <c r="X671" s="2" t="b">
        <v>1</v>
      </c>
      <c r="AG671" s="2" t="b">
        <v>1</v>
      </c>
      <c r="AJ671" s="2"/>
      <c r="AK671" s="2" t="b">
        <f>LEN(_xlfn.CONCAT(Table1[[#This Row],[TRACK_TYPE_STANDARD_GAUGE_RAILTYPE_OHLE]:[TRACK_TYPE_MTRO]]))&gt;0</f>
        <v>1</v>
      </c>
      <c r="AL671">
        <v>6</v>
      </c>
      <c r="AM671" t="s">
        <v>608</v>
      </c>
      <c r="AN671">
        <v>0</v>
      </c>
      <c r="AO671" t="s">
        <v>35</v>
      </c>
      <c r="AP671">
        <v>40</v>
      </c>
      <c r="AQ671">
        <v>1930</v>
      </c>
      <c r="AR671">
        <v>6</v>
      </c>
      <c r="AS671" s="2" t="s">
        <v>33</v>
      </c>
      <c r="AT671" t="b">
        <v>1</v>
      </c>
      <c r="AV671" s="2" t="b">
        <v>1</v>
      </c>
      <c r="AW671">
        <v>50</v>
      </c>
      <c r="AX671">
        <v>0</v>
      </c>
      <c r="AY671">
        <v>0</v>
      </c>
      <c r="AZ671" t="s">
        <v>711</v>
      </c>
      <c r="BA671">
        <v>80</v>
      </c>
      <c r="BB671" s="2">
        <v>0.3</v>
      </c>
      <c r="BC671" t="s">
        <v>933</v>
      </c>
      <c r="BD671" t="s">
        <v>922</v>
      </c>
      <c r="BE671" t="s">
        <v>940</v>
      </c>
      <c r="BF671" s="7">
        <v>25</v>
      </c>
      <c r="BG6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71">
        <v>0</v>
      </c>
      <c r="BI671" t="s">
        <v>734</v>
      </c>
      <c r="BJ671" s="11"/>
      <c r="BK671" s="11"/>
      <c r="BL671" s="11">
        <v>23</v>
      </c>
      <c r="BM671">
        <v>0</v>
      </c>
      <c r="BN671" t="s">
        <v>692</v>
      </c>
      <c r="BO671" t="s">
        <v>694</v>
      </c>
      <c r="BP671" t="s">
        <v>701</v>
      </c>
      <c r="BQ671" t="s">
        <v>705</v>
      </c>
      <c r="BR671" t="s">
        <v>706</v>
      </c>
      <c r="BS671" t="s">
        <v>707</v>
      </c>
      <c r="CR671"/>
      <c r="CS671"/>
      <c r="CT671"/>
    </row>
    <row r="672" spans="1:98" x14ac:dyDescent="0.4">
      <c r="A672" s="2" t="s">
        <v>858</v>
      </c>
      <c r="B672" t="str">
        <f>_xlfn.TEXTAFTER(Table1[[#This Row],[VEHIDCODE]],"_")</f>
        <v>Wagon_Gen3_Silo_Type2</v>
      </c>
      <c r="C672" t="s">
        <v>750</v>
      </c>
      <c r="D672" t="b">
        <f>OR(ISNUMBER(SEARCH("wagon_",Table1[[#This Row],[FILENAMES_EXPECTED]])),ISNUMBER(SEARCH("coach_",Table1[[#This Row],[FILENAMES_EXPECTED]])))</f>
        <v>1</v>
      </c>
      <c r="E672" t="str">
        <f>"item_"&amp;Table1[[#This Row],[VEHIDCODE]]</f>
        <v>item_mu_Wagon_Gen3_Silo_Type2</v>
      </c>
      <c r="F672" t="str">
        <f>"str_"&amp;Table1[[#This Row],[VEHIDCODE]]</f>
        <v>str_mu_Wagon_Gen3_Silo_Type2</v>
      </c>
      <c r="O672" s="2" t="b">
        <v>1</v>
      </c>
      <c r="X672" s="2" t="b">
        <v>1</v>
      </c>
      <c r="AG672" s="2" t="b">
        <v>1</v>
      </c>
      <c r="AJ672" s="2"/>
      <c r="AK672" s="2" t="b">
        <f>LEN(_xlfn.CONCAT(Table1[[#This Row],[TRACK_TYPE_STANDARD_GAUGE_RAILTYPE_OHLE]:[TRACK_TYPE_MTRO]]))&gt;0</f>
        <v>1</v>
      </c>
      <c r="AL672">
        <v>6</v>
      </c>
      <c r="AM672" t="s">
        <v>608</v>
      </c>
      <c r="AN672">
        <v>0</v>
      </c>
      <c r="AO672" t="s">
        <v>35</v>
      </c>
      <c r="AP672">
        <v>40</v>
      </c>
      <c r="AQ672">
        <v>1930</v>
      </c>
      <c r="AR672">
        <v>6</v>
      </c>
      <c r="AS672" s="2" t="s">
        <v>33</v>
      </c>
      <c r="AT672" t="b">
        <v>1</v>
      </c>
      <c r="AV672" s="2" t="b">
        <v>1</v>
      </c>
      <c r="AW672">
        <v>50</v>
      </c>
      <c r="AX672">
        <v>0</v>
      </c>
      <c r="AY672">
        <v>0</v>
      </c>
      <c r="AZ672" t="s">
        <v>711</v>
      </c>
      <c r="BA672">
        <v>80</v>
      </c>
      <c r="BB672" s="2">
        <v>0.3</v>
      </c>
      <c r="BC672" t="s">
        <v>934</v>
      </c>
      <c r="BD672" t="s">
        <v>922</v>
      </c>
      <c r="BE672" t="s">
        <v>940</v>
      </c>
      <c r="BF672" s="7">
        <v>25</v>
      </c>
      <c r="BG6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72">
        <v>0</v>
      </c>
      <c r="BI672" t="s">
        <v>734</v>
      </c>
      <c r="BJ672" s="11"/>
      <c r="BK672" s="11"/>
      <c r="BL672" s="11">
        <v>23</v>
      </c>
      <c r="BM672">
        <v>0</v>
      </c>
      <c r="BN672" t="s">
        <v>692</v>
      </c>
      <c r="BO672" t="s">
        <v>694</v>
      </c>
      <c r="BP672" t="s">
        <v>701</v>
      </c>
      <c r="BQ672" t="s">
        <v>705</v>
      </c>
      <c r="BR672" t="s">
        <v>706</v>
      </c>
      <c r="BS672" t="s">
        <v>707</v>
      </c>
      <c r="CR672"/>
      <c r="CS672"/>
      <c r="CT672"/>
    </row>
    <row r="673" spans="1:98" x14ac:dyDescent="0.4">
      <c r="A673" s="2" t="s">
        <v>859</v>
      </c>
      <c r="B673" t="str">
        <f>_xlfn.TEXTAFTER(Table1[[#This Row],[VEHIDCODE]],"_")</f>
        <v>Wagon_Gen3_Hopper</v>
      </c>
      <c r="C673" t="s">
        <v>750</v>
      </c>
      <c r="D673" t="b">
        <f>OR(ISNUMBER(SEARCH("wagon_",Table1[[#This Row],[FILENAMES_EXPECTED]])),ISNUMBER(SEARCH("coach_",Table1[[#This Row],[FILENAMES_EXPECTED]])))</f>
        <v>1</v>
      </c>
      <c r="E673" t="str">
        <f>"item_"&amp;Table1[[#This Row],[VEHIDCODE]]</f>
        <v>item_mu_Wagon_Gen3_Hopper</v>
      </c>
      <c r="F673" t="str">
        <f>"str_"&amp;Table1[[#This Row],[VEHIDCODE]]</f>
        <v>str_mu_Wagon_Gen3_Hopper</v>
      </c>
      <c r="O673" s="2" t="b">
        <v>1</v>
      </c>
      <c r="X673" s="2" t="b">
        <v>1</v>
      </c>
      <c r="AG673" s="2" t="b">
        <v>1</v>
      </c>
      <c r="AJ673" s="2"/>
      <c r="AK673" s="2" t="b">
        <f>LEN(_xlfn.CONCAT(Table1[[#This Row],[TRACK_TYPE_STANDARD_GAUGE_RAILTYPE_OHLE]:[TRACK_TYPE_MTRO]]))&gt;0</f>
        <v>1</v>
      </c>
      <c r="AL673">
        <v>6</v>
      </c>
      <c r="AM673" t="s">
        <v>607</v>
      </c>
      <c r="AN673">
        <v>0</v>
      </c>
      <c r="AO673" t="s">
        <v>35</v>
      </c>
      <c r="AP673">
        <v>40</v>
      </c>
      <c r="AQ673">
        <v>1920</v>
      </c>
      <c r="AR673">
        <v>6</v>
      </c>
      <c r="AS673" s="2" t="s">
        <v>33</v>
      </c>
      <c r="AT673" t="b">
        <v>1</v>
      </c>
      <c r="AV673" s="2" t="b">
        <v>1</v>
      </c>
      <c r="AW673">
        <v>60</v>
      </c>
      <c r="AX673">
        <v>0</v>
      </c>
      <c r="AY673">
        <v>0</v>
      </c>
      <c r="AZ673" t="s">
        <v>711</v>
      </c>
      <c r="BA673">
        <v>80</v>
      </c>
      <c r="BB673" s="2">
        <v>0.3</v>
      </c>
      <c r="BC673" t="s">
        <v>936</v>
      </c>
      <c r="BD673" t="s">
        <v>922</v>
      </c>
      <c r="BE673" t="s">
        <v>940</v>
      </c>
      <c r="BF673" s="7">
        <v>25</v>
      </c>
      <c r="BG6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73">
        <v>0</v>
      </c>
      <c r="BI673" t="s">
        <v>734</v>
      </c>
      <c r="BJ673" s="11"/>
      <c r="BK673" s="11"/>
      <c r="BL673" s="11">
        <v>26</v>
      </c>
      <c r="BM673">
        <v>0</v>
      </c>
      <c r="BN673" t="s">
        <v>692</v>
      </c>
      <c r="BO673" t="s">
        <v>694</v>
      </c>
      <c r="BP673" t="s">
        <v>701</v>
      </c>
      <c r="BQ673" t="s">
        <v>705</v>
      </c>
      <c r="BR673" t="s">
        <v>706</v>
      </c>
      <c r="BS673" t="s">
        <v>707</v>
      </c>
      <c r="CR673"/>
      <c r="CS673"/>
      <c r="CT673"/>
    </row>
    <row r="674" spans="1:98" x14ac:dyDescent="0.4">
      <c r="A674" s="2" t="s">
        <v>860</v>
      </c>
      <c r="B674" t="str">
        <f>_xlfn.TEXTAFTER(Table1[[#This Row],[VEHIDCODE]],"_")</f>
        <v>Wagon_Gen4_Flatcar</v>
      </c>
      <c r="C674" t="s">
        <v>751</v>
      </c>
      <c r="D674" t="b">
        <f>OR(ISNUMBER(SEARCH("wagon_",Table1[[#This Row],[FILENAMES_EXPECTED]])),ISNUMBER(SEARCH("coach_",Table1[[#This Row],[FILENAMES_EXPECTED]])))</f>
        <v>1</v>
      </c>
      <c r="E674" t="str">
        <f>"item_"&amp;Table1[[#This Row],[VEHIDCODE]]</f>
        <v>item_mu_Wagon_Gen4_Flatcar</v>
      </c>
      <c r="F674" t="str">
        <f>"str_"&amp;Table1[[#This Row],[VEHIDCODE]]</f>
        <v>str_mu_Wagon_Gen4_Flatcar</v>
      </c>
      <c r="O674" s="2" t="b">
        <v>1</v>
      </c>
      <c r="X674" s="2" t="b">
        <v>1</v>
      </c>
      <c r="AG674" s="2" t="b">
        <v>1</v>
      </c>
      <c r="AJ674" s="2"/>
      <c r="AK674" s="2" t="b">
        <f>LEN(_xlfn.CONCAT(Table1[[#This Row],[TRACK_TYPE_STANDARD_GAUGE_RAILTYPE_OHLE]:[TRACK_TYPE_MTRO]]))&gt;0</f>
        <v>1</v>
      </c>
      <c r="AL674">
        <v>7</v>
      </c>
      <c r="AM674" t="s">
        <v>604</v>
      </c>
      <c r="AN674">
        <v>0</v>
      </c>
      <c r="AO674" t="s">
        <v>35</v>
      </c>
      <c r="AP674">
        <v>50</v>
      </c>
      <c r="AQ674">
        <v>1960</v>
      </c>
      <c r="AR674">
        <v>7</v>
      </c>
      <c r="AS674" s="2" t="s">
        <v>33</v>
      </c>
      <c r="AT674" t="b">
        <v>1</v>
      </c>
      <c r="AV674" s="2" t="b">
        <v>1</v>
      </c>
      <c r="AW674">
        <v>60</v>
      </c>
      <c r="AX674">
        <v>0</v>
      </c>
      <c r="AY674">
        <v>0</v>
      </c>
      <c r="AZ674" t="s">
        <v>711</v>
      </c>
      <c r="BA674">
        <v>100</v>
      </c>
      <c r="BB674" s="2">
        <v>0.3</v>
      </c>
      <c r="BC674" t="s">
        <v>936</v>
      </c>
      <c r="BD674" t="s">
        <v>922</v>
      </c>
      <c r="BE674" t="s">
        <v>940</v>
      </c>
      <c r="BF674" s="7">
        <v>25</v>
      </c>
      <c r="BG6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74">
        <v>0</v>
      </c>
      <c r="BI674" t="s">
        <v>734</v>
      </c>
      <c r="BJ674" s="11"/>
      <c r="BK674" s="11"/>
      <c r="BL674" s="11">
        <v>25</v>
      </c>
      <c r="BM674">
        <v>0</v>
      </c>
      <c r="BN674" t="s">
        <v>692</v>
      </c>
      <c r="BO674" t="s">
        <v>694</v>
      </c>
      <c r="BP674" t="s">
        <v>701</v>
      </c>
      <c r="BQ674" t="s">
        <v>705</v>
      </c>
      <c r="BR674" t="s">
        <v>706</v>
      </c>
      <c r="BS674" t="s">
        <v>707</v>
      </c>
      <c r="CR674"/>
      <c r="CS674"/>
      <c r="CT674"/>
    </row>
    <row r="675" spans="1:98" x14ac:dyDescent="0.4">
      <c r="A675" s="2" t="s">
        <v>861</v>
      </c>
      <c r="B675" t="str">
        <f>_xlfn.TEXTAFTER(Table1[[#This Row],[VEHIDCODE]],"_")</f>
        <v>Wagon_Gen4_Heavy_Flatcar</v>
      </c>
      <c r="C675" t="s">
        <v>751</v>
      </c>
      <c r="D675" t="b">
        <f>OR(ISNUMBER(SEARCH("wagon_",Table1[[#This Row],[FILENAMES_EXPECTED]])),ISNUMBER(SEARCH("coach_",Table1[[#This Row],[FILENAMES_EXPECTED]])))</f>
        <v>1</v>
      </c>
      <c r="E675" t="str">
        <f>"item_"&amp;Table1[[#This Row],[VEHIDCODE]]</f>
        <v>item_mu_Wagon_Gen4_Heavy_Flatcar</v>
      </c>
      <c r="F675" t="str">
        <f>"str_"&amp;Table1[[#This Row],[VEHIDCODE]]</f>
        <v>str_mu_Wagon_Gen4_Heavy_Flatcar</v>
      </c>
      <c r="O675" s="2" t="b">
        <v>1</v>
      </c>
      <c r="X675" s="2" t="b">
        <v>1</v>
      </c>
      <c r="AG675" s="2" t="b">
        <v>1</v>
      </c>
      <c r="AJ675" s="2"/>
      <c r="AK675" s="2" t="b">
        <f>LEN(_xlfn.CONCAT(Table1[[#This Row],[TRACK_TYPE_STANDARD_GAUGE_RAILTYPE_OHLE]:[TRACK_TYPE_MTRO]]))&gt;0</f>
        <v>1</v>
      </c>
      <c r="AL675">
        <v>7</v>
      </c>
      <c r="AM675" t="s">
        <v>606</v>
      </c>
      <c r="AN675">
        <v>0</v>
      </c>
      <c r="AO675" t="s">
        <v>35</v>
      </c>
      <c r="AP675">
        <v>70</v>
      </c>
      <c r="AQ675">
        <v>1960</v>
      </c>
      <c r="AR675">
        <v>7</v>
      </c>
      <c r="AS675" s="2" t="s">
        <v>33</v>
      </c>
      <c r="AT675" t="b">
        <v>1</v>
      </c>
      <c r="AV675" s="2" t="b">
        <v>1</v>
      </c>
      <c r="AW675">
        <v>60</v>
      </c>
      <c r="AX675">
        <v>0</v>
      </c>
      <c r="AY675">
        <v>0</v>
      </c>
      <c r="AZ675" t="s">
        <v>711</v>
      </c>
      <c r="BA675">
        <v>100</v>
      </c>
      <c r="BB675" s="2">
        <v>0.3</v>
      </c>
      <c r="BC675" t="s">
        <v>936</v>
      </c>
      <c r="BD675" t="s">
        <v>922</v>
      </c>
      <c r="BE675" t="s">
        <v>940</v>
      </c>
      <c r="BF675" s="7">
        <v>25</v>
      </c>
      <c r="BG6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75">
        <v>0</v>
      </c>
      <c r="BI675" t="s">
        <v>734</v>
      </c>
      <c r="BJ675" s="11"/>
      <c r="BK675" s="11"/>
      <c r="BL675" s="11">
        <v>30</v>
      </c>
      <c r="BM675">
        <v>0</v>
      </c>
      <c r="BN675" t="s">
        <v>692</v>
      </c>
      <c r="BO675" t="s">
        <v>694</v>
      </c>
      <c r="BP675" t="s">
        <v>701</v>
      </c>
      <c r="BQ675" t="s">
        <v>705</v>
      </c>
      <c r="BR675" t="s">
        <v>706</v>
      </c>
      <c r="BS675" t="s">
        <v>707</v>
      </c>
      <c r="CR675"/>
      <c r="CS675"/>
      <c r="CT675"/>
    </row>
    <row r="676" spans="1:98" x14ac:dyDescent="0.4">
      <c r="A676" s="2" t="s">
        <v>862</v>
      </c>
      <c r="B676" t="str">
        <f>_xlfn.TEXTAFTER(Table1[[#This Row],[VEHIDCODE]],"_")</f>
        <v>Wagon_Gen4_Boxcar_Type1</v>
      </c>
      <c r="C676" t="s">
        <v>751</v>
      </c>
      <c r="D676" t="b">
        <f>OR(ISNUMBER(SEARCH("wagon_",Table1[[#This Row],[FILENAMES_EXPECTED]])),ISNUMBER(SEARCH("coach_",Table1[[#This Row],[FILENAMES_EXPECTED]])))</f>
        <v>1</v>
      </c>
      <c r="E676" t="str">
        <f>"item_"&amp;Table1[[#This Row],[VEHIDCODE]]</f>
        <v>item_mu_Wagon_Gen4_Boxcar_Type1</v>
      </c>
      <c r="F676" t="str">
        <f>"str_"&amp;Table1[[#This Row],[VEHIDCODE]]</f>
        <v>str_mu_Wagon_Gen4_Boxcar_Type1</v>
      </c>
      <c r="O676" s="2" t="b">
        <v>1</v>
      </c>
      <c r="X676" s="2" t="b">
        <v>1</v>
      </c>
      <c r="AG676" s="2" t="b">
        <v>1</v>
      </c>
      <c r="AJ676" s="2"/>
      <c r="AK676" s="2" t="b">
        <f>LEN(_xlfn.CONCAT(Table1[[#This Row],[TRACK_TYPE_STANDARD_GAUGE_RAILTYPE_OHLE]:[TRACK_TYPE_MTRO]]))&gt;0</f>
        <v>1</v>
      </c>
      <c r="AL676">
        <v>7</v>
      </c>
      <c r="AM676" t="s">
        <v>600</v>
      </c>
      <c r="AN676">
        <v>0</v>
      </c>
      <c r="AO676" t="s">
        <v>35</v>
      </c>
      <c r="AP676">
        <v>42</v>
      </c>
      <c r="AQ676">
        <v>1950</v>
      </c>
      <c r="AR676">
        <v>7</v>
      </c>
      <c r="AS676" s="2" t="s">
        <v>33</v>
      </c>
      <c r="AT676" t="b">
        <v>1</v>
      </c>
      <c r="AV676" s="2" t="b">
        <v>1</v>
      </c>
      <c r="AW676">
        <v>70</v>
      </c>
      <c r="AX676">
        <v>0</v>
      </c>
      <c r="AY676">
        <v>0</v>
      </c>
      <c r="AZ676" t="s">
        <v>711</v>
      </c>
      <c r="BA676">
        <v>120</v>
      </c>
      <c r="BB676" s="2">
        <v>0.3</v>
      </c>
      <c r="BC676" t="s">
        <v>933</v>
      </c>
      <c r="BD676" t="s">
        <v>922</v>
      </c>
      <c r="BE676" t="s">
        <v>940</v>
      </c>
      <c r="BF676" s="7">
        <v>25</v>
      </c>
      <c r="BG6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76">
        <v>0</v>
      </c>
      <c r="BI676" t="s">
        <v>734</v>
      </c>
      <c r="BJ676" s="11"/>
      <c r="BK676" s="11"/>
      <c r="BL676" s="11">
        <v>30</v>
      </c>
      <c r="BM676">
        <v>0</v>
      </c>
      <c r="BN676" t="s">
        <v>692</v>
      </c>
      <c r="BO676" t="s">
        <v>694</v>
      </c>
      <c r="BP676" t="s">
        <v>701</v>
      </c>
      <c r="BQ676" t="s">
        <v>705</v>
      </c>
      <c r="BR676" t="s">
        <v>706</v>
      </c>
      <c r="BS676" t="s">
        <v>707</v>
      </c>
      <c r="CR676"/>
      <c r="CS676"/>
      <c r="CT676"/>
    </row>
    <row r="677" spans="1:98" x14ac:dyDescent="0.4">
      <c r="A677" s="2" t="s">
        <v>863</v>
      </c>
      <c r="B677" t="str">
        <f>_xlfn.TEXTAFTER(Table1[[#This Row],[VEHIDCODE]],"_")</f>
        <v>Wagon_Gen4_Boxcar_Type2</v>
      </c>
      <c r="C677" t="s">
        <v>751</v>
      </c>
      <c r="D677" t="b">
        <f>OR(ISNUMBER(SEARCH("wagon_",Table1[[#This Row],[FILENAMES_EXPECTED]])),ISNUMBER(SEARCH("coach_",Table1[[#This Row],[FILENAMES_EXPECTED]])))</f>
        <v>1</v>
      </c>
      <c r="E677" t="str">
        <f>"item_"&amp;Table1[[#This Row],[VEHIDCODE]]</f>
        <v>item_mu_Wagon_Gen4_Boxcar_Type2</v>
      </c>
      <c r="F677" t="str">
        <f>"str_"&amp;Table1[[#This Row],[VEHIDCODE]]</f>
        <v>str_mu_Wagon_Gen4_Boxcar_Type2</v>
      </c>
      <c r="O677" s="2" t="b">
        <v>1</v>
      </c>
      <c r="X677" s="2" t="b">
        <v>1</v>
      </c>
      <c r="AG677" s="2" t="b">
        <v>1</v>
      </c>
      <c r="AJ677" s="2"/>
      <c r="AK677" s="2" t="b">
        <f>LEN(_xlfn.CONCAT(Table1[[#This Row],[TRACK_TYPE_STANDARD_GAUGE_RAILTYPE_OHLE]:[TRACK_TYPE_MTRO]]))&gt;0</f>
        <v>1</v>
      </c>
      <c r="AL677">
        <v>7</v>
      </c>
      <c r="AM677" t="s">
        <v>600</v>
      </c>
      <c r="AN677">
        <v>0</v>
      </c>
      <c r="AO677" t="s">
        <v>35</v>
      </c>
      <c r="AP677">
        <v>42</v>
      </c>
      <c r="AQ677">
        <v>1950</v>
      </c>
      <c r="AR677">
        <v>7</v>
      </c>
      <c r="AS677" s="2" t="s">
        <v>33</v>
      </c>
      <c r="AT677" t="b">
        <v>1</v>
      </c>
      <c r="AV677" s="2" t="b">
        <v>1</v>
      </c>
      <c r="AW677">
        <v>70</v>
      </c>
      <c r="AX677">
        <v>0</v>
      </c>
      <c r="AY677">
        <v>0</v>
      </c>
      <c r="AZ677" t="s">
        <v>711</v>
      </c>
      <c r="BA677">
        <v>120</v>
      </c>
      <c r="BB677" s="2">
        <v>0.3</v>
      </c>
      <c r="BC677" t="s">
        <v>934</v>
      </c>
      <c r="BD677" t="s">
        <v>922</v>
      </c>
      <c r="BE677" t="s">
        <v>940</v>
      </c>
      <c r="BF677" s="7">
        <v>25</v>
      </c>
      <c r="BG6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77">
        <v>0</v>
      </c>
      <c r="BI677" t="s">
        <v>734</v>
      </c>
      <c r="BJ677" s="11"/>
      <c r="BK677" s="11"/>
      <c r="BL677" s="11">
        <v>30</v>
      </c>
      <c r="BM677">
        <v>0</v>
      </c>
      <c r="BN677" t="s">
        <v>692</v>
      </c>
      <c r="BO677" t="s">
        <v>694</v>
      </c>
      <c r="BP677" t="s">
        <v>701</v>
      </c>
      <c r="BQ677" t="s">
        <v>705</v>
      </c>
      <c r="BR677" t="s">
        <v>706</v>
      </c>
      <c r="BS677" t="s">
        <v>707</v>
      </c>
      <c r="CR677"/>
      <c r="CS677"/>
      <c r="CT677"/>
    </row>
    <row r="678" spans="1:98" x14ac:dyDescent="0.4">
      <c r="A678" s="2" t="s">
        <v>864</v>
      </c>
      <c r="B678" t="str">
        <f>_xlfn.TEXTAFTER(Table1[[#This Row],[VEHIDCODE]],"_")</f>
        <v>Wagon_Gen4_Tanker</v>
      </c>
      <c r="C678" t="s">
        <v>751</v>
      </c>
      <c r="D678" t="b">
        <f>OR(ISNUMBER(SEARCH("wagon_",Table1[[#This Row],[FILENAMES_EXPECTED]])),ISNUMBER(SEARCH("coach_",Table1[[#This Row],[FILENAMES_EXPECTED]])))</f>
        <v>1</v>
      </c>
      <c r="E678" t="str">
        <f>"item_"&amp;Table1[[#This Row],[VEHIDCODE]]</f>
        <v>item_mu_Wagon_Gen4_Tanker</v>
      </c>
      <c r="F678" t="str">
        <f>"str_"&amp;Table1[[#This Row],[VEHIDCODE]]</f>
        <v>str_mu_Wagon_Gen4_Tanker</v>
      </c>
      <c r="O678" s="2" t="b">
        <v>1</v>
      </c>
      <c r="X678" s="2" t="b">
        <v>1</v>
      </c>
      <c r="AG678" s="2" t="b">
        <v>1</v>
      </c>
      <c r="AJ678" s="2"/>
      <c r="AK678" s="2" t="b">
        <f>LEN(_xlfn.CONCAT(Table1[[#This Row],[TRACK_TYPE_STANDARD_GAUGE_RAILTYPE_OHLE]:[TRACK_TYPE_MTRO]]))&gt;0</f>
        <v>1</v>
      </c>
      <c r="AL678">
        <v>7</v>
      </c>
      <c r="AM678" t="s">
        <v>610</v>
      </c>
      <c r="AN678">
        <v>0</v>
      </c>
      <c r="AO678" t="s">
        <v>35</v>
      </c>
      <c r="AP678">
        <v>80</v>
      </c>
      <c r="AQ678">
        <v>1950</v>
      </c>
      <c r="AR678">
        <v>7</v>
      </c>
      <c r="AS678" s="2" t="s">
        <v>33</v>
      </c>
      <c r="AT678" t="b">
        <v>1</v>
      </c>
      <c r="AV678" s="2" t="b">
        <v>1</v>
      </c>
      <c r="AW678">
        <v>70</v>
      </c>
      <c r="AX678">
        <v>0</v>
      </c>
      <c r="AY678">
        <v>0</v>
      </c>
      <c r="AZ678" t="s">
        <v>711</v>
      </c>
      <c r="BA678">
        <v>100</v>
      </c>
      <c r="BB678" s="2">
        <v>0.3</v>
      </c>
      <c r="BC678" t="s">
        <v>936</v>
      </c>
      <c r="BD678" t="s">
        <v>922</v>
      </c>
      <c r="BE678" t="s">
        <v>940</v>
      </c>
      <c r="BF678" s="7">
        <v>25</v>
      </c>
      <c r="BG6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78">
        <v>0</v>
      </c>
      <c r="BI678" t="s">
        <v>734</v>
      </c>
      <c r="BJ678" s="11"/>
      <c r="BK678" s="11"/>
      <c r="BL678" s="11">
        <v>22</v>
      </c>
      <c r="BM678">
        <v>0</v>
      </c>
      <c r="BN678" t="s">
        <v>692</v>
      </c>
      <c r="BO678" t="s">
        <v>694</v>
      </c>
      <c r="BP678" t="s">
        <v>701</v>
      </c>
      <c r="BQ678" t="s">
        <v>705</v>
      </c>
      <c r="BR678" t="s">
        <v>706</v>
      </c>
      <c r="BS678" t="s">
        <v>707</v>
      </c>
      <c r="CR678"/>
      <c r="CS678"/>
      <c r="CT678"/>
    </row>
    <row r="679" spans="1:98" x14ac:dyDescent="0.4">
      <c r="A679" s="2" t="s">
        <v>865</v>
      </c>
      <c r="B679" t="str">
        <f>_xlfn.TEXTAFTER(Table1[[#This Row],[VEHIDCODE]],"_")</f>
        <v>Wagon_Gen4_Gondola</v>
      </c>
      <c r="C679" t="s">
        <v>751</v>
      </c>
      <c r="D679" t="b">
        <f>OR(ISNUMBER(SEARCH("wagon_",Table1[[#This Row],[FILENAMES_EXPECTED]])),ISNUMBER(SEARCH("coach_",Table1[[#This Row],[FILENAMES_EXPECTED]])))</f>
        <v>1</v>
      </c>
      <c r="E679" t="str">
        <f>"item_"&amp;Table1[[#This Row],[VEHIDCODE]]</f>
        <v>item_mu_Wagon_Gen4_Gondola</v>
      </c>
      <c r="F679" t="str">
        <f>"str_"&amp;Table1[[#This Row],[VEHIDCODE]]</f>
        <v>str_mu_Wagon_Gen4_Gondola</v>
      </c>
      <c r="O679" s="2" t="b">
        <v>1</v>
      </c>
      <c r="X679" s="2" t="b">
        <v>1</v>
      </c>
      <c r="AG679" s="2" t="b">
        <v>1</v>
      </c>
      <c r="AJ679" s="2"/>
      <c r="AK679" s="2" t="b">
        <f>LEN(_xlfn.CONCAT(Table1[[#This Row],[TRACK_TYPE_STANDARD_GAUGE_RAILTYPE_OHLE]:[TRACK_TYPE_MTRO]]))&gt;0</f>
        <v>1</v>
      </c>
      <c r="AL679">
        <v>7</v>
      </c>
      <c r="AM679" t="s">
        <v>605</v>
      </c>
      <c r="AN679">
        <v>0</v>
      </c>
      <c r="AO679" t="s">
        <v>35</v>
      </c>
      <c r="AP679">
        <v>55</v>
      </c>
      <c r="AQ679">
        <v>1950</v>
      </c>
      <c r="AR679">
        <v>7</v>
      </c>
      <c r="AS679" s="2" t="s">
        <v>33</v>
      </c>
      <c r="AT679" t="b">
        <v>1</v>
      </c>
      <c r="AV679" s="2" t="b">
        <v>1</v>
      </c>
      <c r="AW679">
        <v>70</v>
      </c>
      <c r="AX679">
        <v>0</v>
      </c>
      <c r="AY679">
        <v>0</v>
      </c>
      <c r="AZ679" t="s">
        <v>711</v>
      </c>
      <c r="BA679">
        <v>100</v>
      </c>
      <c r="BB679" s="2">
        <v>0.3</v>
      </c>
      <c r="BC679" t="s">
        <v>936</v>
      </c>
      <c r="BD679" t="s">
        <v>922</v>
      </c>
      <c r="BE679" t="s">
        <v>940</v>
      </c>
      <c r="BF679" s="7">
        <v>25</v>
      </c>
      <c r="BG6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79">
        <v>0</v>
      </c>
      <c r="BI679" t="s">
        <v>734</v>
      </c>
      <c r="BJ679" s="11"/>
      <c r="BK679" s="11"/>
      <c r="BL679" s="11">
        <v>22</v>
      </c>
      <c r="BM679">
        <v>0</v>
      </c>
      <c r="BN679" t="s">
        <v>692</v>
      </c>
      <c r="BO679" t="s">
        <v>694</v>
      </c>
      <c r="BP679" t="s">
        <v>701</v>
      </c>
      <c r="BQ679" t="s">
        <v>705</v>
      </c>
      <c r="BR679" t="s">
        <v>706</v>
      </c>
      <c r="BS679" t="s">
        <v>707</v>
      </c>
      <c r="CR679"/>
      <c r="CS679"/>
      <c r="CT679"/>
    </row>
    <row r="680" spans="1:98" x14ac:dyDescent="0.4">
      <c r="A680" s="2" t="s">
        <v>866</v>
      </c>
      <c r="B680" t="str">
        <f>_xlfn.TEXTAFTER(Table1[[#This Row],[VEHIDCODE]],"_")</f>
        <v>Wagon_Gen4_Silo_Type1</v>
      </c>
      <c r="C680" t="s">
        <v>751</v>
      </c>
      <c r="D680" t="b">
        <f>OR(ISNUMBER(SEARCH("wagon_",Table1[[#This Row],[FILENAMES_EXPECTED]])),ISNUMBER(SEARCH("coach_",Table1[[#This Row],[FILENAMES_EXPECTED]])))</f>
        <v>1</v>
      </c>
      <c r="E680" t="str">
        <f>"item_"&amp;Table1[[#This Row],[VEHIDCODE]]</f>
        <v>item_mu_Wagon_Gen4_Silo_Type1</v>
      </c>
      <c r="F680" t="str">
        <f>"str_"&amp;Table1[[#This Row],[VEHIDCODE]]</f>
        <v>str_mu_Wagon_Gen4_Silo_Type1</v>
      </c>
      <c r="O680" s="2" t="b">
        <v>1</v>
      </c>
      <c r="X680" s="2" t="b">
        <v>1</v>
      </c>
      <c r="AG680" s="2" t="b">
        <v>1</v>
      </c>
      <c r="AJ680" s="2"/>
      <c r="AK680" s="2" t="b">
        <f>LEN(_xlfn.CONCAT(Table1[[#This Row],[TRACK_TYPE_STANDARD_GAUGE_RAILTYPE_OHLE]:[TRACK_TYPE_MTRO]]))&gt;0</f>
        <v>1</v>
      </c>
      <c r="AL680">
        <v>7</v>
      </c>
      <c r="AM680" t="s">
        <v>608</v>
      </c>
      <c r="AN680">
        <v>0</v>
      </c>
      <c r="AO680" t="s">
        <v>35</v>
      </c>
      <c r="AP680">
        <v>55</v>
      </c>
      <c r="AQ680">
        <v>1950</v>
      </c>
      <c r="AR680">
        <v>7</v>
      </c>
      <c r="AS680" s="2" t="s">
        <v>33</v>
      </c>
      <c r="AT680" t="b">
        <v>1</v>
      </c>
      <c r="AV680" s="2" t="b">
        <v>1</v>
      </c>
      <c r="AW680">
        <v>70</v>
      </c>
      <c r="AX680">
        <v>0</v>
      </c>
      <c r="AY680">
        <v>0</v>
      </c>
      <c r="AZ680" t="s">
        <v>711</v>
      </c>
      <c r="BA680">
        <v>100</v>
      </c>
      <c r="BB680" s="2">
        <v>0.3</v>
      </c>
      <c r="BC680" t="s">
        <v>933</v>
      </c>
      <c r="BD680" t="s">
        <v>922</v>
      </c>
      <c r="BE680" t="s">
        <v>940</v>
      </c>
      <c r="BF680" s="7">
        <v>25</v>
      </c>
      <c r="BG6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80">
        <v>0</v>
      </c>
      <c r="BI680" t="s">
        <v>734</v>
      </c>
      <c r="BJ680" s="11"/>
      <c r="BK680" s="11"/>
      <c r="BL680" s="11">
        <v>25</v>
      </c>
      <c r="BM680">
        <v>0</v>
      </c>
      <c r="BN680" t="s">
        <v>692</v>
      </c>
      <c r="BO680" t="s">
        <v>694</v>
      </c>
      <c r="BP680" t="s">
        <v>701</v>
      </c>
      <c r="BQ680" t="s">
        <v>705</v>
      </c>
      <c r="BR680" t="s">
        <v>706</v>
      </c>
      <c r="BS680" t="s">
        <v>707</v>
      </c>
      <c r="CR680"/>
      <c r="CS680"/>
      <c r="CT680"/>
    </row>
    <row r="681" spans="1:98" x14ac:dyDescent="0.4">
      <c r="A681" s="2" t="s">
        <v>867</v>
      </c>
      <c r="B681" t="str">
        <f>_xlfn.TEXTAFTER(Table1[[#This Row],[VEHIDCODE]],"_")</f>
        <v>Wagon_Gen4_Silo_Type2</v>
      </c>
      <c r="C681" t="s">
        <v>751</v>
      </c>
      <c r="D681" t="b">
        <f>OR(ISNUMBER(SEARCH("wagon_",Table1[[#This Row],[FILENAMES_EXPECTED]])),ISNUMBER(SEARCH("coach_",Table1[[#This Row],[FILENAMES_EXPECTED]])))</f>
        <v>1</v>
      </c>
      <c r="E681" t="str">
        <f>"item_"&amp;Table1[[#This Row],[VEHIDCODE]]</f>
        <v>item_mu_Wagon_Gen4_Silo_Type2</v>
      </c>
      <c r="F681" t="str">
        <f>"str_"&amp;Table1[[#This Row],[VEHIDCODE]]</f>
        <v>str_mu_Wagon_Gen4_Silo_Type2</v>
      </c>
      <c r="O681" s="2" t="b">
        <v>1</v>
      </c>
      <c r="X681" s="2" t="b">
        <v>1</v>
      </c>
      <c r="AG681" s="2" t="b">
        <v>1</v>
      </c>
      <c r="AJ681" s="2"/>
      <c r="AK681" s="2" t="b">
        <f>LEN(_xlfn.CONCAT(Table1[[#This Row],[TRACK_TYPE_STANDARD_GAUGE_RAILTYPE_OHLE]:[TRACK_TYPE_MTRO]]))&gt;0</f>
        <v>1</v>
      </c>
      <c r="AL681">
        <v>7</v>
      </c>
      <c r="AM681" t="s">
        <v>608</v>
      </c>
      <c r="AN681">
        <v>0</v>
      </c>
      <c r="AO681" t="s">
        <v>35</v>
      </c>
      <c r="AP681">
        <v>55</v>
      </c>
      <c r="AQ681">
        <v>1950</v>
      </c>
      <c r="AR681">
        <v>7</v>
      </c>
      <c r="AS681" s="2" t="s">
        <v>33</v>
      </c>
      <c r="AT681" t="b">
        <v>1</v>
      </c>
      <c r="AV681" s="2" t="b">
        <v>1</v>
      </c>
      <c r="AW681">
        <v>70</v>
      </c>
      <c r="AX681">
        <v>0</v>
      </c>
      <c r="AY681">
        <v>0</v>
      </c>
      <c r="AZ681" t="s">
        <v>711</v>
      </c>
      <c r="BA681">
        <v>100</v>
      </c>
      <c r="BB681" s="2">
        <v>0.3</v>
      </c>
      <c r="BC681" t="s">
        <v>934</v>
      </c>
      <c r="BD681" t="s">
        <v>922</v>
      </c>
      <c r="BE681" t="s">
        <v>940</v>
      </c>
      <c r="BF681" s="7">
        <v>25</v>
      </c>
      <c r="BG6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81">
        <v>0</v>
      </c>
      <c r="BI681" t="s">
        <v>734</v>
      </c>
      <c r="BJ681" s="11"/>
      <c r="BK681" s="11"/>
      <c r="BL681" s="11">
        <v>25</v>
      </c>
      <c r="BM681">
        <v>0</v>
      </c>
      <c r="BN681" t="s">
        <v>692</v>
      </c>
      <c r="BO681" t="s">
        <v>694</v>
      </c>
      <c r="BP681" t="s">
        <v>701</v>
      </c>
      <c r="BQ681" t="s">
        <v>705</v>
      </c>
      <c r="BR681" t="s">
        <v>706</v>
      </c>
      <c r="BS681" t="s">
        <v>707</v>
      </c>
      <c r="CR681"/>
      <c r="CS681"/>
      <c r="CT681"/>
    </row>
    <row r="682" spans="1:98" x14ac:dyDescent="0.4">
      <c r="A682" s="2" t="s">
        <v>868</v>
      </c>
      <c r="B682" t="str">
        <f>_xlfn.TEXTAFTER(Table1[[#This Row],[VEHIDCODE]],"_")</f>
        <v>Wagon_Gen4_Hopper_Type1</v>
      </c>
      <c r="C682" t="s">
        <v>751</v>
      </c>
      <c r="D682" t="b">
        <f>OR(ISNUMBER(SEARCH("wagon_",Table1[[#This Row],[FILENAMES_EXPECTED]])),ISNUMBER(SEARCH("coach_",Table1[[#This Row],[FILENAMES_EXPECTED]])))</f>
        <v>1</v>
      </c>
      <c r="E682" t="str">
        <f>"item_"&amp;Table1[[#This Row],[VEHIDCODE]]</f>
        <v>item_mu_Wagon_Gen4_Hopper_Type1</v>
      </c>
      <c r="F682" t="str">
        <f>"str_"&amp;Table1[[#This Row],[VEHIDCODE]]</f>
        <v>str_mu_Wagon_Gen4_Hopper_Type1</v>
      </c>
      <c r="O682" s="2" t="b">
        <v>1</v>
      </c>
      <c r="X682" s="2" t="b">
        <v>1</v>
      </c>
      <c r="AG682" s="2" t="b">
        <v>1</v>
      </c>
      <c r="AJ682" s="2"/>
      <c r="AK682" s="2" t="b">
        <f>LEN(_xlfn.CONCAT(Table1[[#This Row],[TRACK_TYPE_STANDARD_GAUGE_RAILTYPE_OHLE]:[TRACK_TYPE_MTRO]]))&gt;0</f>
        <v>1</v>
      </c>
      <c r="AL682">
        <v>7</v>
      </c>
      <c r="AM682" t="s">
        <v>607</v>
      </c>
      <c r="AN682">
        <v>0</v>
      </c>
      <c r="AO682" t="s">
        <v>35</v>
      </c>
      <c r="AP682">
        <v>55</v>
      </c>
      <c r="AQ682">
        <v>1960</v>
      </c>
      <c r="AR682">
        <v>7</v>
      </c>
      <c r="AS682" s="2" t="s">
        <v>33</v>
      </c>
      <c r="AT682" t="b">
        <v>1</v>
      </c>
      <c r="AV682" s="2" t="b">
        <v>1</v>
      </c>
      <c r="AW682">
        <v>60</v>
      </c>
      <c r="AX682">
        <v>0</v>
      </c>
      <c r="AY682">
        <v>0</v>
      </c>
      <c r="AZ682" t="s">
        <v>711</v>
      </c>
      <c r="BA682">
        <v>100</v>
      </c>
      <c r="BB682" s="2">
        <v>0.3</v>
      </c>
      <c r="BC682" t="s">
        <v>933</v>
      </c>
      <c r="BD682" t="s">
        <v>922</v>
      </c>
      <c r="BE682" t="s">
        <v>940</v>
      </c>
      <c r="BF682" s="7">
        <v>25</v>
      </c>
      <c r="BG6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82">
        <v>0</v>
      </c>
      <c r="BI682" t="s">
        <v>734</v>
      </c>
      <c r="BJ682" s="11"/>
      <c r="BK682" s="11"/>
      <c r="BL682" s="11">
        <v>25</v>
      </c>
      <c r="BM682">
        <v>0</v>
      </c>
      <c r="BN682" t="s">
        <v>692</v>
      </c>
      <c r="BO682" t="s">
        <v>694</v>
      </c>
      <c r="BP682" t="s">
        <v>701</v>
      </c>
      <c r="BQ682" t="s">
        <v>705</v>
      </c>
      <c r="BR682" t="s">
        <v>706</v>
      </c>
      <c r="BS682" t="s">
        <v>707</v>
      </c>
      <c r="CR682"/>
      <c r="CS682"/>
      <c r="CT682"/>
    </row>
    <row r="683" spans="1:98" x14ac:dyDescent="0.4">
      <c r="A683" s="2" t="s">
        <v>869</v>
      </c>
      <c r="B683" t="str">
        <f>_xlfn.TEXTAFTER(Table1[[#This Row],[VEHIDCODE]],"_")</f>
        <v>Wagon_Gen4_Hopper_Type2</v>
      </c>
      <c r="C683" t="s">
        <v>751</v>
      </c>
      <c r="D683" t="b">
        <f>OR(ISNUMBER(SEARCH("wagon_",Table1[[#This Row],[FILENAMES_EXPECTED]])),ISNUMBER(SEARCH("coach_",Table1[[#This Row],[FILENAMES_EXPECTED]])))</f>
        <v>1</v>
      </c>
      <c r="E683" t="str">
        <f>"item_"&amp;Table1[[#This Row],[VEHIDCODE]]</f>
        <v>item_mu_Wagon_Gen4_Hopper_Type2</v>
      </c>
      <c r="F683" t="str">
        <f>"str_"&amp;Table1[[#This Row],[VEHIDCODE]]</f>
        <v>str_mu_Wagon_Gen4_Hopper_Type2</v>
      </c>
      <c r="O683" s="2" t="b">
        <v>1</v>
      </c>
      <c r="X683" s="2" t="b">
        <v>1</v>
      </c>
      <c r="AG683" s="2" t="b">
        <v>1</v>
      </c>
      <c r="AJ683" s="2"/>
      <c r="AK683" s="2" t="b">
        <f>LEN(_xlfn.CONCAT(Table1[[#This Row],[TRACK_TYPE_STANDARD_GAUGE_RAILTYPE_OHLE]:[TRACK_TYPE_MTRO]]))&gt;0</f>
        <v>1</v>
      </c>
      <c r="AL683">
        <v>7</v>
      </c>
      <c r="AM683" t="s">
        <v>607</v>
      </c>
      <c r="AN683">
        <v>0</v>
      </c>
      <c r="AO683" t="s">
        <v>35</v>
      </c>
      <c r="AP683">
        <v>55</v>
      </c>
      <c r="AQ683">
        <v>1960</v>
      </c>
      <c r="AR683">
        <v>7</v>
      </c>
      <c r="AS683" s="2" t="s">
        <v>33</v>
      </c>
      <c r="AT683" t="b">
        <v>1</v>
      </c>
      <c r="AV683" s="2" t="b">
        <v>1</v>
      </c>
      <c r="AW683">
        <v>60</v>
      </c>
      <c r="AX683">
        <v>0</v>
      </c>
      <c r="AY683">
        <v>0</v>
      </c>
      <c r="AZ683" t="s">
        <v>711</v>
      </c>
      <c r="BA683">
        <v>100</v>
      </c>
      <c r="BB683" s="2">
        <v>0.3</v>
      </c>
      <c r="BC683" t="s">
        <v>934</v>
      </c>
      <c r="BD683" t="s">
        <v>922</v>
      </c>
      <c r="BE683" t="s">
        <v>940</v>
      </c>
      <c r="BF683" s="7">
        <v>25</v>
      </c>
      <c r="BG6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83">
        <v>0</v>
      </c>
      <c r="BI683" t="s">
        <v>734</v>
      </c>
      <c r="BJ683" s="11"/>
      <c r="BK683" s="11"/>
      <c r="BL683" s="11">
        <v>25</v>
      </c>
      <c r="BM683">
        <v>0</v>
      </c>
      <c r="BN683" t="s">
        <v>692</v>
      </c>
      <c r="BO683" t="s">
        <v>694</v>
      </c>
      <c r="BP683" t="s">
        <v>701</v>
      </c>
      <c r="BQ683" t="s">
        <v>705</v>
      </c>
      <c r="BR683" t="s">
        <v>706</v>
      </c>
      <c r="BS683" t="s">
        <v>707</v>
      </c>
      <c r="CR683"/>
      <c r="CS683"/>
      <c r="CT683"/>
    </row>
    <row r="684" spans="1:98" x14ac:dyDescent="0.4">
      <c r="A684" s="2" t="s">
        <v>870</v>
      </c>
      <c r="B684" t="str">
        <f>_xlfn.TEXTAFTER(Table1[[#This Row],[VEHIDCODE]],"_")</f>
        <v>Wagon_Gen4_Car_Transporter</v>
      </c>
      <c r="C684" t="s">
        <v>751</v>
      </c>
      <c r="D684" t="b">
        <f>OR(ISNUMBER(SEARCH("wagon_",Table1[[#This Row],[FILENAMES_EXPECTED]])),ISNUMBER(SEARCH("coach_",Table1[[#This Row],[FILENAMES_EXPECTED]])))</f>
        <v>1</v>
      </c>
      <c r="E684" t="str">
        <f>"item_"&amp;Table1[[#This Row],[VEHIDCODE]]</f>
        <v>item_mu_Wagon_Gen4_Car_Transporter</v>
      </c>
      <c r="F684" t="str">
        <f>"str_"&amp;Table1[[#This Row],[VEHIDCODE]]</f>
        <v>str_mu_Wagon_Gen4_Car_Transporter</v>
      </c>
      <c r="O684" s="2" t="b">
        <v>1</v>
      </c>
      <c r="X684" s="2" t="b">
        <v>1</v>
      </c>
      <c r="AG684" s="2" t="b">
        <v>1</v>
      </c>
      <c r="AJ684" s="2"/>
      <c r="AK684" s="2" t="b">
        <f>LEN(_xlfn.CONCAT(Table1[[#This Row],[TRACK_TYPE_STANDARD_GAUGE_RAILTYPE_OHLE]:[TRACK_TYPE_MTRO]]))&gt;0</f>
        <v>1</v>
      </c>
      <c r="AL684">
        <v>7</v>
      </c>
      <c r="AM684" t="s">
        <v>601</v>
      </c>
      <c r="AN684">
        <v>0</v>
      </c>
      <c r="AO684" t="s">
        <v>35</v>
      </c>
      <c r="AP684">
        <v>16</v>
      </c>
      <c r="AQ684">
        <v>1960</v>
      </c>
      <c r="AR684">
        <v>7</v>
      </c>
      <c r="AS684" s="2" t="s">
        <v>33</v>
      </c>
      <c r="AT684" t="b">
        <v>1</v>
      </c>
      <c r="AV684" s="2" t="b">
        <v>1</v>
      </c>
      <c r="AW684">
        <v>60</v>
      </c>
      <c r="AX684">
        <v>0</v>
      </c>
      <c r="AY684">
        <v>0</v>
      </c>
      <c r="AZ684" t="s">
        <v>711</v>
      </c>
      <c r="BA684">
        <v>100</v>
      </c>
      <c r="BB684" s="2">
        <v>0.3</v>
      </c>
      <c r="BC684" t="s">
        <v>936</v>
      </c>
      <c r="BD684" t="s">
        <v>922</v>
      </c>
      <c r="BE684" t="s">
        <v>940</v>
      </c>
      <c r="BF684" s="7">
        <v>25</v>
      </c>
      <c r="BG6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84">
        <v>0</v>
      </c>
      <c r="BI684" t="s">
        <v>734</v>
      </c>
      <c r="BJ684" s="11"/>
      <c r="BK684" s="11"/>
      <c r="BL684" s="11">
        <v>26</v>
      </c>
      <c r="BM684">
        <v>0</v>
      </c>
      <c r="BN684" t="s">
        <v>692</v>
      </c>
      <c r="BO684" t="s">
        <v>694</v>
      </c>
      <c r="BP684" t="s">
        <v>701</v>
      </c>
      <c r="BQ684" t="s">
        <v>705</v>
      </c>
      <c r="BR684" t="s">
        <v>706</v>
      </c>
      <c r="BS684" t="s">
        <v>707</v>
      </c>
      <c r="CR684"/>
      <c r="CS684"/>
      <c r="CT684"/>
    </row>
    <row r="685" spans="1:98" x14ac:dyDescent="0.4">
      <c r="A685" s="2" t="s">
        <v>871</v>
      </c>
      <c r="B685" t="str">
        <f>_xlfn.TEXTAFTER(Table1[[#This Row],[VEHIDCODE]],"_")</f>
        <v>Wagon_Gen4_Container_Carrier</v>
      </c>
      <c r="C685" t="s">
        <v>751</v>
      </c>
      <c r="D685" t="b">
        <f>OR(ISNUMBER(SEARCH("wagon_",Table1[[#This Row],[FILENAMES_EXPECTED]])),ISNUMBER(SEARCH("coach_",Table1[[#This Row],[FILENAMES_EXPECTED]])))</f>
        <v>1</v>
      </c>
      <c r="E685" t="str">
        <f>"item_"&amp;Table1[[#This Row],[VEHIDCODE]]</f>
        <v>item_mu_Wagon_Gen4_Container_Carrier</v>
      </c>
      <c r="F685" t="str">
        <f>"str_"&amp;Table1[[#This Row],[VEHIDCODE]]</f>
        <v>str_mu_Wagon_Gen4_Container_Carrier</v>
      </c>
      <c r="O685" s="2" t="b">
        <v>1</v>
      </c>
      <c r="X685" s="2" t="b">
        <v>1</v>
      </c>
      <c r="AG685" s="2" t="b">
        <v>1</v>
      </c>
      <c r="AJ685" s="2"/>
      <c r="AK685" s="2" t="b">
        <f>LEN(_xlfn.CONCAT(Table1[[#This Row],[TRACK_TYPE_STANDARD_GAUGE_RAILTYPE_OHLE]:[TRACK_TYPE_MTRO]]))&gt;0</f>
        <v>1</v>
      </c>
      <c r="AL685">
        <v>7</v>
      </c>
      <c r="AM685" t="s">
        <v>533</v>
      </c>
      <c r="AN685">
        <v>0</v>
      </c>
      <c r="AO685" t="s">
        <v>35</v>
      </c>
      <c r="AP685">
        <v>37</v>
      </c>
      <c r="AQ685">
        <v>1960</v>
      </c>
      <c r="AR685">
        <v>7</v>
      </c>
      <c r="AS685" s="2" t="s">
        <v>33</v>
      </c>
      <c r="AT685" t="b">
        <v>1</v>
      </c>
      <c r="AV685" s="2" t="b">
        <v>1</v>
      </c>
      <c r="AW685">
        <v>60</v>
      </c>
      <c r="AX685">
        <v>0</v>
      </c>
      <c r="AY685">
        <v>0</v>
      </c>
      <c r="AZ685" t="s">
        <v>711</v>
      </c>
      <c r="BA685">
        <v>120</v>
      </c>
      <c r="BB685" s="2">
        <v>0.3</v>
      </c>
      <c r="BC685" t="s">
        <v>936</v>
      </c>
      <c r="BD685" t="s">
        <v>922</v>
      </c>
      <c r="BE685" t="s">
        <v>940</v>
      </c>
      <c r="BF685" s="7">
        <v>25</v>
      </c>
      <c r="BG6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85">
        <v>0</v>
      </c>
      <c r="BI685" t="s">
        <v>734</v>
      </c>
      <c r="BJ685" s="11"/>
      <c r="BK685" s="11"/>
      <c r="BL685" s="11">
        <v>19</v>
      </c>
      <c r="BM685">
        <v>0</v>
      </c>
      <c r="BN685" t="s">
        <v>692</v>
      </c>
      <c r="BO685" t="s">
        <v>694</v>
      </c>
      <c r="BP685" t="s">
        <v>701</v>
      </c>
      <c r="BQ685" t="s">
        <v>705</v>
      </c>
      <c r="BR685" t="s">
        <v>706</v>
      </c>
      <c r="BS685" t="s">
        <v>707</v>
      </c>
      <c r="CR685"/>
      <c r="CS685"/>
      <c r="CT685"/>
    </row>
    <row r="686" spans="1:98" x14ac:dyDescent="0.4">
      <c r="A686" s="2" t="s">
        <v>872</v>
      </c>
      <c r="B686" t="str">
        <f>_xlfn.TEXTAFTER(Table1[[#This Row],[VEHIDCODE]],"_")</f>
        <v>Wagon_Gen4_Centerbeam</v>
      </c>
      <c r="C686" t="s">
        <v>751</v>
      </c>
      <c r="D686" t="b">
        <f>OR(ISNUMBER(SEARCH("wagon_",Table1[[#This Row],[FILENAMES_EXPECTED]])),ISNUMBER(SEARCH("coach_",Table1[[#This Row],[FILENAMES_EXPECTED]])))</f>
        <v>1</v>
      </c>
      <c r="E686" t="str">
        <f>"item_"&amp;Table1[[#This Row],[VEHIDCODE]]</f>
        <v>item_mu_Wagon_Gen4_Centerbeam</v>
      </c>
      <c r="F686" t="str">
        <f>"str_"&amp;Table1[[#This Row],[VEHIDCODE]]</f>
        <v>str_mu_Wagon_Gen4_Centerbeam</v>
      </c>
      <c r="O686" s="2" t="b">
        <v>1</v>
      </c>
      <c r="X686" s="2" t="b">
        <v>1</v>
      </c>
      <c r="AG686" s="2" t="b">
        <v>1</v>
      </c>
      <c r="AJ686" s="2"/>
      <c r="AK686" s="2" t="b">
        <f>LEN(_xlfn.CONCAT(Table1[[#This Row],[TRACK_TYPE_STANDARD_GAUGE_RAILTYPE_OHLE]:[TRACK_TYPE_MTRO]]))&gt;0</f>
        <v>1</v>
      </c>
      <c r="AL686">
        <v>7</v>
      </c>
      <c r="AM686" t="s">
        <v>602</v>
      </c>
      <c r="AN686">
        <v>0</v>
      </c>
      <c r="AO686" t="s">
        <v>35</v>
      </c>
      <c r="AP686">
        <v>45</v>
      </c>
      <c r="AQ686">
        <v>1950</v>
      </c>
      <c r="AR686">
        <v>7</v>
      </c>
      <c r="AS686" s="2" t="s">
        <v>33</v>
      </c>
      <c r="AT686" t="b">
        <v>1</v>
      </c>
      <c r="AV686" s="2" t="b">
        <v>1</v>
      </c>
      <c r="AW686">
        <v>70</v>
      </c>
      <c r="AX686">
        <v>0</v>
      </c>
      <c r="AY686">
        <v>0</v>
      </c>
      <c r="AZ686" t="s">
        <v>711</v>
      </c>
      <c r="BA686">
        <v>100</v>
      </c>
      <c r="BB686" s="2">
        <v>0.3</v>
      </c>
      <c r="BC686" t="s">
        <v>936</v>
      </c>
      <c r="BD686" t="s">
        <v>922</v>
      </c>
      <c r="BE686" t="s">
        <v>940</v>
      </c>
      <c r="BF686" s="7">
        <v>25</v>
      </c>
      <c r="BG6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86">
        <v>0</v>
      </c>
      <c r="BI686" t="s">
        <v>734</v>
      </c>
      <c r="BJ686" s="11"/>
      <c r="BK686" s="11"/>
      <c r="BL686" s="11">
        <v>42</v>
      </c>
      <c r="BM686">
        <v>0</v>
      </c>
      <c r="BN686" t="s">
        <v>692</v>
      </c>
      <c r="BO686" t="s">
        <v>694</v>
      </c>
      <c r="BP686" t="s">
        <v>701</v>
      </c>
      <c r="BQ686" t="s">
        <v>705</v>
      </c>
      <c r="BR686" t="s">
        <v>706</v>
      </c>
      <c r="BS686" t="s">
        <v>707</v>
      </c>
      <c r="CR686"/>
      <c r="CS686"/>
      <c r="CT686"/>
    </row>
    <row r="687" spans="1:98" x14ac:dyDescent="0.4">
      <c r="A687" s="2" t="s">
        <v>873</v>
      </c>
      <c r="B687" t="str">
        <f>_xlfn.TEXTAFTER(Table1[[#This Row],[VEHIDCODE]],"_")</f>
        <v>Wagon_Gen5_Flatcar</v>
      </c>
      <c r="C687" t="s">
        <v>752</v>
      </c>
      <c r="D687" t="b">
        <f>OR(ISNUMBER(SEARCH("wagon_",Table1[[#This Row],[FILENAMES_EXPECTED]])),ISNUMBER(SEARCH("coach_",Table1[[#This Row],[FILENAMES_EXPECTED]])))</f>
        <v>1</v>
      </c>
      <c r="E687" t="str">
        <f>"item_"&amp;Table1[[#This Row],[VEHIDCODE]]</f>
        <v>item_mu_Wagon_Gen5_Flatcar</v>
      </c>
      <c r="F687" t="str">
        <f>"str_"&amp;Table1[[#This Row],[VEHIDCODE]]</f>
        <v>str_mu_Wagon_Gen5_Flatcar</v>
      </c>
      <c r="O687" s="2" t="b">
        <v>1</v>
      </c>
      <c r="X687" s="2" t="b">
        <v>1</v>
      </c>
      <c r="AG687" s="2" t="b">
        <v>1</v>
      </c>
      <c r="AJ687" s="2"/>
      <c r="AK687" s="2" t="b">
        <f>LEN(_xlfn.CONCAT(Table1[[#This Row],[TRACK_TYPE_STANDARD_GAUGE_RAILTYPE_OHLE]:[TRACK_TYPE_MTRO]]))&gt;0</f>
        <v>1</v>
      </c>
      <c r="AL687">
        <v>8</v>
      </c>
      <c r="AM687" t="s">
        <v>604</v>
      </c>
      <c r="AN687">
        <v>0</v>
      </c>
      <c r="AO687" t="s">
        <v>35</v>
      </c>
      <c r="AP687">
        <v>60</v>
      </c>
      <c r="AQ687">
        <v>1990</v>
      </c>
      <c r="AR687">
        <v>8</v>
      </c>
      <c r="AS687" s="2" t="s">
        <v>33</v>
      </c>
      <c r="AT687" t="b">
        <v>1</v>
      </c>
      <c r="AV687" s="2" t="b">
        <v>1</v>
      </c>
      <c r="AW687" t="s">
        <v>21</v>
      </c>
      <c r="AX687">
        <v>0</v>
      </c>
      <c r="AY687">
        <v>0</v>
      </c>
      <c r="AZ687" t="s">
        <v>711</v>
      </c>
      <c r="BA687">
        <v>120</v>
      </c>
      <c r="BB687" s="2">
        <v>0.3</v>
      </c>
      <c r="BC687" t="s">
        <v>936</v>
      </c>
      <c r="BD687" t="s">
        <v>922</v>
      </c>
      <c r="BE687" t="s">
        <v>940</v>
      </c>
      <c r="BF687" s="7">
        <v>25</v>
      </c>
      <c r="BG6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87">
        <v>0</v>
      </c>
      <c r="BI687" t="s">
        <v>734</v>
      </c>
      <c r="BJ687" s="11"/>
      <c r="BK687" s="11"/>
      <c r="BL687" s="11">
        <v>23</v>
      </c>
      <c r="BM687">
        <v>0</v>
      </c>
      <c r="BN687" t="s">
        <v>692</v>
      </c>
      <c r="BO687" t="s">
        <v>694</v>
      </c>
      <c r="BP687" t="s">
        <v>701</v>
      </c>
      <c r="BQ687" t="s">
        <v>705</v>
      </c>
      <c r="BR687" t="s">
        <v>706</v>
      </c>
      <c r="BS687" t="s">
        <v>707</v>
      </c>
      <c r="CR687"/>
      <c r="CS687"/>
      <c r="CT687"/>
    </row>
    <row r="688" spans="1:98" x14ac:dyDescent="0.4">
      <c r="A688" s="2" t="s">
        <v>874</v>
      </c>
      <c r="B688" t="str">
        <f>_xlfn.TEXTAFTER(Table1[[#This Row],[VEHIDCODE]],"_")</f>
        <v>Wagon_Gen5_Heavy_Flatcar</v>
      </c>
      <c r="C688" t="s">
        <v>752</v>
      </c>
      <c r="D688" t="b">
        <f>OR(ISNUMBER(SEARCH("wagon_",Table1[[#This Row],[FILENAMES_EXPECTED]])),ISNUMBER(SEARCH("coach_",Table1[[#This Row],[FILENAMES_EXPECTED]])))</f>
        <v>1</v>
      </c>
      <c r="E688" t="str">
        <f>"item_"&amp;Table1[[#This Row],[VEHIDCODE]]</f>
        <v>item_mu_Wagon_Gen5_Heavy_Flatcar</v>
      </c>
      <c r="F688" t="str">
        <f>"str_"&amp;Table1[[#This Row],[VEHIDCODE]]</f>
        <v>str_mu_Wagon_Gen5_Heavy_Flatcar</v>
      </c>
      <c r="O688" s="2" t="b">
        <v>1</v>
      </c>
      <c r="X688" s="2" t="b">
        <v>1</v>
      </c>
      <c r="AG688" s="2" t="b">
        <v>1</v>
      </c>
      <c r="AJ688" s="2"/>
      <c r="AK688" s="2" t="b">
        <f>LEN(_xlfn.CONCAT(Table1[[#This Row],[TRACK_TYPE_STANDARD_GAUGE_RAILTYPE_OHLE]:[TRACK_TYPE_MTRO]]))&gt;0</f>
        <v>1</v>
      </c>
      <c r="AL688">
        <v>8</v>
      </c>
      <c r="AM688" t="s">
        <v>606</v>
      </c>
      <c r="AN688">
        <v>0</v>
      </c>
      <c r="AO688" t="s">
        <v>35</v>
      </c>
      <c r="AP688">
        <v>84</v>
      </c>
      <c r="AQ688">
        <v>2000</v>
      </c>
      <c r="AR688">
        <v>8</v>
      </c>
      <c r="AS688" s="2" t="s">
        <v>33</v>
      </c>
      <c r="AT688" t="b">
        <v>1</v>
      </c>
      <c r="AV688" s="2" t="b">
        <v>1</v>
      </c>
      <c r="AW688" t="s">
        <v>21</v>
      </c>
      <c r="AX688">
        <v>0</v>
      </c>
      <c r="AY688">
        <v>0</v>
      </c>
      <c r="AZ688" t="s">
        <v>711</v>
      </c>
      <c r="BA688">
        <v>100</v>
      </c>
      <c r="BB688" s="2">
        <v>0.3</v>
      </c>
      <c r="BC688" t="s">
        <v>936</v>
      </c>
      <c r="BD688" t="s">
        <v>922</v>
      </c>
      <c r="BE688" t="s">
        <v>940</v>
      </c>
      <c r="BF688" s="7">
        <v>25</v>
      </c>
      <c r="BG6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88">
        <v>0</v>
      </c>
      <c r="BI688" t="s">
        <v>734</v>
      </c>
      <c r="BJ688" s="11"/>
      <c r="BK688" s="11"/>
      <c r="BL688" s="11">
        <v>42</v>
      </c>
      <c r="BM688">
        <v>0</v>
      </c>
      <c r="BN688" t="s">
        <v>692</v>
      </c>
      <c r="BO688" t="s">
        <v>694</v>
      </c>
      <c r="BP688" t="s">
        <v>701</v>
      </c>
      <c r="BQ688" t="s">
        <v>705</v>
      </c>
      <c r="BR688" t="s">
        <v>706</v>
      </c>
      <c r="BS688" t="s">
        <v>707</v>
      </c>
      <c r="CR688"/>
      <c r="CS688"/>
      <c r="CT688"/>
    </row>
    <row r="689" spans="1:98" x14ac:dyDescent="0.4">
      <c r="A689" s="2" t="s">
        <v>875</v>
      </c>
      <c r="B689" t="str">
        <f>_xlfn.TEXTAFTER(Table1[[#This Row],[VEHIDCODE]],"_")</f>
        <v>Wagon_Gen5_Boxcar_Type1</v>
      </c>
      <c r="C689" t="s">
        <v>752</v>
      </c>
      <c r="D689" t="b">
        <f>OR(ISNUMBER(SEARCH("wagon_",Table1[[#This Row],[FILENAMES_EXPECTED]])),ISNUMBER(SEARCH("coach_",Table1[[#This Row],[FILENAMES_EXPECTED]])))</f>
        <v>1</v>
      </c>
      <c r="E689" t="str">
        <f>"item_"&amp;Table1[[#This Row],[VEHIDCODE]]</f>
        <v>item_mu_Wagon_Gen5_Boxcar_Type1</v>
      </c>
      <c r="F689" t="str">
        <f>"str_"&amp;Table1[[#This Row],[VEHIDCODE]]</f>
        <v>str_mu_Wagon_Gen5_Boxcar_Type1</v>
      </c>
      <c r="O689" s="2" t="b">
        <v>1</v>
      </c>
      <c r="X689" s="2" t="b">
        <v>1</v>
      </c>
      <c r="AG689" s="2" t="b">
        <v>1</v>
      </c>
      <c r="AJ689" s="2"/>
      <c r="AK689" s="2" t="b">
        <f>LEN(_xlfn.CONCAT(Table1[[#This Row],[TRACK_TYPE_STANDARD_GAUGE_RAILTYPE_OHLE]:[TRACK_TYPE_MTRO]]))&gt;0</f>
        <v>1</v>
      </c>
      <c r="AL689">
        <v>8</v>
      </c>
      <c r="AM689" t="s">
        <v>600</v>
      </c>
      <c r="AN689">
        <v>0</v>
      </c>
      <c r="AO689" t="s">
        <v>35</v>
      </c>
      <c r="AP689">
        <v>63</v>
      </c>
      <c r="AQ689">
        <v>1990</v>
      </c>
      <c r="AR689">
        <v>8</v>
      </c>
      <c r="AS689" s="2" t="s">
        <v>33</v>
      </c>
      <c r="AT689" t="b">
        <v>1</v>
      </c>
      <c r="AV689" s="2" t="b">
        <v>1</v>
      </c>
      <c r="AW689" t="s">
        <v>21</v>
      </c>
      <c r="AX689">
        <v>0</v>
      </c>
      <c r="AY689">
        <v>0</v>
      </c>
      <c r="AZ689" t="s">
        <v>711</v>
      </c>
      <c r="BA689">
        <v>120</v>
      </c>
      <c r="BB689" s="2">
        <v>0.3</v>
      </c>
      <c r="BC689" t="s">
        <v>933</v>
      </c>
      <c r="BD689" t="s">
        <v>922</v>
      </c>
      <c r="BE689" t="s">
        <v>940</v>
      </c>
      <c r="BF689" s="7">
        <v>25</v>
      </c>
      <c r="BG6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89">
        <v>0</v>
      </c>
      <c r="BI689" t="s">
        <v>734</v>
      </c>
      <c r="BJ689" s="11"/>
      <c r="BK689" s="11"/>
      <c r="BL689" s="11">
        <v>27</v>
      </c>
      <c r="BM689">
        <v>0</v>
      </c>
      <c r="BN689" t="s">
        <v>692</v>
      </c>
      <c r="BO689" t="s">
        <v>694</v>
      </c>
      <c r="BP689" t="s">
        <v>701</v>
      </c>
      <c r="BQ689" t="s">
        <v>705</v>
      </c>
      <c r="BR689" t="s">
        <v>706</v>
      </c>
      <c r="BS689" t="s">
        <v>707</v>
      </c>
      <c r="CR689"/>
      <c r="CS689"/>
      <c r="CT689"/>
    </row>
    <row r="690" spans="1:98" x14ac:dyDescent="0.4">
      <c r="A690" s="2" t="s">
        <v>876</v>
      </c>
      <c r="B690" t="str">
        <f>_xlfn.TEXTAFTER(Table1[[#This Row],[VEHIDCODE]],"_")</f>
        <v>Wagon_Gen5_Boxcar_Type2</v>
      </c>
      <c r="C690" t="s">
        <v>752</v>
      </c>
      <c r="D690" t="b">
        <f>OR(ISNUMBER(SEARCH("wagon_",Table1[[#This Row],[FILENAMES_EXPECTED]])),ISNUMBER(SEARCH("coach_",Table1[[#This Row],[FILENAMES_EXPECTED]])))</f>
        <v>1</v>
      </c>
      <c r="E690" t="str">
        <f>"item_"&amp;Table1[[#This Row],[VEHIDCODE]]</f>
        <v>item_mu_Wagon_Gen5_Boxcar_Type2</v>
      </c>
      <c r="F690" t="str">
        <f>"str_"&amp;Table1[[#This Row],[VEHIDCODE]]</f>
        <v>str_mu_Wagon_Gen5_Boxcar_Type2</v>
      </c>
      <c r="O690" s="2" t="b">
        <v>1</v>
      </c>
      <c r="X690" s="2" t="b">
        <v>1</v>
      </c>
      <c r="AG690" s="2" t="b">
        <v>1</v>
      </c>
      <c r="AJ690" s="2"/>
      <c r="AK690" s="2" t="b">
        <f>LEN(_xlfn.CONCAT(Table1[[#This Row],[TRACK_TYPE_STANDARD_GAUGE_RAILTYPE_OHLE]:[TRACK_TYPE_MTRO]]))&gt;0</f>
        <v>1</v>
      </c>
      <c r="AL690">
        <v>8</v>
      </c>
      <c r="AM690" t="s">
        <v>600</v>
      </c>
      <c r="AN690">
        <v>0</v>
      </c>
      <c r="AO690" t="s">
        <v>35</v>
      </c>
      <c r="AP690">
        <v>63</v>
      </c>
      <c r="AQ690">
        <v>1990</v>
      </c>
      <c r="AR690">
        <v>8</v>
      </c>
      <c r="AS690" s="2" t="s">
        <v>33</v>
      </c>
      <c r="AT690" t="b">
        <v>1</v>
      </c>
      <c r="AV690" s="2" t="b">
        <v>1</v>
      </c>
      <c r="AW690" t="s">
        <v>21</v>
      </c>
      <c r="AX690">
        <v>0</v>
      </c>
      <c r="AY690">
        <v>0</v>
      </c>
      <c r="AZ690" t="s">
        <v>711</v>
      </c>
      <c r="BA690">
        <v>120</v>
      </c>
      <c r="BB690" s="2">
        <v>0.3</v>
      </c>
      <c r="BC690" t="s">
        <v>934</v>
      </c>
      <c r="BD690" t="s">
        <v>922</v>
      </c>
      <c r="BE690" t="s">
        <v>940</v>
      </c>
      <c r="BF690" s="7">
        <v>25</v>
      </c>
      <c r="BG6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90">
        <v>0</v>
      </c>
      <c r="BI690" t="s">
        <v>734</v>
      </c>
      <c r="BJ690" s="11"/>
      <c r="BK690" s="11"/>
      <c r="BL690" s="11">
        <v>27</v>
      </c>
      <c r="BM690">
        <v>0</v>
      </c>
      <c r="BN690" t="s">
        <v>692</v>
      </c>
      <c r="BO690" t="s">
        <v>694</v>
      </c>
      <c r="BP690" t="s">
        <v>701</v>
      </c>
      <c r="BQ690" t="s">
        <v>705</v>
      </c>
      <c r="BR690" t="s">
        <v>706</v>
      </c>
      <c r="BS690" t="s">
        <v>707</v>
      </c>
      <c r="CR690"/>
      <c r="CS690"/>
      <c r="CT690"/>
    </row>
    <row r="691" spans="1:98" x14ac:dyDescent="0.4">
      <c r="A691" s="2" t="s">
        <v>877</v>
      </c>
      <c r="B691" t="str">
        <f>_xlfn.TEXTAFTER(Table1[[#This Row],[VEHIDCODE]],"_")</f>
        <v>Wagon_Gen5_Tanker</v>
      </c>
      <c r="C691" t="s">
        <v>752</v>
      </c>
      <c r="D691" t="b">
        <f>OR(ISNUMBER(SEARCH("wagon_",Table1[[#This Row],[FILENAMES_EXPECTED]])),ISNUMBER(SEARCH("coach_",Table1[[#This Row],[FILENAMES_EXPECTED]])))</f>
        <v>1</v>
      </c>
      <c r="E691" t="str">
        <f>"item_"&amp;Table1[[#This Row],[VEHIDCODE]]</f>
        <v>item_mu_Wagon_Gen5_Tanker</v>
      </c>
      <c r="F691" t="str">
        <f>"str_"&amp;Table1[[#This Row],[VEHIDCODE]]</f>
        <v>str_mu_Wagon_Gen5_Tanker</v>
      </c>
      <c r="O691" s="2" t="b">
        <v>1</v>
      </c>
      <c r="X691" s="2" t="b">
        <v>1</v>
      </c>
      <c r="AG691" s="2" t="b">
        <v>1</v>
      </c>
      <c r="AJ691" s="2"/>
      <c r="AK691" s="2" t="b">
        <f>LEN(_xlfn.CONCAT(Table1[[#This Row],[TRACK_TYPE_STANDARD_GAUGE_RAILTYPE_OHLE]:[TRACK_TYPE_MTRO]]))&gt;0</f>
        <v>1</v>
      </c>
      <c r="AL691">
        <v>8</v>
      </c>
      <c r="AM691" t="s">
        <v>610</v>
      </c>
      <c r="AN691">
        <v>0</v>
      </c>
      <c r="AO691" t="s">
        <v>35</v>
      </c>
      <c r="AP691">
        <v>95</v>
      </c>
      <c r="AQ691">
        <v>2000</v>
      </c>
      <c r="AR691">
        <v>8</v>
      </c>
      <c r="AS691" s="2" t="s">
        <v>33</v>
      </c>
      <c r="AT691" t="b">
        <v>1</v>
      </c>
      <c r="AV691" s="2" t="b">
        <v>1</v>
      </c>
      <c r="AW691" t="s">
        <v>21</v>
      </c>
      <c r="AX691">
        <v>0</v>
      </c>
      <c r="AY691">
        <v>0</v>
      </c>
      <c r="AZ691" t="s">
        <v>711</v>
      </c>
      <c r="BA691">
        <v>120</v>
      </c>
      <c r="BB691" s="2">
        <v>0.3</v>
      </c>
      <c r="BC691" t="s">
        <v>936</v>
      </c>
      <c r="BD691" t="s">
        <v>922</v>
      </c>
      <c r="BE691" t="s">
        <v>940</v>
      </c>
      <c r="BF691" s="7">
        <v>25</v>
      </c>
      <c r="BG6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91">
        <v>0</v>
      </c>
      <c r="BI691" t="s">
        <v>734</v>
      </c>
      <c r="BJ691" s="11"/>
      <c r="BK691" s="11"/>
      <c r="BL691" s="11">
        <v>24</v>
      </c>
      <c r="BM691">
        <v>0</v>
      </c>
      <c r="BN691" t="s">
        <v>692</v>
      </c>
      <c r="BO691" t="s">
        <v>694</v>
      </c>
      <c r="BP691" t="s">
        <v>701</v>
      </c>
      <c r="BQ691" t="s">
        <v>705</v>
      </c>
      <c r="BR691" t="s">
        <v>706</v>
      </c>
      <c r="BS691" t="s">
        <v>707</v>
      </c>
      <c r="CR691"/>
      <c r="CS691"/>
      <c r="CT691"/>
    </row>
    <row r="692" spans="1:98" x14ac:dyDescent="0.4">
      <c r="A692" s="2" t="s">
        <v>878</v>
      </c>
      <c r="B692" t="str">
        <f>_xlfn.TEXTAFTER(Table1[[#This Row],[VEHIDCODE]],"_")</f>
        <v>Wagon_Gen5_Gondola</v>
      </c>
      <c r="C692" t="s">
        <v>752</v>
      </c>
      <c r="D692" t="b">
        <f>OR(ISNUMBER(SEARCH("wagon_",Table1[[#This Row],[FILENAMES_EXPECTED]])),ISNUMBER(SEARCH("coach_",Table1[[#This Row],[FILENAMES_EXPECTED]])))</f>
        <v>1</v>
      </c>
      <c r="E692" t="str">
        <f>"item_"&amp;Table1[[#This Row],[VEHIDCODE]]</f>
        <v>item_mu_Wagon_Gen5_Gondola</v>
      </c>
      <c r="F692" t="str">
        <f>"str_"&amp;Table1[[#This Row],[VEHIDCODE]]</f>
        <v>str_mu_Wagon_Gen5_Gondola</v>
      </c>
      <c r="O692" s="2" t="b">
        <v>1</v>
      </c>
      <c r="X692" s="2" t="b">
        <v>1</v>
      </c>
      <c r="AG692" s="2" t="b">
        <v>1</v>
      </c>
      <c r="AJ692" s="2"/>
      <c r="AK692" s="2" t="b">
        <f>LEN(_xlfn.CONCAT(Table1[[#This Row],[TRACK_TYPE_STANDARD_GAUGE_RAILTYPE_OHLE]:[TRACK_TYPE_MTRO]]))&gt;0</f>
        <v>1</v>
      </c>
      <c r="AL692">
        <v>8</v>
      </c>
      <c r="AM692" t="s">
        <v>605</v>
      </c>
      <c r="AN692">
        <v>0</v>
      </c>
      <c r="AO692" t="s">
        <v>35</v>
      </c>
      <c r="AP692">
        <v>65</v>
      </c>
      <c r="AQ692">
        <v>1990</v>
      </c>
      <c r="AR692">
        <v>8</v>
      </c>
      <c r="AS692" s="2" t="s">
        <v>33</v>
      </c>
      <c r="AT692" t="b">
        <v>1</v>
      </c>
      <c r="AV692" s="2" t="b">
        <v>1</v>
      </c>
      <c r="AW692" t="s">
        <v>21</v>
      </c>
      <c r="AX692">
        <v>0</v>
      </c>
      <c r="AY692">
        <v>0</v>
      </c>
      <c r="AZ692" t="s">
        <v>711</v>
      </c>
      <c r="BA692">
        <v>120</v>
      </c>
      <c r="BB692" s="2">
        <v>0.3</v>
      </c>
      <c r="BC692" t="s">
        <v>936</v>
      </c>
      <c r="BD692" t="s">
        <v>922</v>
      </c>
      <c r="BE692" t="s">
        <v>940</v>
      </c>
      <c r="BF692" s="7">
        <v>25</v>
      </c>
      <c r="BG6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92">
        <v>0</v>
      </c>
      <c r="BI692" t="s">
        <v>734</v>
      </c>
      <c r="BJ692" s="11"/>
      <c r="BK692" s="11"/>
      <c r="BL692" s="11">
        <v>22</v>
      </c>
      <c r="BM692">
        <v>0</v>
      </c>
      <c r="BN692" t="s">
        <v>692</v>
      </c>
      <c r="BO692" t="s">
        <v>694</v>
      </c>
      <c r="BP692" t="s">
        <v>701</v>
      </c>
      <c r="BQ692" t="s">
        <v>705</v>
      </c>
      <c r="BR692" t="s">
        <v>706</v>
      </c>
      <c r="BS692" t="s">
        <v>707</v>
      </c>
      <c r="CR692"/>
      <c r="CS692"/>
      <c r="CT692"/>
    </row>
    <row r="693" spans="1:98" x14ac:dyDescent="0.4">
      <c r="A693" s="2" t="s">
        <v>879</v>
      </c>
      <c r="B693" t="str">
        <f>_xlfn.TEXTAFTER(Table1[[#This Row],[VEHIDCODE]],"_")</f>
        <v>Wagon_Gen5_Silo_Type1</v>
      </c>
      <c r="C693" t="s">
        <v>752</v>
      </c>
      <c r="D693" t="b">
        <f>OR(ISNUMBER(SEARCH("wagon_",Table1[[#This Row],[FILENAMES_EXPECTED]])),ISNUMBER(SEARCH("coach_",Table1[[#This Row],[FILENAMES_EXPECTED]])))</f>
        <v>1</v>
      </c>
      <c r="E693" t="str">
        <f>"item_"&amp;Table1[[#This Row],[VEHIDCODE]]</f>
        <v>item_mu_Wagon_Gen5_Silo_Type1</v>
      </c>
      <c r="F693" t="str">
        <f>"str_"&amp;Table1[[#This Row],[VEHIDCODE]]</f>
        <v>str_mu_Wagon_Gen5_Silo_Type1</v>
      </c>
      <c r="O693" s="2" t="b">
        <v>1</v>
      </c>
      <c r="X693" s="2" t="b">
        <v>1</v>
      </c>
      <c r="AG693" s="2" t="b">
        <v>1</v>
      </c>
      <c r="AJ693" s="2"/>
      <c r="AK693" s="2" t="b">
        <f>LEN(_xlfn.CONCAT(Table1[[#This Row],[TRACK_TYPE_STANDARD_GAUGE_RAILTYPE_OHLE]:[TRACK_TYPE_MTRO]]))&gt;0</f>
        <v>1</v>
      </c>
      <c r="AL693">
        <v>8</v>
      </c>
      <c r="AM693" t="s">
        <v>608</v>
      </c>
      <c r="AN693">
        <v>0</v>
      </c>
      <c r="AO693" t="s">
        <v>35</v>
      </c>
      <c r="AP693">
        <v>65</v>
      </c>
      <c r="AQ693">
        <v>2000</v>
      </c>
      <c r="AR693">
        <v>8</v>
      </c>
      <c r="AS693" s="2" t="s">
        <v>33</v>
      </c>
      <c r="AT693" t="b">
        <v>1</v>
      </c>
      <c r="AV693" s="2" t="b">
        <v>1</v>
      </c>
      <c r="AW693" t="s">
        <v>21</v>
      </c>
      <c r="AX693">
        <v>0</v>
      </c>
      <c r="AY693">
        <v>0</v>
      </c>
      <c r="AZ693" t="s">
        <v>711</v>
      </c>
      <c r="BA693">
        <v>120</v>
      </c>
      <c r="BB693" s="2">
        <v>0.3</v>
      </c>
      <c r="BC693" t="s">
        <v>933</v>
      </c>
      <c r="BD693" t="s">
        <v>922</v>
      </c>
      <c r="BE693" t="s">
        <v>940</v>
      </c>
      <c r="BF693" s="7">
        <v>25</v>
      </c>
      <c r="BG6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93">
        <v>0</v>
      </c>
      <c r="BI693" t="s">
        <v>734</v>
      </c>
      <c r="BJ693" s="11"/>
      <c r="BK693" s="11"/>
      <c r="BL693" s="11">
        <v>27</v>
      </c>
      <c r="BM693">
        <v>0</v>
      </c>
      <c r="BN693" t="s">
        <v>692</v>
      </c>
      <c r="BO693" t="s">
        <v>694</v>
      </c>
      <c r="BP693" t="s">
        <v>701</v>
      </c>
      <c r="BQ693" t="s">
        <v>705</v>
      </c>
      <c r="BR693" t="s">
        <v>706</v>
      </c>
      <c r="BS693" t="s">
        <v>707</v>
      </c>
      <c r="CR693"/>
      <c r="CS693"/>
      <c r="CT693"/>
    </row>
    <row r="694" spans="1:98" x14ac:dyDescent="0.4">
      <c r="A694" s="2" t="s">
        <v>880</v>
      </c>
      <c r="B694" t="str">
        <f>_xlfn.TEXTAFTER(Table1[[#This Row],[VEHIDCODE]],"_")</f>
        <v>Wagon_Gen5_Silo_Type2</v>
      </c>
      <c r="C694" t="s">
        <v>752</v>
      </c>
      <c r="D694" t="b">
        <f>OR(ISNUMBER(SEARCH("wagon_",Table1[[#This Row],[FILENAMES_EXPECTED]])),ISNUMBER(SEARCH("coach_",Table1[[#This Row],[FILENAMES_EXPECTED]])))</f>
        <v>1</v>
      </c>
      <c r="E694" t="str">
        <f>"item_"&amp;Table1[[#This Row],[VEHIDCODE]]</f>
        <v>item_mu_Wagon_Gen5_Silo_Type2</v>
      </c>
      <c r="F694" t="str">
        <f>"str_"&amp;Table1[[#This Row],[VEHIDCODE]]</f>
        <v>str_mu_Wagon_Gen5_Silo_Type2</v>
      </c>
      <c r="O694" s="2" t="b">
        <v>1</v>
      </c>
      <c r="X694" s="2" t="b">
        <v>1</v>
      </c>
      <c r="AG694" s="2" t="b">
        <v>1</v>
      </c>
      <c r="AJ694" s="2"/>
      <c r="AK694" s="2" t="b">
        <f>LEN(_xlfn.CONCAT(Table1[[#This Row],[TRACK_TYPE_STANDARD_GAUGE_RAILTYPE_OHLE]:[TRACK_TYPE_MTRO]]))&gt;0</f>
        <v>1</v>
      </c>
      <c r="AL694">
        <v>8</v>
      </c>
      <c r="AM694" t="s">
        <v>608</v>
      </c>
      <c r="AN694">
        <v>0</v>
      </c>
      <c r="AO694" t="s">
        <v>35</v>
      </c>
      <c r="AP694">
        <v>65</v>
      </c>
      <c r="AQ694">
        <v>2000</v>
      </c>
      <c r="AR694">
        <v>8</v>
      </c>
      <c r="AS694" s="2" t="s">
        <v>33</v>
      </c>
      <c r="AT694" t="b">
        <v>1</v>
      </c>
      <c r="AV694" s="2" t="b">
        <v>1</v>
      </c>
      <c r="AW694" t="s">
        <v>21</v>
      </c>
      <c r="AX694">
        <v>0</v>
      </c>
      <c r="AY694">
        <v>0</v>
      </c>
      <c r="AZ694" t="s">
        <v>711</v>
      </c>
      <c r="BA694">
        <v>120</v>
      </c>
      <c r="BB694" s="2">
        <v>0.3</v>
      </c>
      <c r="BC694" t="s">
        <v>934</v>
      </c>
      <c r="BD694" t="s">
        <v>922</v>
      </c>
      <c r="BE694" t="s">
        <v>940</v>
      </c>
      <c r="BF694" s="7">
        <v>25</v>
      </c>
      <c r="BG6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94">
        <v>0</v>
      </c>
      <c r="BI694" t="s">
        <v>734</v>
      </c>
      <c r="BJ694" s="11"/>
      <c r="BK694" s="11"/>
      <c r="BL694" s="11">
        <v>27</v>
      </c>
      <c r="BM694">
        <v>0</v>
      </c>
      <c r="BN694" t="s">
        <v>692</v>
      </c>
      <c r="BO694" t="s">
        <v>694</v>
      </c>
      <c r="BP694" t="s">
        <v>701</v>
      </c>
      <c r="BQ694" t="s">
        <v>705</v>
      </c>
      <c r="BR694" t="s">
        <v>706</v>
      </c>
      <c r="BS694" t="s">
        <v>707</v>
      </c>
      <c r="CR694"/>
      <c r="CS694"/>
      <c r="CT694"/>
    </row>
    <row r="695" spans="1:98" x14ac:dyDescent="0.4">
      <c r="A695" s="2" t="s">
        <v>881</v>
      </c>
      <c r="B695" t="str">
        <f>_xlfn.TEXTAFTER(Table1[[#This Row],[VEHIDCODE]],"_")</f>
        <v>Wagon_Gen5_Hopper_Type1</v>
      </c>
      <c r="C695" t="s">
        <v>752</v>
      </c>
      <c r="D695" t="b">
        <f>OR(ISNUMBER(SEARCH("wagon_",Table1[[#This Row],[FILENAMES_EXPECTED]])),ISNUMBER(SEARCH("coach_",Table1[[#This Row],[FILENAMES_EXPECTED]])))</f>
        <v>1</v>
      </c>
      <c r="E695" t="str">
        <f>"item_"&amp;Table1[[#This Row],[VEHIDCODE]]</f>
        <v>item_mu_Wagon_Gen5_Hopper_Type1</v>
      </c>
      <c r="F695" t="str">
        <f>"str_"&amp;Table1[[#This Row],[VEHIDCODE]]</f>
        <v>str_mu_Wagon_Gen5_Hopper_Type1</v>
      </c>
      <c r="O695" s="2" t="b">
        <v>1</v>
      </c>
      <c r="X695" s="2" t="b">
        <v>1</v>
      </c>
      <c r="AG695" s="2" t="b">
        <v>1</v>
      </c>
      <c r="AJ695" s="2"/>
      <c r="AK695" s="2" t="b">
        <f>LEN(_xlfn.CONCAT(Table1[[#This Row],[TRACK_TYPE_STANDARD_GAUGE_RAILTYPE_OHLE]:[TRACK_TYPE_MTRO]]))&gt;0</f>
        <v>1</v>
      </c>
      <c r="AL695">
        <v>8</v>
      </c>
      <c r="AM695" t="s">
        <v>607</v>
      </c>
      <c r="AN695">
        <v>0</v>
      </c>
      <c r="AO695" t="s">
        <v>35</v>
      </c>
      <c r="AP695">
        <v>65</v>
      </c>
      <c r="AQ695">
        <v>2000</v>
      </c>
      <c r="AR695">
        <v>8</v>
      </c>
      <c r="AS695" s="2" t="s">
        <v>33</v>
      </c>
      <c r="AT695" t="b">
        <v>1</v>
      </c>
      <c r="AV695" s="2" t="b">
        <v>1</v>
      </c>
      <c r="AW695" t="s">
        <v>21</v>
      </c>
      <c r="AX695">
        <v>0</v>
      </c>
      <c r="AY695">
        <v>0</v>
      </c>
      <c r="AZ695" t="s">
        <v>711</v>
      </c>
      <c r="BA695">
        <v>120</v>
      </c>
      <c r="BB695" s="2">
        <v>0.3</v>
      </c>
      <c r="BC695" t="s">
        <v>933</v>
      </c>
      <c r="BD695" t="s">
        <v>922</v>
      </c>
      <c r="BE695" t="s">
        <v>940</v>
      </c>
      <c r="BF695" s="7">
        <v>25</v>
      </c>
      <c r="BG6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95">
        <v>0</v>
      </c>
      <c r="BI695" t="s">
        <v>734</v>
      </c>
      <c r="BJ695" s="11"/>
      <c r="BK695" s="11"/>
      <c r="BL695" s="11">
        <v>26</v>
      </c>
      <c r="BM695">
        <v>0</v>
      </c>
      <c r="BN695" t="s">
        <v>692</v>
      </c>
      <c r="BO695" t="s">
        <v>694</v>
      </c>
      <c r="BP695" t="s">
        <v>701</v>
      </c>
      <c r="BQ695" t="s">
        <v>705</v>
      </c>
      <c r="BR695" t="s">
        <v>706</v>
      </c>
      <c r="BS695" t="s">
        <v>707</v>
      </c>
      <c r="CR695"/>
      <c r="CS695"/>
      <c r="CT695"/>
    </row>
    <row r="696" spans="1:98" x14ac:dyDescent="0.4">
      <c r="A696" s="2" t="s">
        <v>882</v>
      </c>
      <c r="B696" t="str">
        <f>_xlfn.TEXTAFTER(Table1[[#This Row],[VEHIDCODE]],"_")</f>
        <v>Wagon_Gen5_Hopper_Type2</v>
      </c>
      <c r="C696" t="s">
        <v>752</v>
      </c>
      <c r="D696" t="b">
        <f>OR(ISNUMBER(SEARCH("wagon_",Table1[[#This Row],[FILENAMES_EXPECTED]])),ISNUMBER(SEARCH("coach_",Table1[[#This Row],[FILENAMES_EXPECTED]])))</f>
        <v>1</v>
      </c>
      <c r="E696" t="str">
        <f>"item_"&amp;Table1[[#This Row],[VEHIDCODE]]</f>
        <v>item_mu_Wagon_Gen5_Hopper_Type2</v>
      </c>
      <c r="F696" t="str">
        <f>"str_"&amp;Table1[[#This Row],[VEHIDCODE]]</f>
        <v>str_mu_Wagon_Gen5_Hopper_Type2</v>
      </c>
      <c r="O696" s="2" t="b">
        <v>1</v>
      </c>
      <c r="X696" s="2" t="b">
        <v>1</v>
      </c>
      <c r="AG696" s="2" t="b">
        <v>1</v>
      </c>
      <c r="AJ696" s="2"/>
      <c r="AK696" s="2" t="b">
        <f>LEN(_xlfn.CONCAT(Table1[[#This Row],[TRACK_TYPE_STANDARD_GAUGE_RAILTYPE_OHLE]:[TRACK_TYPE_MTRO]]))&gt;0</f>
        <v>1</v>
      </c>
      <c r="AL696">
        <v>8</v>
      </c>
      <c r="AM696" t="s">
        <v>607</v>
      </c>
      <c r="AN696">
        <v>0</v>
      </c>
      <c r="AO696" t="s">
        <v>35</v>
      </c>
      <c r="AP696">
        <v>65</v>
      </c>
      <c r="AQ696">
        <v>2000</v>
      </c>
      <c r="AR696">
        <v>8</v>
      </c>
      <c r="AS696" s="2" t="s">
        <v>33</v>
      </c>
      <c r="AT696" t="b">
        <v>1</v>
      </c>
      <c r="AV696" s="2" t="b">
        <v>1</v>
      </c>
      <c r="AW696" t="s">
        <v>21</v>
      </c>
      <c r="AX696">
        <v>0</v>
      </c>
      <c r="AY696">
        <v>0</v>
      </c>
      <c r="AZ696" t="s">
        <v>711</v>
      </c>
      <c r="BA696">
        <v>120</v>
      </c>
      <c r="BB696" s="2">
        <v>0.3</v>
      </c>
      <c r="BC696" t="s">
        <v>936</v>
      </c>
      <c r="BD696" t="s">
        <v>922</v>
      </c>
      <c r="BE696" t="s">
        <v>940</v>
      </c>
      <c r="BF696" s="7">
        <v>25</v>
      </c>
      <c r="BG6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96">
        <v>0</v>
      </c>
      <c r="BI696" t="s">
        <v>734</v>
      </c>
      <c r="BJ696" s="11"/>
      <c r="BK696" s="11"/>
      <c r="BL696" s="11">
        <v>26</v>
      </c>
      <c r="BM696">
        <v>0</v>
      </c>
      <c r="BN696" t="s">
        <v>692</v>
      </c>
      <c r="BO696" t="s">
        <v>694</v>
      </c>
      <c r="BP696" t="s">
        <v>701</v>
      </c>
      <c r="BQ696" t="s">
        <v>705</v>
      </c>
      <c r="BR696" t="s">
        <v>706</v>
      </c>
      <c r="BS696" t="s">
        <v>707</v>
      </c>
      <c r="CR696"/>
      <c r="CS696"/>
      <c r="CT696"/>
    </row>
    <row r="697" spans="1:98" x14ac:dyDescent="0.4">
      <c r="A697" s="2" t="s">
        <v>883</v>
      </c>
      <c r="B697" t="str">
        <f>_xlfn.TEXTAFTER(Table1[[#This Row],[VEHIDCODE]],"_")</f>
        <v>Wagon_Gen5_Car_Transporter</v>
      </c>
      <c r="C697" t="s">
        <v>752</v>
      </c>
      <c r="D697" t="b">
        <f>OR(ISNUMBER(SEARCH("wagon_",Table1[[#This Row],[FILENAMES_EXPECTED]])),ISNUMBER(SEARCH("coach_",Table1[[#This Row],[FILENAMES_EXPECTED]])))</f>
        <v>1</v>
      </c>
      <c r="E697" t="str">
        <f>"item_"&amp;Table1[[#This Row],[VEHIDCODE]]</f>
        <v>item_mu_Wagon_Gen5_Car_Transporter</v>
      </c>
      <c r="F697" t="str">
        <f>"str_"&amp;Table1[[#This Row],[VEHIDCODE]]</f>
        <v>str_mu_Wagon_Gen5_Car_Transporter</v>
      </c>
      <c r="O697" s="2" t="b">
        <v>1</v>
      </c>
      <c r="X697" s="2" t="b">
        <v>1</v>
      </c>
      <c r="AG697" s="2" t="b">
        <v>1</v>
      </c>
      <c r="AJ697" s="2"/>
      <c r="AK697" s="2" t="b">
        <f>LEN(_xlfn.CONCAT(Table1[[#This Row],[TRACK_TYPE_STANDARD_GAUGE_RAILTYPE_OHLE]:[TRACK_TYPE_MTRO]]))&gt;0</f>
        <v>1</v>
      </c>
      <c r="AL697">
        <v>8</v>
      </c>
      <c r="AM697" t="s">
        <v>601</v>
      </c>
      <c r="AN697">
        <v>0</v>
      </c>
      <c r="AO697" t="s">
        <v>35</v>
      </c>
      <c r="AP697">
        <v>16</v>
      </c>
      <c r="AQ697">
        <v>2000</v>
      </c>
      <c r="AR697">
        <v>8</v>
      </c>
      <c r="AS697" s="2" t="s">
        <v>33</v>
      </c>
      <c r="AT697" t="b">
        <v>1</v>
      </c>
      <c r="AV697" s="2" t="b">
        <v>1</v>
      </c>
      <c r="AW697" t="s">
        <v>21</v>
      </c>
      <c r="AX697">
        <v>0</v>
      </c>
      <c r="AY697">
        <v>0</v>
      </c>
      <c r="AZ697" t="s">
        <v>711</v>
      </c>
      <c r="BA697">
        <v>160</v>
      </c>
      <c r="BB697" s="2">
        <v>0.3</v>
      </c>
      <c r="BC697" t="s">
        <v>936</v>
      </c>
      <c r="BD697" t="s">
        <v>922</v>
      </c>
      <c r="BE697" t="s">
        <v>940</v>
      </c>
      <c r="BF697" s="7">
        <v>25</v>
      </c>
      <c r="BG6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97">
        <v>0</v>
      </c>
      <c r="BI697" t="s">
        <v>734</v>
      </c>
      <c r="BJ697" s="11"/>
      <c r="BK697" s="11"/>
      <c r="BL697" s="11">
        <v>28</v>
      </c>
      <c r="BM697">
        <v>0</v>
      </c>
      <c r="BN697" t="s">
        <v>692</v>
      </c>
      <c r="BO697" t="s">
        <v>694</v>
      </c>
      <c r="BP697" t="s">
        <v>701</v>
      </c>
      <c r="BQ697" t="s">
        <v>705</v>
      </c>
      <c r="BR697" t="s">
        <v>706</v>
      </c>
      <c r="BS697" t="s">
        <v>707</v>
      </c>
      <c r="CR697"/>
      <c r="CS697"/>
      <c r="CT697"/>
    </row>
    <row r="698" spans="1:98" x14ac:dyDescent="0.4">
      <c r="A698" s="2" t="s">
        <v>884</v>
      </c>
      <c r="B698" t="str">
        <f>_xlfn.TEXTAFTER(Table1[[#This Row],[VEHIDCODE]],"_")</f>
        <v>Wagon_Gen5_Container_Carrier</v>
      </c>
      <c r="C698" t="s">
        <v>752</v>
      </c>
      <c r="D698" t="b">
        <f>OR(ISNUMBER(SEARCH("wagon_",Table1[[#This Row],[FILENAMES_EXPECTED]])),ISNUMBER(SEARCH("coach_",Table1[[#This Row],[FILENAMES_EXPECTED]])))</f>
        <v>1</v>
      </c>
      <c r="E698" t="str">
        <f>"item_"&amp;Table1[[#This Row],[VEHIDCODE]]</f>
        <v>item_mu_Wagon_Gen5_Container_Carrier</v>
      </c>
      <c r="F698" t="str">
        <f>"str_"&amp;Table1[[#This Row],[VEHIDCODE]]</f>
        <v>str_mu_Wagon_Gen5_Container_Carrier</v>
      </c>
      <c r="O698" s="2" t="b">
        <v>1</v>
      </c>
      <c r="X698" s="2" t="b">
        <v>1</v>
      </c>
      <c r="AG698" s="2" t="b">
        <v>1</v>
      </c>
      <c r="AJ698" s="2"/>
      <c r="AK698" s="2" t="b">
        <f>LEN(_xlfn.CONCAT(Table1[[#This Row],[TRACK_TYPE_STANDARD_GAUGE_RAILTYPE_OHLE]:[TRACK_TYPE_MTRO]]))&gt;0</f>
        <v>1</v>
      </c>
      <c r="AL698">
        <v>8</v>
      </c>
      <c r="AM698" t="s">
        <v>533</v>
      </c>
      <c r="AN698">
        <v>0</v>
      </c>
      <c r="AO698" t="s">
        <v>35</v>
      </c>
      <c r="AP698">
        <v>50</v>
      </c>
      <c r="AQ698">
        <v>1990</v>
      </c>
      <c r="AR698">
        <v>8</v>
      </c>
      <c r="AS698" s="2" t="s">
        <v>33</v>
      </c>
      <c r="AT698" t="b">
        <v>1</v>
      </c>
      <c r="AV698" s="2" t="b">
        <v>1</v>
      </c>
      <c r="AW698" t="s">
        <v>21</v>
      </c>
      <c r="AX698">
        <v>0</v>
      </c>
      <c r="AY698">
        <v>0</v>
      </c>
      <c r="AZ698" t="s">
        <v>711</v>
      </c>
      <c r="BA698">
        <v>160</v>
      </c>
      <c r="BB698" s="2">
        <v>0.3</v>
      </c>
      <c r="BC698" t="s">
        <v>936</v>
      </c>
      <c r="BD698" t="s">
        <v>922</v>
      </c>
      <c r="BE698" t="s">
        <v>940</v>
      </c>
      <c r="BF698" s="7">
        <v>25</v>
      </c>
      <c r="BG6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98">
        <v>0</v>
      </c>
      <c r="BI698" t="s">
        <v>734</v>
      </c>
      <c r="BJ698" s="11"/>
      <c r="BK698" s="11"/>
      <c r="BL698" s="11">
        <v>22</v>
      </c>
      <c r="BM698">
        <v>0</v>
      </c>
      <c r="BN698" t="s">
        <v>692</v>
      </c>
      <c r="BO698" t="s">
        <v>694</v>
      </c>
      <c r="BP698" t="s">
        <v>701</v>
      </c>
      <c r="BQ698" t="s">
        <v>705</v>
      </c>
      <c r="BR698" t="s">
        <v>706</v>
      </c>
      <c r="BS698" t="s">
        <v>707</v>
      </c>
      <c r="CR698"/>
      <c r="CS698"/>
      <c r="CT698"/>
    </row>
    <row r="699" spans="1:98" x14ac:dyDescent="0.4">
      <c r="A699" s="2" t="s">
        <v>885</v>
      </c>
      <c r="B699" t="str">
        <f>_xlfn.TEXTAFTER(Table1[[#This Row],[VEHIDCODE]],"_")</f>
        <v>Wagon_Gen5_Centerbeam</v>
      </c>
      <c r="C699" t="s">
        <v>752</v>
      </c>
      <c r="D699" t="b">
        <f>OR(ISNUMBER(SEARCH("wagon_",Table1[[#This Row],[FILENAMES_EXPECTED]])),ISNUMBER(SEARCH("coach_",Table1[[#This Row],[FILENAMES_EXPECTED]])))</f>
        <v>1</v>
      </c>
      <c r="E699" t="str">
        <f>"item_"&amp;Table1[[#This Row],[VEHIDCODE]]</f>
        <v>item_mu_Wagon_Gen5_Centerbeam</v>
      </c>
      <c r="F699" t="str">
        <f>"str_"&amp;Table1[[#This Row],[VEHIDCODE]]</f>
        <v>str_mu_Wagon_Gen5_Centerbeam</v>
      </c>
      <c r="O699" s="2" t="b">
        <v>1</v>
      </c>
      <c r="X699" s="2" t="b">
        <v>1</v>
      </c>
      <c r="AG699" s="2" t="b">
        <v>1</v>
      </c>
      <c r="AJ699" s="2"/>
      <c r="AK699" s="2" t="b">
        <f>LEN(_xlfn.CONCAT(Table1[[#This Row],[TRACK_TYPE_STANDARD_GAUGE_RAILTYPE_OHLE]:[TRACK_TYPE_MTRO]]))&gt;0</f>
        <v>1</v>
      </c>
      <c r="AL699">
        <v>8</v>
      </c>
      <c r="AM699" t="s">
        <v>602</v>
      </c>
      <c r="AN699">
        <v>0</v>
      </c>
      <c r="AO699" t="s">
        <v>35</v>
      </c>
      <c r="AP699">
        <v>55</v>
      </c>
      <c r="AQ699">
        <v>1990</v>
      </c>
      <c r="AR699">
        <v>8</v>
      </c>
      <c r="AS699" s="2" t="s">
        <v>33</v>
      </c>
      <c r="AT699" t="b">
        <v>1</v>
      </c>
      <c r="AV699" s="2" t="b">
        <v>1</v>
      </c>
      <c r="AW699" t="s">
        <v>21</v>
      </c>
      <c r="AX699">
        <v>0</v>
      </c>
      <c r="AY699">
        <v>0</v>
      </c>
      <c r="AZ699" t="s">
        <v>711</v>
      </c>
      <c r="BA699">
        <v>120</v>
      </c>
      <c r="BB699" s="2">
        <v>0.3</v>
      </c>
      <c r="BC699" t="s">
        <v>936</v>
      </c>
      <c r="BD699" t="s">
        <v>922</v>
      </c>
      <c r="BE699" t="s">
        <v>940</v>
      </c>
      <c r="BF699" s="7">
        <v>25</v>
      </c>
      <c r="BG6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699">
        <v>0</v>
      </c>
      <c r="BI699" t="s">
        <v>734</v>
      </c>
      <c r="BJ699" s="11"/>
      <c r="BK699" s="11"/>
      <c r="BL699" s="11">
        <v>40</v>
      </c>
      <c r="BM699">
        <v>0</v>
      </c>
      <c r="BN699" t="s">
        <v>692</v>
      </c>
      <c r="BO699" t="s">
        <v>694</v>
      </c>
      <c r="BP699" t="s">
        <v>701</v>
      </c>
      <c r="BQ699" t="s">
        <v>705</v>
      </c>
      <c r="BR699" t="s">
        <v>706</v>
      </c>
      <c r="BS699" t="s">
        <v>707</v>
      </c>
      <c r="CR699"/>
      <c r="CS699"/>
      <c r="CT699"/>
    </row>
    <row r="700" spans="1:98" x14ac:dyDescent="0.4">
      <c r="A700" s="2" t="s">
        <v>886</v>
      </c>
      <c r="B700" t="str">
        <f>_xlfn.TEXTAFTER(Table1[[#This Row],[VEHIDCODE]],"_")</f>
        <v>Wagon_Gen5_Container_Doublestack</v>
      </c>
      <c r="C700" t="s">
        <v>752</v>
      </c>
      <c r="D700" t="b">
        <f>OR(ISNUMBER(SEARCH("wagon_",Table1[[#This Row],[FILENAMES_EXPECTED]])),ISNUMBER(SEARCH("coach_",Table1[[#This Row],[FILENAMES_EXPECTED]])))</f>
        <v>1</v>
      </c>
      <c r="E700" t="str">
        <f>"item_"&amp;Table1[[#This Row],[VEHIDCODE]]</f>
        <v>item_mu_Wagon_Gen5_Container_Doublestack</v>
      </c>
      <c r="F700" t="str">
        <f>"str_"&amp;Table1[[#This Row],[VEHIDCODE]]</f>
        <v>str_mu_Wagon_Gen5_Container_Doublestack</v>
      </c>
      <c r="O700" s="2" t="b">
        <v>1</v>
      </c>
      <c r="X700" s="2" t="b">
        <v>1</v>
      </c>
      <c r="AG700" s="2" t="b">
        <v>1</v>
      </c>
      <c r="AJ700" s="2"/>
      <c r="AK700" s="2" t="b">
        <f>LEN(_xlfn.CONCAT(Table1[[#This Row],[TRACK_TYPE_STANDARD_GAUGE_RAILTYPE_OHLE]:[TRACK_TYPE_MTRO]]))&gt;0</f>
        <v>1</v>
      </c>
      <c r="AL700">
        <v>8</v>
      </c>
      <c r="AM700" t="s">
        <v>603</v>
      </c>
      <c r="AN700">
        <v>0</v>
      </c>
      <c r="AO700" t="s">
        <v>35</v>
      </c>
      <c r="AP700">
        <v>65</v>
      </c>
      <c r="AQ700">
        <v>1980</v>
      </c>
      <c r="AR700">
        <v>8</v>
      </c>
      <c r="AS700" s="2" t="s">
        <v>33</v>
      </c>
      <c r="AT700" t="b">
        <v>1</v>
      </c>
      <c r="AV700" s="2" t="b">
        <v>1</v>
      </c>
      <c r="AW700" t="s">
        <v>21</v>
      </c>
      <c r="AX700">
        <v>0</v>
      </c>
      <c r="AY700">
        <v>0</v>
      </c>
      <c r="AZ700" t="s">
        <v>711</v>
      </c>
      <c r="BA700">
        <v>120</v>
      </c>
      <c r="BB700" s="2">
        <v>0.3</v>
      </c>
      <c r="BC700" t="s">
        <v>936</v>
      </c>
      <c r="BD700" t="s">
        <v>922</v>
      </c>
      <c r="BE700" t="s">
        <v>940</v>
      </c>
      <c r="BF700" s="7">
        <v>25</v>
      </c>
      <c r="BG7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00">
        <v>0</v>
      </c>
      <c r="BI700" t="s">
        <v>734</v>
      </c>
      <c r="BJ700" s="11"/>
      <c r="BK700" s="11"/>
      <c r="BL700" s="11">
        <v>25</v>
      </c>
      <c r="BM700">
        <v>0</v>
      </c>
      <c r="BN700" t="s">
        <v>692</v>
      </c>
      <c r="BO700" t="s">
        <v>694</v>
      </c>
      <c r="BP700" t="s">
        <v>701</v>
      </c>
      <c r="BQ700" t="s">
        <v>705</v>
      </c>
      <c r="BR700" t="s">
        <v>706</v>
      </c>
      <c r="BS700" t="s">
        <v>707</v>
      </c>
      <c r="CR700"/>
      <c r="CS700"/>
      <c r="CT700"/>
    </row>
    <row r="701" spans="1:98" x14ac:dyDescent="0.4">
      <c r="A701" s="2" t="s">
        <v>887</v>
      </c>
      <c r="B701" t="str">
        <f>_xlfn.TEXTAFTER(Table1[[#This Row],[VEHIDCODE]],"_")</f>
        <v>Wagon_Gen5_Superheavy_Flatcar</v>
      </c>
      <c r="C701" t="s">
        <v>752</v>
      </c>
      <c r="D701" t="b">
        <f>OR(ISNUMBER(SEARCH("wagon_",Table1[[#This Row],[FILENAMES_EXPECTED]])),ISNUMBER(SEARCH("coach_",Table1[[#This Row],[FILENAMES_EXPECTED]])))</f>
        <v>1</v>
      </c>
      <c r="E701" t="str">
        <f>"item_"&amp;Table1[[#This Row],[VEHIDCODE]]</f>
        <v>item_mu_Wagon_Gen5_Superheavy_Flatcar</v>
      </c>
      <c r="F701" t="str">
        <f>"str_"&amp;Table1[[#This Row],[VEHIDCODE]]</f>
        <v>str_mu_Wagon_Gen5_Superheavy_Flatcar</v>
      </c>
      <c r="O701" s="2" t="b">
        <v>1</v>
      </c>
      <c r="X701" s="2" t="b">
        <v>1</v>
      </c>
      <c r="AG701" s="2" t="b">
        <v>1</v>
      </c>
      <c r="AJ701" s="2"/>
      <c r="AK701" s="2" t="b">
        <f>LEN(_xlfn.CONCAT(Table1[[#This Row],[TRACK_TYPE_STANDARD_GAUGE_RAILTYPE_OHLE]:[TRACK_TYPE_MTRO]]))&gt;0</f>
        <v>1</v>
      </c>
      <c r="AL701">
        <v>12</v>
      </c>
      <c r="AM701" t="s">
        <v>609</v>
      </c>
      <c r="AN701">
        <v>0</v>
      </c>
      <c r="AO701" t="s">
        <v>35</v>
      </c>
      <c r="AP701">
        <v>50</v>
      </c>
      <c r="AQ701">
        <v>1990</v>
      </c>
      <c r="AR701">
        <v>4</v>
      </c>
      <c r="AS701" s="2" t="s">
        <v>33</v>
      </c>
      <c r="AT701" t="b">
        <v>1</v>
      </c>
      <c r="AV701" s="2" t="b">
        <v>1</v>
      </c>
      <c r="AW701" t="s">
        <v>21</v>
      </c>
      <c r="AX701">
        <v>0</v>
      </c>
      <c r="AY701">
        <v>0</v>
      </c>
      <c r="AZ701" t="s">
        <v>711</v>
      </c>
      <c r="BA701">
        <v>100</v>
      </c>
      <c r="BB701" s="2">
        <v>0.3</v>
      </c>
      <c r="BC701" t="s">
        <v>936</v>
      </c>
      <c r="BD701" t="s">
        <v>922</v>
      </c>
      <c r="BE701" t="s">
        <v>940</v>
      </c>
      <c r="BF701" s="7">
        <v>25</v>
      </c>
      <c r="BG7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01">
        <v>0</v>
      </c>
      <c r="BI701" t="s">
        <v>734</v>
      </c>
      <c r="BJ701" s="11"/>
      <c r="BK701" s="11"/>
      <c r="BL701" s="11">
        <v>50</v>
      </c>
      <c r="BM701">
        <v>0</v>
      </c>
      <c r="BN701" t="s">
        <v>692</v>
      </c>
      <c r="BO701" t="s">
        <v>694</v>
      </c>
      <c r="BP701" t="s">
        <v>701</v>
      </c>
      <c r="BQ701" t="s">
        <v>705</v>
      </c>
      <c r="BR701" t="s">
        <v>706</v>
      </c>
      <c r="BS701" t="s">
        <v>707</v>
      </c>
      <c r="CR701"/>
      <c r="CS701"/>
      <c r="CT701"/>
    </row>
    <row r="702" spans="1:98" x14ac:dyDescent="0.4">
      <c r="A702" s="2" t="s">
        <v>888</v>
      </c>
      <c r="B702" t="str">
        <f>_xlfn.TEXTAFTER(Table1[[#This Row],[VEHIDCODE]],"_")</f>
        <v>Wagon_Gen6_Flatcar</v>
      </c>
      <c r="C702" t="s">
        <v>753</v>
      </c>
      <c r="D702" t="b">
        <f>OR(ISNUMBER(SEARCH("wagon_",Table1[[#This Row],[FILENAMES_EXPECTED]])),ISNUMBER(SEARCH("coach_",Table1[[#This Row],[FILENAMES_EXPECTED]])))</f>
        <v>1</v>
      </c>
      <c r="E702" t="str">
        <f>"item_"&amp;Table1[[#This Row],[VEHIDCODE]]</f>
        <v>item_mu_Wagon_Gen6_Flatcar</v>
      </c>
      <c r="F702" t="str">
        <f>"str_"&amp;Table1[[#This Row],[VEHIDCODE]]</f>
        <v>str_mu_Wagon_Gen6_Flatcar</v>
      </c>
      <c r="O702" s="2" t="b">
        <v>1</v>
      </c>
      <c r="X702" s="2" t="b">
        <v>1</v>
      </c>
      <c r="AG702" s="2" t="b">
        <v>1</v>
      </c>
      <c r="AJ702" s="2"/>
      <c r="AK702" s="2" t="b">
        <f>LEN(_xlfn.CONCAT(Table1[[#This Row],[TRACK_TYPE_STANDARD_GAUGE_RAILTYPE_OHLE]:[TRACK_TYPE_MTRO]]))&gt;0</f>
        <v>1</v>
      </c>
      <c r="AL702">
        <v>8</v>
      </c>
      <c r="AM702" t="s">
        <v>604</v>
      </c>
      <c r="AN702">
        <v>0</v>
      </c>
      <c r="AO702" t="s">
        <v>35</v>
      </c>
      <c r="AP702">
        <v>72</v>
      </c>
      <c r="AQ702">
        <v>2010</v>
      </c>
      <c r="AR702">
        <v>8</v>
      </c>
      <c r="AS702" s="2" t="s">
        <v>33</v>
      </c>
      <c r="AT702" t="b">
        <v>1</v>
      </c>
      <c r="AV702" s="2" t="b">
        <v>1</v>
      </c>
      <c r="AW702" t="s">
        <v>21</v>
      </c>
      <c r="AX702">
        <v>0</v>
      </c>
      <c r="AY702">
        <v>0</v>
      </c>
      <c r="AZ702" t="s">
        <v>711</v>
      </c>
      <c r="BA702">
        <v>160</v>
      </c>
      <c r="BB702" s="2">
        <v>0.3</v>
      </c>
      <c r="BC702" t="s">
        <v>936</v>
      </c>
      <c r="BD702" t="s">
        <v>922</v>
      </c>
      <c r="BE702" t="s">
        <v>940</v>
      </c>
      <c r="BF702" s="7">
        <v>25</v>
      </c>
      <c r="BG7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02">
        <v>0</v>
      </c>
      <c r="BI702" t="s">
        <v>734</v>
      </c>
      <c r="BJ702" s="11"/>
      <c r="BK702" s="11"/>
      <c r="BL702" s="11">
        <v>23</v>
      </c>
      <c r="BM702">
        <v>0</v>
      </c>
      <c r="BN702" t="s">
        <v>692</v>
      </c>
      <c r="BO702" t="s">
        <v>694</v>
      </c>
      <c r="BP702" t="s">
        <v>701</v>
      </c>
      <c r="BQ702" t="s">
        <v>705</v>
      </c>
      <c r="BR702" t="s">
        <v>706</v>
      </c>
      <c r="BS702" t="s">
        <v>707</v>
      </c>
      <c r="CR702"/>
      <c r="CS702"/>
      <c r="CT702"/>
    </row>
    <row r="703" spans="1:98" x14ac:dyDescent="0.4">
      <c r="A703" s="2" t="s">
        <v>889</v>
      </c>
      <c r="B703" t="str">
        <f>_xlfn.TEXTAFTER(Table1[[#This Row],[VEHIDCODE]],"_")</f>
        <v>Wagon_Gen6_Heavy_Flatcar</v>
      </c>
      <c r="C703" t="s">
        <v>753</v>
      </c>
      <c r="D703" t="b">
        <f>OR(ISNUMBER(SEARCH("wagon_",Table1[[#This Row],[FILENAMES_EXPECTED]])),ISNUMBER(SEARCH("coach_",Table1[[#This Row],[FILENAMES_EXPECTED]])))</f>
        <v>1</v>
      </c>
      <c r="E703" t="str">
        <f>"item_"&amp;Table1[[#This Row],[VEHIDCODE]]</f>
        <v>item_mu_Wagon_Gen6_Heavy_Flatcar</v>
      </c>
      <c r="F703" t="str">
        <f>"str_"&amp;Table1[[#This Row],[VEHIDCODE]]</f>
        <v>str_mu_Wagon_Gen6_Heavy_Flatcar</v>
      </c>
      <c r="O703" s="2" t="b">
        <v>1</v>
      </c>
      <c r="X703" s="2" t="b">
        <v>1</v>
      </c>
      <c r="AG703" s="2" t="b">
        <v>1</v>
      </c>
      <c r="AJ703" s="2"/>
      <c r="AK703" s="2" t="b">
        <f>LEN(_xlfn.CONCAT(Table1[[#This Row],[TRACK_TYPE_STANDARD_GAUGE_RAILTYPE_OHLE]:[TRACK_TYPE_MTRO]]))&gt;0</f>
        <v>1</v>
      </c>
      <c r="AL703">
        <v>8</v>
      </c>
      <c r="AM703" t="s">
        <v>606</v>
      </c>
      <c r="AN703">
        <v>0</v>
      </c>
      <c r="AO703" t="s">
        <v>35</v>
      </c>
      <c r="AP703">
        <v>96</v>
      </c>
      <c r="AQ703">
        <v>2020</v>
      </c>
      <c r="AR703">
        <v>8</v>
      </c>
      <c r="AS703" s="2" t="s">
        <v>33</v>
      </c>
      <c r="AT703" t="b">
        <v>1</v>
      </c>
      <c r="AV703" s="2" t="b">
        <v>1</v>
      </c>
      <c r="AW703" t="s">
        <v>21</v>
      </c>
      <c r="AX703">
        <v>0</v>
      </c>
      <c r="AY703">
        <v>0</v>
      </c>
      <c r="AZ703" t="s">
        <v>711</v>
      </c>
      <c r="BA703">
        <v>140</v>
      </c>
      <c r="BB703" s="2">
        <v>0.3</v>
      </c>
      <c r="BC703" t="s">
        <v>936</v>
      </c>
      <c r="BD703" t="s">
        <v>922</v>
      </c>
      <c r="BE703" t="s">
        <v>940</v>
      </c>
      <c r="BF703" s="7">
        <v>25</v>
      </c>
      <c r="BG7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03">
        <v>0</v>
      </c>
      <c r="BI703" t="s">
        <v>734</v>
      </c>
      <c r="BJ703" s="11"/>
      <c r="BK703" s="11"/>
      <c r="BL703" s="11">
        <v>42</v>
      </c>
      <c r="BM703">
        <v>0</v>
      </c>
      <c r="BN703" t="s">
        <v>692</v>
      </c>
      <c r="BO703" t="s">
        <v>694</v>
      </c>
      <c r="BP703" t="s">
        <v>701</v>
      </c>
      <c r="BQ703" t="s">
        <v>705</v>
      </c>
      <c r="BR703" t="s">
        <v>706</v>
      </c>
      <c r="BS703" t="s">
        <v>707</v>
      </c>
      <c r="CR703"/>
      <c r="CS703"/>
      <c r="CT703"/>
    </row>
    <row r="704" spans="1:98" x14ac:dyDescent="0.4">
      <c r="A704" s="2" t="s">
        <v>890</v>
      </c>
      <c r="B704" t="str">
        <f>_xlfn.TEXTAFTER(Table1[[#This Row],[VEHIDCODE]],"_")</f>
        <v>Wagon_Gen6_Boxcar_Type1</v>
      </c>
      <c r="C704" t="s">
        <v>753</v>
      </c>
      <c r="D704" t="b">
        <f>OR(ISNUMBER(SEARCH("wagon_",Table1[[#This Row],[FILENAMES_EXPECTED]])),ISNUMBER(SEARCH("coach_",Table1[[#This Row],[FILENAMES_EXPECTED]])))</f>
        <v>1</v>
      </c>
      <c r="E704" t="str">
        <f>"item_"&amp;Table1[[#This Row],[VEHIDCODE]]</f>
        <v>item_mu_Wagon_Gen6_Boxcar_Type1</v>
      </c>
      <c r="F704" t="str">
        <f>"str_"&amp;Table1[[#This Row],[VEHIDCODE]]</f>
        <v>str_mu_Wagon_Gen6_Boxcar_Type1</v>
      </c>
      <c r="O704" s="2" t="b">
        <v>1</v>
      </c>
      <c r="X704" s="2" t="b">
        <v>1</v>
      </c>
      <c r="AG704" s="2" t="b">
        <v>1</v>
      </c>
      <c r="AJ704" s="2"/>
      <c r="AK704" s="2" t="b">
        <f>LEN(_xlfn.CONCAT(Table1[[#This Row],[TRACK_TYPE_STANDARD_GAUGE_RAILTYPE_OHLE]:[TRACK_TYPE_MTRO]]))&gt;0</f>
        <v>1</v>
      </c>
      <c r="AL704">
        <v>8</v>
      </c>
      <c r="AM704" t="s">
        <v>600</v>
      </c>
      <c r="AN704">
        <v>0</v>
      </c>
      <c r="AO704" t="s">
        <v>35</v>
      </c>
      <c r="AP704">
        <v>74</v>
      </c>
      <c r="AQ704">
        <v>2010</v>
      </c>
      <c r="AR704">
        <v>8</v>
      </c>
      <c r="AS704" s="2" t="s">
        <v>33</v>
      </c>
      <c r="AT704" t="b">
        <v>1</v>
      </c>
      <c r="AV704" s="2" t="b">
        <v>1</v>
      </c>
      <c r="AW704" t="s">
        <v>21</v>
      </c>
      <c r="AX704">
        <v>0</v>
      </c>
      <c r="AY704">
        <v>0</v>
      </c>
      <c r="AZ704" t="s">
        <v>711</v>
      </c>
      <c r="BA704">
        <v>160</v>
      </c>
      <c r="BB704" s="2">
        <v>0.3</v>
      </c>
      <c r="BC704" t="s">
        <v>933</v>
      </c>
      <c r="BD704" t="s">
        <v>922</v>
      </c>
      <c r="BE704" t="s">
        <v>940</v>
      </c>
      <c r="BF704" s="7">
        <v>25</v>
      </c>
      <c r="BG7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04">
        <v>0</v>
      </c>
      <c r="BI704" t="s">
        <v>734</v>
      </c>
      <c r="BJ704" s="11"/>
      <c r="BK704" s="11"/>
      <c r="BL704" s="11">
        <v>27</v>
      </c>
      <c r="BM704">
        <v>0</v>
      </c>
      <c r="BN704" t="s">
        <v>692</v>
      </c>
      <c r="BO704" t="s">
        <v>694</v>
      </c>
      <c r="BP704" t="s">
        <v>701</v>
      </c>
      <c r="BQ704" t="s">
        <v>705</v>
      </c>
      <c r="BR704" t="s">
        <v>706</v>
      </c>
      <c r="BS704" t="s">
        <v>707</v>
      </c>
      <c r="CR704"/>
      <c r="CS704"/>
      <c r="CT704"/>
    </row>
    <row r="705" spans="1:98" x14ac:dyDescent="0.4">
      <c r="A705" s="2" t="s">
        <v>891</v>
      </c>
      <c r="B705" t="str">
        <f>_xlfn.TEXTAFTER(Table1[[#This Row],[VEHIDCODE]],"_")</f>
        <v>Wagon_Gen6_Boxcar_Type2</v>
      </c>
      <c r="C705" t="s">
        <v>753</v>
      </c>
      <c r="D705" t="b">
        <f>OR(ISNUMBER(SEARCH("wagon_",Table1[[#This Row],[FILENAMES_EXPECTED]])),ISNUMBER(SEARCH("coach_",Table1[[#This Row],[FILENAMES_EXPECTED]])))</f>
        <v>1</v>
      </c>
      <c r="E705" t="str">
        <f>"item_"&amp;Table1[[#This Row],[VEHIDCODE]]</f>
        <v>item_mu_Wagon_Gen6_Boxcar_Type2</v>
      </c>
      <c r="F705" t="str">
        <f>"str_"&amp;Table1[[#This Row],[VEHIDCODE]]</f>
        <v>str_mu_Wagon_Gen6_Boxcar_Type2</v>
      </c>
      <c r="O705" s="2" t="b">
        <v>1</v>
      </c>
      <c r="X705" s="2" t="b">
        <v>1</v>
      </c>
      <c r="AG705" s="2" t="b">
        <v>1</v>
      </c>
      <c r="AJ705" s="2"/>
      <c r="AK705" s="2" t="b">
        <f>LEN(_xlfn.CONCAT(Table1[[#This Row],[TRACK_TYPE_STANDARD_GAUGE_RAILTYPE_OHLE]:[TRACK_TYPE_MTRO]]))&gt;0</f>
        <v>1</v>
      </c>
      <c r="AL705">
        <v>8</v>
      </c>
      <c r="AM705" t="s">
        <v>600</v>
      </c>
      <c r="AN705">
        <v>0</v>
      </c>
      <c r="AO705" t="s">
        <v>35</v>
      </c>
      <c r="AP705">
        <v>74</v>
      </c>
      <c r="AQ705">
        <v>2010</v>
      </c>
      <c r="AR705">
        <v>8</v>
      </c>
      <c r="AS705" s="2" t="s">
        <v>33</v>
      </c>
      <c r="AT705" t="b">
        <v>1</v>
      </c>
      <c r="AV705" s="2" t="b">
        <v>1</v>
      </c>
      <c r="AW705" t="s">
        <v>21</v>
      </c>
      <c r="AX705">
        <v>0</v>
      </c>
      <c r="AY705">
        <v>0</v>
      </c>
      <c r="AZ705" t="s">
        <v>711</v>
      </c>
      <c r="BA705">
        <v>160</v>
      </c>
      <c r="BB705" s="2">
        <v>0.3</v>
      </c>
      <c r="BC705" t="s">
        <v>934</v>
      </c>
      <c r="BD705" t="s">
        <v>922</v>
      </c>
      <c r="BE705" t="s">
        <v>940</v>
      </c>
      <c r="BF705" s="7">
        <v>25</v>
      </c>
      <c r="BG7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05">
        <v>0</v>
      </c>
      <c r="BI705" t="s">
        <v>734</v>
      </c>
      <c r="BJ705" s="11"/>
      <c r="BK705" s="11"/>
      <c r="BL705" s="11">
        <v>27</v>
      </c>
      <c r="BM705">
        <v>0</v>
      </c>
      <c r="BN705" t="s">
        <v>692</v>
      </c>
      <c r="BO705" t="s">
        <v>694</v>
      </c>
      <c r="BP705" t="s">
        <v>701</v>
      </c>
      <c r="BQ705" t="s">
        <v>705</v>
      </c>
      <c r="BR705" t="s">
        <v>706</v>
      </c>
      <c r="BS705" t="s">
        <v>707</v>
      </c>
      <c r="CR705"/>
      <c r="CS705"/>
      <c r="CT705"/>
    </row>
    <row r="706" spans="1:98" x14ac:dyDescent="0.4">
      <c r="A706" s="2" t="s">
        <v>892</v>
      </c>
      <c r="B706" t="str">
        <f>_xlfn.TEXTAFTER(Table1[[#This Row],[VEHIDCODE]],"_")</f>
        <v>Wagon_Gen6_Tanker</v>
      </c>
      <c r="C706" t="s">
        <v>753</v>
      </c>
      <c r="D706" t="b">
        <f>OR(ISNUMBER(SEARCH("wagon_",Table1[[#This Row],[FILENAMES_EXPECTED]])),ISNUMBER(SEARCH("coach_",Table1[[#This Row],[FILENAMES_EXPECTED]])))</f>
        <v>1</v>
      </c>
      <c r="E706" t="str">
        <f>"item_"&amp;Table1[[#This Row],[VEHIDCODE]]</f>
        <v>item_mu_Wagon_Gen6_Tanker</v>
      </c>
      <c r="F706" t="str">
        <f>"str_"&amp;Table1[[#This Row],[VEHIDCODE]]</f>
        <v>str_mu_Wagon_Gen6_Tanker</v>
      </c>
      <c r="O706" s="2" t="b">
        <v>1</v>
      </c>
      <c r="X706" s="2" t="b">
        <v>1</v>
      </c>
      <c r="AG706" s="2" t="b">
        <v>1</v>
      </c>
      <c r="AJ706" s="2"/>
      <c r="AK706" s="2" t="b">
        <f>LEN(_xlfn.CONCAT(Table1[[#This Row],[TRACK_TYPE_STANDARD_GAUGE_RAILTYPE_OHLE]:[TRACK_TYPE_MTRO]]))&gt;0</f>
        <v>1</v>
      </c>
      <c r="AL706">
        <v>8</v>
      </c>
      <c r="AM706" t="s">
        <v>610</v>
      </c>
      <c r="AN706">
        <v>0</v>
      </c>
      <c r="AO706" t="s">
        <v>35</v>
      </c>
      <c r="AP706">
        <v>105</v>
      </c>
      <c r="AQ706">
        <v>2020</v>
      </c>
      <c r="AR706">
        <v>8</v>
      </c>
      <c r="AS706" s="2" t="s">
        <v>33</v>
      </c>
      <c r="AT706" t="b">
        <v>1</v>
      </c>
      <c r="AV706" s="2" t="b">
        <v>1</v>
      </c>
      <c r="AW706" t="s">
        <v>21</v>
      </c>
      <c r="AX706">
        <v>0</v>
      </c>
      <c r="AY706">
        <v>0</v>
      </c>
      <c r="AZ706" t="s">
        <v>711</v>
      </c>
      <c r="BA706">
        <v>160</v>
      </c>
      <c r="BB706" s="2">
        <v>0.3</v>
      </c>
      <c r="BC706" t="s">
        <v>936</v>
      </c>
      <c r="BD706" t="s">
        <v>922</v>
      </c>
      <c r="BE706" t="s">
        <v>940</v>
      </c>
      <c r="BF706" s="7">
        <v>25</v>
      </c>
      <c r="BG7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06">
        <v>0</v>
      </c>
      <c r="BI706" t="s">
        <v>734</v>
      </c>
      <c r="BJ706" s="11"/>
      <c r="BK706" s="11"/>
      <c r="BL706" s="11">
        <v>24</v>
      </c>
      <c r="BM706">
        <v>0</v>
      </c>
      <c r="BN706" t="s">
        <v>692</v>
      </c>
      <c r="BO706" t="s">
        <v>694</v>
      </c>
      <c r="BP706" t="s">
        <v>701</v>
      </c>
      <c r="BQ706" t="s">
        <v>705</v>
      </c>
      <c r="BR706" t="s">
        <v>706</v>
      </c>
      <c r="BS706" t="s">
        <v>707</v>
      </c>
      <c r="CR706"/>
      <c r="CS706"/>
      <c r="CT706"/>
    </row>
    <row r="707" spans="1:98" x14ac:dyDescent="0.4">
      <c r="A707" s="2" t="s">
        <v>893</v>
      </c>
      <c r="B707" t="str">
        <f>_xlfn.TEXTAFTER(Table1[[#This Row],[VEHIDCODE]],"_")</f>
        <v>Wagon_Gen6_Gondola</v>
      </c>
      <c r="C707" t="s">
        <v>753</v>
      </c>
      <c r="D707" t="b">
        <f>OR(ISNUMBER(SEARCH("wagon_",Table1[[#This Row],[FILENAMES_EXPECTED]])),ISNUMBER(SEARCH("coach_",Table1[[#This Row],[FILENAMES_EXPECTED]])))</f>
        <v>1</v>
      </c>
      <c r="E707" t="str">
        <f>"item_"&amp;Table1[[#This Row],[VEHIDCODE]]</f>
        <v>item_mu_Wagon_Gen6_Gondola</v>
      </c>
      <c r="F707" t="str">
        <f>"str_"&amp;Table1[[#This Row],[VEHIDCODE]]</f>
        <v>str_mu_Wagon_Gen6_Gondola</v>
      </c>
      <c r="O707" s="2" t="b">
        <v>1</v>
      </c>
      <c r="X707" s="2" t="b">
        <v>1</v>
      </c>
      <c r="AG707" s="2" t="b">
        <v>1</v>
      </c>
      <c r="AJ707" s="2"/>
      <c r="AK707" s="2" t="b">
        <f>LEN(_xlfn.CONCAT(Table1[[#This Row],[TRACK_TYPE_STANDARD_GAUGE_RAILTYPE_OHLE]:[TRACK_TYPE_MTRO]]))&gt;0</f>
        <v>1</v>
      </c>
      <c r="AL707">
        <v>8</v>
      </c>
      <c r="AM707" t="s">
        <v>605</v>
      </c>
      <c r="AN707">
        <v>0</v>
      </c>
      <c r="AO707" t="s">
        <v>35</v>
      </c>
      <c r="AP707">
        <v>75</v>
      </c>
      <c r="AQ707">
        <v>2010</v>
      </c>
      <c r="AR707">
        <v>8</v>
      </c>
      <c r="AS707" s="2" t="s">
        <v>33</v>
      </c>
      <c r="AT707" t="b">
        <v>1</v>
      </c>
      <c r="AV707" s="2" t="b">
        <v>1</v>
      </c>
      <c r="AW707" t="s">
        <v>21</v>
      </c>
      <c r="AX707">
        <v>0</v>
      </c>
      <c r="AY707">
        <v>0</v>
      </c>
      <c r="AZ707" t="s">
        <v>711</v>
      </c>
      <c r="BA707">
        <v>160</v>
      </c>
      <c r="BB707" s="2">
        <v>0.3</v>
      </c>
      <c r="BC707" t="s">
        <v>936</v>
      </c>
      <c r="BD707" t="s">
        <v>922</v>
      </c>
      <c r="BE707" t="s">
        <v>940</v>
      </c>
      <c r="BF707" s="7">
        <v>25</v>
      </c>
      <c r="BG7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07">
        <v>0</v>
      </c>
      <c r="BI707" t="s">
        <v>734</v>
      </c>
      <c r="BJ707" s="11"/>
      <c r="BK707" s="11"/>
      <c r="BL707" s="11">
        <v>22</v>
      </c>
      <c r="BM707">
        <v>0</v>
      </c>
      <c r="BN707" t="s">
        <v>692</v>
      </c>
      <c r="BO707" t="s">
        <v>694</v>
      </c>
      <c r="BP707" t="s">
        <v>701</v>
      </c>
      <c r="BQ707" t="s">
        <v>705</v>
      </c>
      <c r="BR707" t="s">
        <v>706</v>
      </c>
      <c r="BS707" t="s">
        <v>707</v>
      </c>
      <c r="CR707"/>
      <c r="CS707"/>
      <c r="CT707"/>
    </row>
    <row r="708" spans="1:98" x14ac:dyDescent="0.4">
      <c r="A708" s="2" t="s">
        <v>894</v>
      </c>
      <c r="B708" t="str">
        <f>_xlfn.TEXTAFTER(Table1[[#This Row],[VEHIDCODE]],"_")</f>
        <v>Wagon_Gen6_Silo_Type1</v>
      </c>
      <c r="C708" t="s">
        <v>753</v>
      </c>
      <c r="D708" t="b">
        <f>OR(ISNUMBER(SEARCH("wagon_",Table1[[#This Row],[FILENAMES_EXPECTED]])),ISNUMBER(SEARCH("coach_",Table1[[#This Row],[FILENAMES_EXPECTED]])))</f>
        <v>1</v>
      </c>
      <c r="E708" t="str">
        <f>"item_"&amp;Table1[[#This Row],[VEHIDCODE]]</f>
        <v>item_mu_Wagon_Gen6_Silo_Type1</v>
      </c>
      <c r="F708" t="str">
        <f>"str_"&amp;Table1[[#This Row],[VEHIDCODE]]</f>
        <v>str_mu_Wagon_Gen6_Silo_Type1</v>
      </c>
      <c r="O708" s="2" t="b">
        <v>1</v>
      </c>
      <c r="X708" s="2" t="b">
        <v>1</v>
      </c>
      <c r="AG708" s="2" t="b">
        <v>1</v>
      </c>
      <c r="AJ708" s="2"/>
      <c r="AK708" s="2" t="b">
        <f>LEN(_xlfn.CONCAT(Table1[[#This Row],[TRACK_TYPE_STANDARD_GAUGE_RAILTYPE_OHLE]:[TRACK_TYPE_MTRO]]))&gt;0</f>
        <v>1</v>
      </c>
      <c r="AL708">
        <v>8</v>
      </c>
      <c r="AM708" t="s">
        <v>608</v>
      </c>
      <c r="AN708">
        <v>0</v>
      </c>
      <c r="AO708" t="s">
        <v>35</v>
      </c>
      <c r="AP708">
        <v>75</v>
      </c>
      <c r="AQ708">
        <v>2020</v>
      </c>
      <c r="AR708">
        <v>8</v>
      </c>
      <c r="AS708" s="2" t="s">
        <v>33</v>
      </c>
      <c r="AT708" t="b">
        <v>1</v>
      </c>
      <c r="AV708" s="2" t="b">
        <v>1</v>
      </c>
      <c r="AW708" t="s">
        <v>21</v>
      </c>
      <c r="AX708">
        <v>0</v>
      </c>
      <c r="AY708">
        <v>0</v>
      </c>
      <c r="AZ708" t="s">
        <v>711</v>
      </c>
      <c r="BA708">
        <v>160</v>
      </c>
      <c r="BB708" s="2">
        <v>0.3</v>
      </c>
      <c r="BC708" t="s">
        <v>933</v>
      </c>
      <c r="BD708" t="s">
        <v>922</v>
      </c>
      <c r="BE708" t="s">
        <v>940</v>
      </c>
      <c r="BF708" s="7">
        <v>25</v>
      </c>
      <c r="BG7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08">
        <v>0</v>
      </c>
      <c r="BI708" t="s">
        <v>734</v>
      </c>
      <c r="BJ708" s="11"/>
      <c r="BK708" s="11"/>
      <c r="BL708" s="11">
        <v>27</v>
      </c>
      <c r="BM708">
        <v>0</v>
      </c>
      <c r="BN708" t="s">
        <v>692</v>
      </c>
      <c r="BO708" t="s">
        <v>694</v>
      </c>
      <c r="BP708" t="s">
        <v>701</v>
      </c>
      <c r="BQ708" t="s">
        <v>705</v>
      </c>
      <c r="BR708" t="s">
        <v>706</v>
      </c>
      <c r="BS708" t="s">
        <v>707</v>
      </c>
      <c r="CR708"/>
      <c r="CS708"/>
      <c r="CT708"/>
    </row>
    <row r="709" spans="1:98" x14ac:dyDescent="0.4">
      <c r="A709" s="2" t="s">
        <v>895</v>
      </c>
      <c r="B709" t="str">
        <f>_xlfn.TEXTAFTER(Table1[[#This Row],[VEHIDCODE]],"_")</f>
        <v>Wagon_Gen6_Silo_Type2</v>
      </c>
      <c r="C709" t="s">
        <v>753</v>
      </c>
      <c r="D709" t="b">
        <f>OR(ISNUMBER(SEARCH("wagon_",Table1[[#This Row],[FILENAMES_EXPECTED]])),ISNUMBER(SEARCH("coach_",Table1[[#This Row],[FILENAMES_EXPECTED]])))</f>
        <v>1</v>
      </c>
      <c r="E709" t="str">
        <f>"item_"&amp;Table1[[#This Row],[VEHIDCODE]]</f>
        <v>item_mu_Wagon_Gen6_Silo_Type2</v>
      </c>
      <c r="F709" t="str">
        <f>"str_"&amp;Table1[[#This Row],[VEHIDCODE]]</f>
        <v>str_mu_Wagon_Gen6_Silo_Type2</v>
      </c>
      <c r="O709" s="2" t="b">
        <v>1</v>
      </c>
      <c r="X709" s="2" t="b">
        <v>1</v>
      </c>
      <c r="AG709" s="2" t="b">
        <v>1</v>
      </c>
      <c r="AJ709" s="2"/>
      <c r="AK709" s="2" t="b">
        <f>LEN(_xlfn.CONCAT(Table1[[#This Row],[TRACK_TYPE_STANDARD_GAUGE_RAILTYPE_OHLE]:[TRACK_TYPE_MTRO]]))&gt;0</f>
        <v>1</v>
      </c>
      <c r="AL709">
        <v>8</v>
      </c>
      <c r="AM709" t="s">
        <v>608</v>
      </c>
      <c r="AN709">
        <v>0</v>
      </c>
      <c r="AO709" t="s">
        <v>35</v>
      </c>
      <c r="AP709">
        <v>75</v>
      </c>
      <c r="AQ709">
        <v>2020</v>
      </c>
      <c r="AR709">
        <v>8</v>
      </c>
      <c r="AS709" s="2" t="s">
        <v>33</v>
      </c>
      <c r="AT709" t="b">
        <v>1</v>
      </c>
      <c r="AV709" s="2" t="b">
        <v>1</v>
      </c>
      <c r="AW709" t="s">
        <v>21</v>
      </c>
      <c r="AX709">
        <v>0</v>
      </c>
      <c r="AY709">
        <v>0</v>
      </c>
      <c r="AZ709" t="s">
        <v>711</v>
      </c>
      <c r="BA709">
        <v>160</v>
      </c>
      <c r="BB709" s="2">
        <v>0.3</v>
      </c>
      <c r="BC709" t="s">
        <v>934</v>
      </c>
      <c r="BD709" t="s">
        <v>922</v>
      </c>
      <c r="BE709" t="s">
        <v>940</v>
      </c>
      <c r="BF709" s="7">
        <v>25</v>
      </c>
      <c r="BG7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09">
        <v>0</v>
      </c>
      <c r="BI709" t="s">
        <v>734</v>
      </c>
      <c r="BJ709" s="11"/>
      <c r="BK709" s="11"/>
      <c r="BL709" s="11">
        <v>27</v>
      </c>
      <c r="BM709">
        <v>0</v>
      </c>
      <c r="BN709" t="s">
        <v>692</v>
      </c>
      <c r="BO709" t="s">
        <v>694</v>
      </c>
      <c r="BP709" t="s">
        <v>701</v>
      </c>
      <c r="BQ709" t="s">
        <v>705</v>
      </c>
      <c r="BR709" t="s">
        <v>706</v>
      </c>
      <c r="BS709" t="s">
        <v>707</v>
      </c>
      <c r="CR709"/>
      <c r="CS709"/>
      <c r="CT709"/>
    </row>
    <row r="710" spans="1:98" x14ac:dyDescent="0.4">
      <c r="A710" s="2" t="s">
        <v>896</v>
      </c>
      <c r="B710" t="str">
        <f>_xlfn.TEXTAFTER(Table1[[#This Row],[VEHIDCODE]],"_")</f>
        <v>Wagon_Gen6_Hopper_Type1</v>
      </c>
      <c r="C710" t="s">
        <v>753</v>
      </c>
      <c r="D710" t="b">
        <f>OR(ISNUMBER(SEARCH("wagon_",Table1[[#This Row],[FILENAMES_EXPECTED]])),ISNUMBER(SEARCH("coach_",Table1[[#This Row],[FILENAMES_EXPECTED]])))</f>
        <v>1</v>
      </c>
      <c r="E710" t="str">
        <f>"item_"&amp;Table1[[#This Row],[VEHIDCODE]]</f>
        <v>item_mu_Wagon_Gen6_Hopper_Type1</v>
      </c>
      <c r="F710" t="str">
        <f>"str_"&amp;Table1[[#This Row],[VEHIDCODE]]</f>
        <v>str_mu_Wagon_Gen6_Hopper_Type1</v>
      </c>
      <c r="O710" s="2" t="b">
        <v>1</v>
      </c>
      <c r="X710" s="2" t="b">
        <v>1</v>
      </c>
      <c r="AG710" s="2" t="b">
        <v>1</v>
      </c>
      <c r="AJ710" s="2"/>
      <c r="AK710" s="2" t="b">
        <f>LEN(_xlfn.CONCAT(Table1[[#This Row],[TRACK_TYPE_STANDARD_GAUGE_RAILTYPE_OHLE]:[TRACK_TYPE_MTRO]]))&gt;0</f>
        <v>1</v>
      </c>
      <c r="AL710">
        <v>8</v>
      </c>
      <c r="AM710" t="s">
        <v>607</v>
      </c>
      <c r="AN710">
        <v>0</v>
      </c>
      <c r="AO710" t="s">
        <v>35</v>
      </c>
      <c r="AP710">
        <v>75</v>
      </c>
      <c r="AQ710">
        <v>2020</v>
      </c>
      <c r="AR710">
        <v>8</v>
      </c>
      <c r="AS710" s="2" t="s">
        <v>33</v>
      </c>
      <c r="AT710" t="b">
        <v>1</v>
      </c>
      <c r="AV710" s="2" t="b">
        <v>1</v>
      </c>
      <c r="AW710" t="s">
        <v>21</v>
      </c>
      <c r="AX710">
        <v>0</v>
      </c>
      <c r="AY710">
        <v>0</v>
      </c>
      <c r="AZ710" t="s">
        <v>711</v>
      </c>
      <c r="BA710">
        <v>160</v>
      </c>
      <c r="BB710" s="2">
        <v>0.3</v>
      </c>
      <c r="BC710" t="s">
        <v>933</v>
      </c>
      <c r="BD710" t="s">
        <v>922</v>
      </c>
      <c r="BE710" t="s">
        <v>940</v>
      </c>
      <c r="BF710" s="7">
        <v>25</v>
      </c>
      <c r="BG7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10">
        <v>0</v>
      </c>
      <c r="BI710" t="s">
        <v>734</v>
      </c>
      <c r="BJ710" s="11"/>
      <c r="BK710" s="11"/>
      <c r="BL710" s="11">
        <v>26</v>
      </c>
      <c r="BM710">
        <v>0</v>
      </c>
      <c r="BN710" t="s">
        <v>692</v>
      </c>
      <c r="BO710" t="s">
        <v>694</v>
      </c>
      <c r="BP710" t="s">
        <v>701</v>
      </c>
      <c r="BQ710" t="s">
        <v>705</v>
      </c>
      <c r="BR710" t="s">
        <v>706</v>
      </c>
      <c r="BS710" t="s">
        <v>707</v>
      </c>
      <c r="CR710"/>
      <c r="CS710"/>
      <c r="CT710"/>
    </row>
    <row r="711" spans="1:98" x14ac:dyDescent="0.4">
      <c r="A711" s="2" t="s">
        <v>897</v>
      </c>
      <c r="B711" t="str">
        <f>_xlfn.TEXTAFTER(Table1[[#This Row],[VEHIDCODE]],"_")</f>
        <v>Wagon_Gen6_Hopper_Type2</v>
      </c>
      <c r="C711" t="s">
        <v>753</v>
      </c>
      <c r="D711" t="b">
        <f>OR(ISNUMBER(SEARCH("wagon_",Table1[[#This Row],[FILENAMES_EXPECTED]])),ISNUMBER(SEARCH("coach_",Table1[[#This Row],[FILENAMES_EXPECTED]])))</f>
        <v>1</v>
      </c>
      <c r="E711" t="str">
        <f>"item_"&amp;Table1[[#This Row],[VEHIDCODE]]</f>
        <v>item_mu_Wagon_Gen6_Hopper_Type2</v>
      </c>
      <c r="F711" t="str">
        <f>"str_"&amp;Table1[[#This Row],[VEHIDCODE]]</f>
        <v>str_mu_Wagon_Gen6_Hopper_Type2</v>
      </c>
      <c r="O711" s="2" t="b">
        <v>1</v>
      </c>
      <c r="X711" s="2" t="b">
        <v>1</v>
      </c>
      <c r="AG711" s="2" t="b">
        <v>1</v>
      </c>
      <c r="AJ711" s="2"/>
      <c r="AK711" s="2" t="b">
        <f>LEN(_xlfn.CONCAT(Table1[[#This Row],[TRACK_TYPE_STANDARD_GAUGE_RAILTYPE_OHLE]:[TRACK_TYPE_MTRO]]))&gt;0</f>
        <v>1</v>
      </c>
      <c r="AL711">
        <v>8</v>
      </c>
      <c r="AM711" t="s">
        <v>607</v>
      </c>
      <c r="AN711">
        <v>0</v>
      </c>
      <c r="AO711" t="s">
        <v>35</v>
      </c>
      <c r="AP711">
        <v>75</v>
      </c>
      <c r="AQ711">
        <v>2020</v>
      </c>
      <c r="AR711">
        <v>8</v>
      </c>
      <c r="AS711" s="2" t="s">
        <v>33</v>
      </c>
      <c r="AT711" t="b">
        <v>1</v>
      </c>
      <c r="AV711" s="2" t="b">
        <v>1</v>
      </c>
      <c r="AW711" t="s">
        <v>21</v>
      </c>
      <c r="AX711">
        <v>0</v>
      </c>
      <c r="AY711">
        <v>0</v>
      </c>
      <c r="AZ711" t="s">
        <v>711</v>
      </c>
      <c r="BA711">
        <v>160</v>
      </c>
      <c r="BB711" s="2">
        <v>0.3</v>
      </c>
      <c r="BC711" t="s">
        <v>936</v>
      </c>
      <c r="BD711" t="s">
        <v>922</v>
      </c>
      <c r="BE711" t="s">
        <v>940</v>
      </c>
      <c r="BF711" s="7">
        <v>25</v>
      </c>
      <c r="BG7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11">
        <v>0</v>
      </c>
      <c r="BI711" t="s">
        <v>734</v>
      </c>
      <c r="BJ711" s="11"/>
      <c r="BK711" s="11"/>
      <c r="BL711" s="11">
        <v>26</v>
      </c>
      <c r="BM711">
        <v>0</v>
      </c>
      <c r="BN711" t="s">
        <v>692</v>
      </c>
      <c r="BO711" t="s">
        <v>694</v>
      </c>
      <c r="BP711" t="s">
        <v>701</v>
      </c>
      <c r="BQ711" t="s">
        <v>705</v>
      </c>
      <c r="BR711" t="s">
        <v>706</v>
      </c>
      <c r="BS711" t="s">
        <v>707</v>
      </c>
      <c r="CR711"/>
      <c r="CS711"/>
      <c r="CT711"/>
    </row>
    <row r="712" spans="1:98" x14ac:dyDescent="0.4">
      <c r="A712" s="2" t="s">
        <v>898</v>
      </c>
      <c r="B712" t="str">
        <f>_xlfn.TEXTAFTER(Table1[[#This Row],[VEHIDCODE]],"_")</f>
        <v>Wagon_Gen6_Car_Transporter</v>
      </c>
      <c r="C712" t="s">
        <v>753</v>
      </c>
      <c r="D712" t="b">
        <f>OR(ISNUMBER(SEARCH("wagon_",Table1[[#This Row],[FILENAMES_EXPECTED]])),ISNUMBER(SEARCH("coach_",Table1[[#This Row],[FILENAMES_EXPECTED]])))</f>
        <v>1</v>
      </c>
      <c r="E712" t="str">
        <f>"item_"&amp;Table1[[#This Row],[VEHIDCODE]]</f>
        <v>item_mu_Wagon_Gen6_Car_Transporter</v>
      </c>
      <c r="F712" t="str">
        <f>"str_"&amp;Table1[[#This Row],[VEHIDCODE]]</f>
        <v>str_mu_Wagon_Gen6_Car_Transporter</v>
      </c>
      <c r="O712" s="2" t="b">
        <v>1</v>
      </c>
      <c r="X712" s="2" t="b">
        <v>1</v>
      </c>
      <c r="AG712" s="2" t="b">
        <v>1</v>
      </c>
      <c r="AJ712" s="2"/>
      <c r="AK712" s="2" t="b">
        <f>LEN(_xlfn.CONCAT(Table1[[#This Row],[TRACK_TYPE_STANDARD_GAUGE_RAILTYPE_OHLE]:[TRACK_TYPE_MTRO]]))&gt;0</f>
        <v>1</v>
      </c>
      <c r="AL712">
        <v>8</v>
      </c>
      <c r="AM712" t="s">
        <v>601</v>
      </c>
      <c r="AN712">
        <v>0</v>
      </c>
      <c r="AO712" t="s">
        <v>35</v>
      </c>
      <c r="AP712">
        <v>20</v>
      </c>
      <c r="AQ712">
        <v>2020</v>
      </c>
      <c r="AR712">
        <v>8</v>
      </c>
      <c r="AS712" s="2" t="s">
        <v>33</v>
      </c>
      <c r="AT712" t="b">
        <v>1</v>
      </c>
      <c r="AV712" s="2" t="b">
        <v>1</v>
      </c>
      <c r="AW712" t="s">
        <v>21</v>
      </c>
      <c r="AX712">
        <v>0</v>
      </c>
      <c r="AY712">
        <v>0</v>
      </c>
      <c r="AZ712" t="s">
        <v>711</v>
      </c>
      <c r="BA712">
        <v>160</v>
      </c>
      <c r="BB712" s="2">
        <v>0.3</v>
      </c>
      <c r="BC712" t="s">
        <v>936</v>
      </c>
      <c r="BD712" t="s">
        <v>922</v>
      </c>
      <c r="BE712" t="s">
        <v>940</v>
      </c>
      <c r="BF712" s="7">
        <v>25</v>
      </c>
      <c r="BG7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12">
        <v>0</v>
      </c>
      <c r="BI712" t="s">
        <v>734</v>
      </c>
      <c r="BJ712" s="11"/>
      <c r="BK712" s="11"/>
      <c r="BL712" s="11">
        <v>28</v>
      </c>
      <c r="BM712">
        <v>0</v>
      </c>
      <c r="BN712" t="s">
        <v>692</v>
      </c>
      <c r="BO712" t="s">
        <v>694</v>
      </c>
      <c r="BP712" t="s">
        <v>701</v>
      </c>
      <c r="BQ712" t="s">
        <v>705</v>
      </c>
      <c r="BR712" t="s">
        <v>706</v>
      </c>
      <c r="BS712" t="s">
        <v>707</v>
      </c>
      <c r="CR712"/>
      <c r="CS712"/>
      <c r="CT712"/>
    </row>
    <row r="713" spans="1:98" x14ac:dyDescent="0.4">
      <c r="A713" s="2" t="s">
        <v>899</v>
      </c>
      <c r="B713" t="str">
        <f>_xlfn.TEXTAFTER(Table1[[#This Row],[VEHIDCODE]],"_")</f>
        <v>Wagon_Gen6_Container_Carrier</v>
      </c>
      <c r="C713" t="s">
        <v>753</v>
      </c>
      <c r="D713" t="b">
        <f>OR(ISNUMBER(SEARCH("wagon_",Table1[[#This Row],[FILENAMES_EXPECTED]])),ISNUMBER(SEARCH("coach_",Table1[[#This Row],[FILENAMES_EXPECTED]])))</f>
        <v>1</v>
      </c>
      <c r="E713" t="str">
        <f>"item_"&amp;Table1[[#This Row],[VEHIDCODE]]</f>
        <v>item_mu_Wagon_Gen6_Container_Carrier</v>
      </c>
      <c r="F713" t="str">
        <f>"str_"&amp;Table1[[#This Row],[VEHIDCODE]]</f>
        <v>str_mu_Wagon_Gen6_Container_Carrier</v>
      </c>
      <c r="O713" s="2" t="b">
        <v>1</v>
      </c>
      <c r="X713" s="2" t="b">
        <v>1</v>
      </c>
      <c r="AG713" s="2" t="b">
        <v>1</v>
      </c>
      <c r="AJ713" s="2"/>
      <c r="AK713" s="2" t="b">
        <f>LEN(_xlfn.CONCAT(Table1[[#This Row],[TRACK_TYPE_STANDARD_GAUGE_RAILTYPE_OHLE]:[TRACK_TYPE_MTRO]]))&gt;0</f>
        <v>1</v>
      </c>
      <c r="AL713">
        <v>8</v>
      </c>
      <c r="AM713" t="s">
        <v>533</v>
      </c>
      <c r="AN713">
        <v>0</v>
      </c>
      <c r="AO713" t="s">
        <v>35</v>
      </c>
      <c r="AP713">
        <v>60</v>
      </c>
      <c r="AQ713">
        <v>2010</v>
      </c>
      <c r="AR713">
        <v>8</v>
      </c>
      <c r="AS713" s="2" t="s">
        <v>33</v>
      </c>
      <c r="AT713" t="b">
        <v>1</v>
      </c>
      <c r="AV713" s="2" t="b">
        <v>1</v>
      </c>
      <c r="AW713" t="s">
        <v>21</v>
      </c>
      <c r="AX713">
        <v>0</v>
      </c>
      <c r="AY713">
        <v>0</v>
      </c>
      <c r="AZ713" t="s">
        <v>711</v>
      </c>
      <c r="BA713">
        <v>160</v>
      </c>
      <c r="BB713" s="2">
        <v>0.3</v>
      </c>
      <c r="BC713" t="s">
        <v>936</v>
      </c>
      <c r="BD713" t="s">
        <v>922</v>
      </c>
      <c r="BE713" t="s">
        <v>940</v>
      </c>
      <c r="BF713" s="7">
        <v>25</v>
      </c>
      <c r="BG7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13">
        <v>0</v>
      </c>
      <c r="BI713" t="s">
        <v>734</v>
      </c>
      <c r="BJ713" s="11"/>
      <c r="BK713" s="11"/>
      <c r="BL713" s="11">
        <v>22</v>
      </c>
      <c r="BM713">
        <v>0</v>
      </c>
      <c r="BN713" t="s">
        <v>692</v>
      </c>
      <c r="BO713" t="s">
        <v>694</v>
      </c>
      <c r="BP713" t="s">
        <v>701</v>
      </c>
      <c r="BQ713" t="s">
        <v>705</v>
      </c>
      <c r="BR713" t="s">
        <v>706</v>
      </c>
      <c r="BS713" t="s">
        <v>707</v>
      </c>
      <c r="CR713"/>
      <c r="CS713"/>
      <c r="CT713"/>
    </row>
    <row r="714" spans="1:98" x14ac:dyDescent="0.4">
      <c r="A714" s="2" t="s">
        <v>900</v>
      </c>
      <c r="B714" t="str">
        <f>_xlfn.TEXTAFTER(Table1[[#This Row],[VEHIDCODE]],"_")</f>
        <v>Wagon_Gen6_Centerbeam</v>
      </c>
      <c r="C714" t="s">
        <v>753</v>
      </c>
      <c r="D714" t="b">
        <f>OR(ISNUMBER(SEARCH("wagon_",Table1[[#This Row],[FILENAMES_EXPECTED]])),ISNUMBER(SEARCH("coach_",Table1[[#This Row],[FILENAMES_EXPECTED]])))</f>
        <v>1</v>
      </c>
      <c r="E714" t="str">
        <f>"item_"&amp;Table1[[#This Row],[VEHIDCODE]]</f>
        <v>item_mu_Wagon_Gen6_Centerbeam</v>
      </c>
      <c r="F714" t="str">
        <f>"str_"&amp;Table1[[#This Row],[VEHIDCODE]]</f>
        <v>str_mu_Wagon_Gen6_Centerbeam</v>
      </c>
      <c r="O714" s="2" t="b">
        <v>1</v>
      </c>
      <c r="X714" s="2" t="b">
        <v>1</v>
      </c>
      <c r="AG714" s="2" t="b">
        <v>1</v>
      </c>
      <c r="AJ714" s="2"/>
      <c r="AK714" s="2" t="b">
        <f>LEN(_xlfn.CONCAT(Table1[[#This Row],[TRACK_TYPE_STANDARD_GAUGE_RAILTYPE_OHLE]:[TRACK_TYPE_MTRO]]))&gt;0</f>
        <v>1</v>
      </c>
      <c r="AL714">
        <v>8</v>
      </c>
      <c r="AM714" t="s">
        <v>602</v>
      </c>
      <c r="AN714">
        <v>0</v>
      </c>
      <c r="AO714" t="s">
        <v>35</v>
      </c>
      <c r="AP714">
        <v>65</v>
      </c>
      <c r="AQ714">
        <v>2010</v>
      </c>
      <c r="AR714">
        <v>8</v>
      </c>
      <c r="AS714" s="2" t="s">
        <v>33</v>
      </c>
      <c r="AT714" t="b">
        <v>1</v>
      </c>
      <c r="AV714" s="2" t="b">
        <v>1</v>
      </c>
      <c r="AW714" t="s">
        <v>21</v>
      </c>
      <c r="AX714">
        <v>0</v>
      </c>
      <c r="AY714">
        <v>0</v>
      </c>
      <c r="AZ714" t="s">
        <v>711</v>
      </c>
      <c r="BA714">
        <v>160</v>
      </c>
      <c r="BB714" s="2">
        <v>0.3</v>
      </c>
      <c r="BC714" t="s">
        <v>936</v>
      </c>
      <c r="BD714" t="s">
        <v>922</v>
      </c>
      <c r="BE714" t="s">
        <v>940</v>
      </c>
      <c r="BF714" s="7">
        <v>25</v>
      </c>
      <c r="BG7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14">
        <v>0</v>
      </c>
      <c r="BI714" t="s">
        <v>734</v>
      </c>
      <c r="BJ714" s="11"/>
      <c r="BK714" s="11"/>
      <c r="BL714" s="11">
        <v>40</v>
      </c>
      <c r="BM714">
        <v>0</v>
      </c>
      <c r="BN714" t="s">
        <v>692</v>
      </c>
      <c r="BO714" t="s">
        <v>694</v>
      </c>
      <c r="BP714" t="s">
        <v>701</v>
      </c>
      <c r="BQ714" t="s">
        <v>705</v>
      </c>
      <c r="BR714" t="s">
        <v>706</v>
      </c>
      <c r="BS714" t="s">
        <v>707</v>
      </c>
      <c r="CR714"/>
      <c r="CS714"/>
      <c r="CT714"/>
    </row>
    <row r="715" spans="1:98" x14ac:dyDescent="0.4">
      <c r="A715" s="2" t="s">
        <v>901</v>
      </c>
      <c r="B715" t="str">
        <f>_xlfn.TEXTAFTER(Table1[[#This Row],[VEHIDCODE]],"_")</f>
        <v>Wagon_Gen6_Container_Doublestack</v>
      </c>
      <c r="C715" t="s">
        <v>753</v>
      </c>
      <c r="D715" t="b">
        <f>OR(ISNUMBER(SEARCH("wagon_",Table1[[#This Row],[FILENAMES_EXPECTED]])),ISNUMBER(SEARCH("coach_",Table1[[#This Row],[FILENAMES_EXPECTED]])))</f>
        <v>1</v>
      </c>
      <c r="E715" t="str">
        <f>"item_"&amp;Table1[[#This Row],[VEHIDCODE]]</f>
        <v>item_mu_Wagon_Gen6_Container_Doublestack</v>
      </c>
      <c r="F715" t="str">
        <f>"str_"&amp;Table1[[#This Row],[VEHIDCODE]]</f>
        <v>str_mu_Wagon_Gen6_Container_Doublestack</v>
      </c>
      <c r="O715" s="2" t="b">
        <v>1</v>
      </c>
      <c r="X715" s="2" t="b">
        <v>1</v>
      </c>
      <c r="AG715" s="2" t="b">
        <v>1</v>
      </c>
      <c r="AJ715" s="2"/>
      <c r="AK715" s="2" t="b">
        <f>LEN(_xlfn.CONCAT(Table1[[#This Row],[TRACK_TYPE_STANDARD_GAUGE_RAILTYPE_OHLE]:[TRACK_TYPE_MTRO]]))&gt;0</f>
        <v>1</v>
      </c>
      <c r="AL715">
        <v>8</v>
      </c>
      <c r="AM715" t="s">
        <v>603</v>
      </c>
      <c r="AN715">
        <v>0</v>
      </c>
      <c r="AO715" t="s">
        <v>35</v>
      </c>
      <c r="AP715">
        <v>75</v>
      </c>
      <c r="AQ715">
        <v>2000</v>
      </c>
      <c r="AR715">
        <v>8</v>
      </c>
      <c r="AS715" s="2" t="s">
        <v>33</v>
      </c>
      <c r="AT715" t="b">
        <v>1</v>
      </c>
      <c r="AV715" s="2" t="b">
        <v>1</v>
      </c>
      <c r="AW715" t="s">
        <v>21</v>
      </c>
      <c r="AX715">
        <v>0</v>
      </c>
      <c r="AY715">
        <v>0</v>
      </c>
      <c r="AZ715" t="s">
        <v>711</v>
      </c>
      <c r="BA715">
        <v>160</v>
      </c>
      <c r="BB715" s="2">
        <v>0.3</v>
      </c>
      <c r="BC715" t="s">
        <v>936</v>
      </c>
      <c r="BD715" t="s">
        <v>922</v>
      </c>
      <c r="BE715" t="s">
        <v>940</v>
      </c>
      <c r="BF715" s="7">
        <v>25</v>
      </c>
      <c r="BG7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15">
        <v>0</v>
      </c>
      <c r="BI715" t="s">
        <v>734</v>
      </c>
      <c r="BJ715" s="11"/>
      <c r="BK715" s="11"/>
      <c r="BL715" s="11">
        <v>25</v>
      </c>
      <c r="BM715">
        <v>0</v>
      </c>
      <c r="BN715" t="s">
        <v>692</v>
      </c>
      <c r="BO715" t="s">
        <v>694</v>
      </c>
      <c r="BP715" t="s">
        <v>701</v>
      </c>
      <c r="BQ715" t="s">
        <v>705</v>
      </c>
      <c r="BR715" t="s">
        <v>706</v>
      </c>
      <c r="BS715" t="s">
        <v>707</v>
      </c>
      <c r="CR715"/>
      <c r="CS715"/>
      <c r="CT715"/>
    </row>
    <row r="716" spans="1:98" x14ac:dyDescent="0.4">
      <c r="A716" s="2" t="s">
        <v>902</v>
      </c>
      <c r="B716" t="str">
        <f>_xlfn.TEXTAFTER(Table1[[#This Row],[VEHIDCODE]],"_")</f>
        <v>Wagon_Gen6_Superheavy_Flatcar</v>
      </c>
      <c r="C716" t="s">
        <v>753</v>
      </c>
      <c r="D716" t="b">
        <f>OR(ISNUMBER(SEARCH("wagon_",Table1[[#This Row],[FILENAMES_EXPECTED]])),ISNUMBER(SEARCH("coach_",Table1[[#This Row],[FILENAMES_EXPECTED]])))</f>
        <v>1</v>
      </c>
      <c r="E716" t="str">
        <f>"item_"&amp;Table1[[#This Row],[VEHIDCODE]]</f>
        <v>item_mu_Wagon_Gen6_Superheavy_Flatcar</v>
      </c>
      <c r="F716" t="str">
        <f>"str_"&amp;Table1[[#This Row],[VEHIDCODE]]</f>
        <v>str_mu_Wagon_Gen6_Superheavy_Flatcar</v>
      </c>
      <c r="O716" s="2" t="b">
        <v>1</v>
      </c>
      <c r="X716" s="2" t="b">
        <v>1</v>
      </c>
      <c r="AG716" s="2" t="b">
        <v>1</v>
      </c>
      <c r="AJ716" s="2"/>
      <c r="AK716" s="2" t="b">
        <f>LEN(_xlfn.CONCAT(Table1[[#This Row],[TRACK_TYPE_STANDARD_GAUGE_RAILTYPE_OHLE]:[TRACK_TYPE_MTRO]]))&gt;0</f>
        <v>1</v>
      </c>
      <c r="AL716">
        <v>12</v>
      </c>
      <c r="AM716" t="s">
        <v>609</v>
      </c>
      <c r="AN716">
        <v>0</v>
      </c>
      <c r="AO716" t="s">
        <v>35</v>
      </c>
      <c r="AP716">
        <v>65</v>
      </c>
      <c r="AQ716">
        <v>2010</v>
      </c>
      <c r="AR716">
        <v>4</v>
      </c>
      <c r="AS716" s="2" t="s">
        <v>33</v>
      </c>
      <c r="AT716" t="b">
        <v>1</v>
      </c>
      <c r="AV716" s="2" t="b">
        <v>1</v>
      </c>
      <c r="AW716" t="s">
        <v>21</v>
      </c>
      <c r="AX716">
        <v>0</v>
      </c>
      <c r="AY716">
        <v>0</v>
      </c>
      <c r="AZ716" t="s">
        <v>711</v>
      </c>
      <c r="BA716">
        <v>140</v>
      </c>
      <c r="BB716" s="2">
        <v>0.3</v>
      </c>
      <c r="BC716" t="s">
        <v>936</v>
      </c>
      <c r="BD716" t="s">
        <v>922</v>
      </c>
      <c r="BE716" t="s">
        <v>940</v>
      </c>
      <c r="BF716" s="7">
        <v>25</v>
      </c>
      <c r="BG7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16">
        <v>0</v>
      </c>
      <c r="BI716" t="s">
        <v>734</v>
      </c>
      <c r="BJ716" s="11"/>
      <c r="BK716" s="11"/>
      <c r="BL716" s="11">
        <v>50</v>
      </c>
      <c r="BM716">
        <v>0</v>
      </c>
      <c r="BN716" t="s">
        <v>692</v>
      </c>
      <c r="BO716" t="s">
        <v>694</v>
      </c>
      <c r="BP716" t="s">
        <v>701</v>
      </c>
      <c r="BQ716" t="s">
        <v>705</v>
      </c>
      <c r="BR716" t="s">
        <v>706</v>
      </c>
      <c r="BS716" t="s">
        <v>707</v>
      </c>
      <c r="CR716"/>
      <c r="CS716"/>
      <c r="CT716"/>
    </row>
    <row r="717" spans="1:98" x14ac:dyDescent="0.4">
      <c r="A717" s="2" t="s">
        <v>917</v>
      </c>
      <c r="B717" t="str">
        <f>_xlfn.TEXTAFTER(Table1[[#This Row],[VEHIDCODE]],"_")</f>
        <v>Wagon_Service_Car_Type1</v>
      </c>
      <c r="C717" t="s">
        <v>754</v>
      </c>
      <c r="D717" t="b">
        <f>OR(ISNUMBER(SEARCH("wagon_",Table1[[#This Row],[FILENAMES_EXPECTED]])),ISNUMBER(SEARCH("coach_",Table1[[#This Row],[FILENAMES_EXPECTED]])))</f>
        <v>1</v>
      </c>
      <c r="E717" t="str">
        <f>"item_"&amp;Table1[[#This Row],[VEHIDCODE]]</f>
        <v>item_mu_Wagon_Service_Car_Type1</v>
      </c>
      <c r="F717" t="str">
        <f>"str_"&amp;Table1[[#This Row],[VEHIDCODE]]</f>
        <v>str_mu_Wagon_Service_Car_Type1</v>
      </c>
      <c r="O717" s="2" t="b">
        <v>1</v>
      </c>
      <c r="X717" s="2" t="b">
        <v>1</v>
      </c>
      <c r="AG717" s="2" t="b">
        <v>1</v>
      </c>
      <c r="AJ717" s="2"/>
      <c r="AK717" s="2" t="b">
        <f>LEN(_xlfn.CONCAT(Table1[[#This Row],[TRACK_TYPE_STANDARD_GAUGE_RAILTYPE_OHLE]:[TRACK_TYPE_MTRO]]))&gt;0</f>
        <v>1</v>
      </c>
      <c r="AL717">
        <v>5</v>
      </c>
      <c r="AM717" t="s">
        <v>20</v>
      </c>
      <c r="AN717">
        <v>0</v>
      </c>
      <c r="AO717" t="s">
        <v>35</v>
      </c>
      <c r="AP717">
        <v>0</v>
      </c>
      <c r="AQ717">
        <v>1660</v>
      </c>
      <c r="AR717">
        <v>5</v>
      </c>
      <c r="AS717" s="2" t="s">
        <v>33</v>
      </c>
      <c r="AT717" t="b">
        <v>1</v>
      </c>
      <c r="AV717" s="2" t="b">
        <v>1</v>
      </c>
      <c r="AW717" t="s">
        <v>21</v>
      </c>
      <c r="AX717">
        <v>0</v>
      </c>
      <c r="AY717">
        <v>0</v>
      </c>
      <c r="AZ717" t="s">
        <v>711</v>
      </c>
      <c r="BA717">
        <v>0</v>
      </c>
      <c r="BB717" s="2">
        <v>0.3</v>
      </c>
      <c r="BC717" t="s">
        <v>933</v>
      </c>
      <c r="BD717" t="s">
        <v>922</v>
      </c>
      <c r="BE717" t="s">
        <v>940</v>
      </c>
      <c r="BF717" s="7">
        <v>25</v>
      </c>
      <c r="BG7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17">
        <v>0</v>
      </c>
      <c r="BI717" t="s">
        <v>734</v>
      </c>
      <c r="BJ717" s="11"/>
      <c r="BK717" s="11"/>
      <c r="BL717" s="11">
        <v>15</v>
      </c>
      <c r="BM717">
        <v>0</v>
      </c>
      <c r="BN717" t="s">
        <v>692</v>
      </c>
      <c r="BO717" t="s">
        <v>694</v>
      </c>
      <c r="BP717" t="s">
        <v>701</v>
      </c>
      <c r="BQ717" t="s">
        <v>705</v>
      </c>
      <c r="BR717" t="s">
        <v>706</v>
      </c>
      <c r="BS717" t="s">
        <v>707</v>
      </c>
      <c r="CR717"/>
      <c r="CS717"/>
      <c r="CT717"/>
    </row>
    <row r="718" spans="1:98" x14ac:dyDescent="0.4">
      <c r="A718" s="2" t="s">
        <v>918</v>
      </c>
      <c r="B718" t="str">
        <f>_xlfn.TEXTAFTER(Table1[[#This Row],[VEHIDCODE]],"_")</f>
        <v>Wagon_Service_Car_Type2</v>
      </c>
      <c r="C718" t="s">
        <v>754</v>
      </c>
      <c r="D718" t="b">
        <f>OR(ISNUMBER(SEARCH("wagon_",Table1[[#This Row],[FILENAMES_EXPECTED]])),ISNUMBER(SEARCH("coach_",Table1[[#This Row],[FILENAMES_EXPECTED]])))</f>
        <v>1</v>
      </c>
      <c r="E718" t="str">
        <f>"item_"&amp;Table1[[#This Row],[VEHIDCODE]]</f>
        <v>item_mu_Wagon_Service_Car_Type2</v>
      </c>
      <c r="F718" t="str">
        <f>"str_"&amp;Table1[[#This Row],[VEHIDCODE]]</f>
        <v>str_mu_Wagon_Service_Car_Type2</v>
      </c>
      <c r="O718" s="2" t="b">
        <v>1</v>
      </c>
      <c r="X718" s="2" t="b">
        <v>1</v>
      </c>
      <c r="AG718" s="2" t="b">
        <v>1</v>
      </c>
      <c r="AJ718" s="2"/>
      <c r="AK718" s="2" t="b">
        <f>LEN(_xlfn.CONCAT(Table1[[#This Row],[TRACK_TYPE_STANDARD_GAUGE_RAILTYPE_OHLE]:[TRACK_TYPE_MTRO]]))&gt;0</f>
        <v>1</v>
      </c>
      <c r="AL718">
        <v>5</v>
      </c>
      <c r="AM718" t="s">
        <v>20</v>
      </c>
      <c r="AN718">
        <v>0</v>
      </c>
      <c r="AO718" t="s">
        <v>35</v>
      </c>
      <c r="AP718">
        <v>0</v>
      </c>
      <c r="AQ718">
        <v>1660</v>
      </c>
      <c r="AR718">
        <v>5</v>
      </c>
      <c r="AS718" s="2" t="s">
        <v>33</v>
      </c>
      <c r="AT718" t="b">
        <v>1</v>
      </c>
      <c r="AV718" s="2" t="b">
        <v>1</v>
      </c>
      <c r="AW718" t="s">
        <v>21</v>
      </c>
      <c r="AX718">
        <v>0</v>
      </c>
      <c r="AY718">
        <v>0</v>
      </c>
      <c r="AZ718" t="s">
        <v>711</v>
      </c>
      <c r="BA718">
        <v>0</v>
      </c>
      <c r="BB718" s="2">
        <v>0.3</v>
      </c>
      <c r="BC718" t="s">
        <v>934</v>
      </c>
      <c r="BD718" t="s">
        <v>922</v>
      </c>
      <c r="BE718" t="s">
        <v>940</v>
      </c>
      <c r="BF718" s="7">
        <v>25</v>
      </c>
      <c r="BG7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18">
        <v>0</v>
      </c>
      <c r="BI718" t="s">
        <v>734</v>
      </c>
      <c r="BJ718" s="11"/>
      <c r="BK718" s="11"/>
      <c r="BL718" s="11">
        <v>15</v>
      </c>
      <c r="BM718">
        <v>0</v>
      </c>
      <c r="BN718" t="s">
        <v>692</v>
      </c>
      <c r="BO718" t="s">
        <v>694</v>
      </c>
      <c r="BP718" t="s">
        <v>701</v>
      </c>
      <c r="BQ718" t="s">
        <v>705</v>
      </c>
      <c r="BR718" t="s">
        <v>706</v>
      </c>
      <c r="BS718" t="s">
        <v>707</v>
      </c>
      <c r="CR718"/>
      <c r="CS718"/>
      <c r="CT718"/>
    </row>
    <row r="719" spans="1:98" x14ac:dyDescent="0.4">
      <c r="A719" s="2" t="s">
        <v>774</v>
      </c>
      <c r="B719" t="str">
        <f>_xlfn.TEXTAFTER(Table1[[#This Row],[VEHIDCODE]],"_")</f>
        <v>Coach_Gen1_Wooden_2_axle_Compartment_Coach</v>
      </c>
      <c r="C719" t="s">
        <v>755</v>
      </c>
      <c r="D719" t="b">
        <f>OR(ISNUMBER(SEARCH("wagon_",Table1[[#This Row],[FILENAMES_EXPECTED]])),ISNUMBER(SEARCH("coach_",Table1[[#This Row],[FILENAMES_EXPECTED]])))</f>
        <v>1</v>
      </c>
      <c r="E719" t="str">
        <f>"item_"&amp;Table1[[#This Row],[VEHIDCODE]]</f>
        <v>item_mu_Coach_Gen1_Wooden_2_axle_Compartment_Coach</v>
      </c>
      <c r="F719" t="str">
        <f>"str_"&amp;Table1[[#This Row],[VEHIDCODE]]</f>
        <v>str_mu_Coach_Gen1_Wooden_2_axle_Compartment_Coach</v>
      </c>
      <c r="O719" s="2" t="b">
        <v>1</v>
      </c>
      <c r="X719" s="2" t="b">
        <v>1</v>
      </c>
      <c r="AG719" s="2" t="b">
        <v>1</v>
      </c>
      <c r="AJ719" s="2"/>
      <c r="AK719" s="2" t="b">
        <f>LEN(_xlfn.CONCAT(Table1[[#This Row],[TRACK_TYPE_STANDARD_GAUGE_RAILTYPE_OHLE]:[TRACK_TYPE_MTRO]]))&gt;0</f>
        <v>1</v>
      </c>
      <c r="AL719">
        <v>4</v>
      </c>
      <c r="AM719" t="s">
        <v>326</v>
      </c>
      <c r="AN719">
        <v>0</v>
      </c>
      <c r="AO719" t="s">
        <v>35</v>
      </c>
      <c r="AP719">
        <v>20</v>
      </c>
      <c r="AQ719">
        <v>1830</v>
      </c>
      <c r="AR719">
        <v>4</v>
      </c>
      <c r="AS719" s="2" t="s">
        <v>24</v>
      </c>
      <c r="AT719" t="b">
        <v>1</v>
      </c>
      <c r="AV719" s="2"/>
      <c r="AW719">
        <v>90</v>
      </c>
      <c r="AX719">
        <v>1</v>
      </c>
      <c r="AY719">
        <v>0</v>
      </c>
      <c r="AZ719" t="s">
        <v>711</v>
      </c>
      <c r="BA719">
        <v>50</v>
      </c>
      <c r="BB719" s="2">
        <v>0.3</v>
      </c>
      <c r="BC719" t="s">
        <v>933</v>
      </c>
      <c r="BD719" t="s">
        <v>925</v>
      </c>
      <c r="BE719" t="s">
        <v>940</v>
      </c>
      <c r="BF719" s="7">
        <v>25</v>
      </c>
      <c r="BG7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19">
        <v>0</v>
      </c>
      <c r="BI719" t="s">
        <v>734</v>
      </c>
      <c r="BJ719" s="11"/>
      <c r="BK719" s="11"/>
      <c r="BL719" s="11">
        <v>5</v>
      </c>
      <c r="BM719">
        <v>0</v>
      </c>
      <c r="BN719" t="s">
        <v>692</v>
      </c>
      <c r="BO719" t="s">
        <v>694</v>
      </c>
      <c r="BP719" t="s">
        <v>701</v>
      </c>
      <c r="BQ719" t="s">
        <v>705</v>
      </c>
      <c r="BR719" t="s">
        <v>706</v>
      </c>
      <c r="BS719" t="s">
        <v>707</v>
      </c>
      <c r="CR719"/>
      <c r="CS719"/>
      <c r="CT719"/>
    </row>
    <row r="720" spans="1:98" x14ac:dyDescent="0.4">
      <c r="A720" s="2" t="s">
        <v>775</v>
      </c>
      <c r="B720" t="str">
        <f>_xlfn.TEXTAFTER(Table1[[#This Row],[VEHIDCODE]],"_")</f>
        <v>Coach_Gen1_Wooden_2_axle_Regional_Coach</v>
      </c>
      <c r="C720" t="s">
        <v>755</v>
      </c>
      <c r="D720" t="b">
        <f>OR(ISNUMBER(SEARCH("wagon_",Table1[[#This Row],[FILENAMES_EXPECTED]])),ISNUMBER(SEARCH("coach_",Table1[[#This Row],[FILENAMES_EXPECTED]])))</f>
        <v>1</v>
      </c>
      <c r="E720" t="str">
        <f>"item_"&amp;Table1[[#This Row],[VEHIDCODE]]</f>
        <v>item_mu_Coach_Gen1_Wooden_2_axle_Regional_Coach</v>
      </c>
      <c r="F720" t="str">
        <f>"str_"&amp;Table1[[#This Row],[VEHIDCODE]]</f>
        <v>str_mu_Coach_Gen1_Wooden_2_axle_Regional_Coach</v>
      </c>
      <c r="O720" s="2" t="b">
        <v>1</v>
      </c>
      <c r="X720" s="2" t="b">
        <v>1</v>
      </c>
      <c r="AG720" s="2" t="b">
        <v>1</v>
      </c>
      <c r="AJ720" s="2"/>
      <c r="AK720" s="2" t="b">
        <f>LEN(_xlfn.CONCAT(Table1[[#This Row],[TRACK_TYPE_STANDARD_GAUGE_RAILTYPE_OHLE]:[TRACK_TYPE_MTRO]]))&gt;0</f>
        <v>1</v>
      </c>
      <c r="AL720">
        <v>4</v>
      </c>
      <c r="AM720" t="s">
        <v>326</v>
      </c>
      <c r="AN720">
        <v>0</v>
      </c>
      <c r="AO720" t="s">
        <v>35</v>
      </c>
      <c r="AP720">
        <v>16</v>
      </c>
      <c r="AQ720">
        <v>1830</v>
      </c>
      <c r="AR720">
        <v>4</v>
      </c>
      <c r="AS720" s="2" t="s">
        <v>480</v>
      </c>
      <c r="AT720" t="b">
        <v>1</v>
      </c>
      <c r="AV720" s="2"/>
      <c r="AW720">
        <v>90</v>
      </c>
      <c r="AX720">
        <v>1</v>
      </c>
      <c r="AY720">
        <v>0</v>
      </c>
      <c r="AZ720" t="s">
        <v>711</v>
      </c>
      <c r="BA720">
        <v>65</v>
      </c>
      <c r="BB720" s="2">
        <v>0.3</v>
      </c>
      <c r="BC720" t="s">
        <v>936</v>
      </c>
      <c r="BD720" t="s">
        <v>922</v>
      </c>
      <c r="BE720" t="s">
        <v>940</v>
      </c>
      <c r="BF720" s="7">
        <v>25</v>
      </c>
      <c r="BG7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20">
        <v>0</v>
      </c>
      <c r="BI720" t="s">
        <v>734</v>
      </c>
      <c r="BJ720" s="11"/>
      <c r="BK720" s="11"/>
      <c r="BL720" s="11">
        <v>5</v>
      </c>
      <c r="BM720">
        <v>0</v>
      </c>
      <c r="BN720" t="s">
        <v>692</v>
      </c>
      <c r="BO720" t="s">
        <v>694</v>
      </c>
      <c r="BP720" t="s">
        <v>701</v>
      </c>
      <c r="BQ720" t="s">
        <v>705</v>
      </c>
      <c r="BR720" t="s">
        <v>706</v>
      </c>
      <c r="BS720" t="s">
        <v>707</v>
      </c>
      <c r="CR720"/>
      <c r="CS720"/>
      <c r="CT720"/>
    </row>
    <row r="721" spans="1:98" x14ac:dyDescent="0.4">
      <c r="A721" s="2" t="s">
        <v>776</v>
      </c>
      <c r="B721" t="str">
        <f>_xlfn.TEXTAFTER(Table1[[#This Row],[VEHIDCODE]],"_")</f>
        <v>Coach_Gen1_Wooden_2_axle_Mail_Coach</v>
      </c>
      <c r="C721" t="s">
        <v>755</v>
      </c>
      <c r="D721" t="b">
        <f>OR(ISNUMBER(SEARCH("wagon_",Table1[[#This Row],[FILENAMES_EXPECTED]])),ISNUMBER(SEARCH("coach_",Table1[[#This Row],[FILENAMES_EXPECTED]])))</f>
        <v>1</v>
      </c>
      <c r="E721" t="str">
        <f>"item_"&amp;Table1[[#This Row],[VEHIDCODE]]</f>
        <v>item_mu_Coach_Gen1_Wooden_2_axle_Mail_Coach</v>
      </c>
      <c r="F721" t="str">
        <f>"str_"&amp;Table1[[#This Row],[VEHIDCODE]]</f>
        <v>str_mu_Coach_Gen1_Wooden_2_axle_Mail_Coach</v>
      </c>
      <c r="O721" s="2" t="b">
        <v>1</v>
      </c>
      <c r="X721" s="2" t="b">
        <v>1</v>
      </c>
      <c r="AG721" s="2" t="b">
        <v>1</v>
      </c>
      <c r="AJ721" s="2"/>
      <c r="AK721" s="2" t="b">
        <f>LEN(_xlfn.CONCAT(Table1[[#This Row],[TRACK_TYPE_STANDARD_GAUGE_RAILTYPE_OHLE]:[TRACK_TYPE_MTRO]]))&gt;0</f>
        <v>1</v>
      </c>
      <c r="AL721">
        <v>4</v>
      </c>
      <c r="AM721" t="s">
        <v>674</v>
      </c>
      <c r="AN721">
        <v>0</v>
      </c>
      <c r="AO721" t="s">
        <v>35</v>
      </c>
      <c r="AP721">
        <v>12</v>
      </c>
      <c r="AQ721">
        <v>1830</v>
      </c>
      <c r="AR721">
        <v>4</v>
      </c>
      <c r="AS721" s="2" t="s">
        <v>675</v>
      </c>
      <c r="AT721" t="b">
        <v>1</v>
      </c>
      <c r="AV721" s="2"/>
      <c r="AW721">
        <v>90</v>
      </c>
      <c r="AX721">
        <v>1</v>
      </c>
      <c r="AY721">
        <v>0</v>
      </c>
      <c r="AZ721" t="s">
        <v>711</v>
      </c>
      <c r="BA721">
        <v>50</v>
      </c>
      <c r="BB721" s="2">
        <v>0.3</v>
      </c>
      <c r="BC721" t="s">
        <v>936</v>
      </c>
      <c r="BD721" t="s">
        <v>922</v>
      </c>
      <c r="BE721" t="s">
        <v>940</v>
      </c>
      <c r="BF721" s="7">
        <v>25</v>
      </c>
      <c r="BG7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21">
        <v>0</v>
      </c>
      <c r="BI721" t="s">
        <v>734</v>
      </c>
      <c r="BJ721" s="11"/>
      <c r="BK721" s="11"/>
      <c r="BL721" s="11">
        <v>5</v>
      </c>
      <c r="BM721">
        <v>0</v>
      </c>
      <c r="BN721" t="s">
        <v>692</v>
      </c>
      <c r="BO721" t="s">
        <v>694</v>
      </c>
      <c r="BP721" t="s">
        <v>701</v>
      </c>
      <c r="BQ721" t="s">
        <v>705</v>
      </c>
      <c r="BR721" t="s">
        <v>706</v>
      </c>
      <c r="BS721" t="s">
        <v>707</v>
      </c>
      <c r="CR721"/>
      <c r="CS721"/>
      <c r="CT721"/>
    </row>
    <row r="722" spans="1:98" x14ac:dyDescent="0.4">
      <c r="A722" s="2" t="s">
        <v>777</v>
      </c>
      <c r="B722" t="str">
        <f>_xlfn.TEXTAFTER(Table1[[#This Row],[VEHIDCODE]],"_")</f>
        <v>Coach_Gen1_Clerestory_Compartment_Coach</v>
      </c>
      <c r="C722" t="s">
        <v>755</v>
      </c>
      <c r="D722" t="b">
        <f>OR(ISNUMBER(SEARCH("wagon_",Table1[[#This Row],[FILENAMES_EXPECTED]])),ISNUMBER(SEARCH("coach_",Table1[[#This Row],[FILENAMES_EXPECTED]])))</f>
        <v>1</v>
      </c>
      <c r="E722" t="str">
        <f>"item_"&amp;Table1[[#This Row],[VEHIDCODE]]</f>
        <v>item_mu_Coach_Gen1_Clerestory_Compartment_Coach</v>
      </c>
      <c r="F722" t="str">
        <f>"str_"&amp;Table1[[#This Row],[VEHIDCODE]]</f>
        <v>str_mu_Coach_Gen1_Clerestory_Compartment_Coach</v>
      </c>
      <c r="O722" s="2" t="b">
        <v>1</v>
      </c>
      <c r="X722" s="2" t="b">
        <v>1</v>
      </c>
      <c r="AG722" s="2" t="b">
        <v>1</v>
      </c>
      <c r="AJ722" s="2"/>
      <c r="AK722" s="2" t="b">
        <f>LEN(_xlfn.CONCAT(Table1[[#This Row],[TRACK_TYPE_STANDARD_GAUGE_RAILTYPE_OHLE]:[TRACK_TYPE_MTRO]]))&gt;0</f>
        <v>1</v>
      </c>
      <c r="AL722">
        <v>6</v>
      </c>
      <c r="AM722" t="s">
        <v>326</v>
      </c>
      <c r="AN722">
        <v>0</v>
      </c>
      <c r="AO722" t="s">
        <v>35</v>
      </c>
      <c r="AP722">
        <v>60</v>
      </c>
      <c r="AQ722">
        <v>1840</v>
      </c>
      <c r="AR722">
        <v>6</v>
      </c>
      <c r="AS722" s="2" t="s">
        <v>24</v>
      </c>
      <c r="AT722" t="b">
        <v>1</v>
      </c>
      <c r="AV722" s="2"/>
      <c r="AW722">
        <v>95</v>
      </c>
      <c r="AX722">
        <v>1</v>
      </c>
      <c r="AY722">
        <v>0</v>
      </c>
      <c r="AZ722" t="s">
        <v>711</v>
      </c>
      <c r="BA722">
        <v>80</v>
      </c>
      <c r="BB722" s="2">
        <v>0.3</v>
      </c>
      <c r="BC722" t="s">
        <v>933</v>
      </c>
      <c r="BD722" t="s">
        <v>925</v>
      </c>
      <c r="BE722" t="s">
        <v>940</v>
      </c>
      <c r="BF722" s="7">
        <v>25</v>
      </c>
      <c r="BG7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22">
        <v>0</v>
      </c>
      <c r="BI722" t="s">
        <v>734</v>
      </c>
      <c r="BJ722" s="11"/>
      <c r="BK722" s="11"/>
      <c r="BL722" s="11">
        <v>28</v>
      </c>
      <c r="BM722">
        <v>0</v>
      </c>
      <c r="BN722" t="s">
        <v>692</v>
      </c>
      <c r="BO722" t="s">
        <v>694</v>
      </c>
      <c r="BP722" t="s">
        <v>701</v>
      </c>
      <c r="BQ722" t="s">
        <v>705</v>
      </c>
      <c r="BR722" t="s">
        <v>706</v>
      </c>
      <c r="BS722" t="s">
        <v>707</v>
      </c>
      <c r="CR722"/>
      <c r="CS722"/>
      <c r="CT722"/>
    </row>
    <row r="723" spans="1:98" x14ac:dyDescent="0.4">
      <c r="A723" s="2" t="s">
        <v>778</v>
      </c>
      <c r="B723" t="str">
        <f>_xlfn.TEXTAFTER(Table1[[#This Row],[VEHIDCODE]],"_")</f>
        <v>Coach_Gen1_Clerestory_Regional_Coach</v>
      </c>
      <c r="C723" t="s">
        <v>755</v>
      </c>
      <c r="D723" t="b">
        <f>OR(ISNUMBER(SEARCH("wagon_",Table1[[#This Row],[FILENAMES_EXPECTED]])),ISNUMBER(SEARCH("coach_",Table1[[#This Row],[FILENAMES_EXPECTED]])))</f>
        <v>1</v>
      </c>
      <c r="E723" t="str">
        <f>"item_"&amp;Table1[[#This Row],[VEHIDCODE]]</f>
        <v>item_mu_Coach_Gen1_Clerestory_Regional_Coach</v>
      </c>
      <c r="F723" t="str">
        <f>"str_"&amp;Table1[[#This Row],[VEHIDCODE]]</f>
        <v>str_mu_Coach_Gen1_Clerestory_Regional_Coach</v>
      </c>
      <c r="O723" s="2" t="b">
        <v>1</v>
      </c>
      <c r="X723" s="2" t="b">
        <v>1</v>
      </c>
      <c r="AG723" s="2" t="b">
        <v>1</v>
      </c>
      <c r="AJ723" s="2"/>
      <c r="AK723" s="2" t="b">
        <f>LEN(_xlfn.CONCAT(Table1[[#This Row],[TRACK_TYPE_STANDARD_GAUGE_RAILTYPE_OHLE]:[TRACK_TYPE_MTRO]]))&gt;0</f>
        <v>1</v>
      </c>
      <c r="AL723">
        <v>6</v>
      </c>
      <c r="AM723" t="s">
        <v>326</v>
      </c>
      <c r="AN723">
        <v>0</v>
      </c>
      <c r="AO723" t="s">
        <v>35</v>
      </c>
      <c r="AP723">
        <v>50</v>
      </c>
      <c r="AQ723">
        <v>1840</v>
      </c>
      <c r="AR723">
        <v>6</v>
      </c>
      <c r="AS723" s="2" t="s">
        <v>480</v>
      </c>
      <c r="AT723" t="b">
        <v>1</v>
      </c>
      <c r="AV723" s="2"/>
      <c r="AW723">
        <v>95</v>
      </c>
      <c r="AX723">
        <v>1</v>
      </c>
      <c r="AY723">
        <v>0</v>
      </c>
      <c r="AZ723" t="s">
        <v>711</v>
      </c>
      <c r="BA723">
        <v>90</v>
      </c>
      <c r="BB723" s="2">
        <v>0.3</v>
      </c>
      <c r="BC723" t="s">
        <v>936</v>
      </c>
      <c r="BD723" t="s">
        <v>922</v>
      </c>
      <c r="BE723" t="s">
        <v>940</v>
      </c>
      <c r="BF723" s="7">
        <v>25</v>
      </c>
      <c r="BG7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23">
        <v>0</v>
      </c>
      <c r="BI723" t="s">
        <v>734</v>
      </c>
      <c r="BJ723" s="11"/>
      <c r="BK723" s="11"/>
      <c r="BL723" s="11">
        <v>28</v>
      </c>
      <c r="BM723">
        <v>0</v>
      </c>
      <c r="BN723" t="s">
        <v>692</v>
      </c>
      <c r="BO723" t="s">
        <v>694</v>
      </c>
      <c r="BP723" t="s">
        <v>701</v>
      </c>
      <c r="BQ723" t="s">
        <v>705</v>
      </c>
      <c r="BR723" t="s">
        <v>706</v>
      </c>
      <c r="BS723" t="s">
        <v>707</v>
      </c>
      <c r="CR723"/>
      <c r="CS723"/>
      <c r="CT723"/>
    </row>
    <row r="724" spans="1:98" x14ac:dyDescent="0.4">
      <c r="A724" s="2" t="s">
        <v>779</v>
      </c>
      <c r="B724" t="str">
        <f>_xlfn.TEXTAFTER(Table1[[#This Row],[VEHIDCODE]],"_")</f>
        <v>Coach_Gen1_Clerestory_Mail_Coach</v>
      </c>
      <c r="C724" t="s">
        <v>755</v>
      </c>
      <c r="D724" t="b">
        <f>OR(ISNUMBER(SEARCH("wagon_",Table1[[#This Row],[FILENAMES_EXPECTED]])),ISNUMBER(SEARCH("coach_",Table1[[#This Row],[FILENAMES_EXPECTED]])))</f>
        <v>1</v>
      </c>
      <c r="E724" t="str">
        <f>"item_"&amp;Table1[[#This Row],[VEHIDCODE]]</f>
        <v>item_mu_Coach_Gen1_Clerestory_Mail_Coach</v>
      </c>
      <c r="F724" t="str">
        <f>"str_"&amp;Table1[[#This Row],[VEHIDCODE]]</f>
        <v>str_mu_Coach_Gen1_Clerestory_Mail_Coach</v>
      </c>
      <c r="O724" s="2" t="b">
        <v>1</v>
      </c>
      <c r="X724" s="2" t="b">
        <v>1</v>
      </c>
      <c r="AG724" s="2" t="b">
        <v>1</v>
      </c>
      <c r="AJ724" s="2"/>
      <c r="AK724" s="2" t="b">
        <f>LEN(_xlfn.CONCAT(Table1[[#This Row],[TRACK_TYPE_STANDARD_GAUGE_RAILTYPE_OHLE]:[TRACK_TYPE_MTRO]]))&gt;0</f>
        <v>1</v>
      </c>
      <c r="AL724">
        <v>6</v>
      </c>
      <c r="AM724" t="s">
        <v>674</v>
      </c>
      <c r="AN724">
        <v>0</v>
      </c>
      <c r="AO724" t="s">
        <v>35</v>
      </c>
      <c r="AP724">
        <v>40</v>
      </c>
      <c r="AQ724">
        <v>1840</v>
      </c>
      <c r="AR724">
        <v>6</v>
      </c>
      <c r="AS724" s="2" t="s">
        <v>675</v>
      </c>
      <c r="AT724" t="b">
        <v>1</v>
      </c>
      <c r="AV724" s="2"/>
      <c r="AW724">
        <v>95</v>
      </c>
      <c r="AX724">
        <v>1</v>
      </c>
      <c r="AY724">
        <v>0</v>
      </c>
      <c r="AZ724" t="s">
        <v>711</v>
      </c>
      <c r="BA724">
        <v>90</v>
      </c>
      <c r="BB724" s="2">
        <v>0.3</v>
      </c>
      <c r="BC724" t="s">
        <v>936</v>
      </c>
      <c r="BD724" t="s">
        <v>922</v>
      </c>
      <c r="BE724" t="s">
        <v>940</v>
      </c>
      <c r="BF724" s="7">
        <v>25</v>
      </c>
      <c r="BG7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24">
        <v>0</v>
      </c>
      <c r="BI724" t="s">
        <v>734</v>
      </c>
      <c r="BJ724" s="11"/>
      <c r="BK724" s="11"/>
      <c r="BL724" s="11">
        <v>28</v>
      </c>
      <c r="BM724">
        <v>0</v>
      </c>
      <c r="BN724" t="s">
        <v>692</v>
      </c>
      <c r="BO724" t="s">
        <v>694</v>
      </c>
      <c r="BP724" t="s">
        <v>701</v>
      </c>
      <c r="BQ724" t="s">
        <v>705</v>
      </c>
      <c r="BR724" t="s">
        <v>706</v>
      </c>
      <c r="BS724" t="s">
        <v>707</v>
      </c>
      <c r="CR724"/>
      <c r="CS724"/>
      <c r="CT724"/>
    </row>
    <row r="725" spans="1:98" x14ac:dyDescent="0.4">
      <c r="A725" s="2" t="s">
        <v>780</v>
      </c>
      <c r="B725" t="str">
        <f>_xlfn.TEXTAFTER(Table1[[#This Row],[VEHIDCODE]],"_")</f>
        <v>Coach_Gen1_Wooden_3_axle_Compartment_Coach</v>
      </c>
      <c r="C725" t="s">
        <v>755</v>
      </c>
      <c r="D725" t="b">
        <f>OR(ISNUMBER(SEARCH("wagon_",Table1[[#This Row],[FILENAMES_EXPECTED]])),ISNUMBER(SEARCH("coach_",Table1[[#This Row],[FILENAMES_EXPECTED]])))</f>
        <v>1</v>
      </c>
      <c r="E725" t="str">
        <f>"item_"&amp;Table1[[#This Row],[VEHIDCODE]]</f>
        <v>item_mu_Coach_Gen1_Wooden_3_axle_Compartment_Coach</v>
      </c>
      <c r="F725" t="str">
        <f>"str_"&amp;Table1[[#This Row],[VEHIDCODE]]</f>
        <v>str_mu_Coach_Gen1_Wooden_3_axle_Compartment_Coach</v>
      </c>
      <c r="O725" s="2" t="b">
        <v>1</v>
      </c>
      <c r="X725" s="2" t="b">
        <v>1</v>
      </c>
      <c r="AG725" s="2" t="b">
        <v>1</v>
      </c>
      <c r="AJ725" s="2"/>
      <c r="AK725" s="2" t="b">
        <f>LEN(_xlfn.CONCAT(Table1[[#This Row],[TRACK_TYPE_STANDARD_GAUGE_RAILTYPE_OHLE]:[TRACK_TYPE_MTRO]]))&gt;0</f>
        <v>1</v>
      </c>
      <c r="AL725">
        <v>5</v>
      </c>
      <c r="AM725" t="s">
        <v>326</v>
      </c>
      <c r="AN725">
        <v>0</v>
      </c>
      <c r="AO725" t="s">
        <v>35</v>
      </c>
      <c r="AP725">
        <v>50</v>
      </c>
      <c r="AQ725">
        <v>1850</v>
      </c>
      <c r="AR725">
        <v>5</v>
      </c>
      <c r="AS725" s="2" t="s">
        <v>24</v>
      </c>
      <c r="AT725" t="b">
        <v>1</v>
      </c>
      <c r="AV725" s="2"/>
      <c r="AW725">
        <v>80</v>
      </c>
      <c r="AX725">
        <v>1</v>
      </c>
      <c r="AY725">
        <v>0</v>
      </c>
      <c r="AZ725" t="s">
        <v>711</v>
      </c>
      <c r="BA725">
        <v>80</v>
      </c>
      <c r="BB725" s="2">
        <v>0.3</v>
      </c>
      <c r="BC725" t="s">
        <v>933</v>
      </c>
      <c r="BD725" t="s">
        <v>925</v>
      </c>
      <c r="BE725" t="s">
        <v>940</v>
      </c>
      <c r="BF725" s="7">
        <v>25</v>
      </c>
      <c r="BG7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25">
        <v>0</v>
      </c>
      <c r="BI725" t="s">
        <v>734</v>
      </c>
      <c r="BJ725" s="11"/>
      <c r="BK725" s="11"/>
      <c r="BL725" s="11">
        <v>13</v>
      </c>
      <c r="BM725">
        <v>0</v>
      </c>
      <c r="BN725" t="s">
        <v>692</v>
      </c>
      <c r="BO725" t="s">
        <v>694</v>
      </c>
      <c r="BP725" t="s">
        <v>701</v>
      </c>
      <c r="BQ725" t="s">
        <v>705</v>
      </c>
      <c r="BR725" t="s">
        <v>706</v>
      </c>
      <c r="BS725" t="s">
        <v>707</v>
      </c>
      <c r="CR725"/>
      <c r="CS725"/>
      <c r="CT725"/>
    </row>
    <row r="726" spans="1:98" x14ac:dyDescent="0.4">
      <c r="A726" s="2" t="s">
        <v>781</v>
      </c>
      <c r="B726" t="str">
        <f>_xlfn.TEXTAFTER(Table1[[#This Row],[VEHIDCODE]],"_")</f>
        <v>Coach_Gen1_Wooden_3_axle_Regional_Coach</v>
      </c>
      <c r="C726" t="s">
        <v>755</v>
      </c>
      <c r="D726" t="b">
        <f>OR(ISNUMBER(SEARCH("wagon_",Table1[[#This Row],[FILENAMES_EXPECTED]])),ISNUMBER(SEARCH("coach_",Table1[[#This Row],[FILENAMES_EXPECTED]])))</f>
        <v>1</v>
      </c>
      <c r="E726" t="str">
        <f>"item_"&amp;Table1[[#This Row],[VEHIDCODE]]</f>
        <v>item_mu_Coach_Gen1_Wooden_3_axle_Regional_Coach</v>
      </c>
      <c r="F726" t="str">
        <f>"str_"&amp;Table1[[#This Row],[VEHIDCODE]]</f>
        <v>str_mu_Coach_Gen1_Wooden_3_axle_Regional_Coach</v>
      </c>
      <c r="O726" s="2" t="b">
        <v>1</v>
      </c>
      <c r="X726" s="2" t="b">
        <v>1</v>
      </c>
      <c r="AG726" s="2" t="b">
        <v>1</v>
      </c>
      <c r="AJ726" s="2"/>
      <c r="AK726" s="2" t="b">
        <f>LEN(_xlfn.CONCAT(Table1[[#This Row],[TRACK_TYPE_STANDARD_GAUGE_RAILTYPE_OHLE]:[TRACK_TYPE_MTRO]]))&gt;0</f>
        <v>1</v>
      </c>
      <c r="AL726">
        <v>5</v>
      </c>
      <c r="AM726" t="s">
        <v>326</v>
      </c>
      <c r="AN726">
        <v>0</v>
      </c>
      <c r="AO726" t="s">
        <v>35</v>
      </c>
      <c r="AP726">
        <v>40</v>
      </c>
      <c r="AQ726">
        <v>1850</v>
      </c>
      <c r="AR726">
        <v>5</v>
      </c>
      <c r="AS726" s="2" t="s">
        <v>480</v>
      </c>
      <c r="AT726" t="b">
        <v>1</v>
      </c>
      <c r="AV726" s="2"/>
      <c r="AW726">
        <v>80</v>
      </c>
      <c r="AX726">
        <v>1</v>
      </c>
      <c r="AY726">
        <v>0</v>
      </c>
      <c r="AZ726" t="s">
        <v>711</v>
      </c>
      <c r="BA726">
        <v>90</v>
      </c>
      <c r="BB726" s="2">
        <v>0.3</v>
      </c>
      <c r="BC726" t="s">
        <v>933</v>
      </c>
      <c r="BD726" t="s">
        <v>925</v>
      </c>
      <c r="BE726" t="s">
        <v>940</v>
      </c>
      <c r="BF726" s="7">
        <v>25</v>
      </c>
      <c r="BG7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26">
        <v>0</v>
      </c>
      <c r="BI726" t="s">
        <v>734</v>
      </c>
      <c r="BJ726" s="11"/>
      <c r="BK726" s="11"/>
      <c r="BL726" s="11">
        <v>13</v>
      </c>
      <c r="BM726">
        <v>0</v>
      </c>
      <c r="BN726" t="s">
        <v>692</v>
      </c>
      <c r="BO726" t="s">
        <v>694</v>
      </c>
      <c r="BP726" t="s">
        <v>701</v>
      </c>
      <c r="BQ726" t="s">
        <v>705</v>
      </c>
      <c r="BR726" t="s">
        <v>706</v>
      </c>
      <c r="BS726" t="s">
        <v>707</v>
      </c>
      <c r="CR726"/>
      <c r="CS726"/>
      <c r="CT726"/>
    </row>
    <row r="727" spans="1:98" x14ac:dyDescent="0.4">
      <c r="A727" s="2" t="s">
        <v>782</v>
      </c>
      <c r="B727" t="str">
        <f>_xlfn.TEXTAFTER(Table1[[#This Row],[VEHIDCODE]],"_")</f>
        <v>Coach_Gen1_Wooden_3_axle_Mail_Coach</v>
      </c>
      <c r="C727" t="s">
        <v>755</v>
      </c>
      <c r="D727" t="b">
        <f>OR(ISNUMBER(SEARCH("wagon_",Table1[[#This Row],[FILENAMES_EXPECTED]])),ISNUMBER(SEARCH("coach_",Table1[[#This Row],[FILENAMES_EXPECTED]])))</f>
        <v>1</v>
      </c>
      <c r="E727" t="str">
        <f>"item_"&amp;Table1[[#This Row],[VEHIDCODE]]</f>
        <v>item_mu_Coach_Gen1_Wooden_3_axle_Mail_Coach</v>
      </c>
      <c r="F727" t="str">
        <f>"str_"&amp;Table1[[#This Row],[VEHIDCODE]]</f>
        <v>str_mu_Coach_Gen1_Wooden_3_axle_Mail_Coach</v>
      </c>
      <c r="O727" s="2" t="b">
        <v>1</v>
      </c>
      <c r="X727" s="2" t="b">
        <v>1</v>
      </c>
      <c r="AG727" s="2" t="b">
        <v>1</v>
      </c>
      <c r="AJ727" s="2"/>
      <c r="AK727" s="2" t="b">
        <f>LEN(_xlfn.CONCAT(Table1[[#This Row],[TRACK_TYPE_STANDARD_GAUGE_RAILTYPE_OHLE]:[TRACK_TYPE_MTRO]]))&gt;0</f>
        <v>1</v>
      </c>
      <c r="AL727">
        <v>5</v>
      </c>
      <c r="AM727" t="s">
        <v>674</v>
      </c>
      <c r="AN727">
        <v>0</v>
      </c>
      <c r="AO727" t="s">
        <v>35</v>
      </c>
      <c r="AP727">
        <v>24</v>
      </c>
      <c r="AQ727">
        <v>1850</v>
      </c>
      <c r="AR727">
        <v>5</v>
      </c>
      <c r="AS727" s="2" t="s">
        <v>675</v>
      </c>
      <c r="AT727" t="b">
        <v>1</v>
      </c>
      <c r="AV727" s="2"/>
      <c r="AW727">
        <v>80</v>
      </c>
      <c r="AX727">
        <v>1</v>
      </c>
      <c r="AY727">
        <v>0</v>
      </c>
      <c r="AZ727" t="s">
        <v>711</v>
      </c>
      <c r="BA727">
        <v>80</v>
      </c>
      <c r="BB727" s="2">
        <v>0.3</v>
      </c>
      <c r="BC727" t="s">
        <v>933</v>
      </c>
      <c r="BD727" t="s">
        <v>925</v>
      </c>
      <c r="BE727" t="s">
        <v>940</v>
      </c>
      <c r="BF727" s="7">
        <v>25</v>
      </c>
      <c r="BG7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27">
        <v>0</v>
      </c>
      <c r="BI727" t="s">
        <v>734</v>
      </c>
      <c r="BJ727" s="11"/>
      <c r="BK727" s="11"/>
      <c r="BL727" s="11">
        <v>13</v>
      </c>
      <c r="BM727">
        <v>0</v>
      </c>
      <c r="BN727" t="s">
        <v>692</v>
      </c>
      <c r="BO727" t="s">
        <v>694</v>
      </c>
      <c r="BP727" t="s">
        <v>701</v>
      </c>
      <c r="BQ727" t="s">
        <v>705</v>
      </c>
      <c r="BR727" t="s">
        <v>706</v>
      </c>
      <c r="BS727" t="s">
        <v>707</v>
      </c>
      <c r="CR727"/>
      <c r="CS727"/>
      <c r="CT727"/>
    </row>
    <row r="728" spans="1:98" x14ac:dyDescent="0.4">
      <c r="A728" s="2" t="s">
        <v>783</v>
      </c>
      <c r="B728" t="str">
        <f>_xlfn.TEXTAFTER(Table1[[#This Row],[VEHIDCODE]],"_")</f>
        <v>Coach_Gen2_Heavyweight_Intercity_Coach</v>
      </c>
      <c r="C728" t="s">
        <v>756</v>
      </c>
      <c r="D728" t="b">
        <f>OR(ISNUMBER(SEARCH("wagon_",Table1[[#This Row],[FILENAMES_EXPECTED]])),ISNUMBER(SEARCH("coach_",Table1[[#This Row],[FILENAMES_EXPECTED]])))</f>
        <v>1</v>
      </c>
      <c r="E728" t="str">
        <f>"item_"&amp;Table1[[#This Row],[VEHIDCODE]]</f>
        <v>item_mu_Coach_Gen2_Heavyweight_Intercity_Coach</v>
      </c>
      <c r="F728" t="str">
        <f>"str_"&amp;Table1[[#This Row],[VEHIDCODE]]</f>
        <v>str_mu_Coach_Gen2_Heavyweight_Intercity_Coach</v>
      </c>
      <c r="O728" s="2" t="b">
        <v>1</v>
      </c>
      <c r="X728" s="2" t="b">
        <v>1</v>
      </c>
      <c r="AG728" s="2" t="b">
        <v>1</v>
      </c>
      <c r="AJ728" s="2"/>
      <c r="AK728" s="2" t="b">
        <f>LEN(_xlfn.CONCAT(Table1[[#This Row],[TRACK_TYPE_STANDARD_GAUGE_RAILTYPE_OHLE]:[TRACK_TYPE_MTRO]]))&gt;0</f>
        <v>1</v>
      </c>
      <c r="AL728">
        <v>8</v>
      </c>
      <c r="AM728" t="s">
        <v>326</v>
      </c>
      <c r="AN728">
        <v>0</v>
      </c>
      <c r="AO728" t="s">
        <v>35</v>
      </c>
      <c r="AP728">
        <v>60</v>
      </c>
      <c r="AQ728">
        <v>1900</v>
      </c>
      <c r="AR728">
        <v>8</v>
      </c>
      <c r="AS728" s="2" t="s">
        <v>480</v>
      </c>
      <c r="AT728" t="b">
        <v>1</v>
      </c>
      <c r="AV728" s="2"/>
      <c r="AW728">
        <v>75</v>
      </c>
      <c r="AX728">
        <v>1</v>
      </c>
      <c r="AY728">
        <v>0</v>
      </c>
      <c r="AZ728" t="s">
        <v>711</v>
      </c>
      <c r="BA728">
        <v>160</v>
      </c>
      <c r="BB728" s="2">
        <v>0.3</v>
      </c>
      <c r="BC728" t="s">
        <v>935</v>
      </c>
      <c r="BD728" t="s">
        <v>925</v>
      </c>
      <c r="BE728" t="s">
        <v>940</v>
      </c>
      <c r="BF728" s="7">
        <v>25</v>
      </c>
      <c r="BG7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28">
        <v>0</v>
      </c>
      <c r="BI728" t="s">
        <v>734</v>
      </c>
      <c r="BJ728" s="11"/>
      <c r="BK728" s="11"/>
      <c r="BL728" s="11">
        <v>73</v>
      </c>
      <c r="BM728">
        <v>0</v>
      </c>
      <c r="BN728" t="s">
        <v>692</v>
      </c>
      <c r="BO728" t="s">
        <v>694</v>
      </c>
      <c r="BP728" t="s">
        <v>701</v>
      </c>
      <c r="BQ728" t="s">
        <v>705</v>
      </c>
      <c r="BR728" t="s">
        <v>706</v>
      </c>
      <c r="BS728" t="s">
        <v>707</v>
      </c>
      <c r="CR728"/>
      <c r="CS728"/>
      <c r="CT728"/>
    </row>
    <row r="729" spans="1:98" x14ac:dyDescent="0.4">
      <c r="A729" s="2" t="s">
        <v>784</v>
      </c>
      <c r="B729" t="str">
        <f>_xlfn.TEXTAFTER(Table1[[#This Row],[VEHIDCODE]],"_")</f>
        <v>Coach_Gen2_Heavyweight_Mail_Coach</v>
      </c>
      <c r="C729" t="s">
        <v>756</v>
      </c>
      <c r="D729" t="b">
        <f>OR(ISNUMBER(SEARCH("wagon_",Table1[[#This Row],[FILENAMES_EXPECTED]])),ISNUMBER(SEARCH("coach_",Table1[[#This Row],[FILENAMES_EXPECTED]])))</f>
        <v>1</v>
      </c>
      <c r="E729" t="str">
        <f>"item_"&amp;Table1[[#This Row],[VEHIDCODE]]</f>
        <v>item_mu_Coach_Gen2_Heavyweight_Mail_Coach</v>
      </c>
      <c r="F729" t="str">
        <f>"str_"&amp;Table1[[#This Row],[VEHIDCODE]]</f>
        <v>str_mu_Coach_Gen2_Heavyweight_Mail_Coach</v>
      </c>
      <c r="O729" s="2" t="b">
        <v>1</v>
      </c>
      <c r="X729" s="2" t="b">
        <v>1</v>
      </c>
      <c r="AG729" s="2" t="b">
        <v>1</v>
      </c>
      <c r="AJ729" s="2"/>
      <c r="AK729" s="2" t="b">
        <f>LEN(_xlfn.CONCAT(Table1[[#This Row],[TRACK_TYPE_STANDARD_GAUGE_RAILTYPE_OHLE]:[TRACK_TYPE_MTRO]]))&gt;0</f>
        <v>1</v>
      </c>
      <c r="AL729">
        <v>8</v>
      </c>
      <c r="AM729" t="s">
        <v>674</v>
      </c>
      <c r="AN729">
        <v>0</v>
      </c>
      <c r="AO729" t="s">
        <v>35</v>
      </c>
      <c r="AP729">
        <v>90</v>
      </c>
      <c r="AQ729">
        <v>1900</v>
      </c>
      <c r="AR729">
        <v>8</v>
      </c>
      <c r="AS729" s="2" t="s">
        <v>480</v>
      </c>
      <c r="AT729" t="b">
        <v>1</v>
      </c>
      <c r="AV729" s="2"/>
      <c r="AW729">
        <v>75</v>
      </c>
      <c r="AX729">
        <v>1</v>
      </c>
      <c r="AY729">
        <v>0</v>
      </c>
      <c r="AZ729" t="s">
        <v>711</v>
      </c>
      <c r="BA729">
        <v>120</v>
      </c>
      <c r="BB729" s="2">
        <v>0.3</v>
      </c>
      <c r="BC729" t="s">
        <v>935</v>
      </c>
      <c r="BD729" t="s">
        <v>925</v>
      </c>
      <c r="BE729" t="s">
        <v>940</v>
      </c>
      <c r="BF729" s="7">
        <v>25</v>
      </c>
      <c r="BG7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29">
        <v>0</v>
      </c>
      <c r="BI729" t="s">
        <v>734</v>
      </c>
      <c r="BJ729" s="11"/>
      <c r="BK729" s="11"/>
      <c r="BL729" s="11">
        <v>58</v>
      </c>
      <c r="BM729">
        <v>0</v>
      </c>
      <c r="BN729" t="s">
        <v>692</v>
      </c>
      <c r="BO729" t="s">
        <v>694</v>
      </c>
      <c r="BP729" t="s">
        <v>701</v>
      </c>
      <c r="BQ729" t="s">
        <v>705</v>
      </c>
      <c r="BR729" t="s">
        <v>706</v>
      </c>
      <c r="BS729" t="s">
        <v>707</v>
      </c>
      <c r="CR729"/>
      <c r="CS729"/>
      <c r="CT729"/>
    </row>
    <row r="730" spans="1:98" x14ac:dyDescent="0.4">
      <c r="A730" s="2" t="s">
        <v>785</v>
      </c>
      <c r="B730" t="str">
        <f>_xlfn.TEXTAFTER(Table1[[#This Row],[VEHIDCODE]],"_")</f>
        <v>Coach_Gen2_Steel_Intercity_Coach</v>
      </c>
      <c r="C730" t="s">
        <v>756</v>
      </c>
      <c r="D730" t="b">
        <f>OR(ISNUMBER(SEARCH("wagon_",Table1[[#This Row],[FILENAMES_EXPECTED]])),ISNUMBER(SEARCH("coach_",Table1[[#This Row],[FILENAMES_EXPECTED]])))</f>
        <v>1</v>
      </c>
      <c r="E730" t="str">
        <f>"item_"&amp;Table1[[#This Row],[VEHIDCODE]]</f>
        <v>item_mu_Coach_Gen2_Steel_Intercity_Coach</v>
      </c>
      <c r="F730" t="str">
        <f>"str_"&amp;Table1[[#This Row],[VEHIDCODE]]</f>
        <v>str_mu_Coach_Gen2_Steel_Intercity_Coach</v>
      </c>
      <c r="O730" s="2" t="b">
        <v>1</v>
      </c>
      <c r="X730" s="2" t="b">
        <v>1</v>
      </c>
      <c r="AG730" s="2" t="b">
        <v>1</v>
      </c>
      <c r="AJ730" s="2"/>
      <c r="AK730" s="2" t="b">
        <f>LEN(_xlfn.CONCAT(Table1[[#This Row],[TRACK_TYPE_STANDARD_GAUGE_RAILTYPE_OHLE]:[TRACK_TYPE_MTRO]]))&gt;0</f>
        <v>1</v>
      </c>
      <c r="AL730">
        <v>7</v>
      </c>
      <c r="AM730" t="s">
        <v>326</v>
      </c>
      <c r="AN730">
        <v>0</v>
      </c>
      <c r="AO730" t="s">
        <v>35</v>
      </c>
      <c r="AP730">
        <v>55</v>
      </c>
      <c r="AQ730">
        <v>1910</v>
      </c>
      <c r="AR730">
        <v>7</v>
      </c>
      <c r="AS730" s="2" t="s">
        <v>480</v>
      </c>
      <c r="AT730" t="b">
        <v>1</v>
      </c>
      <c r="AV730" s="2"/>
      <c r="AW730">
        <v>60</v>
      </c>
      <c r="AX730">
        <v>1</v>
      </c>
      <c r="AY730">
        <v>0</v>
      </c>
      <c r="AZ730" t="s">
        <v>711</v>
      </c>
      <c r="BA730">
        <v>120</v>
      </c>
      <c r="BB730" s="2">
        <v>0.3</v>
      </c>
      <c r="BC730" t="s">
        <v>933</v>
      </c>
      <c r="BD730" t="s">
        <v>925</v>
      </c>
      <c r="BE730" t="s">
        <v>940</v>
      </c>
      <c r="BF730" s="7">
        <v>25</v>
      </c>
      <c r="BG7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30">
        <v>0</v>
      </c>
      <c r="BI730" t="s">
        <v>734</v>
      </c>
      <c r="BJ730" s="11"/>
      <c r="BK730" s="11"/>
      <c r="BL730" s="11">
        <v>40</v>
      </c>
      <c r="BM730">
        <v>0</v>
      </c>
      <c r="BN730" t="s">
        <v>692</v>
      </c>
      <c r="BO730" t="s">
        <v>694</v>
      </c>
      <c r="BP730" t="s">
        <v>701</v>
      </c>
      <c r="BQ730" t="s">
        <v>705</v>
      </c>
      <c r="BR730" t="s">
        <v>706</v>
      </c>
      <c r="BS730" t="s">
        <v>707</v>
      </c>
      <c r="CR730"/>
      <c r="CS730"/>
      <c r="CT730"/>
    </row>
    <row r="731" spans="1:98" x14ac:dyDescent="0.4">
      <c r="A731" s="2" t="s">
        <v>786</v>
      </c>
      <c r="B731" t="str">
        <f>_xlfn.TEXTAFTER(Table1[[#This Row],[VEHIDCODE]],"_")</f>
        <v>Coach_Gen2_Steel_Compartment_Coach</v>
      </c>
      <c r="C731" t="s">
        <v>756</v>
      </c>
      <c r="D731" t="b">
        <f>OR(ISNUMBER(SEARCH("wagon_",Table1[[#This Row],[FILENAMES_EXPECTED]])),ISNUMBER(SEARCH("coach_",Table1[[#This Row],[FILENAMES_EXPECTED]])))</f>
        <v>1</v>
      </c>
      <c r="E731" t="str">
        <f>"item_"&amp;Table1[[#This Row],[VEHIDCODE]]</f>
        <v>item_mu_Coach_Gen2_Steel_Compartment_Coach</v>
      </c>
      <c r="F731" t="str">
        <f>"str_"&amp;Table1[[#This Row],[VEHIDCODE]]</f>
        <v>str_mu_Coach_Gen2_Steel_Compartment_Coach</v>
      </c>
      <c r="O731" s="2" t="b">
        <v>1</v>
      </c>
      <c r="X731" s="2" t="b">
        <v>1</v>
      </c>
      <c r="AG731" s="2" t="b">
        <v>1</v>
      </c>
      <c r="AJ731" s="2"/>
      <c r="AK731" s="2" t="b">
        <f>LEN(_xlfn.CONCAT(Table1[[#This Row],[TRACK_TYPE_STANDARD_GAUGE_RAILTYPE_OHLE]:[TRACK_TYPE_MTRO]]))&gt;0</f>
        <v>1</v>
      </c>
      <c r="AL731">
        <v>7</v>
      </c>
      <c r="AM731" t="s">
        <v>326</v>
      </c>
      <c r="AN731">
        <v>0</v>
      </c>
      <c r="AO731" t="s">
        <v>35</v>
      </c>
      <c r="AP731">
        <v>75</v>
      </c>
      <c r="AQ731">
        <v>1910</v>
      </c>
      <c r="AR731">
        <v>7</v>
      </c>
      <c r="AS731" s="2" t="s">
        <v>24</v>
      </c>
      <c r="AT731" t="b">
        <v>1</v>
      </c>
      <c r="AV731" s="2"/>
      <c r="AW731">
        <v>60</v>
      </c>
      <c r="AX731">
        <v>1</v>
      </c>
      <c r="AY731">
        <v>0</v>
      </c>
      <c r="AZ731" t="s">
        <v>711</v>
      </c>
      <c r="BA731">
        <v>110</v>
      </c>
      <c r="BB731" s="2">
        <v>0.3</v>
      </c>
      <c r="BC731" t="s">
        <v>933</v>
      </c>
      <c r="BD731" t="s">
        <v>925</v>
      </c>
      <c r="BE731" t="s">
        <v>940</v>
      </c>
      <c r="BF731" s="7">
        <v>25</v>
      </c>
      <c r="BG7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31">
        <v>0</v>
      </c>
      <c r="BI731" t="s">
        <v>734</v>
      </c>
      <c r="BJ731" s="11"/>
      <c r="BK731" s="11"/>
      <c r="BL731" s="11">
        <v>36</v>
      </c>
      <c r="BM731">
        <v>0</v>
      </c>
      <c r="BN731" t="s">
        <v>692</v>
      </c>
      <c r="BO731" t="s">
        <v>694</v>
      </c>
      <c r="BP731" t="s">
        <v>701</v>
      </c>
      <c r="BQ731" t="s">
        <v>705</v>
      </c>
      <c r="BR731" t="s">
        <v>706</v>
      </c>
      <c r="BS731" t="s">
        <v>707</v>
      </c>
      <c r="CR731"/>
      <c r="CS731"/>
      <c r="CT731"/>
    </row>
    <row r="732" spans="1:98" x14ac:dyDescent="0.4">
      <c r="A732" s="2" t="s">
        <v>787</v>
      </c>
      <c r="B732" t="str">
        <f>_xlfn.TEXTAFTER(Table1[[#This Row],[VEHIDCODE]],"_")</f>
        <v>Coach_Gen2_Steel_Regional_Coach</v>
      </c>
      <c r="C732" t="s">
        <v>756</v>
      </c>
      <c r="D732" t="b">
        <f>OR(ISNUMBER(SEARCH("wagon_",Table1[[#This Row],[FILENAMES_EXPECTED]])),ISNUMBER(SEARCH("coach_",Table1[[#This Row],[FILENAMES_EXPECTED]])))</f>
        <v>1</v>
      </c>
      <c r="E732" t="str">
        <f>"item_"&amp;Table1[[#This Row],[VEHIDCODE]]</f>
        <v>item_mu_Coach_Gen2_Steel_Regional_Coach</v>
      </c>
      <c r="F732" t="str">
        <f>"str_"&amp;Table1[[#This Row],[VEHIDCODE]]</f>
        <v>str_mu_Coach_Gen2_Steel_Regional_Coach</v>
      </c>
      <c r="O732" s="2" t="b">
        <v>1</v>
      </c>
      <c r="X732" s="2" t="b">
        <v>1</v>
      </c>
      <c r="AG732" s="2" t="b">
        <v>1</v>
      </c>
      <c r="AJ732" s="2"/>
      <c r="AK732" s="2" t="b">
        <f>LEN(_xlfn.CONCAT(Table1[[#This Row],[TRACK_TYPE_STANDARD_GAUGE_RAILTYPE_OHLE]:[TRACK_TYPE_MTRO]]))&gt;0</f>
        <v>1</v>
      </c>
      <c r="AL732">
        <v>7</v>
      </c>
      <c r="AM732" t="s">
        <v>326</v>
      </c>
      <c r="AN732">
        <v>0</v>
      </c>
      <c r="AO732" t="s">
        <v>35</v>
      </c>
      <c r="AP732">
        <v>65</v>
      </c>
      <c r="AQ732">
        <v>1910</v>
      </c>
      <c r="AR732">
        <v>7</v>
      </c>
      <c r="AS732" s="2" t="s">
        <v>480</v>
      </c>
      <c r="AT732" t="b">
        <v>1</v>
      </c>
      <c r="AV732" s="2"/>
      <c r="AW732">
        <v>65</v>
      </c>
      <c r="AX732">
        <v>1</v>
      </c>
      <c r="AY732">
        <v>0</v>
      </c>
      <c r="AZ732" t="s">
        <v>711</v>
      </c>
      <c r="BA732">
        <v>110</v>
      </c>
      <c r="BB732" s="2">
        <v>0.3</v>
      </c>
      <c r="BC732" t="s">
        <v>933</v>
      </c>
      <c r="BD732" t="s">
        <v>925</v>
      </c>
      <c r="BE732" t="s">
        <v>940</v>
      </c>
      <c r="BF732" s="7">
        <v>25</v>
      </c>
      <c r="BG7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32">
        <v>0</v>
      </c>
      <c r="BI732" t="s">
        <v>734</v>
      </c>
      <c r="BJ732" s="11"/>
      <c r="BK732" s="11"/>
      <c r="BL732" s="11">
        <v>33</v>
      </c>
      <c r="BM732">
        <v>0</v>
      </c>
      <c r="BN732" t="s">
        <v>692</v>
      </c>
      <c r="BO732" t="s">
        <v>694</v>
      </c>
      <c r="BP732" t="s">
        <v>701</v>
      </c>
      <c r="BQ732" t="s">
        <v>705</v>
      </c>
      <c r="BR732" t="s">
        <v>706</v>
      </c>
      <c r="BS732" t="s">
        <v>707</v>
      </c>
      <c r="CR732"/>
      <c r="CS732"/>
      <c r="CT732"/>
    </row>
    <row r="733" spans="1:98" x14ac:dyDescent="0.4">
      <c r="A733" s="2" t="s">
        <v>788</v>
      </c>
      <c r="B733" t="str">
        <f>_xlfn.TEXTAFTER(Table1[[#This Row],[VEHIDCODE]],"_")</f>
        <v>Coach_Gen2_Steel_Mail_Coach</v>
      </c>
      <c r="C733" t="s">
        <v>756</v>
      </c>
      <c r="D733" t="b">
        <f>OR(ISNUMBER(SEARCH("wagon_",Table1[[#This Row],[FILENAMES_EXPECTED]])),ISNUMBER(SEARCH("coach_",Table1[[#This Row],[FILENAMES_EXPECTED]])))</f>
        <v>1</v>
      </c>
      <c r="E733" t="str">
        <f>"item_"&amp;Table1[[#This Row],[VEHIDCODE]]</f>
        <v>item_mu_Coach_Gen2_Steel_Mail_Coach</v>
      </c>
      <c r="F733" t="str">
        <f>"str_"&amp;Table1[[#This Row],[VEHIDCODE]]</f>
        <v>str_mu_Coach_Gen2_Steel_Mail_Coach</v>
      </c>
      <c r="O733" s="2" t="b">
        <v>1</v>
      </c>
      <c r="X733" s="2" t="b">
        <v>1</v>
      </c>
      <c r="AG733" s="2" t="b">
        <v>1</v>
      </c>
      <c r="AJ733" s="2"/>
      <c r="AK733" s="2" t="b">
        <f>LEN(_xlfn.CONCAT(Table1[[#This Row],[TRACK_TYPE_STANDARD_GAUGE_RAILTYPE_OHLE]:[TRACK_TYPE_MTRO]]))&gt;0</f>
        <v>1</v>
      </c>
      <c r="AL733">
        <v>7</v>
      </c>
      <c r="AM733" t="s">
        <v>674</v>
      </c>
      <c r="AN733">
        <v>0</v>
      </c>
      <c r="AO733" t="s">
        <v>35</v>
      </c>
      <c r="AP733">
        <v>56</v>
      </c>
      <c r="AQ733">
        <v>1910</v>
      </c>
      <c r="AR733">
        <v>7</v>
      </c>
      <c r="AS733" s="2" t="s">
        <v>675</v>
      </c>
      <c r="AT733" t="b">
        <v>1</v>
      </c>
      <c r="AV733" s="2"/>
      <c r="AW733">
        <v>70</v>
      </c>
      <c r="AX733">
        <v>1</v>
      </c>
      <c r="AY733">
        <v>0</v>
      </c>
      <c r="AZ733" t="s">
        <v>711</v>
      </c>
      <c r="BA733">
        <v>120</v>
      </c>
      <c r="BB733" s="2">
        <v>0.3</v>
      </c>
      <c r="BC733" t="s">
        <v>933</v>
      </c>
      <c r="BD733" t="s">
        <v>925</v>
      </c>
      <c r="BE733" t="s">
        <v>940</v>
      </c>
      <c r="BF733" s="7">
        <v>25</v>
      </c>
      <c r="BG7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33">
        <v>0</v>
      </c>
      <c r="BI733" t="s">
        <v>734</v>
      </c>
      <c r="BJ733" s="11"/>
      <c r="BK733" s="11"/>
      <c r="BL733" s="11">
        <v>35</v>
      </c>
      <c r="BM733">
        <v>0</v>
      </c>
      <c r="BN733" t="s">
        <v>692</v>
      </c>
      <c r="BO733" t="s">
        <v>694</v>
      </c>
      <c r="BP733" t="s">
        <v>701</v>
      </c>
      <c r="BQ733" t="s">
        <v>705</v>
      </c>
      <c r="BR733" t="s">
        <v>706</v>
      </c>
      <c r="BS733" t="s">
        <v>707</v>
      </c>
      <c r="CR733"/>
      <c r="CS733"/>
      <c r="CT733"/>
    </row>
    <row r="734" spans="1:98" x14ac:dyDescent="0.4">
      <c r="A734" s="2" t="s">
        <v>789</v>
      </c>
      <c r="B734" t="str">
        <f>_xlfn.TEXTAFTER(Table1[[#This Row],[VEHIDCODE]],"_")</f>
        <v>Coach_Gen2_Steel_2_axle_Compartment_Coach</v>
      </c>
      <c r="C734" t="s">
        <v>756</v>
      </c>
      <c r="D734" t="b">
        <f>OR(ISNUMBER(SEARCH("wagon_",Table1[[#This Row],[FILENAMES_EXPECTED]])),ISNUMBER(SEARCH("coach_",Table1[[#This Row],[FILENAMES_EXPECTED]])))</f>
        <v>1</v>
      </c>
      <c r="E734" t="str">
        <f>"item_"&amp;Table1[[#This Row],[VEHIDCODE]]</f>
        <v>item_mu_Coach_Gen2_Steel_2_axle_Compartment_Coach</v>
      </c>
      <c r="F734" t="str">
        <f>"str_"&amp;Table1[[#This Row],[VEHIDCODE]]</f>
        <v>str_mu_Coach_Gen2_Steel_2_axle_Compartment_Coach</v>
      </c>
      <c r="O734" s="2" t="b">
        <v>1</v>
      </c>
      <c r="X734" s="2" t="b">
        <v>1</v>
      </c>
      <c r="AG734" s="2" t="b">
        <v>1</v>
      </c>
      <c r="AJ734" s="2"/>
      <c r="AK734" s="2" t="b">
        <f>LEN(_xlfn.CONCAT(Table1[[#This Row],[TRACK_TYPE_STANDARD_GAUGE_RAILTYPE_OHLE]:[TRACK_TYPE_MTRO]]))&gt;0</f>
        <v>1</v>
      </c>
      <c r="AL734">
        <v>5</v>
      </c>
      <c r="AM734" t="s">
        <v>326</v>
      </c>
      <c r="AN734">
        <v>0</v>
      </c>
      <c r="AO734" t="s">
        <v>35</v>
      </c>
      <c r="AP734">
        <v>40</v>
      </c>
      <c r="AQ734">
        <v>1920</v>
      </c>
      <c r="AR734">
        <v>5</v>
      </c>
      <c r="AS734" s="2" t="s">
        <v>24</v>
      </c>
      <c r="AT734" t="b">
        <v>1</v>
      </c>
      <c r="AV734" s="2"/>
      <c r="AW734">
        <v>60</v>
      </c>
      <c r="AX734">
        <v>1</v>
      </c>
      <c r="AY734">
        <v>0</v>
      </c>
      <c r="AZ734" t="s">
        <v>711</v>
      </c>
      <c r="BA734">
        <v>100</v>
      </c>
      <c r="BB734" s="2">
        <v>0.3</v>
      </c>
      <c r="BC734" t="s">
        <v>933</v>
      </c>
      <c r="BD734" t="s">
        <v>925</v>
      </c>
      <c r="BE734" t="s">
        <v>940</v>
      </c>
      <c r="BF734" s="7">
        <v>25</v>
      </c>
      <c r="BG7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34">
        <v>0</v>
      </c>
      <c r="BI734" t="s">
        <v>734</v>
      </c>
      <c r="BJ734" s="11"/>
      <c r="BK734" s="11"/>
      <c r="BL734" s="11">
        <v>20</v>
      </c>
      <c r="BM734">
        <v>0</v>
      </c>
      <c r="BN734" t="s">
        <v>692</v>
      </c>
      <c r="BO734" t="s">
        <v>694</v>
      </c>
      <c r="BP734" t="s">
        <v>701</v>
      </c>
      <c r="BQ734" t="s">
        <v>705</v>
      </c>
      <c r="BR734" t="s">
        <v>706</v>
      </c>
      <c r="BS734" t="s">
        <v>707</v>
      </c>
      <c r="CR734"/>
      <c r="CS734"/>
      <c r="CT734"/>
    </row>
    <row r="735" spans="1:98" x14ac:dyDescent="0.4">
      <c r="A735" s="2" t="s">
        <v>790</v>
      </c>
      <c r="B735" t="str">
        <f>_xlfn.TEXTAFTER(Table1[[#This Row],[VEHIDCODE]],"_")</f>
        <v>Coach_Gen2_Steel_2_axle_Regional_Coach</v>
      </c>
      <c r="C735" t="s">
        <v>756</v>
      </c>
      <c r="D735" t="b">
        <f>OR(ISNUMBER(SEARCH("wagon_",Table1[[#This Row],[FILENAMES_EXPECTED]])),ISNUMBER(SEARCH("coach_",Table1[[#This Row],[FILENAMES_EXPECTED]])))</f>
        <v>1</v>
      </c>
      <c r="E735" t="str">
        <f>"item_"&amp;Table1[[#This Row],[VEHIDCODE]]</f>
        <v>item_mu_Coach_Gen2_Steel_2_axle_Regional_Coach</v>
      </c>
      <c r="F735" t="str">
        <f>"str_"&amp;Table1[[#This Row],[VEHIDCODE]]</f>
        <v>str_mu_Coach_Gen2_Steel_2_axle_Regional_Coach</v>
      </c>
      <c r="O735" s="2" t="b">
        <v>1</v>
      </c>
      <c r="X735" s="2" t="b">
        <v>1</v>
      </c>
      <c r="AG735" s="2" t="b">
        <v>1</v>
      </c>
      <c r="AJ735" s="2"/>
      <c r="AK735" s="2" t="b">
        <f>LEN(_xlfn.CONCAT(Table1[[#This Row],[TRACK_TYPE_STANDARD_GAUGE_RAILTYPE_OHLE]:[TRACK_TYPE_MTRO]]))&gt;0</f>
        <v>1</v>
      </c>
      <c r="AL735">
        <v>5</v>
      </c>
      <c r="AM735" t="s">
        <v>326</v>
      </c>
      <c r="AN735">
        <v>0</v>
      </c>
      <c r="AO735" t="s">
        <v>35</v>
      </c>
      <c r="AP735">
        <v>40</v>
      </c>
      <c r="AQ735">
        <v>1920</v>
      </c>
      <c r="AR735">
        <v>5</v>
      </c>
      <c r="AS735" s="2" t="s">
        <v>480</v>
      </c>
      <c r="AT735" t="b">
        <v>1</v>
      </c>
      <c r="AV735" s="2"/>
      <c r="AW735">
        <v>60</v>
      </c>
      <c r="AX735">
        <v>1</v>
      </c>
      <c r="AY735">
        <v>0</v>
      </c>
      <c r="AZ735" t="s">
        <v>711</v>
      </c>
      <c r="BA735">
        <v>100</v>
      </c>
      <c r="BB735" s="2">
        <v>0.3</v>
      </c>
      <c r="BC735" t="s">
        <v>936</v>
      </c>
      <c r="BD735" t="s">
        <v>922</v>
      </c>
      <c r="BE735" t="s">
        <v>940</v>
      </c>
      <c r="BF735" s="7">
        <v>25</v>
      </c>
      <c r="BG7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35">
        <v>0</v>
      </c>
      <c r="BI735" t="s">
        <v>734</v>
      </c>
      <c r="BJ735" s="11"/>
      <c r="BK735" s="11"/>
      <c r="BL735" s="11">
        <v>20</v>
      </c>
      <c r="BM735">
        <v>0</v>
      </c>
      <c r="BN735" t="s">
        <v>692</v>
      </c>
      <c r="BO735" t="s">
        <v>694</v>
      </c>
      <c r="BP735" t="s">
        <v>701</v>
      </c>
      <c r="BQ735" t="s">
        <v>705</v>
      </c>
      <c r="BR735" t="s">
        <v>706</v>
      </c>
      <c r="BS735" t="s">
        <v>707</v>
      </c>
      <c r="CR735"/>
      <c r="CS735"/>
      <c r="CT735"/>
    </row>
    <row r="736" spans="1:98" x14ac:dyDescent="0.4">
      <c r="A736" s="2" t="s">
        <v>791</v>
      </c>
      <c r="B736" t="str">
        <f>_xlfn.TEXTAFTER(Table1[[#This Row],[VEHIDCODE]],"_")</f>
        <v>Coach_Gen2_Steel_2_axle_Mail_Coach</v>
      </c>
      <c r="C736" t="s">
        <v>756</v>
      </c>
      <c r="D736" t="b">
        <f>OR(ISNUMBER(SEARCH("wagon_",Table1[[#This Row],[FILENAMES_EXPECTED]])),ISNUMBER(SEARCH("coach_",Table1[[#This Row],[FILENAMES_EXPECTED]])))</f>
        <v>1</v>
      </c>
      <c r="E736" t="str">
        <f>"item_"&amp;Table1[[#This Row],[VEHIDCODE]]</f>
        <v>item_mu_Coach_Gen2_Steel_2_axle_Mail_Coach</v>
      </c>
      <c r="F736" t="str">
        <f>"str_"&amp;Table1[[#This Row],[VEHIDCODE]]</f>
        <v>str_mu_Coach_Gen2_Steel_2_axle_Mail_Coach</v>
      </c>
      <c r="O736" s="2" t="b">
        <v>1</v>
      </c>
      <c r="X736" s="2" t="b">
        <v>1</v>
      </c>
      <c r="AG736" s="2" t="b">
        <v>1</v>
      </c>
      <c r="AJ736" s="2"/>
      <c r="AK736" s="2" t="b">
        <f>LEN(_xlfn.CONCAT(Table1[[#This Row],[TRACK_TYPE_STANDARD_GAUGE_RAILTYPE_OHLE]:[TRACK_TYPE_MTRO]]))&gt;0</f>
        <v>1</v>
      </c>
      <c r="AL736">
        <v>5</v>
      </c>
      <c r="AM736" t="s">
        <v>674</v>
      </c>
      <c r="AN736">
        <v>0</v>
      </c>
      <c r="AO736" t="s">
        <v>35</v>
      </c>
      <c r="AP736">
        <v>35</v>
      </c>
      <c r="AQ736">
        <v>1920</v>
      </c>
      <c r="AR736">
        <v>5</v>
      </c>
      <c r="AS736" s="2" t="s">
        <v>675</v>
      </c>
      <c r="AT736" t="b">
        <v>1</v>
      </c>
      <c r="AV736" s="2"/>
      <c r="AW736">
        <v>60</v>
      </c>
      <c r="AX736">
        <v>1</v>
      </c>
      <c r="AY736">
        <v>0</v>
      </c>
      <c r="AZ736" t="s">
        <v>711</v>
      </c>
      <c r="BA736">
        <v>100</v>
      </c>
      <c r="BB736" s="2">
        <v>0.3</v>
      </c>
      <c r="BC736" t="s">
        <v>936</v>
      </c>
      <c r="BD736" t="s">
        <v>922</v>
      </c>
      <c r="BE736" t="s">
        <v>940</v>
      </c>
      <c r="BF736" s="7">
        <v>25</v>
      </c>
      <c r="BG7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36">
        <v>0</v>
      </c>
      <c r="BI736" t="s">
        <v>734</v>
      </c>
      <c r="BJ736" s="11"/>
      <c r="BK736" s="11"/>
      <c r="BL736" s="11">
        <v>20</v>
      </c>
      <c r="BM736">
        <v>0</v>
      </c>
      <c r="BN736" t="s">
        <v>692</v>
      </c>
      <c r="BO736" t="s">
        <v>694</v>
      </c>
      <c r="BP736" t="s">
        <v>701</v>
      </c>
      <c r="BQ736" t="s">
        <v>705</v>
      </c>
      <c r="BR736" t="s">
        <v>706</v>
      </c>
      <c r="BS736" t="s">
        <v>707</v>
      </c>
      <c r="CR736"/>
      <c r="CS736"/>
      <c r="CT736"/>
    </row>
    <row r="737" spans="1:98" x14ac:dyDescent="0.4">
      <c r="A737" s="2" t="s">
        <v>792</v>
      </c>
      <c r="B737" t="str">
        <f>_xlfn.TEXTAFTER(Table1[[#This Row],[VEHIDCODE]],"_")</f>
        <v>Coach_Gen2_Steel_3_axle_Compartment_Coach</v>
      </c>
      <c r="C737" t="s">
        <v>756</v>
      </c>
      <c r="D737" t="b">
        <f>OR(ISNUMBER(SEARCH("wagon_",Table1[[#This Row],[FILENAMES_EXPECTED]])),ISNUMBER(SEARCH("coach_",Table1[[#This Row],[FILENAMES_EXPECTED]])))</f>
        <v>1</v>
      </c>
      <c r="E737" t="str">
        <f>"item_"&amp;Table1[[#This Row],[VEHIDCODE]]</f>
        <v>item_mu_Coach_Gen2_Steel_3_axle_Compartment_Coach</v>
      </c>
      <c r="F737" t="str">
        <f>"str_"&amp;Table1[[#This Row],[VEHIDCODE]]</f>
        <v>str_mu_Coach_Gen2_Steel_3_axle_Compartment_Coach</v>
      </c>
      <c r="O737" s="2" t="b">
        <v>1</v>
      </c>
      <c r="X737" s="2" t="b">
        <v>1</v>
      </c>
      <c r="AG737" s="2" t="b">
        <v>1</v>
      </c>
      <c r="AJ737" s="2"/>
      <c r="AK737" s="2" t="b">
        <f>LEN(_xlfn.CONCAT(Table1[[#This Row],[TRACK_TYPE_STANDARD_GAUGE_RAILTYPE_OHLE]:[TRACK_TYPE_MTRO]]))&gt;0</f>
        <v>1</v>
      </c>
      <c r="AL737">
        <v>6</v>
      </c>
      <c r="AM737" t="s">
        <v>326</v>
      </c>
      <c r="AN737">
        <v>0</v>
      </c>
      <c r="AO737" t="s">
        <v>35</v>
      </c>
      <c r="AP737">
        <v>40</v>
      </c>
      <c r="AQ737">
        <v>1920</v>
      </c>
      <c r="AR737">
        <v>6</v>
      </c>
      <c r="AS737" s="2" t="s">
        <v>24</v>
      </c>
      <c r="AT737" t="b">
        <v>1</v>
      </c>
      <c r="AV737" s="2"/>
      <c r="AW737">
        <v>60</v>
      </c>
      <c r="AX737">
        <v>1</v>
      </c>
      <c r="AY737">
        <v>0</v>
      </c>
      <c r="AZ737" t="s">
        <v>711</v>
      </c>
      <c r="BA737">
        <v>110</v>
      </c>
      <c r="BB737" s="2">
        <v>0.3</v>
      </c>
      <c r="BC737" t="s">
        <v>933</v>
      </c>
      <c r="BD737" t="s">
        <v>925</v>
      </c>
      <c r="BE737" t="s">
        <v>940</v>
      </c>
      <c r="BF737" s="7">
        <v>25</v>
      </c>
      <c r="BG7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37">
        <v>0</v>
      </c>
      <c r="BI737" t="s">
        <v>734</v>
      </c>
      <c r="BJ737" s="11"/>
      <c r="BK737" s="11"/>
      <c r="BL737" s="11">
        <v>21</v>
      </c>
      <c r="BM737">
        <v>0</v>
      </c>
      <c r="BN737" t="s">
        <v>692</v>
      </c>
      <c r="BO737" t="s">
        <v>694</v>
      </c>
      <c r="BP737" t="s">
        <v>701</v>
      </c>
      <c r="BQ737" t="s">
        <v>705</v>
      </c>
      <c r="BR737" t="s">
        <v>706</v>
      </c>
      <c r="BS737" t="s">
        <v>707</v>
      </c>
      <c r="CR737"/>
      <c r="CS737"/>
      <c r="CT737"/>
    </row>
    <row r="738" spans="1:98" x14ac:dyDescent="0.4">
      <c r="A738" s="2" t="s">
        <v>793</v>
      </c>
      <c r="B738" t="str">
        <f>_xlfn.TEXTAFTER(Table1[[#This Row],[VEHIDCODE]],"_")</f>
        <v>Coach_Gen2_Steel_3_axle_Regional_Coach</v>
      </c>
      <c r="C738" t="s">
        <v>756</v>
      </c>
      <c r="D738" t="b">
        <f>OR(ISNUMBER(SEARCH("wagon_",Table1[[#This Row],[FILENAMES_EXPECTED]])),ISNUMBER(SEARCH("coach_",Table1[[#This Row],[FILENAMES_EXPECTED]])))</f>
        <v>1</v>
      </c>
      <c r="E738" t="str">
        <f>"item_"&amp;Table1[[#This Row],[VEHIDCODE]]</f>
        <v>item_mu_Coach_Gen2_Steel_3_axle_Regional_Coach</v>
      </c>
      <c r="F738" t="str">
        <f>"str_"&amp;Table1[[#This Row],[VEHIDCODE]]</f>
        <v>str_mu_Coach_Gen2_Steel_3_axle_Regional_Coach</v>
      </c>
      <c r="O738" s="2" t="b">
        <v>1</v>
      </c>
      <c r="X738" s="2" t="b">
        <v>1</v>
      </c>
      <c r="AG738" s="2" t="b">
        <v>1</v>
      </c>
      <c r="AJ738" s="2"/>
      <c r="AK738" s="2" t="b">
        <f>LEN(_xlfn.CONCAT(Table1[[#This Row],[TRACK_TYPE_STANDARD_GAUGE_RAILTYPE_OHLE]:[TRACK_TYPE_MTRO]]))&gt;0</f>
        <v>1</v>
      </c>
      <c r="AL738">
        <v>6</v>
      </c>
      <c r="AM738" t="s">
        <v>326</v>
      </c>
      <c r="AN738">
        <v>0</v>
      </c>
      <c r="AO738" t="s">
        <v>35</v>
      </c>
      <c r="AP738">
        <v>35</v>
      </c>
      <c r="AQ738">
        <v>1920</v>
      </c>
      <c r="AR738">
        <v>6</v>
      </c>
      <c r="AS738" s="2" t="s">
        <v>480</v>
      </c>
      <c r="AT738" t="b">
        <v>1</v>
      </c>
      <c r="AV738" s="2"/>
      <c r="AW738">
        <v>60</v>
      </c>
      <c r="AX738">
        <v>1</v>
      </c>
      <c r="AY738">
        <v>0</v>
      </c>
      <c r="AZ738" t="s">
        <v>711</v>
      </c>
      <c r="BA738">
        <v>120</v>
      </c>
      <c r="BB738" s="2">
        <v>0.3</v>
      </c>
      <c r="BC738" t="s">
        <v>933</v>
      </c>
      <c r="BD738" t="s">
        <v>925</v>
      </c>
      <c r="BE738" t="s">
        <v>940</v>
      </c>
      <c r="BF738" s="7">
        <v>25</v>
      </c>
      <c r="BG7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38">
        <v>0</v>
      </c>
      <c r="BI738" t="s">
        <v>734</v>
      </c>
      <c r="BJ738" s="11"/>
      <c r="BK738" s="11"/>
      <c r="BL738" s="11">
        <v>22</v>
      </c>
      <c r="BM738">
        <v>0</v>
      </c>
      <c r="BN738" t="s">
        <v>692</v>
      </c>
      <c r="BO738" t="s">
        <v>694</v>
      </c>
      <c r="BP738" t="s">
        <v>701</v>
      </c>
      <c r="BQ738" t="s">
        <v>705</v>
      </c>
      <c r="BR738" t="s">
        <v>706</v>
      </c>
      <c r="BS738" t="s">
        <v>707</v>
      </c>
      <c r="CR738"/>
      <c r="CS738"/>
      <c r="CT738"/>
    </row>
    <row r="739" spans="1:98" x14ac:dyDescent="0.4">
      <c r="A739" s="2" t="s">
        <v>794</v>
      </c>
      <c r="B739" t="str">
        <f>_xlfn.TEXTAFTER(Table1[[#This Row],[VEHIDCODE]],"_")</f>
        <v>Coach_Gen2_Steel_3_axle_Mail_Coach</v>
      </c>
      <c r="C739" t="s">
        <v>756</v>
      </c>
      <c r="D739" t="b">
        <f>OR(ISNUMBER(SEARCH("wagon_",Table1[[#This Row],[FILENAMES_EXPECTED]])),ISNUMBER(SEARCH("coach_",Table1[[#This Row],[FILENAMES_EXPECTED]])))</f>
        <v>1</v>
      </c>
      <c r="E739" t="str">
        <f>"item_"&amp;Table1[[#This Row],[VEHIDCODE]]</f>
        <v>item_mu_Coach_Gen2_Steel_3_axle_Mail_Coach</v>
      </c>
      <c r="F739" t="str">
        <f>"str_"&amp;Table1[[#This Row],[VEHIDCODE]]</f>
        <v>str_mu_Coach_Gen2_Steel_3_axle_Mail_Coach</v>
      </c>
      <c r="O739" s="2" t="b">
        <v>1</v>
      </c>
      <c r="X739" s="2" t="b">
        <v>1</v>
      </c>
      <c r="AG739" s="2" t="b">
        <v>1</v>
      </c>
      <c r="AJ739" s="2"/>
      <c r="AK739" s="2" t="b">
        <f>LEN(_xlfn.CONCAT(Table1[[#This Row],[TRACK_TYPE_STANDARD_GAUGE_RAILTYPE_OHLE]:[TRACK_TYPE_MTRO]]))&gt;0</f>
        <v>1</v>
      </c>
      <c r="AL739">
        <v>6</v>
      </c>
      <c r="AM739" t="s">
        <v>674</v>
      </c>
      <c r="AN739">
        <v>0</v>
      </c>
      <c r="AO739" t="s">
        <v>35</v>
      </c>
      <c r="AP739">
        <v>40</v>
      </c>
      <c r="AQ739">
        <v>1920</v>
      </c>
      <c r="AR739">
        <v>6</v>
      </c>
      <c r="AS739" s="2" t="s">
        <v>675</v>
      </c>
      <c r="AT739" t="b">
        <v>1</v>
      </c>
      <c r="AV739" s="2"/>
      <c r="AW739">
        <v>60</v>
      </c>
      <c r="AX739">
        <v>1</v>
      </c>
      <c r="AY739">
        <v>0</v>
      </c>
      <c r="AZ739" t="s">
        <v>711</v>
      </c>
      <c r="BA739">
        <v>120</v>
      </c>
      <c r="BB739" s="2">
        <v>0.3</v>
      </c>
      <c r="BC739" t="s">
        <v>933</v>
      </c>
      <c r="BD739" t="s">
        <v>925</v>
      </c>
      <c r="BE739" t="s">
        <v>940</v>
      </c>
      <c r="BF739" s="7">
        <v>25</v>
      </c>
      <c r="BG7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39">
        <v>0</v>
      </c>
      <c r="BI739" t="s">
        <v>734</v>
      </c>
      <c r="BJ739" s="11"/>
      <c r="BK739" s="11"/>
      <c r="BL739" s="11">
        <v>21</v>
      </c>
      <c r="BM739">
        <v>0</v>
      </c>
      <c r="BN739" t="s">
        <v>692</v>
      </c>
      <c r="BO739" t="s">
        <v>694</v>
      </c>
      <c r="BP739" t="s">
        <v>701</v>
      </c>
      <c r="BQ739" t="s">
        <v>705</v>
      </c>
      <c r="BR739" t="s">
        <v>706</v>
      </c>
      <c r="BS739" t="s">
        <v>707</v>
      </c>
      <c r="CR739"/>
      <c r="CS739"/>
      <c r="CT739"/>
    </row>
    <row r="740" spans="1:98" x14ac:dyDescent="0.4">
      <c r="A740" s="2" t="s">
        <v>795</v>
      </c>
      <c r="B740" t="str">
        <f>_xlfn.TEXTAFTER(Table1[[#This Row],[VEHIDCODE]],"_")</f>
        <v>Coach_Gen3_Steel_Lightweight_Intercity_Coach</v>
      </c>
      <c r="C740" t="s">
        <v>757</v>
      </c>
      <c r="D740" t="b">
        <f>OR(ISNUMBER(SEARCH("wagon_",Table1[[#This Row],[FILENAMES_EXPECTED]])),ISNUMBER(SEARCH("coach_",Table1[[#This Row],[FILENAMES_EXPECTED]])))</f>
        <v>1</v>
      </c>
      <c r="E740" t="str">
        <f>"item_"&amp;Table1[[#This Row],[VEHIDCODE]]</f>
        <v>item_mu_Coach_Gen3_Steel_Lightweight_Intercity_Coach</v>
      </c>
      <c r="F740" t="str">
        <f>"str_"&amp;Table1[[#This Row],[VEHIDCODE]]</f>
        <v>str_mu_Coach_Gen3_Steel_Lightweight_Intercity_Coach</v>
      </c>
      <c r="O740" s="2" t="b">
        <v>1</v>
      </c>
      <c r="X740" s="2" t="b">
        <v>1</v>
      </c>
      <c r="AG740" s="2" t="b">
        <v>1</v>
      </c>
      <c r="AJ740" s="2"/>
      <c r="AK740" s="2" t="b">
        <f>LEN(_xlfn.CONCAT(Table1[[#This Row],[TRACK_TYPE_STANDARD_GAUGE_RAILTYPE_OHLE]:[TRACK_TYPE_MTRO]]))&gt;0</f>
        <v>1</v>
      </c>
      <c r="AL740">
        <v>8</v>
      </c>
      <c r="AM740" t="s">
        <v>326</v>
      </c>
      <c r="AN740">
        <v>0</v>
      </c>
      <c r="AO740" t="s">
        <v>35</v>
      </c>
      <c r="AP740">
        <v>60</v>
      </c>
      <c r="AQ740">
        <v>1930</v>
      </c>
      <c r="AR740">
        <v>8</v>
      </c>
      <c r="AS740" s="2" t="s">
        <v>480</v>
      </c>
      <c r="AT740" t="b">
        <v>1</v>
      </c>
      <c r="AV740" s="2"/>
      <c r="AW740">
        <v>55</v>
      </c>
      <c r="AX740">
        <v>1</v>
      </c>
      <c r="AY740">
        <v>0</v>
      </c>
      <c r="AZ740" t="s">
        <v>711</v>
      </c>
      <c r="BA740">
        <v>160</v>
      </c>
      <c r="BB740" s="2">
        <v>0.3</v>
      </c>
      <c r="BC740" t="s">
        <v>937</v>
      </c>
      <c r="BD740" t="s">
        <v>935</v>
      </c>
      <c r="BE740" t="s">
        <v>940</v>
      </c>
      <c r="BF740" s="7">
        <v>25</v>
      </c>
      <c r="BG7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40">
        <v>0</v>
      </c>
      <c r="BI740" t="s">
        <v>734</v>
      </c>
      <c r="BJ740" s="11"/>
      <c r="BK740" s="11"/>
      <c r="BL740" s="11">
        <v>38</v>
      </c>
      <c r="BM740">
        <v>0</v>
      </c>
      <c r="BN740" t="s">
        <v>692</v>
      </c>
      <c r="BO740" t="s">
        <v>694</v>
      </c>
      <c r="BP740" t="s">
        <v>701</v>
      </c>
      <c r="BQ740" t="s">
        <v>705</v>
      </c>
      <c r="BR740" t="s">
        <v>706</v>
      </c>
      <c r="BS740" t="s">
        <v>707</v>
      </c>
      <c r="CR740"/>
      <c r="CS740"/>
      <c r="CT740"/>
    </row>
    <row r="741" spans="1:98" x14ac:dyDescent="0.4">
      <c r="A741" s="2" t="s">
        <v>796</v>
      </c>
      <c r="B741" t="str">
        <f>_xlfn.TEXTAFTER(Table1[[#This Row],[VEHIDCODE]],"_")</f>
        <v>Coach_Gen3_Steel_Lightweight_Regional_Coach</v>
      </c>
      <c r="C741" t="s">
        <v>757</v>
      </c>
      <c r="D741" t="b">
        <f>OR(ISNUMBER(SEARCH("wagon_",Table1[[#This Row],[FILENAMES_EXPECTED]])),ISNUMBER(SEARCH("coach_",Table1[[#This Row],[FILENAMES_EXPECTED]])))</f>
        <v>1</v>
      </c>
      <c r="E741" t="str">
        <f>"item_"&amp;Table1[[#This Row],[VEHIDCODE]]</f>
        <v>item_mu_Coach_Gen3_Steel_Lightweight_Regional_Coach</v>
      </c>
      <c r="F741" t="str">
        <f>"str_"&amp;Table1[[#This Row],[VEHIDCODE]]</f>
        <v>str_mu_Coach_Gen3_Steel_Lightweight_Regional_Coach</v>
      </c>
      <c r="O741" s="2" t="b">
        <v>1</v>
      </c>
      <c r="X741" s="2" t="b">
        <v>1</v>
      </c>
      <c r="AG741" s="2" t="b">
        <v>1</v>
      </c>
      <c r="AJ741" s="2"/>
      <c r="AK741" s="2" t="b">
        <f>LEN(_xlfn.CONCAT(Table1[[#This Row],[TRACK_TYPE_STANDARD_GAUGE_RAILTYPE_OHLE]:[TRACK_TYPE_MTRO]]))&gt;0</f>
        <v>1</v>
      </c>
      <c r="AL741">
        <v>8</v>
      </c>
      <c r="AM741" t="s">
        <v>326</v>
      </c>
      <c r="AN741">
        <v>0</v>
      </c>
      <c r="AO741" t="s">
        <v>35</v>
      </c>
      <c r="AP741">
        <v>55</v>
      </c>
      <c r="AQ741">
        <v>1930</v>
      </c>
      <c r="AR741">
        <v>8</v>
      </c>
      <c r="AS741" s="2" t="s">
        <v>480</v>
      </c>
      <c r="AT741" t="b">
        <v>1</v>
      </c>
      <c r="AV741" s="2"/>
      <c r="AW741">
        <v>55</v>
      </c>
      <c r="AX741">
        <v>1</v>
      </c>
      <c r="AY741">
        <v>0</v>
      </c>
      <c r="AZ741" t="s">
        <v>711</v>
      </c>
      <c r="BA741">
        <v>120</v>
      </c>
      <c r="BB741" s="2">
        <v>0.3</v>
      </c>
      <c r="BC741" t="s">
        <v>937</v>
      </c>
      <c r="BD741" t="s">
        <v>935</v>
      </c>
      <c r="BE741" t="s">
        <v>940</v>
      </c>
      <c r="BF741" s="7">
        <v>25</v>
      </c>
      <c r="BG7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41">
        <v>0</v>
      </c>
      <c r="BI741" t="s">
        <v>734</v>
      </c>
      <c r="BJ741" s="11"/>
      <c r="BK741" s="11"/>
      <c r="BL741" s="11">
        <v>35</v>
      </c>
      <c r="BM741">
        <v>0</v>
      </c>
      <c r="BN741" t="s">
        <v>692</v>
      </c>
      <c r="BO741" t="s">
        <v>694</v>
      </c>
      <c r="BP741" t="s">
        <v>701</v>
      </c>
      <c r="BQ741" t="s">
        <v>705</v>
      </c>
      <c r="BR741" t="s">
        <v>706</v>
      </c>
      <c r="BS741" t="s">
        <v>707</v>
      </c>
      <c r="CR741"/>
      <c r="CS741"/>
      <c r="CT741"/>
    </row>
    <row r="742" spans="1:98" x14ac:dyDescent="0.4">
      <c r="A742" s="2" t="s">
        <v>797</v>
      </c>
      <c r="B742" t="str">
        <f>_xlfn.TEXTAFTER(Table1[[#This Row],[VEHIDCODE]],"_")</f>
        <v>Coach_Gen3_Steel_Lightweight_Mail_Coach</v>
      </c>
      <c r="C742" t="s">
        <v>757</v>
      </c>
      <c r="D742" t="b">
        <f>OR(ISNUMBER(SEARCH("wagon_",Table1[[#This Row],[FILENAMES_EXPECTED]])),ISNUMBER(SEARCH("coach_",Table1[[#This Row],[FILENAMES_EXPECTED]])))</f>
        <v>1</v>
      </c>
      <c r="E742" t="str">
        <f>"item_"&amp;Table1[[#This Row],[VEHIDCODE]]</f>
        <v>item_mu_Coach_Gen3_Steel_Lightweight_Mail_Coach</v>
      </c>
      <c r="F742" t="str">
        <f>"str_"&amp;Table1[[#This Row],[VEHIDCODE]]</f>
        <v>str_mu_Coach_Gen3_Steel_Lightweight_Mail_Coach</v>
      </c>
      <c r="O742" s="2" t="b">
        <v>1</v>
      </c>
      <c r="X742" s="2" t="b">
        <v>1</v>
      </c>
      <c r="AG742" s="2" t="b">
        <v>1</v>
      </c>
      <c r="AJ742" s="2"/>
      <c r="AK742" s="2" t="b">
        <f>LEN(_xlfn.CONCAT(Table1[[#This Row],[TRACK_TYPE_STANDARD_GAUGE_RAILTYPE_OHLE]:[TRACK_TYPE_MTRO]]))&gt;0</f>
        <v>1</v>
      </c>
      <c r="AL742">
        <v>8</v>
      </c>
      <c r="AM742" t="s">
        <v>674</v>
      </c>
      <c r="AN742">
        <v>0</v>
      </c>
      <c r="AO742" t="s">
        <v>35</v>
      </c>
      <c r="AP742">
        <v>64</v>
      </c>
      <c r="AQ742">
        <v>1930</v>
      </c>
      <c r="AR742">
        <v>8</v>
      </c>
      <c r="AS742" s="2" t="s">
        <v>675</v>
      </c>
      <c r="AT742" t="b">
        <v>1</v>
      </c>
      <c r="AV742" s="2"/>
      <c r="AW742">
        <v>55</v>
      </c>
      <c r="AX742">
        <v>1</v>
      </c>
      <c r="AY742">
        <v>0</v>
      </c>
      <c r="AZ742" t="s">
        <v>711</v>
      </c>
      <c r="BA742">
        <v>140</v>
      </c>
      <c r="BB742" s="2">
        <v>0.3</v>
      </c>
      <c r="BC742" t="s">
        <v>937</v>
      </c>
      <c r="BD742" t="s">
        <v>935</v>
      </c>
      <c r="BE742" t="s">
        <v>940</v>
      </c>
      <c r="BF742" s="7">
        <v>25</v>
      </c>
      <c r="BG7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42">
        <v>0</v>
      </c>
      <c r="BI742" t="s">
        <v>734</v>
      </c>
      <c r="BJ742" s="11"/>
      <c r="BK742" s="11"/>
      <c r="BL742" s="11">
        <v>31</v>
      </c>
      <c r="BM742">
        <v>0</v>
      </c>
      <c r="BN742" t="s">
        <v>692</v>
      </c>
      <c r="BO742" t="s">
        <v>694</v>
      </c>
      <c r="BP742" t="s">
        <v>701</v>
      </c>
      <c r="BQ742" t="s">
        <v>705</v>
      </c>
      <c r="BR742" t="s">
        <v>706</v>
      </c>
      <c r="BS742" t="s">
        <v>707</v>
      </c>
      <c r="CR742"/>
      <c r="CS742"/>
      <c r="CT742"/>
    </row>
    <row r="743" spans="1:98" x14ac:dyDescent="0.4">
      <c r="A743" s="2" t="s">
        <v>798</v>
      </c>
      <c r="B743" t="str">
        <f>_xlfn.TEXTAFTER(Table1[[#This Row],[VEHIDCODE]],"_")</f>
        <v>Coach_Gen3_Aluminium_Lightweight_Intercity_Coach</v>
      </c>
      <c r="C743" t="s">
        <v>757</v>
      </c>
      <c r="D743" t="b">
        <f>OR(ISNUMBER(SEARCH("wagon_",Table1[[#This Row],[FILENAMES_EXPECTED]])),ISNUMBER(SEARCH("coach_",Table1[[#This Row],[FILENAMES_EXPECTED]])))</f>
        <v>1</v>
      </c>
      <c r="E743" t="str">
        <f>"item_"&amp;Table1[[#This Row],[VEHIDCODE]]</f>
        <v>item_mu_Coach_Gen3_Aluminium_Lightweight_Intercity_Coach</v>
      </c>
      <c r="F743" t="str">
        <f>"str_"&amp;Table1[[#This Row],[VEHIDCODE]]</f>
        <v>str_mu_Coach_Gen3_Aluminium_Lightweight_Intercity_Coach</v>
      </c>
      <c r="O743" s="2" t="b">
        <v>1</v>
      </c>
      <c r="X743" s="2" t="b">
        <v>1</v>
      </c>
      <c r="AG743" s="2" t="b">
        <v>1</v>
      </c>
      <c r="AJ743" s="2"/>
      <c r="AK743" s="2" t="b">
        <f>LEN(_xlfn.CONCAT(Table1[[#This Row],[TRACK_TYPE_STANDARD_GAUGE_RAILTYPE_OHLE]:[TRACK_TYPE_MTRO]]))&gt;0</f>
        <v>1</v>
      </c>
      <c r="AL743">
        <v>8</v>
      </c>
      <c r="AM743" t="s">
        <v>326</v>
      </c>
      <c r="AN743">
        <v>0</v>
      </c>
      <c r="AO743" t="s">
        <v>35</v>
      </c>
      <c r="AP743">
        <v>60</v>
      </c>
      <c r="AQ743">
        <v>1940</v>
      </c>
      <c r="AR743">
        <v>8</v>
      </c>
      <c r="AS743" s="2" t="s">
        <v>480</v>
      </c>
      <c r="AT743" t="b">
        <v>1</v>
      </c>
      <c r="AV743" s="2"/>
      <c r="AW743">
        <v>50</v>
      </c>
      <c r="AX743">
        <v>1</v>
      </c>
      <c r="AY743">
        <v>0</v>
      </c>
      <c r="AZ743" t="s">
        <v>711</v>
      </c>
      <c r="BA743">
        <v>180</v>
      </c>
      <c r="BB743" s="2">
        <v>0.3</v>
      </c>
      <c r="BC743" t="s">
        <v>933</v>
      </c>
      <c r="BD743" t="s">
        <v>925</v>
      </c>
      <c r="BE743" t="s">
        <v>940</v>
      </c>
      <c r="BF743" s="7">
        <v>25</v>
      </c>
      <c r="BG7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43">
        <v>0</v>
      </c>
      <c r="BI743" t="s">
        <v>734</v>
      </c>
      <c r="BJ743" s="11"/>
      <c r="BK743" s="11"/>
      <c r="BL743" s="11">
        <v>55</v>
      </c>
      <c r="BM743">
        <v>0</v>
      </c>
      <c r="BN743" t="s">
        <v>692</v>
      </c>
      <c r="BO743" t="s">
        <v>694</v>
      </c>
      <c r="BP743" t="s">
        <v>701</v>
      </c>
      <c r="BQ743" t="s">
        <v>705</v>
      </c>
      <c r="BR743" t="s">
        <v>706</v>
      </c>
      <c r="BS743" t="s">
        <v>707</v>
      </c>
      <c r="CR743"/>
      <c r="CS743"/>
      <c r="CT743"/>
    </row>
    <row r="744" spans="1:98" x14ac:dyDescent="0.4">
      <c r="A744" s="2" t="s">
        <v>799</v>
      </c>
      <c r="B744" t="str">
        <f>_xlfn.TEXTAFTER(Table1[[#This Row],[VEHIDCODE]],"_")</f>
        <v>Coach_Gen3_Aluminium_Lightweight_Regional_Coach</v>
      </c>
      <c r="C744" t="s">
        <v>757</v>
      </c>
      <c r="D744" t="b">
        <f>OR(ISNUMBER(SEARCH("wagon_",Table1[[#This Row],[FILENAMES_EXPECTED]])),ISNUMBER(SEARCH("coach_",Table1[[#This Row],[FILENAMES_EXPECTED]])))</f>
        <v>1</v>
      </c>
      <c r="E744" t="str">
        <f>"item_"&amp;Table1[[#This Row],[VEHIDCODE]]</f>
        <v>item_mu_Coach_Gen3_Aluminium_Lightweight_Regional_Coach</v>
      </c>
      <c r="F744" t="str">
        <f>"str_"&amp;Table1[[#This Row],[VEHIDCODE]]</f>
        <v>str_mu_Coach_Gen3_Aluminium_Lightweight_Regional_Coach</v>
      </c>
      <c r="O744" s="2" t="b">
        <v>1</v>
      </c>
      <c r="X744" s="2" t="b">
        <v>1</v>
      </c>
      <c r="AG744" s="2" t="b">
        <v>1</v>
      </c>
      <c r="AJ744" s="2"/>
      <c r="AK744" s="2" t="b">
        <f>LEN(_xlfn.CONCAT(Table1[[#This Row],[TRACK_TYPE_STANDARD_GAUGE_RAILTYPE_OHLE]:[TRACK_TYPE_MTRO]]))&gt;0</f>
        <v>1</v>
      </c>
      <c r="AL744">
        <v>8</v>
      </c>
      <c r="AM744" t="s">
        <v>326</v>
      </c>
      <c r="AN744">
        <v>0</v>
      </c>
      <c r="AO744" t="s">
        <v>35</v>
      </c>
      <c r="AP744">
        <v>90</v>
      </c>
      <c r="AQ744">
        <v>1940</v>
      </c>
      <c r="AR744">
        <v>8</v>
      </c>
      <c r="AS744" s="2" t="s">
        <v>480</v>
      </c>
      <c r="AT744" t="b">
        <v>1</v>
      </c>
      <c r="AV744" s="2"/>
      <c r="AW744">
        <v>50</v>
      </c>
      <c r="AX744">
        <v>1</v>
      </c>
      <c r="AY744">
        <v>0</v>
      </c>
      <c r="AZ744" t="s">
        <v>711</v>
      </c>
      <c r="BA744">
        <v>160</v>
      </c>
      <c r="BB744" s="2">
        <v>0.3</v>
      </c>
      <c r="BC744" t="s">
        <v>935</v>
      </c>
      <c r="BD744" t="s">
        <v>925</v>
      </c>
      <c r="BE744" t="s">
        <v>940</v>
      </c>
      <c r="BF744" s="7">
        <v>25</v>
      </c>
      <c r="BG7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44">
        <v>0</v>
      </c>
      <c r="BI744" t="s">
        <v>734</v>
      </c>
      <c r="BJ744" s="11"/>
      <c r="BK744" s="11"/>
      <c r="BL744" s="11">
        <v>52</v>
      </c>
      <c r="BM744">
        <v>0</v>
      </c>
      <c r="BN744" t="s">
        <v>692</v>
      </c>
      <c r="BO744" t="s">
        <v>694</v>
      </c>
      <c r="BP744" t="s">
        <v>701</v>
      </c>
      <c r="BQ744" t="s">
        <v>705</v>
      </c>
      <c r="BR744" t="s">
        <v>706</v>
      </c>
      <c r="BS744" t="s">
        <v>707</v>
      </c>
      <c r="CR744"/>
      <c r="CS744"/>
      <c r="CT744"/>
    </row>
    <row r="745" spans="1:98" x14ac:dyDescent="0.4">
      <c r="A745" s="2" t="s">
        <v>800</v>
      </c>
      <c r="B745" t="str">
        <f>_xlfn.TEXTAFTER(Table1[[#This Row],[VEHIDCODE]],"_")</f>
        <v>Coach_Gen3_Aluminium_Lightweight_Mail_Coach</v>
      </c>
      <c r="C745" t="s">
        <v>757</v>
      </c>
      <c r="D745" t="b">
        <f>OR(ISNUMBER(SEARCH("wagon_",Table1[[#This Row],[FILENAMES_EXPECTED]])),ISNUMBER(SEARCH("coach_",Table1[[#This Row],[FILENAMES_EXPECTED]])))</f>
        <v>1</v>
      </c>
      <c r="E745" t="str">
        <f>"item_"&amp;Table1[[#This Row],[VEHIDCODE]]</f>
        <v>item_mu_Coach_Gen3_Aluminium_Lightweight_Mail_Coach</v>
      </c>
      <c r="F745" t="str">
        <f>"str_"&amp;Table1[[#This Row],[VEHIDCODE]]</f>
        <v>str_mu_Coach_Gen3_Aluminium_Lightweight_Mail_Coach</v>
      </c>
      <c r="O745" s="2" t="b">
        <v>1</v>
      </c>
      <c r="X745" s="2" t="b">
        <v>1</v>
      </c>
      <c r="AG745" s="2" t="b">
        <v>1</v>
      </c>
      <c r="AJ745" s="2"/>
      <c r="AK745" s="2" t="b">
        <f>LEN(_xlfn.CONCAT(Table1[[#This Row],[TRACK_TYPE_STANDARD_GAUGE_RAILTYPE_OHLE]:[TRACK_TYPE_MTRO]]))&gt;0</f>
        <v>1</v>
      </c>
      <c r="AL745">
        <v>8</v>
      </c>
      <c r="AM745" t="s">
        <v>674</v>
      </c>
      <c r="AN745">
        <v>0</v>
      </c>
      <c r="AO745" t="s">
        <v>35</v>
      </c>
      <c r="AP745">
        <v>85</v>
      </c>
      <c r="AQ745">
        <v>1940</v>
      </c>
      <c r="AR745">
        <v>8</v>
      </c>
      <c r="AS745" s="2" t="s">
        <v>675</v>
      </c>
      <c r="AT745" t="b">
        <v>1</v>
      </c>
      <c r="AV745" s="2"/>
      <c r="AW745">
        <v>50</v>
      </c>
      <c r="AX745">
        <v>1</v>
      </c>
      <c r="AY745">
        <v>0</v>
      </c>
      <c r="AZ745" t="s">
        <v>711</v>
      </c>
      <c r="BA745">
        <v>180</v>
      </c>
      <c r="BB745" s="2">
        <v>0.3</v>
      </c>
      <c r="BC745" t="s">
        <v>935</v>
      </c>
      <c r="BD745" t="s">
        <v>925</v>
      </c>
      <c r="BE745" t="s">
        <v>940</v>
      </c>
      <c r="BF745" s="7">
        <v>25</v>
      </c>
      <c r="BG7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45">
        <v>0</v>
      </c>
      <c r="BI745" t="s">
        <v>734</v>
      </c>
      <c r="BJ745" s="11"/>
      <c r="BK745" s="11"/>
      <c r="BL745" s="11">
        <v>52</v>
      </c>
      <c r="BM745">
        <v>0</v>
      </c>
      <c r="BN745" t="s">
        <v>692</v>
      </c>
      <c r="BO745" t="s">
        <v>694</v>
      </c>
      <c r="BP745" t="s">
        <v>701</v>
      </c>
      <c r="BQ745" t="s">
        <v>705</v>
      </c>
      <c r="BR745" t="s">
        <v>706</v>
      </c>
      <c r="BS745" t="s">
        <v>707</v>
      </c>
      <c r="CR745"/>
      <c r="CS745"/>
      <c r="CT745"/>
    </row>
    <row r="746" spans="1:98" x14ac:dyDescent="0.4">
      <c r="A746" s="2" t="s">
        <v>801</v>
      </c>
      <c r="B746" t="str">
        <f>_xlfn.TEXTAFTER(Table1[[#This Row],[VEHIDCODE]],"_")</f>
        <v>Coach_Gen3_Gallery_Car</v>
      </c>
      <c r="C746" t="s">
        <v>757</v>
      </c>
      <c r="D746" t="b">
        <f>OR(ISNUMBER(SEARCH("wagon_",Table1[[#This Row],[FILENAMES_EXPECTED]])),ISNUMBER(SEARCH("coach_",Table1[[#This Row],[FILENAMES_EXPECTED]])))</f>
        <v>1</v>
      </c>
      <c r="E746" t="str">
        <f>"item_"&amp;Table1[[#This Row],[VEHIDCODE]]</f>
        <v>item_mu_Coach_Gen3_Gallery_Car</v>
      </c>
      <c r="F746" t="str">
        <f>"str_"&amp;Table1[[#This Row],[VEHIDCODE]]</f>
        <v>str_mu_Coach_Gen3_Gallery_Car</v>
      </c>
      <c r="O746" s="2" t="b">
        <v>1</v>
      </c>
      <c r="X746" s="2" t="b">
        <v>1</v>
      </c>
      <c r="AG746" s="2" t="b">
        <v>1</v>
      </c>
      <c r="AJ746" s="2"/>
      <c r="AK746" s="2" t="b">
        <f>LEN(_xlfn.CONCAT(Table1[[#This Row],[TRACK_TYPE_STANDARD_GAUGE_RAILTYPE_OHLE]:[TRACK_TYPE_MTRO]]))&gt;0</f>
        <v>1</v>
      </c>
      <c r="AL746">
        <v>8</v>
      </c>
      <c r="AM746" t="s">
        <v>326</v>
      </c>
      <c r="AN746">
        <v>0</v>
      </c>
      <c r="AO746" t="s">
        <v>35</v>
      </c>
      <c r="AP746">
        <v>160</v>
      </c>
      <c r="AQ746">
        <v>1950</v>
      </c>
      <c r="AR746">
        <v>8</v>
      </c>
      <c r="AS746" s="2" t="s">
        <v>480</v>
      </c>
      <c r="AT746" t="b">
        <v>1</v>
      </c>
      <c r="AV746" s="2"/>
      <c r="AW746">
        <v>50</v>
      </c>
      <c r="AX746">
        <v>1</v>
      </c>
      <c r="AY746">
        <v>0</v>
      </c>
      <c r="AZ746" t="s">
        <v>711</v>
      </c>
      <c r="BA746">
        <v>140</v>
      </c>
      <c r="BB746" s="2">
        <v>0.3</v>
      </c>
      <c r="BC746" t="s">
        <v>935</v>
      </c>
      <c r="BD746" t="s">
        <v>925</v>
      </c>
      <c r="BE746" t="s">
        <v>940</v>
      </c>
      <c r="BF746" s="7">
        <v>25</v>
      </c>
      <c r="BG7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46">
        <v>0</v>
      </c>
      <c r="BI746" t="s">
        <v>734</v>
      </c>
      <c r="BJ746" s="11"/>
      <c r="BK746" s="11"/>
      <c r="BL746" s="11">
        <v>56</v>
      </c>
      <c r="BM746">
        <v>0</v>
      </c>
      <c r="BN746" t="s">
        <v>692</v>
      </c>
      <c r="BO746" t="s">
        <v>694</v>
      </c>
      <c r="BP746" t="s">
        <v>701</v>
      </c>
      <c r="BQ746" t="s">
        <v>705</v>
      </c>
      <c r="BR746" t="s">
        <v>706</v>
      </c>
      <c r="BS746" t="s">
        <v>707</v>
      </c>
      <c r="CR746"/>
      <c r="CS746"/>
      <c r="CT746"/>
    </row>
    <row r="747" spans="1:98" x14ac:dyDescent="0.4">
      <c r="A747" s="2" t="s">
        <v>802</v>
      </c>
      <c r="B747" t="str">
        <f>_xlfn.TEXTAFTER(Table1[[#This Row],[VEHIDCODE]],"_")</f>
        <v>Coach_Gen3_Mk1_Intercity_Coach</v>
      </c>
      <c r="C747" t="s">
        <v>757</v>
      </c>
      <c r="D747" t="b">
        <f>OR(ISNUMBER(SEARCH("wagon_",Table1[[#This Row],[FILENAMES_EXPECTED]])),ISNUMBER(SEARCH("coach_",Table1[[#This Row],[FILENAMES_EXPECTED]])))</f>
        <v>1</v>
      </c>
      <c r="E747" t="str">
        <f>"item_"&amp;Table1[[#This Row],[VEHIDCODE]]</f>
        <v>item_mu_Coach_Gen3_Mk1_Intercity_Coach</v>
      </c>
      <c r="F747" t="str">
        <f>"str_"&amp;Table1[[#This Row],[VEHIDCODE]]</f>
        <v>str_mu_Coach_Gen3_Mk1_Intercity_Coach</v>
      </c>
      <c r="O747" s="2" t="b">
        <v>1</v>
      </c>
      <c r="X747" s="2" t="b">
        <v>1</v>
      </c>
      <c r="AG747" s="2" t="b">
        <v>1</v>
      </c>
      <c r="AJ747" s="2"/>
      <c r="AK747" s="2" t="b">
        <f>LEN(_xlfn.CONCAT(Table1[[#This Row],[TRACK_TYPE_STANDARD_GAUGE_RAILTYPE_OHLE]:[TRACK_TYPE_MTRO]]))&gt;0</f>
        <v>1</v>
      </c>
      <c r="AL747">
        <v>7</v>
      </c>
      <c r="AM747" t="s">
        <v>326</v>
      </c>
      <c r="AN747">
        <v>0</v>
      </c>
      <c r="AO747" t="s">
        <v>35</v>
      </c>
      <c r="AP747">
        <v>55</v>
      </c>
      <c r="AQ747">
        <v>1950</v>
      </c>
      <c r="AR747">
        <v>7</v>
      </c>
      <c r="AS747" s="2" t="s">
        <v>480</v>
      </c>
      <c r="AT747" t="b">
        <v>1</v>
      </c>
      <c r="AV747" s="2"/>
      <c r="AW747">
        <v>50</v>
      </c>
      <c r="AX747">
        <v>1</v>
      </c>
      <c r="AY747">
        <v>0</v>
      </c>
      <c r="AZ747" t="s">
        <v>711</v>
      </c>
      <c r="BA747">
        <v>160</v>
      </c>
      <c r="BB747" s="2">
        <v>0.3</v>
      </c>
      <c r="BC747" t="s">
        <v>933</v>
      </c>
      <c r="BD747" t="s">
        <v>922</v>
      </c>
      <c r="BE747" t="s">
        <v>940</v>
      </c>
      <c r="BF747" s="7">
        <v>25</v>
      </c>
      <c r="BG7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47">
        <v>0</v>
      </c>
      <c r="BI747" t="s">
        <v>734</v>
      </c>
      <c r="BJ747" s="11"/>
      <c r="BK747" s="11"/>
      <c r="BL747" s="11">
        <v>33</v>
      </c>
      <c r="BM747">
        <v>0</v>
      </c>
      <c r="BN747" t="s">
        <v>692</v>
      </c>
      <c r="BO747" t="s">
        <v>694</v>
      </c>
      <c r="BP747" t="s">
        <v>701</v>
      </c>
      <c r="BQ747" t="s">
        <v>705</v>
      </c>
      <c r="BR747" t="s">
        <v>706</v>
      </c>
      <c r="BS747" t="s">
        <v>707</v>
      </c>
      <c r="CR747"/>
      <c r="CS747"/>
      <c r="CT747"/>
    </row>
    <row r="748" spans="1:98" x14ac:dyDescent="0.4">
      <c r="A748" s="2" t="s">
        <v>803</v>
      </c>
      <c r="B748" t="str">
        <f>_xlfn.TEXTAFTER(Table1[[#This Row],[VEHIDCODE]],"_")</f>
        <v>Coach_Gen3_Mk1_Regional_Coach</v>
      </c>
      <c r="C748" t="s">
        <v>757</v>
      </c>
      <c r="D748" t="b">
        <f>OR(ISNUMBER(SEARCH("wagon_",Table1[[#This Row],[FILENAMES_EXPECTED]])),ISNUMBER(SEARCH("coach_",Table1[[#This Row],[FILENAMES_EXPECTED]])))</f>
        <v>1</v>
      </c>
      <c r="E748" t="str">
        <f>"item_"&amp;Table1[[#This Row],[VEHIDCODE]]</f>
        <v>item_mu_Coach_Gen3_Mk1_Regional_Coach</v>
      </c>
      <c r="F748" t="str">
        <f>"str_"&amp;Table1[[#This Row],[VEHIDCODE]]</f>
        <v>str_mu_Coach_Gen3_Mk1_Regional_Coach</v>
      </c>
      <c r="O748" s="2" t="b">
        <v>1</v>
      </c>
      <c r="X748" s="2" t="b">
        <v>1</v>
      </c>
      <c r="AG748" s="2" t="b">
        <v>1</v>
      </c>
      <c r="AJ748" s="2"/>
      <c r="AK748" s="2" t="b">
        <f>LEN(_xlfn.CONCAT(Table1[[#This Row],[TRACK_TYPE_STANDARD_GAUGE_RAILTYPE_OHLE]:[TRACK_TYPE_MTRO]]))&gt;0</f>
        <v>1</v>
      </c>
      <c r="AL748">
        <v>7</v>
      </c>
      <c r="AM748" t="s">
        <v>326</v>
      </c>
      <c r="AN748">
        <v>0</v>
      </c>
      <c r="AO748" t="s">
        <v>35</v>
      </c>
      <c r="AP748">
        <v>108</v>
      </c>
      <c r="AQ748">
        <v>1950</v>
      </c>
      <c r="AR748">
        <v>7</v>
      </c>
      <c r="AS748" s="2" t="s">
        <v>480</v>
      </c>
      <c r="AT748" t="b">
        <v>1</v>
      </c>
      <c r="AV748" s="2"/>
      <c r="AW748">
        <v>50</v>
      </c>
      <c r="AX748">
        <v>1</v>
      </c>
      <c r="AY748">
        <v>0</v>
      </c>
      <c r="AZ748" t="s">
        <v>711</v>
      </c>
      <c r="BA748">
        <v>130</v>
      </c>
      <c r="BB748" s="2">
        <v>0.3</v>
      </c>
      <c r="BC748" t="s">
        <v>933</v>
      </c>
      <c r="BD748" t="s">
        <v>922</v>
      </c>
      <c r="BE748" t="s">
        <v>940</v>
      </c>
      <c r="BF748" s="7">
        <v>25</v>
      </c>
      <c r="BG7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48">
        <v>0</v>
      </c>
      <c r="BI748" t="s">
        <v>734</v>
      </c>
      <c r="BJ748" s="11"/>
      <c r="BK748" s="11"/>
      <c r="BL748" s="11">
        <v>33</v>
      </c>
      <c r="BM748">
        <v>0</v>
      </c>
      <c r="BN748" t="s">
        <v>692</v>
      </c>
      <c r="BO748" t="s">
        <v>694</v>
      </c>
      <c r="BP748" t="s">
        <v>701</v>
      </c>
      <c r="BQ748" t="s">
        <v>705</v>
      </c>
      <c r="BR748" t="s">
        <v>706</v>
      </c>
      <c r="BS748" t="s">
        <v>707</v>
      </c>
      <c r="CR748"/>
      <c r="CS748"/>
      <c r="CT748"/>
    </row>
    <row r="749" spans="1:98" x14ac:dyDescent="0.4">
      <c r="A749" s="2" t="s">
        <v>804</v>
      </c>
      <c r="B749" t="str">
        <f>_xlfn.TEXTAFTER(Table1[[#This Row],[VEHIDCODE]],"_")</f>
        <v>Coach_Gen3_Mk1_Mail_Coach</v>
      </c>
      <c r="C749" t="s">
        <v>757</v>
      </c>
      <c r="D749" t="b">
        <f>OR(ISNUMBER(SEARCH("wagon_",Table1[[#This Row],[FILENAMES_EXPECTED]])),ISNUMBER(SEARCH("coach_",Table1[[#This Row],[FILENAMES_EXPECTED]])))</f>
        <v>1</v>
      </c>
      <c r="E749" t="str">
        <f>"item_"&amp;Table1[[#This Row],[VEHIDCODE]]</f>
        <v>item_mu_Coach_Gen3_Mk1_Mail_Coach</v>
      </c>
      <c r="F749" t="str">
        <f>"str_"&amp;Table1[[#This Row],[VEHIDCODE]]</f>
        <v>str_mu_Coach_Gen3_Mk1_Mail_Coach</v>
      </c>
      <c r="O749" s="2" t="b">
        <v>1</v>
      </c>
      <c r="X749" s="2" t="b">
        <v>1</v>
      </c>
      <c r="AG749" s="2" t="b">
        <v>1</v>
      </c>
      <c r="AJ749" s="2"/>
      <c r="AK749" s="2" t="b">
        <f>LEN(_xlfn.CONCAT(Table1[[#This Row],[TRACK_TYPE_STANDARD_GAUGE_RAILTYPE_OHLE]:[TRACK_TYPE_MTRO]]))&gt;0</f>
        <v>1</v>
      </c>
      <c r="AL749">
        <v>7</v>
      </c>
      <c r="AM749" t="s">
        <v>674</v>
      </c>
      <c r="AN749">
        <v>0</v>
      </c>
      <c r="AO749" t="s">
        <v>35</v>
      </c>
      <c r="AP749">
        <v>55</v>
      </c>
      <c r="AQ749">
        <v>1950</v>
      </c>
      <c r="AR749">
        <v>7</v>
      </c>
      <c r="AS749" s="2" t="s">
        <v>675</v>
      </c>
      <c r="AT749" t="b">
        <v>1</v>
      </c>
      <c r="AV749" s="2"/>
      <c r="AW749">
        <v>50</v>
      </c>
      <c r="AX749">
        <v>1</v>
      </c>
      <c r="AY749">
        <v>0</v>
      </c>
      <c r="AZ749" t="s">
        <v>711</v>
      </c>
      <c r="BA749">
        <v>160</v>
      </c>
      <c r="BB749" s="2">
        <v>0.3</v>
      </c>
      <c r="BC749" t="s">
        <v>933</v>
      </c>
      <c r="BD749" t="s">
        <v>922</v>
      </c>
      <c r="BE749" t="s">
        <v>940</v>
      </c>
      <c r="BF749" s="7">
        <v>25</v>
      </c>
      <c r="BG7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49">
        <v>0</v>
      </c>
      <c r="BI749" t="s">
        <v>734</v>
      </c>
      <c r="BJ749" s="11"/>
      <c r="BK749" s="11"/>
      <c r="BL749" s="11">
        <v>35</v>
      </c>
      <c r="BM749">
        <v>0</v>
      </c>
      <c r="BN749" t="s">
        <v>692</v>
      </c>
      <c r="BO749" t="s">
        <v>694</v>
      </c>
      <c r="BP749" t="s">
        <v>701</v>
      </c>
      <c r="BQ749" t="s">
        <v>705</v>
      </c>
      <c r="BR749" t="s">
        <v>706</v>
      </c>
      <c r="BS749" t="s">
        <v>707</v>
      </c>
      <c r="CR749"/>
      <c r="CS749"/>
      <c r="CT749"/>
    </row>
    <row r="750" spans="1:98" x14ac:dyDescent="0.4">
      <c r="A750" s="2" t="s">
        <v>805</v>
      </c>
      <c r="B750" t="str">
        <f>_xlfn.TEXTAFTER(Table1[[#This Row],[VEHIDCODE]],"_")</f>
        <v>Coach_Gen3_UIC_X_Intercity_Coach</v>
      </c>
      <c r="C750" t="s">
        <v>757</v>
      </c>
      <c r="D750" t="b">
        <f>OR(ISNUMBER(SEARCH("wagon_",Table1[[#This Row],[FILENAMES_EXPECTED]])),ISNUMBER(SEARCH("coach_",Table1[[#This Row],[FILENAMES_EXPECTED]])))</f>
        <v>1</v>
      </c>
      <c r="E750" t="str">
        <f>"item_"&amp;Table1[[#This Row],[VEHIDCODE]]</f>
        <v>item_mu_Coach_Gen3_UIC_X_Intercity_Coach</v>
      </c>
      <c r="F750" t="str">
        <f>"str_"&amp;Table1[[#This Row],[VEHIDCODE]]</f>
        <v>str_mu_Coach_Gen3_UIC_X_Intercity_Coach</v>
      </c>
      <c r="O750" s="2" t="b">
        <v>1</v>
      </c>
      <c r="X750" s="2" t="b">
        <v>1</v>
      </c>
      <c r="AG750" s="2" t="b">
        <v>1</v>
      </c>
      <c r="AJ750" s="2"/>
      <c r="AK750" s="2" t="b">
        <f>LEN(_xlfn.CONCAT(Table1[[#This Row],[TRACK_TYPE_STANDARD_GAUGE_RAILTYPE_OHLE]:[TRACK_TYPE_MTRO]]))&gt;0</f>
        <v>1</v>
      </c>
      <c r="AL750">
        <v>8</v>
      </c>
      <c r="AM750" t="s">
        <v>326</v>
      </c>
      <c r="AN750">
        <v>0</v>
      </c>
      <c r="AO750" t="s">
        <v>35</v>
      </c>
      <c r="AP750">
        <v>65</v>
      </c>
      <c r="AQ750">
        <v>1950</v>
      </c>
      <c r="AR750">
        <v>8</v>
      </c>
      <c r="AS750" s="2" t="s">
        <v>480</v>
      </c>
      <c r="AT750" t="b">
        <v>1</v>
      </c>
      <c r="AV750" s="2"/>
      <c r="AW750">
        <v>50</v>
      </c>
      <c r="AX750">
        <v>1</v>
      </c>
      <c r="AY750">
        <v>0</v>
      </c>
      <c r="AZ750" t="s">
        <v>711</v>
      </c>
      <c r="BA750">
        <v>160</v>
      </c>
      <c r="BB750" s="2">
        <v>0.3</v>
      </c>
      <c r="BC750" t="s">
        <v>933</v>
      </c>
      <c r="BD750" t="s">
        <v>922</v>
      </c>
      <c r="BE750" t="s">
        <v>940</v>
      </c>
      <c r="BF750" s="7">
        <v>25</v>
      </c>
      <c r="BG7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50">
        <v>0</v>
      </c>
      <c r="BI750" t="s">
        <v>734</v>
      </c>
      <c r="BJ750" s="11"/>
      <c r="BK750" s="11"/>
      <c r="BL750" s="11">
        <v>38</v>
      </c>
      <c r="BM750">
        <v>0</v>
      </c>
      <c r="BN750" t="s">
        <v>692</v>
      </c>
      <c r="BO750" t="s">
        <v>694</v>
      </c>
      <c r="BP750" t="s">
        <v>701</v>
      </c>
      <c r="BQ750" t="s">
        <v>705</v>
      </c>
      <c r="BR750" t="s">
        <v>706</v>
      </c>
      <c r="BS750" t="s">
        <v>707</v>
      </c>
      <c r="CR750"/>
      <c r="CS750"/>
      <c r="CT750"/>
    </row>
    <row r="751" spans="1:98" x14ac:dyDescent="0.4">
      <c r="A751" s="2" t="s">
        <v>806</v>
      </c>
      <c r="B751" t="str">
        <f>_xlfn.TEXTAFTER(Table1[[#This Row],[VEHIDCODE]],"_")</f>
        <v>Coach_Gen3_TEE_Intercity_Coach</v>
      </c>
      <c r="C751" t="s">
        <v>757</v>
      </c>
      <c r="D751" t="b">
        <f>OR(ISNUMBER(SEARCH("wagon_",Table1[[#This Row],[FILENAMES_EXPECTED]])),ISNUMBER(SEARCH("coach_",Table1[[#This Row],[FILENAMES_EXPECTED]])))</f>
        <v>1</v>
      </c>
      <c r="E751" t="str">
        <f>"item_"&amp;Table1[[#This Row],[VEHIDCODE]]</f>
        <v>item_mu_Coach_Gen3_TEE_Intercity_Coach</v>
      </c>
      <c r="F751" t="str">
        <f>"str_"&amp;Table1[[#This Row],[VEHIDCODE]]</f>
        <v>str_mu_Coach_Gen3_TEE_Intercity_Coach</v>
      </c>
      <c r="O751" s="2" t="b">
        <v>1</v>
      </c>
      <c r="X751" s="2" t="b">
        <v>1</v>
      </c>
      <c r="AG751" s="2" t="b">
        <v>1</v>
      </c>
      <c r="AJ751" s="2"/>
      <c r="AK751" s="2" t="b">
        <f>LEN(_xlfn.CONCAT(Table1[[#This Row],[TRACK_TYPE_STANDARD_GAUGE_RAILTYPE_OHLE]:[TRACK_TYPE_MTRO]]))&gt;0</f>
        <v>1</v>
      </c>
      <c r="AL751">
        <v>8</v>
      </c>
      <c r="AM751" t="s">
        <v>326</v>
      </c>
      <c r="AN751">
        <v>0</v>
      </c>
      <c r="AO751" t="s">
        <v>35</v>
      </c>
      <c r="AP751">
        <v>48</v>
      </c>
      <c r="AQ751">
        <v>1950</v>
      </c>
      <c r="AR751">
        <v>8</v>
      </c>
      <c r="AS751" s="2" t="s">
        <v>480</v>
      </c>
      <c r="AT751" t="b">
        <v>1</v>
      </c>
      <c r="AV751" s="2"/>
      <c r="AW751">
        <v>50</v>
      </c>
      <c r="AX751">
        <v>1</v>
      </c>
      <c r="AY751">
        <v>0</v>
      </c>
      <c r="AZ751" t="s">
        <v>711</v>
      </c>
      <c r="BA751">
        <v>240</v>
      </c>
      <c r="BB751" s="2">
        <v>0.3</v>
      </c>
      <c r="BC751" t="s">
        <v>932</v>
      </c>
      <c r="BD751" t="s">
        <v>922</v>
      </c>
      <c r="BE751" t="s">
        <v>940</v>
      </c>
      <c r="BF751" s="7">
        <v>25</v>
      </c>
      <c r="BG7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51">
        <v>0</v>
      </c>
      <c r="BI751" t="s">
        <v>734</v>
      </c>
      <c r="BJ751" s="11"/>
      <c r="BK751" s="11"/>
      <c r="BL751" s="11">
        <v>45</v>
      </c>
      <c r="BM751">
        <v>0</v>
      </c>
      <c r="BN751" t="s">
        <v>692</v>
      </c>
      <c r="BO751" t="s">
        <v>694</v>
      </c>
      <c r="BP751" t="s">
        <v>701</v>
      </c>
      <c r="BQ751" t="s">
        <v>705</v>
      </c>
      <c r="BR751" t="s">
        <v>706</v>
      </c>
      <c r="BS751" t="s">
        <v>707</v>
      </c>
      <c r="CR751"/>
      <c r="CS751"/>
      <c r="CT751"/>
    </row>
    <row r="752" spans="1:98" x14ac:dyDescent="0.4">
      <c r="A752" s="2" t="s">
        <v>807</v>
      </c>
      <c r="B752" t="str">
        <f>_xlfn.TEXTAFTER(Table1[[#This Row],[VEHIDCODE]],"_")</f>
        <v>Coach_Gen3_UIC_X_Regional_Coach</v>
      </c>
      <c r="C752" t="s">
        <v>757</v>
      </c>
      <c r="D752" t="b">
        <f>OR(ISNUMBER(SEARCH("wagon_",Table1[[#This Row],[FILENAMES_EXPECTED]])),ISNUMBER(SEARCH("coach_",Table1[[#This Row],[FILENAMES_EXPECTED]])))</f>
        <v>1</v>
      </c>
      <c r="E752" t="str">
        <f>"item_"&amp;Table1[[#This Row],[VEHIDCODE]]</f>
        <v>item_mu_Coach_Gen3_UIC_X_Regional_Coach</v>
      </c>
      <c r="F752" t="str">
        <f>"str_"&amp;Table1[[#This Row],[VEHIDCODE]]</f>
        <v>str_mu_Coach_Gen3_UIC_X_Regional_Coach</v>
      </c>
      <c r="O752" s="2" t="b">
        <v>1</v>
      </c>
      <c r="X752" s="2" t="b">
        <v>1</v>
      </c>
      <c r="AG752" s="2" t="b">
        <v>1</v>
      </c>
      <c r="AJ752" s="2"/>
      <c r="AK752" s="2" t="b">
        <f>LEN(_xlfn.CONCAT(Table1[[#This Row],[TRACK_TYPE_STANDARD_GAUGE_RAILTYPE_OHLE]:[TRACK_TYPE_MTRO]]))&gt;0</f>
        <v>1</v>
      </c>
      <c r="AL752">
        <v>8</v>
      </c>
      <c r="AM752" t="s">
        <v>326</v>
      </c>
      <c r="AN752">
        <v>0</v>
      </c>
      <c r="AO752" t="s">
        <v>35</v>
      </c>
      <c r="AP752">
        <v>80</v>
      </c>
      <c r="AQ752">
        <v>1950</v>
      </c>
      <c r="AR752">
        <v>8</v>
      </c>
      <c r="AS752" s="2" t="s">
        <v>480</v>
      </c>
      <c r="AT752" t="b">
        <v>1</v>
      </c>
      <c r="AV752" s="2"/>
      <c r="AW752">
        <v>50</v>
      </c>
      <c r="AX752">
        <v>1</v>
      </c>
      <c r="AY752">
        <v>0</v>
      </c>
      <c r="AZ752" t="s">
        <v>711</v>
      </c>
      <c r="BA752">
        <v>120</v>
      </c>
      <c r="BB752" s="2">
        <v>0.3</v>
      </c>
      <c r="BC752" t="s">
        <v>933</v>
      </c>
      <c r="BD752" t="s">
        <v>922</v>
      </c>
      <c r="BE752" t="s">
        <v>940</v>
      </c>
      <c r="BF752" s="7">
        <v>25</v>
      </c>
      <c r="BG7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52">
        <v>0</v>
      </c>
      <c r="BI752" t="s">
        <v>734</v>
      </c>
      <c r="BJ752" s="11"/>
      <c r="BK752" s="11"/>
      <c r="BL752" s="11">
        <v>35</v>
      </c>
      <c r="BM752">
        <v>0</v>
      </c>
      <c r="BN752" t="s">
        <v>692</v>
      </c>
      <c r="BO752" t="s">
        <v>694</v>
      </c>
      <c r="BP752" t="s">
        <v>701</v>
      </c>
      <c r="BQ752" t="s">
        <v>705</v>
      </c>
      <c r="BR752" t="s">
        <v>706</v>
      </c>
      <c r="BS752" t="s">
        <v>707</v>
      </c>
      <c r="CR752"/>
      <c r="CS752"/>
      <c r="CT752"/>
    </row>
    <row r="753" spans="1:98" x14ac:dyDescent="0.4">
      <c r="A753" s="2" t="s">
        <v>808</v>
      </c>
      <c r="B753" t="str">
        <f>_xlfn.TEXTAFTER(Table1[[#This Row],[VEHIDCODE]],"_")</f>
        <v>Coach_Gen3_Umbauwagen_Local_Coach</v>
      </c>
      <c r="C753" t="s">
        <v>757</v>
      </c>
      <c r="D753" t="b">
        <f>OR(ISNUMBER(SEARCH("wagon_",Table1[[#This Row],[FILENAMES_EXPECTED]])),ISNUMBER(SEARCH("coach_",Table1[[#This Row],[FILENAMES_EXPECTED]])))</f>
        <v>1</v>
      </c>
      <c r="E753" t="str">
        <f>"item_"&amp;Table1[[#This Row],[VEHIDCODE]]</f>
        <v>item_mu_Coach_Gen3_Umbauwagen_Local_Coach</v>
      </c>
      <c r="F753" t="str">
        <f>"str_"&amp;Table1[[#This Row],[VEHIDCODE]]</f>
        <v>str_mu_Coach_Gen3_Umbauwagen_Local_Coach</v>
      </c>
      <c r="O753" s="2" t="b">
        <v>1</v>
      </c>
      <c r="X753" s="2" t="b">
        <v>1</v>
      </c>
      <c r="AG753" s="2" t="b">
        <v>1</v>
      </c>
      <c r="AJ753" s="2"/>
      <c r="AK753" s="2" t="b">
        <f>LEN(_xlfn.CONCAT(Table1[[#This Row],[TRACK_TYPE_STANDARD_GAUGE_RAILTYPE_OHLE]:[TRACK_TYPE_MTRO]]))&gt;0</f>
        <v>1</v>
      </c>
      <c r="AL753">
        <v>7</v>
      </c>
      <c r="AM753" t="s">
        <v>326</v>
      </c>
      <c r="AN753">
        <v>0</v>
      </c>
      <c r="AO753" t="s">
        <v>35</v>
      </c>
      <c r="AP753">
        <v>70</v>
      </c>
      <c r="AQ753">
        <v>1950</v>
      </c>
      <c r="AR753">
        <v>7</v>
      </c>
      <c r="AS753" s="2" t="s">
        <v>24</v>
      </c>
      <c r="AT753" t="b">
        <v>1</v>
      </c>
      <c r="AV753" s="2"/>
      <c r="AW753">
        <v>50</v>
      </c>
      <c r="AX753">
        <v>1</v>
      </c>
      <c r="AY753">
        <v>0</v>
      </c>
      <c r="AZ753" t="s">
        <v>711</v>
      </c>
      <c r="BA753">
        <v>120</v>
      </c>
      <c r="BB753" s="2">
        <v>0.3</v>
      </c>
      <c r="BC753" t="s">
        <v>933</v>
      </c>
      <c r="BD753" t="s">
        <v>922</v>
      </c>
      <c r="BE753" t="s">
        <v>940</v>
      </c>
      <c r="BF753" s="7">
        <v>25</v>
      </c>
      <c r="BG7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53">
        <v>0</v>
      </c>
      <c r="BI753" t="s">
        <v>734</v>
      </c>
      <c r="BJ753" s="11"/>
      <c r="BK753" s="11"/>
      <c r="BL753" s="11">
        <v>29</v>
      </c>
      <c r="BM753">
        <v>0</v>
      </c>
      <c r="BN753" t="s">
        <v>692</v>
      </c>
      <c r="BO753" t="s">
        <v>694</v>
      </c>
      <c r="BP753" t="s">
        <v>701</v>
      </c>
      <c r="BQ753" t="s">
        <v>705</v>
      </c>
      <c r="BR753" t="s">
        <v>706</v>
      </c>
      <c r="BS753" t="s">
        <v>707</v>
      </c>
      <c r="CR753"/>
      <c r="CS753"/>
      <c r="CT753"/>
    </row>
    <row r="754" spans="1:98" x14ac:dyDescent="0.4">
      <c r="A754" s="2" t="s">
        <v>809</v>
      </c>
      <c r="B754" t="str">
        <f>_xlfn.TEXTAFTER(Table1[[#This Row],[VEHIDCODE]],"_")</f>
        <v>Coach_Gen3_Doppelstockwagen_Local_Coach</v>
      </c>
      <c r="C754" t="s">
        <v>757</v>
      </c>
      <c r="D754" t="b">
        <f>OR(ISNUMBER(SEARCH("wagon_",Table1[[#This Row],[FILENAMES_EXPECTED]])),ISNUMBER(SEARCH("coach_",Table1[[#This Row],[FILENAMES_EXPECTED]])))</f>
        <v>1</v>
      </c>
      <c r="E754" t="str">
        <f>"item_"&amp;Table1[[#This Row],[VEHIDCODE]]</f>
        <v>item_mu_Coach_Gen3_Doppelstockwagen_Local_Coach</v>
      </c>
      <c r="F754" t="str">
        <f>"str_"&amp;Table1[[#This Row],[VEHIDCODE]]</f>
        <v>str_mu_Coach_Gen3_Doppelstockwagen_Local_Coach</v>
      </c>
      <c r="O754" s="2" t="b">
        <v>1</v>
      </c>
      <c r="X754" s="2" t="b">
        <v>1</v>
      </c>
      <c r="AG754" s="2" t="b">
        <v>1</v>
      </c>
      <c r="AJ754" s="2"/>
      <c r="AK754" s="2" t="b">
        <f>LEN(_xlfn.CONCAT(Table1[[#This Row],[TRACK_TYPE_STANDARD_GAUGE_RAILTYPE_OHLE]:[TRACK_TYPE_MTRO]]))&gt;0</f>
        <v>1</v>
      </c>
      <c r="AL754">
        <v>8</v>
      </c>
      <c r="AM754" t="s">
        <v>326</v>
      </c>
      <c r="AN754">
        <v>0</v>
      </c>
      <c r="AO754" t="s">
        <v>35</v>
      </c>
      <c r="AP754">
        <v>130</v>
      </c>
      <c r="AQ754">
        <v>1950</v>
      </c>
      <c r="AR754">
        <v>8</v>
      </c>
      <c r="AS754" s="2" t="s">
        <v>24</v>
      </c>
      <c r="AT754" t="b">
        <v>1</v>
      </c>
      <c r="AV754" s="2"/>
      <c r="AW754">
        <v>40</v>
      </c>
      <c r="AX754">
        <v>1</v>
      </c>
      <c r="AY754">
        <v>0</v>
      </c>
      <c r="AZ754" t="s">
        <v>711</v>
      </c>
      <c r="BA754">
        <v>120</v>
      </c>
      <c r="BB754" s="2">
        <v>0.3</v>
      </c>
      <c r="BC754" t="s">
        <v>933</v>
      </c>
      <c r="BD754" t="s">
        <v>922</v>
      </c>
      <c r="BE754" t="s">
        <v>940</v>
      </c>
      <c r="BF754" s="7">
        <v>25</v>
      </c>
      <c r="BG7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54">
        <v>0</v>
      </c>
      <c r="BI754" t="s">
        <v>734</v>
      </c>
      <c r="BJ754" s="11"/>
      <c r="BK754" s="11"/>
      <c r="BL754" s="11">
        <v>45</v>
      </c>
      <c r="BM754">
        <v>0</v>
      </c>
      <c r="BN754" t="s">
        <v>692</v>
      </c>
      <c r="BO754" t="s">
        <v>694</v>
      </c>
      <c r="BP754" t="s">
        <v>701</v>
      </c>
      <c r="BQ754" t="s">
        <v>705</v>
      </c>
      <c r="BR754" t="s">
        <v>706</v>
      </c>
      <c r="BS754" t="s">
        <v>707</v>
      </c>
      <c r="CR754"/>
      <c r="CS754"/>
      <c r="CT754"/>
    </row>
    <row r="755" spans="1:98" x14ac:dyDescent="0.4">
      <c r="A755" s="2" t="s">
        <v>810</v>
      </c>
      <c r="B755" t="str">
        <f>_xlfn.TEXTAFTER(Table1[[#This Row],[VEHIDCODE]],"_")</f>
        <v>Coach_Gen3_UIC_X_Mail_Coach</v>
      </c>
      <c r="C755" t="s">
        <v>757</v>
      </c>
      <c r="D755" t="b">
        <f>OR(ISNUMBER(SEARCH("wagon_",Table1[[#This Row],[FILENAMES_EXPECTED]])),ISNUMBER(SEARCH("coach_",Table1[[#This Row],[FILENAMES_EXPECTED]])))</f>
        <v>1</v>
      </c>
      <c r="E755" t="str">
        <f>"item_"&amp;Table1[[#This Row],[VEHIDCODE]]</f>
        <v>item_mu_Coach_Gen3_UIC_X_Mail_Coach</v>
      </c>
      <c r="F755" t="str">
        <f>"str_"&amp;Table1[[#This Row],[VEHIDCODE]]</f>
        <v>str_mu_Coach_Gen3_UIC_X_Mail_Coach</v>
      </c>
      <c r="O755" s="2" t="b">
        <v>1</v>
      </c>
      <c r="X755" s="2" t="b">
        <v>1</v>
      </c>
      <c r="AG755" s="2" t="b">
        <v>1</v>
      </c>
      <c r="AJ755" s="2"/>
      <c r="AK755" s="2" t="b">
        <f>LEN(_xlfn.CONCAT(Table1[[#This Row],[TRACK_TYPE_STANDARD_GAUGE_RAILTYPE_OHLE]:[TRACK_TYPE_MTRO]]))&gt;0</f>
        <v>1</v>
      </c>
      <c r="AL755">
        <v>8</v>
      </c>
      <c r="AM755" t="s">
        <v>674</v>
      </c>
      <c r="AN755">
        <v>0</v>
      </c>
      <c r="AO755" t="s">
        <v>35</v>
      </c>
      <c r="AP755">
        <v>96</v>
      </c>
      <c r="AQ755">
        <v>1950</v>
      </c>
      <c r="AR755">
        <v>8</v>
      </c>
      <c r="AS755" s="2" t="s">
        <v>675</v>
      </c>
      <c r="AT755" t="b">
        <v>1</v>
      </c>
      <c r="AV755" s="2"/>
      <c r="AW755">
        <v>50</v>
      </c>
      <c r="AX755">
        <v>1</v>
      </c>
      <c r="AY755">
        <v>0</v>
      </c>
      <c r="AZ755" t="s">
        <v>711</v>
      </c>
      <c r="BA755">
        <v>140</v>
      </c>
      <c r="BB755" s="2">
        <v>0.3</v>
      </c>
      <c r="BC755" t="s">
        <v>933</v>
      </c>
      <c r="BD755" t="s">
        <v>922</v>
      </c>
      <c r="BE755" t="s">
        <v>940</v>
      </c>
      <c r="BF755" s="7">
        <v>25</v>
      </c>
      <c r="BG7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55">
        <v>0</v>
      </c>
      <c r="BI755" t="s">
        <v>734</v>
      </c>
      <c r="BJ755" s="11"/>
      <c r="BK755" s="11"/>
      <c r="BL755" s="11">
        <v>34</v>
      </c>
      <c r="BM755">
        <v>0</v>
      </c>
      <c r="BN755" t="s">
        <v>692</v>
      </c>
      <c r="BO755" t="s">
        <v>694</v>
      </c>
      <c r="BP755" t="s">
        <v>701</v>
      </c>
      <c r="BQ755" t="s">
        <v>705</v>
      </c>
      <c r="BR755" t="s">
        <v>706</v>
      </c>
      <c r="BS755" t="s">
        <v>707</v>
      </c>
      <c r="CR755"/>
      <c r="CS755"/>
      <c r="CT755"/>
    </row>
    <row r="756" spans="1:98" x14ac:dyDescent="0.4">
      <c r="A756" s="2" t="s">
        <v>811</v>
      </c>
      <c r="B756" t="str">
        <f>_xlfn.TEXTAFTER(Table1[[#This Row],[VEHIDCODE]],"_")</f>
        <v>Coach_Gen3_Indian_Intercity_Coach</v>
      </c>
      <c r="C756" t="s">
        <v>757</v>
      </c>
      <c r="D756" t="b">
        <f>OR(ISNUMBER(SEARCH("wagon_",Table1[[#This Row],[FILENAMES_EXPECTED]])),ISNUMBER(SEARCH("coach_",Table1[[#This Row],[FILENAMES_EXPECTED]])))</f>
        <v>1</v>
      </c>
      <c r="E756" t="str">
        <f>"item_"&amp;Table1[[#This Row],[VEHIDCODE]]</f>
        <v>item_mu_Coach_Gen3_Indian_Intercity_Coach</v>
      </c>
      <c r="F756" t="str">
        <f>"str_"&amp;Table1[[#This Row],[VEHIDCODE]]</f>
        <v>str_mu_Coach_Gen3_Indian_Intercity_Coach</v>
      </c>
      <c r="O756" s="2" t="b">
        <v>1</v>
      </c>
      <c r="X756" s="2" t="b">
        <v>1</v>
      </c>
      <c r="AG756" s="2" t="b">
        <v>1</v>
      </c>
      <c r="AJ756" s="2"/>
      <c r="AK756" s="2" t="b">
        <f>LEN(_xlfn.CONCAT(Table1[[#This Row],[TRACK_TYPE_STANDARD_GAUGE_RAILTYPE_OHLE]:[TRACK_TYPE_MTRO]]))&gt;0</f>
        <v>1</v>
      </c>
      <c r="AL756">
        <v>8</v>
      </c>
      <c r="AM756" t="s">
        <v>326</v>
      </c>
      <c r="AN756">
        <v>0</v>
      </c>
      <c r="AO756" t="s">
        <v>35</v>
      </c>
      <c r="AP756">
        <v>64</v>
      </c>
      <c r="AQ756">
        <v>1950</v>
      </c>
      <c r="AR756">
        <v>8</v>
      </c>
      <c r="AS756" s="2" t="s">
        <v>480</v>
      </c>
      <c r="AT756" t="b">
        <v>1</v>
      </c>
      <c r="AV756" s="2"/>
      <c r="AW756">
        <v>60</v>
      </c>
      <c r="AX756">
        <v>1</v>
      </c>
      <c r="AY756">
        <v>0</v>
      </c>
      <c r="AZ756" t="s">
        <v>711</v>
      </c>
      <c r="BA756">
        <v>140</v>
      </c>
      <c r="BB756" s="2">
        <v>0.3</v>
      </c>
      <c r="BC756" t="s">
        <v>931</v>
      </c>
      <c r="BD756" t="s">
        <v>922</v>
      </c>
      <c r="BE756" t="s">
        <v>940</v>
      </c>
      <c r="BF756" s="7">
        <v>25</v>
      </c>
      <c r="BG7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56">
        <v>0</v>
      </c>
      <c r="BI756" t="s">
        <v>734</v>
      </c>
      <c r="BJ756" s="11"/>
      <c r="BK756" s="11"/>
      <c r="BL756" s="11">
        <v>38</v>
      </c>
      <c r="BM756">
        <v>0</v>
      </c>
      <c r="BN756" t="s">
        <v>692</v>
      </c>
      <c r="BO756" t="s">
        <v>694</v>
      </c>
      <c r="BP756" t="s">
        <v>701</v>
      </c>
      <c r="BQ756" t="s">
        <v>705</v>
      </c>
      <c r="BR756" t="s">
        <v>706</v>
      </c>
      <c r="BS756" t="s">
        <v>707</v>
      </c>
      <c r="CR756"/>
      <c r="CS756"/>
      <c r="CT756"/>
    </row>
    <row r="757" spans="1:98" x14ac:dyDescent="0.4">
      <c r="A757" s="2" t="s">
        <v>812</v>
      </c>
      <c r="B757" t="str">
        <f>_xlfn.TEXTAFTER(Table1[[#This Row],[VEHIDCODE]],"_")</f>
        <v>Coach_Gen3_Indian_Local_Coach</v>
      </c>
      <c r="C757" t="s">
        <v>757</v>
      </c>
      <c r="D757" t="b">
        <f>OR(ISNUMBER(SEARCH("wagon_",Table1[[#This Row],[FILENAMES_EXPECTED]])),ISNUMBER(SEARCH("coach_",Table1[[#This Row],[FILENAMES_EXPECTED]])))</f>
        <v>1</v>
      </c>
      <c r="E757" t="str">
        <f>"item_"&amp;Table1[[#This Row],[VEHIDCODE]]</f>
        <v>item_mu_Coach_Gen3_Indian_Local_Coach</v>
      </c>
      <c r="F757" t="str">
        <f>"str_"&amp;Table1[[#This Row],[VEHIDCODE]]</f>
        <v>str_mu_Coach_Gen3_Indian_Local_Coach</v>
      </c>
      <c r="O757" s="2" t="b">
        <v>1</v>
      </c>
      <c r="X757" s="2" t="b">
        <v>1</v>
      </c>
      <c r="AG757" s="2" t="b">
        <v>1</v>
      </c>
      <c r="AJ757" s="2"/>
      <c r="AK757" s="2" t="b">
        <f>LEN(_xlfn.CONCAT(Table1[[#This Row],[TRACK_TYPE_STANDARD_GAUGE_RAILTYPE_OHLE]:[TRACK_TYPE_MTRO]]))&gt;0</f>
        <v>1</v>
      </c>
      <c r="AL757">
        <v>8</v>
      </c>
      <c r="AM757" t="s">
        <v>326</v>
      </c>
      <c r="AN757">
        <v>0</v>
      </c>
      <c r="AO757" t="s">
        <v>35</v>
      </c>
      <c r="AP757">
        <v>100</v>
      </c>
      <c r="AQ757">
        <v>1950</v>
      </c>
      <c r="AR757">
        <v>8</v>
      </c>
      <c r="AS757" s="2" t="s">
        <v>24</v>
      </c>
      <c r="AT757" t="b">
        <v>1</v>
      </c>
      <c r="AV757" s="2"/>
      <c r="AW757">
        <v>60</v>
      </c>
      <c r="AX757">
        <v>1</v>
      </c>
      <c r="AY757">
        <v>0</v>
      </c>
      <c r="AZ757" t="s">
        <v>711</v>
      </c>
      <c r="BA757">
        <v>80</v>
      </c>
      <c r="BB757" s="2">
        <v>0.3</v>
      </c>
      <c r="BC757" t="s">
        <v>931</v>
      </c>
      <c r="BD757" t="s">
        <v>922</v>
      </c>
      <c r="BE757" t="s">
        <v>940</v>
      </c>
      <c r="BF757" s="7">
        <v>25</v>
      </c>
      <c r="BG7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57">
        <v>0</v>
      </c>
      <c r="BI757" t="s">
        <v>734</v>
      </c>
      <c r="BJ757" s="11"/>
      <c r="BK757" s="11"/>
      <c r="BL757" s="11">
        <v>38</v>
      </c>
      <c r="BM757">
        <v>0</v>
      </c>
      <c r="BN757" t="s">
        <v>692</v>
      </c>
      <c r="BO757" t="s">
        <v>694</v>
      </c>
      <c r="BP757" t="s">
        <v>701</v>
      </c>
      <c r="BQ757" t="s">
        <v>705</v>
      </c>
      <c r="BR757" t="s">
        <v>706</v>
      </c>
      <c r="BS757" t="s">
        <v>707</v>
      </c>
      <c r="CR757"/>
      <c r="CS757"/>
      <c r="CT757"/>
    </row>
    <row r="758" spans="1:98" x14ac:dyDescent="0.4">
      <c r="A758" s="2" t="s">
        <v>813</v>
      </c>
      <c r="B758" t="str">
        <f>_xlfn.TEXTAFTER(Table1[[#This Row],[VEHIDCODE]],"_")</f>
        <v>Coach_Gen3_Indian_Regional_Coach</v>
      </c>
      <c r="C758" t="s">
        <v>757</v>
      </c>
      <c r="D758" t="b">
        <f>OR(ISNUMBER(SEARCH("wagon_",Table1[[#This Row],[FILENAMES_EXPECTED]])),ISNUMBER(SEARCH("coach_",Table1[[#This Row],[FILENAMES_EXPECTED]])))</f>
        <v>1</v>
      </c>
      <c r="E758" t="str">
        <f>"item_"&amp;Table1[[#This Row],[VEHIDCODE]]</f>
        <v>item_mu_Coach_Gen3_Indian_Regional_Coach</v>
      </c>
      <c r="F758" t="str">
        <f>"str_"&amp;Table1[[#This Row],[VEHIDCODE]]</f>
        <v>str_mu_Coach_Gen3_Indian_Regional_Coach</v>
      </c>
      <c r="O758" s="2" t="b">
        <v>1</v>
      </c>
      <c r="X758" s="2" t="b">
        <v>1</v>
      </c>
      <c r="AG758" s="2" t="b">
        <v>1</v>
      </c>
      <c r="AJ758" s="2"/>
      <c r="AK758" s="2" t="b">
        <f>LEN(_xlfn.CONCAT(Table1[[#This Row],[TRACK_TYPE_STANDARD_GAUGE_RAILTYPE_OHLE]:[TRACK_TYPE_MTRO]]))&gt;0</f>
        <v>1</v>
      </c>
      <c r="AL758">
        <v>8</v>
      </c>
      <c r="AM758" t="s">
        <v>326</v>
      </c>
      <c r="AN758">
        <v>0</v>
      </c>
      <c r="AO758" t="s">
        <v>35</v>
      </c>
      <c r="AP758">
        <v>80</v>
      </c>
      <c r="AQ758">
        <v>1950</v>
      </c>
      <c r="AR758">
        <v>8</v>
      </c>
      <c r="AS758" s="2" t="s">
        <v>480</v>
      </c>
      <c r="AT758" t="b">
        <v>1</v>
      </c>
      <c r="AV758" s="2"/>
      <c r="AW758">
        <v>60</v>
      </c>
      <c r="AX758">
        <v>1</v>
      </c>
      <c r="AY758">
        <v>0</v>
      </c>
      <c r="AZ758" t="s">
        <v>711</v>
      </c>
      <c r="BA758">
        <v>110</v>
      </c>
      <c r="BB758" s="2">
        <v>0.3</v>
      </c>
      <c r="BC758" t="s">
        <v>931</v>
      </c>
      <c r="BD758" t="s">
        <v>922</v>
      </c>
      <c r="BE758" t="s">
        <v>940</v>
      </c>
      <c r="BF758" s="7">
        <v>25</v>
      </c>
      <c r="BG7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58">
        <v>0</v>
      </c>
      <c r="BI758" t="s">
        <v>734</v>
      </c>
      <c r="BJ758" s="11"/>
      <c r="BK758" s="11"/>
      <c r="BL758" s="11">
        <v>38</v>
      </c>
      <c r="BM758">
        <v>0</v>
      </c>
      <c r="BN758" t="s">
        <v>692</v>
      </c>
      <c r="BO758" t="s">
        <v>694</v>
      </c>
      <c r="BP758" t="s">
        <v>701</v>
      </c>
      <c r="BQ758" t="s">
        <v>705</v>
      </c>
      <c r="BR758" t="s">
        <v>706</v>
      </c>
      <c r="BS758" t="s">
        <v>707</v>
      </c>
      <c r="CR758"/>
      <c r="CS758"/>
      <c r="CT758"/>
    </row>
    <row r="759" spans="1:98" x14ac:dyDescent="0.4">
      <c r="A759" s="2" t="s">
        <v>814</v>
      </c>
      <c r="B759" t="str">
        <f>_xlfn.TEXTAFTER(Table1[[#This Row],[VEHIDCODE]],"_")</f>
        <v>Coach_Gen3_Indian_Mail_Coach</v>
      </c>
      <c r="C759" t="s">
        <v>757</v>
      </c>
      <c r="D759" t="b">
        <f>OR(ISNUMBER(SEARCH("wagon_",Table1[[#This Row],[FILENAMES_EXPECTED]])),ISNUMBER(SEARCH("coach_",Table1[[#This Row],[FILENAMES_EXPECTED]])))</f>
        <v>1</v>
      </c>
      <c r="E759" t="str">
        <f>"item_"&amp;Table1[[#This Row],[VEHIDCODE]]</f>
        <v>item_mu_Coach_Gen3_Indian_Mail_Coach</v>
      </c>
      <c r="F759" t="str">
        <f>"str_"&amp;Table1[[#This Row],[VEHIDCODE]]</f>
        <v>str_mu_Coach_Gen3_Indian_Mail_Coach</v>
      </c>
      <c r="O759" s="2" t="b">
        <v>1</v>
      </c>
      <c r="X759" s="2" t="b">
        <v>1</v>
      </c>
      <c r="AG759" s="2" t="b">
        <v>1</v>
      </c>
      <c r="AJ759" s="2"/>
      <c r="AK759" s="2" t="b">
        <f>LEN(_xlfn.CONCAT(Table1[[#This Row],[TRACK_TYPE_STANDARD_GAUGE_RAILTYPE_OHLE]:[TRACK_TYPE_MTRO]]))&gt;0</f>
        <v>1</v>
      </c>
      <c r="AL759">
        <v>8</v>
      </c>
      <c r="AM759" t="s">
        <v>674</v>
      </c>
      <c r="AN759">
        <v>0</v>
      </c>
      <c r="AO759" t="s">
        <v>35</v>
      </c>
      <c r="AP759">
        <v>60</v>
      </c>
      <c r="AQ759">
        <v>1950</v>
      </c>
      <c r="AR759">
        <v>8</v>
      </c>
      <c r="AS759" s="2" t="s">
        <v>675</v>
      </c>
      <c r="AT759" t="b">
        <v>1</v>
      </c>
      <c r="AV759" s="2"/>
      <c r="AW759">
        <v>60</v>
      </c>
      <c r="AX759">
        <v>1</v>
      </c>
      <c r="AY759">
        <v>0</v>
      </c>
      <c r="AZ759" t="s">
        <v>711</v>
      </c>
      <c r="BA759">
        <v>140</v>
      </c>
      <c r="BB759" s="2">
        <v>0.3</v>
      </c>
      <c r="BC759" t="s">
        <v>931</v>
      </c>
      <c r="BD759" t="s">
        <v>922</v>
      </c>
      <c r="BE759" t="s">
        <v>940</v>
      </c>
      <c r="BF759" s="7">
        <v>25</v>
      </c>
      <c r="BG7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59">
        <v>0</v>
      </c>
      <c r="BI759" t="s">
        <v>734</v>
      </c>
      <c r="BJ759" s="11"/>
      <c r="BK759" s="11"/>
      <c r="BL759" s="11">
        <v>36</v>
      </c>
      <c r="BM759">
        <v>0</v>
      </c>
      <c r="BN759" t="s">
        <v>692</v>
      </c>
      <c r="BO759" t="s">
        <v>694</v>
      </c>
      <c r="BP759" t="s">
        <v>701</v>
      </c>
      <c r="BQ759" t="s">
        <v>705</v>
      </c>
      <c r="BR759" t="s">
        <v>706</v>
      </c>
      <c r="BS759" t="s">
        <v>707</v>
      </c>
      <c r="CR759"/>
      <c r="CS759"/>
      <c r="CT759"/>
    </row>
    <row r="760" spans="1:98" x14ac:dyDescent="0.4">
      <c r="A760" s="2" t="s">
        <v>815</v>
      </c>
      <c r="B760" t="str">
        <f>_xlfn.TEXTAFTER(Table1[[#This Row],[VEHIDCODE]],"_")</f>
        <v>Coach_Gen4_Eurofima_Intercity_Coach</v>
      </c>
      <c r="C760" t="s">
        <v>758</v>
      </c>
      <c r="D760" t="b">
        <f>OR(ISNUMBER(SEARCH("wagon_",Table1[[#This Row],[FILENAMES_EXPECTED]])),ISNUMBER(SEARCH("coach_",Table1[[#This Row],[FILENAMES_EXPECTED]])))</f>
        <v>1</v>
      </c>
      <c r="E760" t="str">
        <f>"item_"&amp;Table1[[#This Row],[VEHIDCODE]]</f>
        <v>item_mu_Coach_Gen4_Eurofima_Intercity_Coach</v>
      </c>
      <c r="F760" t="str">
        <f>"str_"&amp;Table1[[#This Row],[VEHIDCODE]]</f>
        <v>str_mu_Coach_Gen4_Eurofima_Intercity_Coach</v>
      </c>
      <c r="O760" s="2" t="b">
        <v>1</v>
      </c>
      <c r="X760" s="2" t="b">
        <v>1</v>
      </c>
      <c r="AG760" s="2" t="b">
        <v>1</v>
      </c>
      <c r="AJ760" s="2"/>
      <c r="AK760" s="2" t="b">
        <f>LEN(_xlfn.CONCAT(Table1[[#This Row],[TRACK_TYPE_STANDARD_GAUGE_RAILTYPE_OHLE]:[TRACK_TYPE_MTRO]]))&gt;0</f>
        <v>1</v>
      </c>
      <c r="AL760">
        <v>8</v>
      </c>
      <c r="AM760" t="s">
        <v>326</v>
      </c>
      <c r="AN760">
        <v>0</v>
      </c>
      <c r="AO760" t="s">
        <v>35</v>
      </c>
      <c r="AP760">
        <v>60</v>
      </c>
      <c r="AQ760">
        <v>1970</v>
      </c>
      <c r="AR760">
        <v>8</v>
      </c>
      <c r="AS760" s="2" t="s">
        <v>480</v>
      </c>
      <c r="AT760" t="b">
        <v>1</v>
      </c>
      <c r="AV760" s="2"/>
      <c r="AW760">
        <v>50</v>
      </c>
      <c r="AX760">
        <v>1</v>
      </c>
      <c r="AY760">
        <v>0</v>
      </c>
      <c r="AZ760" t="s">
        <v>711</v>
      </c>
      <c r="BA760">
        <v>200</v>
      </c>
      <c r="BB760" s="2">
        <v>0.3</v>
      </c>
      <c r="BC760" t="s">
        <v>933</v>
      </c>
      <c r="BD760" t="s">
        <v>922</v>
      </c>
      <c r="BE760" t="s">
        <v>940</v>
      </c>
      <c r="BF760" s="7">
        <v>25</v>
      </c>
      <c r="BG7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60">
        <v>0</v>
      </c>
      <c r="BI760" t="s">
        <v>734</v>
      </c>
      <c r="BJ760" s="11"/>
      <c r="BK760" s="11"/>
      <c r="BL760" s="11">
        <v>42</v>
      </c>
      <c r="BM760">
        <v>0</v>
      </c>
      <c r="BN760" t="s">
        <v>692</v>
      </c>
      <c r="BO760" t="s">
        <v>694</v>
      </c>
      <c r="BP760" t="s">
        <v>701</v>
      </c>
      <c r="BQ760" t="s">
        <v>705</v>
      </c>
      <c r="BR760" t="s">
        <v>706</v>
      </c>
      <c r="BS760" t="s">
        <v>707</v>
      </c>
      <c r="CR760"/>
      <c r="CS760"/>
      <c r="CT760"/>
    </row>
    <row r="761" spans="1:98" x14ac:dyDescent="0.4">
      <c r="A761" s="2" t="s">
        <v>816</v>
      </c>
      <c r="B761" t="str">
        <f>_xlfn.TEXTAFTER(Table1[[#This Row],[VEHIDCODE]],"_")</f>
        <v>Coach_Gen4_InterRegio_Coach</v>
      </c>
      <c r="C761" t="s">
        <v>758</v>
      </c>
      <c r="D761" t="b">
        <f>OR(ISNUMBER(SEARCH("wagon_",Table1[[#This Row],[FILENAMES_EXPECTED]])),ISNUMBER(SEARCH("coach_",Table1[[#This Row],[FILENAMES_EXPECTED]])))</f>
        <v>1</v>
      </c>
      <c r="E761" t="str">
        <f>"item_"&amp;Table1[[#This Row],[VEHIDCODE]]</f>
        <v>item_mu_Coach_Gen4_InterRegio_Coach</v>
      </c>
      <c r="F761" t="str">
        <f>"str_"&amp;Table1[[#This Row],[VEHIDCODE]]</f>
        <v>str_mu_Coach_Gen4_InterRegio_Coach</v>
      </c>
      <c r="O761" s="2" t="b">
        <v>1</v>
      </c>
      <c r="X761" s="2" t="b">
        <v>1</v>
      </c>
      <c r="AG761" s="2" t="b">
        <v>1</v>
      </c>
      <c r="AJ761" s="2"/>
      <c r="AK761" s="2" t="b">
        <f>LEN(_xlfn.CONCAT(Table1[[#This Row],[TRACK_TYPE_STANDARD_GAUGE_RAILTYPE_OHLE]:[TRACK_TYPE_MTRO]]))&gt;0</f>
        <v>1</v>
      </c>
      <c r="AL761">
        <v>8</v>
      </c>
      <c r="AM761" t="s">
        <v>326</v>
      </c>
      <c r="AN761">
        <v>0</v>
      </c>
      <c r="AO761" t="s">
        <v>35</v>
      </c>
      <c r="AP761">
        <v>60</v>
      </c>
      <c r="AQ761">
        <v>1970</v>
      </c>
      <c r="AR761">
        <v>8</v>
      </c>
      <c r="AS761" s="2" t="s">
        <v>480</v>
      </c>
      <c r="AT761" t="b">
        <v>1</v>
      </c>
      <c r="AV761" s="2"/>
      <c r="AW761">
        <v>50</v>
      </c>
      <c r="AX761">
        <v>1</v>
      </c>
      <c r="AY761">
        <v>0</v>
      </c>
      <c r="AZ761" t="s">
        <v>711</v>
      </c>
      <c r="BA761">
        <v>200</v>
      </c>
      <c r="BB761" s="2">
        <v>0.3</v>
      </c>
      <c r="BC761" t="s">
        <v>933</v>
      </c>
      <c r="BD761" t="s">
        <v>922</v>
      </c>
      <c r="BE761" t="s">
        <v>940</v>
      </c>
      <c r="BF761" s="7">
        <v>25</v>
      </c>
      <c r="BG7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61">
        <v>0</v>
      </c>
      <c r="BI761" t="s">
        <v>734</v>
      </c>
      <c r="BJ761" s="11"/>
      <c r="BK761" s="11"/>
      <c r="BL761" s="11">
        <v>42</v>
      </c>
      <c r="BM761">
        <v>0</v>
      </c>
      <c r="BN761" t="s">
        <v>692</v>
      </c>
      <c r="BO761" t="s">
        <v>694</v>
      </c>
      <c r="BP761" t="s">
        <v>701</v>
      </c>
      <c r="BQ761" t="s">
        <v>705</v>
      </c>
      <c r="BR761" t="s">
        <v>706</v>
      </c>
      <c r="BS761" t="s">
        <v>707</v>
      </c>
      <c r="CR761"/>
      <c r="CS761"/>
      <c r="CT761"/>
    </row>
    <row r="762" spans="1:98" x14ac:dyDescent="0.4">
      <c r="A762" s="2" t="s">
        <v>817</v>
      </c>
      <c r="B762" t="str">
        <f>_xlfn.TEXTAFTER(Table1[[#This Row],[VEHIDCODE]],"_")</f>
        <v>Coach_Gen4_Silberling_Commuter_Coach</v>
      </c>
      <c r="C762" t="s">
        <v>758</v>
      </c>
      <c r="D762" t="b">
        <f>OR(ISNUMBER(SEARCH("wagon_",Table1[[#This Row],[FILENAMES_EXPECTED]])),ISNUMBER(SEARCH("coach_",Table1[[#This Row],[FILENAMES_EXPECTED]])))</f>
        <v>1</v>
      </c>
      <c r="E762" t="str">
        <f>"item_"&amp;Table1[[#This Row],[VEHIDCODE]]</f>
        <v>item_mu_Coach_Gen4_Silberling_Commuter_Coach</v>
      </c>
      <c r="F762" t="str">
        <f>"str_"&amp;Table1[[#This Row],[VEHIDCODE]]</f>
        <v>str_mu_Coach_Gen4_Silberling_Commuter_Coach</v>
      </c>
      <c r="O762" s="2" t="b">
        <v>1</v>
      </c>
      <c r="X762" s="2" t="b">
        <v>1</v>
      </c>
      <c r="AG762" s="2" t="b">
        <v>1</v>
      </c>
      <c r="AJ762" s="2"/>
      <c r="AK762" s="2" t="b">
        <f>LEN(_xlfn.CONCAT(Table1[[#This Row],[TRACK_TYPE_STANDARD_GAUGE_RAILTYPE_OHLE]:[TRACK_TYPE_MTRO]]))&gt;0</f>
        <v>1</v>
      </c>
      <c r="AL762">
        <v>8</v>
      </c>
      <c r="AM762" t="s">
        <v>326</v>
      </c>
      <c r="AN762">
        <v>0</v>
      </c>
      <c r="AO762" t="s">
        <v>35</v>
      </c>
      <c r="AP762">
        <v>90</v>
      </c>
      <c r="AQ762">
        <v>1960</v>
      </c>
      <c r="AR762">
        <v>8</v>
      </c>
      <c r="AS762" s="2" t="s">
        <v>24</v>
      </c>
      <c r="AT762" t="b">
        <v>1</v>
      </c>
      <c r="AV762" s="2"/>
      <c r="AW762">
        <v>50</v>
      </c>
      <c r="AX762">
        <v>1</v>
      </c>
      <c r="AY762">
        <v>0</v>
      </c>
      <c r="AZ762" t="s">
        <v>711</v>
      </c>
      <c r="BA762">
        <v>140</v>
      </c>
      <c r="BB762" s="2">
        <v>0.3</v>
      </c>
      <c r="BC762" t="s">
        <v>933</v>
      </c>
      <c r="BD762" t="s">
        <v>922</v>
      </c>
      <c r="BE762" t="s">
        <v>940</v>
      </c>
      <c r="BF762" s="7">
        <v>25</v>
      </c>
      <c r="BG7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62">
        <v>0</v>
      </c>
      <c r="BI762" t="s">
        <v>734</v>
      </c>
      <c r="BJ762" s="11"/>
      <c r="BK762" s="11"/>
      <c r="BL762" s="11">
        <v>28</v>
      </c>
      <c r="BM762">
        <v>0</v>
      </c>
      <c r="BN762" t="s">
        <v>692</v>
      </c>
      <c r="BO762" t="s">
        <v>694</v>
      </c>
      <c r="BP762" t="s">
        <v>701</v>
      </c>
      <c r="BQ762" t="s">
        <v>705</v>
      </c>
      <c r="BR762" t="s">
        <v>706</v>
      </c>
      <c r="BS762" t="s">
        <v>707</v>
      </c>
      <c r="CR762"/>
      <c r="CS762"/>
      <c r="CT762"/>
    </row>
    <row r="763" spans="1:98" x14ac:dyDescent="0.4">
      <c r="A763" s="2" t="s">
        <v>818</v>
      </c>
      <c r="B763" t="str">
        <f>_xlfn.TEXTAFTER(Table1[[#This Row],[VEHIDCODE]],"_")</f>
        <v>Coach_Gen4_Eurofima_Mail_Coach</v>
      </c>
      <c r="C763" t="s">
        <v>758</v>
      </c>
      <c r="D763" t="b">
        <f>OR(ISNUMBER(SEARCH("wagon_",Table1[[#This Row],[FILENAMES_EXPECTED]])),ISNUMBER(SEARCH("coach_",Table1[[#This Row],[FILENAMES_EXPECTED]])))</f>
        <v>1</v>
      </c>
      <c r="E763" t="str">
        <f>"item_"&amp;Table1[[#This Row],[VEHIDCODE]]</f>
        <v>item_mu_Coach_Gen4_Eurofima_Mail_Coach</v>
      </c>
      <c r="F763" t="str">
        <f>"str_"&amp;Table1[[#This Row],[VEHIDCODE]]</f>
        <v>str_mu_Coach_Gen4_Eurofima_Mail_Coach</v>
      </c>
      <c r="O763" s="2" t="b">
        <v>1</v>
      </c>
      <c r="X763" s="2" t="b">
        <v>1</v>
      </c>
      <c r="AG763" s="2" t="b">
        <v>1</v>
      </c>
      <c r="AJ763" s="2"/>
      <c r="AK763" s="2" t="b">
        <f>LEN(_xlfn.CONCAT(Table1[[#This Row],[TRACK_TYPE_STANDARD_GAUGE_RAILTYPE_OHLE]:[TRACK_TYPE_MTRO]]))&gt;0</f>
        <v>1</v>
      </c>
      <c r="AL763">
        <v>8</v>
      </c>
      <c r="AM763" t="s">
        <v>674</v>
      </c>
      <c r="AN763">
        <v>0</v>
      </c>
      <c r="AO763" t="s">
        <v>35</v>
      </c>
      <c r="AP763">
        <v>75</v>
      </c>
      <c r="AQ763">
        <v>1970</v>
      </c>
      <c r="AR763">
        <v>8</v>
      </c>
      <c r="AS763" s="2" t="s">
        <v>675</v>
      </c>
      <c r="AT763" t="b">
        <v>1</v>
      </c>
      <c r="AV763" s="2"/>
      <c r="AW763">
        <v>50</v>
      </c>
      <c r="AX763">
        <v>1</v>
      </c>
      <c r="AY763">
        <v>0</v>
      </c>
      <c r="AZ763" t="s">
        <v>711</v>
      </c>
      <c r="BA763">
        <v>200</v>
      </c>
      <c r="BB763" s="2">
        <v>0.3</v>
      </c>
      <c r="BC763" t="s">
        <v>933</v>
      </c>
      <c r="BD763" t="s">
        <v>922</v>
      </c>
      <c r="BE763" t="s">
        <v>940</v>
      </c>
      <c r="BF763" s="7">
        <v>25</v>
      </c>
      <c r="BG7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63">
        <v>0</v>
      </c>
      <c r="BI763" t="s">
        <v>734</v>
      </c>
      <c r="BJ763" s="11"/>
      <c r="BK763" s="11"/>
      <c r="BL763" s="11">
        <v>42</v>
      </c>
      <c r="BM763">
        <v>0</v>
      </c>
      <c r="BN763" t="s">
        <v>692</v>
      </c>
      <c r="BO763" t="s">
        <v>694</v>
      </c>
      <c r="BP763" t="s">
        <v>701</v>
      </c>
      <c r="BQ763" t="s">
        <v>705</v>
      </c>
      <c r="BR763" t="s">
        <v>706</v>
      </c>
      <c r="BS763" t="s">
        <v>707</v>
      </c>
      <c r="CR763"/>
      <c r="CS763"/>
      <c r="CT763"/>
    </row>
    <row r="764" spans="1:98" x14ac:dyDescent="0.4">
      <c r="A764" s="2" t="s">
        <v>819</v>
      </c>
      <c r="B764" t="str">
        <f>_xlfn.TEXTAFTER(Table1[[#This Row],[VEHIDCODE]],"_")</f>
        <v>Coach_Gen4_Double_Decker_Coach</v>
      </c>
      <c r="C764" t="s">
        <v>758</v>
      </c>
      <c r="D764" t="b">
        <f>OR(ISNUMBER(SEARCH("wagon_",Table1[[#This Row],[FILENAMES_EXPECTED]])),ISNUMBER(SEARCH("coach_",Table1[[#This Row],[FILENAMES_EXPECTED]])))</f>
        <v>1</v>
      </c>
      <c r="E764" t="str">
        <f>"item_"&amp;Table1[[#This Row],[VEHIDCODE]]</f>
        <v>item_mu_Coach_Gen4_Double_Decker_Coach</v>
      </c>
      <c r="F764" t="str">
        <f>"str_"&amp;Table1[[#This Row],[VEHIDCODE]]</f>
        <v>str_mu_Coach_Gen4_Double_Decker_Coach</v>
      </c>
      <c r="O764" s="2" t="b">
        <v>1</v>
      </c>
      <c r="X764" s="2" t="b">
        <v>1</v>
      </c>
      <c r="AG764" s="2" t="b">
        <v>1</v>
      </c>
      <c r="AJ764" s="2"/>
      <c r="AK764" s="2" t="b">
        <f>LEN(_xlfn.CONCAT(Table1[[#This Row],[TRACK_TYPE_STANDARD_GAUGE_RAILTYPE_OHLE]:[TRACK_TYPE_MTRO]]))&gt;0</f>
        <v>1</v>
      </c>
      <c r="AL764">
        <v>8</v>
      </c>
      <c r="AM764" t="s">
        <v>326</v>
      </c>
      <c r="AN764">
        <v>0</v>
      </c>
      <c r="AO764" t="s">
        <v>35</v>
      </c>
      <c r="AP764">
        <v>150</v>
      </c>
      <c r="AQ764">
        <v>1970</v>
      </c>
      <c r="AR764">
        <v>8</v>
      </c>
      <c r="AS764" s="2" t="s">
        <v>480</v>
      </c>
      <c r="AT764" t="b">
        <v>1</v>
      </c>
      <c r="AV764" s="2"/>
      <c r="AW764">
        <v>50</v>
      </c>
      <c r="AX764">
        <v>1</v>
      </c>
      <c r="AY764">
        <v>0</v>
      </c>
      <c r="AZ764" t="s">
        <v>711</v>
      </c>
      <c r="BA764">
        <v>140</v>
      </c>
      <c r="BB764" s="2">
        <v>0.3</v>
      </c>
      <c r="BC764" t="s">
        <v>932</v>
      </c>
      <c r="BD764" t="s">
        <v>931</v>
      </c>
      <c r="BE764" t="s">
        <v>940</v>
      </c>
      <c r="BF764" s="7">
        <v>25</v>
      </c>
      <c r="BG7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64">
        <v>0</v>
      </c>
      <c r="BI764" t="s">
        <v>734</v>
      </c>
      <c r="BJ764" s="11"/>
      <c r="BK764" s="11"/>
      <c r="BL764" s="11">
        <v>48</v>
      </c>
      <c r="BM764">
        <v>0</v>
      </c>
      <c r="BN764" t="s">
        <v>692</v>
      </c>
      <c r="BO764" t="s">
        <v>694</v>
      </c>
      <c r="BP764" t="s">
        <v>701</v>
      </c>
      <c r="BQ764" t="s">
        <v>705</v>
      </c>
      <c r="BR764" t="s">
        <v>706</v>
      </c>
      <c r="BS764" t="s">
        <v>707</v>
      </c>
      <c r="CR764"/>
      <c r="CS764"/>
      <c r="CT764"/>
    </row>
    <row r="765" spans="1:98" x14ac:dyDescent="0.4">
      <c r="A765" s="2" t="s">
        <v>820</v>
      </c>
      <c r="B765" t="str">
        <f>_xlfn.TEXTAFTER(Table1[[#This Row],[VEHIDCODE]],"_")</f>
        <v>Coach_Gen4_Russian_Intercity_Coach</v>
      </c>
      <c r="C765" t="s">
        <v>758</v>
      </c>
      <c r="D765" t="b">
        <f>OR(ISNUMBER(SEARCH("wagon_",Table1[[#This Row],[FILENAMES_EXPECTED]])),ISNUMBER(SEARCH("coach_",Table1[[#This Row],[FILENAMES_EXPECTED]])))</f>
        <v>1</v>
      </c>
      <c r="E765" t="str">
        <f>"item_"&amp;Table1[[#This Row],[VEHIDCODE]]</f>
        <v>item_mu_Coach_Gen4_Russian_Intercity_Coach</v>
      </c>
      <c r="F765" t="str">
        <f>"str_"&amp;Table1[[#This Row],[VEHIDCODE]]</f>
        <v>str_mu_Coach_Gen4_Russian_Intercity_Coach</v>
      </c>
      <c r="O765" s="2" t="b">
        <v>1</v>
      </c>
      <c r="X765" s="2" t="b">
        <v>1</v>
      </c>
      <c r="AG765" s="2" t="b">
        <v>1</v>
      </c>
      <c r="AJ765" s="2"/>
      <c r="AK765" s="2" t="b">
        <f>LEN(_xlfn.CONCAT(Table1[[#This Row],[TRACK_TYPE_STANDARD_GAUGE_RAILTYPE_OHLE]:[TRACK_TYPE_MTRO]]))&gt;0</f>
        <v>1</v>
      </c>
      <c r="AL765">
        <v>8</v>
      </c>
      <c r="AM765" t="s">
        <v>326</v>
      </c>
      <c r="AN765">
        <v>0</v>
      </c>
      <c r="AO765" t="s">
        <v>35</v>
      </c>
      <c r="AP765">
        <v>55</v>
      </c>
      <c r="AQ765">
        <v>1960</v>
      </c>
      <c r="AR765">
        <v>8</v>
      </c>
      <c r="AS765" s="2" t="s">
        <v>480</v>
      </c>
      <c r="AT765" t="b">
        <v>1</v>
      </c>
      <c r="AV765" s="2"/>
      <c r="AW765">
        <v>50</v>
      </c>
      <c r="AX765">
        <v>1</v>
      </c>
      <c r="AY765">
        <v>0</v>
      </c>
      <c r="AZ765" t="s">
        <v>711</v>
      </c>
      <c r="BA765">
        <v>140</v>
      </c>
      <c r="BB765" s="2">
        <v>0.3</v>
      </c>
      <c r="BC765" t="s">
        <v>932</v>
      </c>
      <c r="BD765" t="s">
        <v>931</v>
      </c>
      <c r="BE765" t="s">
        <v>940</v>
      </c>
      <c r="BF765" s="7">
        <v>25</v>
      </c>
      <c r="BG7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65">
        <v>0</v>
      </c>
      <c r="BI765" t="s">
        <v>734</v>
      </c>
      <c r="BJ765" s="11"/>
      <c r="BK765" s="11"/>
      <c r="BL765" s="11">
        <v>55</v>
      </c>
      <c r="BM765">
        <v>0</v>
      </c>
      <c r="BN765" t="s">
        <v>692</v>
      </c>
      <c r="BO765" t="s">
        <v>694</v>
      </c>
      <c r="BP765" t="s">
        <v>701</v>
      </c>
      <c r="BQ765" t="s">
        <v>705</v>
      </c>
      <c r="BR765" t="s">
        <v>706</v>
      </c>
      <c r="BS765" t="s">
        <v>707</v>
      </c>
      <c r="CR765"/>
      <c r="CS765"/>
      <c r="CT765"/>
    </row>
    <row r="766" spans="1:98" x14ac:dyDescent="0.4">
      <c r="A766" s="2" t="s">
        <v>821</v>
      </c>
      <c r="B766" t="str">
        <f>_xlfn.TEXTAFTER(Table1[[#This Row],[VEHIDCODE]],"_")</f>
        <v>Coach_Gen4_Russian_Regional_Coach</v>
      </c>
      <c r="C766" t="s">
        <v>758</v>
      </c>
      <c r="D766" t="b">
        <f>OR(ISNUMBER(SEARCH("wagon_",Table1[[#This Row],[FILENAMES_EXPECTED]])),ISNUMBER(SEARCH("coach_",Table1[[#This Row],[FILENAMES_EXPECTED]])))</f>
        <v>1</v>
      </c>
      <c r="E766" t="str">
        <f>"item_"&amp;Table1[[#This Row],[VEHIDCODE]]</f>
        <v>item_mu_Coach_Gen4_Russian_Regional_Coach</v>
      </c>
      <c r="F766" t="str">
        <f>"str_"&amp;Table1[[#This Row],[VEHIDCODE]]</f>
        <v>str_mu_Coach_Gen4_Russian_Regional_Coach</v>
      </c>
      <c r="O766" s="2" t="b">
        <v>1</v>
      </c>
      <c r="X766" s="2" t="b">
        <v>1</v>
      </c>
      <c r="AG766" s="2" t="b">
        <v>1</v>
      </c>
      <c r="AJ766" s="2"/>
      <c r="AK766" s="2" t="b">
        <f>LEN(_xlfn.CONCAT(Table1[[#This Row],[TRACK_TYPE_STANDARD_GAUGE_RAILTYPE_OHLE]:[TRACK_TYPE_MTRO]]))&gt;0</f>
        <v>1</v>
      </c>
      <c r="AL766">
        <v>8</v>
      </c>
      <c r="AM766" t="s">
        <v>326</v>
      </c>
      <c r="AN766">
        <v>0</v>
      </c>
      <c r="AO766" t="s">
        <v>35</v>
      </c>
      <c r="AP766">
        <v>90</v>
      </c>
      <c r="AQ766">
        <v>1960</v>
      </c>
      <c r="AR766">
        <v>8</v>
      </c>
      <c r="AS766" s="2" t="s">
        <v>480</v>
      </c>
      <c r="AT766" t="b">
        <v>1</v>
      </c>
      <c r="AV766" s="2"/>
      <c r="AW766">
        <v>50</v>
      </c>
      <c r="AX766">
        <v>1</v>
      </c>
      <c r="AY766">
        <v>0</v>
      </c>
      <c r="AZ766" t="s">
        <v>711</v>
      </c>
      <c r="BA766">
        <v>130</v>
      </c>
      <c r="BB766" s="2">
        <v>0.3</v>
      </c>
      <c r="BC766" t="s">
        <v>932</v>
      </c>
      <c r="BD766" t="s">
        <v>931</v>
      </c>
      <c r="BE766" t="s">
        <v>940</v>
      </c>
      <c r="BF766" s="7">
        <v>25</v>
      </c>
      <c r="BG7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66">
        <v>0</v>
      </c>
      <c r="BI766" t="s">
        <v>734</v>
      </c>
      <c r="BJ766" s="11"/>
      <c r="BK766" s="11"/>
      <c r="BL766" s="11">
        <v>45</v>
      </c>
      <c r="BM766">
        <v>0</v>
      </c>
      <c r="BN766" t="s">
        <v>692</v>
      </c>
      <c r="BO766" t="s">
        <v>694</v>
      </c>
      <c r="BP766" t="s">
        <v>701</v>
      </c>
      <c r="BQ766" t="s">
        <v>705</v>
      </c>
      <c r="BR766" t="s">
        <v>706</v>
      </c>
      <c r="BS766" t="s">
        <v>707</v>
      </c>
      <c r="CR766"/>
      <c r="CS766"/>
      <c r="CT766"/>
    </row>
    <row r="767" spans="1:98" x14ac:dyDescent="0.4">
      <c r="A767" s="2" t="s">
        <v>822</v>
      </c>
      <c r="B767" t="str">
        <f>_xlfn.TEXTAFTER(Table1[[#This Row],[VEHIDCODE]],"_")</f>
        <v>Coach_Gen4_Russian_Mail_Coach</v>
      </c>
      <c r="C767" t="s">
        <v>758</v>
      </c>
      <c r="D767" t="b">
        <f>OR(ISNUMBER(SEARCH("wagon_",Table1[[#This Row],[FILENAMES_EXPECTED]])),ISNUMBER(SEARCH("coach_",Table1[[#This Row],[FILENAMES_EXPECTED]])))</f>
        <v>1</v>
      </c>
      <c r="E767" t="str">
        <f>"item_"&amp;Table1[[#This Row],[VEHIDCODE]]</f>
        <v>item_mu_Coach_Gen4_Russian_Mail_Coach</v>
      </c>
      <c r="F767" t="str">
        <f>"str_"&amp;Table1[[#This Row],[VEHIDCODE]]</f>
        <v>str_mu_Coach_Gen4_Russian_Mail_Coach</v>
      </c>
      <c r="O767" s="2" t="b">
        <v>1</v>
      </c>
      <c r="X767" s="2" t="b">
        <v>1</v>
      </c>
      <c r="AG767" s="2" t="b">
        <v>1</v>
      </c>
      <c r="AJ767" s="2"/>
      <c r="AK767" s="2" t="b">
        <f>LEN(_xlfn.CONCAT(Table1[[#This Row],[TRACK_TYPE_STANDARD_GAUGE_RAILTYPE_OHLE]:[TRACK_TYPE_MTRO]]))&gt;0</f>
        <v>1</v>
      </c>
      <c r="AL767">
        <v>8</v>
      </c>
      <c r="AM767" t="s">
        <v>674</v>
      </c>
      <c r="AN767">
        <v>0</v>
      </c>
      <c r="AO767" t="s">
        <v>35</v>
      </c>
      <c r="AP767">
        <v>80</v>
      </c>
      <c r="AQ767">
        <v>1960</v>
      </c>
      <c r="AR767">
        <v>8</v>
      </c>
      <c r="AS767" s="2" t="s">
        <v>675</v>
      </c>
      <c r="AT767" t="b">
        <v>1</v>
      </c>
      <c r="AV767" s="2"/>
      <c r="AW767">
        <v>50</v>
      </c>
      <c r="AX767">
        <v>1</v>
      </c>
      <c r="AY767">
        <v>0</v>
      </c>
      <c r="AZ767" t="s">
        <v>711</v>
      </c>
      <c r="BA767">
        <v>160</v>
      </c>
      <c r="BB767" s="2">
        <v>0.3</v>
      </c>
      <c r="BC767" t="s">
        <v>932</v>
      </c>
      <c r="BD767" t="s">
        <v>931</v>
      </c>
      <c r="BE767" t="s">
        <v>940</v>
      </c>
      <c r="BF767" s="7">
        <v>25</v>
      </c>
      <c r="BG7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67">
        <v>0</v>
      </c>
      <c r="BI767" t="s">
        <v>734</v>
      </c>
      <c r="BJ767" s="11"/>
      <c r="BK767" s="11"/>
      <c r="BL767" s="11">
        <v>46</v>
      </c>
      <c r="BM767">
        <v>0</v>
      </c>
      <c r="BN767" t="s">
        <v>692</v>
      </c>
      <c r="BO767" t="s">
        <v>694</v>
      </c>
      <c r="BP767" t="s">
        <v>701</v>
      </c>
      <c r="BQ767" t="s">
        <v>705</v>
      </c>
      <c r="BR767" t="s">
        <v>706</v>
      </c>
      <c r="BS767" t="s">
        <v>707</v>
      </c>
      <c r="CR767"/>
      <c r="CS767"/>
      <c r="CT767"/>
    </row>
    <row r="768" spans="1:98" x14ac:dyDescent="0.4">
      <c r="A768" s="2" t="s">
        <v>823</v>
      </c>
      <c r="B768" t="str">
        <f>_xlfn.TEXTAFTER(Table1[[#This Row],[VEHIDCODE]],"_")</f>
        <v>Coach_Gen4_Superliner_Coach</v>
      </c>
      <c r="C768" t="s">
        <v>758</v>
      </c>
      <c r="D768" t="b">
        <f>OR(ISNUMBER(SEARCH("wagon_",Table1[[#This Row],[FILENAMES_EXPECTED]])),ISNUMBER(SEARCH("coach_",Table1[[#This Row],[FILENAMES_EXPECTED]])))</f>
        <v>1</v>
      </c>
      <c r="E768" t="str">
        <f>"item_"&amp;Table1[[#This Row],[VEHIDCODE]]</f>
        <v>item_mu_Coach_Gen4_Superliner_Coach</v>
      </c>
      <c r="F768" t="str">
        <f>"str_"&amp;Table1[[#This Row],[VEHIDCODE]]</f>
        <v>str_mu_Coach_Gen4_Superliner_Coach</v>
      </c>
      <c r="O768" s="2" t="b">
        <v>1</v>
      </c>
      <c r="X768" s="2" t="b">
        <v>1</v>
      </c>
      <c r="AG768" s="2" t="b">
        <v>1</v>
      </c>
      <c r="AJ768" s="2"/>
      <c r="AK768" s="2" t="b">
        <f>LEN(_xlfn.CONCAT(Table1[[#This Row],[TRACK_TYPE_STANDARD_GAUGE_RAILTYPE_OHLE]:[TRACK_TYPE_MTRO]]))&gt;0</f>
        <v>1</v>
      </c>
      <c r="AL768">
        <v>8</v>
      </c>
      <c r="AM768" t="s">
        <v>326</v>
      </c>
      <c r="AN768">
        <v>0</v>
      </c>
      <c r="AO768" t="s">
        <v>35</v>
      </c>
      <c r="AP768">
        <v>96</v>
      </c>
      <c r="AQ768">
        <v>1980</v>
      </c>
      <c r="AR768">
        <v>8</v>
      </c>
      <c r="AS768" s="2" t="s">
        <v>480</v>
      </c>
      <c r="AT768" t="b">
        <v>1</v>
      </c>
      <c r="AV768" s="2"/>
      <c r="AW768">
        <v>50</v>
      </c>
      <c r="AX768">
        <v>1</v>
      </c>
      <c r="AY768">
        <v>0</v>
      </c>
      <c r="AZ768" t="s">
        <v>711</v>
      </c>
      <c r="BA768">
        <v>160</v>
      </c>
      <c r="BB768" s="2">
        <v>0.3</v>
      </c>
      <c r="BC768" t="s">
        <v>935</v>
      </c>
      <c r="BD768" t="s">
        <v>925</v>
      </c>
      <c r="BE768" t="s">
        <v>940</v>
      </c>
      <c r="BF768" s="7">
        <v>25</v>
      </c>
      <c r="BG7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68">
        <v>0</v>
      </c>
      <c r="BI768" t="s">
        <v>734</v>
      </c>
      <c r="BJ768" s="11"/>
      <c r="BK768" s="11"/>
      <c r="BL768" s="11">
        <v>67</v>
      </c>
      <c r="BM768">
        <v>0</v>
      </c>
      <c r="BN768" t="s">
        <v>692</v>
      </c>
      <c r="BO768" t="s">
        <v>694</v>
      </c>
      <c r="BP768" t="s">
        <v>701</v>
      </c>
      <c r="BQ768" t="s">
        <v>705</v>
      </c>
      <c r="BR768" t="s">
        <v>706</v>
      </c>
      <c r="BS768" t="s">
        <v>707</v>
      </c>
      <c r="CR768"/>
      <c r="CS768"/>
      <c r="CT768"/>
    </row>
    <row r="769" spans="1:98" x14ac:dyDescent="0.4">
      <c r="A769" s="2" t="s">
        <v>824</v>
      </c>
      <c r="B769" t="str">
        <f>_xlfn.TEXTAFTER(Table1[[#This Row],[VEHIDCODE]],"_")</f>
        <v>Coach_Gen4_Superliner_California</v>
      </c>
      <c r="C769" t="s">
        <v>758</v>
      </c>
      <c r="D769" t="b">
        <f>OR(ISNUMBER(SEARCH("wagon_",Table1[[#This Row],[FILENAMES_EXPECTED]])),ISNUMBER(SEARCH("coach_",Table1[[#This Row],[FILENAMES_EXPECTED]])))</f>
        <v>1</v>
      </c>
      <c r="E769" t="str">
        <f>"item_"&amp;Table1[[#This Row],[VEHIDCODE]]</f>
        <v>item_mu_Coach_Gen4_Superliner_California</v>
      </c>
      <c r="F769" t="str">
        <f>"str_"&amp;Table1[[#This Row],[VEHIDCODE]]</f>
        <v>str_mu_Coach_Gen4_Superliner_California</v>
      </c>
      <c r="O769" s="2" t="b">
        <v>1</v>
      </c>
      <c r="X769" s="2" t="b">
        <v>1</v>
      </c>
      <c r="AG769" s="2" t="b">
        <v>1</v>
      </c>
      <c r="AJ769" s="2"/>
      <c r="AK769" s="2" t="b">
        <f>LEN(_xlfn.CONCAT(Table1[[#This Row],[TRACK_TYPE_STANDARD_GAUGE_RAILTYPE_OHLE]:[TRACK_TYPE_MTRO]]))&gt;0</f>
        <v>1</v>
      </c>
      <c r="AL769">
        <v>8</v>
      </c>
      <c r="AM769" t="s">
        <v>326</v>
      </c>
      <c r="AN769">
        <v>0</v>
      </c>
      <c r="AO769" t="s">
        <v>35</v>
      </c>
      <c r="AP769">
        <v>80</v>
      </c>
      <c r="AQ769">
        <v>1990</v>
      </c>
      <c r="AR769">
        <v>8</v>
      </c>
      <c r="AS769" s="2" t="s">
        <v>480</v>
      </c>
      <c r="AT769" t="b">
        <v>1</v>
      </c>
      <c r="AV769" s="2"/>
      <c r="AW769">
        <v>50</v>
      </c>
      <c r="AX769">
        <v>1</v>
      </c>
      <c r="AY769">
        <v>0</v>
      </c>
      <c r="AZ769" t="s">
        <v>711</v>
      </c>
      <c r="BA769">
        <v>200</v>
      </c>
      <c r="BB769" s="2">
        <v>0.3</v>
      </c>
      <c r="BC769" t="s">
        <v>935</v>
      </c>
      <c r="BD769" t="s">
        <v>925</v>
      </c>
      <c r="BE769" t="s">
        <v>940</v>
      </c>
      <c r="BF769" s="7">
        <v>25</v>
      </c>
      <c r="BG7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69">
        <v>0</v>
      </c>
      <c r="BI769" t="s">
        <v>734</v>
      </c>
      <c r="BJ769" s="11"/>
      <c r="BK769" s="11"/>
      <c r="BL769" s="11">
        <v>67</v>
      </c>
      <c r="BM769">
        <v>0</v>
      </c>
      <c r="BN769" t="s">
        <v>692</v>
      </c>
      <c r="BO769" t="s">
        <v>694</v>
      </c>
      <c r="BP769" t="s">
        <v>701</v>
      </c>
      <c r="BQ769" t="s">
        <v>705</v>
      </c>
      <c r="BR769" t="s">
        <v>706</v>
      </c>
      <c r="BS769" t="s">
        <v>707</v>
      </c>
      <c r="CR769"/>
      <c r="CS769"/>
      <c r="CT769"/>
    </row>
    <row r="770" spans="1:98" x14ac:dyDescent="0.4">
      <c r="A770" s="2" t="s">
        <v>825</v>
      </c>
      <c r="B770" t="str">
        <f>_xlfn.TEXTAFTER(Table1[[#This Row],[VEHIDCODE]],"_")</f>
        <v>Coach_Gen4_Amfleet_Regional_Coach</v>
      </c>
      <c r="C770" t="s">
        <v>758</v>
      </c>
      <c r="D770" t="b">
        <f>OR(ISNUMBER(SEARCH("wagon_",Table1[[#This Row],[FILENAMES_EXPECTED]])),ISNUMBER(SEARCH("coach_",Table1[[#This Row],[FILENAMES_EXPECTED]])))</f>
        <v>1</v>
      </c>
      <c r="E770" t="str">
        <f>"item_"&amp;Table1[[#This Row],[VEHIDCODE]]</f>
        <v>item_mu_Coach_Gen4_Amfleet_Regional_Coach</v>
      </c>
      <c r="F770" t="str">
        <f>"str_"&amp;Table1[[#This Row],[VEHIDCODE]]</f>
        <v>str_mu_Coach_Gen4_Amfleet_Regional_Coach</v>
      </c>
      <c r="O770" s="2" t="b">
        <v>1</v>
      </c>
      <c r="X770" s="2" t="b">
        <v>1</v>
      </c>
      <c r="AG770" s="2" t="b">
        <v>1</v>
      </c>
      <c r="AJ770" s="2"/>
      <c r="AK770" s="2" t="b">
        <f>LEN(_xlfn.CONCAT(Table1[[#This Row],[TRACK_TYPE_STANDARD_GAUGE_RAILTYPE_OHLE]:[TRACK_TYPE_MTRO]]))&gt;0</f>
        <v>1</v>
      </c>
      <c r="AL770">
        <v>8</v>
      </c>
      <c r="AM770" t="s">
        <v>326</v>
      </c>
      <c r="AN770">
        <v>0</v>
      </c>
      <c r="AO770" t="s">
        <v>35</v>
      </c>
      <c r="AP770">
        <v>84</v>
      </c>
      <c r="AQ770">
        <v>1970</v>
      </c>
      <c r="AR770">
        <v>8</v>
      </c>
      <c r="AS770" s="2" t="s">
        <v>480</v>
      </c>
      <c r="AT770" t="b">
        <v>1</v>
      </c>
      <c r="AV770" s="2"/>
      <c r="AW770">
        <v>60</v>
      </c>
      <c r="AX770">
        <v>1</v>
      </c>
      <c r="AY770">
        <v>0</v>
      </c>
      <c r="AZ770" t="s">
        <v>711</v>
      </c>
      <c r="BA770">
        <v>200</v>
      </c>
      <c r="BB770" s="2">
        <v>0.3</v>
      </c>
      <c r="BC770" t="s">
        <v>935</v>
      </c>
      <c r="BD770" t="s">
        <v>925</v>
      </c>
      <c r="BE770" t="s">
        <v>940</v>
      </c>
      <c r="BF770" s="7">
        <v>25</v>
      </c>
      <c r="BG7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70">
        <v>0</v>
      </c>
      <c r="BI770" t="s">
        <v>734</v>
      </c>
      <c r="BJ770" s="11"/>
      <c r="BK770" s="11"/>
      <c r="BL770" s="11">
        <v>50</v>
      </c>
      <c r="BM770">
        <v>0</v>
      </c>
      <c r="BN770" t="s">
        <v>692</v>
      </c>
      <c r="BO770" t="s">
        <v>694</v>
      </c>
      <c r="BP770" t="s">
        <v>701</v>
      </c>
      <c r="BQ770" t="s">
        <v>705</v>
      </c>
      <c r="BR770" t="s">
        <v>706</v>
      </c>
      <c r="BS770" t="s">
        <v>707</v>
      </c>
      <c r="CR770"/>
      <c r="CS770"/>
      <c r="CT770"/>
    </row>
    <row r="771" spans="1:98" x14ac:dyDescent="0.4">
      <c r="A771" s="2" t="s">
        <v>826</v>
      </c>
      <c r="B771" t="str">
        <f>_xlfn.TEXTAFTER(Table1[[#This Row],[VEHIDCODE]],"_")</f>
        <v>Coach_Gen4_Amfleet_Intercity_Coach</v>
      </c>
      <c r="C771" t="s">
        <v>758</v>
      </c>
      <c r="D771" t="b">
        <f>OR(ISNUMBER(SEARCH("wagon_",Table1[[#This Row],[FILENAMES_EXPECTED]])),ISNUMBER(SEARCH("coach_",Table1[[#This Row],[FILENAMES_EXPECTED]])))</f>
        <v>1</v>
      </c>
      <c r="E771" t="str">
        <f>"item_"&amp;Table1[[#This Row],[VEHIDCODE]]</f>
        <v>item_mu_Coach_Gen4_Amfleet_Intercity_Coach</v>
      </c>
      <c r="F771" t="str">
        <f>"str_"&amp;Table1[[#This Row],[VEHIDCODE]]</f>
        <v>str_mu_Coach_Gen4_Amfleet_Intercity_Coach</v>
      </c>
      <c r="O771" s="2" t="b">
        <v>1</v>
      </c>
      <c r="X771" s="2" t="b">
        <v>1</v>
      </c>
      <c r="AG771" s="2" t="b">
        <v>1</v>
      </c>
      <c r="AJ771" s="2"/>
      <c r="AK771" s="2" t="b">
        <f>LEN(_xlfn.CONCAT(Table1[[#This Row],[TRACK_TYPE_STANDARD_GAUGE_RAILTYPE_OHLE]:[TRACK_TYPE_MTRO]]))&gt;0</f>
        <v>1</v>
      </c>
      <c r="AL771">
        <v>8</v>
      </c>
      <c r="AM771" t="s">
        <v>326</v>
      </c>
      <c r="AN771">
        <v>0</v>
      </c>
      <c r="AO771" t="s">
        <v>35</v>
      </c>
      <c r="AP771">
        <v>60</v>
      </c>
      <c r="AQ771">
        <v>1970</v>
      </c>
      <c r="AR771">
        <v>8</v>
      </c>
      <c r="AS771" s="2" t="s">
        <v>480</v>
      </c>
      <c r="AT771" t="b">
        <v>1</v>
      </c>
      <c r="AV771" s="2"/>
      <c r="AW771">
        <v>60</v>
      </c>
      <c r="AX771">
        <v>1</v>
      </c>
      <c r="AY771">
        <v>0</v>
      </c>
      <c r="AZ771" t="s">
        <v>711</v>
      </c>
      <c r="BA771">
        <v>200</v>
      </c>
      <c r="BB771" s="2">
        <v>0.3</v>
      </c>
      <c r="BC771" t="s">
        <v>935</v>
      </c>
      <c r="BD771" t="s">
        <v>925</v>
      </c>
      <c r="BE771" t="s">
        <v>940</v>
      </c>
      <c r="BF771" s="7">
        <v>25</v>
      </c>
      <c r="BG7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71">
        <v>0</v>
      </c>
      <c r="BI771" t="s">
        <v>734</v>
      </c>
      <c r="BJ771" s="11"/>
      <c r="BK771" s="11"/>
      <c r="BL771" s="11">
        <v>50</v>
      </c>
      <c r="BM771">
        <v>0</v>
      </c>
      <c r="BN771" t="s">
        <v>692</v>
      </c>
      <c r="BO771" t="s">
        <v>694</v>
      </c>
      <c r="BP771" t="s">
        <v>701</v>
      </c>
      <c r="BQ771" t="s">
        <v>705</v>
      </c>
      <c r="BR771" t="s">
        <v>706</v>
      </c>
      <c r="BS771" t="s">
        <v>707</v>
      </c>
      <c r="CR771"/>
      <c r="CS771"/>
      <c r="CT771"/>
    </row>
    <row r="772" spans="1:98" x14ac:dyDescent="0.4">
      <c r="A772" s="2" t="s">
        <v>827</v>
      </c>
      <c r="B772" t="str">
        <f>_xlfn.TEXTAFTER(Table1[[#This Row],[VEHIDCODE]],"_")</f>
        <v>Coach_Gen4_Comet_Commuter_Coach</v>
      </c>
      <c r="C772" t="s">
        <v>758</v>
      </c>
      <c r="D772" t="b">
        <f>OR(ISNUMBER(SEARCH("wagon_",Table1[[#This Row],[FILENAMES_EXPECTED]])),ISNUMBER(SEARCH("coach_",Table1[[#This Row],[FILENAMES_EXPECTED]])))</f>
        <v>1</v>
      </c>
      <c r="E772" t="str">
        <f>"item_"&amp;Table1[[#This Row],[VEHIDCODE]]</f>
        <v>item_mu_Coach_Gen4_Comet_Commuter_Coach</v>
      </c>
      <c r="F772" t="str">
        <f>"str_"&amp;Table1[[#This Row],[VEHIDCODE]]</f>
        <v>str_mu_Coach_Gen4_Comet_Commuter_Coach</v>
      </c>
      <c r="O772" s="2" t="b">
        <v>1</v>
      </c>
      <c r="X772" s="2" t="b">
        <v>1</v>
      </c>
      <c r="AG772" s="2" t="b">
        <v>1</v>
      </c>
      <c r="AJ772" s="2"/>
      <c r="AK772" s="2" t="b">
        <f>LEN(_xlfn.CONCAT(Table1[[#This Row],[TRACK_TYPE_STANDARD_GAUGE_RAILTYPE_OHLE]:[TRACK_TYPE_MTRO]]))&gt;0</f>
        <v>1</v>
      </c>
      <c r="AL772">
        <v>8</v>
      </c>
      <c r="AM772" t="s">
        <v>326</v>
      </c>
      <c r="AN772">
        <v>0</v>
      </c>
      <c r="AO772" t="s">
        <v>35</v>
      </c>
      <c r="AP772">
        <v>105</v>
      </c>
      <c r="AQ772">
        <v>1970</v>
      </c>
      <c r="AR772">
        <v>8</v>
      </c>
      <c r="AS772" s="2" t="s">
        <v>24</v>
      </c>
      <c r="AT772" t="b">
        <v>1</v>
      </c>
      <c r="AV772" s="2"/>
      <c r="AW772">
        <v>60</v>
      </c>
      <c r="AX772">
        <v>1</v>
      </c>
      <c r="AY772">
        <v>0</v>
      </c>
      <c r="AZ772" t="s">
        <v>711</v>
      </c>
      <c r="BA772">
        <v>128</v>
      </c>
      <c r="BB772" s="2">
        <v>0.3</v>
      </c>
      <c r="BC772" t="s">
        <v>935</v>
      </c>
      <c r="BD772" t="s">
        <v>925</v>
      </c>
      <c r="BE772" t="s">
        <v>940</v>
      </c>
      <c r="BF772" s="7">
        <v>25</v>
      </c>
      <c r="BG7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72">
        <v>0</v>
      </c>
      <c r="BI772" t="s">
        <v>734</v>
      </c>
      <c r="BJ772" s="11"/>
      <c r="BK772" s="11"/>
      <c r="BL772" s="11">
        <v>34</v>
      </c>
      <c r="BM772">
        <v>0</v>
      </c>
      <c r="BN772" t="s">
        <v>692</v>
      </c>
      <c r="BO772" t="s">
        <v>694</v>
      </c>
      <c r="BP772" t="s">
        <v>701</v>
      </c>
      <c r="BQ772" t="s">
        <v>705</v>
      </c>
      <c r="BR772" t="s">
        <v>706</v>
      </c>
      <c r="BS772" t="s">
        <v>707</v>
      </c>
      <c r="CR772"/>
      <c r="CS772"/>
      <c r="CT772"/>
    </row>
    <row r="773" spans="1:98" x14ac:dyDescent="0.4">
      <c r="A773" s="2" t="s">
        <v>828</v>
      </c>
      <c r="B773" t="str">
        <f>_xlfn.TEXTAFTER(Table1[[#This Row],[VEHIDCODE]],"_")</f>
        <v>Coach_Gen4_Horizon_Regional_Coach</v>
      </c>
      <c r="C773" t="s">
        <v>758</v>
      </c>
      <c r="D773" t="b">
        <f>OR(ISNUMBER(SEARCH("wagon_",Table1[[#This Row],[FILENAMES_EXPECTED]])),ISNUMBER(SEARCH("coach_",Table1[[#This Row],[FILENAMES_EXPECTED]])))</f>
        <v>1</v>
      </c>
      <c r="E773" t="str">
        <f>"item_"&amp;Table1[[#This Row],[VEHIDCODE]]</f>
        <v>item_mu_Coach_Gen4_Horizon_Regional_Coach</v>
      </c>
      <c r="F773" t="str">
        <f>"str_"&amp;Table1[[#This Row],[VEHIDCODE]]</f>
        <v>str_mu_Coach_Gen4_Horizon_Regional_Coach</v>
      </c>
      <c r="O773" s="2" t="b">
        <v>1</v>
      </c>
      <c r="X773" s="2" t="b">
        <v>1</v>
      </c>
      <c r="AG773" s="2" t="b">
        <v>1</v>
      </c>
      <c r="AJ773" s="2"/>
      <c r="AK773" s="2" t="b">
        <f>LEN(_xlfn.CONCAT(Table1[[#This Row],[TRACK_TYPE_STANDARD_GAUGE_RAILTYPE_OHLE]:[TRACK_TYPE_MTRO]]))&gt;0</f>
        <v>1</v>
      </c>
      <c r="AL773">
        <v>8</v>
      </c>
      <c r="AM773" t="s">
        <v>326</v>
      </c>
      <c r="AN773">
        <v>0</v>
      </c>
      <c r="AO773" t="s">
        <v>35</v>
      </c>
      <c r="AP773">
        <v>70</v>
      </c>
      <c r="AQ773">
        <v>1970</v>
      </c>
      <c r="AR773">
        <v>8</v>
      </c>
      <c r="AS773" s="2" t="s">
        <v>480</v>
      </c>
      <c r="AT773" t="b">
        <v>1</v>
      </c>
      <c r="AV773" s="2"/>
      <c r="AW773">
        <v>60</v>
      </c>
      <c r="AX773">
        <v>1</v>
      </c>
      <c r="AY773">
        <v>0</v>
      </c>
      <c r="AZ773" t="s">
        <v>711</v>
      </c>
      <c r="BA773">
        <v>177</v>
      </c>
      <c r="BB773" s="2">
        <v>0.3</v>
      </c>
      <c r="BC773" t="s">
        <v>935</v>
      </c>
      <c r="BD773" t="s">
        <v>925</v>
      </c>
      <c r="BE773" t="s">
        <v>940</v>
      </c>
      <c r="BF773" s="7">
        <v>25</v>
      </c>
      <c r="BG7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73">
        <v>0</v>
      </c>
      <c r="BI773" t="s">
        <v>734</v>
      </c>
      <c r="BJ773" s="11"/>
      <c r="BK773" s="11"/>
      <c r="BL773" s="11">
        <v>51</v>
      </c>
      <c r="BM773">
        <v>0</v>
      </c>
      <c r="BN773" t="s">
        <v>692</v>
      </c>
      <c r="BO773" t="s">
        <v>694</v>
      </c>
      <c r="BP773" t="s">
        <v>701</v>
      </c>
      <c r="BQ773" t="s">
        <v>705</v>
      </c>
      <c r="BR773" t="s">
        <v>706</v>
      </c>
      <c r="BS773" t="s">
        <v>707</v>
      </c>
      <c r="CR773"/>
      <c r="CS773"/>
      <c r="CT773"/>
    </row>
    <row r="774" spans="1:98" x14ac:dyDescent="0.4">
      <c r="A774" s="2" t="s">
        <v>829</v>
      </c>
      <c r="B774" t="str">
        <f>_xlfn.TEXTAFTER(Table1[[#This Row],[VEHIDCODE]],"_")</f>
        <v>Coach_Gen4_Horizon_Baggage_Coach</v>
      </c>
      <c r="C774" t="s">
        <v>758</v>
      </c>
      <c r="D774" t="b">
        <f>OR(ISNUMBER(SEARCH("wagon_",Table1[[#This Row],[FILENAMES_EXPECTED]])),ISNUMBER(SEARCH("coach_",Table1[[#This Row],[FILENAMES_EXPECTED]])))</f>
        <v>1</v>
      </c>
      <c r="E774" t="str">
        <f>"item_"&amp;Table1[[#This Row],[VEHIDCODE]]</f>
        <v>item_mu_Coach_Gen4_Horizon_Baggage_Coach</v>
      </c>
      <c r="F774" t="str">
        <f>"str_"&amp;Table1[[#This Row],[VEHIDCODE]]</f>
        <v>str_mu_Coach_Gen4_Horizon_Baggage_Coach</v>
      </c>
      <c r="O774" s="2" t="b">
        <v>1</v>
      </c>
      <c r="X774" s="2" t="b">
        <v>1</v>
      </c>
      <c r="AG774" s="2" t="b">
        <v>1</v>
      </c>
      <c r="AJ774" s="2"/>
      <c r="AK774" s="2" t="b">
        <f>LEN(_xlfn.CONCAT(Table1[[#This Row],[TRACK_TYPE_STANDARD_GAUGE_RAILTYPE_OHLE]:[TRACK_TYPE_MTRO]]))&gt;0</f>
        <v>1</v>
      </c>
      <c r="AL774">
        <v>8</v>
      </c>
      <c r="AM774" t="s">
        <v>674</v>
      </c>
      <c r="AN774">
        <v>0</v>
      </c>
      <c r="AO774" t="s">
        <v>35</v>
      </c>
      <c r="AP774">
        <v>90</v>
      </c>
      <c r="AQ774">
        <v>1970</v>
      </c>
      <c r="AR774">
        <v>8</v>
      </c>
      <c r="AS774" s="2" t="s">
        <v>675</v>
      </c>
      <c r="AT774" t="b">
        <v>1</v>
      </c>
      <c r="AV774" s="2"/>
      <c r="AW774">
        <v>60</v>
      </c>
      <c r="AX774">
        <v>1</v>
      </c>
      <c r="AY774">
        <v>0</v>
      </c>
      <c r="AZ774" t="s">
        <v>711</v>
      </c>
      <c r="BA774">
        <v>177</v>
      </c>
      <c r="BB774" s="2">
        <v>0.3</v>
      </c>
      <c r="BC774" t="s">
        <v>935</v>
      </c>
      <c r="BD774" t="s">
        <v>925</v>
      </c>
      <c r="BE774" t="s">
        <v>940</v>
      </c>
      <c r="BF774" s="7">
        <v>25</v>
      </c>
      <c r="BG7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74">
        <v>0</v>
      </c>
      <c r="BI774" t="s">
        <v>734</v>
      </c>
      <c r="BJ774" s="11"/>
      <c r="BK774" s="11"/>
      <c r="BL774" s="11">
        <v>50</v>
      </c>
      <c r="BM774">
        <v>0</v>
      </c>
      <c r="BN774" t="s">
        <v>692</v>
      </c>
      <c r="BO774" t="s">
        <v>694</v>
      </c>
      <c r="BP774" t="s">
        <v>701</v>
      </c>
      <c r="BQ774" t="s">
        <v>705</v>
      </c>
      <c r="BR774" t="s">
        <v>706</v>
      </c>
      <c r="BS774" t="s">
        <v>707</v>
      </c>
      <c r="CR774"/>
      <c r="CS774"/>
      <c r="CT774"/>
    </row>
    <row r="775" spans="1:98" x14ac:dyDescent="0.4">
      <c r="A775" s="2" t="s">
        <v>830</v>
      </c>
      <c r="B775" t="str">
        <f>_xlfn.TEXTAFTER(Table1[[#This Row],[VEHIDCODE]],"_")</f>
        <v>Coach_Gen4_Bombardier_Bi_level</v>
      </c>
      <c r="C775" t="s">
        <v>758</v>
      </c>
      <c r="D775" t="b">
        <f>OR(ISNUMBER(SEARCH("wagon_",Table1[[#This Row],[FILENAMES_EXPECTED]])),ISNUMBER(SEARCH("coach_",Table1[[#This Row],[FILENAMES_EXPECTED]])))</f>
        <v>1</v>
      </c>
      <c r="E775" t="str">
        <f>"item_"&amp;Table1[[#This Row],[VEHIDCODE]]</f>
        <v>item_mu_Coach_Gen4_Bombardier_Bi_level</v>
      </c>
      <c r="F775" t="str">
        <f>"str_"&amp;Table1[[#This Row],[VEHIDCODE]]</f>
        <v>str_mu_Coach_Gen4_Bombardier_Bi_level</v>
      </c>
      <c r="O775" s="2" t="b">
        <v>1</v>
      </c>
      <c r="X775" s="2" t="b">
        <v>1</v>
      </c>
      <c r="AG775" s="2" t="b">
        <v>1</v>
      </c>
      <c r="AJ775" s="2"/>
      <c r="AK775" s="2" t="b">
        <f>LEN(_xlfn.CONCAT(Table1[[#This Row],[TRACK_TYPE_STANDARD_GAUGE_RAILTYPE_OHLE]:[TRACK_TYPE_MTRO]]))&gt;0</f>
        <v>1</v>
      </c>
      <c r="AL775">
        <v>8</v>
      </c>
      <c r="AM775" t="s">
        <v>326</v>
      </c>
      <c r="AN775">
        <v>0</v>
      </c>
      <c r="AO775" t="s">
        <v>35</v>
      </c>
      <c r="AP775">
        <v>150</v>
      </c>
      <c r="AQ775">
        <v>1970</v>
      </c>
      <c r="AR775">
        <v>8</v>
      </c>
      <c r="AS775" s="2" t="s">
        <v>480</v>
      </c>
      <c r="AT775" t="b">
        <v>1</v>
      </c>
      <c r="AV775" s="2"/>
      <c r="AW775" t="s">
        <v>21</v>
      </c>
      <c r="AX775">
        <v>1</v>
      </c>
      <c r="AY775">
        <v>0</v>
      </c>
      <c r="AZ775" t="s">
        <v>711</v>
      </c>
      <c r="BA775">
        <v>160</v>
      </c>
      <c r="BB775" s="2">
        <v>0.3</v>
      </c>
      <c r="BC775" t="s">
        <v>935</v>
      </c>
      <c r="BD775" t="s">
        <v>925</v>
      </c>
      <c r="BE775" t="s">
        <v>940</v>
      </c>
      <c r="BF775" s="7">
        <v>25</v>
      </c>
      <c r="BG7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75">
        <v>0</v>
      </c>
      <c r="BI775" t="s">
        <v>734</v>
      </c>
      <c r="BJ775" s="11"/>
      <c r="BK775" s="11"/>
      <c r="BL775" s="11">
        <v>50</v>
      </c>
      <c r="BM775">
        <v>0</v>
      </c>
      <c r="BN775" t="s">
        <v>692</v>
      </c>
      <c r="BO775" t="s">
        <v>694</v>
      </c>
      <c r="BP775" t="s">
        <v>701</v>
      </c>
      <c r="BQ775" t="s">
        <v>705</v>
      </c>
      <c r="BR775" t="s">
        <v>706</v>
      </c>
      <c r="BS775" t="s">
        <v>707</v>
      </c>
      <c r="CR775"/>
      <c r="CS775"/>
      <c r="CT775"/>
    </row>
    <row r="776" spans="1:98" x14ac:dyDescent="0.4">
      <c r="A776" s="2" t="s">
        <v>831</v>
      </c>
      <c r="B776" t="str">
        <f>_xlfn.TEXTAFTER(Table1[[#This Row],[VEHIDCODE]],"_")</f>
        <v>Coach_Gen5_High_Speed_Coach</v>
      </c>
      <c r="C776" t="s">
        <v>759</v>
      </c>
      <c r="D776" t="b">
        <f>OR(ISNUMBER(SEARCH("wagon_",Table1[[#This Row],[FILENAMES_EXPECTED]])),ISNUMBER(SEARCH("coach_",Table1[[#This Row],[FILENAMES_EXPECTED]])))</f>
        <v>1</v>
      </c>
      <c r="E776" t="str">
        <f>"item_"&amp;Table1[[#This Row],[VEHIDCODE]]</f>
        <v>item_mu_Coach_Gen5_High_Speed_Coach</v>
      </c>
      <c r="F776" t="str">
        <f>"str_"&amp;Table1[[#This Row],[VEHIDCODE]]</f>
        <v>str_mu_Coach_Gen5_High_Speed_Coach</v>
      </c>
      <c r="O776" s="2" t="b">
        <v>1</v>
      </c>
      <c r="X776" s="2" t="b">
        <v>1</v>
      </c>
      <c r="AG776" s="2" t="b">
        <v>1</v>
      </c>
      <c r="AJ776" s="2"/>
      <c r="AK776" s="2" t="b">
        <f>LEN(_xlfn.CONCAT(Table1[[#This Row],[TRACK_TYPE_STANDARD_GAUGE_RAILTYPE_OHLE]:[TRACK_TYPE_MTRO]]))&gt;0</f>
        <v>1</v>
      </c>
      <c r="AL776">
        <v>8</v>
      </c>
      <c r="AM776" t="s">
        <v>326</v>
      </c>
      <c r="AN776">
        <v>0</v>
      </c>
      <c r="AO776" t="s">
        <v>35</v>
      </c>
      <c r="AP776">
        <v>70</v>
      </c>
      <c r="AQ776">
        <v>2000</v>
      </c>
      <c r="AR776">
        <v>8</v>
      </c>
      <c r="AS776" s="2" t="s">
        <v>480</v>
      </c>
      <c r="AT776" t="b">
        <v>1</v>
      </c>
      <c r="AV776" s="2"/>
      <c r="AW776" t="s">
        <v>21</v>
      </c>
      <c r="AX776">
        <v>1</v>
      </c>
      <c r="AY776">
        <v>0</v>
      </c>
      <c r="AZ776" t="s">
        <v>711</v>
      </c>
      <c r="BA776">
        <v>230</v>
      </c>
      <c r="BB776" s="2">
        <v>0.3</v>
      </c>
      <c r="BC776" t="s">
        <v>936</v>
      </c>
      <c r="BD776" t="s">
        <v>922</v>
      </c>
      <c r="BE776" t="s">
        <v>940</v>
      </c>
      <c r="BF776" s="7">
        <v>25</v>
      </c>
      <c r="BG7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76">
        <v>0</v>
      </c>
      <c r="BI776" t="s">
        <v>734</v>
      </c>
      <c r="BJ776" s="11"/>
      <c r="BK776" s="11"/>
      <c r="BL776" s="11">
        <v>47</v>
      </c>
      <c r="BM776">
        <v>0</v>
      </c>
      <c r="BN776" t="s">
        <v>692</v>
      </c>
      <c r="BO776" t="s">
        <v>694</v>
      </c>
      <c r="BP776" t="s">
        <v>701</v>
      </c>
      <c r="BQ776" t="s">
        <v>705</v>
      </c>
      <c r="BR776" t="s">
        <v>706</v>
      </c>
      <c r="BS776" t="s">
        <v>707</v>
      </c>
      <c r="CR776"/>
      <c r="CS776"/>
      <c r="CT776"/>
    </row>
    <row r="777" spans="1:98" x14ac:dyDescent="0.4">
      <c r="A777" s="2" t="s">
        <v>832</v>
      </c>
      <c r="B777" t="str">
        <f>_xlfn.TEXTAFTER(Table1[[#This Row],[VEHIDCODE]],"_")</f>
        <v>Coach_Gen5_Modern_Regional_Coach</v>
      </c>
      <c r="C777" t="s">
        <v>759</v>
      </c>
      <c r="D777" t="b">
        <f>OR(ISNUMBER(SEARCH("wagon_",Table1[[#This Row],[FILENAMES_EXPECTED]])),ISNUMBER(SEARCH("coach_",Table1[[#This Row],[FILENAMES_EXPECTED]])))</f>
        <v>1</v>
      </c>
      <c r="E777" t="str">
        <f>"item_"&amp;Table1[[#This Row],[VEHIDCODE]]</f>
        <v>item_mu_Coach_Gen5_Modern_Regional_Coach</v>
      </c>
      <c r="F777" t="str">
        <f>"str_"&amp;Table1[[#This Row],[VEHIDCODE]]</f>
        <v>str_mu_Coach_Gen5_Modern_Regional_Coach</v>
      </c>
      <c r="O777" s="2" t="b">
        <v>1</v>
      </c>
      <c r="X777" s="2" t="b">
        <v>1</v>
      </c>
      <c r="AG777" s="2" t="b">
        <v>1</v>
      </c>
      <c r="AJ777" s="2"/>
      <c r="AK777" s="2" t="b">
        <f>LEN(_xlfn.CONCAT(Table1[[#This Row],[TRACK_TYPE_STANDARD_GAUGE_RAILTYPE_OHLE]:[TRACK_TYPE_MTRO]]))&gt;0</f>
        <v>1</v>
      </c>
      <c r="AL777">
        <v>8</v>
      </c>
      <c r="AM777" t="s">
        <v>326</v>
      </c>
      <c r="AN777">
        <v>0</v>
      </c>
      <c r="AO777" t="s">
        <v>35</v>
      </c>
      <c r="AP777">
        <v>85</v>
      </c>
      <c r="AQ777">
        <v>2000</v>
      </c>
      <c r="AR777">
        <v>8</v>
      </c>
      <c r="AS777" s="2" t="s">
        <v>480</v>
      </c>
      <c r="AT777" t="b">
        <v>1</v>
      </c>
      <c r="AV777" s="2"/>
      <c r="AW777" t="s">
        <v>21</v>
      </c>
      <c r="AX777">
        <v>1</v>
      </c>
      <c r="AY777">
        <v>0</v>
      </c>
      <c r="AZ777" t="s">
        <v>711</v>
      </c>
      <c r="BA777">
        <v>160</v>
      </c>
      <c r="BB777" s="2">
        <v>0.3</v>
      </c>
      <c r="BC777" t="s">
        <v>936</v>
      </c>
      <c r="BD777" t="s">
        <v>922</v>
      </c>
      <c r="BE777" t="s">
        <v>940</v>
      </c>
      <c r="BF777" s="7">
        <v>25</v>
      </c>
      <c r="BG7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77">
        <v>0</v>
      </c>
      <c r="BI777" t="s">
        <v>734</v>
      </c>
      <c r="BJ777" s="11"/>
      <c r="BK777" s="11"/>
      <c r="BL777" s="11">
        <v>44</v>
      </c>
      <c r="BM777">
        <v>0</v>
      </c>
      <c r="BN777" t="s">
        <v>692</v>
      </c>
      <c r="BO777" t="s">
        <v>694</v>
      </c>
      <c r="BP777" t="s">
        <v>701</v>
      </c>
      <c r="BQ777" t="s">
        <v>705</v>
      </c>
      <c r="BR777" t="s">
        <v>706</v>
      </c>
      <c r="BS777" t="s">
        <v>707</v>
      </c>
      <c r="CR777"/>
      <c r="CS777"/>
      <c r="CT777"/>
    </row>
    <row r="778" spans="1:98" x14ac:dyDescent="0.4">
      <c r="A778" s="2" t="s">
        <v>833</v>
      </c>
      <c r="B778" t="str">
        <f>_xlfn.TEXTAFTER(Table1[[#This Row],[VEHIDCODE]],"_")</f>
        <v>Coach_Gen5_Modern_Commuter_Coach</v>
      </c>
      <c r="C778" t="s">
        <v>759</v>
      </c>
      <c r="D778" t="b">
        <f>OR(ISNUMBER(SEARCH("wagon_",Table1[[#This Row],[FILENAMES_EXPECTED]])),ISNUMBER(SEARCH("coach_",Table1[[#This Row],[FILENAMES_EXPECTED]])))</f>
        <v>1</v>
      </c>
      <c r="E778" t="str">
        <f>"item_"&amp;Table1[[#This Row],[VEHIDCODE]]</f>
        <v>item_mu_Coach_Gen5_Modern_Commuter_Coach</v>
      </c>
      <c r="F778" t="str">
        <f>"str_"&amp;Table1[[#This Row],[VEHIDCODE]]</f>
        <v>str_mu_Coach_Gen5_Modern_Commuter_Coach</v>
      </c>
      <c r="O778" s="2" t="b">
        <v>1</v>
      </c>
      <c r="X778" s="2" t="b">
        <v>1</v>
      </c>
      <c r="AG778" s="2" t="b">
        <v>1</v>
      </c>
      <c r="AJ778" s="2"/>
      <c r="AK778" s="2" t="b">
        <f>LEN(_xlfn.CONCAT(Table1[[#This Row],[TRACK_TYPE_STANDARD_GAUGE_RAILTYPE_OHLE]:[TRACK_TYPE_MTRO]]))&gt;0</f>
        <v>1</v>
      </c>
      <c r="AL778">
        <v>8</v>
      </c>
      <c r="AM778" t="s">
        <v>326</v>
      </c>
      <c r="AN778">
        <v>0</v>
      </c>
      <c r="AO778" t="s">
        <v>35</v>
      </c>
      <c r="AP778">
        <v>115</v>
      </c>
      <c r="AQ778">
        <v>2000</v>
      </c>
      <c r="AR778">
        <v>8</v>
      </c>
      <c r="AS778" s="2" t="s">
        <v>24</v>
      </c>
      <c r="AT778" t="b">
        <v>1</v>
      </c>
      <c r="AV778" s="2"/>
      <c r="AW778" t="s">
        <v>21</v>
      </c>
      <c r="AX778">
        <v>1</v>
      </c>
      <c r="AY778">
        <v>0</v>
      </c>
      <c r="AZ778" t="s">
        <v>711</v>
      </c>
      <c r="BA778">
        <v>140</v>
      </c>
      <c r="BB778" s="2">
        <v>0.3</v>
      </c>
      <c r="BC778" t="s">
        <v>936</v>
      </c>
      <c r="BD778" t="s">
        <v>922</v>
      </c>
      <c r="BE778" t="s">
        <v>940</v>
      </c>
      <c r="BF778" s="7">
        <v>25</v>
      </c>
      <c r="BG7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78">
        <v>0</v>
      </c>
      <c r="BI778" t="s">
        <v>734</v>
      </c>
      <c r="BJ778" s="11"/>
      <c r="BK778" s="11"/>
      <c r="BL778" s="11">
        <v>45</v>
      </c>
      <c r="BM778">
        <v>0</v>
      </c>
      <c r="BN778" t="s">
        <v>692</v>
      </c>
      <c r="BO778" t="s">
        <v>694</v>
      </c>
      <c r="BP778" t="s">
        <v>701</v>
      </c>
      <c r="BQ778" t="s">
        <v>705</v>
      </c>
      <c r="BR778" t="s">
        <v>706</v>
      </c>
      <c r="BS778" t="s">
        <v>707</v>
      </c>
      <c r="CR778"/>
      <c r="CS778"/>
      <c r="CT778"/>
    </row>
    <row r="779" spans="1:98" x14ac:dyDescent="0.4">
      <c r="A779" s="2" t="s">
        <v>834</v>
      </c>
      <c r="B779" t="str">
        <f>_xlfn.TEXTAFTER(Table1[[#This Row],[VEHIDCODE]],"_")</f>
        <v>Coach_Gen5_Modern_Double_Decker_Coach</v>
      </c>
      <c r="C779" t="s">
        <v>759</v>
      </c>
      <c r="D779" t="b">
        <f>OR(ISNUMBER(SEARCH("wagon_",Table1[[#This Row],[FILENAMES_EXPECTED]])),ISNUMBER(SEARCH("coach_",Table1[[#This Row],[FILENAMES_EXPECTED]])))</f>
        <v>1</v>
      </c>
      <c r="E779" t="str">
        <f>"item_"&amp;Table1[[#This Row],[VEHIDCODE]]</f>
        <v>item_mu_Coach_Gen5_Modern_Double_Decker_Coach</v>
      </c>
      <c r="F779" t="str">
        <f>"str_"&amp;Table1[[#This Row],[VEHIDCODE]]</f>
        <v>str_mu_Coach_Gen5_Modern_Double_Decker_Coach</v>
      </c>
      <c r="O779" s="2" t="b">
        <v>1</v>
      </c>
      <c r="X779" s="2" t="b">
        <v>1</v>
      </c>
      <c r="AG779" s="2" t="b">
        <v>1</v>
      </c>
      <c r="AJ779" s="2"/>
      <c r="AK779" s="2" t="b">
        <f>LEN(_xlfn.CONCAT(Table1[[#This Row],[TRACK_TYPE_STANDARD_GAUGE_RAILTYPE_OHLE]:[TRACK_TYPE_MTRO]]))&gt;0</f>
        <v>1</v>
      </c>
      <c r="AL779">
        <v>8</v>
      </c>
      <c r="AM779" t="s">
        <v>326</v>
      </c>
      <c r="AN779">
        <v>0</v>
      </c>
      <c r="AO779" t="s">
        <v>35</v>
      </c>
      <c r="AP779">
        <v>145</v>
      </c>
      <c r="AQ779">
        <v>2000</v>
      </c>
      <c r="AR779">
        <v>8</v>
      </c>
      <c r="AS779" s="2" t="s">
        <v>480</v>
      </c>
      <c r="AT779" t="b">
        <v>1</v>
      </c>
      <c r="AV779" s="2"/>
      <c r="AW779" t="s">
        <v>21</v>
      </c>
      <c r="AX779">
        <v>1</v>
      </c>
      <c r="AY779">
        <v>0</v>
      </c>
      <c r="AZ779" t="s">
        <v>711</v>
      </c>
      <c r="BA779">
        <v>160</v>
      </c>
      <c r="BB779" s="2">
        <v>0.3</v>
      </c>
      <c r="BC779" t="s">
        <v>936</v>
      </c>
      <c r="BD779" t="s">
        <v>922</v>
      </c>
      <c r="BE779" t="s">
        <v>940</v>
      </c>
      <c r="BF779" s="7">
        <v>25</v>
      </c>
      <c r="BG7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79">
        <v>0</v>
      </c>
      <c r="BI779" t="s">
        <v>734</v>
      </c>
      <c r="BJ779" s="11"/>
      <c r="BK779" s="11"/>
      <c r="BL779" s="11">
        <v>47</v>
      </c>
      <c r="BM779">
        <v>0</v>
      </c>
      <c r="BN779" t="s">
        <v>692</v>
      </c>
      <c r="BO779" t="s">
        <v>694</v>
      </c>
      <c r="BP779" t="s">
        <v>701</v>
      </c>
      <c r="BQ779" t="s">
        <v>705</v>
      </c>
      <c r="BR779" t="s">
        <v>706</v>
      </c>
      <c r="BS779" t="s">
        <v>707</v>
      </c>
      <c r="CR779"/>
      <c r="CS779"/>
      <c r="CT779"/>
    </row>
    <row r="780" spans="1:98" x14ac:dyDescent="0.4">
      <c r="A780" s="2" t="s">
        <v>835</v>
      </c>
      <c r="B780" t="str">
        <f>_xlfn.TEXTAFTER(Table1[[#This Row],[VEHIDCODE]],"_")</f>
        <v>Coach_Gen5_High_Speed_Double_Decker_IC2000</v>
      </c>
      <c r="C780" t="s">
        <v>759</v>
      </c>
      <c r="D780" t="b">
        <f>OR(ISNUMBER(SEARCH("wagon_",Table1[[#This Row],[FILENAMES_EXPECTED]])),ISNUMBER(SEARCH("coach_",Table1[[#This Row],[FILENAMES_EXPECTED]])))</f>
        <v>1</v>
      </c>
      <c r="E780" t="str">
        <f>"item_"&amp;Table1[[#This Row],[VEHIDCODE]]</f>
        <v>item_mu_Coach_Gen5_High_Speed_Double_Decker_IC2000</v>
      </c>
      <c r="F780" t="str">
        <f>"str_"&amp;Table1[[#This Row],[VEHIDCODE]]</f>
        <v>str_mu_Coach_Gen5_High_Speed_Double_Decker_IC2000</v>
      </c>
      <c r="O780" s="2" t="b">
        <v>1</v>
      </c>
      <c r="X780" s="2" t="b">
        <v>1</v>
      </c>
      <c r="AG780" s="2" t="b">
        <v>1</v>
      </c>
      <c r="AJ780" s="2"/>
      <c r="AK780" s="2" t="b">
        <f>LEN(_xlfn.CONCAT(Table1[[#This Row],[TRACK_TYPE_STANDARD_GAUGE_RAILTYPE_OHLE]:[TRACK_TYPE_MTRO]]))&gt;0</f>
        <v>1</v>
      </c>
      <c r="AL780">
        <v>8</v>
      </c>
      <c r="AM780" t="s">
        <v>326</v>
      </c>
      <c r="AN780">
        <v>0</v>
      </c>
      <c r="AO780" t="s">
        <v>35</v>
      </c>
      <c r="AP780">
        <v>115</v>
      </c>
      <c r="AQ780">
        <v>2000</v>
      </c>
      <c r="AR780">
        <v>8</v>
      </c>
      <c r="AS780" s="2" t="s">
        <v>480</v>
      </c>
      <c r="AT780" t="b">
        <v>1</v>
      </c>
      <c r="AV780" s="2"/>
      <c r="AW780" t="s">
        <v>21</v>
      </c>
      <c r="AX780">
        <v>1</v>
      </c>
      <c r="AY780">
        <v>0</v>
      </c>
      <c r="AZ780" t="s">
        <v>711</v>
      </c>
      <c r="BA780">
        <v>200</v>
      </c>
      <c r="BB780" s="2">
        <v>0.3</v>
      </c>
      <c r="BC780" t="s">
        <v>936</v>
      </c>
      <c r="BD780" t="s">
        <v>922</v>
      </c>
      <c r="BE780" t="s">
        <v>940</v>
      </c>
      <c r="BF780" s="7">
        <v>25</v>
      </c>
      <c r="BG7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80">
        <v>0</v>
      </c>
      <c r="BI780" t="s">
        <v>734</v>
      </c>
      <c r="BJ780" s="11"/>
      <c r="BK780" s="11"/>
      <c r="BL780" s="11">
        <v>47</v>
      </c>
      <c r="BM780">
        <v>0</v>
      </c>
      <c r="BN780" t="s">
        <v>692</v>
      </c>
      <c r="BO780" t="s">
        <v>694</v>
      </c>
      <c r="BP780" t="s">
        <v>701</v>
      </c>
      <c r="BQ780" t="s">
        <v>705</v>
      </c>
      <c r="BR780" t="s">
        <v>706</v>
      </c>
      <c r="BS780" t="s">
        <v>707</v>
      </c>
      <c r="CR780"/>
      <c r="CS780"/>
      <c r="CT780"/>
    </row>
    <row r="781" spans="1:98" x14ac:dyDescent="0.4">
      <c r="A781" s="2" t="s">
        <v>836</v>
      </c>
      <c r="B781" t="str">
        <f>_xlfn.TEXTAFTER(Table1[[#This Row],[VEHIDCODE]],"_")</f>
        <v>Coach_Gen5_High_Speed_Mail_Coach</v>
      </c>
      <c r="C781" t="s">
        <v>759</v>
      </c>
      <c r="D781" t="b">
        <f>OR(ISNUMBER(SEARCH("wagon_",Table1[[#This Row],[FILENAMES_EXPECTED]])),ISNUMBER(SEARCH("coach_",Table1[[#This Row],[FILENAMES_EXPECTED]])))</f>
        <v>1</v>
      </c>
      <c r="E781" t="str">
        <f>"item_"&amp;Table1[[#This Row],[VEHIDCODE]]</f>
        <v>item_mu_Coach_Gen5_High_Speed_Mail_Coach</v>
      </c>
      <c r="F781" t="str">
        <f>"str_"&amp;Table1[[#This Row],[VEHIDCODE]]</f>
        <v>str_mu_Coach_Gen5_High_Speed_Mail_Coach</v>
      </c>
      <c r="O781" s="2" t="b">
        <v>1</v>
      </c>
      <c r="X781" s="2" t="b">
        <v>1</v>
      </c>
      <c r="AG781" s="2" t="b">
        <v>1</v>
      </c>
      <c r="AJ781" s="2"/>
      <c r="AK781" s="2" t="b">
        <f>LEN(_xlfn.CONCAT(Table1[[#This Row],[TRACK_TYPE_STANDARD_GAUGE_RAILTYPE_OHLE]:[TRACK_TYPE_MTRO]]))&gt;0</f>
        <v>1</v>
      </c>
      <c r="AL781">
        <v>8</v>
      </c>
      <c r="AM781" t="s">
        <v>674</v>
      </c>
      <c r="AN781">
        <v>0</v>
      </c>
      <c r="AO781" t="s">
        <v>35</v>
      </c>
      <c r="AP781">
        <v>70</v>
      </c>
      <c r="AQ781">
        <v>2000</v>
      </c>
      <c r="AR781">
        <v>8</v>
      </c>
      <c r="AS781" s="2" t="s">
        <v>675</v>
      </c>
      <c r="AT781" t="b">
        <v>1</v>
      </c>
      <c r="AV781" s="2"/>
      <c r="AW781" t="s">
        <v>21</v>
      </c>
      <c r="AX781">
        <v>1</v>
      </c>
      <c r="AY781">
        <v>0</v>
      </c>
      <c r="AZ781" t="s">
        <v>711</v>
      </c>
      <c r="BA781">
        <v>230</v>
      </c>
      <c r="BB781" s="2">
        <v>0.3</v>
      </c>
      <c r="BC781" t="s">
        <v>936</v>
      </c>
      <c r="BD781" t="s">
        <v>922</v>
      </c>
      <c r="BE781" t="s">
        <v>940</v>
      </c>
      <c r="BF781" s="7">
        <v>25</v>
      </c>
      <c r="BG7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81">
        <v>0</v>
      </c>
      <c r="BI781" t="s">
        <v>734</v>
      </c>
      <c r="BJ781" s="11"/>
      <c r="BK781" s="11"/>
      <c r="BL781" s="11">
        <v>46</v>
      </c>
      <c r="BM781">
        <v>0</v>
      </c>
      <c r="BN781" t="s">
        <v>692</v>
      </c>
      <c r="BO781" t="s">
        <v>694</v>
      </c>
      <c r="BP781" t="s">
        <v>701</v>
      </c>
      <c r="BQ781" t="s">
        <v>705</v>
      </c>
      <c r="BR781" t="s">
        <v>706</v>
      </c>
      <c r="BS781" t="s">
        <v>707</v>
      </c>
      <c r="CR781"/>
      <c r="CS781"/>
      <c r="CT781"/>
    </row>
    <row r="782" spans="1:98" x14ac:dyDescent="0.4">
      <c r="A782" s="2" t="s">
        <v>837</v>
      </c>
      <c r="B782" t="str">
        <f>_xlfn.TEXTAFTER(Table1[[#This Row],[VEHIDCODE]],"_")</f>
        <v>Coach_Gen5_Talgo_Pendular</v>
      </c>
      <c r="C782" t="s">
        <v>759</v>
      </c>
      <c r="D782" t="b">
        <f>OR(ISNUMBER(SEARCH("wagon_",Table1[[#This Row],[FILENAMES_EXPECTED]])),ISNUMBER(SEARCH("coach_",Table1[[#This Row],[FILENAMES_EXPECTED]])))</f>
        <v>1</v>
      </c>
      <c r="E782" t="str">
        <f>"item_"&amp;Table1[[#This Row],[VEHIDCODE]]</f>
        <v>item_mu_Coach_Gen5_Talgo_Pendular</v>
      </c>
      <c r="F782" t="str">
        <f>"str_"&amp;Table1[[#This Row],[VEHIDCODE]]</f>
        <v>str_mu_Coach_Gen5_Talgo_Pendular</v>
      </c>
      <c r="O782" s="2" t="b">
        <v>1</v>
      </c>
      <c r="X782" s="2" t="b">
        <v>1</v>
      </c>
      <c r="AG782" s="2" t="b">
        <v>1</v>
      </c>
      <c r="AJ782" s="2"/>
      <c r="AK782" s="2" t="b">
        <f>LEN(_xlfn.CONCAT(Table1[[#This Row],[TRACK_TYPE_STANDARD_GAUGE_RAILTYPE_OHLE]:[TRACK_TYPE_MTRO]]))&gt;0</f>
        <v>1</v>
      </c>
      <c r="AL782">
        <v>6</v>
      </c>
      <c r="AM782" t="s">
        <v>326</v>
      </c>
      <c r="AN782">
        <v>0</v>
      </c>
      <c r="AO782" t="s">
        <v>35</v>
      </c>
      <c r="AP782">
        <v>40</v>
      </c>
      <c r="AQ782">
        <v>1980</v>
      </c>
      <c r="AR782">
        <v>6</v>
      </c>
      <c r="AS782" s="2" t="s">
        <v>24</v>
      </c>
      <c r="AT782" t="b">
        <v>1</v>
      </c>
      <c r="AV782" s="2"/>
      <c r="AW782" t="s">
        <v>21</v>
      </c>
      <c r="AX782">
        <v>1</v>
      </c>
      <c r="AY782">
        <v>0</v>
      </c>
      <c r="AZ782" t="s">
        <v>711</v>
      </c>
      <c r="BA782">
        <v>250</v>
      </c>
      <c r="BB782" s="2">
        <v>0.3</v>
      </c>
      <c r="BC782" t="s">
        <v>936</v>
      </c>
      <c r="BD782" t="s">
        <v>922</v>
      </c>
      <c r="BE782" t="s">
        <v>940</v>
      </c>
      <c r="BF782" s="7">
        <v>25</v>
      </c>
      <c r="BG7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82">
        <v>0</v>
      </c>
      <c r="BI782" t="s">
        <v>734</v>
      </c>
      <c r="BJ782" s="11"/>
      <c r="BK782" s="11"/>
      <c r="BL782" s="11">
        <v>15</v>
      </c>
      <c r="BM782">
        <v>0</v>
      </c>
      <c r="BN782" t="s">
        <v>692</v>
      </c>
      <c r="BO782" t="s">
        <v>694</v>
      </c>
      <c r="BP782" t="s">
        <v>701</v>
      </c>
      <c r="BQ782" t="s">
        <v>705</v>
      </c>
      <c r="BR782" t="s">
        <v>706</v>
      </c>
      <c r="BS782" t="s">
        <v>707</v>
      </c>
      <c r="CR782"/>
      <c r="CS782"/>
      <c r="CT782"/>
    </row>
    <row r="783" spans="1:98" x14ac:dyDescent="0.4">
      <c r="A783" s="2" t="s">
        <v>838</v>
      </c>
      <c r="B783" t="str">
        <f>_xlfn.TEXTAFTER(Table1[[#This Row],[VEHIDCODE]],"_")</f>
        <v>Coach_Gen5_Talgo_Pendular_Mail</v>
      </c>
      <c r="C783" t="s">
        <v>759</v>
      </c>
      <c r="D783" t="b">
        <f>OR(ISNUMBER(SEARCH("wagon_",Table1[[#This Row],[FILENAMES_EXPECTED]])),ISNUMBER(SEARCH("coach_",Table1[[#This Row],[FILENAMES_EXPECTED]])))</f>
        <v>1</v>
      </c>
      <c r="E783" t="str">
        <f>"item_"&amp;Table1[[#This Row],[VEHIDCODE]]</f>
        <v>item_mu_Coach_Gen5_Talgo_Pendular_Mail</v>
      </c>
      <c r="F783" t="str">
        <f>"str_"&amp;Table1[[#This Row],[VEHIDCODE]]</f>
        <v>str_mu_Coach_Gen5_Talgo_Pendular_Mail</v>
      </c>
      <c r="O783" s="2" t="b">
        <v>1</v>
      </c>
      <c r="X783" s="2" t="b">
        <v>1</v>
      </c>
      <c r="AG783" s="2" t="b">
        <v>1</v>
      </c>
      <c r="AJ783" s="2"/>
      <c r="AK783" s="2" t="b">
        <f>LEN(_xlfn.CONCAT(Table1[[#This Row],[TRACK_TYPE_STANDARD_GAUGE_RAILTYPE_OHLE]:[TRACK_TYPE_MTRO]]))&gt;0</f>
        <v>1</v>
      </c>
      <c r="AL783">
        <v>6</v>
      </c>
      <c r="AM783" t="s">
        <v>674</v>
      </c>
      <c r="AN783">
        <v>0</v>
      </c>
      <c r="AO783" t="s">
        <v>35</v>
      </c>
      <c r="AP783">
        <v>40</v>
      </c>
      <c r="AQ783">
        <v>1980</v>
      </c>
      <c r="AR783">
        <v>6</v>
      </c>
      <c r="AS783" s="2" t="s">
        <v>675</v>
      </c>
      <c r="AT783" t="b">
        <v>1</v>
      </c>
      <c r="AV783" s="2"/>
      <c r="AW783" t="s">
        <v>21</v>
      </c>
      <c r="AX783">
        <v>1</v>
      </c>
      <c r="AY783">
        <v>0</v>
      </c>
      <c r="AZ783" t="s">
        <v>711</v>
      </c>
      <c r="BA783">
        <v>250</v>
      </c>
      <c r="BB783" s="2">
        <v>0.3</v>
      </c>
      <c r="BC783" t="s">
        <v>936</v>
      </c>
      <c r="BD783" t="s">
        <v>922</v>
      </c>
      <c r="BE783" t="s">
        <v>940</v>
      </c>
      <c r="BF783" s="7">
        <v>25</v>
      </c>
      <c r="BG7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83">
        <v>0</v>
      </c>
      <c r="BI783" t="s">
        <v>734</v>
      </c>
      <c r="BJ783" s="11"/>
      <c r="BK783" s="11"/>
      <c r="BL783" s="11">
        <v>15</v>
      </c>
      <c r="BM783">
        <v>0</v>
      </c>
      <c r="BN783" t="s">
        <v>692</v>
      </c>
      <c r="BO783" t="s">
        <v>694</v>
      </c>
      <c r="BP783" t="s">
        <v>701</v>
      </c>
      <c r="BQ783" t="s">
        <v>705</v>
      </c>
      <c r="BR783" t="s">
        <v>706</v>
      </c>
      <c r="BS783" t="s">
        <v>707</v>
      </c>
      <c r="CR783"/>
      <c r="CS783"/>
      <c r="CT783"/>
    </row>
    <row r="784" spans="1:98" x14ac:dyDescent="0.4">
      <c r="A784" s="2" t="s">
        <v>839</v>
      </c>
      <c r="B784" t="str">
        <f>_xlfn.TEXTAFTER(Table1[[#This Row],[VEHIDCODE]],"_")</f>
        <v>Coach_Gen6_Grand_Voyager_Coach</v>
      </c>
      <c r="C784" t="s">
        <v>760</v>
      </c>
      <c r="D784" t="b">
        <f>OR(ISNUMBER(SEARCH("wagon_",Table1[[#This Row],[FILENAMES_EXPECTED]])),ISNUMBER(SEARCH("coach_",Table1[[#This Row],[FILENAMES_EXPECTED]])))</f>
        <v>1</v>
      </c>
      <c r="E784" t="str">
        <f>"item_"&amp;Table1[[#This Row],[VEHIDCODE]]</f>
        <v>item_mu_Coach_Gen6_Grand_Voyager_Coach</v>
      </c>
      <c r="F784" t="str">
        <f>"str_"&amp;Table1[[#This Row],[VEHIDCODE]]</f>
        <v>str_mu_Coach_Gen6_Grand_Voyager_Coach</v>
      </c>
      <c r="O784" s="2" t="b">
        <v>1</v>
      </c>
      <c r="X784" s="2" t="b">
        <v>1</v>
      </c>
      <c r="AG784" s="2" t="b">
        <v>1</v>
      </c>
      <c r="AJ784" s="2"/>
      <c r="AK784" s="2" t="b">
        <f>LEN(_xlfn.CONCAT(Table1[[#This Row],[TRACK_TYPE_STANDARD_GAUGE_RAILTYPE_OHLE]:[TRACK_TYPE_MTRO]]))&gt;0</f>
        <v>1</v>
      </c>
      <c r="AL784">
        <v>8</v>
      </c>
      <c r="AM784" t="s">
        <v>326</v>
      </c>
      <c r="AN784">
        <v>0</v>
      </c>
      <c r="AO784" t="s">
        <v>35</v>
      </c>
      <c r="AP784">
        <v>80</v>
      </c>
      <c r="AQ784">
        <v>2030</v>
      </c>
      <c r="AR784">
        <v>8</v>
      </c>
      <c r="AS784" s="2" t="s">
        <v>480</v>
      </c>
      <c r="AT784" t="b">
        <v>1</v>
      </c>
      <c r="AV784" s="2"/>
      <c r="AW784" t="s">
        <v>21</v>
      </c>
      <c r="AX784">
        <v>1</v>
      </c>
      <c r="AY784">
        <v>0</v>
      </c>
      <c r="AZ784" t="s">
        <v>711</v>
      </c>
      <c r="BA784">
        <v>0</v>
      </c>
      <c r="BB784" s="2">
        <v>0.3</v>
      </c>
      <c r="BC784" t="s">
        <v>936</v>
      </c>
      <c r="BD784" t="s">
        <v>922</v>
      </c>
      <c r="BE784" t="s">
        <v>940</v>
      </c>
      <c r="BF784" s="7">
        <v>25</v>
      </c>
      <c r="BG7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84">
        <v>0</v>
      </c>
      <c r="BI784" t="s">
        <v>734</v>
      </c>
      <c r="BJ784" s="11"/>
      <c r="BK784" s="11"/>
      <c r="BL784" s="11">
        <v>39</v>
      </c>
      <c r="BM784">
        <v>0</v>
      </c>
      <c r="BN784" t="s">
        <v>692</v>
      </c>
      <c r="BO784" t="s">
        <v>694</v>
      </c>
      <c r="BP784" t="s">
        <v>701</v>
      </c>
      <c r="BQ784" t="s">
        <v>705</v>
      </c>
      <c r="BR784" t="s">
        <v>706</v>
      </c>
      <c r="BS784" t="s">
        <v>707</v>
      </c>
      <c r="CR784"/>
      <c r="CS784"/>
      <c r="CT784"/>
    </row>
    <row r="785" spans="1:98" x14ac:dyDescent="0.4">
      <c r="A785" s="2" t="s">
        <v>840</v>
      </c>
      <c r="B785" t="str">
        <f>_xlfn.TEXTAFTER(Table1[[#This Row],[VEHIDCODE]],"_")</f>
        <v>Coach_Gen6_Grand_Regio_Coach</v>
      </c>
      <c r="C785" t="s">
        <v>760</v>
      </c>
      <c r="D785" t="b">
        <f>OR(ISNUMBER(SEARCH("wagon_",Table1[[#This Row],[FILENAMES_EXPECTED]])),ISNUMBER(SEARCH("coach_",Table1[[#This Row],[FILENAMES_EXPECTED]])))</f>
        <v>1</v>
      </c>
      <c r="E785" t="str">
        <f>"item_"&amp;Table1[[#This Row],[VEHIDCODE]]</f>
        <v>item_mu_Coach_Gen6_Grand_Regio_Coach</v>
      </c>
      <c r="F785" t="str">
        <f>"str_"&amp;Table1[[#This Row],[VEHIDCODE]]</f>
        <v>str_mu_Coach_Gen6_Grand_Regio_Coach</v>
      </c>
      <c r="O785" s="2" t="b">
        <v>1</v>
      </c>
      <c r="X785" s="2" t="b">
        <v>1</v>
      </c>
      <c r="AG785" s="2" t="b">
        <v>1</v>
      </c>
      <c r="AJ785" s="2"/>
      <c r="AK785" s="2" t="b">
        <f>LEN(_xlfn.CONCAT(Table1[[#This Row],[TRACK_TYPE_STANDARD_GAUGE_RAILTYPE_OHLE]:[TRACK_TYPE_MTRO]]))&gt;0</f>
        <v>1</v>
      </c>
      <c r="AL785">
        <v>8</v>
      </c>
      <c r="AM785" t="s">
        <v>326</v>
      </c>
      <c r="AN785">
        <v>0</v>
      </c>
      <c r="AO785" t="s">
        <v>35</v>
      </c>
      <c r="AP785">
        <v>100</v>
      </c>
      <c r="AQ785">
        <v>2030</v>
      </c>
      <c r="AR785">
        <v>8</v>
      </c>
      <c r="AS785" s="2" t="s">
        <v>480</v>
      </c>
      <c r="AT785" t="b">
        <v>1</v>
      </c>
      <c r="AV785" s="2"/>
      <c r="AW785" t="s">
        <v>21</v>
      </c>
      <c r="AX785">
        <v>1</v>
      </c>
      <c r="AY785">
        <v>0</v>
      </c>
      <c r="AZ785" t="s">
        <v>711</v>
      </c>
      <c r="BA785">
        <v>200</v>
      </c>
      <c r="BB785" s="2">
        <v>0.3</v>
      </c>
      <c r="BC785" t="s">
        <v>936</v>
      </c>
      <c r="BD785" t="s">
        <v>922</v>
      </c>
      <c r="BE785" t="s">
        <v>940</v>
      </c>
      <c r="BF785" s="7">
        <v>25</v>
      </c>
      <c r="BG7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85">
        <v>0</v>
      </c>
      <c r="BI785" t="s">
        <v>734</v>
      </c>
      <c r="BJ785" s="11"/>
      <c r="BK785" s="11"/>
      <c r="BL785" s="11">
        <v>38</v>
      </c>
      <c r="BM785">
        <v>0</v>
      </c>
      <c r="BN785" t="s">
        <v>692</v>
      </c>
      <c r="BO785" t="s">
        <v>694</v>
      </c>
      <c r="BP785" t="s">
        <v>701</v>
      </c>
      <c r="BQ785" t="s">
        <v>705</v>
      </c>
      <c r="BR785" t="s">
        <v>706</v>
      </c>
      <c r="BS785" t="s">
        <v>707</v>
      </c>
      <c r="CR785"/>
      <c r="CS785"/>
      <c r="CT785"/>
    </row>
    <row r="786" spans="1:98" x14ac:dyDescent="0.4">
      <c r="A786" s="2" t="s">
        <v>841</v>
      </c>
      <c r="B786" t="str">
        <f>_xlfn.TEXTAFTER(Table1[[#This Row],[VEHIDCODE]],"_")</f>
        <v>Coach_Gen6_Metropolis_Coach</v>
      </c>
      <c r="C786" t="s">
        <v>760</v>
      </c>
      <c r="D786" t="b">
        <f>OR(ISNUMBER(SEARCH("wagon_",Table1[[#This Row],[FILENAMES_EXPECTED]])),ISNUMBER(SEARCH("coach_",Table1[[#This Row],[FILENAMES_EXPECTED]])))</f>
        <v>1</v>
      </c>
      <c r="E786" t="str">
        <f>"item_"&amp;Table1[[#This Row],[VEHIDCODE]]</f>
        <v>item_mu_Coach_Gen6_Metropolis_Coach</v>
      </c>
      <c r="F786" t="str">
        <f>"str_"&amp;Table1[[#This Row],[VEHIDCODE]]</f>
        <v>str_mu_Coach_Gen6_Metropolis_Coach</v>
      </c>
      <c r="O786" s="2" t="b">
        <v>1</v>
      </c>
      <c r="X786" s="2" t="b">
        <v>1</v>
      </c>
      <c r="AG786" s="2" t="b">
        <v>1</v>
      </c>
      <c r="AJ786" s="2"/>
      <c r="AK786" s="2" t="b">
        <f>LEN(_xlfn.CONCAT(Table1[[#This Row],[TRACK_TYPE_STANDARD_GAUGE_RAILTYPE_OHLE]:[TRACK_TYPE_MTRO]]))&gt;0</f>
        <v>1</v>
      </c>
      <c r="AL786">
        <v>8</v>
      </c>
      <c r="AM786" t="s">
        <v>326</v>
      </c>
      <c r="AN786">
        <v>0</v>
      </c>
      <c r="AO786" t="s">
        <v>35</v>
      </c>
      <c r="AP786">
        <v>115</v>
      </c>
      <c r="AQ786">
        <v>2030</v>
      </c>
      <c r="AR786">
        <v>8</v>
      </c>
      <c r="AS786" s="2" t="s">
        <v>24</v>
      </c>
      <c r="AT786" t="b">
        <v>1</v>
      </c>
      <c r="AV786" s="2"/>
      <c r="AW786" t="s">
        <v>21</v>
      </c>
      <c r="AX786">
        <v>1</v>
      </c>
      <c r="AY786">
        <v>0</v>
      </c>
      <c r="AZ786" t="s">
        <v>711</v>
      </c>
      <c r="BA786">
        <v>180</v>
      </c>
      <c r="BB786" s="2">
        <v>0.3</v>
      </c>
      <c r="BC786" t="s">
        <v>936</v>
      </c>
      <c r="BD786" t="s">
        <v>922</v>
      </c>
      <c r="BE786" t="s">
        <v>940</v>
      </c>
      <c r="BF786" s="7">
        <v>25</v>
      </c>
      <c r="BG7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86">
        <v>0</v>
      </c>
      <c r="BI786" t="s">
        <v>734</v>
      </c>
      <c r="BJ786" s="11"/>
      <c r="BK786" s="11"/>
      <c r="BL786" s="11">
        <v>39</v>
      </c>
      <c r="BM786">
        <v>0</v>
      </c>
      <c r="BN786" t="s">
        <v>692</v>
      </c>
      <c r="BO786" t="s">
        <v>694</v>
      </c>
      <c r="BP786" t="s">
        <v>701</v>
      </c>
      <c r="BQ786" t="s">
        <v>705</v>
      </c>
      <c r="BR786" t="s">
        <v>706</v>
      </c>
      <c r="BS786" t="s">
        <v>707</v>
      </c>
      <c r="CR786"/>
      <c r="CS786"/>
      <c r="CT786"/>
    </row>
    <row r="787" spans="1:98" x14ac:dyDescent="0.4">
      <c r="A787" s="2" t="s">
        <v>842</v>
      </c>
      <c r="B787" t="str">
        <f>_xlfn.TEXTAFTER(Table1[[#This Row],[VEHIDCODE]],"_")</f>
        <v>Coach_Gen6_Speedmail_Coach</v>
      </c>
      <c r="C787" t="s">
        <v>760</v>
      </c>
      <c r="D787" t="b">
        <f>OR(ISNUMBER(SEARCH("wagon_",Table1[[#This Row],[FILENAMES_EXPECTED]])),ISNUMBER(SEARCH("coach_",Table1[[#This Row],[FILENAMES_EXPECTED]])))</f>
        <v>1</v>
      </c>
      <c r="E787" t="str">
        <f>"item_"&amp;Table1[[#This Row],[VEHIDCODE]]</f>
        <v>item_mu_Coach_Gen6_Speedmail_Coach</v>
      </c>
      <c r="F787" t="str">
        <f>"str_"&amp;Table1[[#This Row],[VEHIDCODE]]</f>
        <v>str_mu_Coach_Gen6_Speedmail_Coach</v>
      </c>
      <c r="O787" s="2" t="b">
        <v>1</v>
      </c>
      <c r="X787" s="2" t="b">
        <v>1</v>
      </c>
      <c r="AG787" s="2" t="b">
        <v>1</v>
      </c>
      <c r="AJ787" s="2"/>
      <c r="AK787" s="2" t="b">
        <f>LEN(_xlfn.CONCAT(Table1[[#This Row],[TRACK_TYPE_STANDARD_GAUGE_RAILTYPE_OHLE]:[TRACK_TYPE_MTRO]]))&gt;0</f>
        <v>1</v>
      </c>
      <c r="AL787">
        <v>8</v>
      </c>
      <c r="AM787" t="s">
        <v>674</v>
      </c>
      <c r="AN787">
        <v>0</v>
      </c>
      <c r="AO787" t="s">
        <v>35</v>
      </c>
      <c r="AP787">
        <v>85</v>
      </c>
      <c r="AQ787">
        <v>2030</v>
      </c>
      <c r="AR787">
        <v>8</v>
      </c>
      <c r="AS787" s="2" t="s">
        <v>675</v>
      </c>
      <c r="AT787" t="b">
        <v>1</v>
      </c>
      <c r="AV787" s="2"/>
      <c r="AW787" t="s">
        <v>21</v>
      </c>
      <c r="AX787">
        <v>1</v>
      </c>
      <c r="AY787">
        <v>0</v>
      </c>
      <c r="AZ787" t="s">
        <v>711</v>
      </c>
      <c r="BA787">
        <v>0</v>
      </c>
      <c r="BB787" s="2">
        <v>0.3</v>
      </c>
      <c r="BC787" t="s">
        <v>936</v>
      </c>
      <c r="BD787" t="s">
        <v>922</v>
      </c>
      <c r="BE787" t="s">
        <v>940</v>
      </c>
      <c r="BF787" s="7">
        <v>25</v>
      </c>
      <c r="BG7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87">
        <v>0</v>
      </c>
      <c r="BI787" t="s">
        <v>734</v>
      </c>
      <c r="BJ787" s="11"/>
      <c r="BK787" s="11"/>
      <c r="BL787" s="11">
        <v>38</v>
      </c>
      <c r="BM787">
        <v>0</v>
      </c>
      <c r="BN787" t="s">
        <v>692</v>
      </c>
      <c r="BO787" t="s">
        <v>694</v>
      </c>
      <c r="BP787" t="s">
        <v>701</v>
      </c>
      <c r="BQ787" t="s">
        <v>705</v>
      </c>
      <c r="BR787" t="s">
        <v>706</v>
      </c>
      <c r="BS787" t="s">
        <v>707</v>
      </c>
      <c r="CR787"/>
      <c r="CS787"/>
      <c r="CT787"/>
    </row>
    <row r="788" spans="1:98" x14ac:dyDescent="0.4">
      <c r="A788" s="2" t="s">
        <v>843</v>
      </c>
      <c r="B788" t="str">
        <f>_xlfn.TEXTAFTER(Table1[[#This Row],[VEHIDCODE]],"_")</f>
        <v>Coach_Gen6_Super_Regio_Coach</v>
      </c>
      <c r="C788" t="s">
        <v>760</v>
      </c>
      <c r="D788" t="b">
        <f>OR(ISNUMBER(SEARCH("wagon_",Table1[[#This Row],[FILENAMES_EXPECTED]])),ISNUMBER(SEARCH("coach_",Table1[[#This Row],[FILENAMES_EXPECTED]])))</f>
        <v>1</v>
      </c>
      <c r="E788" t="str">
        <f>"item_"&amp;Table1[[#This Row],[VEHIDCODE]]</f>
        <v>item_mu_Coach_Gen6_Super_Regio_Coach</v>
      </c>
      <c r="F788" t="str">
        <f>"str_"&amp;Table1[[#This Row],[VEHIDCODE]]</f>
        <v>str_mu_Coach_Gen6_Super_Regio_Coach</v>
      </c>
      <c r="O788" s="2" t="b">
        <v>1</v>
      </c>
      <c r="X788" s="2" t="b">
        <v>1</v>
      </c>
      <c r="AG788" s="2" t="b">
        <v>1</v>
      </c>
      <c r="AJ788" s="2"/>
      <c r="AK788" s="2" t="b">
        <f>LEN(_xlfn.CONCAT(Table1[[#This Row],[TRACK_TYPE_STANDARD_GAUGE_RAILTYPE_OHLE]:[TRACK_TYPE_MTRO]]))&gt;0</f>
        <v>1</v>
      </c>
      <c r="AL788">
        <v>8</v>
      </c>
      <c r="AM788" t="s">
        <v>326</v>
      </c>
      <c r="AN788">
        <v>0</v>
      </c>
      <c r="AO788" t="s">
        <v>35</v>
      </c>
      <c r="AP788">
        <v>160</v>
      </c>
      <c r="AQ788">
        <v>2030</v>
      </c>
      <c r="AR788">
        <v>8</v>
      </c>
      <c r="AS788" s="2" t="s">
        <v>480</v>
      </c>
      <c r="AT788" t="b">
        <v>1</v>
      </c>
      <c r="AV788" s="2"/>
      <c r="AW788" t="s">
        <v>21</v>
      </c>
      <c r="AX788">
        <v>1</v>
      </c>
      <c r="AY788">
        <v>0</v>
      </c>
      <c r="AZ788" t="s">
        <v>711</v>
      </c>
      <c r="BA788">
        <v>200</v>
      </c>
      <c r="BB788" s="2">
        <v>0.3</v>
      </c>
      <c r="BC788" t="s">
        <v>936</v>
      </c>
      <c r="BD788" t="s">
        <v>922</v>
      </c>
      <c r="BE788" t="s">
        <v>940</v>
      </c>
      <c r="BF788" s="7">
        <v>25</v>
      </c>
      <c r="BG7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88">
        <v>0</v>
      </c>
      <c r="BI788" t="s">
        <v>734</v>
      </c>
      <c r="BJ788" s="11"/>
      <c r="BK788" s="11"/>
      <c r="BL788" s="11">
        <v>41</v>
      </c>
      <c r="BM788">
        <v>0</v>
      </c>
      <c r="BN788" t="s">
        <v>692</v>
      </c>
      <c r="BO788" t="s">
        <v>694</v>
      </c>
      <c r="BP788" t="s">
        <v>701</v>
      </c>
      <c r="BQ788" t="s">
        <v>705</v>
      </c>
      <c r="BR788" t="s">
        <v>706</v>
      </c>
      <c r="BS788" t="s">
        <v>707</v>
      </c>
      <c r="CR788"/>
      <c r="CS788"/>
      <c r="CT788"/>
    </row>
    <row r="789" spans="1:98" x14ac:dyDescent="0.4">
      <c r="A789" s="2" t="s">
        <v>844</v>
      </c>
      <c r="B789" t="str">
        <f>_xlfn.TEXTAFTER(Table1[[#This Row],[VEHIDCODE]],"_")</f>
        <v>Coach_Gen6_Super_Voyager_Coach</v>
      </c>
      <c r="C789" t="s">
        <v>760</v>
      </c>
      <c r="D789" t="b">
        <f>OR(ISNUMBER(SEARCH("wagon_",Table1[[#This Row],[FILENAMES_EXPECTED]])),ISNUMBER(SEARCH("coach_",Table1[[#This Row],[FILENAMES_EXPECTED]])))</f>
        <v>1</v>
      </c>
      <c r="E789" t="str">
        <f>"item_"&amp;Table1[[#This Row],[VEHIDCODE]]</f>
        <v>item_mu_Coach_Gen6_Super_Voyager_Coach</v>
      </c>
      <c r="F789" t="str">
        <f>"str_"&amp;Table1[[#This Row],[VEHIDCODE]]</f>
        <v>str_mu_Coach_Gen6_Super_Voyager_Coach</v>
      </c>
      <c r="O789" s="2" t="b">
        <v>1</v>
      </c>
      <c r="X789" s="2" t="b">
        <v>1</v>
      </c>
      <c r="AG789" s="2" t="b">
        <v>1</v>
      </c>
      <c r="AJ789" s="2"/>
      <c r="AK789" s="2" t="b">
        <f>LEN(_xlfn.CONCAT(Table1[[#This Row],[TRACK_TYPE_STANDARD_GAUGE_RAILTYPE_OHLE]:[TRACK_TYPE_MTRO]]))&gt;0</f>
        <v>1</v>
      </c>
      <c r="AL789">
        <v>8</v>
      </c>
      <c r="AM789" t="s">
        <v>326</v>
      </c>
      <c r="AN789">
        <v>0</v>
      </c>
      <c r="AO789" t="s">
        <v>35</v>
      </c>
      <c r="AP789">
        <v>130</v>
      </c>
      <c r="AQ789">
        <v>2030</v>
      </c>
      <c r="AR789">
        <v>8</v>
      </c>
      <c r="AS789" s="2" t="s">
        <v>480</v>
      </c>
      <c r="AT789" t="b">
        <v>1</v>
      </c>
      <c r="AV789" s="2"/>
      <c r="AW789" t="s">
        <v>21</v>
      </c>
      <c r="AX789">
        <v>1</v>
      </c>
      <c r="AY789">
        <v>0</v>
      </c>
      <c r="AZ789" t="s">
        <v>711</v>
      </c>
      <c r="BA789">
        <v>0</v>
      </c>
      <c r="BB789" s="2">
        <v>0.3</v>
      </c>
      <c r="BC789" t="s">
        <v>936</v>
      </c>
      <c r="BD789" t="s">
        <v>922</v>
      </c>
      <c r="BE789" t="s">
        <v>940</v>
      </c>
      <c r="BF789" s="7">
        <v>25</v>
      </c>
      <c r="BG7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H789">
        <v>0</v>
      </c>
      <c r="BI789" t="s">
        <v>734</v>
      </c>
      <c r="BJ789" s="11"/>
      <c r="BK789" s="11"/>
      <c r="BL789" s="11">
        <v>43</v>
      </c>
      <c r="BM789">
        <v>0</v>
      </c>
      <c r="BN789" t="s">
        <v>692</v>
      </c>
      <c r="BO789" t="s">
        <v>694</v>
      </c>
      <c r="BP789" t="s">
        <v>701</v>
      </c>
      <c r="BQ789" t="s">
        <v>705</v>
      </c>
      <c r="BR789" t="s">
        <v>706</v>
      </c>
      <c r="BS789" t="s">
        <v>707</v>
      </c>
      <c r="CR789"/>
      <c r="CS789"/>
      <c r="CT789"/>
    </row>
  </sheetData>
  <phoneticPr fontId="18" type="noConversion"/>
  <conditionalFormatting sqref="AK1:AK1048576 CH790:CJ1048576 BC1:BE789">
    <cfRule type="cellIs" dxfId="0" priority="1" operator="equal">
      <formula>FALSE</formula>
    </cfRule>
  </conditionalFormatting>
  <dataValidations count="8">
    <dataValidation type="whole" operator="greaterThanOrEqual" allowBlank="1" showInputMessage="1" showErrorMessage="1" sqref="AL2:AL789" xr:uid="{0865EA1E-ABFC-4E01-96F3-8D2EEBA448D0}">
      <formula1>1</formula1>
    </dataValidation>
    <dataValidation type="whole" allowBlank="1" showInputMessage="1" showErrorMessage="1" sqref="AN2:AN789" xr:uid="{D532A972-0628-451A-B00F-CE76775FDF58}">
      <formula1>0</formula1>
      <formula2>1</formula2>
    </dataValidation>
    <dataValidation type="whole" operator="greaterThanOrEqual" allowBlank="1" showInputMessage="1" showErrorMessage="1" sqref="AP2:AP789 AX2:AY789 BA2:BA789 BJ2:BS789" xr:uid="{121BD96A-2DFE-44C0-A710-3DBE00BD35FA}">
      <formula1>0</formula1>
    </dataValidation>
    <dataValidation type="whole" allowBlank="1" showInputMessage="1" showErrorMessage="1" sqref="AQ2:AQ789" xr:uid="{67EBE282-754C-436F-B481-745FB04717CE}">
      <formula1>1660</formula1>
      <formula2>3000</formula2>
    </dataValidation>
    <dataValidation type="whole" allowBlank="1" showInputMessage="1" showErrorMessage="1" sqref="AR2:AR789" xr:uid="{54690802-1671-499A-B20D-C087BAB93449}">
      <formula1>1</formula1>
      <formula2>20</formula2>
    </dataValidation>
    <dataValidation type="decimal" operator="greaterThanOrEqual" allowBlank="1" showInputMessage="1" showErrorMessage="1" sqref="BB2:BB789" xr:uid="{9E64A5F4-D14E-4661-B9F0-1FF49B580A61}">
      <formula1>0</formula1>
    </dataValidation>
    <dataValidation type="whole" allowBlank="1" showInputMessage="1" showErrorMessage="1" sqref="BF2:BF789" xr:uid="{A0BAD92D-1676-4592-8103-C538B2C29C6C}">
      <formula1>5</formula1>
      <formula2>100</formula2>
    </dataValidation>
    <dataValidation type="list" allowBlank="1" showInputMessage="1" showErrorMessage="1" sqref="CO790:CS1048576 P790:AK1048576 CH790:CK1048576 BC2:BE789 G2:AK789" xr:uid="{49A9B598-B8DB-4809-AD01-29B98BDBD5F7}">
      <formula1>"TRUE"</formula1>
    </dataValidation>
  </dataValidations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91B0062-7632-4330-B743-85209701F723}">
          <x14:formula1>
            <xm:f>item_validation!$A$2:$A$17</xm:f>
          </x14:formula1>
          <xm:sqref>BC2:BD789</xm:sqref>
        </x14:dataValidation>
        <x14:dataValidation type="list" allowBlank="1" showInputMessage="1" showErrorMessage="1" xr:uid="{5168097A-AA03-41D9-BD83-206ED5178E49}">
          <x14:formula1>
            <xm:f>item_validation!$C$2:$C$3</xm:f>
          </x14:formula1>
          <xm:sqref>BE2:BE789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 x14ac:dyDescent="0.4"/>
  <sheetData>
    <row r="1" spans="1:1" x14ac:dyDescent="0.4">
      <c r="A1" t="s">
        <v>735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C17"/>
  <sheetViews>
    <sheetView workbookViewId="0">
      <selection activeCell="C1" sqref="C1:C3"/>
    </sheetView>
  </sheetViews>
  <sheetFormatPr defaultRowHeight="14.6" x14ac:dyDescent="0.4"/>
  <cols>
    <col min="1" max="1" width="17.765625" bestFit="1" customWidth="1"/>
    <col min="3" max="3" width="17.53515625" customWidth="1"/>
  </cols>
  <sheetData>
    <row r="1" spans="1:3" x14ac:dyDescent="0.4">
      <c r="A1" t="s">
        <v>938</v>
      </c>
      <c r="C1" t="s">
        <v>939</v>
      </c>
    </row>
    <row r="2" spans="1:3" x14ac:dyDescent="0.4">
      <c r="A2" t="s">
        <v>926</v>
      </c>
      <c r="C2" t="s">
        <v>940</v>
      </c>
    </row>
    <row r="3" spans="1:3" x14ac:dyDescent="0.4">
      <c r="A3" t="s">
        <v>935</v>
      </c>
      <c r="C3" t="s">
        <v>941</v>
      </c>
    </row>
    <row r="4" spans="1:3" x14ac:dyDescent="0.4">
      <c r="A4" t="s">
        <v>932</v>
      </c>
    </row>
    <row r="5" spans="1:3" x14ac:dyDescent="0.4">
      <c r="A5" t="s">
        <v>936</v>
      </c>
    </row>
    <row r="6" spans="1:3" x14ac:dyDescent="0.4">
      <c r="A6" t="s">
        <v>931</v>
      </c>
    </row>
    <row r="7" spans="1:3" x14ac:dyDescent="0.4">
      <c r="A7" t="s">
        <v>929</v>
      </c>
    </row>
    <row r="8" spans="1:3" x14ac:dyDescent="0.4">
      <c r="A8" t="s">
        <v>922</v>
      </c>
    </row>
    <row r="9" spans="1:3" x14ac:dyDescent="0.4">
      <c r="A9" t="s">
        <v>928</v>
      </c>
    </row>
    <row r="10" spans="1:3" x14ac:dyDescent="0.4">
      <c r="A10" t="s">
        <v>927</v>
      </c>
    </row>
    <row r="11" spans="1:3" x14ac:dyDescent="0.4">
      <c r="A11" t="s">
        <v>925</v>
      </c>
    </row>
    <row r="12" spans="1:3" x14ac:dyDescent="0.4">
      <c r="A12" t="s">
        <v>933</v>
      </c>
    </row>
    <row r="13" spans="1:3" x14ac:dyDescent="0.4">
      <c r="A13" t="s">
        <v>934</v>
      </c>
    </row>
    <row r="14" spans="1:3" x14ac:dyDescent="0.4">
      <c r="A14" t="s">
        <v>937</v>
      </c>
    </row>
    <row r="15" spans="1:3" x14ac:dyDescent="0.4">
      <c r="A15" t="s">
        <v>930</v>
      </c>
    </row>
    <row r="16" spans="1:3" x14ac:dyDescent="0.4">
      <c r="A16" t="s">
        <v>924</v>
      </c>
    </row>
    <row r="17" spans="1:1" x14ac:dyDescent="0.4">
      <c r="A17" t="s">
        <v>923</v>
      </c>
    </row>
  </sheetData>
  <sortState xmlns:xlrd2="http://schemas.microsoft.com/office/spreadsheetml/2017/richdata2" ref="A2:A17">
    <sortCondition ref="A2:A17"/>
  </sortState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properties</vt:lpstr>
      <vt:lpstr>copyright_text</vt:lpstr>
      <vt:lpstr>item_validation</vt:lpstr>
      <vt:lpstr>VALID_REGIONS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2026-03-24T13:20:48Z</dcterms:modified>
</cp:coreProperties>
</file>