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B6FF8F9-CAF3-4E63-8C74-2697DCC2FAFF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19" i="19" l="1"/>
  <c r="AF819" i="1"/>
  <c r="AG819" i="1" a="1"/>
  <c r="AG819" i="1"/>
  <c r="AH819" i="1" a="1"/>
  <c r="AH819" i="1"/>
  <c r="AI819" i="1" a="1"/>
  <c r="AI819" i="1"/>
  <c r="AJ819" i="1"/>
  <c r="AF819" i="17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819" i="24" l="1"/>
  <c r="D819" i="24"/>
  <c r="B819" i="24"/>
  <c r="F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AF819" i="17"/>
  <c r="U819" i="17"/>
  <c r="H819" i="14"/>
  <c r="AF768" i="17" a="1"/>
  <c r="AF769" i="17" a="1"/>
  <c r="AF772" i="17" a="1"/>
  <c r="AF773" i="17" a="1"/>
  <c r="AF774" i="17" a="1"/>
  <c r="AF775" i="17" a="1"/>
  <c r="AF739" i="17" a="1"/>
  <c r="AF741" i="17" a="1"/>
  <c r="AF745" i="17" a="1"/>
  <c r="AF747" i="17" a="1"/>
  <c r="AF750" i="17" a="1"/>
  <c r="AF755" i="17" a="1"/>
  <c r="AF749" i="17" a="1"/>
  <c r="AF754" i="17" a="1"/>
  <c r="AF743" i="17" a="1"/>
  <c r="AF746" i="17" a="1"/>
  <c r="AF748" i="17" a="1"/>
  <c r="AF751" i="17" a="1"/>
  <c r="AF753" i="17" a="1"/>
  <c r="AF752" i="17" a="1"/>
  <c r="AF463" i="17" a="1"/>
  <c r="AF464" i="17" a="1"/>
  <c r="AF465" i="17" a="1"/>
  <c r="AF466" i="17" a="1"/>
  <c r="AF467" i="17" a="1"/>
  <c r="AF468" i="17" a="1"/>
  <c r="AF469" i="17" a="1"/>
  <c r="AF470" i="17" a="1"/>
  <c r="AF738" i="17" a="1"/>
  <c r="AF740" i="17" a="1"/>
  <c r="AF742" i="17" a="1"/>
  <c r="AF353" i="17" a="1"/>
  <c r="AF354" i="17" a="1"/>
  <c r="AF355" i="17" a="1"/>
  <c r="AF356" i="17" a="1"/>
  <c r="AF357" i="17" a="1"/>
  <c r="AF358" i="17" a="1"/>
  <c r="AF359" i="17" a="1"/>
  <c r="AF360" i="17" a="1"/>
  <c r="AF361" i="17" a="1"/>
  <c r="AF362" i="17" a="1"/>
  <c r="AF363" i="17" a="1"/>
  <c r="AF364" i="17" a="1"/>
  <c r="AF365" i="17" a="1"/>
  <c r="AF366" i="17" a="1"/>
  <c r="AF367" i="17" a="1"/>
  <c r="AF368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4" i="17" a="1"/>
  <c r="AF415" i="17" a="1"/>
  <c r="AF416" i="17" a="1"/>
  <c r="AF418" i="17" a="1"/>
  <c r="AF419" i="17" a="1"/>
  <c r="AF420" i="17" a="1"/>
  <c r="AF421" i="17" a="1"/>
  <c r="AF422" i="17" a="1"/>
  <c r="AF423" i="17" a="1"/>
  <c r="AF424" i="17" a="1"/>
  <c r="AF425" i="17" a="1"/>
  <c r="AF426" i="17" a="1"/>
  <c r="AF427" i="17" a="1"/>
  <c r="AF428" i="17" a="1"/>
  <c r="AF429" i="17" a="1"/>
  <c r="AF430" i="17" a="1"/>
  <c r="AF431" i="17" a="1"/>
  <c r="AF432" i="17" a="1"/>
  <c r="AF433" i="17" a="1"/>
  <c r="AF434" i="17" a="1"/>
  <c r="AF435" i="17" a="1"/>
  <c r="AF436" i="17" a="1"/>
  <c r="AF437" i="17" a="1"/>
  <c r="AF438" i="17" a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221" i="17" a="1"/>
  <c r="AF222" i="17" a="1"/>
  <c r="AF223" i="17" a="1"/>
  <c r="AF224" i="17" a="1"/>
  <c r="AF225" i="17" a="1"/>
  <c r="AF226" i="17" a="1"/>
  <c r="AF227" i="17" a="1"/>
  <c r="AF228" i="17" a="1"/>
  <c r="AF229" i="17" a="1"/>
  <c r="AF230" i="17" a="1"/>
  <c r="AF231" i="17" a="1"/>
  <c r="AF232" i="17" a="1"/>
  <c r="AF233" i="17" a="1"/>
  <c r="AF234" i="17" a="1"/>
  <c r="AF235" i="17" a="1"/>
  <c r="AF236" i="17" a="1"/>
  <c r="AF237" i="17" a="1"/>
  <c r="AF238" i="17" a="1"/>
  <c r="AF239" i="17" a="1"/>
  <c r="AF240" i="17" a="1"/>
  <c r="AF241" i="17" a="1"/>
  <c r="AF242" i="17" a="1"/>
  <c r="AF243" i="17" a="1"/>
  <c r="AF244" i="17" a="1"/>
  <c r="AF245" i="17" a="1"/>
  <c r="AF246" i="17" a="1"/>
  <c r="AF247" i="17" a="1"/>
  <c r="AF248" i="17" a="1"/>
  <c r="AF249" i="17" a="1"/>
  <c r="AF273" i="17" a="1"/>
  <c r="AF279" i="17" a="1"/>
  <c r="AF280" i="17" a="1"/>
  <c r="AF281" i="17" a="1"/>
  <c r="AF282" i="17" a="1"/>
  <c r="AF283" i="17" a="1"/>
  <c r="AF284" i="17" a="1"/>
  <c r="AF285" i="17" a="1"/>
  <c r="AF286" i="17" a="1"/>
  <c r="AF287" i="17" a="1"/>
  <c r="AF288" i="17" a="1"/>
  <c r="AF289" i="17" a="1"/>
  <c r="AF290" i="17" a="1"/>
  <c r="AF291" i="17" a="1"/>
  <c r="AF292" i="17" a="1"/>
  <c r="AF293" i="17" a="1"/>
  <c r="AF294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7" i="17" a="1"/>
  <c r="AF338" i="17" a="1"/>
  <c r="AF339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6" i="17" a="1"/>
  <c r="AF197" i="17" a="1"/>
  <c r="AF198" i="17" a="1"/>
  <c r="AF199" i="17" a="1"/>
  <c r="AF200" i="17" a="1"/>
  <c r="AF201" i="17" a="1"/>
  <c r="AF202" i="17" a="1"/>
  <c r="AF204" i="17" a="1"/>
  <c r="AF205" i="17" a="1"/>
  <c r="AF206" i="17" a="1"/>
  <c r="AF207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18" i="17" a="1"/>
  <c r="AF219" i="17" a="1"/>
  <c r="AF220" i="17" a="1"/>
  <c r="AF250" i="17" a="1"/>
  <c r="AF251" i="17" a="1"/>
  <c r="AF252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772" i="17"/>
  <c r="AF773" i="17"/>
  <c r="AF768" i="17"/>
  <c r="AF769" i="17"/>
  <c r="AF774" i="17"/>
  <c r="AF4" i="17" a="1"/>
  <c r="AF5" i="17" a="1"/>
  <c r="AF8" i="17" a="1"/>
  <c r="AF9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1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89" i="17" a="1"/>
  <c r="AF93" i="17" a="1"/>
  <c r="AF94" i="17" a="1"/>
  <c r="AF98" i="17" a="1"/>
  <c r="AF101" i="17" a="1"/>
  <c r="AF102" i="17" a="1"/>
  <c r="AF104" i="17" a="1"/>
  <c r="AF106" i="17" a="1"/>
  <c r="AF109" i="17" a="1"/>
  <c r="AF113" i="17" a="1"/>
  <c r="AF114" i="17" a="1"/>
  <c r="AF116" i="17" a="1"/>
  <c r="AF119" i="17" a="1"/>
  <c r="AF121" i="17" a="1"/>
  <c r="AF123" i="17" a="1"/>
  <c r="AF127" i="17" a="1"/>
  <c r="AF129" i="17" a="1"/>
  <c r="AF131" i="17" a="1"/>
  <c r="AF133" i="17" a="1"/>
  <c r="AF135" i="17" a="1"/>
  <c r="AF137" i="17" a="1"/>
  <c r="AF139" i="17" a="1"/>
  <c r="AF141" i="17" a="1"/>
  <c r="AF143" i="17" a="1"/>
  <c r="AF145" i="17" a="1"/>
  <c r="AF147" i="17" a="1"/>
  <c r="AF149" i="17" a="1"/>
  <c r="AF151" i="17" a="1"/>
  <c r="AF153" i="17" a="1"/>
  <c r="AF155" i="17" a="1"/>
  <c r="AF157" i="17" a="1"/>
  <c r="AF159" i="17" a="1"/>
  <c r="AF161" i="17" a="1"/>
  <c r="AF163" i="17" a="1"/>
  <c r="AF165" i="17" a="1"/>
  <c r="AF167" i="17" a="1"/>
  <c r="AF169" i="17" a="1"/>
  <c r="AF171" i="17" a="1"/>
  <c r="AF173" i="17" a="1"/>
  <c r="AF175" i="17" a="1"/>
  <c r="AF177" i="17" a="1"/>
  <c r="AF471" i="17" a="1"/>
  <c r="AF472" i="17" a="1"/>
  <c r="AF473" i="17" a="1"/>
  <c r="AF474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4" i="17" a="1"/>
  <c r="AF485" i="17" a="1"/>
  <c r="AF486" i="17" a="1"/>
  <c r="AF487" i="17" a="1"/>
  <c r="AF488" i="17" a="1"/>
  <c r="AF489" i="17" a="1"/>
  <c r="AF490" i="17" a="1"/>
  <c r="AF491" i="17" a="1"/>
  <c r="AF492" i="17" a="1"/>
  <c r="AF493" i="17" a="1"/>
  <c r="AF494" i="17" a="1"/>
  <c r="AF495" i="17" a="1"/>
  <c r="AF496" i="17" a="1"/>
  <c r="AF497" i="17" a="1"/>
  <c r="AF498" i="17" a="1"/>
  <c r="AF499" i="17" a="1"/>
  <c r="AF500" i="17" a="1"/>
  <c r="AF501" i="17" a="1"/>
  <c r="AF502" i="17" a="1"/>
  <c r="AF503" i="17" a="1"/>
  <c r="AF504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19" i="17" a="1"/>
  <c r="AF520" i="17" a="1"/>
  <c r="AF521" i="17" a="1"/>
  <c r="AF522" i="17" a="1"/>
  <c r="AF523" i="17" a="1"/>
  <c r="AF524" i="17" a="1"/>
  <c r="AF525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543" i="17" a="1"/>
  <c r="AF543" i="17" s="1"/>
  <c r="AF544" i="17" a="1"/>
  <c r="AF544" i="17" s="1"/>
  <c r="AF545" i="17" a="1"/>
  <c r="AF546" i="17" a="1"/>
  <c r="AF546" i="17" s="1"/>
  <c r="AF547" i="17" a="1"/>
  <c r="AF547" i="17" s="1"/>
  <c r="AF548" i="17" a="1"/>
  <c r="AF548" i="17" s="1"/>
  <c r="AF549" i="17" a="1"/>
  <c r="AF550" i="17" a="1"/>
  <c r="AF551" i="17" a="1"/>
  <c r="AF552" i="17" a="1"/>
  <c r="AF553" i="17" a="1"/>
  <c r="AF554" i="17" a="1"/>
  <c r="AF555" i="17" a="1"/>
  <c r="AF556" i="17" a="1"/>
  <c r="AF557" i="17" a="1"/>
  <c r="AF558" i="17" a="1"/>
  <c r="AF559" i="17" a="1"/>
  <c r="AF560" i="17" a="1"/>
  <c r="AF561" i="17" a="1"/>
  <c r="AF562" i="17" a="1"/>
  <c r="AF563" i="17" a="1"/>
  <c r="AF564" i="17" a="1"/>
  <c r="AF565" i="17" a="1"/>
  <c r="AF566" i="17" a="1"/>
  <c r="AF567" i="17" a="1"/>
  <c r="AF568" i="17" a="1"/>
  <c r="AF569" i="17" a="1"/>
  <c r="AF570" i="17" a="1"/>
  <c r="AF571" i="17" a="1"/>
  <c r="AF572" i="17" a="1"/>
  <c r="AF573" i="17" a="1"/>
  <c r="AF574" i="17" a="1"/>
  <c r="AF575" i="17" a="1"/>
  <c r="AF576" i="17" a="1"/>
  <c r="AF577" i="17" a="1"/>
  <c r="AF578" i="17" a="1"/>
  <c r="AF579" i="17" a="1"/>
  <c r="AF580" i="17" a="1"/>
  <c r="AF581" i="17" a="1"/>
  <c r="AF582" i="17" a="1"/>
  <c r="AF583" i="17" a="1"/>
  <c r="AF584" i="17" a="1"/>
  <c r="AF585" i="17" a="1"/>
  <c r="AF586" i="17" a="1"/>
  <c r="AF587" i="17" a="1"/>
  <c r="AF588" i="17" a="1"/>
  <c r="AF589" i="17" a="1"/>
  <c r="AF590" i="17" a="1"/>
  <c r="AF591" i="17" a="1"/>
  <c r="AF592" i="17" a="1"/>
  <c r="AF593" i="17" a="1"/>
  <c r="AF594" i="17" a="1"/>
  <c r="AF595" i="17" a="1"/>
  <c r="AF596" i="17" a="1"/>
  <c r="AF597" i="17" a="1"/>
  <c r="AF599" i="17" a="1"/>
  <c r="AF600" i="17" a="1"/>
  <c r="AF601" i="17" a="1"/>
  <c r="AF602" i="17" a="1"/>
  <c r="AF603" i="17" a="1"/>
  <c r="AF604" i="17" a="1"/>
  <c r="AF605" i="17" a="1"/>
  <c r="AF606" i="17" a="1"/>
  <c r="AF607" i="17" a="1"/>
  <c r="AF608" i="17" a="1"/>
  <c r="AF609" i="17" a="1"/>
  <c r="AF610" i="17" a="1"/>
  <c r="AF611" i="17" a="1"/>
  <c r="AF612" i="17" a="1"/>
  <c r="AF613" i="17" a="1"/>
  <c r="AF614" i="17" a="1"/>
  <c r="AF615" i="17" a="1"/>
  <c r="AF616" i="17" a="1"/>
  <c r="AF617" i="17" a="1"/>
  <c r="AF618" i="17" a="1"/>
  <c r="AF620" i="17" a="1"/>
  <c r="AF621" i="17" a="1"/>
  <c r="AF622" i="17" a="1"/>
  <c r="AF623" i="17" a="1"/>
  <c r="AF624" i="17" a="1"/>
  <c r="AF625" i="17" a="1"/>
  <c r="AF626" i="17" a="1"/>
  <c r="AF627" i="17" a="1"/>
  <c r="AF628" i="17" a="1"/>
  <c r="AF629" i="17" a="1"/>
  <c r="AF630" i="17" a="1"/>
  <c r="AF631" i="17" a="1"/>
  <c r="AF632" i="17" a="1"/>
  <c r="AF633" i="17" a="1"/>
  <c r="AF634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6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3" i="17" a="1"/>
  <c r="AF105" i="17" a="1"/>
  <c r="AF108" i="17" a="1"/>
  <c r="AF110" i="17" a="1"/>
  <c r="AF112" i="17" a="1"/>
  <c r="AF115" i="17" a="1"/>
  <c r="AF120" i="17" a="1"/>
  <c r="AF122" i="17" a="1"/>
  <c r="AF124" i="17" a="1"/>
  <c r="AF126" i="17" a="1"/>
  <c r="AF128" i="17" a="1"/>
  <c r="AF130" i="17" a="1"/>
  <c r="AF132" i="17" a="1"/>
  <c r="AF134" i="17" a="1"/>
  <c r="AF136" i="17" a="1"/>
  <c r="AF138" i="17" a="1"/>
  <c r="AF140" i="17" a="1"/>
  <c r="AF142" i="17" a="1"/>
  <c r="AF144" i="17" a="1"/>
  <c r="AF146" i="17" a="1"/>
  <c r="AF148" i="17" a="1"/>
  <c r="AF150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0" i="17" a="1"/>
  <c r="AF172" i="17" a="1"/>
  <c r="AF174" i="17" a="1"/>
  <c r="AF176" i="17" a="1"/>
  <c r="AF754" i="17"/>
  <c r="AF468" i="17"/>
  <c r="AF466" i="17"/>
  <c r="AF742" i="17"/>
  <c r="AF748" i="17"/>
  <c r="AF464" i="17"/>
  <c r="AF749" i="17"/>
  <c r="AF750" i="17"/>
  <c r="AF463" i="17"/>
  <c r="AF741" i="17"/>
  <c r="AF755" i="17"/>
  <c r="AF747" i="17"/>
  <c r="AF775" i="17"/>
  <c r="AF740" i="17"/>
  <c r="AF738" i="17"/>
  <c r="AF739" i="17"/>
  <c r="AF743" i="17"/>
  <c r="AF470" i="17"/>
  <c r="AF753" i="17"/>
  <c r="AF746" i="17"/>
  <c r="AF467" i="17"/>
  <c r="AF751" i="17"/>
  <c r="AF465" i="17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J9" i="1" s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J285" i="1" s="1"/>
  <c r="AG289" i="1"/>
  <c r="AJ289" i="1" s="1"/>
  <c r="AG286" i="1"/>
  <c r="AJ286" i="1" s="1"/>
  <c r="AG290" i="1"/>
  <c r="AJ290" i="1" s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J4" i="1" s="1"/>
  <c r="AG5" i="1"/>
  <c r="AJ5" i="1" s="1"/>
  <c r="AG10" i="1"/>
  <c r="AG457" i="1"/>
  <c r="AJ457" i="1" s="1"/>
  <c r="AG459" i="1"/>
  <c r="AJ459" i="1" s="1"/>
  <c r="AG504" i="1"/>
  <c r="AJ504" i="1" s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J41" i="1" s="1"/>
  <c r="AG42" i="1"/>
  <c r="AJ42" i="1" s="1"/>
  <c r="AG7" i="1"/>
  <c r="AJ7" i="1" s="1"/>
  <c r="AG13" i="1"/>
  <c r="AJ13" i="1" s="1"/>
  <c r="AG16" i="1"/>
  <c r="AJ16" i="1" s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J229" i="1" s="1"/>
  <c r="AG230" i="1"/>
  <c r="AJ230" i="1" s="1"/>
  <c r="AG242" i="1"/>
  <c r="AJ242" i="1" s="1"/>
  <c r="AG252" i="1"/>
  <c r="AJ252" i="1" s="1"/>
  <c r="AG258" i="1"/>
  <c r="AJ258" i="1" s="1"/>
  <c r="AG269" i="1"/>
  <c r="AG280" i="1"/>
  <c r="AJ280" i="1" s="1"/>
  <c r="AG231" i="1"/>
  <c r="AJ231" i="1" s="1"/>
  <c r="AG232" i="1"/>
  <c r="AJ232" i="1" s="1"/>
  <c r="AG238" i="1"/>
  <c r="AJ238" i="1" s="1"/>
  <c r="AG243" i="1"/>
  <c r="AJ243" i="1" s="1"/>
  <c r="AG244" i="1"/>
  <c r="AJ244" i="1" s="1"/>
  <c r="AG245" i="1"/>
  <c r="AJ245" i="1" s="1"/>
  <c r="AG251" i="1"/>
  <c r="AJ251" i="1" s="1"/>
  <c r="AG264" i="1"/>
  <c r="AJ264" i="1" s="1"/>
  <c r="AG272" i="1"/>
  <c r="AG278" i="1"/>
  <c r="AG235" i="1"/>
  <c r="AJ235" i="1" s="1"/>
  <c r="AG257" i="1"/>
  <c r="AJ257" i="1" s="1"/>
  <c r="AG265" i="1"/>
  <c r="AJ265" i="1" s="1"/>
  <c r="AG301" i="1"/>
  <c r="AJ301" i="1" s="1"/>
  <c r="AG240" i="1"/>
  <c r="AJ240" i="1" s="1"/>
  <c r="AG241" i="1"/>
  <c r="AJ241" i="1" s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J282" i="1" s="1"/>
  <c r="AG226" i="1"/>
  <c r="AJ226" i="1" s="1"/>
  <c r="AG227" i="1"/>
  <c r="AJ227" i="1" s="1"/>
  <c r="AG246" i="1"/>
  <c r="AJ246" i="1" s="1"/>
  <c r="AG247" i="1"/>
  <c r="AJ247" i="1" s="1"/>
  <c r="AG254" i="1"/>
  <c r="AJ254" i="1" s="1"/>
  <c r="AG261" i="1"/>
  <c r="AJ261" i="1" s="1"/>
  <c r="AG268" i="1"/>
  <c r="AG236" i="1"/>
  <c r="AJ236" i="1" s="1"/>
  <c r="AG249" i="1"/>
  <c r="AJ249" i="1" s="1"/>
  <c r="AG250" i="1"/>
  <c r="AJ250" i="1" s="1"/>
  <c r="AG263" i="1"/>
  <c r="AJ263" i="1" s="1"/>
  <c r="AG281" i="1"/>
  <c r="AJ281" i="1" s="1"/>
  <c r="AG248" i="1"/>
  <c r="AJ248" i="1" s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J283" i="1" s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J383" i="1" s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J414" i="1" s="1"/>
  <c r="AG415" i="1"/>
  <c r="AJ415" i="1" s="1"/>
  <c r="AG416" i="1"/>
  <c r="AJ416" i="1" s="1"/>
  <c r="AG419" i="1"/>
  <c r="AJ419" i="1" s="1"/>
  <c r="AG423" i="1"/>
  <c r="AJ423" i="1" s="1"/>
  <c r="AG426" i="1"/>
  <c r="AJ426" i="1" s="1"/>
  <c r="AG429" i="1"/>
  <c r="AJ429" i="1" s="1"/>
  <c r="AG432" i="1"/>
  <c r="AJ432" i="1" s="1"/>
  <c r="AG435" i="1"/>
  <c r="AJ435" i="1" s="1"/>
  <c r="AG438" i="1"/>
  <c r="AJ438" i="1" s="1"/>
  <c r="AG441" i="1"/>
  <c r="AJ441" i="1" s="1"/>
  <c r="AG443" i="1"/>
  <c r="AJ443" i="1" s="1"/>
  <c r="AG447" i="1"/>
  <c r="AJ447" i="1" s="1"/>
  <c r="AG462" i="1"/>
  <c r="AJ462" i="1" s="1"/>
  <c r="AG465" i="1"/>
  <c r="AJ465" i="1" s="1"/>
  <c r="AG471" i="1"/>
  <c r="AJ471" i="1" s="1"/>
  <c r="AG475" i="1"/>
  <c r="AJ475" i="1" s="1"/>
  <c r="AG478" i="1"/>
  <c r="AJ478" i="1" s="1"/>
  <c r="AG484" i="1"/>
  <c r="AJ484" i="1" s="1"/>
  <c r="AG485" i="1"/>
  <c r="AJ485" i="1" s="1"/>
  <c r="AG488" i="1"/>
  <c r="AJ488" i="1" s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J756" i="1" s="1"/>
  <c r="AG757" i="1"/>
  <c r="AJ757" i="1" s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J792" i="1" s="1"/>
  <c r="AF792" i="17" s="1" a="1"/>
  <c r="AF792" i="17" s="1"/>
  <c r="AG795" i="1"/>
  <c r="AJ795" i="1" s="1"/>
  <c r="AF795" i="17" s="1" a="1"/>
  <c r="AF795" i="17" s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J54" i="1" s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J122" i="1" s="1"/>
  <c r="AG132" i="1"/>
  <c r="AJ132" i="1" s="1"/>
  <c r="AG143" i="1"/>
  <c r="AJ143" i="1" s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J354" i="1" s="1"/>
  <c r="AG362" i="1"/>
  <c r="AJ362" i="1" s="1"/>
  <c r="AG369" i="1"/>
  <c r="AJ369" i="1" s="1"/>
  <c r="AG378" i="1"/>
  <c r="AJ378" i="1" s="1"/>
  <c r="AG386" i="1"/>
  <c r="AJ386" i="1" s="1"/>
  <c r="AG387" i="1"/>
  <c r="AJ387" i="1" s="1"/>
  <c r="AG395" i="1"/>
  <c r="AJ395" i="1" s="1"/>
  <c r="AG410" i="1"/>
  <c r="AJ410" i="1" s="1"/>
  <c r="AG417" i="1"/>
  <c r="AJ417" i="1" s="1"/>
  <c r="AG424" i="1"/>
  <c r="AJ424" i="1" s="1"/>
  <c r="AG431" i="1"/>
  <c r="AJ431" i="1" s="1"/>
  <c r="AG445" i="1"/>
  <c r="AJ445" i="1" s="1"/>
  <c r="AG466" i="1"/>
  <c r="AJ466" i="1" s="1"/>
  <c r="AG473" i="1"/>
  <c r="AJ473" i="1" s="1"/>
  <c r="AG480" i="1"/>
  <c r="AJ480" i="1" s="1"/>
  <c r="AG481" i="1"/>
  <c r="AJ481" i="1" s="1"/>
  <c r="AG482" i="1"/>
  <c r="AJ482" i="1" s="1"/>
  <c r="AG489" i="1"/>
  <c r="AJ489" i="1" s="1"/>
  <c r="AG496" i="1"/>
  <c r="AJ496" i="1" s="1"/>
  <c r="AG503" i="1"/>
  <c r="AJ503" i="1" s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J570" i="1" s="1"/>
  <c r="AG571" i="1"/>
  <c r="AJ571" i="1" s="1"/>
  <c r="AG578" i="1"/>
  <c r="AJ578" i="1" s="1"/>
  <c r="AG580" i="1"/>
  <c r="AJ580" i="1" s="1"/>
  <c r="AG588" i="1"/>
  <c r="AJ588" i="1" s="1"/>
  <c r="AG589" i="1"/>
  <c r="AJ589" i="1" s="1"/>
  <c r="AG590" i="1"/>
  <c r="AJ590" i="1" s="1"/>
  <c r="AG599" i="1"/>
  <c r="AJ599" i="1" s="1"/>
  <c r="AG616" i="1"/>
  <c r="AJ616" i="1" s="1"/>
  <c r="AG634" i="1"/>
  <c r="AJ634" i="1" s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J112" i="1" s="1"/>
  <c r="AG118" i="1"/>
  <c r="AG137" i="1"/>
  <c r="AJ137" i="1" s="1"/>
  <c r="AG138" i="1"/>
  <c r="AJ138" i="1" s="1"/>
  <c r="AG145" i="1"/>
  <c r="AJ145" i="1" s="1"/>
  <c r="AG147" i="1"/>
  <c r="AJ147" i="1" s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J572" i="1" s="1"/>
  <c r="AG576" i="1"/>
  <c r="AJ576" i="1" s="1"/>
  <c r="AG581" i="1"/>
  <c r="AJ581" i="1" s="1"/>
  <c r="AG585" i="1"/>
  <c r="AJ585" i="1" s="1"/>
  <c r="AG593" i="1"/>
  <c r="AJ593" i="1" s="1"/>
  <c r="AG597" i="1"/>
  <c r="AJ597" i="1" s="1"/>
  <c r="AG602" i="1"/>
  <c r="AJ602" i="1" s="1"/>
  <c r="AG605" i="1"/>
  <c r="AJ605" i="1" s="1"/>
  <c r="AG610" i="1"/>
  <c r="AJ610" i="1" s="1"/>
  <c r="AG614" i="1"/>
  <c r="AJ614" i="1" s="1"/>
  <c r="AG619" i="1"/>
  <c r="AJ619" i="1" s="1"/>
  <c r="AG623" i="1"/>
  <c r="AJ623" i="1" s="1"/>
  <c r="AG628" i="1"/>
  <c r="AJ628" i="1" s="1"/>
  <c r="AG631" i="1"/>
  <c r="AJ631" i="1" s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J339" i="1" s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J47" i="1" s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J539" i="1" s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J569" i="1" s="1"/>
  <c r="AG574" i="1"/>
  <c r="AJ574" i="1" s="1"/>
  <c r="AG575" i="1"/>
  <c r="AJ575" i="1" s="1"/>
  <c r="AG579" i="1"/>
  <c r="AJ579" i="1" s="1"/>
  <c r="AG584" i="1"/>
  <c r="AJ584" i="1" s="1"/>
  <c r="AG595" i="1"/>
  <c r="AJ595" i="1" s="1"/>
  <c r="AG600" i="1"/>
  <c r="AJ600" i="1" s="1"/>
  <c r="AG604" i="1"/>
  <c r="AJ604" i="1" s="1"/>
  <c r="AG608" i="1"/>
  <c r="AJ608" i="1" s="1"/>
  <c r="AG609" i="1"/>
  <c r="AJ609" i="1" s="1"/>
  <c r="AG613" i="1"/>
  <c r="AJ613" i="1" s="1"/>
  <c r="AG618" i="1"/>
  <c r="AJ618" i="1" s="1"/>
  <c r="AG622" i="1"/>
  <c r="AJ622" i="1" s="1"/>
  <c r="AG625" i="1"/>
  <c r="AJ625" i="1" s="1"/>
  <c r="AG626" i="1"/>
  <c r="AJ626" i="1" s="1"/>
  <c r="AG627" i="1"/>
  <c r="AJ627" i="1" s="1"/>
  <c r="AG632" i="1"/>
  <c r="AJ632" i="1" s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J630" i="1" s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J130" i="1" s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J196" i="1" s="1"/>
  <c r="AG202" i="1"/>
  <c r="AJ202" i="1" s="1"/>
  <c r="AG207" i="1"/>
  <c r="AJ207" i="1" s="1"/>
  <c r="AG213" i="1"/>
  <c r="AJ213" i="1" s="1"/>
  <c r="AG219" i="1"/>
  <c r="AJ219" i="1" s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J89" i="1" s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J134" i="1" s="1"/>
  <c r="AG139" i="1"/>
  <c r="AJ139" i="1" s="1"/>
  <c r="AG146" i="1"/>
  <c r="AJ146" i="1" s="1"/>
  <c r="AG152" i="1"/>
  <c r="AJ152" i="1" s="1"/>
  <c r="AG159" i="1"/>
  <c r="AJ159" i="1" s="1"/>
  <c r="AG165" i="1"/>
  <c r="AJ165" i="1" s="1"/>
  <c r="AG170" i="1"/>
  <c r="AJ170" i="1" s="1"/>
  <c r="AG182" i="1"/>
  <c r="AJ182" i="1" s="1"/>
  <c r="AG187" i="1"/>
  <c r="AJ187" i="1" s="1"/>
  <c r="AG199" i="1"/>
  <c r="AJ199" i="1" s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G103" i="1"/>
  <c r="AJ103" i="1" s="1"/>
  <c r="AG124" i="1"/>
  <c r="AJ124" i="1" s="1"/>
  <c r="AG133" i="1"/>
  <c r="AJ133" i="1" s="1"/>
  <c r="AG150" i="1"/>
  <c r="AJ150" i="1" s="1"/>
  <c r="AG158" i="1"/>
  <c r="AJ158" i="1" s="1"/>
  <c r="AG167" i="1"/>
  <c r="AJ167" i="1" s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J218" i="1" s="1"/>
  <c r="AG293" i="1"/>
  <c r="AJ293" i="1" s="1"/>
  <c r="AG294" i="1"/>
  <c r="AJ294" i="1" s="1"/>
  <c r="AG73" i="1"/>
  <c r="AJ73" i="1" s="1"/>
  <c r="AG84" i="1"/>
  <c r="AJ84" i="1" s="1"/>
  <c r="AG101" i="1"/>
  <c r="AJ101" i="1" s="1"/>
  <c r="AG129" i="1"/>
  <c r="AJ129" i="1" s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J316" i="1" s="1"/>
  <c r="AG320" i="1"/>
  <c r="AJ320" i="1" s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J358" i="1" s="1"/>
  <c r="AG361" i="1"/>
  <c r="AJ361" i="1" s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J385" i="1" s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J490" i="1" s="1"/>
  <c r="AG493" i="1"/>
  <c r="AJ493" i="1" s="1"/>
  <c r="AG497" i="1"/>
  <c r="AJ497" i="1" s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J538" i="1" s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J583" i="1" s="1"/>
  <c r="AG587" i="1"/>
  <c r="AJ587" i="1" s="1"/>
  <c r="AG592" i="1"/>
  <c r="AJ592" i="1" s="1"/>
  <c r="AG596" i="1"/>
  <c r="AJ596" i="1" s="1"/>
  <c r="AG601" i="1"/>
  <c r="AJ601" i="1" s="1"/>
  <c r="AG606" i="1"/>
  <c r="AJ606" i="1" s="1"/>
  <c r="AG611" i="1"/>
  <c r="AJ611" i="1" s="1"/>
  <c r="AG620" i="1"/>
  <c r="AJ620" i="1" s="1"/>
  <c r="AG624" i="1"/>
  <c r="AJ624" i="1" s="1"/>
  <c r="AG629" i="1"/>
  <c r="AJ629" i="1" s="1"/>
  <c r="AG633" i="1"/>
  <c r="AJ633" i="1" s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J765" i="1" s="1"/>
  <c r="AG767" i="1"/>
  <c r="AJ767" i="1" s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J96" i="1" s="1"/>
  <c r="AG99" i="1"/>
  <c r="AJ99" i="1" s="1"/>
  <c r="AG106" i="1"/>
  <c r="AJ106" i="1" s="1"/>
  <c r="AG110" i="1"/>
  <c r="AJ110" i="1" s="1"/>
  <c r="AG111" i="1"/>
  <c r="AG115" i="1"/>
  <c r="AJ115" i="1" s="1"/>
  <c r="AG123" i="1"/>
  <c r="AJ123" i="1" s="1"/>
  <c r="AG128" i="1"/>
  <c r="AJ128" i="1" s="1"/>
  <c r="AG135" i="1"/>
  <c r="AJ135" i="1" s="1"/>
  <c r="AG140" i="1"/>
  <c r="AJ140" i="1" s="1"/>
  <c r="AG141" i="1"/>
  <c r="AJ141" i="1" s="1"/>
  <c r="AG142" i="1"/>
  <c r="AJ142" i="1" s="1"/>
  <c r="AG148" i="1"/>
  <c r="AJ148" i="1" s="1"/>
  <c r="AG149" i="1"/>
  <c r="AJ149" i="1" s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19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F763" i="17" l="1" a="1"/>
  <c r="AF763" i="17" s="1"/>
  <c r="AF744" i="17" a="1"/>
  <c r="AF744" i="17" s="1"/>
  <c r="AF410" i="17" a="1"/>
  <c r="AF44" i="17" a="1"/>
  <c r="AF47" i="17" a="1"/>
  <c r="AF49" i="17" a="1"/>
  <c r="AF50" i="17" a="1"/>
  <c r="AF52" i="17" a="1"/>
  <c r="AF54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6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C819" i="24"/>
  <c r="H819" i="24"/>
  <c r="K819" i="24"/>
  <c r="M819" i="24"/>
  <c r="G819" i="24"/>
  <c r="I819" i="24"/>
  <c r="J819" i="24"/>
  <c r="L819" i="24"/>
  <c r="N819" i="24"/>
  <c r="O819" i="24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7" i="17" a="1"/>
  <c r="AF767" i="17" s="1"/>
  <c r="AF765" i="17" a="1"/>
  <c r="AF765" i="17" s="1"/>
  <c r="AF619" i="17" a="1"/>
  <c r="AF598" i="17" a="1"/>
  <c r="AF764" i="17" a="1"/>
  <c r="AF764" i="17" s="1"/>
  <c r="AF756" i="17" a="1"/>
  <c r="AF756" i="17" s="1"/>
  <c r="AF758" i="17" a="1"/>
  <c r="AF758" i="17" s="1"/>
  <c r="AF761" i="17" a="1"/>
  <c r="AF761" i="17" s="1"/>
  <c r="AF760" i="17" a="1"/>
  <c r="AF760" i="17" s="1"/>
  <c r="AF757" i="17" a="1"/>
  <c r="AF757" i="17" s="1"/>
  <c r="AF745" i="17"/>
  <c r="AF752" i="17"/>
  <c r="AF469" i="17"/>
  <c r="AF370" i="17"/>
  <c r="AF398" i="17"/>
  <c r="AF292" i="17"/>
  <c r="AF317" i="17"/>
  <c r="AF428" i="17"/>
  <c r="AF537" i="17"/>
  <c r="AF132" i="17"/>
  <c r="AF178" i="17"/>
  <c r="AF198" i="17"/>
  <c r="AF199" i="17"/>
  <c r="AF225" i="17"/>
  <c r="AF226" i="17"/>
  <c r="AF245" i="17"/>
  <c r="AF297" i="17"/>
  <c r="AF354" i="17"/>
  <c r="AF381" i="17"/>
  <c r="AF436" i="17"/>
  <c r="AF191" i="17"/>
  <c r="AF233" i="17"/>
  <c r="AF290" i="17"/>
  <c r="AF314" i="17"/>
  <c r="AF335" i="17"/>
  <c r="AF357" i="17"/>
  <c r="AF376" i="17"/>
  <c r="AF377" i="17"/>
  <c r="AF397" i="17"/>
  <c r="AF421" i="17"/>
  <c r="AF444" i="17"/>
  <c r="AF196" i="17"/>
  <c r="AF197" i="17"/>
  <c r="AF247" i="17"/>
  <c r="AF248" i="17"/>
  <c r="AF322" i="17"/>
  <c r="AF349" i="17"/>
  <c r="AF374" i="17"/>
  <c r="AF402" i="17"/>
  <c r="AF431" i="17"/>
  <c r="AF459" i="17"/>
  <c r="AF204" i="17"/>
  <c r="AF244" i="17"/>
  <c r="AF291" i="17"/>
  <c r="AF338" i="17"/>
  <c r="AF385" i="17"/>
  <c r="AF419" i="17"/>
  <c r="AF446" i="17"/>
  <c r="AF328" i="17"/>
  <c r="AF359" i="17"/>
  <c r="AF384" i="17"/>
  <c r="AF440" i="17"/>
  <c r="AF189" i="17"/>
  <c r="AF249" i="17"/>
  <c r="AF273" i="17"/>
  <c r="AF298" i="17"/>
  <c r="AF323" i="17"/>
  <c r="AF351" i="17"/>
  <c r="AF380" i="17"/>
  <c r="AF408" i="17"/>
  <c r="AF409" i="17"/>
  <c r="AF437" i="17"/>
  <c r="AF193" i="17"/>
  <c r="AF239" i="17"/>
  <c r="AF303" i="17"/>
  <c r="AF325" i="17"/>
  <c r="AF326" i="17"/>
  <c r="AF327" i="17"/>
  <c r="AF353" i="17"/>
  <c r="AF379" i="17"/>
  <c r="AF407" i="17"/>
  <c r="AF435" i="17"/>
  <c r="AF222" i="17"/>
  <c r="AF241" i="17"/>
  <c r="AF286" i="17"/>
  <c r="AF310" i="17"/>
  <c r="AF337" i="17"/>
  <c r="AF364" i="17"/>
  <c r="AF390" i="17"/>
  <c r="AF420" i="17"/>
  <c r="AF183" i="17"/>
  <c r="AF205" i="17"/>
  <c r="AF366" i="17"/>
  <c r="AF392" i="17"/>
  <c r="AF447" i="17"/>
  <c r="AF448" i="17"/>
  <c r="AF378" i="17"/>
  <c r="AF406" i="17"/>
  <c r="AF434" i="17"/>
  <c r="AF462" i="17"/>
  <c r="AF365" i="17"/>
  <c r="AF394" i="17"/>
  <c r="AF423" i="17"/>
  <c r="AF451" i="17"/>
  <c r="AF452" i="17"/>
  <c r="AF356" i="17"/>
  <c r="AF400" i="17"/>
  <c r="AF424" i="17"/>
  <c r="AF361" i="17"/>
  <c r="AF389" i="17"/>
  <c r="AF415" i="17"/>
  <c r="AF443" i="17"/>
  <c r="AF367" i="17"/>
  <c r="AF393" i="17"/>
  <c r="AF418" i="17"/>
  <c r="AF449" i="17"/>
  <c r="AF363" i="17"/>
  <c r="AF387" i="17"/>
  <c r="AF416" i="17"/>
  <c r="AF445" i="17"/>
  <c r="AF391" i="17"/>
  <c r="AF425" i="17"/>
  <c r="AF453" i="17"/>
  <c r="AF372" i="17"/>
  <c r="AF403" i="17"/>
  <c r="AF430" i="17"/>
  <c r="AF457" i="17"/>
  <c r="AF360" i="17"/>
  <c r="AF386" i="17"/>
  <c r="AF442" i="17"/>
  <c r="AF373" i="17"/>
  <c r="AF401" i="17"/>
  <c r="AF429" i="17"/>
  <c r="AF458" i="17"/>
  <c r="AF369" i="17"/>
  <c r="AF395" i="17"/>
  <c r="AF422" i="17"/>
  <c r="AF450" i="17"/>
  <c r="AF371" i="17"/>
  <c r="AF405" i="17"/>
  <c r="AF433" i="17"/>
  <c r="AF461" i="17"/>
  <c r="AF396" i="17"/>
  <c r="AF426" i="17"/>
  <c r="AF454" i="17"/>
  <c r="AF455" i="17"/>
  <c r="AF362" i="17"/>
  <c r="AF388" i="17"/>
  <c r="AF414" i="17"/>
  <c r="AF441" i="17"/>
  <c r="AF368" i="17"/>
  <c r="AF399" i="17"/>
  <c r="AF427" i="17"/>
  <c r="AF456" i="17"/>
  <c r="AF358" i="17"/>
  <c r="AF383" i="17"/>
  <c r="AF439" i="17"/>
  <c r="AF375" i="17"/>
  <c r="AF404" i="17"/>
  <c r="AF432" i="17"/>
  <c r="AF460" i="17"/>
  <c r="AF355" i="17"/>
  <c r="AF438" i="17"/>
  <c r="AF230" i="17"/>
  <c r="AF284" i="17"/>
  <c r="AF313" i="17"/>
  <c r="AF339" i="17"/>
  <c r="AF542" i="17"/>
  <c r="AF190" i="17"/>
  <c r="AF228" i="17"/>
  <c r="AF302" i="17"/>
  <c r="AF324" i="17"/>
  <c r="AF352" i="17"/>
  <c r="AF194" i="17"/>
  <c r="AF221" i="17"/>
  <c r="AF281" i="17"/>
  <c r="AF308" i="17"/>
  <c r="AF181" i="17"/>
  <c r="AF200" i="17"/>
  <c r="AF242" i="17"/>
  <c r="AF287" i="17"/>
  <c r="AF311" i="17"/>
  <c r="AF331" i="17"/>
  <c r="AF234" i="17"/>
  <c r="AF283" i="17"/>
  <c r="AF307" i="17"/>
  <c r="AF332" i="17"/>
  <c r="AF186" i="17"/>
  <c r="AF235" i="17"/>
  <c r="AF285" i="17"/>
  <c r="AF312" i="17"/>
  <c r="AF340" i="17"/>
  <c r="AF185" i="17"/>
  <c r="AF208" i="17"/>
  <c r="AF232" i="17"/>
  <c r="AF279" i="17"/>
  <c r="AF333" i="17"/>
  <c r="AF334" i="17"/>
  <c r="AF299" i="17"/>
  <c r="AF300" i="17"/>
  <c r="AF343" i="17"/>
  <c r="AF240" i="17"/>
  <c r="AF294" i="17"/>
  <c r="AF319" i="17"/>
  <c r="AF348" i="17"/>
  <c r="AF236" i="17"/>
  <c r="AF282" i="17"/>
  <c r="AF306" i="17"/>
  <c r="AF330" i="17"/>
  <c r="AF227" i="17"/>
  <c r="AF301" i="17"/>
  <c r="AF320" i="17"/>
  <c r="AF347" i="17"/>
  <c r="AF238" i="17"/>
  <c r="AF289" i="17"/>
  <c r="AF316" i="17"/>
  <c r="AF344" i="17"/>
  <c r="AF179" i="17"/>
  <c r="AF224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23" i="17"/>
  <c r="AF243" i="17"/>
  <c r="AF321" i="17"/>
  <c r="AF350" i="17"/>
  <c r="AF180" i="17"/>
  <c r="AF229" i="17"/>
  <c r="AF304" i="17"/>
  <c r="AF152" i="17"/>
  <c r="AF109" i="17"/>
  <c r="AF550" i="17"/>
  <c r="AF569" i="17"/>
  <c r="AF599" i="17"/>
  <c r="AF623" i="17"/>
  <c r="AF519" i="17"/>
  <c r="AF520" i="17"/>
  <c r="AF629" i="17"/>
  <c r="AF697" i="17"/>
  <c r="AF601" i="17"/>
  <c r="AF659" i="17"/>
  <c r="AF664" i="17"/>
  <c r="AF736" i="17"/>
  <c r="AF39" i="17"/>
  <c r="AF68" i="17"/>
  <c r="AF113" i="17"/>
  <c r="AF496" i="17"/>
  <c r="AF531" i="17"/>
  <c r="AF562" i="17"/>
  <c r="AF576" i="17"/>
  <c r="AF592" i="17"/>
  <c r="AF705" i="17"/>
  <c r="AF28" i="17"/>
  <c r="AF89" i="17"/>
  <c r="AF128" i="17"/>
  <c r="AF153" i="17"/>
  <c r="AF173" i="17"/>
  <c r="AF213" i="17"/>
  <c r="AF252" i="17"/>
  <c r="AF215" i="17"/>
  <c r="AF216" i="17"/>
  <c r="AF257" i="17"/>
  <c r="AF253" i="17"/>
  <c r="AF219" i="17"/>
  <c r="AF209" i="17"/>
  <c r="AF261" i="17"/>
  <c r="AF210" i="17"/>
  <c r="AF262" i="17"/>
  <c r="AF8" i="17"/>
  <c r="AF258" i="17"/>
  <c r="AF211" i="17"/>
  <c r="AF218" i="17"/>
  <c r="AF187" i="17"/>
  <c r="AF212" i="17"/>
  <c r="AF263" i="17"/>
  <c r="AF201" i="17"/>
  <c r="AF250" i="17"/>
  <c r="AF192" i="17"/>
  <c r="AF217" i="17"/>
  <c r="AF265" i="17"/>
  <c r="AF9" i="17"/>
  <c r="AF207" i="17"/>
  <c r="AF251" i="17"/>
  <c r="AF182" i="17"/>
  <c r="AF206" i="17"/>
  <c r="AF256" i="17"/>
  <c r="AF188" i="17"/>
  <c r="AF214" i="17"/>
  <c r="AF264" i="17"/>
  <c r="AF195" i="17"/>
  <c r="AF220" i="17"/>
  <c r="AF184" i="17"/>
  <c r="AF202" i="17"/>
  <c r="AF254" i="17"/>
  <c r="AF255" i="17"/>
  <c r="AF490" i="17"/>
  <c r="AF516" i="17"/>
  <c r="AF545" i="17"/>
  <c r="AF551" i="17"/>
  <c r="AF553" i="17"/>
  <c r="AF555" i="17"/>
  <c r="AF559" i="17"/>
  <c r="AF570" i="17"/>
  <c r="AF600" i="17"/>
  <c r="AF606" i="17"/>
  <c r="AF611" i="17"/>
  <c r="AF616" i="17"/>
  <c r="AF633" i="17"/>
  <c r="AF673" i="17"/>
  <c r="AF683" i="17"/>
  <c r="AF695" i="17"/>
  <c r="AF35" i="17"/>
  <c r="AF61" i="17"/>
  <c r="AF84" i="17"/>
  <c r="AF103" i="17"/>
  <c r="AF146" i="17"/>
  <c r="AF176" i="17"/>
  <c r="AF487" i="17"/>
  <c r="AF488" i="17"/>
  <c r="AF522" i="17"/>
  <c r="AF597" i="17"/>
  <c r="AF662" i="17"/>
  <c r="AF722" i="17"/>
  <c r="AF735" i="17"/>
  <c r="AF13" i="17"/>
  <c r="AF53" i="17"/>
  <c r="AF123" i="17"/>
  <c r="AF160" i="17"/>
  <c r="AF161" i="17"/>
  <c r="AF476" i="17"/>
  <c r="AF504" i="17"/>
  <c r="AF540" i="17"/>
  <c r="AF605" i="17"/>
  <c r="AF663" i="17"/>
  <c r="AF737" i="17"/>
  <c r="AF82" i="17"/>
  <c r="AF102" i="17"/>
  <c r="AF142" i="17"/>
  <c r="AF143" i="17"/>
  <c r="AF168" i="17"/>
  <c r="AF498" i="17"/>
  <c r="AF533" i="17"/>
  <c r="AF701" i="17"/>
  <c r="AF718" i="17"/>
  <c r="AF127" i="17"/>
  <c r="AF167" i="17"/>
  <c r="AF493" i="17"/>
  <c r="AF528" i="17"/>
  <c r="AF590" i="17"/>
  <c r="AF591" i="17"/>
  <c r="AF658" i="17"/>
  <c r="AF729" i="17"/>
  <c r="AF114" i="17"/>
  <c r="AF138" i="17"/>
  <c r="AF172" i="17"/>
  <c r="AF491" i="17"/>
  <c r="AF525" i="17"/>
  <c r="AF588" i="17"/>
  <c r="AF631" i="17"/>
  <c r="AF677" i="17"/>
  <c r="AF692" i="17"/>
  <c r="AF708" i="17"/>
  <c r="AF726" i="17"/>
  <c r="AF29" i="17"/>
  <c r="AF30" i="17"/>
  <c r="AF36" i="17"/>
  <c r="AF48" i="17"/>
  <c r="AF59" i="17"/>
  <c r="AF97" i="17"/>
  <c r="AF116" i="17"/>
  <c r="AF135" i="17"/>
  <c r="AF156" i="17"/>
  <c r="AF474" i="17"/>
  <c r="AF502" i="17"/>
  <c r="AF538" i="17"/>
  <c r="AF568" i="17"/>
  <c r="AF583" i="17"/>
  <c r="AF594" i="17"/>
  <c r="AF626" i="17"/>
  <c r="AF657" i="17"/>
  <c r="AF724" i="17"/>
  <c r="AF80" i="17"/>
  <c r="AF157" i="17"/>
  <c r="AF475" i="17"/>
  <c r="AF503" i="17"/>
  <c r="AF539" i="17"/>
  <c r="AF577" i="17"/>
  <c r="AF589" i="17"/>
  <c r="AF671" i="17"/>
  <c r="AF63" i="17"/>
  <c r="AF163" i="17"/>
  <c r="AF492" i="17"/>
  <c r="AF584" i="17"/>
  <c r="AF627" i="17"/>
  <c r="AF628" i="17"/>
  <c r="AF653" i="17"/>
  <c r="AF687" i="17"/>
  <c r="AF700" i="17"/>
  <c r="AF717" i="17"/>
  <c r="AF734" i="17"/>
  <c r="AF164" i="17"/>
  <c r="AF480" i="17"/>
  <c r="AF515" i="17"/>
  <c r="AF572" i="17"/>
  <c r="AF612" i="17"/>
  <c r="AF7" i="17"/>
  <c r="AF16" i="17"/>
  <c r="AF23" i="17"/>
  <c r="AF32" i="17"/>
  <c r="AF73" i="17"/>
  <c r="AF136" i="17"/>
  <c r="AF158" i="17"/>
  <c r="AF473" i="17"/>
  <c r="AF499" i="17"/>
  <c r="AF534" i="17"/>
  <c r="AF564" i="17"/>
  <c r="AF579" i="17"/>
  <c r="AF593" i="17"/>
  <c r="AF625" i="17"/>
  <c r="AF656" i="17"/>
  <c r="AF693" i="17"/>
  <c r="AF711" i="17"/>
  <c r="AF728" i="17"/>
  <c r="AF90" i="17"/>
  <c r="AF92" i="17"/>
  <c r="AF93" i="17"/>
  <c r="AF174" i="17"/>
  <c r="AF471" i="17"/>
  <c r="AF501" i="17"/>
  <c r="AF536" i="17"/>
  <c r="AF596" i="17"/>
  <c r="AF652" i="17"/>
  <c r="AF660" i="17"/>
  <c r="AF716" i="17"/>
  <c r="AF733" i="17"/>
  <c r="AF24" i="17"/>
  <c r="AF45" i="17"/>
  <c r="AF83" i="17"/>
  <c r="AF101" i="17"/>
  <c r="AF122" i="17"/>
  <c r="AF141" i="17"/>
  <c r="AF166" i="17"/>
  <c r="AF478" i="17"/>
  <c r="AF505" i="17"/>
  <c r="AF512" i="17"/>
  <c r="AF549" i="17"/>
  <c r="AF552" i="17"/>
  <c r="AF557" i="17"/>
  <c r="AF566" i="17"/>
  <c r="AF602" i="17"/>
  <c r="AF607" i="17"/>
  <c r="AF614" i="17"/>
  <c r="AF672" i="17"/>
  <c r="AF682" i="17"/>
  <c r="AF696" i="17"/>
  <c r="AF14" i="17"/>
  <c r="AF22" i="17"/>
  <c r="AF41" i="17"/>
  <c r="AF79" i="17"/>
  <c r="AF120" i="17"/>
  <c r="AF139" i="17"/>
  <c r="AF162" i="17"/>
  <c r="AF477" i="17"/>
  <c r="AF513" i="17"/>
  <c r="AF580" i="17"/>
  <c r="AF620" i="17"/>
  <c r="AF680" i="17"/>
  <c r="AF691" i="17"/>
  <c r="AF707" i="17"/>
  <c r="AF34" i="17"/>
  <c r="AF150" i="17"/>
  <c r="AF482" i="17"/>
  <c r="AF483" i="17"/>
  <c r="AF582" i="17"/>
  <c r="AF624" i="17"/>
  <c r="AF678" i="17"/>
  <c r="AF689" i="17"/>
  <c r="AF703" i="17"/>
  <c r="AF721" i="17"/>
  <c r="AF485" i="17"/>
  <c r="AF521" i="17"/>
  <c r="AF554" i="17"/>
  <c r="AF560" i="17"/>
  <c r="AF574" i="17"/>
  <c r="AF608" i="17"/>
  <c r="AF615" i="17"/>
  <c r="AF630" i="17"/>
  <c r="AF681" i="17"/>
  <c r="AF694" i="17"/>
  <c r="AF709" i="17"/>
  <c r="AF710" i="17"/>
  <c r="AF727" i="17"/>
  <c r="AF72" i="17"/>
  <c r="AF149" i="17"/>
  <c r="AF169" i="17"/>
  <c r="AF472" i="17"/>
  <c r="AF500" i="17"/>
  <c r="AF535" i="17"/>
  <c r="AF561" i="17"/>
  <c r="AF573" i="17"/>
  <c r="AF587" i="17"/>
  <c r="AF595" i="17"/>
  <c r="AF654" i="17"/>
  <c r="AF661" i="17"/>
  <c r="AF704" i="17"/>
  <c r="AF720" i="17"/>
  <c r="AF732" i="17"/>
  <c r="AF65" i="17"/>
  <c r="AF87" i="17"/>
  <c r="AF88" i="17"/>
  <c r="AF108" i="17"/>
  <c r="AF130" i="17"/>
  <c r="AF148" i="17"/>
  <c r="AF171" i="17"/>
  <c r="AF541" i="17"/>
  <c r="AF679" i="17"/>
  <c r="AF11" i="17"/>
  <c r="AF31" i="17"/>
  <c r="AF60" i="17"/>
  <c r="AF100" i="17"/>
  <c r="AF124" i="17"/>
  <c r="AF145" i="17"/>
  <c r="AF177" i="17"/>
  <c r="AF523" i="17"/>
  <c r="AF609" i="17"/>
  <c r="AF670" i="17"/>
  <c r="AF18" i="17"/>
  <c r="AF86" i="17"/>
  <c r="AF106" i="17"/>
  <c r="AF129" i="17"/>
  <c r="AF147" i="17"/>
  <c r="AF170" i="17"/>
  <c r="AF479" i="17"/>
  <c r="AF514" i="17"/>
  <c r="AF567" i="17"/>
  <c r="AF604" i="17"/>
  <c r="AF610" i="17"/>
  <c r="AF618" i="17"/>
  <c r="AF674" i="17"/>
  <c r="AF684" i="17"/>
  <c r="AF699" i="17"/>
  <c r="AF715" i="17"/>
  <c r="AF51" i="17"/>
  <c r="AF71" i="17"/>
  <c r="AF94" i="17"/>
  <c r="AF115" i="17"/>
  <c r="AF134" i="17"/>
  <c r="AF154" i="17"/>
  <c r="AF489" i="17"/>
  <c r="AF524" i="17"/>
  <c r="AF586" i="17"/>
  <c r="AF634" i="17"/>
  <c r="AF651" i="17"/>
  <c r="AF4" i="17"/>
  <c r="AF21" i="17"/>
  <c r="AF70" i="17"/>
  <c r="AF104" i="17"/>
  <c r="AF144" i="17"/>
  <c r="AF481" i="17"/>
  <c r="AF517" i="17"/>
  <c r="AF575" i="17"/>
  <c r="AF613" i="17"/>
  <c r="AF621" i="17"/>
  <c r="AF690" i="17"/>
  <c r="AF706" i="17"/>
  <c r="AF78" i="17"/>
  <c r="AF98" i="17"/>
  <c r="AF119" i="17"/>
  <c r="AF137" i="17"/>
  <c r="AF159" i="17"/>
  <c r="AF497" i="17"/>
  <c r="AF532" i="17"/>
  <c r="AF563" i="17"/>
  <c r="AF578" i="17"/>
  <c r="AF650" i="17"/>
  <c r="AF675" i="17"/>
  <c r="AF686" i="17"/>
  <c r="AF712" i="17"/>
  <c r="AF713" i="17"/>
  <c r="AF730" i="17"/>
  <c r="AF5" i="17"/>
  <c r="AF15" i="17"/>
  <c r="AF20" i="17"/>
  <c r="AF26" i="17"/>
  <c r="AF40" i="17"/>
  <c r="AF85" i="17"/>
  <c r="AF105" i="17"/>
  <c r="AF126" i="17"/>
  <c r="AF165" i="17"/>
  <c r="AF484" i="17"/>
  <c r="AF518" i="17"/>
  <c r="AF556" i="17"/>
  <c r="AF565" i="17"/>
  <c r="AF581" i="17"/>
  <c r="AF617" i="17"/>
  <c r="AF632" i="17"/>
  <c r="AF649" i="17"/>
  <c r="AF676" i="17"/>
  <c r="AF688" i="17"/>
  <c r="AF702" i="17"/>
  <c r="AF719" i="17"/>
  <c r="AF42" i="17"/>
  <c r="AF43" i="17"/>
  <c r="AF76" i="17"/>
  <c r="AF110" i="17"/>
  <c r="AF131" i="17"/>
  <c r="AF151" i="17"/>
  <c r="AF175" i="17"/>
  <c r="AF495" i="17"/>
  <c r="AF530" i="17"/>
  <c r="AF25" i="17"/>
  <c r="AF38" i="17"/>
  <c r="AF56" i="17"/>
  <c r="AF121" i="17"/>
  <c r="AF140" i="17"/>
  <c r="AF486" i="17"/>
  <c r="AF526" i="17"/>
  <c r="AF527" i="17"/>
  <c r="AF558" i="17"/>
  <c r="AF571" i="17"/>
  <c r="AF585" i="17"/>
  <c r="AF622" i="17"/>
  <c r="AF655" i="17"/>
  <c r="AF685" i="17"/>
  <c r="AF698" i="17"/>
  <c r="AF714" i="17"/>
  <c r="AF731" i="17"/>
  <c r="AF19" i="17"/>
  <c r="AF37" i="17"/>
  <c r="AF69" i="17"/>
  <c r="AF112" i="17"/>
  <c r="AF133" i="17"/>
  <c r="AF155" i="17"/>
  <c r="AF494" i="17"/>
  <c r="AF529" i="17"/>
  <c r="AF603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G818" i="24"/>
  <c r="H818" i="24"/>
  <c r="I818" i="24"/>
  <c r="J818" i="24"/>
  <c r="K818" i="24"/>
  <c r="L818" i="24"/>
  <c r="M818" i="24"/>
  <c r="N818" i="24"/>
  <c r="O818" i="24"/>
  <c r="C817" i="24"/>
  <c r="M817" i="14"/>
  <c r="G817" i="24"/>
  <c r="H817" i="24"/>
  <c r="I817" i="24"/>
  <c r="J817" i="24"/>
  <c r="K817" i="24"/>
  <c r="L817" i="24"/>
  <c r="M817" i="24"/>
  <c r="N817" i="24"/>
  <c r="O817" i="2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76" i="24"/>
  <c r="C734" i="24"/>
  <c r="C533" i="24"/>
  <c r="C538" i="24"/>
  <c r="C535" i="24"/>
  <c r="C532" i="24"/>
  <c r="C534" i="24"/>
  <c r="C470" i="24"/>
  <c r="C622" i="24"/>
  <c r="C510" i="24"/>
  <c r="C611" i="24"/>
  <c r="C489" i="24"/>
  <c r="C490" i="24"/>
  <c r="C492" i="24"/>
  <c r="C621" i="24"/>
  <c r="C516" i="24"/>
  <c r="C616" i="24"/>
  <c r="C617" i="24"/>
  <c r="C477" i="24"/>
  <c r="C505" i="24"/>
  <c r="C497" i="24"/>
  <c r="C475" i="24"/>
  <c r="C513" i="24"/>
  <c r="C609" i="24"/>
  <c r="C626" i="24"/>
  <c r="C511" i="24"/>
  <c r="C368" i="24"/>
  <c r="C494" i="24"/>
  <c r="C618" i="24"/>
  <c r="C471" i="24"/>
  <c r="C495" i="24"/>
  <c r="C507" i="24"/>
  <c r="C476" i="24"/>
  <c r="C501" i="24"/>
  <c r="C625" i="24"/>
  <c r="C487" i="24"/>
  <c r="C612" i="24"/>
  <c r="C500" i="24"/>
  <c r="C610" i="24"/>
  <c r="C474" i="24"/>
  <c r="C504" i="24"/>
  <c r="C585" i="24"/>
  <c r="C32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204" i="24"/>
  <c r="C463" i="24"/>
  <c r="C131" i="24"/>
  <c r="C135" i="24"/>
  <c r="C171" i="24"/>
  <c r="C172" i="24"/>
  <c r="C265" i="24"/>
  <c r="C291" i="24"/>
  <c r="C373" i="24"/>
  <c r="C400" i="24"/>
  <c r="C451" i="24"/>
  <c r="C121" i="24"/>
  <c r="C144" i="24"/>
  <c r="C248" i="24"/>
  <c r="C301" i="24"/>
  <c r="C377" i="24"/>
  <c r="C403" i="24"/>
  <c r="C454" i="24"/>
  <c r="C98" i="24"/>
  <c r="C148" i="24"/>
  <c r="C174" i="24"/>
  <c r="C237" i="24"/>
  <c r="C287" i="24"/>
  <c r="C391" i="24"/>
  <c r="C441" i="24"/>
  <c r="C145" i="24"/>
  <c r="C166" i="24"/>
  <c r="C193" i="24"/>
  <c r="C284" i="24"/>
  <c r="C462" i="24"/>
  <c r="C72" i="24"/>
  <c r="C108" i="24"/>
  <c r="C163" i="24"/>
  <c r="C201" i="24"/>
  <c r="C202" i="24"/>
  <c r="C445" i="24"/>
  <c r="C116" i="24"/>
  <c r="C143" i="24"/>
  <c r="C170" i="24"/>
  <c r="C450" i="24"/>
  <c r="C712" i="24"/>
  <c r="C130" i="24"/>
  <c r="C231" i="24"/>
  <c r="C102" i="24"/>
  <c r="C103" i="24"/>
  <c r="C104" i="24"/>
  <c r="C194" i="24"/>
  <c r="C240" i="24"/>
  <c r="C461" i="24"/>
  <c r="C56" i="24"/>
  <c r="C113" i="24"/>
  <c r="C154" i="24"/>
  <c r="C176" i="24"/>
  <c r="C200" i="24"/>
  <c r="C241" i="24"/>
  <c r="C242" i="24"/>
  <c r="C447" i="24"/>
  <c r="C59" i="24"/>
  <c r="C60" i="24"/>
  <c r="C79" i="24"/>
  <c r="C100" i="24"/>
  <c r="C146" i="24"/>
  <c r="C147" i="24"/>
  <c r="C168" i="24"/>
  <c r="C169" i="24"/>
  <c r="C406" i="24"/>
  <c r="C456" i="24"/>
  <c r="C119" i="24"/>
  <c r="C208" i="24"/>
  <c r="C438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408" i="24"/>
  <c r="C455" i="24"/>
  <c r="C92" i="24"/>
  <c r="C115" i="24"/>
  <c r="C136" i="24"/>
  <c r="C183" i="24"/>
  <c r="C226" i="24"/>
  <c r="C252" i="24"/>
  <c r="C402" i="24"/>
  <c r="C449" i="24"/>
  <c r="C90" i="24"/>
  <c r="C133" i="24"/>
  <c r="C134" i="24"/>
  <c r="C156" i="24"/>
  <c r="C182" i="24"/>
  <c r="C227" i="24"/>
  <c r="C390" i="24"/>
  <c r="C440" i="24"/>
  <c r="C466" i="24"/>
  <c r="C467" i="24"/>
  <c r="C701" i="24"/>
  <c r="C713" i="24"/>
  <c r="C68" i="24"/>
  <c r="C82" i="24"/>
  <c r="C105" i="24"/>
  <c r="C120" i="24"/>
  <c r="C140" i="24"/>
  <c r="C162" i="24"/>
  <c r="C185" i="24"/>
  <c r="C230" i="24"/>
  <c r="C257" i="24"/>
  <c r="C389" i="24"/>
  <c r="C222" i="24"/>
  <c r="C216" i="24"/>
  <c r="C431" i="24"/>
  <c r="C426" i="24"/>
  <c r="C420" i="24"/>
  <c r="C460" i="24"/>
  <c r="C88" i="24"/>
  <c r="C89" i="24"/>
  <c r="C149" i="24"/>
  <c r="C192" i="24"/>
  <c r="C392" i="24"/>
  <c r="C439" i="24"/>
  <c r="C65" i="24"/>
  <c r="C87" i="24"/>
  <c r="C138" i="24"/>
  <c r="C167" i="24"/>
  <c r="C190" i="24"/>
  <c r="C232" i="24"/>
  <c r="C396" i="24"/>
  <c r="C45" i="24"/>
  <c r="C153" i="24"/>
  <c r="C206" i="24"/>
  <c r="C251" i="24"/>
  <c r="C464" i="24"/>
  <c r="C80" i="24"/>
  <c r="C141" i="24"/>
  <c r="C160" i="24"/>
  <c r="C186" i="24"/>
  <c r="C229" i="24"/>
  <c r="C279" i="24"/>
  <c r="C710" i="24"/>
  <c r="C29" i="24"/>
  <c r="C32" i="24"/>
  <c r="C36" i="24"/>
  <c r="C38" i="24"/>
  <c r="C43" i="24"/>
  <c r="C51" i="24"/>
  <c r="C70" i="24"/>
  <c r="C110" i="24"/>
  <c r="C128" i="24"/>
  <c r="C129" i="24"/>
  <c r="C152" i="24"/>
  <c r="C175" i="24"/>
  <c r="C263" i="24"/>
  <c r="C299" i="24"/>
  <c r="C448" i="24"/>
  <c r="C40" i="24"/>
  <c r="C41" i="24"/>
  <c r="C71" i="24"/>
  <c r="C85" i="24"/>
  <c r="C86" i="24"/>
  <c r="C109" i="24"/>
  <c r="C161" i="24"/>
  <c r="C253" i="24"/>
  <c r="C254" i="24"/>
  <c r="C709" i="24"/>
  <c r="C30" i="24"/>
  <c r="C35" i="24"/>
  <c r="C78" i="24"/>
  <c r="C93" i="24"/>
  <c r="C112" i="24"/>
  <c r="C139" i="24"/>
  <c r="C164" i="24"/>
  <c r="C189" i="24"/>
  <c r="C28" i="24"/>
  <c r="C31" i="24"/>
  <c r="C34" i="24"/>
  <c r="C42" i="24"/>
  <c r="C48" i="24"/>
  <c r="C61" i="24"/>
  <c r="C73" i="24"/>
  <c r="C84" i="24"/>
  <c r="C106" i="24"/>
  <c r="C150" i="24"/>
  <c r="C180" i="24"/>
  <c r="C205" i="24"/>
  <c r="C246" i="24"/>
  <c r="C404" i="24"/>
  <c r="C452" i="24"/>
  <c r="C706" i="24"/>
  <c r="C221" i="24"/>
  <c r="C219" i="24"/>
  <c r="C434" i="24"/>
  <c r="C433" i="24"/>
  <c r="C256" i="24"/>
  <c r="C282" i="24"/>
  <c r="C707" i="24"/>
  <c r="C69" i="24"/>
  <c r="C83" i="24"/>
  <c r="C122" i="24"/>
  <c r="C123" i="24"/>
  <c r="C124" i="24"/>
  <c r="C173" i="24"/>
  <c r="C238" i="24"/>
  <c r="C264" i="24"/>
  <c r="C289" i="24"/>
  <c r="C711" i="24"/>
  <c r="C217" i="24"/>
  <c r="C214" i="24"/>
  <c r="C212" i="24"/>
  <c r="C223" i="24"/>
  <c r="C218" i="24"/>
  <c r="C215" i="24"/>
  <c r="C213" i="24"/>
  <c r="C211" i="24"/>
  <c r="C210" i="24"/>
  <c r="C423" i="24"/>
  <c r="C421" i="24"/>
  <c r="C515" i="24"/>
  <c r="C436" i="24"/>
  <c r="C432" i="24"/>
  <c r="C428" i="24"/>
  <c r="C424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345" i="17" l="1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47" i="17"/>
  <c r="AF55" i="17"/>
  <c r="C55" i="24" s="1"/>
  <c r="AF91" i="17"/>
  <c r="C91" i="24" s="1"/>
  <c r="AF12" i="17"/>
  <c r="AF81" i="17"/>
  <c r="C81" i="24" s="1"/>
  <c r="AF62" i="17"/>
  <c r="C62" i="24" s="1"/>
  <c r="AF96" i="17"/>
  <c r="C96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AF54" i="17"/>
  <c r="C54" i="24" s="1"/>
  <c r="C247" i="24"/>
  <c r="C397" i="24"/>
  <c r="C446" i="24"/>
  <c r="C191" i="24"/>
  <c r="C239" i="24"/>
  <c r="C271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469" i="24"/>
  <c r="C132" i="24"/>
  <c r="C398" i="24"/>
  <c r="AF598" i="17"/>
  <c r="AF619" i="17"/>
  <c r="C680" i="24"/>
  <c r="C681" i="24"/>
  <c r="C366" i="24"/>
  <c r="C677" i="24"/>
  <c r="C76" i="24"/>
  <c r="C151" i="24"/>
  <c r="C387" i="24"/>
  <c r="C388" i="24"/>
  <c r="C378" i="24"/>
  <c r="C405" i="24"/>
  <c r="C453" i="24"/>
  <c r="C401" i="24"/>
  <c r="C427" i="24"/>
  <c r="C233" i="24"/>
  <c r="C395" i="24"/>
  <c r="C443" i="24"/>
  <c r="C196" i="24"/>
  <c r="C197" i="24"/>
  <c r="C290" i="24"/>
  <c r="C369" i="24"/>
  <c r="C394" i="24"/>
  <c r="C429" i="24"/>
  <c r="C425" i="24"/>
  <c r="C437" i="24"/>
  <c r="C435" i="24"/>
  <c r="C198" i="24"/>
  <c r="C376" i="24"/>
  <c r="C519" i="24"/>
  <c r="C306" i="24"/>
  <c r="C344" i="24"/>
  <c r="C313" i="24"/>
  <c r="C319" i="24"/>
  <c r="C179" i="24"/>
  <c r="C705" i="24"/>
  <c r="C343" i="24"/>
  <c r="C623" i="24"/>
  <c r="C496" i="24"/>
  <c r="C601" i="24"/>
  <c r="C258" i="24"/>
  <c r="C243" i="24"/>
  <c r="C308" i="24"/>
  <c r="C348" i="24"/>
  <c r="C311" i="24"/>
  <c r="C321" i="24"/>
  <c r="C342" i="24"/>
  <c r="C605" i="24"/>
  <c r="C620" i="24"/>
  <c r="C499" i="24"/>
  <c r="C268" i="24"/>
  <c r="C269" i="24"/>
  <c r="C270" i="24"/>
  <c r="C245" i="24"/>
  <c r="C267" i="24"/>
  <c r="C703" i="24"/>
  <c r="C244" i="24"/>
  <c r="C224" i="24"/>
  <c r="C220" i="24"/>
  <c r="C699" i="24"/>
  <c r="C234" i="24"/>
  <c r="C261" i="24"/>
  <c r="C708" i="24"/>
  <c r="C250" i="24"/>
  <c r="C816" i="24"/>
  <c r="C572" i="24"/>
  <c r="C613" i="24"/>
  <c r="C484" i="24"/>
  <c r="C588" i="24"/>
  <c r="C584" i="24"/>
  <c r="C573" i="24"/>
  <c r="C517" i="24"/>
  <c r="C595" i="24"/>
  <c r="C587" i="24"/>
  <c r="C599" i="24"/>
  <c r="C502" i="24"/>
  <c r="C576" i="24"/>
  <c r="C571" i="24"/>
  <c r="C491" i="24"/>
  <c r="C579" i="24"/>
  <c r="C619" i="24"/>
  <c r="C479" i="24"/>
  <c r="C514" i="24"/>
  <c r="C531" i="24"/>
  <c r="C598" i="24"/>
  <c r="C592" i="24"/>
  <c r="C473" i="24"/>
  <c r="C575" i="24"/>
  <c r="C498" i="24"/>
  <c r="C597" i="24"/>
  <c r="C607" i="24"/>
  <c r="C624" i="24"/>
  <c r="C521" i="24"/>
  <c r="C590" i="24"/>
  <c r="C593" i="24"/>
  <c r="C582" i="24"/>
  <c r="C574" i="24"/>
  <c r="C340" i="24"/>
  <c r="C589" i="24"/>
  <c r="C581" i="24"/>
  <c r="C472" i="24"/>
  <c r="C603" i="24"/>
  <c r="C583" i="24"/>
  <c r="C600" i="24"/>
  <c r="C594" i="24"/>
  <c r="C341" i="24"/>
  <c r="E817" i="14"/>
  <c r="C137" i="24"/>
  <c r="C478" i="24"/>
  <c r="C506" i="24"/>
  <c r="C292" i="24"/>
  <c r="C285" i="24"/>
  <c r="C444" i="24"/>
  <c r="C184" i="24"/>
  <c r="C228" i="24"/>
  <c r="C278" i="24"/>
  <c r="C303" i="24"/>
  <c r="C380" i="24"/>
  <c r="C24" i="24"/>
  <c r="C11" i="24"/>
  <c r="C13" i="24"/>
  <c r="C18" i="24"/>
  <c r="C21" i="24"/>
  <c r="C300" i="24"/>
  <c r="C407" i="24"/>
  <c r="C458" i="24"/>
  <c r="C47" i="24"/>
  <c r="C422" i="24"/>
  <c r="C430" i="24"/>
  <c r="C195" i="24"/>
  <c r="C260" i="24"/>
  <c r="C399" i="24"/>
  <c r="C142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02" i="14" l="1"/>
  <c r="E818" i="14"/>
  <c r="E819" i="14" s="1"/>
  <c r="E811" i="14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P819" authorId="0" shapeId="0" xr:uid="{01F24BE8-233B-4472-A9F2-00EBB38CC4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<sst xmlns="http://schemas.openxmlformats.org/spreadsheetml/2006/main" count="19090" uniqueCount="3130">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</sst>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0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9" totalsRowShown="0" headerRowDxfId="149">
  <autoFilter ref="A1:P819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8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7"/>
    <tableColumn id="17" xr3:uid="{52550B53-5A6E-4D0B-A358-FCA22B56CC77}" name="WEB"/>
    <tableColumn id="15" xr3:uid="{C9DBDDFF-A526-4383-A426-8408C4B17785}" name="IS_POWERED_UNPOWERED_SUNDRY" dataDxfId="14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5">
      <calculatedColumnFormula>ISNUMBER(_xlfn.XMATCH(CONTROL[[#This Row],[VEHIDCODE]],TRACK_TYPES[VEHIDCODE],0))</calculatedColumnFormula>
    </tableColumn>
    <tableColumn id="14" xr3:uid="{222C2DB1-CA5D-4369-995A-6A316AC5C947}" name="PROPERTIES" dataDxfId="144">
      <calculatedColumnFormula>ISNUMBER(_xlfn.XMATCH(CONTROL[[#This Row],[VEHIDCODE]],PROPERTIES[VEHIDCODE],0))</calculatedColumnFormula>
    </tableColumn>
    <tableColumn id="13" xr3:uid="{473FD571-A166-4EC8-8B7B-F1D30044570B}" name="FLAGS" dataDxfId="143">
      <calculatedColumnFormula>ISNUMBER(_xlfn.XMATCH(CONTROL[[#This Row],[VEHIDCODE]],FLAGS[VEHIDCODE],0))</calculatedColumnFormula>
    </tableColumn>
    <tableColumn id="11" xr3:uid="{B1BAE31E-1DA6-4159-9020-DBAE19ECF7C3}" name="ROSTER" dataDxfId="142">
      <calculatedColumnFormula>ISNUMBER(_xlfn.XLOOKUP(CONTROL[[#This Row],[VEHIDCODE]],roster!A:A,roster!B:B))</calculatedColumnFormula>
    </tableColumn>
    <tableColumn id="10" xr3:uid="{7783F713-60B4-45CF-AEB3-EE02271B3D6F}" name="GRAPHICS_PROPERTIES" dataDxfId="141">
      <calculatedColumnFormula>ISNUMBER(_xlfn.XMATCH(CONTROL[[#This Row],[VEHIDCODE]],GRAPHICS_PROPERTIES[VEHIDCODE],0))</calculatedColumnFormula>
    </tableColumn>
    <tableColumn id="9" xr3:uid="{7B229E25-CF6B-4C5F-B4A4-FEC34CB93E9B}" name="ITEM" dataDxfId="140">
      <calculatedColumnFormula>"item_"&amp;CONTROL[[#This Row],[VEHIDCODE]]</calculatedColumnFormula>
    </tableColumn>
    <tableColumn id="8" xr3:uid="{327E5CDA-51AE-4721-ACBD-5E8C3D890998}" name="NAME" dataDxfId="13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9" totalsRowShown="0" headerRowDxfId="138">
  <autoFilter ref="A1:AG819" xr:uid="{6DCCB998-B5D1-4B0D-8701-BC0E171A94CA}"/>
  <tableColumns count="33">
    <tableColumn id="1" xr3:uid="{173D09BF-30BA-4FF2-B4FE-F09962415DA2}" name="VEHIDCODE" dataDxfId="137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6"/>
    <tableColumn id="19" xr3:uid="{FD65B400-35DE-464D-97AA-B59BB7DAE7DB}" name="COUNTRY_CODE" dataDxfId="13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4"/>
    <tableColumn id="9" xr3:uid="{0BFBDA13-AA0B-4A8D-94FE-11C403AB0DE8}" name="LOADINGSPEED" dataDxfId="133"/>
    <tableColumn id="58" xr3:uid="{37DCFD33-B11D-4E3C-9899-EA36DBD4DBC0}" name="LOADINGSPEED_VALUE" dataDxfId="13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0"/>
    <tableColumn id="24" xr3:uid="{FFD5C22B-7B16-440D-91CC-48C8761050DA}" name="TE_COEFFICIENT_CALC" dataDxfId="12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8"/>
    <tableColumn id="14" xr3:uid="{123AAB87-6D4C-406A-A5E1-A61DC2DDFFEE}" name="TE_COEFFICIENT" dataDxfId="12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6"/>
    <tableColumn id="18" xr3:uid="{EB0CE86B-9E06-4ADD-85C1-EA622DE32153}" name="WAGON_CAPACITY" dataDxfId="125"/>
    <tableColumn id="15" xr3:uid="{3558C882-A912-4F84-BDE6-BC0A2A676C4B}" name="WAGON_LENGTH" dataDxfId="124"/>
    <tableColumn id="71" xr3:uid="{3D8AA890-C1F2-4EBD-90E3-21F948960989}" name="PURCHASE_CARGO_CAPACITY" dataDxfId="123"/>
    <tableColumn id="30" xr3:uid="{235283C1-F061-434B-8C4A-AD474FB16FE8}" name="REGION1" dataDxfId="122"/>
    <tableColumn id="29" xr3:uid="{19EC58E3-4FB9-44BC-BFFA-4C7DCCC53DA8}" name="REGION2" dataDxfId="121"/>
    <tableColumn id="27" xr3:uid="{C00DC499-0060-4E48-A71D-AE565097985F}" name="REGION3" dataDxfId="120"/>
    <tableColumn id="56" xr3:uid="{188F57E8-1157-47DF-9E8F-B5F737649F6C}" name="PURCHASECOST_VALUE" dataDxfId="119"/>
    <tableColumn id="28" xr3:uid="{B24767B4-97D7-4814-9BBD-1231E1A0A0A7}" name="RUNNINGCOST_VALUE" dataDxfId="118"/>
    <tableColumn id="22" xr3:uid="{68BAA036-8189-4A5A-B0EF-3F284C15672C}" name="COST_CAT" dataDxfId="11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19" totalsRowShown="0" headerRowDxfId="114">
  <autoFilter ref="A1:AJ819" xr:uid="{6DCCB998-B5D1-4B0D-8701-BC0E171A94CA}"/>
  <tableColumns count="36">
    <tableColumn id="1" xr3:uid="{CDEAF13A-A986-4600-A992-A08C1CA6142C}" name="VEHIDCODE" dataDxfId="113"/>
    <tableColumn id="55" xr3:uid="{839D134C-3027-42F4-BA04-3BA8BFF71A3B}" name="TRACK_TYPE_STANDARD_GAUGE_RAILTYPE_OHLE" dataDxfId="112"/>
    <tableColumn id="54" xr3:uid="{5D83FD10-ABCB-4FE7-A7DB-4A857A58D719}" name="TRACK_TYPE_STANDARD_GAUGE_RAILTYPE_25KV" dataDxfId="111"/>
    <tableColumn id="53" xr3:uid="{56183170-0B7F-45FB-91B4-356C62C246AD}" name="TRACK_TYPE_STANDARD_GAUGE_RAILTYPE_15KV" dataDxfId="110"/>
    <tableColumn id="52" xr3:uid="{5B71BE07-0EB9-4DEB-A8E8-252C9D979AC2}" name="TRACK_TYPE_STANDARD_GAUGE_RAILTYPE_3KV" dataDxfId="109"/>
    <tableColumn id="51" xr3:uid="{5A6435EB-111E-4AED-A8E1-AEFF82C34393}" name="TRACK_TYPE_STANDARD_GAUGE_RAILTYPE_1500V" dataDxfId="108"/>
    <tableColumn id="50" xr3:uid="{14CA70EA-0EE7-44BA-9D77-FC902C0596DD}" name="TRACK_TYPE_STANDARD_GAUGE_RAILTYPE_3RD" dataDxfId="107"/>
    <tableColumn id="49" xr3:uid="{3A15447A-9663-43FB-8EFF-8F8034548FB0}" name="TRACK_TYPE_STANDARD_GAUGE_RAILTYPE_4TH" dataDxfId="106"/>
    <tableColumn id="48" xr3:uid="{E44E324A-492F-4566-8DC9-0A6F58F40EA9}" name="TRACK_TYPE_STANDARD_GAUGE_RAILTYPE_DUAL" dataDxfId="105"/>
    <tableColumn id="47" xr3:uid="{FE3223C6-E685-4456-91E9-10AEB3B699E7}" name="TRACK_TYPE_STANDARD_GAUGE_RAILTYPE_NONE" dataDxfId="104"/>
    <tableColumn id="46" xr3:uid="{D39969E8-C0CA-4A59-A556-D29019991069}" name="TRACK_TYPE_NARROW_GAUGE_RAILTYPE_OHLE" dataDxfId="103"/>
    <tableColumn id="45" xr3:uid="{5266A9E9-D840-4460-AB81-A081897372F3}" name="TRACK_TYPE_NARROW_GAUGE_RAILTYPE_25KV" dataDxfId="102"/>
    <tableColumn id="44" xr3:uid="{7B4C44D1-C745-4291-86A0-777579742A84}" name="TRACK_TYPE_NARROW_GAUGE_RAILTYPE_15KV" dataDxfId="101"/>
    <tableColumn id="43" xr3:uid="{8736D285-A163-4DBE-84E1-870118B47F14}" name="TRACK_TYPE_NARROW_GAUGE_RAILTYPE_3KV" dataDxfId="100"/>
    <tableColumn id="42" xr3:uid="{6FBBA2FB-4743-4072-B4E0-C42BBDA1CC47}" name="TRACK_TYPE_NARROW_GAUGE_RAILTYPE_1500V" dataDxfId="99"/>
    <tableColumn id="41" xr3:uid="{D3ED2E70-19BF-4D92-A76B-0F0F03D31947}" name="TRACK_TYPE_NARROW_GAUGE_RAILTYPE_3RD" dataDxfId="98"/>
    <tableColumn id="40" xr3:uid="{F38AE7AF-B798-40A5-992A-13685296E710}" name="TRACK_TYPE_NARROW_GAUGE_RAILTYPE_4TH" dataDxfId="97"/>
    <tableColumn id="39" xr3:uid="{16463F64-2239-4E7F-8257-47F324BF8959}" name="TRACK_TYPE_NARROW_GAUGE_RAILTYPE_DUAL" dataDxfId="96"/>
    <tableColumn id="38" xr3:uid="{97037A15-9172-4057-863E-582804353817}" name="TRACK_TYPE_NARROW_GAUGE_RAILTYPE_NONE" dataDxfId="95"/>
    <tableColumn id="37" xr3:uid="{24999D59-5A4F-4A21-B8B4-EBDBF9F8BF1E}" name="TRACK_TYPE_BROAD_GAUGE_RAILTYPE_OHLE" dataDxfId="94"/>
    <tableColumn id="36" xr3:uid="{31AB3927-D18B-49AD-8EF5-C7E9FF4CEDF3}" name="TRACK_TYPE_BROAD_GAUGE_RAILTYPE_25KV" dataDxfId="93"/>
    <tableColumn id="35" xr3:uid="{CB3432E7-4DAE-4807-9CE5-4CB1ACECD395}" name="TRACK_TYPE_BROAD_GAUGE_RAILTYPE_15KV" dataDxfId="92"/>
    <tableColumn id="34" xr3:uid="{E3936FE4-2B46-4DC0-84C0-44C7892A0927}" name="TRACK_TYPE_BROAD_GAUGE_RAILTYPE_3KV" dataDxfId="91"/>
    <tableColumn id="33" xr3:uid="{A5FAA105-CF81-4A75-8967-5721104454E8}" name="TRACK_TYPE_BROAD_GAUGE_RAILTYPE_1500V" dataDxfId="90"/>
    <tableColumn id="32" xr3:uid="{439CDFDE-6BFC-446C-87CF-28C8FF65FCE0}" name="TRACK_TYPE_BROAD_GAUGE_RAILTYPE_3RD" dataDxfId="89"/>
    <tableColumn id="31" xr3:uid="{219AB5E3-CDFF-41B3-BD58-F7427606D15F}" name="TRACK_TYPE_BROAD_GAUGE_RAILTYPE_4TH" dataDxfId="88"/>
    <tableColumn id="30" xr3:uid="{01529768-EA0D-4662-B835-74641896CE3F}" name="TRACK_TYPE_BROAD_GAUGE_RAILTYPE_DUAL" dataDxfId="87"/>
    <tableColumn id="29" xr3:uid="{32C384AB-18DB-4161-B29B-A363A2547BB2}" name="TRACK_TYPE_BROAD_GAUGE_RAILTYPE_NONE" dataDxfId="86"/>
    <tableColumn id="26" xr3:uid="{1CFC6F26-22A8-42EE-972B-0F7ED6623B5A}" name="TRACK_TYPE_MONO" dataDxfId="85"/>
    <tableColumn id="25" xr3:uid="{62939270-15C1-494E-9C53-6EA9E8209C3B}" name="TRACK_TYPE_MGLV" dataDxfId="84"/>
    <tableColumn id="24" xr3:uid="{9DA86EDA-F2AB-4C2D-918E-5260313FD8B3}" name="TRACK_TYPE_MTRO" dataDxfId="83"/>
    <tableColumn id="21" xr3:uid="{E6F11214-E912-4D1C-980D-A111C93B0BED}" name="CHECK_ANY_TT" dataDxfId="82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81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80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79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78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9" totalsRowShown="0" headerRowDxfId="77">
  <autoFilter ref="A1:H819" xr:uid="{6DCCB998-B5D1-4B0D-8701-BC0E171A94CA}"/>
  <tableColumns count="8">
    <tableColumn id="1" xr3:uid="{327CDBB6-E1D6-4B9F-9625-C81419775134}" name="VEHIDCODE" dataDxfId="76"/>
    <tableColumn id="101" xr3:uid="{78690AEB-EA8F-4FC7-9651-C84D8F318EE9}" name="MISC_FLAGS_TRAIN_FLAG_2CC" dataDxfId="75"/>
    <tableColumn id="100" xr3:uid="{90DBB1A2-A86F-42C6-B2B8-64A2FD6690AB}" name="MISC_FLAGS_TRAIN_FLAG_MU" dataDxfId="74"/>
    <tableColumn id="99" xr3:uid="{DA6644B2-20CC-47E2-B1B5-10210B43738A}" name="MISC_FLAGS_TRAIN_FLAG_AUTOREFIT" dataDxfId="73"/>
    <tableColumn id="2" xr3:uid="{A8915D24-2B2E-4529-B3DE-30BEE23C370F}" name="VEHICLE_FLAG_TRAIN_HAS_CAB" dataDxfId="72"/>
    <tableColumn id="108" xr3:uid="{980A5687-92C0-42A0-811D-C3D4EA0876D1}" name="VISUAL_EFFECT_1" dataDxfId="71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0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9" totalsRowShown="0" headerRowDxfId="69">
  <autoFilter ref="A1:D819" xr:uid="{6DCCB998-B5D1-4B0D-8701-BC0E171A94CA}"/>
  <tableColumns count="4">
    <tableColumn id="1" xr3:uid="{0B6094CF-6CA6-410A-A041-C85FACC0820E}" name="VEHIDCODE" dataDxfId="68"/>
    <tableColumn id="7" xr3:uid="{3D8CAD9A-C0D1-459B-8D7C-DFC931F5B279}" name="PANTOGRAPH_POSITION" dataDxfId="67"/>
    <tableColumn id="6" xr3:uid="{E0637D36-B3FC-4486-87F9-603EB2076188}" name="TEMPLATE_ID" dataDxfId="66"/>
    <tableColumn id="9" xr3:uid="{FEF2BF9C-74F1-405C-9871-E4301805E364}" name="TEMPLATE_AMENDMENT_COD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4" headerRowBorderDxfId="63" tableBorderDxfId="6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1" headerRowBorderDxfId="60" tableBorderDxfId="5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8" dataDxfId="57" tableBorderDxfId="56">
  <autoFilter ref="A1:A17" xr:uid="{0B243503-43AD-403A-90CE-B69D05B25C30}"/>
  <tableColumns count="1">
    <tableColumn id="1" xr3:uid="{3709FB1B-DE08-4A3E-8CA6-F5322D2A3261}" name="VALID_REGIONS" dataDxfId="5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4" dataDxfId="5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2"/>
    <tableColumn id="2" xr3:uid="{CCC9A744-4F42-4023-A516-9395213016EB}" name="COUNTRY_DESCRIPTION" dataDxfId="51"/>
    <tableColumn id="3" xr3:uid="{01E32DA0-BF93-49AA-BE03-33EF914A0BCC}" name="COUNTS" dataDxfId="5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8" headerRowBorderDxfId="49" tableBorderDxfId="47" totalsRowBorderDxfId="46">
  <autoFilter ref="K1:K24" xr:uid="{686D0694-AFBC-4B91-A3D3-72E1CCF00B7D}"/>
  <tableColumns count="1">
    <tableColumn id="1" xr3:uid="{7F0999BD-E0C9-463F-A054-2DA49D41A9EE}" name="VEHID_ID_CATEGORY" dataDxfId="4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4"/>
    <tableColumn id="4" xr3:uid="{3DDC8685-BA3D-40E8-A910-1E59013A762D}" name="Range End" dataDxfId="4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2" dataDxfId="41">
  <autoFilter ref="A1:N16" xr:uid="{863AE95D-BE34-47D8-B01B-1170BF25FDF2}"/>
  <tableColumns count="14">
    <tableColumn id="1" xr3:uid="{5F487593-655E-41B5-B155-86F88B53946D}" name="COST_CAT" dataDxfId="40"/>
    <tableColumn id="2" xr3:uid="{33F9C454-EDB2-4DA7-BF7A-64CBC12EBC9B}" name="P1" dataDxfId="39"/>
    <tableColumn id="3" xr3:uid="{25FB11D0-082D-4DE3-9821-1367939D8742}" name="P2" dataDxfId="38"/>
    <tableColumn id="4" xr3:uid="{19CDF402-C641-4217-A953-2A851DF85ADB}" name="P3" dataDxfId="37"/>
    <tableColumn id="5" xr3:uid="{1EF59E2C-32FF-4712-AD89-CBF77E507832}" name="P4" dataDxfId="36"/>
    <tableColumn id="6" xr3:uid="{04250F90-183D-4392-BE27-C420F795E1DC}" name="P5" dataDxfId="35"/>
    <tableColumn id="7" xr3:uid="{F7062C4F-5B57-4110-A21E-BDC8820130D9}" name="P6" dataDxfId="34"/>
    <tableColumn id="8" xr3:uid="{B47621AA-9D6F-4396-B3D9-BD8CF656F30E}" name="P7" dataDxfId="33"/>
    <tableColumn id="9" xr3:uid="{7055539E-C4C8-407D-91F5-6CB021EDE84F}" name="R1" dataDxfId="32"/>
    <tableColumn id="10" xr3:uid="{D17981EB-EB8A-4630-958C-3792D72CD53F}" name="R2" dataDxfId="31"/>
    <tableColumn id="11" xr3:uid="{85EDD15A-812B-4C42-B03A-D558B807622E}" name="R3" dataDxfId="30"/>
    <tableColumn id="12" xr3:uid="{61A73E38-33EC-41D1-B899-56F15EDBDD59}" name="R4" dataDxfId="29"/>
    <tableColumn id="13" xr3:uid="{7A83ADCF-C18F-402F-81A8-0F935E928ED9}" name="R5" dataDxfId="28"/>
    <tableColumn id="14" xr3:uid="{1140F6C7-9C3D-4800-9F3B-DC6E6EBE9541}" name="R6" dataDxfId="2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9"/>
  <sheetViews>
    <sheetView workbookViewId="0">
      <pane xSplit="1" ySplit="1" topLeftCell="B796" activePane="bottomRight" state="frozen"/>
      <selection pane="topRight" activeCell="B1" sqref="B1"/>
      <selection pane="bottomLeft" activeCell="A2" sqref="A2"/>
      <selection pane="bottomRight" activeCell="A819" sqref="A819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47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s="48" t="b">
        <f>ISNUMBER(_xlfn.XMATCH(CONTROL[[#This Row],[VEHIDCODE]],TRACK_TYPES[VEHIDCODE],0))</f>
        <v>1</v>
      </c>
      <c r="K819" s="48" t="b">
        <f>ISNUMBER(_xlfn.XMATCH(CONTROL[[#This Row],[VEHIDCODE]],PROPERTIES[VEHIDCODE],0))</f>
        <v>1</v>
      </c>
      <c r="L819" s="48" t="b">
        <f>ISNUMBER(_xlfn.XMATCH(CONTROL[[#This Row],[VEHIDCODE]],FLAGS[VEHIDCODE],0))</f>
        <v>1</v>
      </c>
      <c r="M819" s="48" t="b">
        <f>ISNUMBER(_xlfn.XLOOKUP(CONTROL[[#This Row],[VEHIDCODE]],roster!A:A,roster!B:B))</f>
        <v>1</v>
      </c>
      <c r="N819" s="48" t="b">
        <f>ISNUMBER(_xlfn.XMATCH(CONTROL[[#This Row],[VEHIDCODE]],GRAPHICS_PROPERTIES[VEHIDCODE],0))</f>
        <v>1</v>
      </c>
      <c r="O819" s="49" t="str">
        <f>"item_"&amp;CONTROL[[#This Row],[VEHIDCODE]]</f>
        <v>item_mtro_Singapore_Kawasaki_Heavy_Industries_C151</v>
      </c>
      <c r="P819" s="49" t="str">
        <f>"str_"&amp;CONTROL[[#This Row],[VEHIDCODE]]</f>
        <v>str_mtro_Singapore_Kawasaki_Heavy_Industries_C151</v>
      </c>
    </row>
  </sheetData>
  <conditionalFormatting sqref="F1:F1048576">
    <cfRule type="containsText" dxfId="26" priority="1" operator="containsText" text=")">
      <formula>NOT(ISERROR(SEARCH(")",F1)))</formula>
    </cfRule>
    <cfRule type="containsText" dxfId="25" priority="2" operator="containsText" text="(">
      <formula>NOT(ISERROR(SEARCH("(",F1)))</formula>
    </cfRule>
  </conditionalFormatting>
  <conditionalFormatting sqref="H2:H819">
    <cfRule type="containsText" dxfId="24" priority="3" operator="containsText" text="FALSE">
      <formula>NOT(ISERROR(SEARCH("FALSE",H2)))</formula>
    </cfRule>
  </conditionalFormatting>
  <conditionalFormatting sqref="I1:I819">
    <cfRule type="containsText" dxfId="23" priority="7" operator="containsText" text="FALSE">
      <formula>NOT(ISERROR(SEARCH("FALSE",I1)))</formula>
    </cfRule>
  </conditionalFormatting>
  <conditionalFormatting sqref="J1:P795 K796:P803 J804:P804 K805:P814 K820:P1048576 J815:P819">
    <cfRule type="cellIs" dxfId="22" priority="5" operator="equal">
      <formula>FALSE</formula>
    </cfRule>
  </conditionalFormatting>
  <dataValidations count="1">
    <dataValidation type="list" allowBlank="1" showInputMessage="1" showErrorMessage="1" sqref="D2:D819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9"/>
  <sheetViews>
    <sheetView tabSelected="1" zoomScaleNormal="100"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A819" sqref="A81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s="48" t="s">
        <v>1945</v>
      </c>
      <c r="E819" s="48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</sheetData>
  <phoneticPr fontId="18" type="noConversion"/>
  <conditionalFormatting sqref="S796:U799 S802:U803 S805:U806 S820:U1048576 R1:T819">
    <cfRule type="cellIs" dxfId="21" priority="37" operator="equal">
      <formula>0</formula>
    </cfRule>
  </conditionalFormatting>
  <conditionalFormatting sqref="Z572:Z586">
    <cfRule type="cellIs" dxfId="20" priority="4" operator="equal">
      <formula>FALSE</formula>
    </cfRule>
  </conditionalFormatting>
  <conditionalFormatting sqref="Z653:Z718">
    <cfRule type="cellIs" dxfId="19" priority="5" operator="equal">
      <formula>FALSE</formula>
    </cfRule>
  </conditionalFormatting>
  <conditionalFormatting sqref="Z1:AB571 AA572:AB586 Z587:AB652 AA653:AB718 Z719:AB798 AO792:AQ1048576">
    <cfRule type="cellIs" dxfId="18" priority="28" operator="equal">
      <formula>FALSE</formula>
    </cfRule>
  </conditionalFormatting>
  <conditionalFormatting sqref="Z800:AB802">
    <cfRule type="cellIs" dxfId="17" priority="24" operator="equal">
      <formula>FALSE</formula>
    </cfRule>
  </conditionalFormatting>
  <conditionalFormatting sqref="Z804:AB818">
    <cfRule type="cellIs" dxfId="16" priority="2" operator="equal">
      <formula>FALSE</formula>
    </cfRule>
  </conditionalFormatting>
  <conditionalFormatting sqref="AA803:AB803">
    <cfRule type="cellIs" dxfId="15" priority="23" operator="equal">
      <formula>FALSE</formula>
    </cfRule>
  </conditionalFormatting>
  <conditionalFormatting sqref="AG2:AG819">
    <cfRule type="containsText" dxfId="14" priority="22" operator="containsText" text="FALSE">
      <formula>NOT(ISERROR(SEARCH("FALSE",AG2)))</formula>
    </cfRule>
  </conditionalFormatting>
  <conditionalFormatting sqref="AN790:AP791">
    <cfRule type="cellIs" dxfId="13" priority="38" operator="equal">
      <formula>FALSE</formula>
    </cfRule>
  </conditionalFormatting>
  <conditionalFormatting sqref="Z819:AB819">
    <cfRule type="cellIs" dxfId="1" priority="1" operator="equal">
      <formula>FALSE</formula>
    </cfRule>
  </conditionalFormatting>
  <dataValidations count="17">
    <dataValidation type="whole" allowBlank="1" showInputMessage="1" showErrorMessage="1" sqref="C2:C819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9 P2:Q819 W2:Y819 H2:H819" xr:uid="{699258F9-37E8-437E-9547-ACEA0AFD7DA4}">
      <formula1>0</formula1>
    </dataValidation>
    <dataValidation type="decimal" operator="greaterThanOrEqual" allowBlank="1" showInputMessage="1" showErrorMessage="1" sqref="R2:U819 O2:O819" xr:uid="{F342F512-E760-4CD3-801B-E5B9CF70B7FD}">
      <formula1>0</formula1>
    </dataValidation>
    <dataValidation type="whole" allowBlank="1" showInputMessage="1" showErrorMessage="1" sqref="V2:V795 V797:V798 V800:V802 V804:V819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0:V1048576" xr:uid="{2D963A9D-C2E3-4020-ABFA-FD04EDA25119}"/>
    <dataValidation type="list" allowBlank="1" showInputMessage="1" showErrorMessage="1" sqref="AD2:AD819" xr:uid="{E34DA190-67B0-4000-AB81-045D705EF781}">
      <formula1>INDIRECT("VALID_RUNNINGCOSTVALUE[RUNNINGCOSTVALUE]")</formula1>
    </dataValidation>
    <dataValidation type="whole" allowBlank="1" showInputMessage="1" showErrorMessage="1" sqref="B2:B789 B804 B792 B818" xr:uid="{DEF10C41-55B4-45CA-9782-0B79331628F3}">
      <formula1>1660</formula1>
      <formula2>3000</formula2>
    </dataValidation>
    <dataValidation type="list" allowBlank="1" showInputMessage="1" showErrorMessage="1" sqref="F2:F819" xr:uid="{EB4398F4-10E4-463B-A52E-1F5C116A99EF}">
      <formula1>INDIRECT("VALID_ENGINE_CLASS[ENGINE_CLASS]")</formula1>
    </dataValidation>
    <dataValidation type="list" operator="greaterThanOrEqual" allowBlank="1" showInputMessage="1" showErrorMessage="1" sqref="AC2:AC819" xr:uid="{D83E915C-A301-4BE3-9E12-6790BD0E2284}">
      <formula1>INDIRECT("VALID_PURCHASECOSTVALUE[PURCHASECOSTVALUE]")</formula1>
    </dataValidation>
    <dataValidation type="list" allowBlank="1" showInputMessage="1" showErrorMessage="1" sqref="D2:D819" xr:uid="{33652263-03A3-437A-966A-BE8C0F8BE076}">
      <formula1>INDIRECT("COUNTRIES[COUNTRY_DESCRIPTION]")</formula1>
    </dataValidation>
    <dataValidation type="list" allowBlank="1" showInputMessage="1" showErrorMessage="1" sqref="E2:E819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9" xr:uid="{F2DE25A7-EAF4-4DA6-85FD-9F7B7EE18717}">
      <formula1>"TRUE,FALSE"</formula1>
    </dataValidation>
    <dataValidation type="list" allowBlank="1" showInputMessage="1" showErrorMessage="1" sqref="Z2:AA795 Z797:AA798 Z800:AA802 AA803 Z804:AA819" xr:uid="{A6AEDF15-D52E-4DEA-AD86-7127D84AEEAD}">
      <formula1>INDIRECT("VALID_REGIONS[VALID_REGIONS]")</formula1>
    </dataValidation>
    <dataValidation type="list" allowBlank="1" showInputMessage="1" showErrorMessage="1" sqref="AB797:AB798 AB2:AB795 AB800:AB819" xr:uid="{B551DD41-9C48-4DAD-97B1-4A99C17182E4}">
      <formula1>INDIRECT("VALID_CONCEPTS[VALID_CONCEPTS]")</formula1>
    </dataValidation>
    <dataValidation type="whole" operator="greaterThan" allowBlank="1" showInputMessage="1" showErrorMessage="1" sqref="J2:J819" xr:uid="{870AF9CD-1FF5-4186-831D-7CE6637E02C8}">
      <formula1>1</formula1>
    </dataValidation>
    <dataValidation type="whole" allowBlank="1" showInputMessage="1" showErrorMessage="1" sqref="I2:I819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Z804:AA819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9"/>
  <sheetViews>
    <sheetView zoomScaleNormal="100" workbookViewId="0">
      <pane xSplit="1" ySplit="1" topLeftCell="D795" activePane="bottomRight" state="frozen"/>
      <selection pane="topRight" activeCell="B1" sqref="B1"/>
      <selection pane="bottomLeft" activeCell="A2" sqref="A2"/>
      <selection pane="bottomRight" activeCell="A819" sqref="A81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B819" s="48"/>
      <c r="C819" s="48"/>
      <c r="D819" s="48"/>
      <c r="E819" s="48"/>
      <c r="F819" s="48"/>
      <c r="G819" s="48" t="b">
        <v>1</v>
      </c>
      <c r="H819" s="48"/>
      <c r="I819" s="48"/>
      <c r="J819" s="47"/>
      <c r="K819" s="48"/>
      <c r="L819" s="48"/>
      <c r="M819" s="48"/>
      <c r="N819" s="48"/>
      <c r="O819" s="48"/>
      <c r="P819" s="48"/>
      <c r="Q819" s="48"/>
      <c r="R819" s="48"/>
      <c r="S819" s="47"/>
      <c r="T819" s="48"/>
      <c r="U819" s="48"/>
      <c r="V819" s="48"/>
      <c r="W819" s="48"/>
      <c r="X819" s="48"/>
      <c r="Y819" s="48"/>
      <c r="Z819" s="48"/>
      <c r="AA819" s="48"/>
      <c r="AB819" s="47"/>
      <c r="AC819" s="48"/>
      <c r="AD819" s="48"/>
      <c r="AE819" s="47"/>
      <c r="AF819" s="47" t="b">
        <f>LEN(_xlfn.CONCAT(TRACK_TYPES[[#This Row],[TRACK_TYPE_STANDARD_GAUGE_RAILTYPE_OHLE]:[TRACK_TYPE_MTRO]]))&gt;0</f>
        <v>1</v>
      </c>
      <c r="AG819" s="47" t="b" cm="1">
        <f t="array" ref="AG819">IFERROR(_xlfn.BYROW(TRACK_TYPES[[#This Row],[TRACK_TYPE_STANDARD_GAUGE_RAILTYPE_OHLE]:[TRACK_TYPE_STANDARD_GAUGE_RAILTYPE_NONE]],_xlfn.LAMBDA(_xlpm.r,OR(_xlpm.r))),FALSE)</f>
        <v>1</v>
      </c>
      <c r="AH819" s="47" t="b" cm="1">
        <f t="array" ref="AH819">IFERROR(_xlfn.BYROW(TRACK_TYPES[[#This Row],[TRACK_TYPE_NARROW_GAUGE_RAILTYPE_OHLE]:[TRACK_TYPE_NARROW_GAUGE_RAILTYPE_NONE]],_xlfn.LAMBDA(_xlpm.r,OR(_xlpm.r))),FALSE)</f>
        <v>0</v>
      </c>
      <c r="AI819" s="47" t="b" cm="1">
        <f t="array" ref="AI819">IFERROR(_xlfn.BYROW(TRACK_TYPES[[#This Row],[TRACK_TYPE_BROAD_GAUGE_RAILTYPE_OHLE]:[TRACK_TYPE_BROAD_GAUGE_RAILTYPE_NONE]],_xlfn.LAMBDA(_xlpm.r,OR(_xlpm.r))),FALSE)</f>
        <v>0</v>
      </c>
      <c r="AJ8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12" priority="7" operator="equal">
      <formula>FALSE</formula>
    </cfRule>
  </conditionalFormatting>
  <conditionalFormatting sqref="AG1:AI1">
    <cfRule type="cellIs" dxfId="11" priority="2" operator="equal">
      <formula>FALSE</formula>
    </cfRule>
  </conditionalFormatting>
  <conditionalFormatting sqref="AJ1">
    <cfRule type="cellIs" dxfId="10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1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9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19" sqref="A81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>
        <v>0</v>
      </c>
      <c r="H819" t="s">
        <v>714</v>
      </c>
    </row>
  </sheetData>
  <conditionalFormatting sqref="B1:E1048576">
    <cfRule type="cellIs" dxfId="9" priority="1" operator="equal">
      <formula>FALSE</formula>
    </cfRule>
  </conditionalFormatting>
  <conditionalFormatting sqref="J790:L1048576">
    <cfRule type="cellIs" dxfId="8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9"/>
  <sheetViews>
    <sheetView zoomScaleNormal="100" workbookViewId="0">
      <pane xSplit="1" ySplit="1" topLeftCell="B795" activePane="bottomRight" state="frozen"/>
      <selection activeCell="Q19" sqref="Q19"/>
      <selection pane="topRight" activeCell="Q19" sqref="Q19"/>
      <selection pane="bottomLeft" activeCell="Q19" sqref="Q19"/>
      <selection pane="bottomRight" activeCell="A819" sqref="A81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</sheetData>
  <conditionalFormatting sqref="B1:C1048576">
    <cfRule type="containsText" dxfId="7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9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A819" sqref="A819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1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9" si="81">_xlfn.CONCAT($D771,"_",$E771)</f>
        <v>ALL_AMERICA_OCEANIA</v>
      </c>
      <c r="G771" t="b">
        <f t="shared" ref="G771:G819" si="82">OR(ISNUMBER(SEARCH("ALL_REGION",$F771)),
ISNUMBER(SEARCH("AFRICA",$F771)),
ISNUMBER(SEARCH("REGIONTYPE1",$F771)),
ISNUMBER(SEARCH("REGIONTYPE2",$F771)))</f>
        <v>0</v>
      </c>
      <c r="H771" t="b">
        <f t="shared" ref="H771:H819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9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19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9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</sheetData>
  <autoFilter ref="A1:O793" xr:uid="{94AF2F1A-9287-4526-9497-B34C300AF4DB}"/>
  <conditionalFormatting sqref="G1:G813 H795:I813 G814:I1048576">
    <cfRule type="containsText" dxfId="6" priority="26" operator="containsText" text="FALSE">
      <formula>NOT(ISERROR(SEARCH("FALSE",G1)))</formula>
    </cfRule>
  </conditionalFormatting>
  <conditionalFormatting sqref="H1:I792">
    <cfRule type="containsText" dxfId="5" priority="25" operator="containsText" text="FALSE">
      <formula>NOT(ISERROR(SEARCH("FALSE",H1)))</formula>
    </cfRule>
  </conditionalFormatting>
  <conditionalFormatting sqref="H2:O818">
    <cfRule type="containsText" dxfId="4" priority="2" operator="containsText" text="FALSE">
      <formula>NOT(ISERROR(SEARCH("FALSE",H2)))</formula>
    </cfRule>
  </conditionalFormatting>
  <conditionalFormatting sqref="H819:O819">
    <cfRule type="containsText" dxfId="0" priority="1" operator="containsText" text="FALSE">
      <formula>NOT(ISERROR(SEARCH("FALSE",H819)))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2026-05-01T12:17:54Z</dcterms:modified>
</cp:coreProperties>
</file>