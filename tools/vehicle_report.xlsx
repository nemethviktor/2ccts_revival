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211079E-CC1D-478C-B4F7-2B4051DAF365}" xr6:coauthVersionLast="47" xr6:coauthVersionMax="47" xr10:uidLastSave="{00000000-0000-0000-0000-000000000000}"/>
  <bookViews>
    <workbookView xWindow="-103" yWindow="-103" windowWidth="22149" windowHeight="13320" tabRatio="739" activeTab="6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english_items" sheetId="20" r:id="rId8"/>
    <sheet name="graphics_lookup_dump" sheetId="13" r:id="rId9"/>
    <sheet name="graphics_template_components" sheetId="31" r:id="rId10"/>
    <sheet name="item_validation" sheetId="7" r:id="rId11"/>
    <sheet name="vehicle_id_ranges" sheetId="8" r:id="rId12"/>
    <sheet name="cost_lookup" sheetId="9" r:id="rId13"/>
    <sheet name="loadingspeed_lookup" sheetId="11" r:id="rId14"/>
    <sheet name="copyright_text" sheetId="6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4" l="1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U789" i="17"/>
  <c r="U788" i="17"/>
  <c r="U787" i="17"/>
  <c r="U786" i="17"/>
  <c r="U785" i="17"/>
  <c r="U784" i="17"/>
  <c r="U783" i="17"/>
  <c r="U782" i="17"/>
  <c r="U781" i="17"/>
  <c r="U780" i="17"/>
  <c r="U779" i="17"/>
  <c r="U778" i="17"/>
  <c r="U777" i="17"/>
  <c r="U776" i="17"/>
  <c r="U775" i="17"/>
  <c r="U774" i="17"/>
  <c r="U773" i="17"/>
  <c r="U772" i="17"/>
  <c r="U771" i="17"/>
  <c r="U770" i="17"/>
  <c r="U769" i="17"/>
  <c r="U768" i="17"/>
  <c r="U767" i="17"/>
  <c r="U766" i="17"/>
  <c r="U764" i="17"/>
  <c r="U763" i="17"/>
  <c r="U762" i="17"/>
  <c r="U761" i="17"/>
  <c r="U760" i="17"/>
  <c r="U759" i="17"/>
  <c r="U758" i="17"/>
  <c r="U757" i="17"/>
  <c r="U756" i="17"/>
  <c r="U755" i="17"/>
  <c r="U754" i="17"/>
  <c r="U753" i="17"/>
  <c r="U752" i="17"/>
  <c r="U751" i="17"/>
  <c r="U750" i="17"/>
  <c r="U749" i="17"/>
  <c r="U748" i="17"/>
  <c r="U747" i="17"/>
  <c r="U746" i="17"/>
  <c r="U745" i="17"/>
  <c r="U744" i="17"/>
  <c r="U743" i="17"/>
  <c r="U742" i="17"/>
  <c r="U741" i="17"/>
  <c r="U740" i="17"/>
  <c r="U739" i="17"/>
  <c r="U738" i="17"/>
  <c r="U737" i="17"/>
  <c r="U736" i="17"/>
  <c r="U735" i="17"/>
  <c r="U734" i="17"/>
  <c r="U733" i="17"/>
  <c r="U732" i="17"/>
  <c r="U731" i="17"/>
  <c r="U730" i="17"/>
  <c r="U729" i="17"/>
  <c r="U728" i="17"/>
  <c r="U727" i="17"/>
  <c r="U726" i="17"/>
  <c r="U725" i="17"/>
  <c r="U724" i="17"/>
  <c r="U723" i="17"/>
  <c r="U722" i="17"/>
  <c r="U721" i="17"/>
  <c r="U720" i="17"/>
  <c r="U719" i="17"/>
  <c r="U718" i="17"/>
  <c r="U717" i="17"/>
  <c r="U716" i="17"/>
  <c r="U715" i="17"/>
  <c r="U714" i="17"/>
  <c r="U713" i="17"/>
  <c r="U712" i="17"/>
  <c r="U711" i="17"/>
  <c r="U710" i="17"/>
  <c r="U709" i="17"/>
  <c r="U708" i="17"/>
  <c r="U707" i="17"/>
  <c r="U706" i="17"/>
  <c r="U705" i="17"/>
  <c r="U704" i="17"/>
  <c r="U703" i="17"/>
  <c r="U702" i="17"/>
  <c r="U701" i="17"/>
  <c r="U700" i="17"/>
  <c r="U699" i="17"/>
  <c r="U698" i="17"/>
  <c r="U697" i="17"/>
  <c r="U696" i="17"/>
  <c r="U695" i="17"/>
  <c r="U694" i="17"/>
  <c r="U693" i="17"/>
  <c r="U692" i="17"/>
  <c r="U691" i="17"/>
  <c r="U690" i="17"/>
  <c r="U689" i="17"/>
  <c r="U688" i="17"/>
  <c r="U687" i="17"/>
  <c r="U686" i="17"/>
  <c r="U685" i="17"/>
  <c r="U684" i="17"/>
  <c r="U683" i="17"/>
  <c r="U682" i="17"/>
  <c r="U681" i="17"/>
  <c r="U680" i="17"/>
  <c r="U679" i="17"/>
  <c r="U678" i="17"/>
  <c r="U677" i="17"/>
  <c r="U676" i="17"/>
  <c r="U675" i="17"/>
  <c r="U674" i="17"/>
  <c r="U673" i="17"/>
  <c r="U672" i="17"/>
  <c r="U671" i="17"/>
  <c r="U670" i="17"/>
  <c r="U669" i="17"/>
  <c r="U668" i="17"/>
  <c r="U667" i="17"/>
  <c r="U666" i="17"/>
  <c r="U665" i="17"/>
  <c r="U664" i="17"/>
  <c r="U663" i="17"/>
  <c r="U662" i="17"/>
  <c r="U661" i="17"/>
  <c r="U660" i="17"/>
  <c r="U659" i="17"/>
  <c r="U658" i="17"/>
  <c r="U657" i="17"/>
  <c r="U656" i="17"/>
  <c r="U655" i="17"/>
  <c r="U654" i="17"/>
  <c r="U653" i="17"/>
  <c r="U652" i="17"/>
  <c r="U651" i="17"/>
  <c r="U650" i="17"/>
  <c r="U649" i="17"/>
  <c r="U648" i="17"/>
  <c r="U647" i="17"/>
  <c r="U646" i="17"/>
  <c r="U645" i="17"/>
  <c r="U644" i="17"/>
  <c r="U643" i="17"/>
  <c r="U642" i="17"/>
  <c r="U641" i="17"/>
  <c r="U640" i="17"/>
  <c r="U639" i="17"/>
  <c r="U638" i="17"/>
  <c r="U637" i="17"/>
  <c r="U636" i="17"/>
  <c r="U635" i="17"/>
  <c r="U634" i="17"/>
  <c r="U633" i="17"/>
  <c r="U632" i="17"/>
  <c r="U631" i="17"/>
  <c r="U630" i="17"/>
  <c r="U629" i="17"/>
  <c r="U628" i="17"/>
  <c r="U627" i="17"/>
  <c r="U626" i="17"/>
  <c r="U625" i="17"/>
  <c r="U624" i="17"/>
  <c r="U623" i="17"/>
  <c r="U622" i="17"/>
  <c r="U621" i="17"/>
  <c r="U620" i="17"/>
  <c r="U619" i="17"/>
  <c r="U618" i="17"/>
  <c r="U617" i="17"/>
  <c r="U616" i="17"/>
  <c r="U615" i="17"/>
  <c r="U614" i="17"/>
  <c r="U613" i="17"/>
  <c r="U612" i="17"/>
  <c r="U611" i="17"/>
  <c r="U610" i="17"/>
  <c r="U609" i="17"/>
  <c r="U608" i="17"/>
  <c r="U607" i="17"/>
  <c r="U606" i="17"/>
  <c r="U605" i="17"/>
  <c r="U604" i="17"/>
  <c r="U603" i="17"/>
  <c r="U602" i="17"/>
  <c r="U601" i="17"/>
  <c r="U600" i="17"/>
  <c r="U599" i="17"/>
  <c r="U598" i="17"/>
  <c r="U597" i="17"/>
  <c r="U596" i="17"/>
  <c r="U595" i="17"/>
  <c r="U594" i="17"/>
  <c r="U593" i="17"/>
  <c r="U592" i="17"/>
  <c r="U591" i="17"/>
  <c r="U590" i="17"/>
  <c r="U589" i="17"/>
  <c r="U588" i="17"/>
  <c r="U587" i="17"/>
  <c r="U586" i="17"/>
  <c r="U585" i="17"/>
  <c r="U584" i="17"/>
  <c r="U583" i="17"/>
  <c r="U582" i="17"/>
  <c r="U581" i="17"/>
  <c r="U580" i="17"/>
  <c r="U579" i="17"/>
  <c r="U578" i="17"/>
  <c r="U577" i="17"/>
  <c r="U576" i="17"/>
  <c r="U575" i="17"/>
  <c r="U574" i="17"/>
  <c r="U573" i="17"/>
  <c r="U572" i="17"/>
  <c r="U571" i="17"/>
  <c r="U570" i="17"/>
  <c r="U569" i="17"/>
  <c r="U568" i="17"/>
  <c r="U567" i="17"/>
  <c r="U566" i="17"/>
  <c r="U565" i="17"/>
  <c r="U564" i="17"/>
  <c r="U563" i="17"/>
  <c r="U562" i="17"/>
  <c r="U561" i="17"/>
  <c r="U560" i="17"/>
  <c r="U559" i="17"/>
  <c r="U558" i="17"/>
  <c r="U557" i="17"/>
  <c r="U556" i="17"/>
  <c r="U555" i="17"/>
  <c r="U554" i="17"/>
  <c r="U553" i="17"/>
  <c r="U552" i="17"/>
  <c r="U551" i="17"/>
  <c r="U550" i="17"/>
  <c r="U549" i="17"/>
  <c r="U548" i="17"/>
  <c r="U547" i="17"/>
  <c r="U546" i="17"/>
  <c r="U545" i="17"/>
  <c r="U544" i="17"/>
  <c r="U543" i="17"/>
  <c r="U542" i="17"/>
  <c r="U541" i="17"/>
  <c r="U540" i="17"/>
  <c r="U539" i="17"/>
  <c r="U538" i="17"/>
  <c r="U537" i="17"/>
  <c r="U536" i="17"/>
  <c r="U535" i="17"/>
  <c r="U534" i="17"/>
  <c r="U533" i="17"/>
  <c r="U532" i="17"/>
  <c r="U531" i="17"/>
  <c r="U530" i="17"/>
  <c r="U529" i="17"/>
  <c r="U528" i="17"/>
  <c r="U527" i="17"/>
  <c r="U526" i="17"/>
  <c r="U525" i="17"/>
  <c r="U524" i="17"/>
  <c r="U523" i="17"/>
  <c r="U522" i="17"/>
  <c r="U521" i="17"/>
  <c r="U520" i="17"/>
  <c r="U519" i="17"/>
  <c r="U518" i="17"/>
  <c r="U517" i="17"/>
  <c r="U516" i="17"/>
  <c r="U515" i="17"/>
  <c r="U514" i="17"/>
  <c r="U513" i="17"/>
  <c r="U512" i="17"/>
  <c r="U511" i="17"/>
  <c r="U510" i="17"/>
  <c r="U509" i="17"/>
  <c r="U508" i="17"/>
  <c r="U507" i="17"/>
  <c r="U506" i="17"/>
  <c r="U505" i="17"/>
  <c r="U504" i="17"/>
  <c r="U503" i="17"/>
  <c r="U502" i="17"/>
  <c r="U501" i="17"/>
  <c r="U500" i="17"/>
  <c r="U499" i="17"/>
  <c r="U498" i="17"/>
  <c r="U497" i="17"/>
  <c r="U496" i="17"/>
  <c r="U495" i="17"/>
  <c r="U494" i="17"/>
  <c r="U493" i="17"/>
  <c r="U492" i="17"/>
  <c r="U491" i="17"/>
  <c r="U490" i="17"/>
  <c r="U489" i="17"/>
  <c r="U488" i="17"/>
  <c r="U487" i="17"/>
  <c r="U486" i="17"/>
  <c r="U485" i="17"/>
  <c r="U484" i="17"/>
  <c r="U483" i="17"/>
  <c r="U482" i="17"/>
  <c r="U481" i="17"/>
  <c r="U480" i="17"/>
  <c r="U479" i="17"/>
  <c r="U478" i="17"/>
  <c r="U477" i="17"/>
  <c r="U476" i="17"/>
  <c r="U475" i="17"/>
  <c r="U474" i="17"/>
  <c r="U473" i="17"/>
  <c r="U472" i="17"/>
  <c r="U471" i="17"/>
  <c r="U470" i="17"/>
  <c r="U469" i="17"/>
  <c r="U468" i="17"/>
  <c r="U467" i="17"/>
  <c r="U466" i="17"/>
  <c r="U465" i="17"/>
  <c r="U464" i="17"/>
  <c r="U463" i="17"/>
  <c r="U462" i="17"/>
  <c r="U461" i="17"/>
  <c r="U460" i="17"/>
  <c r="U459" i="17"/>
  <c r="U458" i="17"/>
  <c r="U457" i="17"/>
  <c r="U456" i="17"/>
  <c r="U455" i="17"/>
  <c r="U454" i="17"/>
  <c r="U453" i="17"/>
  <c r="U452" i="17"/>
  <c r="U451" i="17"/>
  <c r="U450" i="17"/>
  <c r="U449" i="17"/>
  <c r="U448" i="17"/>
  <c r="U447" i="17"/>
  <c r="U446" i="17"/>
  <c r="U445" i="17"/>
  <c r="U444" i="17"/>
  <c r="U443" i="17"/>
  <c r="U442" i="17"/>
  <c r="U441" i="17"/>
  <c r="U440" i="17"/>
  <c r="U439" i="17"/>
  <c r="U438" i="17"/>
  <c r="U437" i="17"/>
  <c r="U436" i="17"/>
  <c r="U435" i="17"/>
  <c r="U434" i="17"/>
  <c r="U433" i="17"/>
  <c r="U432" i="17"/>
  <c r="U431" i="17"/>
  <c r="U430" i="17"/>
  <c r="U429" i="17"/>
  <c r="U428" i="17"/>
  <c r="U427" i="17"/>
  <c r="U426" i="17"/>
  <c r="U425" i="17"/>
  <c r="U424" i="17"/>
  <c r="U423" i="17"/>
  <c r="U422" i="17"/>
  <c r="U421" i="17"/>
  <c r="U420" i="17"/>
  <c r="U419" i="17"/>
  <c r="U418" i="17"/>
  <c r="U417" i="17"/>
  <c r="U416" i="17"/>
  <c r="U415" i="17"/>
  <c r="U414" i="17"/>
  <c r="U413" i="17"/>
  <c r="U412" i="17"/>
  <c r="U411" i="17"/>
  <c r="U410" i="17"/>
  <c r="U409" i="17"/>
  <c r="U408" i="17"/>
  <c r="U407" i="17"/>
  <c r="U406" i="17"/>
  <c r="U405" i="17"/>
  <c r="U404" i="17"/>
  <c r="U403" i="17"/>
  <c r="U402" i="17"/>
  <c r="U401" i="17"/>
  <c r="U400" i="17"/>
  <c r="U399" i="17"/>
  <c r="U398" i="17"/>
  <c r="U397" i="17"/>
  <c r="U396" i="17"/>
  <c r="U395" i="17"/>
  <c r="U394" i="17"/>
  <c r="U393" i="17"/>
  <c r="U392" i="17"/>
  <c r="U391" i="17"/>
  <c r="U390" i="17"/>
  <c r="U389" i="17"/>
  <c r="U388" i="17"/>
  <c r="U387" i="17"/>
  <c r="U386" i="17"/>
  <c r="U385" i="17"/>
  <c r="U384" i="17"/>
  <c r="U383" i="17"/>
  <c r="U382" i="17"/>
  <c r="U381" i="17"/>
  <c r="U380" i="17"/>
  <c r="U379" i="17"/>
  <c r="U378" i="17"/>
  <c r="U377" i="17"/>
  <c r="U376" i="17"/>
  <c r="U375" i="17"/>
  <c r="U374" i="17"/>
  <c r="U373" i="17"/>
  <c r="U372" i="17"/>
  <c r="U371" i="17"/>
  <c r="U370" i="17"/>
  <c r="U369" i="17"/>
  <c r="U368" i="17"/>
  <c r="U367" i="17"/>
  <c r="U366" i="17"/>
  <c r="U365" i="17"/>
  <c r="U364" i="17"/>
  <c r="U363" i="17"/>
  <c r="U362" i="17"/>
  <c r="U361" i="17"/>
  <c r="U360" i="17"/>
  <c r="U359" i="17"/>
  <c r="U358" i="17"/>
  <c r="U357" i="17"/>
  <c r="U356" i="17"/>
  <c r="U355" i="17"/>
  <c r="U354" i="17"/>
  <c r="U353" i="17"/>
  <c r="U352" i="17"/>
  <c r="U351" i="17"/>
  <c r="U350" i="17"/>
  <c r="U349" i="17"/>
  <c r="U348" i="17"/>
  <c r="U347" i="17"/>
  <c r="U346" i="17"/>
  <c r="U345" i="17"/>
  <c r="U344" i="17"/>
  <c r="U343" i="17"/>
  <c r="U342" i="17"/>
  <c r="U341" i="17"/>
  <c r="U340" i="17"/>
  <c r="U339" i="17"/>
  <c r="U338" i="17"/>
  <c r="U337" i="17"/>
  <c r="U336" i="17"/>
  <c r="U335" i="17"/>
  <c r="U334" i="17"/>
  <c r="U333" i="17"/>
  <c r="U332" i="17"/>
  <c r="U331" i="17"/>
  <c r="U330" i="17"/>
  <c r="U329" i="17"/>
  <c r="U328" i="17"/>
  <c r="U327" i="17"/>
  <c r="U326" i="17"/>
  <c r="U325" i="17"/>
  <c r="U324" i="17"/>
  <c r="U323" i="17"/>
  <c r="U322" i="17"/>
  <c r="U321" i="17"/>
  <c r="U320" i="17"/>
  <c r="U319" i="17"/>
  <c r="U318" i="17"/>
  <c r="U317" i="17"/>
  <c r="U316" i="17"/>
  <c r="U315" i="17"/>
  <c r="U314" i="17"/>
  <c r="U313" i="17"/>
  <c r="U312" i="17"/>
  <c r="U311" i="17"/>
  <c r="U310" i="17"/>
  <c r="U309" i="17"/>
  <c r="U308" i="17"/>
  <c r="U307" i="17"/>
  <c r="U306" i="17"/>
  <c r="U305" i="17"/>
  <c r="U304" i="17"/>
  <c r="U303" i="17"/>
  <c r="U302" i="17"/>
  <c r="U301" i="17"/>
  <c r="U300" i="17"/>
  <c r="U299" i="17"/>
  <c r="U298" i="17"/>
  <c r="U297" i="17"/>
  <c r="U296" i="17"/>
  <c r="U295" i="17"/>
  <c r="U294" i="17"/>
  <c r="U293" i="17"/>
  <c r="U292" i="17"/>
  <c r="U291" i="17"/>
  <c r="U290" i="17"/>
  <c r="U289" i="17"/>
  <c r="U288" i="17"/>
  <c r="U287" i="17"/>
  <c r="U286" i="17"/>
  <c r="U285" i="17"/>
  <c r="U284" i="17"/>
  <c r="U283" i="17"/>
  <c r="U282" i="17"/>
  <c r="U281" i="17"/>
  <c r="U280" i="17"/>
  <c r="U279" i="17"/>
  <c r="U278" i="17"/>
  <c r="U277" i="17"/>
  <c r="U276" i="17"/>
  <c r="U275" i="17"/>
  <c r="U274" i="17"/>
  <c r="U273" i="17"/>
  <c r="U272" i="17"/>
  <c r="U271" i="17"/>
  <c r="U270" i="17"/>
  <c r="U269" i="17"/>
  <c r="U268" i="17"/>
  <c r="U267" i="17"/>
  <c r="U266" i="17"/>
  <c r="U265" i="17"/>
  <c r="U264" i="17"/>
  <c r="U263" i="17"/>
  <c r="U262" i="17"/>
  <c r="U261" i="17"/>
  <c r="U260" i="17"/>
  <c r="U259" i="17"/>
  <c r="U258" i="17"/>
  <c r="U257" i="17"/>
  <c r="U256" i="17"/>
  <c r="U255" i="17"/>
  <c r="U254" i="17"/>
  <c r="U253" i="17"/>
  <c r="U252" i="17"/>
  <c r="U251" i="17"/>
  <c r="U250" i="17"/>
  <c r="U249" i="17"/>
  <c r="U248" i="17"/>
  <c r="U247" i="17"/>
  <c r="U246" i="17"/>
  <c r="U245" i="17"/>
  <c r="U244" i="17"/>
  <c r="U243" i="17"/>
  <c r="U242" i="17"/>
  <c r="U241" i="17"/>
  <c r="U240" i="17"/>
  <c r="U239" i="17"/>
  <c r="U238" i="17"/>
  <c r="U237" i="17"/>
  <c r="U236" i="17"/>
  <c r="U235" i="17"/>
  <c r="U234" i="17"/>
  <c r="U233" i="17"/>
  <c r="U232" i="17"/>
  <c r="U231" i="17"/>
  <c r="U230" i="17"/>
  <c r="U229" i="17"/>
  <c r="U228" i="17"/>
  <c r="U227" i="17"/>
  <c r="U226" i="17"/>
  <c r="U225" i="17"/>
  <c r="U224" i="17"/>
  <c r="U223" i="17"/>
  <c r="U222" i="17"/>
  <c r="U221" i="17"/>
  <c r="U220" i="17"/>
  <c r="U219" i="17"/>
  <c r="U218" i="17"/>
  <c r="U217" i="17"/>
  <c r="U216" i="17"/>
  <c r="U215" i="17"/>
  <c r="U214" i="17"/>
  <c r="U213" i="17"/>
  <c r="U212" i="17"/>
  <c r="U211" i="17"/>
  <c r="U210" i="17"/>
  <c r="U209" i="17"/>
  <c r="U208" i="17"/>
  <c r="U207" i="17"/>
  <c r="U206" i="17"/>
  <c r="U205" i="17"/>
  <c r="U204" i="17"/>
  <c r="U203" i="17"/>
  <c r="U202" i="17"/>
  <c r="U201" i="17"/>
  <c r="U200" i="17"/>
  <c r="U199" i="17"/>
  <c r="U198" i="17"/>
  <c r="U197" i="17"/>
  <c r="U196" i="17"/>
  <c r="U195" i="17"/>
  <c r="U194" i="17"/>
  <c r="U193" i="17"/>
  <c r="U192" i="17"/>
  <c r="U191" i="17"/>
  <c r="U190" i="17"/>
  <c r="U189" i="17"/>
  <c r="U188" i="17"/>
  <c r="U187" i="17"/>
  <c r="U186" i="17"/>
  <c r="U185" i="17"/>
  <c r="U184" i="17"/>
  <c r="U183" i="17"/>
  <c r="U182" i="17"/>
  <c r="U181" i="17"/>
  <c r="U180" i="17"/>
  <c r="U179" i="17"/>
  <c r="U178" i="17"/>
  <c r="U177" i="17"/>
  <c r="U176" i="17"/>
  <c r="U175" i="17"/>
  <c r="U174" i="17"/>
  <c r="U173" i="17"/>
  <c r="U172" i="17"/>
  <c r="U171" i="17"/>
  <c r="U170" i="17"/>
  <c r="U169" i="17"/>
  <c r="U168" i="17"/>
  <c r="U167" i="17"/>
  <c r="U166" i="17"/>
  <c r="U165" i="17"/>
  <c r="U164" i="17"/>
  <c r="U163" i="17"/>
  <c r="U162" i="17"/>
  <c r="U161" i="17"/>
  <c r="U160" i="17"/>
  <c r="U159" i="17"/>
  <c r="U158" i="17"/>
  <c r="U157" i="17"/>
  <c r="U156" i="17"/>
  <c r="U155" i="17"/>
  <c r="U154" i="17"/>
  <c r="U153" i="17"/>
  <c r="U152" i="17"/>
  <c r="U151" i="17"/>
  <c r="U150" i="17"/>
  <c r="U149" i="17"/>
  <c r="U148" i="17"/>
  <c r="U147" i="17"/>
  <c r="U146" i="17"/>
  <c r="U145" i="17"/>
  <c r="U144" i="17"/>
  <c r="U143" i="17"/>
  <c r="U142" i="17"/>
  <c r="U141" i="17"/>
  <c r="U140" i="17"/>
  <c r="U139" i="17"/>
  <c r="U138" i="17"/>
  <c r="U137" i="17"/>
  <c r="U136" i="17"/>
  <c r="U135" i="17"/>
  <c r="U134" i="17"/>
  <c r="U133" i="17"/>
  <c r="U132" i="17"/>
  <c r="U131" i="17"/>
  <c r="U130" i="17"/>
  <c r="U129" i="17"/>
  <c r="U128" i="17"/>
  <c r="U127" i="17"/>
  <c r="U126" i="17"/>
  <c r="U125" i="17"/>
  <c r="U124" i="17"/>
  <c r="U123" i="17"/>
  <c r="U122" i="17"/>
  <c r="U121" i="17"/>
  <c r="U120" i="17"/>
  <c r="U119" i="17"/>
  <c r="U118" i="17"/>
  <c r="U117" i="17"/>
  <c r="U116" i="17"/>
  <c r="U115" i="17"/>
  <c r="U114" i="17"/>
  <c r="U113" i="17"/>
  <c r="U112" i="17"/>
  <c r="U111" i="17"/>
  <c r="U110" i="17"/>
  <c r="U109" i="17"/>
  <c r="U108" i="17"/>
  <c r="U107" i="17"/>
  <c r="U106" i="17"/>
  <c r="U105" i="17"/>
  <c r="U104" i="17"/>
  <c r="U103" i="17"/>
  <c r="U102" i="17"/>
  <c r="U101" i="17"/>
  <c r="U100" i="17"/>
  <c r="U99" i="17"/>
  <c r="U98" i="17"/>
  <c r="U97" i="17"/>
  <c r="U96" i="17"/>
  <c r="U95" i="17"/>
  <c r="U94" i="17"/>
  <c r="U93" i="17"/>
  <c r="U92" i="17"/>
  <c r="U91" i="17"/>
  <c r="U90" i="17"/>
  <c r="U89" i="17"/>
  <c r="U88" i="17"/>
  <c r="U87" i="17"/>
  <c r="U86" i="17"/>
  <c r="U85" i="17"/>
  <c r="U84" i="17"/>
  <c r="U83" i="17"/>
  <c r="U82" i="17"/>
  <c r="U81" i="17"/>
  <c r="U80" i="17"/>
  <c r="U79" i="17"/>
  <c r="U78" i="17"/>
  <c r="U77" i="17"/>
  <c r="U76" i="17"/>
  <c r="U75" i="17"/>
  <c r="U74" i="17"/>
  <c r="U73" i="17"/>
  <c r="U72" i="17"/>
  <c r="U71" i="17"/>
  <c r="U70" i="17"/>
  <c r="U69" i="17"/>
  <c r="U68" i="17"/>
  <c r="U67" i="17"/>
  <c r="U66" i="17"/>
  <c r="U65" i="17"/>
  <c r="U64" i="17"/>
  <c r="U63" i="17"/>
  <c r="U62" i="17"/>
  <c r="U61" i="17"/>
  <c r="U60" i="17"/>
  <c r="U59" i="17"/>
  <c r="U58" i="17"/>
  <c r="U57" i="17"/>
  <c r="U56" i="17"/>
  <c r="U55" i="17"/>
  <c r="U54" i="17"/>
  <c r="U53" i="17"/>
  <c r="U52" i="17"/>
  <c r="U51" i="17"/>
  <c r="U50" i="17"/>
  <c r="U49" i="17"/>
  <c r="U48" i="17"/>
  <c r="U47" i="17"/>
  <c r="U46" i="17"/>
  <c r="U45" i="17"/>
  <c r="U44" i="17"/>
  <c r="U43" i="17"/>
  <c r="U42" i="17"/>
  <c r="U41" i="17"/>
  <c r="U40" i="17"/>
  <c r="U39" i="17"/>
  <c r="U38" i="17"/>
  <c r="U37" i="17"/>
  <c r="U36" i="17"/>
  <c r="U35" i="17"/>
  <c r="U34" i="17"/>
  <c r="U33" i="17"/>
  <c r="U32" i="17"/>
  <c r="U31" i="17"/>
  <c r="U30" i="17"/>
  <c r="U29" i="17"/>
  <c r="U28" i="17"/>
  <c r="U27" i="17"/>
  <c r="U26" i="17"/>
  <c r="U25" i="17"/>
  <c r="U24" i="17"/>
  <c r="U23" i="17"/>
  <c r="U22" i="17"/>
  <c r="U21" i="17"/>
  <c r="U20" i="17"/>
  <c r="U19" i="17"/>
  <c r="U18" i="17"/>
  <c r="U17" i="17"/>
  <c r="U16" i="17"/>
  <c r="U15" i="17"/>
  <c r="U14" i="17"/>
  <c r="U13" i="17"/>
  <c r="U12" i="17"/>
  <c r="U11" i="17"/>
  <c r="U10" i="17"/>
  <c r="U9" i="17"/>
  <c r="U8" i="17"/>
  <c r="U7" i="17"/>
  <c r="U6" i="17"/>
  <c r="U5" i="17"/>
  <c r="U4" i="17"/>
  <c r="U3" i="17"/>
  <c r="U2" i="17"/>
  <c r="U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G733" i="14"/>
  <c r="G732" i="14"/>
  <c r="G731" i="14"/>
  <c r="G730" i="14"/>
  <c r="G729" i="14"/>
  <c r="G728" i="14"/>
  <c r="G727" i="14"/>
  <c r="G726" i="14"/>
  <c r="G725" i="14"/>
  <c r="G724" i="14"/>
  <c r="G723" i="14"/>
  <c r="G722" i="14"/>
  <c r="G721" i="14"/>
  <c r="G720" i="14"/>
  <c r="G719" i="14"/>
  <c r="G718" i="14"/>
  <c r="G717" i="14"/>
  <c r="G716" i="14"/>
  <c r="G715" i="14"/>
  <c r="G714" i="14"/>
  <c r="G713" i="14"/>
  <c r="G712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G591" i="14"/>
  <c r="G590" i="14"/>
  <c r="G589" i="14"/>
  <c r="G588" i="14"/>
  <c r="G587" i="14"/>
  <c r="G586" i="14"/>
  <c r="G585" i="14"/>
  <c r="G584" i="14"/>
  <c r="G583" i="14"/>
  <c r="G582" i="14"/>
  <c r="G581" i="14"/>
  <c r="G580" i="14"/>
  <c r="G579" i="14"/>
  <c r="G578" i="14"/>
  <c r="G577" i="14"/>
  <c r="G576" i="14"/>
  <c r="G575" i="14"/>
  <c r="G574" i="14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4" i="14"/>
  <c r="G3" i="14"/>
  <c r="G2" i="14"/>
  <c r="G5" i="14"/>
  <c r="F5" i="14" s="1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X789" i="17"/>
  <c r="K789" i="17"/>
  <c r="X788" i="17"/>
  <c r="K788" i="17"/>
  <c r="X787" i="17"/>
  <c r="K787" i="17"/>
  <c r="X786" i="17"/>
  <c r="K786" i="17"/>
  <c r="X785" i="17"/>
  <c r="K785" i="17"/>
  <c r="X784" i="17"/>
  <c r="K784" i="17"/>
  <c r="X783" i="17"/>
  <c r="K783" i="17"/>
  <c r="X782" i="17"/>
  <c r="K782" i="17"/>
  <c r="X781" i="17"/>
  <c r="K781" i="17"/>
  <c r="X780" i="17"/>
  <c r="K780" i="17"/>
  <c r="X779" i="17"/>
  <c r="K779" i="17"/>
  <c r="X778" i="17"/>
  <c r="K778" i="17"/>
  <c r="X777" i="17"/>
  <c r="K777" i="17"/>
  <c r="X776" i="17"/>
  <c r="K776" i="17"/>
  <c r="X775" i="17"/>
  <c r="K775" i="17"/>
  <c r="X774" i="17"/>
  <c r="K774" i="17"/>
  <c r="X773" i="17"/>
  <c r="K773" i="17"/>
  <c r="X772" i="17"/>
  <c r="K772" i="17"/>
  <c r="X771" i="17"/>
  <c r="K771" i="17"/>
  <c r="X770" i="17"/>
  <c r="K770" i="17"/>
  <c r="X769" i="17"/>
  <c r="K769" i="17"/>
  <c r="X768" i="17"/>
  <c r="K768" i="17"/>
  <c r="X767" i="17"/>
  <c r="K767" i="17"/>
  <c r="X766" i="17"/>
  <c r="K766" i="17"/>
  <c r="X765" i="17"/>
  <c r="K765" i="17"/>
  <c r="X764" i="17"/>
  <c r="K764" i="17"/>
  <c r="X763" i="17"/>
  <c r="K763" i="17"/>
  <c r="X762" i="17"/>
  <c r="K762" i="17"/>
  <c r="X761" i="17"/>
  <c r="K761" i="17"/>
  <c r="X760" i="17"/>
  <c r="K760" i="17"/>
  <c r="X759" i="17"/>
  <c r="K759" i="17"/>
  <c r="X758" i="17"/>
  <c r="K758" i="17"/>
  <c r="X757" i="17"/>
  <c r="K757" i="17"/>
  <c r="X756" i="17"/>
  <c r="K756" i="17"/>
  <c r="X755" i="17"/>
  <c r="K755" i="17"/>
  <c r="X754" i="17"/>
  <c r="K754" i="17"/>
  <c r="X753" i="17"/>
  <c r="K753" i="17"/>
  <c r="X752" i="17"/>
  <c r="K752" i="17"/>
  <c r="X751" i="17"/>
  <c r="K751" i="17"/>
  <c r="X750" i="17"/>
  <c r="K750" i="17"/>
  <c r="X749" i="17"/>
  <c r="K749" i="17"/>
  <c r="X748" i="17"/>
  <c r="K748" i="17"/>
  <c r="X747" i="17"/>
  <c r="K747" i="17"/>
  <c r="X746" i="17"/>
  <c r="K746" i="17"/>
  <c r="X745" i="17"/>
  <c r="K745" i="17"/>
  <c r="X744" i="17"/>
  <c r="K744" i="17"/>
  <c r="X743" i="17"/>
  <c r="K743" i="17"/>
  <c r="X742" i="17"/>
  <c r="K742" i="17"/>
  <c r="X741" i="17"/>
  <c r="K741" i="17"/>
  <c r="X740" i="17"/>
  <c r="K740" i="17"/>
  <c r="X739" i="17"/>
  <c r="K739" i="17"/>
  <c r="X738" i="17"/>
  <c r="K738" i="17"/>
  <c r="X737" i="17"/>
  <c r="K737" i="17"/>
  <c r="X736" i="17"/>
  <c r="K736" i="17"/>
  <c r="X735" i="17"/>
  <c r="K735" i="17"/>
  <c r="X734" i="17"/>
  <c r="K734" i="17"/>
  <c r="X733" i="17"/>
  <c r="K733" i="17"/>
  <c r="X732" i="17"/>
  <c r="K732" i="17"/>
  <c r="X731" i="17"/>
  <c r="K731" i="17"/>
  <c r="X730" i="17"/>
  <c r="K730" i="17"/>
  <c r="X729" i="17"/>
  <c r="K729" i="17"/>
  <c r="X728" i="17"/>
  <c r="K728" i="17"/>
  <c r="X727" i="17"/>
  <c r="K727" i="17"/>
  <c r="X726" i="17"/>
  <c r="K726" i="17"/>
  <c r="X725" i="17"/>
  <c r="K725" i="17"/>
  <c r="X724" i="17"/>
  <c r="K724" i="17"/>
  <c r="X723" i="17"/>
  <c r="K723" i="17"/>
  <c r="X722" i="17"/>
  <c r="K722" i="17"/>
  <c r="X721" i="17"/>
  <c r="K721" i="17"/>
  <c r="X720" i="17"/>
  <c r="K720" i="17"/>
  <c r="X719" i="17"/>
  <c r="K719" i="17"/>
  <c r="X718" i="17"/>
  <c r="K718" i="17"/>
  <c r="X717" i="17"/>
  <c r="K717" i="17"/>
  <c r="X716" i="17"/>
  <c r="K716" i="17"/>
  <c r="X715" i="17"/>
  <c r="K715" i="17"/>
  <c r="X714" i="17"/>
  <c r="K714" i="17"/>
  <c r="X713" i="17"/>
  <c r="K713" i="17"/>
  <c r="X712" i="17"/>
  <c r="K712" i="17"/>
  <c r="X711" i="17"/>
  <c r="K711" i="17"/>
  <c r="X710" i="17"/>
  <c r="K710" i="17"/>
  <c r="X709" i="17"/>
  <c r="K709" i="17"/>
  <c r="X708" i="17"/>
  <c r="K708" i="17"/>
  <c r="X707" i="17"/>
  <c r="K707" i="17"/>
  <c r="X706" i="17"/>
  <c r="K706" i="17"/>
  <c r="X705" i="17"/>
  <c r="K705" i="17"/>
  <c r="X704" i="17"/>
  <c r="K704" i="17"/>
  <c r="X703" i="17"/>
  <c r="K703" i="17"/>
  <c r="X702" i="17"/>
  <c r="K702" i="17"/>
  <c r="X701" i="17"/>
  <c r="K701" i="17"/>
  <c r="X700" i="17"/>
  <c r="K700" i="17"/>
  <c r="X699" i="17"/>
  <c r="K699" i="17"/>
  <c r="X698" i="17"/>
  <c r="K698" i="17"/>
  <c r="X697" i="17"/>
  <c r="K697" i="17"/>
  <c r="X696" i="17"/>
  <c r="K696" i="17"/>
  <c r="X695" i="17"/>
  <c r="K695" i="17"/>
  <c r="X694" i="17"/>
  <c r="K694" i="17"/>
  <c r="X693" i="17"/>
  <c r="K693" i="17"/>
  <c r="X692" i="17"/>
  <c r="K692" i="17"/>
  <c r="X691" i="17"/>
  <c r="K691" i="17"/>
  <c r="X690" i="17"/>
  <c r="K690" i="17"/>
  <c r="X689" i="17"/>
  <c r="K689" i="17"/>
  <c r="X688" i="17"/>
  <c r="K688" i="17"/>
  <c r="X687" i="17"/>
  <c r="K687" i="17"/>
  <c r="X686" i="17"/>
  <c r="K686" i="17"/>
  <c r="X685" i="17"/>
  <c r="K685" i="17"/>
  <c r="X684" i="17"/>
  <c r="K684" i="17"/>
  <c r="X683" i="17"/>
  <c r="K683" i="17"/>
  <c r="X682" i="17"/>
  <c r="K682" i="17"/>
  <c r="X681" i="17"/>
  <c r="K681" i="17"/>
  <c r="X680" i="17"/>
  <c r="K680" i="17"/>
  <c r="X679" i="17"/>
  <c r="K679" i="17"/>
  <c r="X678" i="17"/>
  <c r="K678" i="17"/>
  <c r="X677" i="17"/>
  <c r="K677" i="17"/>
  <c r="X676" i="17"/>
  <c r="K676" i="17"/>
  <c r="X675" i="17"/>
  <c r="K675" i="17"/>
  <c r="X674" i="17"/>
  <c r="K674" i="17"/>
  <c r="X673" i="17"/>
  <c r="K673" i="17"/>
  <c r="X672" i="17"/>
  <c r="K672" i="17"/>
  <c r="X671" i="17"/>
  <c r="K671" i="17"/>
  <c r="X670" i="17"/>
  <c r="K670" i="17"/>
  <c r="X669" i="17"/>
  <c r="K669" i="17"/>
  <c r="X668" i="17"/>
  <c r="K668" i="17"/>
  <c r="X667" i="17"/>
  <c r="K667" i="17"/>
  <c r="X666" i="17"/>
  <c r="K666" i="17"/>
  <c r="X665" i="17"/>
  <c r="K665" i="17"/>
  <c r="X664" i="17"/>
  <c r="K664" i="17"/>
  <c r="X663" i="17"/>
  <c r="K663" i="17"/>
  <c r="X662" i="17"/>
  <c r="K662" i="17"/>
  <c r="X661" i="17"/>
  <c r="K661" i="17"/>
  <c r="X660" i="17"/>
  <c r="K660" i="17"/>
  <c r="X659" i="17"/>
  <c r="K659" i="17"/>
  <c r="X658" i="17"/>
  <c r="K658" i="17"/>
  <c r="X657" i="17"/>
  <c r="K657" i="17"/>
  <c r="X656" i="17"/>
  <c r="K656" i="17"/>
  <c r="X655" i="17"/>
  <c r="K655" i="17"/>
  <c r="X654" i="17"/>
  <c r="K654" i="17"/>
  <c r="X653" i="17"/>
  <c r="K653" i="17"/>
  <c r="X652" i="17"/>
  <c r="K652" i="17"/>
  <c r="X651" i="17"/>
  <c r="K651" i="17"/>
  <c r="X650" i="17"/>
  <c r="K650" i="17"/>
  <c r="X649" i="17"/>
  <c r="K649" i="17"/>
  <c r="X648" i="17"/>
  <c r="K648" i="17"/>
  <c r="X647" i="17"/>
  <c r="K647" i="17"/>
  <c r="X646" i="17"/>
  <c r="K646" i="17"/>
  <c r="X645" i="17"/>
  <c r="K645" i="17"/>
  <c r="X644" i="17"/>
  <c r="K644" i="17"/>
  <c r="X643" i="17"/>
  <c r="K643" i="17"/>
  <c r="X642" i="17"/>
  <c r="K642" i="17"/>
  <c r="X641" i="17"/>
  <c r="K641" i="17"/>
  <c r="X640" i="17"/>
  <c r="K640" i="17"/>
  <c r="X639" i="17"/>
  <c r="K639" i="17"/>
  <c r="X638" i="17"/>
  <c r="K638" i="17"/>
  <c r="X637" i="17"/>
  <c r="K637" i="17"/>
  <c r="X636" i="17"/>
  <c r="K636" i="17"/>
  <c r="X635" i="17"/>
  <c r="K635" i="17"/>
  <c r="X634" i="17"/>
  <c r="K634" i="17"/>
  <c r="X633" i="17"/>
  <c r="K633" i="17"/>
  <c r="X632" i="17"/>
  <c r="K632" i="17"/>
  <c r="X631" i="17"/>
  <c r="K631" i="17"/>
  <c r="X630" i="17"/>
  <c r="K630" i="17"/>
  <c r="X629" i="17"/>
  <c r="K629" i="17"/>
  <c r="X628" i="17"/>
  <c r="K628" i="17"/>
  <c r="X627" i="17"/>
  <c r="K627" i="17"/>
  <c r="X626" i="17"/>
  <c r="K626" i="17"/>
  <c r="X625" i="17"/>
  <c r="K625" i="17"/>
  <c r="X624" i="17"/>
  <c r="K624" i="17"/>
  <c r="X623" i="17"/>
  <c r="K623" i="17"/>
  <c r="X622" i="17"/>
  <c r="K622" i="17"/>
  <c r="X621" i="17"/>
  <c r="K621" i="17"/>
  <c r="X620" i="17"/>
  <c r="K620" i="17"/>
  <c r="X619" i="17"/>
  <c r="K619" i="17"/>
  <c r="X618" i="17"/>
  <c r="K618" i="17"/>
  <c r="X617" i="17"/>
  <c r="K617" i="17"/>
  <c r="X616" i="17"/>
  <c r="K616" i="17"/>
  <c r="X615" i="17"/>
  <c r="K615" i="17"/>
  <c r="X614" i="17"/>
  <c r="K614" i="17"/>
  <c r="X613" i="17"/>
  <c r="K613" i="17"/>
  <c r="X612" i="17"/>
  <c r="K612" i="17"/>
  <c r="X611" i="17"/>
  <c r="K611" i="17"/>
  <c r="X610" i="17"/>
  <c r="K610" i="17"/>
  <c r="X609" i="17"/>
  <c r="K609" i="17"/>
  <c r="X608" i="17"/>
  <c r="K608" i="17"/>
  <c r="X607" i="17"/>
  <c r="K607" i="17"/>
  <c r="X606" i="17"/>
  <c r="K606" i="17"/>
  <c r="X605" i="17"/>
  <c r="K605" i="17"/>
  <c r="X604" i="17"/>
  <c r="K604" i="17"/>
  <c r="X603" i="17"/>
  <c r="K603" i="17"/>
  <c r="X602" i="17"/>
  <c r="K602" i="17"/>
  <c r="X601" i="17"/>
  <c r="K601" i="17"/>
  <c r="X600" i="17"/>
  <c r="K600" i="17"/>
  <c r="X599" i="17"/>
  <c r="K599" i="17"/>
  <c r="X598" i="17"/>
  <c r="K598" i="17"/>
  <c r="X597" i="17"/>
  <c r="K597" i="17"/>
  <c r="X596" i="17"/>
  <c r="K596" i="17"/>
  <c r="X595" i="17"/>
  <c r="K595" i="17"/>
  <c r="X594" i="17"/>
  <c r="K594" i="17"/>
  <c r="X593" i="17"/>
  <c r="K593" i="17"/>
  <c r="X592" i="17"/>
  <c r="K592" i="17"/>
  <c r="X591" i="17"/>
  <c r="K591" i="17"/>
  <c r="X590" i="17"/>
  <c r="K590" i="17"/>
  <c r="X589" i="17"/>
  <c r="K589" i="17"/>
  <c r="X588" i="17"/>
  <c r="K588" i="17"/>
  <c r="X587" i="17"/>
  <c r="K587" i="17"/>
  <c r="X586" i="17"/>
  <c r="K586" i="17"/>
  <c r="X585" i="17"/>
  <c r="K585" i="17"/>
  <c r="X584" i="17"/>
  <c r="K584" i="17"/>
  <c r="X583" i="17"/>
  <c r="K583" i="17"/>
  <c r="X582" i="17"/>
  <c r="K582" i="17"/>
  <c r="X581" i="17"/>
  <c r="K581" i="17"/>
  <c r="X580" i="17"/>
  <c r="K580" i="17"/>
  <c r="X579" i="17"/>
  <c r="K579" i="17"/>
  <c r="X578" i="17"/>
  <c r="K578" i="17"/>
  <c r="X577" i="17"/>
  <c r="K577" i="17"/>
  <c r="X576" i="17"/>
  <c r="K576" i="17"/>
  <c r="X575" i="17"/>
  <c r="K575" i="17"/>
  <c r="X574" i="17"/>
  <c r="K574" i="17"/>
  <c r="X573" i="17"/>
  <c r="K573" i="17"/>
  <c r="X572" i="17"/>
  <c r="K572" i="17"/>
  <c r="X571" i="17"/>
  <c r="K571" i="17"/>
  <c r="X570" i="17"/>
  <c r="K570" i="17"/>
  <c r="X569" i="17"/>
  <c r="K569" i="17"/>
  <c r="X568" i="17"/>
  <c r="K568" i="17"/>
  <c r="X567" i="17"/>
  <c r="K567" i="17"/>
  <c r="X566" i="17"/>
  <c r="K566" i="17"/>
  <c r="X565" i="17"/>
  <c r="K565" i="17"/>
  <c r="X564" i="17"/>
  <c r="K564" i="17"/>
  <c r="X563" i="17"/>
  <c r="K563" i="17"/>
  <c r="X562" i="17"/>
  <c r="K562" i="17"/>
  <c r="X561" i="17"/>
  <c r="K561" i="17"/>
  <c r="X560" i="17"/>
  <c r="K560" i="17"/>
  <c r="X559" i="17"/>
  <c r="K559" i="17"/>
  <c r="X558" i="17"/>
  <c r="K558" i="17"/>
  <c r="X557" i="17"/>
  <c r="K557" i="17"/>
  <c r="X556" i="17"/>
  <c r="K556" i="17"/>
  <c r="X555" i="17"/>
  <c r="K555" i="17"/>
  <c r="X554" i="17"/>
  <c r="K554" i="17"/>
  <c r="X553" i="17"/>
  <c r="K553" i="17"/>
  <c r="X552" i="17"/>
  <c r="K552" i="17"/>
  <c r="X551" i="17"/>
  <c r="K551" i="17"/>
  <c r="X550" i="17"/>
  <c r="K550" i="17"/>
  <c r="X549" i="17"/>
  <c r="K549" i="17"/>
  <c r="X548" i="17"/>
  <c r="K548" i="17"/>
  <c r="X547" i="17"/>
  <c r="K547" i="17"/>
  <c r="X546" i="17"/>
  <c r="K546" i="17"/>
  <c r="X545" i="17"/>
  <c r="K545" i="17"/>
  <c r="X544" i="17"/>
  <c r="K544" i="17"/>
  <c r="X543" i="17"/>
  <c r="K543" i="17"/>
  <c r="X542" i="17"/>
  <c r="K542" i="17"/>
  <c r="X541" i="17"/>
  <c r="K541" i="17"/>
  <c r="X540" i="17"/>
  <c r="K540" i="17"/>
  <c r="X539" i="17"/>
  <c r="K539" i="17"/>
  <c r="X538" i="17"/>
  <c r="K538" i="17"/>
  <c r="X537" i="17"/>
  <c r="K537" i="17"/>
  <c r="X536" i="17"/>
  <c r="K536" i="17"/>
  <c r="X535" i="17"/>
  <c r="K535" i="17"/>
  <c r="X534" i="17"/>
  <c r="K534" i="17"/>
  <c r="X533" i="17"/>
  <c r="K533" i="17"/>
  <c r="X532" i="17"/>
  <c r="K532" i="17"/>
  <c r="X531" i="17"/>
  <c r="K531" i="17"/>
  <c r="X530" i="17"/>
  <c r="K530" i="17"/>
  <c r="X529" i="17"/>
  <c r="K529" i="17"/>
  <c r="X528" i="17"/>
  <c r="K528" i="17"/>
  <c r="X527" i="17"/>
  <c r="K527" i="17"/>
  <c r="X526" i="17"/>
  <c r="K526" i="17"/>
  <c r="X525" i="17"/>
  <c r="K525" i="17"/>
  <c r="X524" i="17"/>
  <c r="K524" i="17"/>
  <c r="X523" i="17"/>
  <c r="K523" i="17"/>
  <c r="X522" i="17"/>
  <c r="K522" i="17"/>
  <c r="X521" i="17"/>
  <c r="K521" i="17"/>
  <c r="X520" i="17"/>
  <c r="K520" i="17"/>
  <c r="X519" i="17"/>
  <c r="K519" i="17"/>
  <c r="X518" i="17"/>
  <c r="K518" i="17"/>
  <c r="X517" i="17"/>
  <c r="K517" i="17"/>
  <c r="X516" i="17"/>
  <c r="K516" i="17"/>
  <c r="X515" i="17"/>
  <c r="K515" i="17"/>
  <c r="X514" i="17"/>
  <c r="K514" i="17"/>
  <c r="X513" i="17"/>
  <c r="K513" i="17"/>
  <c r="X512" i="17"/>
  <c r="K512" i="17"/>
  <c r="X511" i="17"/>
  <c r="K511" i="17"/>
  <c r="X510" i="17"/>
  <c r="K510" i="17"/>
  <c r="X509" i="17"/>
  <c r="K509" i="17"/>
  <c r="X508" i="17"/>
  <c r="K508" i="17"/>
  <c r="X507" i="17"/>
  <c r="K507" i="17"/>
  <c r="X506" i="17"/>
  <c r="K506" i="17"/>
  <c r="X505" i="17"/>
  <c r="K505" i="17"/>
  <c r="X504" i="17"/>
  <c r="K504" i="17"/>
  <c r="X503" i="17"/>
  <c r="K503" i="17"/>
  <c r="X502" i="17"/>
  <c r="K502" i="17"/>
  <c r="X501" i="17"/>
  <c r="K501" i="17"/>
  <c r="X500" i="17"/>
  <c r="K500" i="17"/>
  <c r="X499" i="17"/>
  <c r="K499" i="17"/>
  <c r="X498" i="17"/>
  <c r="K498" i="17"/>
  <c r="X497" i="17"/>
  <c r="K497" i="17"/>
  <c r="X496" i="17"/>
  <c r="K496" i="17"/>
  <c r="X495" i="17"/>
  <c r="K495" i="17"/>
  <c r="X494" i="17"/>
  <c r="K494" i="17"/>
  <c r="X493" i="17"/>
  <c r="K493" i="17"/>
  <c r="X492" i="17"/>
  <c r="K492" i="17"/>
  <c r="X491" i="17"/>
  <c r="K491" i="17"/>
  <c r="X490" i="17"/>
  <c r="K490" i="17"/>
  <c r="X489" i="17"/>
  <c r="K489" i="17"/>
  <c r="X488" i="17"/>
  <c r="K488" i="17"/>
  <c r="X487" i="17"/>
  <c r="K487" i="17"/>
  <c r="X486" i="17"/>
  <c r="K486" i="17"/>
  <c r="X485" i="17"/>
  <c r="K485" i="17"/>
  <c r="X484" i="17"/>
  <c r="K484" i="17"/>
  <c r="X483" i="17"/>
  <c r="K483" i="17"/>
  <c r="X482" i="17"/>
  <c r="K482" i="17"/>
  <c r="X481" i="17"/>
  <c r="K481" i="17"/>
  <c r="X480" i="17"/>
  <c r="K480" i="17"/>
  <c r="X479" i="17"/>
  <c r="K479" i="17"/>
  <c r="X478" i="17"/>
  <c r="K478" i="17"/>
  <c r="X477" i="17"/>
  <c r="K477" i="17"/>
  <c r="X476" i="17"/>
  <c r="K476" i="17"/>
  <c r="X475" i="17"/>
  <c r="K475" i="17"/>
  <c r="X474" i="17"/>
  <c r="K474" i="17"/>
  <c r="X473" i="17"/>
  <c r="K473" i="17"/>
  <c r="X472" i="17"/>
  <c r="K472" i="17"/>
  <c r="X471" i="17"/>
  <c r="K471" i="17"/>
  <c r="X470" i="17"/>
  <c r="K470" i="17"/>
  <c r="X469" i="17"/>
  <c r="K469" i="17"/>
  <c r="X468" i="17"/>
  <c r="K468" i="17"/>
  <c r="X467" i="17"/>
  <c r="K467" i="17"/>
  <c r="X466" i="17"/>
  <c r="K466" i="17"/>
  <c r="X465" i="17"/>
  <c r="K465" i="17"/>
  <c r="X464" i="17"/>
  <c r="K464" i="17"/>
  <c r="X463" i="17"/>
  <c r="K463" i="17"/>
  <c r="X462" i="17"/>
  <c r="K462" i="17"/>
  <c r="X461" i="17"/>
  <c r="K461" i="17"/>
  <c r="X460" i="17"/>
  <c r="K460" i="17"/>
  <c r="X459" i="17"/>
  <c r="K459" i="17"/>
  <c r="X458" i="17"/>
  <c r="K458" i="17"/>
  <c r="X457" i="17"/>
  <c r="K457" i="17"/>
  <c r="X456" i="17"/>
  <c r="K456" i="17"/>
  <c r="X455" i="17"/>
  <c r="K455" i="17"/>
  <c r="X454" i="17"/>
  <c r="K454" i="17"/>
  <c r="X453" i="17"/>
  <c r="K453" i="17"/>
  <c r="X452" i="17"/>
  <c r="K452" i="17"/>
  <c r="X451" i="17"/>
  <c r="K451" i="17"/>
  <c r="X450" i="17"/>
  <c r="K450" i="17"/>
  <c r="X449" i="17"/>
  <c r="K449" i="17"/>
  <c r="X448" i="17"/>
  <c r="K448" i="17"/>
  <c r="X447" i="17"/>
  <c r="K447" i="17"/>
  <c r="X446" i="17"/>
  <c r="K446" i="17"/>
  <c r="X445" i="17"/>
  <c r="K445" i="17"/>
  <c r="X444" i="17"/>
  <c r="K444" i="17"/>
  <c r="X443" i="17"/>
  <c r="K443" i="17"/>
  <c r="X442" i="17"/>
  <c r="K442" i="17"/>
  <c r="X441" i="17"/>
  <c r="K441" i="17"/>
  <c r="X440" i="17"/>
  <c r="K440" i="17"/>
  <c r="X439" i="17"/>
  <c r="K439" i="17"/>
  <c r="X438" i="17"/>
  <c r="K438" i="17"/>
  <c r="X437" i="17"/>
  <c r="K437" i="17"/>
  <c r="X436" i="17"/>
  <c r="K436" i="17"/>
  <c r="X435" i="17"/>
  <c r="K435" i="17"/>
  <c r="X434" i="17"/>
  <c r="K434" i="17"/>
  <c r="X433" i="17"/>
  <c r="K433" i="17"/>
  <c r="X432" i="17"/>
  <c r="K432" i="17"/>
  <c r="X431" i="17"/>
  <c r="K431" i="17"/>
  <c r="X430" i="17"/>
  <c r="K430" i="17"/>
  <c r="X429" i="17"/>
  <c r="K429" i="17"/>
  <c r="X428" i="17"/>
  <c r="K428" i="17"/>
  <c r="X427" i="17"/>
  <c r="K427" i="17"/>
  <c r="X426" i="17"/>
  <c r="K426" i="17"/>
  <c r="X425" i="17"/>
  <c r="K425" i="17"/>
  <c r="X424" i="17"/>
  <c r="K424" i="17"/>
  <c r="X423" i="17"/>
  <c r="K423" i="17"/>
  <c r="X422" i="17"/>
  <c r="K422" i="17"/>
  <c r="X421" i="17"/>
  <c r="K421" i="17"/>
  <c r="X420" i="17"/>
  <c r="K420" i="17"/>
  <c r="X419" i="17"/>
  <c r="K419" i="17"/>
  <c r="X418" i="17"/>
  <c r="K418" i="17"/>
  <c r="X417" i="17"/>
  <c r="K417" i="17"/>
  <c r="X416" i="17"/>
  <c r="K416" i="17"/>
  <c r="X415" i="17"/>
  <c r="K415" i="17"/>
  <c r="X414" i="17"/>
  <c r="K414" i="17"/>
  <c r="X413" i="17"/>
  <c r="K413" i="17"/>
  <c r="X412" i="17"/>
  <c r="K412" i="17"/>
  <c r="X411" i="17"/>
  <c r="K411" i="17"/>
  <c r="X410" i="17"/>
  <c r="K410" i="17"/>
  <c r="X409" i="17"/>
  <c r="K409" i="17"/>
  <c r="X408" i="17"/>
  <c r="K408" i="17"/>
  <c r="X407" i="17"/>
  <c r="K407" i="17"/>
  <c r="X406" i="17"/>
  <c r="K406" i="17"/>
  <c r="X405" i="17"/>
  <c r="K405" i="17"/>
  <c r="X404" i="17"/>
  <c r="K404" i="17"/>
  <c r="X403" i="17"/>
  <c r="K403" i="17"/>
  <c r="X402" i="17"/>
  <c r="K402" i="17"/>
  <c r="X401" i="17"/>
  <c r="K401" i="17"/>
  <c r="X400" i="17"/>
  <c r="K400" i="17"/>
  <c r="X399" i="17"/>
  <c r="K399" i="17"/>
  <c r="X398" i="17"/>
  <c r="K398" i="17"/>
  <c r="X397" i="17"/>
  <c r="K397" i="17"/>
  <c r="X396" i="17"/>
  <c r="K396" i="17"/>
  <c r="X395" i="17"/>
  <c r="K395" i="17"/>
  <c r="X394" i="17"/>
  <c r="K394" i="17"/>
  <c r="X393" i="17"/>
  <c r="K393" i="17"/>
  <c r="X392" i="17"/>
  <c r="K392" i="17"/>
  <c r="X391" i="17"/>
  <c r="K391" i="17"/>
  <c r="X390" i="17"/>
  <c r="K390" i="17"/>
  <c r="X389" i="17"/>
  <c r="K389" i="17"/>
  <c r="X388" i="17"/>
  <c r="K388" i="17"/>
  <c r="X387" i="17"/>
  <c r="K387" i="17"/>
  <c r="X386" i="17"/>
  <c r="K386" i="17"/>
  <c r="X385" i="17"/>
  <c r="K385" i="17"/>
  <c r="X384" i="17"/>
  <c r="K384" i="17"/>
  <c r="X383" i="17"/>
  <c r="K383" i="17"/>
  <c r="X382" i="17"/>
  <c r="K382" i="17"/>
  <c r="X381" i="17"/>
  <c r="K381" i="17"/>
  <c r="X380" i="17"/>
  <c r="K380" i="17"/>
  <c r="X379" i="17"/>
  <c r="K379" i="17"/>
  <c r="X378" i="17"/>
  <c r="K378" i="17"/>
  <c r="X377" i="17"/>
  <c r="K377" i="17"/>
  <c r="X376" i="17"/>
  <c r="K376" i="17"/>
  <c r="X375" i="17"/>
  <c r="K375" i="17"/>
  <c r="X374" i="17"/>
  <c r="K374" i="17"/>
  <c r="X373" i="17"/>
  <c r="K373" i="17"/>
  <c r="X372" i="17"/>
  <c r="K372" i="17"/>
  <c r="X371" i="17"/>
  <c r="K371" i="17"/>
  <c r="X370" i="17"/>
  <c r="K370" i="17"/>
  <c r="X369" i="17"/>
  <c r="K369" i="17"/>
  <c r="X368" i="17"/>
  <c r="K368" i="17"/>
  <c r="X367" i="17"/>
  <c r="K367" i="17"/>
  <c r="X366" i="17"/>
  <c r="K366" i="17"/>
  <c r="X365" i="17"/>
  <c r="K365" i="17"/>
  <c r="X364" i="17"/>
  <c r="K364" i="17"/>
  <c r="X363" i="17"/>
  <c r="K363" i="17"/>
  <c r="X362" i="17"/>
  <c r="K362" i="17"/>
  <c r="X361" i="17"/>
  <c r="K361" i="17"/>
  <c r="X360" i="17"/>
  <c r="K360" i="17"/>
  <c r="X359" i="17"/>
  <c r="K359" i="17"/>
  <c r="X358" i="17"/>
  <c r="K358" i="17"/>
  <c r="X357" i="17"/>
  <c r="K357" i="17"/>
  <c r="X356" i="17"/>
  <c r="K356" i="17"/>
  <c r="X355" i="17"/>
  <c r="K355" i="17"/>
  <c r="X354" i="17"/>
  <c r="K354" i="17"/>
  <c r="X353" i="17"/>
  <c r="K353" i="17"/>
  <c r="X352" i="17"/>
  <c r="K352" i="17"/>
  <c r="X351" i="17"/>
  <c r="K351" i="17"/>
  <c r="X350" i="17"/>
  <c r="K350" i="17"/>
  <c r="X349" i="17"/>
  <c r="K349" i="17"/>
  <c r="X348" i="17"/>
  <c r="K348" i="17"/>
  <c r="X347" i="17"/>
  <c r="K347" i="17"/>
  <c r="X346" i="17"/>
  <c r="K346" i="17"/>
  <c r="X345" i="17"/>
  <c r="K345" i="17"/>
  <c r="X344" i="17"/>
  <c r="K344" i="17"/>
  <c r="X343" i="17"/>
  <c r="K343" i="17"/>
  <c r="X342" i="17"/>
  <c r="K342" i="17"/>
  <c r="X341" i="17"/>
  <c r="K341" i="17"/>
  <c r="X340" i="17"/>
  <c r="K340" i="17"/>
  <c r="X339" i="17"/>
  <c r="K339" i="17"/>
  <c r="X338" i="17"/>
  <c r="K338" i="17"/>
  <c r="X337" i="17"/>
  <c r="K337" i="17"/>
  <c r="X336" i="17"/>
  <c r="K336" i="17"/>
  <c r="X335" i="17"/>
  <c r="K335" i="17"/>
  <c r="X334" i="17"/>
  <c r="K334" i="17"/>
  <c r="X333" i="17"/>
  <c r="K333" i="17"/>
  <c r="X332" i="17"/>
  <c r="K332" i="17"/>
  <c r="X331" i="17"/>
  <c r="K331" i="17"/>
  <c r="X330" i="17"/>
  <c r="K330" i="17"/>
  <c r="X329" i="17"/>
  <c r="K329" i="17"/>
  <c r="X328" i="17"/>
  <c r="K328" i="17"/>
  <c r="X327" i="17"/>
  <c r="K327" i="17"/>
  <c r="X326" i="17"/>
  <c r="K326" i="17"/>
  <c r="X325" i="17"/>
  <c r="K325" i="17"/>
  <c r="X324" i="17"/>
  <c r="K324" i="17"/>
  <c r="X323" i="17"/>
  <c r="K323" i="17"/>
  <c r="X322" i="17"/>
  <c r="K322" i="17"/>
  <c r="X321" i="17"/>
  <c r="K321" i="17"/>
  <c r="X320" i="17"/>
  <c r="K320" i="17"/>
  <c r="X319" i="17"/>
  <c r="K319" i="17"/>
  <c r="X318" i="17"/>
  <c r="K318" i="17"/>
  <c r="X317" i="17"/>
  <c r="K317" i="17"/>
  <c r="X316" i="17"/>
  <c r="K316" i="17"/>
  <c r="X315" i="17"/>
  <c r="K315" i="17"/>
  <c r="X314" i="17"/>
  <c r="K314" i="17"/>
  <c r="X313" i="17"/>
  <c r="K313" i="17"/>
  <c r="X312" i="17"/>
  <c r="K312" i="17"/>
  <c r="X311" i="17"/>
  <c r="K311" i="17"/>
  <c r="X310" i="17"/>
  <c r="K310" i="17"/>
  <c r="X309" i="17"/>
  <c r="K309" i="17"/>
  <c r="X308" i="17"/>
  <c r="K308" i="17"/>
  <c r="X307" i="17"/>
  <c r="K307" i="17"/>
  <c r="X306" i="17"/>
  <c r="K306" i="17"/>
  <c r="X305" i="17"/>
  <c r="K305" i="17"/>
  <c r="X304" i="17"/>
  <c r="K304" i="17"/>
  <c r="X303" i="17"/>
  <c r="K303" i="17"/>
  <c r="X302" i="17"/>
  <c r="K302" i="17"/>
  <c r="X301" i="17"/>
  <c r="K301" i="17"/>
  <c r="X300" i="17"/>
  <c r="K300" i="17"/>
  <c r="X299" i="17"/>
  <c r="K299" i="17"/>
  <c r="X298" i="17"/>
  <c r="K298" i="17"/>
  <c r="X297" i="17"/>
  <c r="K297" i="17"/>
  <c r="X296" i="17"/>
  <c r="K296" i="17"/>
  <c r="X295" i="17"/>
  <c r="K295" i="17"/>
  <c r="X294" i="17"/>
  <c r="K294" i="17"/>
  <c r="X293" i="17"/>
  <c r="K293" i="17"/>
  <c r="X292" i="17"/>
  <c r="K292" i="17"/>
  <c r="X291" i="17"/>
  <c r="K291" i="17"/>
  <c r="X290" i="17"/>
  <c r="K290" i="17"/>
  <c r="X289" i="17"/>
  <c r="K289" i="17"/>
  <c r="X288" i="17"/>
  <c r="K288" i="17"/>
  <c r="X287" i="17"/>
  <c r="K287" i="17"/>
  <c r="X286" i="17"/>
  <c r="K286" i="17"/>
  <c r="X285" i="17"/>
  <c r="K285" i="17"/>
  <c r="X284" i="17"/>
  <c r="K284" i="17"/>
  <c r="X283" i="17"/>
  <c r="K283" i="17"/>
  <c r="X282" i="17"/>
  <c r="K282" i="17"/>
  <c r="X281" i="17"/>
  <c r="K281" i="17"/>
  <c r="X280" i="17"/>
  <c r="K280" i="17"/>
  <c r="X279" i="17"/>
  <c r="K279" i="17"/>
  <c r="X278" i="17"/>
  <c r="K278" i="17"/>
  <c r="X277" i="17"/>
  <c r="K277" i="17"/>
  <c r="X276" i="17"/>
  <c r="K276" i="17"/>
  <c r="X275" i="17"/>
  <c r="K275" i="17"/>
  <c r="X274" i="17"/>
  <c r="K274" i="17"/>
  <c r="X273" i="17"/>
  <c r="K273" i="17"/>
  <c r="X272" i="17"/>
  <c r="K272" i="17"/>
  <c r="X271" i="17"/>
  <c r="K271" i="17"/>
  <c r="X270" i="17"/>
  <c r="K270" i="17"/>
  <c r="X269" i="17"/>
  <c r="K269" i="17"/>
  <c r="X268" i="17"/>
  <c r="K268" i="17"/>
  <c r="X267" i="17"/>
  <c r="K267" i="17"/>
  <c r="X266" i="17"/>
  <c r="K266" i="17"/>
  <c r="X265" i="17"/>
  <c r="K265" i="17"/>
  <c r="X264" i="17"/>
  <c r="K264" i="17"/>
  <c r="X263" i="17"/>
  <c r="K263" i="17"/>
  <c r="X262" i="17"/>
  <c r="K262" i="17"/>
  <c r="X261" i="17"/>
  <c r="K261" i="17"/>
  <c r="X260" i="17"/>
  <c r="K260" i="17"/>
  <c r="X259" i="17"/>
  <c r="K259" i="17"/>
  <c r="X258" i="17"/>
  <c r="K258" i="17"/>
  <c r="X257" i="17"/>
  <c r="K257" i="17"/>
  <c r="X256" i="17"/>
  <c r="K256" i="17"/>
  <c r="X255" i="17"/>
  <c r="K255" i="17"/>
  <c r="X254" i="17"/>
  <c r="K254" i="17"/>
  <c r="X253" i="17"/>
  <c r="K253" i="17"/>
  <c r="X252" i="17"/>
  <c r="K252" i="17"/>
  <c r="X251" i="17"/>
  <c r="K251" i="17"/>
  <c r="X250" i="17"/>
  <c r="K250" i="17"/>
  <c r="X249" i="17"/>
  <c r="K249" i="17"/>
  <c r="X248" i="17"/>
  <c r="K248" i="17"/>
  <c r="X247" i="17"/>
  <c r="K247" i="17"/>
  <c r="X246" i="17"/>
  <c r="K246" i="17"/>
  <c r="X245" i="17"/>
  <c r="K245" i="17"/>
  <c r="X244" i="17"/>
  <c r="K244" i="17"/>
  <c r="X243" i="17"/>
  <c r="K243" i="17"/>
  <c r="X242" i="17"/>
  <c r="K242" i="17"/>
  <c r="X241" i="17"/>
  <c r="K241" i="17"/>
  <c r="X240" i="17"/>
  <c r="K240" i="17"/>
  <c r="X239" i="17"/>
  <c r="K239" i="17"/>
  <c r="X238" i="17"/>
  <c r="K238" i="17"/>
  <c r="X237" i="17"/>
  <c r="K237" i="17"/>
  <c r="X236" i="17"/>
  <c r="K236" i="17"/>
  <c r="X235" i="17"/>
  <c r="K235" i="17"/>
  <c r="X234" i="17"/>
  <c r="K234" i="17"/>
  <c r="X233" i="17"/>
  <c r="K233" i="17"/>
  <c r="X232" i="17"/>
  <c r="K232" i="17"/>
  <c r="X231" i="17"/>
  <c r="K231" i="17"/>
  <c r="X230" i="17"/>
  <c r="K230" i="17"/>
  <c r="X229" i="17"/>
  <c r="K229" i="17"/>
  <c r="X228" i="17"/>
  <c r="K228" i="17"/>
  <c r="X227" i="17"/>
  <c r="K227" i="17"/>
  <c r="X226" i="17"/>
  <c r="K226" i="17"/>
  <c r="X225" i="17"/>
  <c r="K225" i="17"/>
  <c r="X224" i="17"/>
  <c r="K224" i="17"/>
  <c r="X223" i="17"/>
  <c r="K223" i="17"/>
  <c r="X222" i="17"/>
  <c r="K222" i="17"/>
  <c r="X221" i="17"/>
  <c r="K221" i="17"/>
  <c r="X220" i="17"/>
  <c r="K220" i="17"/>
  <c r="X219" i="17"/>
  <c r="K219" i="17"/>
  <c r="X218" i="17"/>
  <c r="K218" i="17"/>
  <c r="X217" i="17"/>
  <c r="K217" i="17"/>
  <c r="X216" i="17"/>
  <c r="K216" i="17"/>
  <c r="X215" i="17"/>
  <c r="K215" i="17"/>
  <c r="X214" i="17"/>
  <c r="K214" i="17"/>
  <c r="X213" i="17"/>
  <c r="K213" i="17"/>
  <c r="X212" i="17"/>
  <c r="K212" i="17"/>
  <c r="X211" i="17"/>
  <c r="K211" i="17"/>
  <c r="X210" i="17"/>
  <c r="K210" i="17"/>
  <c r="X209" i="17"/>
  <c r="K209" i="17"/>
  <c r="X208" i="17"/>
  <c r="K208" i="17"/>
  <c r="X207" i="17"/>
  <c r="K207" i="17"/>
  <c r="X206" i="17"/>
  <c r="K206" i="17"/>
  <c r="X205" i="17"/>
  <c r="K205" i="17"/>
  <c r="X204" i="17"/>
  <c r="K204" i="17"/>
  <c r="X203" i="17"/>
  <c r="K203" i="17"/>
  <c r="X202" i="17"/>
  <c r="K202" i="17"/>
  <c r="X201" i="17"/>
  <c r="K201" i="17"/>
  <c r="X200" i="17"/>
  <c r="K200" i="17"/>
  <c r="X199" i="17"/>
  <c r="K199" i="17"/>
  <c r="X198" i="17"/>
  <c r="K198" i="17"/>
  <c r="X197" i="17"/>
  <c r="K197" i="17"/>
  <c r="X196" i="17"/>
  <c r="K196" i="17"/>
  <c r="X195" i="17"/>
  <c r="K195" i="17"/>
  <c r="X194" i="17"/>
  <c r="K194" i="17"/>
  <c r="X193" i="17"/>
  <c r="K193" i="17"/>
  <c r="X192" i="17"/>
  <c r="K192" i="17"/>
  <c r="X191" i="17"/>
  <c r="K191" i="17"/>
  <c r="X190" i="17"/>
  <c r="K190" i="17"/>
  <c r="X189" i="17"/>
  <c r="K189" i="17"/>
  <c r="X188" i="17"/>
  <c r="K188" i="17"/>
  <c r="X187" i="17"/>
  <c r="K187" i="17"/>
  <c r="X186" i="17"/>
  <c r="K186" i="17"/>
  <c r="X185" i="17"/>
  <c r="K185" i="17"/>
  <c r="X184" i="17"/>
  <c r="K184" i="17"/>
  <c r="X183" i="17"/>
  <c r="K183" i="17"/>
  <c r="X182" i="17"/>
  <c r="K182" i="17"/>
  <c r="X181" i="17"/>
  <c r="K181" i="17"/>
  <c r="X180" i="17"/>
  <c r="K180" i="17"/>
  <c r="X179" i="17"/>
  <c r="K179" i="17"/>
  <c r="X178" i="17"/>
  <c r="K178" i="17"/>
  <c r="X177" i="17"/>
  <c r="K177" i="17"/>
  <c r="X176" i="17"/>
  <c r="K176" i="17"/>
  <c r="X175" i="17"/>
  <c r="K175" i="17"/>
  <c r="X174" i="17"/>
  <c r="K174" i="17"/>
  <c r="X173" i="17"/>
  <c r="K173" i="17"/>
  <c r="X172" i="17"/>
  <c r="K172" i="17"/>
  <c r="X171" i="17"/>
  <c r="K171" i="17"/>
  <c r="X170" i="17"/>
  <c r="K170" i="17"/>
  <c r="X169" i="17"/>
  <c r="K169" i="17"/>
  <c r="X168" i="17"/>
  <c r="K168" i="17"/>
  <c r="X167" i="17"/>
  <c r="K167" i="17"/>
  <c r="X166" i="17"/>
  <c r="K166" i="17"/>
  <c r="X165" i="17"/>
  <c r="K165" i="17"/>
  <c r="X164" i="17"/>
  <c r="K164" i="17"/>
  <c r="X163" i="17"/>
  <c r="K163" i="17"/>
  <c r="X162" i="17"/>
  <c r="K162" i="17"/>
  <c r="X161" i="17"/>
  <c r="K161" i="17"/>
  <c r="X160" i="17"/>
  <c r="K160" i="17"/>
  <c r="X159" i="17"/>
  <c r="K159" i="17"/>
  <c r="X158" i="17"/>
  <c r="K158" i="17"/>
  <c r="X157" i="17"/>
  <c r="K157" i="17"/>
  <c r="X156" i="17"/>
  <c r="K156" i="17"/>
  <c r="X155" i="17"/>
  <c r="K155" i="17"/>
  <c r="X154" i="17"/>
  <c r="K154" i="17"/>
  <c r="X153" i="17"/>
  <c r="K153" i="17"/>
  <c r="X152" i="17"/>
  <c r="K152" i="17"/>
  <c r="X151" i="17"/>
  <c r="K151" i="17"/>
  <c r="X150" i="17"/>
  <c r="K150" i="17"/>
  <c r="X149" i="17"/>
  <c r="K149" i="17"/>
  <c r="X148" i="17"/>
  <c r="K148" i="17"/>
  <c r="X147" i="17"/>
  <c r="K147" i="17"/>
  <c r="X146" i="17"/>
  <c r="K146" i="17"/>
  <c r="X145" i="17"/>
  <c r="K145" i="17"/>
  <c r="X144" i="17"/>
  <c r="K144" i="17"/>
  <c r="X143" i="17"/>
  <c r="K143" i="17"/>
  <c r="X142" i="17"/>
  <c r="K142" i="17"/>
  <c r="X141" i="17"/>
  <c r="K141" i="17"/>
  <c r="X140" i="17"/>
  <c r="K140" i="17"/>
  <c r="X139" i="17"/>
  <c r="K139" i="17"/>
  <c r="X138" i="17"/>
  <c r="K138" i="17"/>
  <c r="X137" i="17"/>
  <c r="K137" i="17"/>
  <c r="X136" i="17"/>
  <c r="K136" i="17"/>
  <c r="X135" i="17"/>
  <c r="K135" i="17"/>
  <c r="X134" i="17"/>
  <c r="K134" i="17"/>
  <c r="X133" i="17"/>
  <c r="K133" i="17"/>
  <c r="X132" i="17"/>
  <c r="K132" i="17"/>
  <c r="X131" i="17"/>
  <c r="K131" i="17"/>
  <c r="X130" i="17"/>
  <c r="K130" i="17"/>
  <c r="X129" i="17"/>
  <c r="K129" i="17"/>
  <c r="X128" i="17"/>
  <c r="K128" i="17"/>
  <c r="X127" i="17"/>
  <c r="K127" i="17"/>
  <c r="X126" i="17"/>
  <c r="K126" i="17"/>
  <c r="X125" i="17"/>
  <c r="K125" i="17"/>
  <c r="X124" i="17"/>
  <c r="K124" i="17"/>
  <c r="X123" i="17"/>
  <c r="K123" i="17"/>
  <c r="X122" i="17"/>
  <c r="K122" i="17"/>
  <c r="X121" i="17"/>
  <c r="K121" i="17"/>
  <c r="X120" i="17"/>
  <c r="K120" i="17"/>
  <c r="X119" i="17"/>
  <c r="K119" i="17"/>
  <c r="X118" i="17"/>
  <c r="K118" i="17"/>
  <c r="X117" i="17"/>
  <c r="K117" i="17"/>
  <c r="X116" i="17"/>
  <c r="K116" i="17"/>
  <c r="X115" i="17"/>
  <c r="K115" i="17"/>
  <c r="X114" i="17"/>
  <c r="K114" i="17"/>
  <c r="X113" i="17"/>
  <c r="K113" i="17"/>
  <c r="X112" i="17"/>
  <c r="K112" i="17"/>
  <c r="X111" i="17"/>
  <c r="K111" i="17"/>
  <c r="X110" i="17"/>
  <c r="K110" i="17"/>
  <c r="X109" i="17"/>
  <c r="K109" i="17"/>
  <c r="X108" i="17"/>
  <c r="K108" i="17"/>
  <c r="X107" i="17"/>
  <c r="K107" i="17"/>
  <c r="X106" i="17"/>
  <c r="K106" i="17"/>
  <c r="X105" i="17"/>
  <c r="K105" i="17"/>
  <c r="X104" i="17"/>
  <c r="K104" i="17"/>
  <c r="X103" i="17"/>
  <c r="K103" i="17"/>
  <c r="X102" i="17"/>
  <c r="K102" i="17"/>
  <c r="X101" i="17"/>
  <c r="K101" i="17"/>
  <c r="X100" i="17"/>
  <c r="K100" i="17"/>
  <c r="X99" i="17"/>
  <c r="K99" i="17"/>
  <c r="X98" i="17"/>
  <c r="K98" i="17"/>
  <c r="X97" i="17"/>
  <c r="K97" i="17"/>
  <c r="X96" i="17"/>
  <c r="K96" i="17"/>
  <c r="X95" i="17"/>
  <c r="K95" i="17"/>
  <c r="X94" i="17"/>
  <c r="K94" i="17"/>
  <c r="X93" i="17"/>
  <c r="K93" i="17"/>
  <c r="X92" i="17"/>
  <c r="K92" i="17"/>
  <c r="X91" i="17"/>
  <c r="K91" i="17"/>
  <c r="X90" i="17"/>
  <c r="K90" i="17"/>
  <c r="X89" i="17"/>
  <c r="K89" i="17"/>
  <c r="X88" i="17"/>
  <c r="K88" i="17"/>
  <c r="X87" i="17"/>
  <c r="K87" i="17"/>
  <c r="X86" i="17"/>
  <c r="K86" i="17"/>
  <c r="X85" i="17"/>
  <c r="K85" i="17"/>
  <c r="X84" i="17"/>
  <c r="K84" i="17"/>
  <c r="X83" i="17"/>
  <c r="K83" i="17"/>
  <c r="X82" i="17"/>
  <c r="K82" i="17"/>
  <c r="X81" i="17"/>
  <c r="K81" i="17"/>
  <c r="X80" i="17"/>
  <c r="K80" i="17"/>
  <c r="X79" i="17"/>
  <c r="K79" i="17"/>
  <c r="X78" i="17"/>
  <c r="K78" i="17"/>
  <c r="X77" i="17"/>
  <c r="K77" i="17"/>
  <c r="X76" i="17"/>
  <c r="K76" i="17"/>
  <c r="X75" i="17"/>
  <c r="K75" i="17"/>
  <c r="X74" i="17"/>
  <c r="K74" i="17"/>
  <c r="X73" i="17"/>
  <c r="K73" i="17"/>
  <c r="X72" i="17"/>
  <c r="K72" i="17"/>
  <c r="X71" i="17"/>
  <c r="K71" i="17"/>
  <c r="X70" i="17"/>
  <c r="K70" i="17"/>
  <c r="X69" i="17"/>
  <c r="K69" i="17"/>
  <c r="X68" i="17"/>
  <c r="K68" i="17"/>
  <c r="X67" i="17"/>
  <c r="K67" i="17"/>
  <c r="X66" i="17"/>
  <c r="K66" i="17"/>
  <c r="X65" i="17"/>
  <c r="K65" i="17"/>
  <c r="X64" i="17"/>
  <c r="K64" i="17"/>
  <c r="X63" i="17"/>
  <c r="K63" i="17"/>
  <c r="X62" i="17"/>
  <c r="K62" i="17"/>
  <c r="X61" i="17"/>
  <c r="K61" i="17"/>
  <c r="X60" i="17"/>
  <c r="K60" i="17"/>
  <c r="X59" i="17"/>
  <c r="K59" i="17"/>
  <c r="X58" i="17"/>
  <c r="K58" i="17"/>
  <c r="X57" i="17"/>
  <c r="K57" i="17"/>
  <c r="X56" i="17"/>
  <c r="K56" i="17"/>
  <c r="X55" i="17"/>
  <c r="K55" i="17"/>
  <c r="X54" i="17"/>
  <c r="K54" i="17"/>
  <c r="X53" i="17"/>
  <c r="K53" i="17"/>
  <c r="X52" i="17"/>
  <c r="K52" i="17"/>
  <c r="X51" i="17"/>
  <c r="K51" i="17"/>
  <c r="X50" i="17"/>
  <c r="K50" i="17"/>
  <c r="X49" i="17"/>
  <c r="K49" i="17"/>
  <c r="X48" i="17"/>
  <c r="K48" i="17"/>
  <c r="X47" i="17"/>
  <c r="K47" i="17"/>
  <c r="X46" i="17"/>
  <c r="K46" i="17"/>
  <c r="X45" i="17"/>
  <c r="K45" i="17"/>
  <c r="X44" i="17"/>
  <c r="K44" i="17"/>
  <c r="X43" i="17"/>
  <c r="K43" i="17"/>
  <c r="X42" i="17"/>
  <c r="K42" i="17"/>
  <c r="X41" i="17"/>
  <c r="K41" i="17"/>
  <c r="X40" i="17"/>
  <c r="K40" i="17"/>
  <c r="X39" i="17"/>
  <c r="K39" i="17"/>
  <c r="X38" i="17"/>
  <c r="K38" i="17"/>
  <c r="X37" i="17"/>
  <c r="K37" i="17"/>
  <c r="X36" i="17"/>
  <c r="K36" i="17"/>
  <c r="X35" i="17"/>
  <c r="K35" i="17"/>
  <c r="X34" i="17"/>
  <c r="K34" i="17"/>
  <c r="X33" i="17"/>
  <c r="K33" i="17"/>
  <c r="X32" i="17"/>
  <c r="K32" i="17"/>
  <c r="X31" i="17"/>
  <c r="K31" i="17"/>
  <c r="X30" i="17"/>
  <c r="K30" i="17"/>
  <c r="X29" i="17"/>
  <c r="K29" i="17"/>
  <c r="X28" i="17"/>
  <c r="K28" i="17"/>
  <c r="X27" i="17"/>
  <c r="K27" i="17"/>
  <c r="X26" i="17"/>
  <c r="K26" i="17"/>
  <c r="X25" i="17"/>
  <c r="K25" i="17"/>
  <c r="X24" i="17"/>
  <c r="K24" i="17"/>
  <c r="X23" i="17"/>
  <c r="K23" i="17"/>
  <c r="X22" i="17"/>
  <c r="K22" i="17"/>
  <c r="X21" i="17"/>
  <c r="K21" i="17"/>
  <c r="X20" i="17"/>
  <c r="K20" i="17"/>
  <c r="X19" i="17"/>
  <c r="K19" i="17"/>
  <c r="X18" i="17"/>
  <c r="K18" i="17"/>
  <c r="X17" i="17"/>
  <c r="K17" i="17"/>
  <c r="X16" i="17"/>
  <c r="K16" i="17"/>
  <c r="X15" i="17"/>
  <c r="K15" i="17"/>
  <c r="X14" i="17"/>
  <c r="K14" i="17"/>
  <c r="X13" i="17"/>
  <c r="K13" i="17"/>
  <c r="X12" i="17"/>
  <c r="K12" i="17"/>
  <c r="X11" i="17"/>
  <c r="K11" i="17"/>
  <c r="X10" i="17"/>
  <c r="K10" i="17"/>
  <c r="X9" i="17"/>
  <c r="K9" i="17"/>
  <c r="X8" i="17"/>
  <c r="K8" i="17"/>
  <c r="X7" i="17"/>
  <c r="K7" i="17"/>
  <c r="X6" i="17"/>
  <c r="K6" i="17"/>
  <c r="X5" i="17"/>
  <c r="K5" i="17"/>
  <c r="X4" i="17"/>
  <c r="K4" i="17"/>
  <c r="X3" i="17"/>
  <c r="K3" i="17"/>
  <c r="X2" i="17"/>
  <c r="K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6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515" i="14" l="1"/>
  <c r="E515" i="19"/>
  <c r="F514" i="14"/>
  <c r="E514" i="19"/>
  <c r="F513" i="14"/>
  <c r="E513" i="19"/>
  <c r="F512" i="14"/>
  <c r="E512" i="19"/>
  <c r="F511" i="14"/>
  <c r="E511" i="19"/>
  <c r="F510" i="14"/>
  <c r="E510" i="19"/>
  <c r="F509" i="14"/>
  <c r="E509" i="19"/>
  <c r="F508" i="14"/>
  <c r="E508" i="19"/>
  <c r="F507" i="14"/>
  <c r="E507" i="19"/>
  <c r="F506" i="14"/>
  <c r="E506" i="19"/>
  <c r="F505" i="14"/>
  <c r="E505" i="19"/>
  <c r="F590" i="14"/>
  <c r="E590" i="19"/>
  <c r="F589" i="14"/>
  <c r="E589" i="19"/>
  <c r="F588" i="14"/>
  <c r="E588" i="19"/>
  <c r="F587" i="14"/>
  <c r="E587" i="19"/>
  <c r="F586" i="14"/>
  <c r="E586" i="19"/>
  <c r="F585" i="14"/>
  <c r="E585" i="19"/>
  <c r="F584" i="14"/>
  <c r="E584" i="19"/>
  <c r="F583" i="14"/>
  <c r="E583" i="19"/>
  <c r="F582" i="14"/>
  <c r="E582" i="19"/>
  <c r="F581" i="14"/>
  <c r="E581" i="19"/>
  <c r="F580" i="14"/>
  <c r="E580" i="19"/>
  <c r="F579" i="14"/>
  <c r="E579" i="19"/>
  <c r="F578" i="14"/>
  <c r="E578" i="19"/>
  <c r="F577" i="14"/>
  <c r="E577" i="19"/>
  <c r="F576" i="14"/>
  <c r="E576" i="19"/>
  <c r="F575" i="14"/>
  <c r="E575" i="19"/>
  <c r="F574" i="14"/>
  <c r="E574" i="19"/>
  <c r="F573" i="14"/>
  <c r="E573" i="19"/>
  <c r="F572" i="14"/>
  <c r="E572" i="19"/>
  <c r="F571" i="14"/>
  <c r="E571" i="19"/>
  <c r="F570" i="14"/>
  <c r="E570" i="19"/>
  <c r="F569" i="14"/>
  <c r="E569" i="19"/>
  <c r="F568" i="14"/>
  <c r="E568" i="19"/>
  <c r="F567" i="14"/>
  <c r="E567" i="19"/>
  <c r="F566" i="14"/>
  <c r="E566" i="19"/>
  <c r="F565" i="14"/>
  <c r="E565" i="19"/>
  <c r="F564" i="14"/>
  <c r="E564" i="19"/>
  <c r="F563" i="14"/>
  <c r="E563" i="19"/>
  <c r="F562" i="14"/>
  <c r="E562" i="19"/>
  <c r="F561" i="14"/>
  <c r="E561" i="19"/>
  <c r="F560" i="14"/>
  <c r="E560" i="19"/>
  <c r="F559" i="14"/>
  <c r="E559" i="19"/>
  <c r="F558" i="14"/>
  <c r="E558" i="19"/>
  <c r="F557" i="14"/>
  <c r="E557" i="19"/>
  <c r="F556" i="14"/>
  <c r="E556" i="19"/>
  <c r="F555" i="14"/>
  <c r="E555" i="19"/>
  <c r="F554" i="14"/>
  <c r="E554" i="19"/>
  <c r="F553" i="14"/>
  <c r="E553" i="19"/>
  <c r="F552" i="14"/>
  <c r="E552" i="19"/>
  <c r="F551" i="14"/>
  <c r="E551" i="19"/>
  <c r="F550" i="14"/>
  <c r="E550" i="19"/>
  <c r="F549" i="14"/>
  <c r="E549" i="19"/>
  <c r="F548" i="14"/>
  <c r="E548" i="19"/>
  <c r="F547" i="14"/>
  <c r="E547" i="19"/>
  <c r="F546" i="14"/>
  <c r="E546" i="19"/>
  <c r="F545" i="14"/>
  <c r="E545" i="19"/>
  <c r="F544" i="14"/>
  <c r="E544" i="19"/>
  <c r="F543" i="14"/>
  <c r="E543" i="19"/>
  <c r="F542" i="14"/>
  <c r="E542" i="19"/>
  <c r="F541" i="14"/>
  <c r="E541" i="19"/>
  <c r="F540" i="14"/>
  <c r="E540" i="19"/>
  <c r="F539" i="14"/>
  <c r="E539" i="19"/>
  <c r="F538" i="14"/>
  <c r="E538" i="19"/>
  <c r="F537" i="14"/>
  <c r="E537" i="19"/>
  <c r="F536" i="14"/>
  <c r="E536" i="19"/>
  <c r="F535" i="14"/>
  <c r="E535" i="19"/>
  <c r="F534" i="14"/>
  <c r="E534" i="19"/>
  <c r="F533" i="14"/>
  <c r="E533" i="19"/>
  <c r="F532" i="14"/>
  <c r="E532" i="19"/>
  <c r="F531" i="14"/>
  <c r="E531" i="19"/>
  <c r="F530" i="14"/>
  <c r="E530" i="19"/>
  <c r="F529" i="14"/>
  <c r="E529" i="19"/>
  <c r="F528" i="14"/>
  <c r="E528" i="19"/>
  <c r="F527" i="14"/>
  <c r="E527" i="19"/>
  <c r="F526" i="14"/>
  <c r="E526" i="19"/>
  <c r="F525" i="14"/>
  <c r="E525" i="19"/>
  <c r="F524" i="14"/>
  <c r="E524" i="19"/>
  <c r="F523" i="14"/>
  <c r="E523" i="19"/>
  <c r="F522" i="14"/>
  <c r="E522" i="19"/>
  <c r="F521" i="14"/>
  <c r="E521" i="19"/>
  <c r="F520" i="14"/>
  <c r="E520" i="19"/>
  <c r="F519" i="14"/>
  <c r="E519" i="19"/>
  <c r="F518" i="14"/>
  <c r="E518" i="19"/>
  <c r="F517" i="14"/>
  <c r="E517" i="19"/>
  <c r="F516" i="14"/>
  <c r="E516" i="19"/>
  <c r="F592" i="14"/>
  <c r="E592" i="19"/>
  <c r="F591" i="14"/>
  <c r="E591" i="19"/>
  <c r="F445" i="14"/>
  <c r="E445" i="19"/>
  <c r="F444" i="14"/>
  <c r="E444" i="19"/>
  <c r="F443" i="14"/>
  <c r="E443" i="19"/>
  <c r="F442" i="14"/>
  <c r="E442" i="19"/>
  <c r="F441" i="14"/>
  <c r="E441" i="19"/>
  <c r="F440" i="14"/>
  <c r="E440" i="19"/>
  <c r="F439" i="14"/>
  <c r="E439" i="19"/>
  <c r="F438" i="14"/>
  <c r="E438" i="19"/>
  <c r="F437" i="14"/>
  <c r="E437" i="19"/>
  <c r="F436" i="14"/>
  <c r="E436" i="19"/>
  <c r="F435" i="14"/>
  <c r="E435" i="19"/>
  <c r="F434" i="14"/>
  <c r="E434" i="19"/>
  <c r="F433" i="14"/>
  <c r="E433" i="19"/>
  <c r="F432" i="14"/>
  <c r="E432" i="19"/>
  <c r="F431" i="14"/>
  <c r="E431" i="19"/>
  <c r="F430" i="14"/>
  <c r="E430" i="19"/>
  <c r="F429" i="14"/>
  <c r="E429" i="19"/>
  <c r="F428" i="14"/>
  <c r="E428" i="19"/>
  <c r="F427" i="14"/>
  <c r="E427" i="19"/>
  <c r="F426" i="14"/>
  <c r="E426" i="19"/>
  <c r="F425" i="14"/>
  <c r="E425" i="19"/>
  <c r="F424" i="14"/>
  <c r="E424" i="19"/>
  <c r="F423" i="14"/>
  <c r="E423" i="19"/>
  <c r="F422" i="14"/>
  <c r="E422" i="19"/>
  <c r="F421" i="14"/>
  <c r="E421" i="19"/>
  <c r="F420" i="14"/>
  <c r="E420" i="19"/>
  <c r="F419" i="14"/>
  <c r="E419" i="19"/>
  <c r="F418" i="14"/>
  <c r="E418" i="19"/>
  <c r="F417" i="14"/>
  <c r="E417" i="19"/>
  <c r="F416" i="14"/>
  <c r="E416" i="19"/>
  <c r="F415" i="14"/>
  <c r="E415" i="19"/>
  <c r="F414" i="14"/>
  <c r="E414" i="19"/>
  <c r="F413" i="14"/>
  <c r="E413" i="19"/>
  <c r="F412" i="14"/>
  <c r="E412" i="19"/>
  <c r="F411" i="14"/>
  <c r="E411" i="19"/>
  <c r="F410" i="14"/>
  <c r="E410" i="19"/>
  <c r="F409" i="14"/>
  <c r="E409" i="19"/>
  <c r="F408" i="14"/>
  <c r="E408" i="19"/>
  <c r="F16" i="14"/>
  <c r="E16" i="19"/>
  <c r="F15" i="14"/>
  <c r="E15" i="19"/>
  <c r="F14" i="14"/>
  <c r="E14" i="19"/>
  <c r="F13" i="14"/>
  <c r="E13" i="19"/>
  <c r="F12" i="14"/>
  <c r="E12" i="19"/>
  <c r="F11" i="14"/>
  <c r="E11" i="19"/>
  <c r="F10" i="14"/>
  <c r="E10" i="19"/>
  <c r="F9" i="14"/>
  <c r="E9" i="19"/>
  <c r="F8" i="14"/>
  <c r="E8" i="19"/>
  <c r="F7" i="14"/>
  <c r="E7" i="19"/>
  <c r="E789" i="19"/>
  <c r="F789" i="14"/>
  <c r="E788" i="19"/>
  <c r="F788" i="14"/>
  <c r="E787" i="19"/>
  <c r="F787" i="14"/>
  <c r="E786" i="19"/>
  <c r="F786" i="14"/>
  <c r="E785" i="19"/>
  <c r="F785" i="14"/>
  <c r="E784" i="19"/>
  <c r="F784" i="14"/>
  <c r="E783" i="19"/>
  <c r="F783" i="14"/>
  <c r="E782" i="19"/>
  <c r="F782" i="14"/>
  <c r="E781" i="19"/>
  <c r="F781" i="14"/>
  <c r="E780" i="19"/>
  <c r="F780" i="14"/>
  <c r="E779" i="19"/>
  <c r="F779" i="14"/>
  <c r="E778" i="19"/>
  <c r="F778" i="14"/>
  <c r="E777" i="19"/>
  <c r="F777" i="14"/>
  <c r="E776" i="19"/>
  <c r="F776" i="14"/>
  <c r="E775" i="19"/>
  <c r="F775" i="14"/>
  <c r="E774" i="19"/>
  <c r="F774" i="14"/>
  <c r="E773" i="19"/>
  <c r="F773" i="14"/>
  <c r="E772" i="19"/>
  <c r="F772" i="14"/>
  <c r="E771" i="19"/>
  <c r="F771" i="14"/>
  <c r="E770" i="19"/>
  <c r="F770" i="14"/>
  <c r="E769" i="19"/>
  <c r="F769" i="14"/>
  <c r="E768" i="19"/>
  <c r="F768" i="14"/>
  <c r="E767" i="19"/>
  <c r="F767" i="14"/>
  <c r="E766" i="19"/>
  <c r="F766" i="14"/>
  <c r="E765" i="19"/>
  <c r="F765" i="14"/>
  <c r="E764" i="19"/>
  <c r="F764" i="14"/>
  <c r="E763" i="19"/>
  <c r="F763" i="14"/>
  <c r="E762" i="19"/>
  <c r="F762" i="14"/>
  <c r="E761" i="19"/>
  <c r="F761" i="14"/>
  <c r="E760" i="19"/>
  <c r="F760" i="14"/>
  <c r="E759" i="19"/>
  <c r="F759" i="14"/>
  <c r="E758" i="19"/>
  <c r="F758" i="14"/>
  <c r="E757" i="19"/>
  <c r="F757" i="14"/>
  <c r="E756" i="19"/>
  <c r="F756" i="14"/>
  <c r="E755" i="19"/>
  <c r="F755" i="14"/>
  <c r="E754" i="19"/>
  <c r="F754" i="14"/>
  <c r="E753" i="19"/>
  <c r="F753" i="14"/>
  <c r="E752" i="19"/>
  <c r="F752" i="14"/>
  <c r="E751" i="19"/>
  <c r="F751" i="14"/>
  <c r="E750" i="19"/>
  <c r="F750" i="14"/>
  <c r="E749" i="19"/>
  <c r="F749" i="14"/>
  <c r="E748" i="19"/>
  <c r="F748" i="14"/>
  <c r="E747" i="19"/>
  <c r="F747" i="14"/>
  <c r="E746" i="19"/>
  <c r="F746" i="14"/>
  <c r="E745" i="19"/>
  <c r="F745" i="14"/>
  <c r="E744" i="19"/>
  <c r="F744" i="14"/>
  <c r="E743" i="19"/>
  <c r="F743" i="14"/>
  <c r="E742" i="19"/>
  <c r="F742" i="14"/>
  <c r="E741" i="19"/>
  <c r="F741" i="14"/>
  <c r="E740" i="19"/>
  <c r="F740" i="14"/>
  <c r="E739" i="19"/>
  <c r="F739" i="14"/>
  <c r="E738" i="19"/>
  <c r="F738" i="14"/>
  <c r="E737" i="19"/>
  <c r="F737" i="14"/>
  <c r="E736" i="19"/>
  <c r="F736" i="14"/>
  <c r="E735" i="19"/>
  <c r="F735" i="14"/>
  <c r="E734" i="19"/>
  <c r="F734" i="14"/>
  <c r="E733" i="19"/>
  <c r="F733" i="14"/>
  <c r="E732" i="19"/>
  <c r="F732" i="14"/>
  <c r="E731" i="19"/>
  <c r="F731" i="14"/>
  <c r="E730" i="19"/>
  <c r="F730" i="14"/>
  <c r="E729" i="19"/>
  <c r="F729" i="14"/>
  <c r="E728" i="19"/>
  <c r="F728" i="14"/>
  <c r="E727" i="19"/>
  <c r="F727" i="14"/>
  <c r="E726" i="19"/>
  <c r="F726" i="14"/>
  <c r="E725" i="19"/>
  <c r="F725" i="14"/>
  <c r="E724" i="19"/>
  <c r="F724" i="14"/>
  <c r="E723" i="19"/>
  <c r="F723" i="14"/>
  <c r="E722" i="19"/>
  <c r="F722" i="14"/>
  <c r="E721" i="19"/>
  <c r="F721" i="14"/>
  <c r="E720" i="19"/>
  <c r="F720" i="14"/>
  <c r="E719" i="19"/>
  <c r="F719" i="14"/>
  <c r="E718" i="19"/>
  <c r="F718" i="14"/>
  <c r="E717" i="19"/>
  <c r="F717" i="14"/>
  <c r="E716" i="19"/>
  <c r="F716" i="14"/>
  <c r="E715" i="19"/>
  <c r="F715" i="14"/>
  <c r="E714" i="19"/>
  <c r="F714" i="14"/>
  <c r="E713" i="19"/>
  <c r="F713" i="14"/>
  <c r="E712" i="19"/>
  <c r="F712" i="14"/>
  <c r="E711" i="19"/>
  <c r="F711" i="14"/>
  <c r="E710" i="19"/>
  <c r="F710" i="14"/>
  <c r="E709" i="19"/>
  <c r="F709" i="14"/>
  <c r="E708" i="19"/>
  <c r="F708" i="14"/>
  <c r="E707" i="19"/>
  <c r="F707" i="14"/>
  <c r="E706" i="19"/>
  <c r="F706" i="14"/>
  <c r="E705" i="19"/>
  <c r="F705" i="14"/>
  <c r="E704" i="19"/>
  <c r="F704" i="14"/>
  <c r="E703" i="19"/>
  <c r="F703" i="14"/>
  <c r="E702" i="19"/>
  <c r="F702" i="14"/>
  <c r="E701" i="19"/>
  <c r="F701" i="14"/>
  <c r="E700" i="19"/>
  <c r="F700" i="14"/>
  <c r="E699" i="19"/>
  <c r="F699" i="14"/>
  <c r="E698" i="19"/>
  <c r="F698" i="14"/>
  <c r="E697" i="19"/>
  <c r="F697" i="14"/>
  <c r="E696" i="19"/>
  <c r="F696" i="14"/>
  <c r="E695" i="19"/>
  <c r="F695" i="14"/>
  <c r="E694" i="19"/>
  <c r="F694" i="14"/>
  <c r="E693" i="19"/>
  <c r="F693" i="14"/>
  <c r="E692" i="19"/>
  <c r="F692" i="14"/>
  <c r="E691" i="19"/>
  <c r="F691" i="14"/>
  <c r="E690" i="19"/>
  <c r="F690" i="14"/>
  <c r="E689" i="19"/>
  <c r="F689" i="14"/>
  <c r="E688" i="19"/>
  <c r="F688" i="14"/>
  <c r="E687" i="19"/>
  <c r="F687" i="14"/>
  <c r="E686" i="19"/>
  <c r="F686" i="14"/>
  <c r="E685" i="19"/>
  <c r="F685" i="14"/>
  <c r="E684" i="19"/>
  <c r="F684" i="14"/>
  <c r="E683" i="19"/>
  <c r="F683" i="14"/>
  <c r="E682" i="19"/>
  <c r="F682" i="14"/>
  <c r="E681" i="19"/>
  <c r="F681" i="14"/>
  <c r="E680" i="19"/>
  <c r="F680" i="14"/>
  <c r="E679" i="19"/>
  <c r="F679" i="14"/>
  <c r="E678" i="19"/>
  <c r="F678" i="14"/>
  <c r="E677" i="19"/>
  <c r="F677" i="14"/>
  <c r="E676" i="19"/>
  <c r="F676" i="14"/>
  <c r="E675" i="19"/>
  <c r="F675" i="14"/>
  <c r="E674" i="19"/>
  <c r="F674" i="14"/>
  <c r="E673" i="19"/>
  <c r="F673" i="14"/>
  <c r="E672" i="19"/>
  <c r="F672" i="14"/>
  <c r="E671" i="19"/>
  <c r="F671" i="14"/>
  <c r="E670" i="19"/>
  <c r="F670" i="14"/>
  <c r="E669" i="19"/>
  <c r="F669" i="14"/>
  <c r="E668" i="19"/>
  <c r="F668" i="14"/>
  <c r="E667" i="19"/>
  <c r="F667" i="14"/>
  <c r="E666" i="19"/>
  <c r="F666" i="14"/>
  <c r="E665" i="19"/>
  <c r="F665" i="14"/>
  <c r="E664" i="19"/>
  <c r="F664" i="14"/>
  <c r="E663" i="19"/>
  <c r="F663" i="14"/>
  <c r="E662" i="19"/>
  <c r="F662" i="14"/>
  <c r="E661" i="19"/>
  <c r="F661" i="14"/>
  <c r="E660" i="19"/>
  <c r="F660" i="14"/>
  <c r="E659" i="19"/>
  <c r="F659" i="14"/>
  <c r="E658" i="19"/>
  <c r="F658" i="14"/>
  <c r="E657" i="19"/>
  <c r="F657" i="14"/>
  <c r="E656" i="19"/>
  <c r="F656" i="14"/>
  <c r="E655" i="19"/>
  <c r="F655" i="14"/>
  <c r="E654" i="19"/>
  <c r="F654" i="14"/>
  <c r="E653" i="19"/>
  <c r="F653" i="14"/>
  <c r="E652" i="19"/>
  <c r="F652" i="14"/>
  <c r="E651" i="19"/>
  <c r="F651" i="14"/>
  <c r="E650" i="19"/>
  <c r="F650" i="14"/>
  <c r="E649" i="19"/>
  <c r="F649" i="14"/>
  <c r="E648" i="19"/>
  <c r="F648" i="14"/>
  <c r="E647" i="19"/>
  <c r="F647" i="14"/>
  <c r="E646" i="19"/>
  <c r="F646" i="14"/>
  <c r="E645" i="19"/>
  <c r="F645" i="14"/>
  <c r="E644" i="19"/>
  <c r="F644" i="14"/>
  <c r="E643" i="19"/>
  <c r="F643" i="14"/>
  <c r="E642" i="19"/>
  <c r="F642" i="14"/>
  <c r="E641" i="19"/>
  <c r="F641" i="14"/>
  <c r="E640" i="19"/>
  <c r="F640" i="14"/>
  <c r="E639" i="19"/>
  <c r="F639" i="14"/>
  <c r="E638" i="19"/>
  <c r="F638" i="14"/>
  <c r="E637" i="19"/>
  <c r="F637" i="14"/>
  <c r="E636" i="19"/>
  <c r="F636" i="14"/>
  <c r="E635" i="19"/>
  <c r="F635" i="14"/>
  <c r="E634" i="19"/>
  <c r="F634" i="14"/>
  <c r="E633" i="19"/>
  <c r="F633" i="14"/>
  <c r="E632" i="19"/>
  <c r="F632" i="14"/>
  <c r="E631" i="19"/>
  <c r="F631" i="14"/>
  <c r="E630" i="19"/>
  <c r="F630" i="14"/>
  <c r="E629" i="19"/>
  <c r="F629" i="14"/>
  <c r="E628" i="19"/>
  <c r="F628" i="14"/>
  <c r="E627" i="19"/>
  <c r="F627" i="14"/>
  <c r="E626" i="19"/>
  <c r="F626" i="14"/>
  <c r="E625" i="19"/>
  <c r="F625" i="14"/>
  <c r="E624" i="19"/>
  <c r="F624" i="14"/>
  <c r="E623" i="19"/>
  <c r="F623" i="14"/>
  <c r="E622" i="19"/>
  <c r="F622" i="14"/>
  <c r="E621" i="19"/>
  <c r="F621" i="14"/>
  <c r="E620" i="19"/>
  <c r="F620" i="14"/>
  <c r="E619" i="19"/>
  <c r="F619" i="14"/>
  <c r="E618" i="19"/>
  <c r="F618" i="14"/>
  <c r="E617" i="19"/>
  <c r="F617" i="14"/>
  <c r="E616" i="19"/>
  <c r="F616" i="14"/>
  <c r="E615" i="19"/>
  <c r="F615" i="14"/>
  <c r="E614" i="19"/>
  <c r="F614" i="14"/>
  <c r="E613" i="19"/>
  <c r="F613" i="14"/>
  <c r="E612" i="19"/>
  <c r="F612" i="14"/>
  <c r="E611" i="19"/>
  <c r="F611" i="14"/>
  <c r="E610" i="19"/>
  <c r="F610" i="14"/>
  <c r="E609" i="19"/>
  <c r="F609" i="14"/>
  <c r="E608" i="19"/>
  <c r="F608" i="14"/>
  <c r="E607" i="19"/>
  <c r="F607" i="14"/>
  <c r="E606" i="19"/>
  <c r="F606" i="14"/>
  <c r="E605" i="19"/>
  <c r="F605" i="14"/>
  <c r="E604" i="19"/>
  <c r="F604" i="14"/>
  <c r="E603" i="19"/>
  <c r="F603" i="14"/>
  <c r="E602" i="19"/>
  <c r="F602" i="14"/>
  <c r="E601" i="19"/>
  <c r="F601" i="14"/>
  <c r="E600" i="19"/>
  <c r="F600" i="14"/>
  <c r="E599" i="19"/>
  <c r="F599" i="14"/>
  <c r="E598" i="19"/>
  <c r="F598" i="14"/>
  <c r="E597" i="19"/>
  <c r="F597" i="14"/>
  <c r="E596" i="19"/>
  <c r="F596" i="14"/>
  <c r="E595" i="19"/>
  <c r="F595" i="14"/>
  <c r="E594" i="19"/>
  <c r="F594" i="14"/>
  <c r="E593" i="19"/>
  <c r="F593" i="14"/>
  <c r="E504" i="19"/>
  <c r="F504" i="14"/>
  <c r="E503" i="19"/>
  <c r="F503" i="14"/>
  <c r="F502" i="14"/>
  <c r="E502" i="19"/>
  <c r="F501" i="14"/>
  <c r="E501" i="19"/>
  <c r="E500" i="19"/>
  <c r="F500" i="14"/>
  <c r="F499" i="14"/>
  <c r="E499" i="19"/>
  <c r="F498" i="14"/>
  <c r="E498" i="19"/>
  <c r="E497" i="19"/>
  <c r="F497" i="14"/>
  <c r="E496" i="19"/>
  <c r="F496" i="14"/>
  <c r="E495" i="19"/>
  <c r="F495" i="14"/>
  <c r="E494" i="19"/>
  <c r="F494" i="14"/>
  <c r="E493" i="19"/>
  <c r="F493" i="14"/>
  <c r="E492" i="19"/>
  <c r="F492" i="14"/>
  <c r="E491" i="19"/>
  <c r="F491" i="14"/>
  <c r="E490" i="19"/>
  <c r="F490" i="14"/>
  <c r="E489" i="19"/>
  <c r="F489" i="14"/>
  <c r="E488" i="19"/>
  <c r="F488" i="14"/>
  <c r="E487" i="19"/>
  <c r="F487" i="14"/>
  <c r="E486" i="19"/>
  <c r="F486" i="14"/>
  <c r="F485" i="14"/>
  <c r="E485" i="19"/>
  <c r="E484" i="19"/>
  <c r="F484" i="14"/>
  <c r="E483" i="19"/>
  <c r="F483" i="14"/>
  <c r="F482" i="14"/>
  <c r="E482" i="19"/>
  <c r="F481" i="14"/>
  <c r="E481" i="19"/>
  <c r="F480" i="14"/>
  <c r="E480" i="19"/>
  <c r="F479" i="14"/>
  <c r="E479" i="19"/>
  <c r="F478" i="14"/>
  <c r="E478" i="19"/>
  <c r="F477" i="14"/>
  <c r="E477" i="19"/>
  <c r="F476" i="14"/>
  <c r="E476" i="19"/>
  <c r="E475" i="19"/>
  <c r="F475" i="14"/>
  <c r="F474" i="14"/>
  <c r="E474" i="19"/>
  <c r="F473" i="14"/>
  <c r="E473" i="19"/>
  <c r="F472" i="14"/>
  <c r="E472" i="19"/>
  <c r="F471" i="14"/>
  <c r="E471" i="19"/>
  <c r="F470" i="14"/>
  <c r="E470" i="19"/>
  <c r="F469" i="14"/>
  <c r="E469" i="19"/>
  <c r="F468" i="14"/>
  <c r="E468" i="19"/>
  <c r="F467" i="14"/>
  <c r="E467" i="19"/>
  <c r="F466" i="14"/>
  <c r="E466" i="19"/>
  <c r="F465" i="14"/>
  <c r="E465" i="19"/>
  <c r="F464" i="14"/>
  <c r="E464" i="19"/>
  <c r="F463" i="14"/>
  <c r="E463" i="19"/>
  <c r="E462" i="19"/>
  <c r="F462" i="14"/>
  <c r="E461" i="19"/>
  <c r="F461" i="14"/>
  <c r="E460" i="19"/>
  <c r="F460" i="14"/>
  <c r="E459" i="19"/>
  <c r="F459" i="14"/>
  <c r="F458" i="14"/>
  <c r="E458" i="19"/>
  <c r="F457" i="14"/>
  <c r="E457" i="19"/>
  <c r="F456" i="14"/>
  <c r="E456" i="19"/>
  <c r="F455" i="14"/>
  <c r="E455" i="19"/>
  <c r="F454" i="14"/>
  <c r="E454" i="19"/>
  <c r="E453" i="19"/>
  <c r="F453" i="14"/>
  <c r="F452" i="14"/>
  <c r="E452" i="19"/>
  <c r="F451" i="14"/>
  <c r="E451" i="19"/>
  <c r="F450" i="14"/>
  <c r="E450" i="19"/>
  <c r="F449" i="14"/>
  <c r="E449" i="19"/>
  <c r="F448" i="14"/>
  <c r="E448" i="19"/>
  <c r="E447" i="19"/>
  <c r="F447" i="14"/>
  <c r="E446" i="19"/>
  <c r="F446" i="14"/>
  <c r="E407" i="19"/>
  <c r="F407" i="14"/>
  <c r="E406" i="19"/>
  <c r="F406" i="14"/>
  <c r="E405" i="19"/>
  <c r="F405" i="14"/>
  <c r="E404" i="19"/>
  <c r="F404" i="14"/>
  <c r="E403" i="19"/>
  <c r="F403" i="14"/>
  <c r="E402" i="19"/>
  <c r="F402" i="14"/>
  <c r="E401" i="19"/>
  <c r="F401" i="14"/>
  <c r="E400" i="19"/>
  <c r="F400" i="14"/>
  <c r="E399" i="19"/>
  <c r="F399" i="14"/>
  <c r="E398" i="19"/>
  <c r="F398" i="14"/>
  <c r="E397" i="19"/>
  <c r="F397" i="14"/>
  <c r="E396" i="19"/>
  <c r="F396" i="14"/>
  <c r="E395" i="19"/>
  <c r="F395" i="14"/>
  <c r="E394" i="19"/>
  <c r="F394" i="14"/>
  <c r="E393" i="19"/>
  <c r="F393" i="14"/>
  <c r="E392" i="19"/>
  <c r="F392" i="14"/>
  <c r="E391" i="19"/>
  <c r="F391" i="14"/>
  <c r="E390" i="19"/>
  <c r="F390" i="14"/>
  <c r="E389" i="19"/>
  <c r="F389" i="14"/>
  <c r="E388" i="19"/>
  <c r="F388" i="14"/>
  <c r="E387" i="19"/>
  <c r="F387" i="14"/>
  <c r="E386" i="19"/>
  <c r="F386" i="14"/>
  <c r="E385" i="19"/>
  <c r="F385" i="14"/>
  <c r="E384" i="19"/>
  <c r="F384" i="14"/>
  <c r="E383" i="19"/>
  <c r="F383" i="14"/>
  <c r="E382" i="19"/>
  <c r="F382" i="14"/>
  <c r="E381" i="19"/>
  <c r="F381" i="14"/>
  <c r="E380" i="19"/>
  <c r="F380" i="14"/>
  <c r="E379" i="19"/>
  <c r="F379" i="14"/>
  <c r="E378" i="19"/>
  <c r="F378" i="14"/>
  <c r="E377" i="19"/>
  <c r="F377" i="14"/>
  <c r="E376" i="19"/>
  <c r="F376" i="14"/>
  <c r="E375" i="19"/>
  <c r="F375" i="14"/>
  <c r="E374" i="19"/>
  <c r="F374" i="14"/>
  <c r="E373" i="19"/>
  <c r="F373" i="14"/>
  <c r="E372" i="19"/>
  <c r="F372" i="14"/>
  <c r="E371" i="19"/>
  <c r="F371" i="14"/>
  <c r="E370" i="19"/>
  <c r="F370" i="14"/>
  <c r="E369" i="19"/>
  <c r="F369" i="14"/>
  <c r="E368" i="19"/>
  <c r="F368" i="14"/>
  <c r="E367" i="19"/>
  <c r="F367" i="14"/>
  <c r="E366" i="19"/>
  <c r="F366" i="14"/>
  <c r="E365" i="19"/>
  <c r="F365" i="14"/>
  <c r="E364" i="19"/>
  <c r="F364" i="14"/>
  <c r="E363" i="19"/>
  <c r="F363" i="14"/>
  <c r="E362" i="19"/>
  <c r="F362" i="14"/>
  <c r="E361" i="19"/>
  <c r="F361" i="14"/>
  <c r="E360" i="19"/>
  <c r="F360" i="14"/>
  <c r="E359" i="19"/>
  <c r="F359" i="14"/>
  <c r="E358" i="19"/>
  <c r="F358" i="14"/>
  <c r="E357" i="19"/>
  <c r="F357" i="14"/>
  <c r="E356" i="19"/>
  <c r="F356" i="14"/>
  <c r="E355" i="19"/>
  <c r="F355" i="14"/>
  <c r="E354" i="19"/>
  <c r="F354" i="14"/>
  <c r="E353" i="19"/>
  <c r="F353" i="14"/>
  <c r="E352" i="19"/>
  <c r="F352" i="14"/>
  <c r="E351" i="19"/>
  <c r="F351" i="14"/>
  <c r="E350" i="19"/>
  <c r="F350" i="14"/>
  <c r="E349" i="19"/>
  <c r="F349" i="14"/>
  <c r="E348" i="19"/>
  <c r="F348" i="14"/>
  <c r="E347" i="19"/>
  <c r="F347" i="14"/>
  <c r="E346" i="19"/>
  <c r="F346" i="14"/>
  <c r="E345" i="19"/>
  <c r="F345" i="14"/>
  <c r="E344" i="19"/>
  <c r="F344" i="14"/>
  <c r="E343" i="19"/>
  <c r="F343" i="14"/>
  <c r="E342" i="19"/>
  <c r="F342" i="14"/>
  <c r="E341" i="19"/>
  <c r="F341" i="14"/>
  <c r="E340" i="19"/>
  <c r="F340" i="14"/>
  <c r="E339" i="19"/>
  <c r="F339" i="14"/>
  <c r="E338" i="19"/>
  <c r="F338" i="14"/>
  <c r="E337" i="19"/>
  <c r="F337" i="14"/>
  <c r="E336" i="19"/>
  <c r="F336" i="14"/>
  <c r="E335" i="19"/>
  <c r="F335" i="14"/>
  <c r="E334" i="19"/>
  <c r="F334" i="14"/>
  <c r="E333" i="19"/>
  <c r="F333" i="14"/>
  <c r="E332" i="19"/>
  <c r="F332" i="14"/>
  <c r="E331" i="19"/>
  <c r="F331" i="14"/>
  <c r="E330" i="19"/>
  <c r="F330" i="14"/>
  <c r="E329" i="19"/>
  <c r="F329" i="14"/>
  <c r="E328" i="19"/>
  <c r="F328" i="14"/>
  <c r="E327" i="19"/>
  <c r="F327" i="14"/>
  <c r="E326" i="19"/>
  <c r="F326" i="14"/>
  <c r="E325" i="19"/>
  <c r="F325" i="14"/>
  <c r="E324" i="19"/>
  <c r="F324" i="14"/>
  <c r="E323" i="19"/>
  <c r="F323" i="14"/>
  <c r="E322" i="19"/>
  <c r="F322" i="14"/>
  <c r="E321" i="19"/>
  <c r="F321" i="14"/>
  <c r="E320" i="19"/>
  <c r="F320" i="14"/>
  <c r="E319" i="19"/>
  <c r="F319" i="14"/>
  <c r="E318" i="19"/>
  <c r="F318" i="14"/>
  <c r="E317" i="19"/>
  <c r="F317" i="14"/>
  <c r="E316" i="19"/>
  <c r="F316" i="14"/>
  <c r="E315" i="19"/>
  <c r="F315" i="14"/>
  <c r="E314" i="19"/>
  <c r="F314" i="14"/>
  <c r="E313" i="19"/>
  <c r="F313" i="14"/>
  <c r="E312" i="19"/>
  <c r="F312" i="14"/>
  <c r="E311" i="19"/>
  <c r="F311" i="14"/>
  <c r="E310" i="19"/>
  <c r="F310" i="14"/>
  <c r="E309" i="19"/>
  <c r="F309" i="14"/>
  <c r="E308" i="19"/>
  <c r="F308" i="14"/>
  <c r="E307" i="19"/>
  <c r="F307" i="14"/>
  <c r="E306" i="19"/>
  <c r="F306" i="14"/>
  <c r="E305" i="19"/>
  <c r="F305" i="14"/>
  <c r="E304" i="19"/>
  <c r="F304" i="14"/>
  <c r="E303" i="19"/>
  <c r="F303" i="14"/>
  <c r="E302" i="19"/>
  <c r="F302" i="14"/>
  <c r="E301" i="19"/>
  <c r="F301" i="14"/>
  <c r="E300" i="19"/>
  <c r="F300" i="14"/>
  <c r="E299" i="19"/>
  <c r="F299" i="14"/>
  <c r="E298" i="19"/>
  <c r="F298" i="14"/>
  <c r="E297" i="19"/>
  <c r="F297" i="14"/>
  <c r="E296" i="19"/>
  <c r="F296" i="14"/>
  <c r="E295" i="19"/>
  <c r="F295" i="14"/>
  <c r="E294" i="19"/>
  <c r="F294" i="14"/>
  <c r="E293" i="19"/>
  <c r="F293" i="14"/>
  <c r="E292" i="19"/>
  <c r="F292" i="14"/>
  <c r="E291" i="19"/>
  <c r="F291" i="14"/>
  <c r="E290" i="19"/>
  <c r="F290" i="14"/>
  <c r="E289" i="19"/>
  <c r="F289" i="14"/>
  <c r="E288" i="19"/>
  <c r="F288" i="14"/>
  <c r="E287" i="19"/>
  <c r="F287" i="14"/>
  <c r="E286" i="19"/>
  <c r="F286" i="14"/>
  <c r="E285" i="19"/>
  <c r="F285" i="14"/>
  <c r="E284" i="19"/>
  <c r="F284" i="14"/>
  <c r="E283" i="19"/>
  <c r="F283" i="14"/>
  <c r="E282" i="19"/>
  <c r="F282" i="14"/>
  <c r="E281" i="19"/>
  <c r="F281" i="14"/>
  <c r="E280" i="19"/>
  <c r="F280" i="14"/>
  <c r="E279" i="19"/>
  <c r="F279" i="14"/>
  <c r="E278" i="19"/>
  <c r="F278" i="14"/>
  <c r="E277" i="19"/>
  <c r="F277" i="14"/>
  <c r="E276" i="19"/>
  <c r="F276" i="14"/>
  <c r="E275" i="19"/>
  <c r="F275" i="14"/>
  <c r="E274" i="19"/>
  <c r="F274" i="14"/>
  <c r="E273" i="19"/>
  <c r="F273" i="14"/>
  <c r="E272" i="19"/>
  <c r="F272" i="14"/>
  <c r="E271" i="19"/>
  <c r="F271" i="14"/>
  <c r="E270" i="19"/>
  <c r="F270" i="14"/>
  <c r="E269" i="19"/>
  <c r="F269" i="14"/>
  <c r="E268" i="19"/>
  <c r="F268" i="14"/>
  <c r="E267" i="19"/>
  <c r="F267" i="14"/>
  <c r="E266" i="19"/>
  <c r="F266" i="14"/>
  <c r="E265" i="19"/>
  <c r="F265" i="14"/>
  <c r="E264" i="19"/>
  <c r="F264" i="14"/>
  <c r="E263" i="19"/>
  <c r="F263" i="14"/>
  <c r="E262" i="19"/>
  <c r="F262" i="14"/>
  <c r="E261" i="19"/>
  <c r="F261" i="14"/>
  <c r="E260" i="19"/>
  <c r="F260" i="14"/>
  <c r="E259" i="19"/>
  <c r="F259" i="14"/>
  <c r="E258" i="19"/>
  <c r="F258" i="14"/>
  <c r="E257" i="19"/>
  <c r="F257" i="14"/>
  <c r="E256" i="19"/>
  <c r="F256" i="14"/>
  <c r="E255" i="19"/>
  <c r="F255" i="14"/>
  <c r="E254" i="19"/>
  <c r="F254" i="14"/>
  <c r="E253" i="19"/>
  <c r="F253" i="14"/>
  <c r="E252" i="19"/>
  <c r="F252" i="14"/>
  <c r="E251" i="19"/>
  <c r="F251" i="14"/>
  <c r="E250" i="19"/>
  <c r="F250" i="14"/>
  <c r="E249" i="19"/>
  <c r="F249" i="14"/>
  <c r="E248" i="19"/>
  <c r="F248" i="14"/>
  <c r="E247" i="19"/>
  <c r="F247" i="14"/>
  <c r="E246" i="19"/>
  <c r="F246" i="14"/>
  <c r="E245" i="19"/>
  <c r="F245" i="14"/>
  <c r="E244" i="19"/>
  <c r="F244" i="14"/>
  <c r="E243" i="19"/>
  <c r="F243" i="14"/>
  <c r="E242" i="19"/>
  <c r="F242" i="14"/>
  <c r="E241" i="19"/>
  <c r="F241" i="14"/>
  <c r="E240" i="19"/>
  <c r="F240" i="14"/>
  <c r="E239" i="19"/>
  <c r="F239" i="14"/>
  <c r="E238" i="19"/>
  <c r="F238" i="14"/>
  <c r="E237" i="19"/>
  <c r="F237" i="14"/>
  <c r="E236" i="19"/>
  <c r="F236" i="14"/>
  <c r="E235" i="19"/>
  <c r="F235" i="14"/>
  <c r="E234" i="19"/>
  <c r="F234" i="14"/>
  <c r="E233" i="19"/>
  <c r="F233" i="14"/>
  <c r="E232" i="19"/>
  <c r="F232" i="14"/>
  <c r="E231" i="19"/>
  <c r="F231" i="14"/>
  <c r="E230" i="19"/>
  <c r="F230" i="14"/>
  <c r="E229" i="19"/>
  <c r="F229" i="14"/>
  <c r="E228" i="19"/>
  <c r="F228" i="14"/>
  <c r="E227" i="19"/>
  <c r="F227" i="14"/>
  <c r="E226" i="19"/>
  <c r="F226" i="14"/>
  <c r="E225" i="19"/>
  <c r="F225" i="14"/>
  <c r="E224" i="19"/>
  <c r="F224" i="14"/>
  <c r="E223" i="19"/>
  <c r="F223" i="14"/>
  <c r="E222" i="19"/>
  <c r="F222" i="14"/>
  <c r="E221" i="19"/>
  <c r="F221" i="14"/>
  <c r="E220" i="19"/>
  <c r="F220" i="14"/>
  <c r="E219" i="19"/>
  <c r="F219" i="14"/>
  <c r="E218" i="19"/>
  <c r="F218" i="14"/>
  <c r="E217" i="19"/>
  <c r="F217" i="14"/>
  <c r="E216" i="19"/>
  <c r="F216" i="14"/>
  <c r="E215" i="19"/>
  <c r="F215" i="14"/>
  <c r="E214" i="19"/>
  <c r="F214" i="14"/>
  <c r="E213" i="19"/>
  <c r="F213" i="14"/>
  <c r="E212" i="19"/>
  <c r="F212" i="14"/>
  <c r="E211" i="19"/>
  <c r="F211" i="14"/>
  <c r="E210" i="19"/>
  <c r="F210" i="14"/>
  <c r="E209" i="19"/>
  <c r="F209" i="14"/>
  <c r="E208" i="19"/>
  <c r="F208" i="14"/>
  <c r="E207" i="19"/>
  <c r="F207" i="14"/>
  <c r="E206" i="19"/>
  <c r="F206" i="14"/>
  <c r="E205" i="19"/>
  <c r="F205" i="14"/>
  <c r="E204" i="19"/>
  <c r="F204" i="14"/>
  <c r="E203" i="19"/>
  <c r="F203" i="14"/>
  <c r="E202" i="19"/>
  <c r="F202" i="14"/>
  <c r="E201" i="19"/>
  <c r="F201" i="14"/>
  <c r="E200" i="19"/>
  <c r="F200" i="14"/>
  <c r="E199" i="19"/>
  <c r="F199" i="14"/>
  <c r="E198" i="19"/>
  <c r="F198" i="14"/>
  <c r="E197" i="19"/>
  <c r="F197" i="14"/>
  <c r="E196" i="19"/>
  <c r="F196" i="14"/>
  <c r="E195" i="19"/>
  <c r="F195" i="14"/>
  <c r="E194" i="19"/>
  <c r="F194" i="14"/>
  <c r="E193" i="19"/>
  <c r="F193" i="14"/>
  <c r="E192" i="19"/>
  <c r="F192" i="14"/>
  <c r="E191" i="19"/>
  <c r="F191" i="14"/>
  <c r="E190" i="19"/>
  <c r="F190" i="14"/>
  <c r="E189" i="19"/>
  <c r="F189" i="14"/>
  <c r="E188" i="19"/>
  <c r="F188" i="14"/>
  <c r="E187" i="19"/>
  <c r="F187" i="14"/>
  <c r="E186" i="19"/>
  <c r="F186" i="14"/>
  <c r="E185" i="19"/>
  <c r="F185" i="14"/>
  <c r="E184" i="19"/>
  <c r="F184" i="14"/>
  <c r="E183" i="19"/>
  <c r="F183" i="14"/>
  <c r="E182" i="19"/>
  <c r="F182" i="14"/>
  <c r="E181" i="19"/>
  <c r="F181" i="14"/>
  <c r="E180" i="19"/>
  <c r="F180" i="14"/>
  <c r="E179" i="19"/>
  <c r="F179" i="14"/>
  <c r="E178" i="19"/>
  <c r="F178" i="14"/>
  <c r="E177" i="19"/>
  <c r="F177" i="14"/>
  <c r="E176" i="19"/>
  <c r="F176" i="14"/>
  <c r="E175" i="19"/>
  <c r="F175" i="14"/>
  <c r="E174" i="19"/>
  <c r="F174" i="14"/>
  <c r="E173" i="19"/>
  <c r="F173" i="14"/>
  <c r="E172" i="19"/>
  <c r="F172" i="14"/>
  <c r="E171" i="19"/>
  <c r="F171" i="14"/>
  <c r="E170" i="19"/>
  <c r="F170" i="14"/>
  <c r="E169" i="19"/>
  <c r="F169" i="14"/>
  <c r="E168" i="19"/>
  <c r="F168" i="14"/>
  <c r="E167" i="19"/>
  <c r="F167" i="14"/>
  <c r="E166" i="19"/>
  <c r="F166" i="14"/>
  <c r="E165" i="19"/>
  <c r="F165" i="14"/>
  <c r="E164" i="19"/>
  <c r="F164" i="14"/>
  <c r="E163" i="19"/>
  <c r="F163" i="14"/>
  <c r="E162" i="19"/>
  <c r="F162" i="14"/>
  <c r="E161" i="19"/>
  <c r="F161" i="14"/>
  <c r="E160" i="19"/>
  <c r="F160" i="14"/>
  <c r="E159" i="19"/>
  <c r="F159" i="14"/>
  <c r="E158" i="19"/>
  <c r="F158" i="14"/>
  <c r="E157" i="19"/>
  <c r="F157" i="14"/>
  <c r="E156" i="19"/>
  <c r="F156" i="14"/>
  <c r="E155" i="19"/>
  <c r="F155" i="14"/>
  <c r="E154" i="19"/>
  <c r="F154" i="14"/>
  <c r="E153" i="19"/>
  <c r="F153" i="14"/>
  <c r="E152" i="19"/>
  <c r="F152" i="14"/>
  <c r="E151" i="19"/>
  <c r="F151" i="14"/>
  <c r="E150" i="19"/>
  <c r="F150" i="14"/>
  <c r="E149" i="19"/>
  <c r="F149" i="14"/>
  <c r="E148" i="19"/>
  <c r="F148" i="14"/>
  <c r="E147" i="19"/>
  <c r="F147" i="14"/>
  <c r="E146" i="19"/>
  <c r="F146" i="14"/>
  <c r="E145" i="19"/>
  <c r="F145" i="14"/>
  <c r="E144" i="19"/>
  <c r="F144" i="14"/>
  <c r="E143" i="19"/>
  <c r="F143" i="14"/>
  <c r="E142" i="19"/>
  <c r="F142" i="14"/>
  <c r="E141" i="19"/>
  <c r="F141" i="14"/>
  <c r="E140" i="19"/>
  <c r="F140" i="14"/>
  <c r="E139" i="19"/>
  <c r="F139" i="14"/>
  <c r="E138" i="19"/>
  <c r="F138" i="14"/>
  <c r="E137" i="19"/>
  <c r="F137" i="14"/>
  <c r="E136" i="19"/>
  <c r="F136" i="14"/>
  <c r="E135" i="19"/>
  <c r="F135" i="14"/>
  <c r="E134" i="19"/>
  <c r="F134" i="14"/>
  <c r="E133" i="19"/>
  <c r="F133" i="14"/>
  <c r="E132" i="19"/>
  <c r="F132" i="14"/>
  <c r="E131" i="19"/>
  <c r="F131" i="14"/>
  <c r="E130" i="19"/>
  <c r="F130" i="14"/>
  <c r="E129" i="19"/>
  <c r="F129" i="14"/>
  <c r="E128" i="19"/>
  <c r="F128" i="14"/>
  <c r="E127" i="19"/>
  <c r="F127" i="14"/>
  <c r="E126" i="19"/>
  <c r="F126" i="14"/>
  <c r="E125" i="19"/>
  <c r="F125" i="14"/>
  <c r="E124" i="19"/>
  <c r="F124" i="14"/>
  <c r="E123" i="19"/>
  <c r="F123" i="14"/>
  <c r="E122" i="19"/>
  <c r="F122" i="14"/>
  <c r="E121" i="19"/>
  <c r="F121" i="14"/>
  <c r="E120" i="19"/>
  <c r="F120" i="14"/>
  <c r="E119" i="19"/>
  <c r="F119" i="14"/>
  <c r="E118" i="19"/>
  <c r="F118" i="14"/>
  <c r="E117" i="19"/>
  <c r="F117" i="14"/>
  <c r="E116" i="19"/>
  <c r="F116" i="14"/>
  <c r="E115" i="19"/>
  <c r="F115" i="14"/>
  <c r="E114" i="19"/>
  <c r="F114" i="14"/>
  <c r="E113" i="19"/>
  <c r="F113" i="14"/>
  <c r="E112" i="19"/>
  <c r="F112" i="14"/>
  <c r="E111" i="19"/>
  <c r="F111" i="14"/>
  <c r="E110" i="19"/>
  <c r="F110" i="14"/>
  <c r="E109" i="19"/>
  <c r="F109" i="14"/>
  <c r="E108" i="19"/>
  <c r="F108" i="14"/>
  <c r="E107" i="19"/>
  <c r="F107" i="14"/>
  <c r="E106" i="19"/>
  <c r="F106" i="14"/>
  <c r="E105" i="19"/>
  <c r="F105" i="14"/>
  <c r="E104" i="19"/>
  <c r="F104" i="14"/>
  <c r="E103" i="19"/>
  <c r="F103" i="14"/>
  <c r="E102" i="19"/>
  <c r="F102" i="14"/>
  <c r="E101" i="19"/>
  <c r="F101" i="14"/>
  <c r="E100" i="19"/>
  <c r="F100" i="14"/>
  <c r="E99" i="19"/>
  <c r="F99" i="14"/>
  <c r="E98" i="19"/>
  <c r="F98" i="14"/>
  <c r="E97" i="19"/>
  <c r="F97" i="14"/>
  <c r="E96" i="19"/>
  <c r="F96" i="14"/>
  <c r="E95" i="19"/>
  <c r="F95" i="14"/>
  <c r="E94" i="19"/>
  <c r="F94" i="14"/>
  <c r="E93" i="19"/>
  <c r="F93" i="14"/>
  <c r="E92" i="19"/>
  <c r="F92" i="14"/>
  <c r="E91" i="19"/>
  <c r="F91" i="14"/>
  <c r="E90" i="19"/>
  <c r="F90" i="14"/>
  <c r="E89" i="19"/>
  <c r="F89" i="14"/>
  <c r="E88" i="19"/>
  <c r="F88" i="14"/>
  <c r="E87" i="19"/>
  <c r="F87" i="14"/>
  <c r="E86" i="19"/>
  <c r="F86" i="14"/>
  <c r="E85" i="19"/>
  <c r="F85" i="14"/>
  <c r="E84" i="19"/>
  <c r="F84" i="14"/>
  <c r="E83" i="19"/>
  <c r="F83" i="14"/>
  <c r="E82" i="19"/>
  <c r="F82" i="14"/>
  <c r="E81" i="19"/>
  <c r="F81" i="14"/>
  <c r="E80" i="19"/>
  <c r="F80" i="14"/>
  <c r="E79" i="19"/>
  <c r="F79" i="14"/>
  <c r="E78" i="19"/>
  <c r="F78" i="14"/>
  <c r="E77" i="19"/>
  <c r="F77" i="14"/>
  <c r="E76" i="19"/>
  <c r="F76" i="14"/>
  <c r="E75" i="19"/>
  <c r="F75" i="14"/>
  <c r="E74" i="19"/>
  <c r="F74" i="14"/>
  <c r="E73" i="19"/>
  <c r="F73" i="14"/>
  <c r="E72" i="19"/>
  <c r="F72" i="14"/>
  <c r="E71" i="19"/>
  <c r="F71" i="14"/>
  <c r="E70" i="19"/>
  <c r="F70" i="14"/>
  <c r="E69" i="19"/>
  <c r="F69" i="14"/>
  <c r="E68" i="19"/>
  <c r="F68" i="14"/>
  <c r="E67" i="19"/>
  <c r="F67" i="14"/>
  <c r="E66" i="19"/>
  <c r="F66" i="14"/>
  <c r="E65" i="19"/>
  <c r="F65" i="14"/>
  <c r="E64" i="19"/>
  <c r="F64" i="14"/>
  <c r="E63" i="19"/>
  <c r="F63" i="14"/>
  <c r="E62" i="19"/>
  <c r="F62" i="14"/>
  <c r="E61" i="19"/>
  <c r="F61" i="14"/>
  <c r="E60" i="19"/>
  <c r="F60" i="14"/>
  <c r="E59" i="19"/>
  <c r="F59" i="14"/>
  <c r="E58" i="19"/>
  <c r="F58" i="14"/>
  <c r="E57" i="19"/>
  <c r="F57" i="14"/>
  <c r="F56" i="14"/>
  <c r="E56" i="19"/>
  <c r="F55" i="14"/>
  <c r="E55" i="19"/>
  <c r="E54" i="19"/>
  <c r="F54" i="14"/>
  <c r="F53" i="14"/>
  <c r="E53" i="19"/>
  <c r="E52" i="19"/>
  <c r="F52" i="14"/>
  <c r="E51" i="19"/>
  <c r="F51" i="14"/>
  <c r="E50" i="19"/>
  <c r="F50" i="14"/>
  <c r="E49" i="19"/>
  <c r="F49" i="14"/>
  <c r="E48" i="19"/>
  <c r="F48" i="14"/>
  <c r="E47" i="19"/>
  <c r="F47" i="14"/>
  <c r="E46" i="19"/>
  <c r="F46" i="14"/>
  <c r="F45" i="14"/>
  <c r="E45" i="19"/>
  <c r="E44" i="19"/>
  <c r="F44" i="14"/>
  <c r="F43" i="14"/>
  <c r="E43" i="19"/>
  <c r="F42" i="14"/>
  <c r="E42" i="19"/>
  <c r="F41" i="14"/>
  <c r="E41" i="19"/>
  <c r="F40" i="14"/>
  <c r="E40" i="19"/>
  <c r="E39" i="19"/>
  <c r="F39" i="14"/>
  <c r="F38" i="14"/>
  <c r="E38" i="19"/>
  <c r="E37" i="19"/>
  <c r="F37" i="14"/>
  <c r="E36" i="19"/>
  <c r="F36" i="14"/>
  <c r="F35" i="14"/>
  <c r="E35" i="19"/>
  <c r="E34" i="19"/>
  <c r="F34" i="14"/>
  <c r="E33" i="19"/>
  <c r="F33" i="14"/>
  <c r="E32" i="19"/>
  <c r="F32" i="14"/>
  <c r="E31" i="19"/>
  <c r="F31" i="14"/>
  <c r="E30" i="19"/>
  <c r="F30" i="14"/>
  <c r="F29" i="14"/>
  <c r="E29" i="19"/>
  <c r="E28" i="19"/>
  <c r="F28" i="14"/>
  <c r="E27" i="19"/>
  <c r="F27" i="14"/>
  <c r="E26" i="19"/>
  <c r="F26" i="14"/>
  <c r="E25" i="19"/>
  <c r="F25" i="14"/>
  <c r="E24" i="19"/>
  <c r="F24" i="14"/>
  <c r="F23" i="14"/>
  <c r="E23" i="19"/>
  <c r="E22" i="19"/>
  <c r="F22" i="14"/>
  <c r="F21" i="14"/>
  <c r="E21" i="19"/>
  <c r="E20" i="19"/>
  <c r="F20" i="14"/>
  <c r="F19" i="14"/>
  <c r="E19" i="19"/>
  <c r="E18" i="19"/>
  <c r="F18" i="14"/>
  <c r="F17" i="14"/>
  <c r="E17" i="19"/>
  <c r="E6" i="19"/>
  <c r="F6" i="14"/>
  <c r="E4" i="19"/>
  <c r="F4" i="14"/>
  <c r="E3" i="19"/>
  <c r="F3" i="14"/>
  <c r="E2" i="19"/>
  <c r="F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T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sharedStrings.xml><?xml version="1.0" encoding="utf-8"?>
<sst xmlns="http://schemas.openxmlformats.org/spreadsheetml/2006/main" count="42904" uniqueCount="9496">
  <si>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</si>
  <si>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</si>
  <si>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</si>
  <si>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</si>
  <si>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</si>
  <si>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</si>
  <si>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</si>
  <si>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</si>
  <si>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</si>
  <si>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</si>
  <si>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</si>
  <si>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</si>
  <si>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</si>
  <si>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</si>
  <si>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</si>
  <si>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</si>
  <si>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</si>
  <si>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</si>
  <si>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</si>
  <si>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</si>
  <si>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</si>
  <si>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</si>
  <si>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</si>
  <si>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</si>
  <si>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</si>
  <si>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</si>
  <si>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</si>
  <si>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</si>
  <si>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</si>
  <si>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</si>
  <si>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</si>
  <si>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</si>
  <si>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</si>
  <si>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</si>
  <si>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</si>
  <si>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</si>
  <si>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</si>
  <si>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</si>
  <si>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</si>
  <si>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</si>
  <si>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</si>
  <si>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</si>
  <si>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</si>
  <si>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</si>
  <si>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</si>
  <si>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</si>
  <si>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</si>
  <si>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</si>
  <si>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</si>
  <si>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</si>
  <si>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</si>
  <si>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</si>
  <si>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</si>
  <si>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</si>
  <si>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</si>
  <si>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</si>
  <si>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</si>
  <si>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</si>
  <si>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</si>
  <si>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</si>
  <si>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</si>
  <si>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</si>
  <si>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</si>
  <si>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</si>
  <si>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</si>
  <si>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</si>
  <si>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</si>
  <si>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</si>
  <si>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</si>
  <si>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</si>
  <si>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</si>
  <si>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</si>
  <si>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</si>
  <si>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</si>
  <si>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</si>
  <si>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</si>
  <si>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</si>
  <si>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</si>
  <si>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</si>
  <si>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</si>
  <si>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</si>
  <si>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</si>
  <si>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</si>
  <si>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</si>
  <si>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</si>
  <si>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</si>
  <si>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</si>
  <si>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</si>
  <si>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</si>
  <si>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</si>
  <si>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</si>
  <si>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</si>
  <si>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</si>
  <si>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</si>
  <si>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</si>
  <si>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</si>
  <si>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</si>
  <si>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</si>
  <si>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</si>
  <si>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</si>
  <si>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</si>
  <si>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</si>
  <si>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</si>
  <si>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</si>
  <si>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</si>
  <si>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</si>
  <si>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</si>
  <si>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</si>
  <si>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</si>
  <si>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</si>
  <si>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</si>
  <si>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</si>
  <si>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</si>
  <si>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</si>
  <si>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</si>
  <si>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</si>
  <si>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</si>
  <si>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</si>
  <si>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</si>
  <si>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</si>
  <si>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</si>
  <si>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</si>
  <si>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</si>
  <si>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</si>
  <si>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</si>
  <si>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</si>
  <si>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</si>
  <si>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</si>
  <si>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</si>
  <si>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</si>
  <si>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</si>
  <si>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</si>
  <si>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</si>
  <si>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</si>
  <si>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</si>
  <si>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</si>
  <si>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</si>
  <si>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</si>
  <si>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</si>
  <si>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</si>
  <si>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</si>
  <si>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</si>
  <si>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</si>
  <si>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</si>
  <si>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</si>
  <si>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</si>
  <si>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</si>
  <si>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</si>
  <si>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</si>
  <si>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</si>
  <si>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</si>
  <si>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</si>
  <si>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</si>
  <si>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</si>
  <si>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</si>
  <si>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</si>
  <si>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</si>
  <si>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</si>
  <si>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</si>
  <si>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</si>
  <si>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</si>
  <si>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</si>
  <si>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</si>
  <si>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</si>
  <si>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</si>
  <si>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</si>
  <si>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</si>
  <si>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</si>
  <si>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</si>
  <si>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</si>
  <si>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</si>
  <si>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</si>
  <si>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</si>
  <si>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</si>
  <si>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</si>
  <si>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</si>
  <si>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</si>
  <si>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</si>
  <si>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</si>
  <si>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</si>
  <si>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</si>
  <si>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</si>
  <si>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</si>
  <si>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</si>
  <si>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</si>
  <si>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</si>
  <si>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</si>
  <si>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</si>
  <si>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</si>
  <si>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</si>
  <si>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</si>
  <si>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</si>
  <si>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</si>
  <si>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</si>
  <si>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</si>
  <si>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</si>
  <si>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</si>
  <si>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</si>
  <si>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</si>
  <si>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</si>
  <si>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</si>
  <si>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</si>
  <si>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</si>
  <si>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</si>
  <si>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</si>
  <si>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</si>
  <si>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</si>
  <si>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</si>
  <si>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</si>
  <si>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</si>
  <si>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</si>
  <si>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</si>
  <si>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</si>
  <si>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</si>
  <si>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</si>
  <si>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</si>
  <si>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</si>
  <si>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</si>
  <si>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</si>
  <si>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</si>
  <si>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</si>
  <si>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</si>
  <si>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</si>
  <si>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</si>
  <si>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</si>
  <si>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</si>
  <si>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</si>
  <si>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</si>
  <si>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</si>
  <si>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</si>
  <si>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</si>
  <si>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</si>
  <si>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</si>
  <si>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</si>
  <si>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</si>
  <si>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</si>
  <si>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</si>
  <si>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</si>
  <si>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</si>
  <si>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</si>
  <si>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</si>
  <si>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</si>
  <si>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</si>
  <si>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</si>
  <si>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</si>
  <si>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</si>
  <si>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</si>
  <si>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</si>
  <si>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</si>
  <si>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</si>
  <si>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</si>
  <si>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</si>
  <si>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</si>
  <si>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</si>
  <si>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</si>
  <si>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</si>
  <si>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</si>
  <si>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</si>
  <si>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</si>
  <si>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</si>
  <si>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</si>
  <si>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</si>
  <si>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</si>
  <si>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</si>
  <si>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</si>
  <si>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</si>
  <si>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</si>
  <si>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</si>
  <si>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</si>
  <si>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</si>
  <si>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</si>
  <si>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</si>
  <si>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</si>
  <si>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</si>
  <si>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</si>
  <si>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</si>
  <si>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</si>
  <si>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</si>
  <si>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</si>
  <si>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</si>
  <si>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</si>
  <si>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</si>
  <si>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</si>
  <si>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</si>
  <si>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</si>
  <si>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</si>
  <si>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</si>
  <si>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</si>
  <si>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</si>
  <si>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</si>
  <si>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</si>
  <si>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</si>
  <si>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</si>
  <si>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</si>
  <si>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</si>
  <si>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</si>
  <si>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</si>
  <si>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</si>
  <si>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</si>
  <si>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</si>
  <si>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</si>
  <si>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</si>
  <si>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</si>
  <si>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</si>
  <si>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</si>
  <si>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</si>
  <si>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</si>
  <si>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</si>
  <si>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</si>
  <si>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</si>
  <si>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</si>
  <si>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</si>
  <si>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</si>
  <si>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</si>
  <si>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</si>
  <si>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</si>
  <si>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</si>
  <si>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</si>
  <si>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</si>
  <si>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</si>
  <si>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</si>
  <si>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</si>
  <si>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</si>
  <si>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</si>
  <si>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</si>
  <si>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</si>
  <si>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</si>
  <si>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</si>
  <si>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</si>
  <si>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</si>
  <si>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</si>
  <si>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</si>
  <si>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</si>
  <si>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</si>
  <si>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</si>
  <si>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</si>
  <si>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</si>
  <si>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</si>
  <si>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</si>
  <si>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</si>
  <si>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</si>
  <si>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</si>
  <si>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</si>
  <si>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</si>
  <si>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</si>
  <si>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</si>
  <si>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</si>
  <si>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</si>
  <si>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</si>
  <si>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</si>
  <si>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</si>
  <si>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</si>
  <si>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</si>
  <si>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</si>
  <si>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</si>
  <si>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</si>
  <si>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</si>
  <si>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</si>
  <si>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</si>
  <si>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</si>
  <si>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</si>
  <si>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</si>
  <si>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</si>
  <si>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</si>
  <si>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</si>
  <si>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</si>
  <si>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</si>
  <si>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</si>
  <si>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</si>
  <si>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</si>
  <si>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</si>
  <si>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</si>
  <si>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</si>
  <si>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</si>
  <si>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</si>
  <si>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</si>
  <si>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</si>
  <si>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</si>
  <si>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</si>
  <si>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</si>
  <si>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</si>
  <si>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</si>
  <si>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</si>
  <si>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</si>
  <si>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</si>
  <si>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</si>
  <si>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</si>
  <si>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</si>
  <si>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</si>
  <si>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</si>
  <si>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</si>
  <si>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</si>
  <si>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</si>
  <si>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</si>
  <si>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</si>
  <si>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</si>
  <si>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</si>
  <si>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</si>
  <si>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</si>
  <si>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</si>
  <si>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</si>
  <si>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</si>
  <si>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</si>
  <si>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</si>
  <si>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</si>
  <si>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</si>
  <si>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</si>
  <si>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</si>
  <si>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</si>
  <si>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</si>
  <si>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</si>
  <si>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</si>
  <si>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</si>
  <si>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</si>
  <si>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</si>
  <si>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</si>
  <si>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</si>
  <si>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</si>
  <si>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</si>
  <si>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</si>
  <si>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</si>
  <si>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</si>
  <si>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</si>
  <si>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</si>
  <si>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</si>
  <si>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</si>
  <si>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</si>
  <si>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</si>
  <si>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</si>
  <si>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</si>
  <si>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</si>
  <si>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</si>
  <si>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</si>
  <si>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</si>
  <si>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</si>
  <si>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</si>
  <si>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</si>
  <si>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</si>
  <si>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</si>
  <si>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</si>
  <si>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</si>
  <si>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</si>
  <si>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</si>
  <si>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</si>
  <si>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</si>
  <si>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</si>
  <si>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</si>
  <si>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</si>
  <si>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</si>
  <si>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</si>
  <si>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</si>
  <si>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</si>
  <si>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</si>
  <si>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</si>
  <si>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</si>
  <si>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</si>
  <si>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</si>
  <si>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</si>
  <si>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</si>
  <si>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</si>
  <si>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</si>
  <si>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</si>
  <si>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</si>
  <si>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</si>
  <si>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</si>
  <si>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</si>
  <si>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</si>
  <si>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</si>
  <si>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</si>
  <si>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</si>
  <si>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</si>
  <si>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</si>
  <si>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</si>
  <si>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</si>
  <si>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</si>
  <si>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</si>
  <si>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</si>
  <si>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</si>
  <si>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</si>
  <si>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</si>
  <si>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</si>
  <si>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</si>
  <si>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</si>
  <si>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</si>
  <si>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</si>
  <si>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</si>
  <si>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</si>
  <si>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</si>
  <si>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</si>
  <si>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</si>
  <si>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</si>
  <si>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</si>
  <si>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</si>
  <si>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</si>
  <si>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</si>
  <si>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</si>
  <si>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</si>
  <si>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</si>
  <si>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</si>
  <si>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</si>
  <si>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</si>
  <si>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</si>
  <si>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</si>
  <si>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</si>
  <si>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</si>
  <si>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</si>
  <si>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</si>
  <si>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</si>
  <si>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</si>
  <si>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</si>
  <si>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</si>
  <si>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</si>
  <si>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</si>
  <si>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</si>
  <si>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</si>
  <si>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</si>
  <si>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</si>
  <si>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</si>
  <si>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</si>
  <si>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</si>
  <si>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</si>
  <si>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</si>
  <si>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</si>
  <si>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</si>
  <si>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</si>
  <si>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</si>
  <si>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</si>
  <si>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</si>
  <si>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</si>
  <si>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</si>
  <si>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</si>
  <si>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</si>
  <si>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</si>
  <si>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</si>
  <si>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</si>
  <si>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</si>
  <si>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</si>
  <si>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</si>
  <si>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</si>
  <si>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</si>
  <si>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</si>
  <si>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</si>
  <si>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</si>
  <si>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</si>
  <si>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</si>
  <si>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</si>
  <si>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</si>
  <si>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</si>
  <si>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</si>
  <si>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</si>
  <si>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</si>
  <si>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</si>
  <si>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</si>
  <si>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</si>
  <si>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</si>
  <si>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</si>
  <si>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</si>
  <si>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</si>
  <si>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</si>
  <si>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</si>
  <si>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</si>
  <si>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</si>
  <si>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</si>
  <si>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</si>
  <si>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</si>
  <si>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</si>
  <si>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</si>
  <si>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</si>
  <si>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</si>
  <si>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</si>
  <si>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</si>
  <si>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</si>
  <si>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</si>
  <si>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</si>
  <si>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</si>
  <si>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</si>
  <si>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</si>
  <si>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</si>
  <si>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</si>
  <si>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</si>
  <si>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</si>
  <si>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</si>
  <si>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</si>
  <si>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</si>
  <si>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</si>
  <si>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</si>
  <si>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</si>
  <si>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</si>
  <si>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</si>
  <si>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</si>
  <si>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</si>
  <si>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</si>
  <si>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</si>
  <si>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</si>
  <si>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</si>
  <si>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</si>
  <si>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</si>
  <si>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</si>
  <si>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</si>
  <si>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</si>
  <si>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</si>
  <si>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</si>
  <si>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</si>
  <si>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</si>
  <si>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</si>
  <si>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</si>
  <si>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</si>
  <si>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</si>
  <si>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</si>
  <si>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</si>
  <si>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</si>
  <si>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</si>
  <si>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</si>
  <si>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</si>
  <si>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</si>
  <si>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</si>
  <si>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</si>
  <si>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</si>
  <si>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</si>
  <si>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</si>
  <si>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</si>
  <si>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</si>
  <si>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</si>
  <si>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</si>
  <si>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</si>
  <si>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</si>
  <si>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</si>
  <si>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</si>
  <si>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</si>
  <si>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</si>
  <si>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</si>
  <si>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</si>
  <si>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</si>
  <si>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</si>
  <si>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</si>
  <si>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</si>
  <si>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</si>
  <si>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</si>
  <si>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</si>
  <si>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</si>
  <si>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</si>
  <si>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</si>
  <si>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</si>
  <si>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</si>
  <si>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</si>
  <si>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</si>
  <si>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</si>
  <si>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</si>
  <si>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</si>
  <si>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</si>
  <si>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</si>
  <si>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</si>
  <si>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</si>
  <si>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</si>
  <si>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</si>
  <si>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</si>
  <si>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</si>
  <si>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</si>
  <si>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</si>
  <si>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</si>
  <si>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</si>
  <si>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</si>
  <si>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</si>
  <si>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</si>
  <si>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</si>
  <si>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</si>
  <si>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</si>
  <si>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</si>
  <si>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</si>
  <si>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</si>
  <si>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</si>
  <si>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</si>
  <si>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</si>
  <si>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</si>
  <si>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</si>
  <si>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</si>
  <si>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</si>
  <si>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</si>
  <si>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</si>
  <si>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</si>
  <si>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</si>
  <si>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</si>
  <si>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</si>
  <si>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</si>
  <si>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</si>
  <si>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</si>
  <si>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</si>
  <si>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</si>
  <si>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</si>
  <si>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</si>
  <si>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</si>
  <si>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</si>
  <si>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</si>
  <si>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</si>
  <si>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</si>
  <si>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</si>
  <si>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</si>
  <si>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</si>
  <si>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</si>
  <si>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</si>
  <si>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</si>
  <si>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</si>
  <si>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</si>
  <si>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</si>
  <si>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</si>
  <si>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</si>
  <si>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</si>
  <si>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</si>
  <si>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</si>
  <si>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</si>
  <si>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</si>
  <si>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</si>
  <si>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</si>
  <si>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</si>
  <si>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</si>
  <si>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</si>
  <si>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</si>
  <si>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</si>
  <si>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</si>
  <si>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</si>
  <si>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</si>
  <si>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</si>
  <si>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</si>
  <si>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</si>
  <si>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</si>
  <si>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</si>
  <si>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</si>
  <si>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</si>
  <si>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</si>
  <si>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</si>
  <si>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</si>
  <si>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</si>
  <si>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</si>
  <si>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</si>
  <si>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</si>
  <si>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</si>
  <si>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</si>
  <si>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</si>
  <si>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</si>
  <si>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</si>
  <si>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</si>
  <si>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</si>
  <si>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</si>
  <si>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</si>
  <si>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</si>
  <si>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</si>
  <si>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</si>
  <si>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</si>
  <si>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</si>
  <si>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</si>
  <si>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</si>
  <si>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</si>
  <si>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</si>
  <si>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</si>
  <si>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</si>
  <si>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</si>
  <si>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</si>
  <si>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</si>
  <si>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</si>
  <si>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</si>
  <si>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</si>
  <si>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</si>
  <si>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</si>
  <si>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</si>
  <si>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</si>
  <si>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</si>
  <si>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</si>
  <si>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</si>
  <si>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</si>
  <si>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</si>
  <si>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</si>
  <si>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</si>
  <si>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</si>
  <si>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</si>
  <si>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</si>
  <si>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</si>
  <si>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</si>
  <si>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</si>
  <si>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</si>
  <si>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</si>
  <si>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</si>
  <si>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</si>
  <si>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</si>
  <si>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</si>
  <si>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</si>
  <si>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</si>
  <si>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</si>
  <si>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</si>
  <si>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</si>
  <si>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</si>
  <si>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</si>
  <si>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</si>
  <si>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</si>
  <si>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</si>
  <si>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</si>
  <si>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</si>
  <si>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</si>
  <si>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</si>
  <si>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</si>
  <si>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</si>
  <si>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</si>
  <si>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</si>
  <si>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</si>
  <si>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</si>
  <si>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</si>
  <si>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</si>
  <si>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</si>
  <si>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</si>
  <si>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</si>
  <si>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</si>
  <si>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</si>
  <si>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</si>
  <si>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</si>
  <si>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</si>
  <si>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</si>
  <si>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</si>
  <si>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</si>
  <si>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</si>
  <si>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</si>
  <si>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</si>
  <si>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</si>
  <si>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</si>
  <si>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</si>
  <si>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</si>
  <si>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</si>
  <si>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</si>
  <si>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</si>
  <si>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</si>
  <si>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</si>
  <si>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</si>
  <si>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</si>
  <si>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</si>
  <si>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</si>
  <si>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</si>
  <si>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</si>
  <si>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</si>
  <si>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</si>
  <si>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</si>
  <si>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</si>
  <si>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</si>
  <si>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</si>
  <si>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</si>
  <si>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</si>
  <si>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</si>
  <si>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</si>
  <si>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</si>
  <si>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</si>
  <si>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</si>
  <si>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</si>
  <si>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</si>
  <si>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</si>
  <si>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</si>
  <si>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</si>
  <si>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</si>
  <si>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</si>
  <si>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</si>
  <si>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</si>
  <si>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</si>
  <si>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</si>
  <si>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</si>
  <si>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</si>
  <si>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</si>
  <si>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</si>
  <si>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</si>
  <si>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</si>
  <si>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</si>
  <si>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</si>
  <si>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</si>
  <si>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</si>
  <si>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</si>
  <si>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</si>
  <si>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</si>
  <si>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</si>
  <si>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</si>
  <si>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</si>
  <si>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</si>
  <si>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</si>
  <si>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</si>
  <si>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</si>
  <si>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</si>
  <si>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</si>
  <si>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</si>
  <si>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</si>
  <si>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</si>
  <si>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</si>
  <si>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</si>
  <si>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</si>
  <si>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</si>
  <si>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</si>
  <si>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</si>
  <si>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</si>
  <si>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</si>
  <si>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</si>
  <si>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</si>
  <si>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</si>
  <si>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</si>
  <si>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</si>
  <si>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</si>
  <si>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</si>
  <si>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</si>
  <si>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</si>
  <si>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</si>
  <si>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</si>
  <si>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</si>
  <si>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</si>
  <si>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</si>
  <si>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</si>
  <si>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</si>
  <si>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</si>
  <si>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</si>
  <si>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</si>
  <si>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</si>
  <si>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</si>
  <si>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</si>
  <si>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</si>
  <si>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</si>
  <si>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</si>
  <si>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</si>
  <si>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</si>
  <si>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</si>
  <si>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</si>
  <si>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</si>
  <si>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</si>
  <si>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</si>
  <si>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</si>
  <si>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</si>
  <si>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</si>
  <si>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</si>
  <si>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</si>
  <si>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</si>
  <si>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</si>
  <si>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</si>
  <si>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</si>
  <si>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</si>
  <si>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</si>
  <si>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</si>
  <si>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</si>
  <si>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</si>
  <si>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</si>
  <si>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</si>
  <si>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</si>
  <si>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</si>
  <si>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</si>
  <si>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</si>
  <si>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</si>
  <si>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</si>
  <si>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</si>
  <si>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</si>
  <si>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</si>
  <si>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</si>
  <si>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</si>
  <si>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</si>
  <si>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</si>
  <si>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</si>
  <si>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</si>
  <si>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</si>
  <si>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</si>
  <si>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</si>
  <si>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</si>
  <si>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</si>
  <si>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</si>
  <si>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</si>
  <si>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</si>
  <si>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</si>
  <si>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</si>
  <si>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</si>
  <si>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</si>
  <si>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</si>
  <si>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</si>
  <si>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</si>
  <si>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</si>
  <si>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</si>
  <si>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</si>
  <si>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</si>
  <si>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</si>
  <si>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</si>
  <si>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</si>
  <si>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</si>
  <si>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</si>
  <si>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</si>
  <si>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</si>
  <si>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</si>
  <si>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</si>
  <si>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</si>
  <si>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</si>
  <si>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</si>
  <si>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</si>
  <si>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</si>
  <si>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</si>
  <si>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</si>
  <si>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</si>
  <si>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</si>
  <si>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</si>
  <si>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</si>
  <si>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</si>
  <si>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</si>
  <si>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</si>
  <si>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</si>
  <si>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</si>
  <si>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</si>
  <si>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</si>
  <si>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</si>
  <si>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</si>
  <si>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</si>
  <si>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</si>
  <si>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</si>
  <si>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</si>
  <si>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</si>
  <si>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</si>
  <si>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</si>
  <si>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</si>
  <si>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</si>
  <si>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</si>
  <si>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</si>
  <si>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</si>
  <si>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</si>
  <si>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</si>
  <si>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</si>
  <si>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</si>
  <si>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</si>
  <si>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</si>
  <si>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</si>
  <si>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</si>
  <si>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</si>
  <si>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</si>
  <si>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</si>
  <si>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</si>
  <si>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</si>
  <si>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</si>
  <si>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</si>
  <si>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</si>
  <si>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</si>
  <si>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</si>
  <si>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</si>
  <si>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</si>
  <si>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</si>
  <si>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</si>
  <si>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</si>
  <si>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</si>
  <si>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</si>
  <si>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</si>
  <si>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</si>
  <si>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</si>
  <si>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</si>
  <si>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</si>
  <si>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</si>
  <si>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</si>
  <si>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</si>
  <si>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</si>
  <si>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</si>
  <si>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</si>
  <si>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</si>
  <si>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</si>
  <si>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</si>
  <si>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</si>
  <si>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</si>
  <si>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</si>
  <si>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</si>
  <si>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</si>
  <si>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</si>
  <si>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</si>
  <si>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</si>
  <si>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</si>
  <si>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</si>
  <si>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</si>
  <si>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</si>
  <si>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</si>
  <si>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</si>
  <si>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</si>
  <si>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switch_mglv_Wagon_Gen7M_Tanker_cargo_selection</t>
  </si>
  <si>
    <t>Switch</t>
  </si>
  <si>
    <t>switch_mglv_Wagon_Gen7M_Tanker_Oil_livery_selection</t>
  </si>
  <si>
    <t>switch_mglv_Wagon_Gen7M_Tanker_Standard_livery</t>
  </si>
  <si>
    <t>switch_mglv_Wagon_Gen7M_Tanker_Oil_livery</t>
  </si>
  <si>
    <t>spriteset_mglv_Wagon_Gen7M_Tanker_Standard_L4_S3</t>
  </si>
  <si>
    <t>Spriteset</t>
  </si>
  <si>
    <t>spriteset_mglv_Wagon_Gen7M_Tanker_Standard_L4_S2</t>
  </si>
  <si>
    <t>spriteset_mglv_Wagon_Gen7M_Tanker_Standard_L4_S1</t>
  </si>
  <si>
    <t>spriteset_mglv_Wagon_Gen7M_Tanker_Standard_L3_S3</t>
  </si>
  <si>
    <t>spriteset_mglv_Wagon_Gen7M_Tanker_Standard_L3_S2</t>
  </si>
  <si>
    <t>spriteset_mglv_Wagon_Gen7M_Tanker_Standard_L3_S1</t>
  </si>
  <si>
    <t>spriteset_mglv_Wagon_Gen7M_Tanker_Standard_L2_S3</t>
  </si>
  <si>
    <t>spriteset_mglv_Wagon_Gen7M_Tanker_Standard_L2_S2</t>
  </si>
  <si>
    <t>spriteset_mglv_Wagon_Gen7M_Tanker_Standard_L2_S1</t>
  </si>
  <si>
    <t>spriteset_mglv_Wagon_Gen7M_Tanker_Standard_L1_S3</t>
  </si>
  <si>
    <t>spriteset_mglv_Wagon_Gen7M_Tanker_Standard_L1_S2</t>
  </si>
  <si>
    <t>spriteset_mglv_Wagon_Gen7M_Tanker_Standard_L1_S1</t>
  </si>
  <si>
    <t>spriteset_mglv_Wagon_Gen7M_Tanker_Oil_L4_S3</t>
  </si>
  <si>
    <t>spriteset_mglv_Wagon_Gen7M_Tanker_Oil_L4_S2</t>
  </si>
  <si>
    <t>spriteset_mglv_Wagon_Gen7M_Tanker_Oil_L4_S1</t>
  </si>
  <si>
    <t>spriteset_mglv_Wagon_Gen7M_Tanker_Oil_L3_S3</t>
  </si>
  <si>
    <t>spriteset_mglv_Wagon_Gen7M_Tanker_Oil_L3_S2</t>
  </si>
  <si>
    <t>spriteset_mglv_Wagon_Gen7M_Tanker_Oil_L3_S1</t>
  </si>
  <si>
    <t>spriteset_mglv_Wagon_Gen7M_Tanker_Oil_L2_S3</t>
  </si>
  <si>
    <t>spriteset_mglv_Wagon_Gen7M_Tanker_Oil_L2_S2</t>
  </si>
  <si>
    <t>spriteset_mglv_Wagon_Gen7M_Tanker_Oil_L2_S1</t>
  </si>
  <si>
    <t>spriteset_mglv_Wagon_Gen7M_Tanker_Oil_L1_S3</t>
  </si>
  <si>
    <t>spriteset_mglv_Wagon_Gen7M_Tanker_Oil_L1_S2</t>
  </si>
  <si>
    <t>spriteset_mglv_Wagon_Gen7M_Tanker_Oil_L1_S1</t>
  </si>
  <si>
    <t>spriteset_mglv_Wagon_Gen7M_Tanker_purchase</t>
  </si>
  <si>
    <t>switch_mglv_Wagon_Gen7M_Superheavy_Flatcar_articulated</t>
  </si>
  <si>
    <t>switch_mglv_Wagon_Gen7M_Superheavy_Flatcar</t>
  </si>
  <si>
    <t>switch_mglv_Wagon_Gen7M_Superheavy_Flatcar_middle_livery</t>
  </si>
  <si>
    <t>spriteset_mglv_Wagon_Gen7M_Superheavy_Flatcar_middle_L4</t>
  </si>
  <si>
    <t>spriteset_mglv_Wagon_Gen7M_Superheavy_Flatcar_middle_L3</t>
  </si>
  <si>
    <t>spriteset_mglv_Wagon_Gen7M_Superheavy_Flatcar_middle_L2</t>
  </si>
  <si>
    <t>spriteset_mglv_Wagon_Gen7M_Superheavy_Flatcar_middle_L1</t>
  </si>
  <si>
    <t>spriteset_mglv_Wagon_Gen7M_Superheavy_Flatcar_middle_empty</t>
  </si>
  <si>
    <t>spriteset_mglv_Wagon_Gen7M_Superheavy_Flatcar_back</t>
  </si>
  <si>
    <t>spriteset_mglv_Wagon_Gen7M_Superheavy_Flatcar_front</t>
  </si>
  <si>
    <t>spriteset_mglv_Wagon_Gen7M_Superheavy_Flatcar_purchase</t>
  </si>
  <si>
    <t>switch_mglv_Wagon_Gen7M_Silo_Type2_livery</t>
  </si>
  <si>
    <t>spriteset_mglv_Wagon_Gen7M_Silo_Type2_L4_S3</t>
  </si>
  <si>
    <t>spriteset_mglv_Wagon_Gen7M_Silo_Type2_L4_S2</t>
  </si>
  <si>
    <t>spriteset_mglv_Wagon_Gen7M_Silo_Type2_L4_S1</t>
  </si>
  <si>
    <t>spriteset_mglv_Wagon_Gen7M_Silo_Type2_L3_S3</t>
  </si>
  <si>
    <t>spriteset_mglv_Wagon_Gen7M_Silo_Type2_L3_S2</t>
  </si>
  <si>
    <t>spriteset_mglv_Wagon_Gen7M_Silo_Type2_L3_S1</t>
  </si>
  <si>
    <t>spriteset_mglv_Wagon_Gen7M_Silo_Type2_L2_S3</t>
  </si>
  <si>
    <t>spriteset_mglv_Wagon_Gen7M_Silo_Type2_L2_S2</t>
  </si>
  <si>
    <t>spriteset_mglv_Wagon_Gen7M_Silo_Type2_L2_S1</t>
  </si>
  <si>
    <t>spriteset_mglv_Wagon_Gen7M_Silo_Type2_L1_S3</t>
  </si>
  <si>
    <t>spriteset_mglv_Wagon_Gen7M_Silo_Type2_L1_S2</t>
  </si>
  <si>
    <t>spriteset_mglv_Wagon_Gen7M_Silo_Type2_L1_S1</t>
  </si>
  <si>
    <t>spriteset_mglv_Wagon_Gen7M_Silo_Type2_purchase</t>
  </si>
  <si>
    <t>switch_mglv_Wagon_Gen7M_Silo_Type1_livery</t>
  </si>
  <si>
    <t>spriteset_mglv_Wagon_Gen7M_Silo_Type1_L4_S3</t>
  </si>
  <si>
    <t>spriteset_mglv_Wagon_Gen7M_Silo_Type1_L4_S2</t>
  </si>
  <si>
    <t>spriteset_mglv_Wagon_Gen7M_Silo_Type1_L4_S1</t>
  </si>
  <si>
    <t>spriteset_mglv_Wagon_Gen7M_Silo_Type1_L3_S3</t>
  </si>
  <si>
    <t>spriteset_mglv_Wagon_Gen7M_Silo_Type1_L3_S2</t>
  </si>
  <si>
    <t>spriteset_mglv_Wagon_Gen7M_Silo_Type1_L3_S1</t>
  </si>
  <si>
    <t>spriteset_mglv_Wagon_Gen7M_Silo_Type1_L2_S3</t>
  </si>
  <si>
    <t>spriteset_mglv_Wagon_Gen7M_Silo_Type1_L2_S2</t>
  </si>
  <si>
    <t>spriteset_mglv_Wagon_Gen7M_Silo_Type1_L2_S1</t>
  </si>
  <si>
    <t>spriteset_mglv_Wagon_Gen7M_Silo_Type1_L1_S3</t>
  </si>
  <si>
    <t>spriteset_mglv_Wagon_Gen7M_Silo_Type1_L1_S2</t>
  </si>
  <si>
    <t>spriteset_mglv_Wagon_Gen7M_Silo_Type1_L1_S1</t>
  </si>
  <si>
    <t>spriteset_mglv_Wagon_Gen7M_Silo_Type1_purchase</t>
  </si>
  <si>
    <t>switch_mglv_Wagon_Gen7M_Hopper_Type2_cargo_selection</t>
  </si>
  <si>
    <t>switch_mglv_Wagon_Gen7M_Hopper_Type2_Gray_livery</t>
  </si>
  <si>
    <t>switch_mglv_Wagon_Gen7M_Hopper_Type2_Sand_livery</t>
  </si>
  <si>
    <t>switch_mglv_Wagon_Gen7M_Hopper_Type2_Ore_livery</t>
  </si>
  <si>
    <t>switch_mglv_Wagon_Gen7M_Hopper_Type2_Coal_livery</t>
  </si>
  <si>
    <t>spriteset_mglv_Wagon_Gen7M_Hopper_Type2_Gray_L4_S3</t>
  </si>
  <si>
    <t>spriteset_mglv_Wagon_Gen7M_Hopper_Type2_Gray_L4_S2</t>
  </si>
  <si>
    <t>spriteset_mglv_Wagon_Gen7M_Hopper_Type2_Gray_L4_S1</t>
  </si>
  <si>
    <t>spriteset_mglv_Wagon_Gen7M_Hopper_Type2_Gray_L3_S3</t>
  </si>
  <si>
    <t>spriteset_mglv_Wagon_Gen7M_Hopper_Type2_Gray_L3_S2</t>
  </si>
  <si>
    <t>spriteset_mglv_Wagon_Gen7M_Hopper_Type2_Gray_L3_S1</t>
  </si>
  <si>
    <t>spriteset_mglv_Wagon_Gen7M_Hopper_Type2_Gray_L2_S3</t>
  </si>
  <si>
    <t>spriteset_mglv_Wagon_Gen7M_Hopper_Type2_Gray_L2_S2</t>
  </si>
  <si>
    <t>spriteset_mglv_Wagon_Gen7M_Hopper_Type2_Gray_L2_S1</t>
  </si>
  <si>
    <t>spriteset_mglv_Wagon_Gen7M_Hopper_Type2_Gray_L1_S3</t>
  </si>
  <si>
    <t>spriteset_mglv_Wagon_Gen7M_Hopper_Type2_Gray_L1_S2</t>
  </si>
  <si>
    <t>spriteset_mglv_Wagon_Gen7M_Hopper_Type2_Gray_L1_S1</t>
  </si>
  <si>
    <t>spriteset_mglv_Wagon_Gen7M_Hopper_Type2_Sand_L4_S3</t>
  </si>
  <si>
    <t>spriteset_mglv_Wagon_Gen7M_Hopper_Type2_Sand_L4_S2</t>
  </si>
  <si>
    <t>spriteset_mglv_Wagon_Gen7M_Hopper_Type2_Sand_L4_S1</t>
  </si>
  <si>
    <t>spriteset_mglv_Wagon_Gen7M_Hopper_Type2_Sand_L3_S3</t>
  </si>
  <si>
    <t>spriteset_mglv_Wagon_Gen7M_Hopper_Type2_Sand_L3_S2</t>
  </si>
  <si>
    <t>spriteset_mglv_Wagon_Gen7M_Hopper_Type2_Sand_L3_S1</t>
  </si>
  <si>
    <t>spriteset_mglv_Wagon_Gen7M_Hopper_Type2_Sand_L2_S3</t>
  </si>
  <si>
    <t>spriteset_mglv_Wagon_Gen7M_Hopper_Type2_Sand_L2_S2</t>
  </si>
  <si>
    <t>spriteset_mglv_Wagon_Gen7M_Hopper_Type2_Sand_L2_S1</t>
  </si>
  <si>
    <t>spriteset_mglv_Wagon_Gen7M_Hopper_Type2_Sand_L1_S3</t>
  </si>
  <si>
    <t>spriteset_mglv_Wagon_Gen7M_Hopper_Type2_Sand_L1_S2</t>
  </si>
  <si>
    <t>spriteset_mglv_Wagon_Gen7M_Hopper_Type2_Sand_L1_S1</t>
  </si>
  <si>
    <t>spriteset_mglv_Wagon_Gen7M_Hopper_Type2_Ore_L4_S3</t>
  </si>
  <si>
    <t>spriteset_mglv_Wagon_Gen7M_Hopper_Type2_Ore_L4_S2</t>
  </si>
  <si>
    <t>spriteset_mglv_Wagon_Gen7M_Hopper_Type2_Ore_L4_S1</t>
  </si>
  <si>
    <t>spriteset_mglv_Wagon_Gen7M_Hopper_Type2_Ore_L3_S3</t>
  </si>
  <si>
    <t>spriteset_mglv_Wagon_Gen7M_Hopper_Type2_Ore_L3_S2</t>
  </si>
  <si>
    <t>spriteset_mglv_Wagon_Gen7M_Hopper_Type2_Ore_L3_S1</t>
  </si>
  <si>
    <t>spriteset_mglv_Wagon_Gen7M_Hopper_Type2_Ore_L2_S3</t>
  </si>
  <si>
    <t>spriteset_mglv_Wagon_Gen7M_Hopper_Type2_Ore_L2_S2</t>
  </si>
  <si>
    <t>spriteset_mglv_Wagon_Gen7M_Hopper_Type2_Ore_L2_S1</t>
  </si>
  <si>
    <t>spriteset_mglv_Wagon_Gen7M_Hopper_Type2_Ore_L1_S3</t>
  </si>
  <si>
    <t>spriteset_mglv_Wagon_Gen7M_Hopper_Type2_Ore_L1_S2</t>
  </si>
  <si>
    <t>spriteset_mglv_Wagon_Gen7M_Hopper_Type2_Ore_L1_S1</t>
  </si>
  <si>
    <t>spriteset_mglv_Wagon_Gen7M_Hopper_Type2_Coal_L4_S3</t>
  </si>
  <si>
    <t>spriteset_mglv_Wagon_Gen7M_Hopper_Type2_Coal_L4_S2</t>
  </si>
  <si>
    <t>spriteset_mglv_Wagon_Gen7M_Hopper_Type2_Coal_L4_S1</t>
  </si>
  <si>
    <t>spriteset_mglv_Wagon_Gen7M_Hopper_Type2_Coal_L3_S3</t>
  </si>
  <si>
    <t>spriteset_mglv_Wagon_Gen7M_Hopper_Type2_Coal_L3_S2</t>
  </si>
  <si>
    <t>spriteset_mglv_Wagon_Gen7M_Hopper_Type2_Coal_L3_S1</t>
  </si>
  <si>
    <t>spriteset_mglv_Wagon_Gen7M_Hopper_Type2_Coal_L2_S3</t>
  </si>
  <si>
    <t>spriteset_mglv_Wagon_Gen7M_Hopper_Type2_Coal_L2_S2</t>
  </si>
  <si>
    <t>spriteset_mglv_Wagon_Gen7M_Hopper_Type2_Coal_L2_S1</t>
  </si>
  <si>
    <t>spriteset_mglv_Wagon_Gen7M_Hopper_Type2_Coal_L1_S3</t>
  </si>
  <si>
    <t>spriteset_mglv_Wagon_Gen7M_Hopper_Type2_Coal_L1_S2</t>
  </si>
  <si>
    <t>spriteset_mglv_Wagon_Gen7M_Hopper_Type2_Coal_L1_S1</t>
  </si>
  <si>
    <t>spriteset_mglv_Wagon_Gen7M_Hopper_Type2_purchase</t>
  </si>
  <si>
    <t>switch_mglv_Wagon_Gen7M_Hopper_Type1_cargo_selection</t>
  </si>
  <si>
    <t>switch_mglv_Wagon_Gen7M_Hopper_Type1_Gray_livery</t>
  </si>
  <si>
    <t>switch_mglv_Wagon_Gen7M_Hopper_Type1_Sand_livery</t>
  </si>
  <si>
    <t>switch_mglv_Wagon_Gen7M_Hopper_Type1_Ore_livery</t>
  </si>
  <si>
    <t>switch_mglv_Wagon_Gen7M_Hopper_Type1_Coal_livery</t>
  </si>
  <si>
    <t>spriteset_mglv_Wagon_Gen7M_Hopper_Type1_Gray_L4_S3</t>
  </si>
  <si>
    <t>spriteset_mglv_Wagon_Gen7M_Hopper_Type1_Gray_L4_S2</t>
  </si>
  <si>
    <t>spriteset_mglv_Wagon_Gen7M_Hopper_Type1_Gray_L4_S1</t>
  </si>
  <si>
    <t>spriteset_mglv_Wagon_Gen7M_Hopper_Type1_Gray_L3_S3</t>
  </si>
  <si>
    <t>spriteset_mglv_Wagon_Gen7M_Hopper_Type1_Gray_L3_S2</t>
  </si>
  <si>
    <t>spriteset_mglv_Wagon_Gen7M_Hopper_Type1_Gray_L3_S1</t>
  </si>
  <si>
    <t>spriteset_mglv_Wagon_Gen7M_Hopper_Type1_Gray_L2_S3</t>
  </si>
  <si>
    <t>spriteset_mglv_Wagon_Gen7M_Hopper_Type1_Gray_L2_S2</t>
  </si>
  <si>
    <t>spriteset_mglv_Wagon_Gen7M_Hopper_Type1_Gray_L2_S1</t>
  </si>
  <si>
    <t>spriteset_mglv_Wagon_Gen7M_Hopper_Type1_Gray_L1_S3</t>
  </si>
  <si>
    <t>spriteset_mglv_Wagon_Gen7M_Hopper_Type1_Gray_L1_S2</t>
  </si>
  <si>
    <t>spriteset_mglv_Wagon_Gen7M_Hopper_Type1_Gray_L1_S1</t>
  </si>
  <si>
    <t>spriteset_mglv_Wagon_Gen7M_Hopper_Type1_Sand_L4_S3</t>
  </si>
  <si>
    <t>spriteset_mglv_Wagon_Gen7M_Hopper_Type1_Sand_L4_S2</t>
  </si>
  <si>
    <t>spriteset_mglv_Wagon_Gen7M_Hopper_Type1_Sand_L4_S1</t>
  </si>
  <si>
    <t>spriteset_mglv_Wagon_Gen7M_Hopper_Type1_Sand_L3_S3</t>
  </si>
  <si>
    <t>spriteset_mglv_Wagon_Gen7M_Hopper_Type1_Sand_L3_S2</t>
  </si>
  <si>
    <t>spriteset_mglv_Wagon_Gen7M_Hopper_Type1_Sand_L3_S1</t>
  </si>
  <si>
    <t>spriteset_mglv_Wagon_Gen7M_Hopper_Type1_Sand_L2_S3</t>
  </si>
  <si>
    <t>spriteset_mglv_Wagon_Gen7M_Hopper_Type1_Sand_L2_S2</t>
  </si>
  <si>
    <t>spriteset_mglv_Wagon_Gen7M_Hopper_Type1_Sand_L2_S1</t>
  </si>
  <si>
    <t>spriteset_mglv_Wagon_Gen7M_Hopper_Type1_Sand_L1_S3</t>
  </si>
  <si>
    <t>spriteset_mglv_Wagon_Gen7M_Hopper_Type1_Sand_L1_S2</t>
  </si>
  <si>
    <t>spriteset_mglv_Wagon_Gen7M_Hopper_Type1_Sand_L1_S1</t>
  </si>
  <si>
    <t>spriteset_mglv_Wagon_Gen7M_Hopper_Type1_Ore_L4_S3</t>
  </si>
  <si>
    <t>spriteset_mglv_Wagon_Gen7M_Hopper_Type1_Ore_L4_S2</t>
  </si>
  <si>
    <t>spriteset_mglv_Wagon_Gen7M_Hopper_Type1_Ore_L4_S1</t>
  </si>
  <si>
    <t>spriteset_mglv_Wagon_Gen7M_Hopper_Type1_Ore_L3_S3</t>
  </si>
  <si>
    <t>spriteset_mglv_Wagon_Gen7M_Hopper_Type1_Ore_L3_S2</t>
  </si>
  <si>
    <t>spriteset_mglv_Wagon_Gen7M_Hopper_Type1_Ore_L3_S1</t>
  </si>
  <si>
    <t>spriteset_mglv_Wagon_Gen7M_Hopper_Type1_Ore_L2_S3</t>
  </si>
  <si>
    <t>spriteset_mglv_Wagon_Gen7M_Hopper_Type1_Ore_L2_S2</t>
  </si>
  <si>
    <t>spriteset_mglv_Wagon_Gen7M_Hopper_Type1_Ore_L2_S1</t>
  </si>
  <si>
    <t>spriteset_mglv_Wagon_Gen7M_Hopper_Type1_Ore_L1_S3</t>
  </si>
  <si>
    <t>spriteset_mglv_Wagon_Gen7M_Hopper_Type1_Ore_L1_S2</t>
  </si>
  <si>
    <t>spriteset_mglv_Wagon_Gen7M_Hopper_Type1_Ore_L1_S1</t>
  </si>
  <si>
    <t>spriteset_mglv_Wagon_Gen7M_Hopper_Type1_Coal_L4_S3</t>
  </si>
  <si>
    <t>spriteset_mglv_Wagon_Gen7M_Hopper_Type1_Coal_L4_S2</t>
  </si>
  <si>
    <t>spriteset_mglv_Wagon_Gen7M_Hopper_Type1_Coal_L4_S1</t>
  </si>
  <si>
    <t>spriteset_mglv_Wagon_Gen7M_Hopper_Type1_Coal_L3_S3</t>
  </si>
  <si>
    <t>spriteset_mglv_Wagon_Gen7M_Hopper_Type1_Coal_L3_S2</t>
  </si>
  <si>
    <t>spriteset_mglv_Wagon_Gen7M_Hopper_Type1_Coal_L3_S1</t>
  </si>
  <si>
    <t>spriteset_mglv_Wagon_Gen7M_Hopper_Type1_Coal_L2_S3</t>
  </si>
  <si>
    <t>spriteset_mglv_Wagon_Gen7M_Hopper_Type1_Coal_L2_S2</t>
  </si>
  <si>
    <t>spriteset_mglv_Wagon_Gen7M_Hopper_Type1_Coal_L2_S1</t>
  </si>
  <si>
    <t>spriteset_mglv_Wagon_Gen7M_Hopper_Type1_Coal_L1_S3</t>
  </si>
  <si>
    <t>spriteset_mglv_Wagon_Gen7M_Hopper_Type1_Coal_L1_S2</t>
  </si>
  <si>
    <t>spriteset_mglv_Wagon_Gen7M_Hopper_Type1_Coal_L1_S1</t>
  </si>
  <si>
    <t>spriteset_mglv_Wagon_Gen7M_Hopper_Type1_purchase</t>
  </si>
  <si>
    <t>switch_mglv_Wagon_Gen7M_Heavy_Flatcar_cargo_selection</t>
  </si>
  <si>
    <t>switch_mglv_Wagon_Gen7M_Heavy_Flatcar_Supplies_livery</t>
  </si>
  <si>
    <t>switch_mglv_Wagon_Gen7M_Heavy_Flatcar_Goods_livery</t>
  </si>
  <si>
    <t>switch_mglv_Wagon_Gen7M_Heavy_Flatcar_YETI_livery</t>
  </si>
  <si>
    <t>switch_mglv_Wagon_Gen7M_Heavy_Flatcar_Steel_livery</t>
  </si>
  <si>
    <t>switch_mglv_Wagon_Gen7M_Heavy_Flatcar_Machinery_livery</t>
  </si>
  <si>
    <t>switch_mglv_Wagon_Gen7M_Heavy_Flatcar_Cars_livery</t>
  </si>
  <si>
    <t>switch_mglv_Wagon_Gen7M_Heavy_Flatcar_Crates_livery</t>
  </si>
  <si>
    <t>spriteset_mglv_Wagon_Gen7M_Heavy_Flatcar_YETI_L4_S3</t>
  </si>
  <si>
    <t>spriteset_mglv_Wagon_Gen7M_Heavy_Flatcar_YETI_L4_S2</t>
  </si>
  <si>
    <t>spriteset_mglv_Wagon_Gen7M_Heavy_Flatcar_YETI_L4_S1</t>
  </si>
  <si>
    <t>spriteset_mglv_Wagon_Gen7M_Heavy_Flatcar_YETI_L3_S3</t>
  </si>
  <si>
    <t>spriteset_mglv_Wagon_Gen7M_Heavy_Flatcar_YETI_L3_S2</t>
  </si>
  <si>
    <t>spriteset_mglv_Wagon_Gen7M_Heavy_Flatcar_YETI_L3_S1</t>
  </si>
  <si>
    <t>spriteset_mglv_Wagon_Gen7M_Heavy_Flatcar_YETI_L2_S3</t>
  </si>
  <si>
    <t>spriteset_mglv_Wagon_Gen7M_Heavy_Flatcar_YETI_L2_S2</t>
  </si>
  <si>
    <t>spriteset_mglv_Wagon_Gen7M_Heavy_Flatcar_YETI_L2_S1</t>
  </si>
  <si>
    <t>spriteset_mglv_Wagon_Gen7M_Heavy_Flatcar_YETI_L1_S3</t>
  </si>
  <si>
    <t>spriteset_mglv_Wagon_Gen7M_Heavy_Flatcar_YETI_L1_S2</t>
  </si>
  <si>
    <t>spriteset_mglv_Wagon_Gen7M_Heavy_Flatcar_YETI_L1_S1</t>
  </si>
  <si>
    <t>spriteset_mglv_Wagon_Gen7M_Heavy_Flatcar_Steel_L4_S3</t>
  </si>
  <si>
    <t>spriteset_mglv_Wagon_Gen7M_Heavy_Flatcar_Steel_L4_S2</t>
  </si>
  <si>
    <t>spriteset_mglv_Wagon_Gen7M_Heavy_Flatcar_Steel_L4_S1</t>
  </si>
  <si>
    <t>spriteset_mglv_Wagon_Gen7M_Heavy_Flatcar_Steel_L3_S3</t>
  </si>
  <si>
    <t>spriteset_mglv_Wagon_Gen7M_Heavy_Flatcar_Steel_L3_S2</t>
  </si>
  <si>
    <t>spriteset_mglv_Wagon_Gen7M_Heavy_Flatcar_Steel_L3_S1</t>
  </si>
  <si>
    <t>spriteset_mglv_Wagon_Gen7M_Heavy_Flatcar_Steel_L2_S3</t>
  </si>
  <si>
    <t>spriteset_mglv_Wagon_Gen7M_Heavy_Flatcar_Steel_L2_S2</t>
  </si>
  <si>
    <t>spriteset_mglv_Wagon_Gen7M_Heavy_Flatcar_Steel_L2_S1</t>
  </si>
  <si>
    <t>spriteset_mglv_Wagon_Gen7M_Heavy_Flatcar_Steel_L1_S3</t>
  </si>
  <si>
    <t>spriteset_mglv_Wagon_Gen7M_Heavy_Flatcar_Steel_L1_S2</t>
  </si>
  <si>
    <t>spriteset_mglv_Wagon_Gen7M_Heavy_Flatcar_Steel_L1_S1</t>
  </si>
  <si>
    <t>spriteset_mglv_Wagon_Gen7M_Heavy_Flatcar_Machinery_L4_S3</t>
  </si>
  <si>
    <t>spriteset_mglv_Wagon_Gen7M_Heavy_Flatcar_Machinery_L4_S2</t>
  </si>
  <si>
    <t>spriteset_mglv_Wagon_Gen7M_Heavy_Flatcar_Machinery_L4_S1</t>
  </si>
  <si>
    <t>spriteset_mglv_Wagon_Gen7M_Heavy_Flatcar_Machinery_L3_S3</t>
  </si>
  <si>
    <t>spriteset_mglv_Wagon_Gen7M_Heavy_Flatcar_Machinery_L3_S2</t>
  </si>
  <si>
    <t>spriteset_mglv_Wagon_Gen7M_Heavy_Flatcar_Machinery_L3_S1</t>
  </si>
  <si>
    <t>spriteset_mglv_Wagon_Gen7M_Heavy_Flatcar_Machinery_L2_S3</t>
  </si>
  <si>
    <t>spriteset_mglv_Wagon_Gen7M_Heavy_Flatcar_Machinery_L2_S2</t>
  </si>
  <si>
    <t>spriteset_mglv_Wagon_Gen7M_Heavy_Flatcar_Machinery_L2_S1</t>
  </si>
  <si>
    <t>spriteset_mglv_Wagon_Gen7M_Heavy_Flatcar_Machinery_L1_S3</t>
  </si>
  <si>
    <t>spriteset_mglv_Wagon_Gen7M_Heavy_Flatcar_Machinery_L1_S2</t>
  </si>
  <si>
    <t>spriteset_mglv_Wagon_Gen7M_Heavy_Flatcar_Machinery_L1_S1</t>
  </si>
  <si>
    <t>spriteset_mglv_Wagon_Gen7M_Heavy_Flatcar_Cars_L4_S3</t>
  </si>
  <si>
    <t>spriteset_mglv_Wagon_Gen7M_Heavy_Flatcar_Cars_L4_S2</t>
  </si>
  <si>
    <t>spriteset_mglv_Wagon_Gen7M_Heavy_Flatcar_Cars_L4_S1</t>
  </si>
  <si>
    <t>spriteset_mglv_Wagon_Gen7M_Heavy_Flatcar_Cars_L3_S3</t>
  </si>
  <si>
    <t>spriteset_mglv_Wagon_Gen7M_Heavy_Flatcar_Cars_L3_S2</t>
  </si>
  <si>
    <t>spriteset_mglv_Wagon_Gen7M_Heavy_Flatcar_Cars_L3_S1</t>
  </si>
  <si>
    <t>spriteset_mglv_Wagon_Gen7M_Heavy_Flatcar_Cars_L2_S3</t>
  </si>
  <si>
    <t>spriteset_mglv_Wagon_Gen7M_Heavy_Flatcar_Cars_L2_S2</t>
  </si>
  <si>
    <t>spriteset_mglv_Wagon_Gen7M_Heavy_Flatcar_Cars_L2_S1</t>
  </si>
  <si>
    <t>spriteset_mglv_Wagon_Gen7M_Heavy_Flatcar_Cars_L1_S3</t>
  </si>
  <si>
    <t>spriteset_mglv_Wagon_Gen7M_Heavy_Flatcar_Cars_L1_S2</t>
  </si>
  <si>
    <t>spriteset_mglv_Wagon_Gen7M_Heavy_Flatcar_Cars_L1_S1</t>
  </si>
  <si>
    <t>spriteset_mglv_Wagon_Gen7M_Heavy_Flatcar_Crates_L4_S3</t>
  </si>
  <si>
    <t>spriteset_mglv_Wagon_Gen7M_Heavy_Flatcar_Crates_L4_S2</t>
  </si>
  <si>
    <t>spriteset_mglv_Wagon_Gen7M_Heavy_Flatcar_Crates_L4_S1</t>
  </si>
  <si>
    <t>spriteset_mglv_Wagon_Gen7M_Heavy_Flatcar_Crates_L3_S3</t>
  </si>
  <si>
    <t>spriteset_mglv_Wagon_Gen7M_Heavy_Flatcar_Crates_L3_S2</t>
  </si>
  <si>
    <t>spriteset_mglv_Wagon_Gen7M_Heavy_Flatcar_Crates_L3_S1</t>
  </si>
  <si>
    <t>spriteset_mglv_Wagon_Gen7M_Heavy_Flatcar_Crates_L2_S3</t>
  </si>
  <si>
    <t>spriteset_mglv_Wagon_Gen7M_Heavy_Flatcar_Crates_L2_S2</t>
  </si>
  <si>
    <t>spriteset_mglv_Wagon_Gen7M_Heavy_Flatcar_Crates_L2_S1</t>
  </si>
  <si>
    <t>spriteset_mglv_Wagon_Gen7M_Heavy_Flatcar_Crates_L1_S3</t>
  </si>
  <si>
    <t>spriteset_mglv_Wagon_Gen7M_Heavy_Flatcar_Crates_L1_S2</t>
  </si>
  <si>
    <t>spriteset_mglv_Wagon_Gen7M_Heavy_Flatcar_Crates_L1_S1</t>
  </si>
  <si>
    <t>spriteset_mglv_Wagon_Gen7M_Heavy_Flatcar_purchase</t>
  </si>
  <si>
    <t>switch_mglv_Wagon_Gen7M_Gondola_cargo_selection</t>
  </si>
  <si>
    <t>switch_mglv_Wagon_Gen7M_Gondola_Gray_livery</t>
  </si>
  <si>
    <t>switch_mglv_Wagon_Gen7M_Gondola_Sand_livery</t>
  </si>
  <si>
    <t>switch_mglv_Wagon_Gen7M_Gondola_Wood_livery</t>
  </si>
  <si>
    <t>switch_mglv_Wagon_Gen7M_Gondola_Ore_livery</t>
  </si>
  <si>
    <t>switch_mglv_Wagon_Gen7M_Gondola_Grain_livery</t>
  </si>
  <si>
    <t>switch_mglv_Wagon_Gen7M_Gondola_Coal_livery</t>
  </si>
  <si>
    <t>spriteset_mglv_Wagon_Gen7M_Gondola_Gray_L4_S3</t>
  </si>
  <si>
    <t>spriteset_mglv_Wagon_Gen7M_Gondola_Gray_L4_S2</t>
  </si>
  <si>
    <t>spriteset_mglv_Wagon_Gen7M_Gondola_Gray_L4_S1</t>
  </si>
  <si>
    <t>spriteset_mglv_Wagon_Gen7M_Gondola_Gray_L3_S3</t>
  </si>
  <si>
    <t>spriteset_mglv_Wagon_Gen7M_Gondola_Gray_L3_S2</t>
  </si>
  <si>
    <t>spriteset_mglv_Wagon_Gen7M_Gondola_Gray_L3_S1</t>
  </si>
  <si>
    <t>spriteset_mglv_Wagon_Gen7M_Gondola_Gray_L2_S3</t>
  </si>
  <si>
    <t>spriteset_mglv_Wagon_Gen7M_Gondola_Gray_L2_S2</t>
  </si>
  <si>
    <t>spriteset_mglv_Wagon_Gen7M_Gondola_Gray_L2_S1</t>
  </si>
  <si>
    <t>spriteset_mglv_Wagon_Gen7M_Gondola_Gray_L1_S3</t>
  </si>
  <si>
    <t>spriteset_mglv_Wagon_Gen7M_Gondola_Gray_L1_S2</t>
  </si>
  <si>
    <t>spriteset_mglv_Wagon_Gen7M_Gondola_Gray_L1_S1</t>
  </si>
  <si>
    <t>spriteset_mglv_Wagon_Gen7M_Gondola_Sand_L4_S3</t>
  </si>
  <si>
    <t>spriteset_mglv_Wagon_Gen7M_Gondola_Sand_L4_S2</t>
  </si>
  <si>
    <t>spriteset_mglv_Wagon_Gen7M_Gondola_Sand_L4_S1</t>
  </si>
  <si>
    <t>spriteset_mglv_Wagon_Gen7M_Gondola_Sand_L3_S3</t>
  </si>
  <si>
    <t>spriteset_mglv_Wagon_Gen7M_Gondola_Sand_L3_S2</t>
  </si>
  <si>
    <t>spriteset_mglv_Wagon_Gen7M_Gondola_Sand_L3_S1</t>
  </si>
  <si>
    <t>spriteset_mglv_Wagon_Gen7M_Gondola_Sand_L2_S3</t>
  </si>
  <si>
    <t>spriteset_mglv_Wagon_Gen7M_Gondola_Sand_L2_S2</t>
  </si>
  <si>
    <t>spriteset_mglv_Wagon_Gen7M_Gondola_Sand_L2_S1</t>
  </si>
  <si>
    <t>spriteset_mglv_Wagon_Gen7M_Gondola_Sand_L1_S3</t>
  </si>
  <si>
    <t>spriteset_mglv_Wagon_Gen7M_Gondola_Sand_L1_S2</t>
  </si>
  <si>
    <t>spriteset_mglv_Wagon_Gen7M_Gondola_Sand_L1_S1</t>
  </si>
  <si>
    <t>spriteset_mglv_Wagon_Gen7M_Gondola_Wood_L4_S3</t>
  </si>
  <si>
    <t>spriteset_mglv_Wagon_Gen7M_Gondola_Wood_L4_S2</t>
  </si>
  <si>
    <t>spriteset_mglv_Wagon_Gen7M_Gondola_Wood_L4_S1</t>
  </si>
  <si>
    <t>spriteset_mglv_Wagon_Gen7M_Gondola_Wood_L3_S3</t>
  </si>
  <si>
    <t>spriteset_mglv_Wagon_Gen7M_Gondola_Wood_L3_S2</t>
  </si>
  <si>
    <t>spriteset_mglv_Wagon_Gen7M_Gondola_Wood_L3_S1</t>
  </si>
  <si>
    <t>spriteset_mglv_Wagon_Gen7M_Gondola_Wood_L2_S3</t>
  </si>
  <si>
    <t>spriteset_mglv_Wagon_Gen7M_Gondola_Wood_L2_S2</t>
  </si>
  <si>
    <t>spriteset_mglv_Wagon_Gen7M_Gondola_Wood_L2_S1</t>
  </si>
  <si>
    <t>spriteset_mglv_Wagon_Gen7M_Gondola_Wood_L1_S3</t>
  </si>
  <si>
    <t>spriteset_mglv_Wagon_Gen7M_Gondola_Wood_L1_S2</t>
  </si>
  <si>
    <t>spriteset_mglv_Wagon_Gen7M_Gondola_Wood_L1_S1</t>
  </si>
  <si>
    <t>spriteset_mglv_Wagon_Gen7M_Gondola_Ore_L4_S3</t>
  </si>
  <si>
    <t>spriteset_mglv_Wagon_Gen7M_Gondola_Ore_L4_S2</t>
  </si>
  <si>
    <t>spriteset_mglv_Wagon_Gen7M_Gondola_Ore_L4_S1</t>
  </si>
  <si>
    <t>spriteset_mglv_Wagon_Gen7M_Gondola_Ore_L3_S3</t>
  </si>
  <si>
    <t>spriteset_mglv_Wagon_Gen7M_Gondola_Ore_L3_S2</t>
  </si>
  <si>
    <t>spriteset_mglv_Wagon_Gen7M_Gondola_Ore_L3_S1</t>
  </si>
  <si>
    <t>spriteset_mglv_Wagon_Gen7M_Gondola_Ore_L2_S3</t>
  </si>
  <si>
    <t>spriteset_mglv_Wagon_Gen7M_Gondola_Ore_L2_S2</t>
  </si>
  <si>
    <t>spriteset_mglv_Wagon_Gen7M_Gondola_Ore_L2_S1</t>
  </si>
  <si>
    <t>spriteset_mglv_Wagon_Gen7M_Gondola_Ore_L1_S3</t>
  </si>
  <si>
    <t>spriteset_mglv_Wagon_Gen7M_Gondola_Ore_L1_S2</t>
  </si>
  <si>
    <t>spriteset_mglv_Wagon_Gen7M_Gondola_Ore_L1_S1</t>
  </si>
  <si>
    <t>spriteset_mglv_Wagon_Gen7M_Gondola_Grain_L4_S4</t>
  </si>
  <si>
    <t>spriteset_mglv_Wagon_Gen7M_Gondola_Grain_L4_S3</t>
  </si>
  <si>
    <t>spriteset_mglv_Wagon_Gen7M_Gondola_Grain_L4_S2</t>
  </si>
  <si>
    <t>spriteset_mglv_Wagon_Gen7M_Gondola_Grain_L4_S1</t>
  </si>
  <si>
    <t>spriteset_mglv_Wagon_Gen7M_Gondola_Grain_L3_S4</t>
  </si>
  <si>
    <t>spriteset_mglv_Wagon_Gen7M_Gondola_Grain_L3_S3</t>
  </si>
  <si>
    <t>spriteset_mglv_Wagon_Gen7M_Gondola_Grain_L3_S2</t>
  </si>
  <si>
    <t>spriteset_mglv_Wagon_Gen7M_Gondola_Grain_L3_S1</t>
  </si>
  <si>
    <t>spriteset_mglv_Wagon_Gen7M_Gondola_Grain_L2_S4</t>
  </si>
  <si>
    <t>spriteset_mglv_Wagon_Gen7M_Gondola_Grain_L2_S3</t>
  </si>
  <si>
    <t>spriteset_mglv_Wagon_Gen7M_Gondola_Grain_L2_S2</t>
  </si>
  <si>
    <t>spriteset_mglv_Wagon_Gen7M_Gondola_Grain_L2_S1</t>
  </si>
  <si>
    <t>spriteset_mglv_Wagon_Gen7M_Gondola_Grain_L1_S4</t>
  </si>
  <si>
    <t>spriteset_mglv_Wagon_Gen7M_Gondola_Grain_L1_S3</t>
  </si>
  <si>
    <t>spriteset_mglv_Wagon_Gen7M_Gondola_Grain_L1_S2</t>
  </si>
  <si>
    <t>spriteset_mglv_Wagon_Gen7M_Gondola_Grain_L1_S1</t>
  </si>
  <si>
    <t>spriteset_mglv_Wagon_Gen7M_Gondola_Coal_L4_S3</t>
  </si>
  <si>
    <t>spriteset_mglv_Wagon_Gen7M_Gondola_Coal_L4_S2</t>
  </si>
  <si>
    <t>spriteset_mglv_Wagon_Gen7M_Gondola_Coal_L4_S1</t>
  </si>
  <si>
    <t>spriteset_mglv_Wagon_Gen7M_Gondola_Coal_L3_S3</t>
  </si>
  <si>
    <t>spriteset_mglv_Wagon_Gen7M_Gondola_Coal_L3_S2</t>
  </si>
  <si>
    <t>spriteset_mglv_Wagon_Gen7M_Gondola_Coal_L3_S1</t>
  </si>
  <si>
    <t>spriteset_mglv_Wagon_Gen7M_Gondola_Coal_L2_S3</t>
  </si>
  <si>
    <t>spriteset_mglv_Wagon_Gen7M_Gondola_Coal_L2_S2</t>
  </si>
  <si>
    <t>spriteset_mglv_Wagon_Gen7M_Gondola_Coal_L2_S1</t>
  </si>
  <si>
    <t>spriteset_mglv_Wagon_Gen7M_Gondola_Coal_L1_S3</t>
  </si>
  <si>
    <t>spriteset_mglv_Wagon_Gen7M_Gondola_Coal_L1_S2</t>
  </si>
  <si>
    <t>spriteset_mglv_Wagon_Gen7M_Gondola_Coal_L1_S1</t>
  </si>
  <si>
    <t>spriteset_mglv_Wagon_Gen7M_Gondola_purchase</t>
  </si>
  <si>
    <t>switch_mglv_Wagon_Gen7M_Flatcar_cargo_selection</t>
  </si>
  <si>
    <t>switch_mglv_Wagon_Gen7M_Flatcar_Building_Materials_livery</t>
  </si>
  <si>
    <t>switch_mglv_Wagon_Gen7M_Flatcar_Goods_livery</t>
  </si>
  <si>
    <t>switch_mglv_Wagon_Gen7M_Flatcar_YETI_livery</t>
  </si>
  <si>
    <t>switch_mglv_Wagon_Gen7M_Flatcar_Machinery_livery</t>
  </si>
  <si>
    <t>switch_mglv_Wagon_Gen7M_Flatcar_Wood_livery</t>
  </si>
  <si>
    <t>switch_mglv_Wagon_Gen7M_Flatcar_Steel_livery</t>
  </si>
  <si>
    <t>switch_mglv_Wagon_Gen7M_Flatcar_Planks_livery</t>
  </si>
  <si>
    <t>switch_mglv_Wagon_Gen7M_Flatcar_Crates_livery</t>
  </si>
  <si>
    <t>spriteset_mglv_Wagon_Gen7M_Flatcar_YETI_L4_S3</t>
  </si>
  <si>
    <t>spriteset_mglv_Wagon_Gen7M_Flatcar_YETI_L4_S2</t>
  </si>
  <si>
    <t>spriteset_mglv_Wagon_Gen7M_Flatcar_YETI_L4_S1</t>
  </si>
  <si>
    <t>spriteset_mglv_Wagon_Gen7M_Flatcar_YETI_L3_S3</t>
  </si>
  <si>
    <t>spriteset_mglv_Wagon_Gen7M_Flatcar_YETI_L3_S2</t>
  </si>
  <si>
    <t>spriteset_mglv_Wagon_Gen7M_Flatcar_YETI_L3_S1</t>
  </si>
  <si>
    <t>spriteset_mglv_Wagon_Gen7M_Flatcar_YETI_L2_S3</t>
  </si>
  <si>
    <t>spriteset_mglv_Wagon_Gen7M_Flatcar_YETI_L2_S2</t>
  </si>
  <si>
    <t>spriteset_mglv_Wagon_Gen7M_Flatcar_YETI_L2_S1</t>
  </si>
  <si>
    <t>spriteset_mglv_Wagon_Gen7M_Flatcar_YETI_L1_S3</t>
  </si>
  <si>
    <t>spriteset_mglv_Wagon_Gen7M_Flatcar_YETI_L1_S2</t>
  </si>
  <si>
    <t>spriteset_mglv_Wagon_Gen7M_Flatcar_YETI_L1_S1</t>
  </si>
  <si>
    <t>spriteset_mglv_Wagon_Gen7M_Flatcar_Machinery_L4_S3</t>
  </si>
  <si>
    <t>spriteset_mglv_Wagon_Gen7M_Flatcar_Machinery_L4_S2</t>
  </si>
  <si>
    <t>spriteset_mglv_Wagon_Gen7M_Flatcar_Machinery_L4_S1</t>
  </si>
  <si>
    <t>spriteset_mglv_Wagon_Gen7M_Flatcar_Machinery_L3_S3</t>
  </si>
  <si>
    <t>spriteset_mglv_Wagon_Gen7M_Flatcar_Machinery_L3_S2</t>
  </si>
  <si>
    <t>spriteset_mglv_Wagon_Gen7M_Flatcar_Machinery_L3_S1</t>
  </si>
  <si>
    <t>spriteset_mglv_Wagon_Gen7M_Flatcar_Machinery_L2_S3</t>
  </si>
  <si>
    <t>spriteset_mglv_Wagon_Gen7M_Flatcar_Machinery_L2_S2</t>
  </si>
  <si>
    <t>spriteset_mglv_Wagon_Gen7M_Flatcar_Machinery_L2_S1</t>
  </si>
  <si>
    <t>spriteset_mglv_Wagon_Gen7M_Flatcar_Machinery_L1_S3</t>
  </si>
  <si>
    <t>spriteset_mglv_Wagon_Gen7M_Flatcar_Machinery_L1_S2</t>
  </si>
  <si>
    <t>spriteset_mglv_Wagon_Gen7M_Flatcar_Machinery_L1_S1</t>
  </si>
  <si>
    <t>spriteset_mglv_Wagon_Gen7M_Flatcar_Wood_L4_S3</t>
  </si>
  <si>
    <t>spriteset_mglv_Wagon_Gen7M_Flatcar_Wood_L4_S2</t>
  </si>
  <si>
    <t>spriteset_mglv_Wagon_Gen7M_Flatcar_Wood_L4_S1</t>
  </si>
  <si>
    <t>spriteset_mglv_Wagon_Gen7M_Flatcar_Wood_L3_S3</t>
  </si>
  <si>
    <t>spriteset_mglv_Wagon_Gen7M_Flatcar_Wood_L3_S2</t>
  </si>
  <si>
    <t>spriteset_mglv_Wagon_Gen7M_Flatcar_Wood_L3_S1</t>
  </si>
  <si>
    <t>spriteset_mglv_Wagon_Gen7M_Flatcar_Wood_L2_S3</t>
  </si>
  <si>
    <t>spriteset_mglv_Wagon_Gen7M_Flatcar_Wood_L2_S2</t>
  </si>
  <si>
    <t>spriteset_mglv_Wagon_Gen7M_Flatcar_Wood_L2_S1</t>
  </si>
  <si>
    <t>spriteset_mglv_Wagon_Gen7M_Flatcar_Wood_L1_S3</t>
  </si>
  <si>
    <t>spriteset_mglv_Wagon_Gen7M_Flatcar_Wood_L1_S2</t>
  </si>
  <si>
    <t>spriteset_mglv_Wagon_Gen7M_Flatcar_Wood_L1_S1</t>
  </si>
  <si>
    <t>spriteset_mglv_Wagon_Gen7M_Flatcar_Steel_L4_S3</t>
  </si>
  <si>
    <t>spriteset_mglv_Wagon_Gen7M_Flatcar_Steel_L4_S2</t>
  </si>
  <si>
    <t>spriteset_mglv_Wagon_Gen7M_Flatcar_Steel_L4_S1</t>
  </si>
  <si>
    <t>spriteset_mglv_Wagon_Gen7M_Flatcar_Steel_L3_S3</t>
  </si>
  <si>
    <t>spriteset_mglv_Wagon_Gen7M_Flatcar_Steel_L3_S2</t>
  </si>
  <si>
    <t>spriteset_mglv_Wagon_Gen7M_Flatcar_Steel_L3_S1</t>
  </si>
  <si>
    <t>spriteset_mglv_Wagon_Gen7M_Flatcar_Steel_L2_S3</t>
  </si>
  <si>
    <t>spriteset_mglv_Wagon_Gen7M_Flatcar_Steel_L2_S2</t>
  </si>
  <si>
    <t>spriteset_mglv_Wagon_Gen7M_Flatcar_Steel_L2_S1</t>
  </si>
  <si>
    <t>spriteset_mglv_Wagon_Gen7M_Flatcar_Steel_L1_S3</t>
  </si>
  <si>
    <t>spriteset_mglv_Wagon_Gen7M_Flatcar_Steel_L1_S2</t>
  </si>
  <si>
    <t>spriteset_mglv_Wagon_Gen7M_Flatcar_Steel_L1_S1</t>
  </si>
  <si>
    <t>spriteset_mglv_Wagon_Gen7M_Flatcar_Planks_L4_S3</t>
  </si>
  <si>
    <t>spriteset_mglv_Wagon_Gen7M_Flatcar_Planks_L4_S2</t>
  </si>
  <si>
    <t>spriteset_mglv_Wagon_Gen7M_Flatcar_Planks_L4_S1</t>
  </si>
  <si>
    <t>spriteset_mglv_Wagon_Gen7M_Flatcar_Planks_L3_S3</t>
  </si>
  <si>
    <t>spriteset_mglv_Wagon_Gen7M_Flatcar_Planks_L3_S2</t>
  </si>
  <si>
    <t>spriteset_mglv_Wagon_Gen7M_Flatcar_Planks_L3_S1</t>
  </si>
  <si>
    <t>spriteset_mglv_Wagon_Gen7M_Flatcar_Planks_L2_S3</t>
  </si>
  <si>
    <t>spriteset_mglv_Wagon_Gen7M_Flatcar_Planks_L2_S2</t>
  </si>
  <si>
    <t>spriteset_mglv_Wagon_Gen7M_Flatcar_Planks_L2_S1</t>
  </si>
  <si>
    <t>spriteset_mglv_Wagon_Gen7M_Flatcar_Planks_L1_S3</t>
  </si>
  <si>
    <t>spriteset_mglv_Wagon_Gen7M_Flatcar_Planks_L1_S2</t>
  </si>
  <si>
    <t>spriteset_mglv_Wagon_Gen7M_Flatcar_Planks_L1_S1</t>
  </si>
  <si>
    <t>spriteset_mglv_Wagon_Gen7M_Flatcar_Crates_L4_S3</t>
  </si>
  <si>
    <t>spriteset_mglv_Wagon_Gen7M_Flatcar_Crates_L4_S2</t>
  </si>
  <si>
    <t>spriteset_mglv_Wagon_Gen7M_Flatcar_Crates_L4_S1</t>
  </si>
  <si>
    <t>spriteset_mglv_Wagon_Gen7M_Flatcar_Crates_L3_S3</t>
  </si>
  <si>
    <t>spriteset_mglv_Wagon_Gen7M_Flatcar_Crates_L3_S2</t>
  </si>
  <si>
    <t>spriteset_mglv_Wagon_Gen7M_Flatcar_Crates_L3_S1</t>
  </si>
  <si>
    <t>spriteset_mglv_Wagon_Gen7M_Flatcar_Crates_L2_S3</t>
  </si>
  <si>
    <t>spriteset_mglv_Wagon_Gen7M_Flatcar_Crates_L2_S2</t>
  </si>
  <si>
    <t>spriteset_mglv_Wagon_Gen7M_Flatcar_Crates_L2_S1</t>
  </si>
  <si>
    <t>spriteset_mglv_Wagon_Gen7M_Flatcar_Crates_L1_S3</t>
  </si>
  <si>
    <t>spriteset_mglv_Wagon_Gen7M_Flatcar_Crates_L1_S2</t>
  </si>
  <si>
    <t>spriteset_mglv_Wagon_Gen7M_Flatcar_Crates_L1_S1</t>
  </si>
  <si>
    <t>spriteset_mglv_Wagon_Gen7M_Flatcar_purchase</t>
  </si>
  <si>
    <t>switch_mglv_Wagon_Gen7M_Container_Doublestack_cargo_selection</t>
  </si>
  <si>
    <t>switch_mglv_Wagon_Gen7M_Container_Doublestack_Goods_livery</t>
  </si>
  <si>
    <t>switch_mglv_Wagon_Gen7M_Container_Doublestack_Refrigerated_livery</t>
  </si>
  <si>
    <t>switch_mglv_Wagon_Gen7M_Container_Doublestack_Container_livery</t>
  </si>
  <si>
    <t>spriteset_mglv_Wagon_Gen7M_Container_Doublestack_Refrigerated_L4_S3</t>
  </si>
  <si>
    <t>spriteset_mglv_Wagon_Gen7M_Container_Doublestack_Refrigerated_L4_S2</t>
  </si>
  <si>
    <t>spriteset_mglv_Wagon_Gen7M_Container_Doublestack_Refrigerated_L4_S1</t>
  </si>
  <si>
    <t>spriteset_mglv_Wagon_Gen7M_Container_Doublestack_Refrigerated_L3_S3</t>
  </si>
  <si>
    <t>spriteset_mglv_Wagon_Gen7M_Container_Doublestack_Refrigerated_L3_S2</t>
  </si>
  <si>
    <t>spriteset_mglv_Wagon_Gen7M_Container_Doublestack_Refrigerated_L3_S1</t>
  </si>
  <si>
    <t>spriteset_mglv_Wagon_Gen7M_Container_Doublestack_Refrigerated_L2_S3</t>
  </si>
  <si>
    <t>spriteset_mglv_Wagon_Gen7M_Container_Doublestack_Refrigerated_L2_S2</t>
  </si>
  <si>
    <t>spriteset_mglv_Wagon_Gen7M_Container_Doublestack_Refrigerated_L2_S1</t>
  </si>
  <si>
    <t>spriteset_mglv_Wagon_Gen7M_Container_Doublestack_Refrigerated_L1_S3</t>
  </si>
  <si>
    <t>spriteset_mglv_Wagon_Gen7M_Container_Doublestack_Refrigerated_L1_S2</t>
  </si>
  <si>
    <t>spriteset_mglv_Wagon_Gen7M_Container_Doublestack_Refrigerated_L1_S1</t>
  </si>
  <si>
    <t>spriteset_mglv_Wagon_Gen7M_Container_Doublestack_Container_L4_S3</t>
  </si>
  <si>
    <t>spriteset_mglv_Wagon_Gen7M_Container_Doublestack_Container_L4_S2</t>
  </si>
  <si>
    <t>spriteset_mglv_Wagon_Gen7M_Container_Doublestack_Container_L4_S1</t>
  </si>
  <si>
    <t>spriteset_mglv_Wagon_Gen7M_Container_Doublestack_Container_L3_S3</t>
  </si>
  <si>
    <t>spriteset_mglv_Wagon_Gen7M_Container_Doublestack_Container_L3_S2</t>
  </si>
  <si>
    <t>spriteset_mglv_Wagon_Gen7M_Container_Doublestack_Container_L3_S1</t>
  </si>
  <si>
    <t>spriteset_mglv_Wagon_Gen7M_Container_Doublestack_Container_L2_S3</t>
  </si>
  <si>
    <t>spriteset_mglv_Wagon_Gen7M_Container_Doublestack_Container_L2_S2</t>
  </si>
  <si>
    <t>spriteset_mglv_Wagon_Gen7M_Container_Doublestack_Container_L2_S1</t>
  </si>
  <si>
    <t>spriteset_mglv_Wagon_Gen7M_Container_Doublestack_Container_L1_S3</t>
  </si>
  <si>
    <t>spriteset_mglv_Wagon_Gen7M_Container_Doublestack_Container_L1_S2</t>
  </si>
  <si>
    <t>spriteset_mglv_Wagon_Gen7M_Container_Doublestack_Container_L1_S1</t>
  </si>
  <si>
    <t>spriteset_mglv_Wagon_Gen7M_Container_Doublestack_purchase</t>
  </si>
  <si>
    <t>switch_mglv_Wagon_Gen7M_Container_Carrier_cargo_selection</t>
  </si>
  <si>
    <t>switch_mglv_Wagon_Gen7M_Container_Carrier_Goods_livery</t>
  </si>
  <si>
    <t>switch_mglv_Wagon_Gen7M_Container_Carrier_Tanktainer_livery</t>
  </si>
  <si>
    <t>switch_mglv_Wagon_Gen7M_Container_Carrier_Refrigerated_livery</t>
  </si>
  <si>
    <t>switch_mglv_Wagon_Gen7M_Container_Carrier_Container_livery</t>
  </si>
  <si>
    <t>spriteset_mglv_Wagon_Gen7M_Container_Carrier_Tanktainer_L4_S3</t>
  </si>
  <si>
    <t>spriteset_mglv_Wagon_Gen7M_Container_Carrier_Tanktainer_L4_S2</t>
  </si>
  <si>
    <t>spriteset_mglv_Wagon_Gen7M_Container_Carrier_Tanktainer_L4_S1</t>
  </si>
  <si>
    <t>spriteset_mglv_Wagon_Gen7M_Container_Carrier_Tanktainer_L3_S3</t>
  </si>
  <si>
    <t>spriteset_mglv_Wagon_Gen7M_Container_Carrier_Tanktainer_L3_S2</t>
  </si>
  <si>
    <t>spriteset_mglv_Wagon_Gen7M_Container_Carrier_Tanktainer_L3_S1</t>
  </si>
  <si>
    <t>spriteset_mglv_Wagon_Gen7M_Container_Carrier_Tanktainer_L2_S3</t>
  </si>
  <si>
    <t>spriteset_mglv_Wagon_Gen7M_Container_Carrier_Tanktainer_L2_S2</t>
  </si>
  <si>
    <t>spriteset_mglv_Wagon_Gen7M_Container_Carrier_Tanktainer_L2_S1</t>
  </si>
  <si>
    <t>spriteset_mglv_Wagon_Gen7M_Container_Carrier_Tanktainer_L1_S3</t>
  </si>
  <si>
    <t>spriteset_mglv_Wagon_Gen7M_Container_Carrier_Tanktainer_L1_S2</t>
  </si>
  <si>
    <t>spriteset_mglv_Wagon_Gen7M_Container_Carrier_Tanktainer_L1_S1</t>
  </si>
  <si>
    <t>spriteset_mglv_Wagon_Gen7M_Container_Carrier_Refrigerated_L4_S3</t>
  </si>
  <si>
    <t>spriteset_mglv_Wagon_Gen7M_Container_Carrier_Refrigerated_L4_S2</t>
  </si>
  <si>
    <t>spriteset_mglv_Wagon_Gen7M_Container_Carrier_Refrigerated_L4_S1</t>
  </si>
  <si>
    <t>spriteset_mglv_Wagon_Gen7M_Container_Carrier_Refrigerated_L3_S3</t>
  </si>
  <si>
    <t>spriteset_mglv_Wagon_Gen7M_Container_Carrier_Refrigerated_L3_S2</t>
  </si>
  <si>
    <t>spriteset_mglv_Wagon_Gen7M_Container_Carrier_Refrigerated_L3_S1</t>
  </si>
  <si>
    <t>spriteset_mglv_Wagon_Gen7M_Container_Carrier_Refrigerated_L2_S3</t>
  </si>
  <si>
    <t>spriteset_mglv_Wagon_Gen7M_Container_Carrier_Refrigerated_L2_S2</t>
  </si>
  <si>
    <t>spriteset_mglv_Wagon_Gen7M_Container_Carrier_Refrigerated_L2_S1</t>
  </si>
  <si>
    <t>spriteset_mglv_Wagon_Gen7M_Container_Carrier_Refrigerated_L1_S3</t>
  </si>
  <si>
    <t>spriteset_mglv_Wagon_Gen7M_Container_Carrier_Refrigerated_L1_S2</t>
  </si>
  <si>
    <t>spriteset_mglv_Wagon_Gen7M_Container_Carrier_Refrigerated_L1_S1</t>
  </si>
  <si>
    <t>spriteset_mglv_Wagon_Gen7M_Container_Carrier_Container_L4_S3</t>
  </si>
  <si>
    <t>spriteset_mglv_Wagon_Gen7M_Container_Carrier_Container_L4_S2</t>
  </si>
  <si>
    <t>spriteset_mglv_Wagon_Gen7M_Container_Carrier_Container_L4_S1</t>
  </si>
  <si>
    <t>spriteset_mglv_Wagon_Gen7M_Container_Carrier_Container_L3_S3</t>
  </si>
  <si>
    <t>spriteset_mglv_Wagon_Gen7M_Container_Carrier_Container_L3_S2</t>
  </si>
  <si>
    <t>spriteset_mglv_Wagon_Gen7M_Container_Carrier_Container_L3_S1</t>
  </si>
  <si>
    <t>spriteset_mglv_Wagon_Gen7M_Container_Carrier_Container_L2_S3</t>
  </si>
  <si>
    <t>spriteset_mglv_Wagon_Gen7M_Container_Carrier_Container_L2_S2</t>
  </si>
  <si>
    <t>spriteset_mglv_Wagon_Gen7M_Container_Carrier_Container_L2_S1</t>
  </si>
  <si>
    <t>spriteset_mglv_Wagon_Gen7M_Container_Carrier_Container_L1_S3</t>
  </si>
  <si>
    <t>spriteset_mglv_Wagon_Gen7M_Container_Carrier_Container_L1_S2</t>
  </si>
  <si>
    <t>spriteset_mglv_Wagon_Gen7M_Container_Carrier_Container_L1_S1</t>
  </si>
  <si>
    <t>spriteset_mglv_Wagon_Gen7M_Container_Carrier_purchase</t>
  </si>
  <si>
    <t>switch_mglv_Wagon_Gen7M_Centerbeam_cargo_selection</t>
  </si>
  <si>
    <t>switch_mglv_Wagon_Gen7M_Centerbeam_Supplies_livery</t>
  </si>
  <si>
    <t>switch_mglv_Wagon_Gen7M_Centerbeam_Steel_livery</t>
  </si>
  <si>
    <t>switch_mglv_Wagon_Gen7M_Centerbeam_Planks_livery</t>
  </si>
  <si>
    <t>switch_mglv_Wagon_Gen7M_Centerbeam_Crates_livery</t>
  </si>
  <si>
    <t>spriteset_mglv_Wagon_Gen7M_Centerbeam_Steel_L4_S3</t>
  </si>
  <si>
    <t>spriteset_mglv_Wagon_Gen7M_Centerbeam_Steel_L4_S2</t>
  </si>
  <si>
    <t>spriteset_mglv_Wagon_Gen7M_Centerbeam_Steel_L4_S1</t>
  </si>
  <si>
    <t>spriteset_mglv_Wagon_Gen7M_Centerbeam_Steel_L3_S3</t>
  </si>
  <si>
    <t>spriteset_mglv_Wagon_Gen7M_Centerbeam_Steel_L3_S2</t>
  </si>
  <si>
    <t>spriteset_mglv_Wagon_Gen7M_Centerbeam_Steel_L3_S1</t>
  </si>
  <si>
    <t>spriteset_mglv_Wagon_Gen7M_Centerbeam_Steel_L2_S3</t>
  </si>
  <si>
    <t>spriteset_mglv_Wagon_Gen7M_Centerbeam_Steel_L2_S2</t>
  </si>
  <si>
    <t>spriteset_mglv_Wagon_Gen7M_Centerbeam_Steel_L2_S1</t>
  </si>
  <si>
    <t>spriteset_mglv_Wagon_Gen7M_Centerbeam_Steel_L1_S3</t>
  </si>
  <si>
    <t>spriteset_mglv_Wagon_Gen7M_Centerbeam_Steel_L1_S2</t>
  </si>
  <si>
    <t>spriteset_mglv_Wagon_Gen7M_Centerbeam_Steel_L1_S1</t>
  </si>
  <si>
    <t>spriteset_mglv_Wagon_Gen7M_Centerbeam_Planks_L4_S3</t>
  </si>
  <si>
    <t>spriteset_mglv_Wagon_Gen7M_Centerbeam_Planks_L4_S2</t>
  </si>
  <si>
    <t>spriteset_mglv_Wagon_Gen7M_Centerbeam_Planks_L4_S1</t>
  </si>
  <si>
    <t>spriteset_mglv_Wagon_Gen7M_Centerbeam_Planks_L3_S3</t>
  </si>
  <si>
    <t>spriteset_mglv_Wagon_Gen7M_Centerbeam_Planks_L3_S2</t>
  </si>
  <si>
    <t>spriteset_mglv_Wagon_Gen7M_Centerbeam_Planks_L3_S1</t>
  </si>
  <si>
    <t>spriteset_mglv_Wagon_Gen7M_Centerbeam_Planks_L2_S3</t>
  </si>
  <si>
    <t>spriteset_mglv_Wagon_Gen7M_Centerbeam_Planks_L2_S2</t>
  </si>
  <si>
    <t>spriteset_mglv_Wagon_Gen7M_Centerbeam_Planks_L2_S1</t>
  </si>
  <si>
    <t>spriteset_mglv_Wagon_Gen7M_Centerbeam_Planks_L1_S3</t>
  </si>
  <si>
    <t>spriteset_mglv_Wagon_Gen7M_Centerbeam_Planks_L1_S2</t>
  </si>
  <si>
    <t>spriteset_mglv_Wagon_Gen7M_Centerbeam_Planks_L1_S1</t>
  </si>
  <si>
    <t>spriteset_mglv_Wagon_Gen7M_Centerbeam_Crates_L4_S3</t>
  </si>
  <si>
    <t>spriteset_mglv_Wagon_Gen7M_Centerbeam_Crates_L4_S2</t>
  </si>
  <si>
    <t>spriteset_mglv_Wagon_Gen7M_Centerbeam_Crates_L4_S1</t>
  </si>
  <si>
    <t>spriteset_mglv_Wagon_Gen7M_Centerbeam_Crates_L3_S3</t>
  </si>
  <si>
    <t>spriteset_mglv_Wagon_Gen7M_Centerbeam_Crates_L3_S2</t>
  </si>
  <si>
    <t>spriteset_mglv_Wagon_Gen7M_Centerbeam_Crates_L3_S1</t>
  </si>
  <si>
    <t>spriteset_mglv_Wagon_Gen7M_Centerbeam_Crates_L2_S3</t>
  </si>
  <si>
    <t>spriteset_mglv_Wagon_Gen7M_Centerbeam_Crates_L2_S2</t>
  </si>
  <si>
    <t>spriteset_mglv_Wagon_Gen7M_Centerbeam_Crates_L2_S1</t>
  </si>
  <si>
    <t>spriteset_mglv_Wagon_Gen7M_Centerbeam_Crates_L1_S3</t>
  </si>
  <si>
    <t>spriteset_mglv_Wagon_Gen7M_Centerbeam_Crates_L1_S2</t>
  </si>
  <si>
    <t>spriteset_mglv_Wagon_Gen7M_Centerbeam_Crates_L1_S1</t>
  </si>
  <si>
    <t>spriteset_mglv_Wagon_Gen7M_Centerbeam_purchase</t>
  </si>
  <si>
    <t>switch_mglv_Wagon_Gen7M_Car_Transporter_livery</t>
  </si>
  <si>
    <t>spriteset_mglv_Wagon_Gen7M_Car_Transporter_L4_S3</t>
  </si>
  <si>
    <t>spriteset_mglv_Wagon_Gen7M_Car_Transporter_L4_S2</t>
  </si>
  <si>
    <t>spriteset_mglv_Wagon_Gen7M_Car_Transporter_L4_S1</t>
  </si>
  <si>
    <t>spriteset_mglv_Wagon_Gen7M_Car_Transporter_L3_S3</t>
  </si>
  <si>
    <t>spriteset_mglv_Wagon_Gen7M_Car_Transporter_L3_S2</t>
  </si>
  <si>
    <t>spriteset_mglv_Wagon_Gen7M_Car_Transporter_L3_S1</t>
  </si>
  <si>
    <t>spriteset_mglv_Wagon_Gen7M_Car_Transporter_L2_S3</t>
  </si>
  <si>
    <t>spriteset_mglv_Wagon_Gen7M_Car_Transporter_L2_S2</t>
  </si>
  <si>
    <t>spriteset_mglv_Wagon_Gen7M_Car_Transporter_L2_S1</t>
  </si>
  <si>
    <t>spriteset_mglv_Wagon_Gen7M_Car_Transporter_L1_S3</t>
  </si>
  <si>
    <t>spriteset_mglv_Wagon_Gen7M_Car_Transporter_L1_S2</t>
  </si>
  <si>
    <t>spriteset_mglv_Wagon_Gen7M_Car_Transporter_L1_S1</t>
  </si>
  <si>
    <t>spriteset_mglv_Wagon_Gen7M_Car_Transporter_purchase</t>
  </si>
  <si>
    <t>switch_mglv_Wagon_Gen7M_Boxcar_Type2_Standard_livery</t>
  </si>
  <si>
    <t>spriteset_mglv_Wagon_Gen7M_Boxcar_Type2_Standard_L4_S3</t>
  </si>
  <si>
    <t>spriteset_mglv_Wagon_Gen7M_Boxcar_Type2_Standard_L4_S2</t>
  </si>
  <si>
    <t>spriteset_mglv_Wagon_Gen7M_Boxcar_Type2_Standard_L4_S1</t>
  </si>
  <si>
    <t>spriteset_mglv_Wagon_Gen7M_Boxcar_Type2_Standard_L3_S3</t>
  </si>
  <si>
    <t>spriteset_mglv_Wagon_Gen7M_Boxcar_Type2_Standard_L3_S2</t>
  </si>
  <si>
    <t>spriteset_mglv_Wagon_Gen7M_Boxcar_Type2_Standard_L3_S1</t>
  </si>
  <si>
    <t>spriteset_mglv_Wagon_Gen7M_Boxcar_Type2_Standard_L2_S3</t>
  </si>
  <si>
    <t>spriteset_mglv_Wagon_Gen7M_Boxcar_Type2_Standard_L2_S2</t>
  </si>
  <si>
    <t>spriteset_mglv_Wagon_Gen7M_Boxcar_Type2_Standard_L2_S1</t>
  </si>
  <si>
    <t>spriteset_mglv_Wagon_Gen7M_Boxcar_Type2_Standard_L1_S3</t>
  </si>
  <si>
    <t>spriteset_mglv_Wagon_Gen7M_Boxcar_Type2_Standard_L1_S2</t>
  </si>
  <si>
    <t>spriteset_mglv_Wagon_Gen7M_Boxcar_Type2_Standard_L1_S1</t>
  </si>
  <si>
    <t>spriteset_mglv_Wagon_Gen7M_Boxcar_Type2_purchase</t>
  </si>
  <si>
    <t>switch_mglv_Wagon_Gen7M_Boxcar_Type1_cargo_selection</t>
  </si>
  <si>
    <t>switch_mglv_Wagon_Gen7M_Boxcar_Type1_Goods_livery</t>
  </si>
  <si>
    <t>switch_mglv_Wagon_Gen7M_Boxcar_Type1_Standard_livery</t>
  </si>
  <si>
    <t>switch_mglv_Wagon_Gen7M_Boxcar_Type1_Reefer_livery</t>
  </si>
  <si>
    <t>switch_mglv_Wagon_Gen7M_Boxcar_Type1_Livestock_livery</t>
  </si>
  <si>
    <t>switch_mglv_Wagon_Gen7M_Boxcar_Type1_Armoured_livery</t>
  </si>
  <si>
    <t>spriteset_mglv_Wagon_Gen7M_Boxcar_Type1_Standard_L4_S3</t>
  </si>
  <si>
    <t>spriteset_mglv_Wagon_Gen7M_Boxcar_Type1_Standard_L4_S2</t>
  </si>
  <si>
    <t>spriteset_mglv_Wagon_Gen7M_Boxcar_Type1_Standard_L4_S1</t>
  </si>
  <si>
    <t>spriteset_mglv_Wagon_Gen7M_Boxcar_Type1_Standard_L3_S3</t>
  </si>
  <si>
    <t>spriteset_mglv_Wagon_Gen7M_Boxcar_Type1_Standard_L3_S2</t>
  </si>
  <si>
    <t>spriteset_mglv_Wagon_Gen7M_Boxcar_Type1_Standard_L3_S1</t>
  </si>
  <si>
    <t>spriteset_mglv_Wagon_Gen7M_Boxcar_Type1_Standard_L2_S3</t>
  </si>
  <si>
    <t>spriteset_mglv_Wagon_Gen7M_Boxcar_Type1_Standard_L2_S2</t>
  </si>
  <si>
    <t>spriteset_mglv_Wagon_Gen7M_Boxcar_Type1_Standard_L2_S1</t>
  </si>
  <si>
    <t>spriteset_mglv_Wagon_Gen7M_Boxcar_Type1_Standard_L1_S3</t>
  </si>
  <si>
    <t>spriteset_mglv_Wagon_Gen7M_Boxcar_Type1_Standard_L1_S2</t>
  </si>
  <si>
    <t>spriteset_mglv_Wagon_Gen7M_Boxcar_Type1_Standard_L1_S1</t>
  </si>
  <si>
    <t>spriteset_mglv_Wagon_Gen7M_Boxcar_Type1_Reefer_L4_S3</t>
  </si>
  <si>
    <t>spriteset_mglv_Wagon_Gen7M_Boxcar_Type1_Reefer_L4_S2</t>
  </si>
  <si>
    <t>spriteset_mglv_Wagon_Gen7M_Boxcar_Type1_Reefer_L4_S1</t>
  </si>
  <si>
    <t>spriteset_mglv_Wagon_Gen7M_Boxcar_Type1_Reefer_L3_S3</t>
  </si>
  <si>
    <t>spriteset_mglv_Wagon_Gen7M_Boxcar_Type1_Reefer_L3_S2</t>
  </si>
  <si>
    <t>spriteset_mglv_Wagon_Gen7M_Boxcar_Type1_Reefer_L3_S1</t>
  </si>
  <si>
    <t>spriteset_mglv_Wagon_Gen7M_Boxcar_Type1_Reefer_L2_S3</t>
  </si>
  <si>
    <t>spriteset_mglv_Wagon_Gen7M_Boxcar_Type1_Reefer_L2_S2</t>
  </si>
  <si>
    <t>spriteset_mglv_Wagon_Gen7M_Boxcar_Type1_Reefer_L2_S1</t>
  </si>
  <si>
    <t>spriteset_mglv_Wagon_Gen7M_Boxcar_Type1_Reefer_L1_S3</t>
  </si>
  <si>
    <t>spriteset_mglv_Wagon_Gen7M_Boxcar_Type1_Reefer_L1_S2</t>
  </si>
  <si>
    <t>spriteset_mglv_Wagon_Gen7M_Boxcar_Type1_Reefer_L1_S1</t>
  </si>
  <si>
    <t>spriteset_mglv_Wagon_Gen7M_Boxcar_Type1_Livestock_L4_S3</t>
  </si>
  <si>
    <t>spriteset_mglv_Wagon_Gen7M_Boxcar_Type1_Livestock_L4_S2</t>
  </si>
  <si>
    <t>spriteset_mglv_Wagon_Gen7M_Boxcar_Type1_Livestock_L4_S1</t>
  </si>
  <si>
    <t>spriteset_mglv_Wagon_Gen7M_Boxcar_Type1_Livestock_L3_S3</t>
  </si>
  <si>
    <t>spriteset_mglv_Wagon_Gen7M_Boxcar_Type1_Livestock_L3_S2</t>
  </si>
  <si>
    <t>spriteset_mglv_Wagon_Gen7M_Boxcar_Type1_Livestock_L3_S1</t>
  </si>
  <si>
    <t>spriteset_mglv_Wagon_Gen7M_Boxcar_Type1_Livestock_L2_S3</t>
  </si>
  <si>
    <t>spriteset_mglv_Wagon_Gen7M_Boxcar_Type1_Livestock_L2_S2</t>
  </si>
  <si>
    <t>spriteset_mglv_Wagon_Gen7M_Boxcar_Type1_Livestock_L2_S1</t>
  </si>
  <si>
    <t>spriteset_mglv_Wagon_Gen7M_Boxcar_Type1_Livestock_L1_S3</t>
  </si>
  <si>
    <t>spriteset_mglv_Wagon_Gen7M_Boxcar_Type1_Livestock_L1_S2</t>
  </si>
  <si>
    <t>spriteset_mglv_Wagon_Gen7M_Boxcar_Type1_Livestock_L1_S1</t>
  </si>
  <si>
    <t>spriteset_mglv_Wagon_Gen7M_Boxcar_Type1_Armoured_L4_S3</t>
  </si>
  <si>
    <t>spriteset_mglv_Wagon_Gen7M_Boxcar_Type1_Armoured_L4_S2</t>
  </si>
  <si>
    <t>spriteset_mglv_Wagon_Gen7M_Boxcar_Type1_Armoured_L4_S1</t>
  </si>
  <si>
    <t>spriteset_mglv_Wagon_Gen7M_Boxcar_Type1_Armoured_L3_S3</t>
  </si>
  <si>
    <t>spriteset_mglv_Wagon_Gen7M_Boxcar_Type1_Armoured_L3_S2</t>
  </si>
  <si>
    <t>spriteset_mglv_Wagon_Gen7M_Boxcar_Type1_Armoured_L3_S1</t>
  </si>
  <si>
    <t>spriteset_mglv_Wagon_Gen7M_Boxcar_Type1_Armoured_L2_S3</t>
  </si>
  <si>
    <t>spriteset_mglv_Wagon_Gen7M_Boxcar_Type1_Armoured_L2_S2</t>
  </si>
  <si>
    <t>spriteset_mglv_Wagon_Gen7M_Boxcar_Type1_Armoured_L2_S1</t>
  </si>
  <si>
    <t>spriteset_mglv_Wagon_Gen7M_Boxcar_Type1_Armoured_L1_S3</t>
  </si>
  <si>
    <t>spriteset_mglv_Wagon_Gen7M_Boxcar_Type1_Armoured_L1_S2</t>
  </si>
  <si>
    <t>spriteset_mglv_Wagon_Gen7M_Boxcar_Type1_Armoured_L1_S1</t>
  </si>
  <si>
    <t>spriteset_mglv_Wagon_Gen7M_Boxcar_Type1_purchase</t>
  </si>
  <si>
    <t>switch_mu_Wagon_Service_Car_Type2_livery</t>
  </si>
  <si>
    <t>spriteset_mu_Wagon_Service_Car_Type2_L4</t>
  </si>
  <si>
    <t>spriteset_mu_Wagon_Service_Car_Type2_L3</t>
  </si>
  <si>
    <t>spriteset_mu_Wagon_Service_Car_Type2_L2</t>
  </si>
  <si>
    <t>spriteset_mu_Wagon_Service_Car_Type2_L1</t>
  </si>
  <si>
    <t>spriteset_mu_Wagon_Service_Car_Type2_purchase</t>
  </si>
  <si>
    <t>switch_mu_Wagon_Service_Car_Type1_livery</t>
  </si>
  <si>
    <t>spriteset_mu_Wagon_Service_Car_Type1_L4</t>
  </si>
  <si>
    <t>spriteset_mu_Wagon_Service_Car_Type1_L3</t>
  </si>
  <si>
    <t>spriteset_mu_Wagon_Service_Car_Type1_L2</t>
  </si>
  <si>
    <t>spriteset_mu_Wagon_Service_Car_Type1_L1</t>
  </si>
  <si>
    <t>spriteset_mu_Wagon_Service_Car_Type1_purchase</t>
  </si>
  <si>
    <t>switch_mu_Wagon_Gen6_Tanker_cargo_selection</t>
  </si>
  <si>
    <t>switch_mu_Wagon_Gen6_Tanker_Oil_livery_selection</t>
  </si>
  <si>
    <t>switch_mu_Wagon_Gen6_Tanker_Standard_livery</t>
  </si>
  <si>
    <t>switch_mu_Wagon_Gen6_Tanker_Oil_livery</t>
  </si>
  <si>
    <t>spriteset_mu_Wagon_Gen6_Tanker_Standard_L4_S3</t>
  </si>
  <si>
    <t>spriteset_mu_Wagon_Gen6_Tanker_Standard_L4_S2</t>
  </si>
  <si>
    <t>spriteset_mu_Wagon_Gen6_Tanker_Standard_L4_S1</t>
  </si>
  <si>
    <t>spriteset_mu_Wagon_Gen6_Tanker_Standard_L3_S3</t>
  </si>
  <si>
    <t>spriteset_mu_Wagon_Gen6_Tanker_Standard_L3_S2</t>
  </si>
  <si>
    <t>spriteset_mu_Wagon_Gen6_Tanker_Standard_L3_S1</t>
  </si>
  <si>
    <t>spriteset_mu_Wagon_Gen6_Tanker_Standard_L2_S3</t>
  </si>
  <si>
    <t>spriteset_mu_Wagon_Gen6_Tanker_Standard_L2_S2</t>
  </si>
  <si>
    <t>spriteset_mu_Wagon_Gen6_Tanker_Standard_L2_S1</t>
  </si>
  <si>
    <t>spriteset_mu_Wagon_Gen6_Tanker_Standard_L1_S3</t>
  </si>
  <si>
    <t>spriteset_mu_Wagon_Gen6_Tanker_Standard_L1_S2</t>
  </si>
  <si>
    <t>spriteset_mu_Wagon_Gen6_Tanker_Standard_L1_S1</t>
  </si>
  <si>
    <t>spriteset_mu_Wagon_Gen6_Tanker_Oil_L4_S3</t>
  </si>
  <si>
    <t>spriteset_mu_Wagon_Gen6_Tanker_Oil_L4_S2</t>
  </si>
  <si>
    <t>spriteset_mu_Wagon_Gen6_Tanker_Oil_L4_S1</t>
  </si>
  <si>
    <t>spriteset_mu_Wagon_Gen6_Tanker_Oil_L3_S3</t>
  </si>
  <si>
    <t>spriteset_mu_Wagon_Gen6_Tanker_Oil_L3_S2</t>
  </si>
  <si>
    <t>spriteset_mu_Wagon_Gen6_Tanker_Oil_L3_S1</t>
  </si>
  <si>
    <t>spriteset_mu_Wagon_Gen6_Tanker_Oil_L2_S3</t>
  </si>
  <si>
    <t>spriteset_mu_Wagon_Gen6_Tanker_Oil_L2_S2</t>
  </si>
  <si>
    <t>spriteset_mu_Wagon_Gen6_Tanker_Oil_L2_S1</t>
  </si>
  <si>
    <t>spriteset_mu_Wagon_Gen6_Tanker_Oil_L1_S3</t>
  </si>
  <si>
    <t>spriteset_mu_Wagon_Gen6_Tanker_Oil_L1_S2</t>
  </si>
  <si>
    <t>spriteset_mu_Wagon_Gen6_Tanker_Oil_L1_S1</t>
  </si>
  <si>
    <t>spriteset_mu_Wagon_Gen6_Tanker_purchase</t>
  </si>
  <si>
    <t>switch_mu_Wagon_Gen6_Superheavy_Flatcar_articulated</t>
  </si>
  <si>
    <t>switch_mu_Wagon_Gen6_Superheavy_Flatcar</t>
  </si>
  <si>
    <t>switch_mu_Wagon_Gen6_Superheavy_Flatcar_middle_livery</t>
  </si>
  <si>
    <t>spriteset_mu_Wagon_Gen6_Superheavy_Flatcar_middle_L4</t>
  </si>
  <si>
    <t>spriteset_mu_Wagon_Gen6_Superheavy_Flatcar_middle_L3</t>
  </si>
  <si>
    <t>spriteset_mu_Wagon_Gen6_Superheavy_Flatcar_middle_L2</t>
  </si>
  <si>
    <t>spriteset_mu_Wagon_Gen6_Superheavy_Flatcar_middle_L1</t>
  </si>
  <si>
    <t>spriteset_mu_Wagon_Gen6_Superheavy_Flatcar_middle_empty</t>
  </si>
  <si>
    <t>spriteset_mu_Wagon_Gen6_Superheavy_Flatcar_back</t>
  </si>
  <si>
    <t>spriteset_mu_Wagon_Gen6_Superheavy_Flatcar_front</t>
  </si>
  <si>
    <t>spriteset_mu_Wagon_Gen6_Superheavy_Flatcar_purchase</t>
  </si>
  <si>
    <t>switch_mu_Wagon_Gen6_Silo_Type2_livery</t>
  </si>
  <si>
    <t>spriteset_mu_Wagon_Gen6_Silo_Type2_L4_S3</t>
  </si>
  <si>
    <t>spriteset_mu_Wagon_Gen6_Silo_Type2_L4_S2</t>
  </si>
  <si>
    <t>spriteset_mu_Wagon_Gen6_Silo_Type2_L4_S1</t>
  </si>
  <si>
    <t>spriteset_mu_Wagon_Gen6_Silo_Type2_L3_S3</t>
  </si>
  <si>
    <t>spriteset_mu_Wagon_Gen6_Silo_Type2_L3_S2</t>
  </si>
  <si>
    <t>spriteset_mu_Wagon_Gen6_Silo_Type2_L3_S1</t>
  </si>
  <si>
    <t>spriteset_mu_Wagon_Gen6_Silo_Type2_L2_S3</t>
  </si>
  <si>
    <t>spriteset_mu_Wagon_Gen6_Silo_Type2_L2_S2</t>
  </si>
  <si>
    <t>spriteset_mu_Wagon_Gen6_Silo_Type2_L2_S1</t>
  </si>
  <si>
    <t>spriteset_mu_Wagon_Gen6_Silo_Type2_L1_S3</t>
  </si>
  <si>
    <t>spriteset_mu_Wagon_Gen6_Silo_Type2_L1_S2</t>
  </si>
  <si>
    <t>spriteset_mu_Wagon_Gen6_Silo_Type2_L1_S1</t>
  </si>
  <si>
    <t>spriteset_mu_Wagon_Gen6_Silo_Type2_purchase</t>
  </si>
  <si>
    <t>switch_mu_Wagon_Gen6_Silo_Type1_livery</t>
  </si>
  <si>
    <t>spriteset_mu_Wagon_Gen6_Silo_Type1_L4_S3</t>
  </si>
  <si>
    <t>spriteset_mu_Wagon_Gen6_Silo_Type1_L4_S2</t>
  </si>
  <si>
    <t>spriteset_mu_Wagon_Gen6_Silo_Type1_L4_S1</t>
  </si>
  <si>
    <t>spriteset_mu_Wagon_Gen6_Silo_Type1_L3_S3</t>
  </si>
  <si>
    <t>spriteset_mu_Wagon_Gen6_Silo_Type1_L3_S2</t>
  </si>
  <si>
    <t>spriteset_mu_Wagon_Gen6_Silo_Type1_L3_S1</t>
  </si>
  <si>
    <t>spriteset_mu_Wagon_Gen6_Silo_Type1_L2_S3</t>
  </si>
  <si>
    <t>spriteset_mu_Wagon_Gen6_Silo_Type1_L2_S2</t>
  </si>
  <si>
    <t>spriteset_mu_Wagon_Gen6_Silo_Type1_L2_S1</t>
  </si>
  <si>
    <t>spriteset_mu_Wagon_Gen6_Silo_Type1_L1_S3</t>
  </si>
  <si>
    <t>spriteset_mu_Wagon_Gen6_Silo_Type1_L1_S2</t>
  </si>
  <si>
    <t>spriteset_mu_Wagon_Gen6_Silo_Type1_L1_S1</t>
  </si>
  <si>
    <t>spriteset_mu_Wagon_Gen6_Silo_Type1_purchase</t>
  </si>
  <si>
    <t>switch_mu_Wagon_Gen6_Hopper_Type2_cargo_selection</t>
  </si>
  <si>
    <t>switch_mu_Wagon_Gen6_Hopper_Type2_Gray_livery</t>
  </si>
  <si>
    <t>switch_mu_Wagon_Gen6_Hopper_Type2_Sand_livery</t>
  </si>
  <si>
    <t>switch_mu_Wagon_Gen6_Hopper_Type2_Ore_livery</t>
  </si>
  <si>
    <t>switch_mu_Wagon_Gen6_Hopper_Type2_Coal_livery</t>
  </si>
  <si>
    <t>spriteset_mu_Wagon_Gen6_Hopper_Type2_Gray_L4_S3</t>
  </si>
  <si>
    <t>spriteset_mu_Wagon_Gen6_Hopper_Type2_Gray_L4_S2</t>
  </si>
  <si>
    <t>spriteset_mu_Wagon_Gen6_Hopper_Type2_Gray_L4_S1</t>
  </si>
  <si>
    <t>spriteset_mu_Wagon_Gen6_Hopper_Type2_Gray_L3_S3</t>
  </si>
  <si>
    <t>spriteset_mu_Wagon_Gen6_Hopper_Type2_Gray_L3_S2</t>
  </si>
  <si>
    <t>spriteset_mu_Wagon_Gen6_Hopper_Type2_Gray_L3_S1</t>
  </si>
  <si>
    <t>spriteset_mu_Wagon_Gen6_Hopper_Type2_Gray_L2_S3</t>
  </si>
  <si>
    <t>spriteset_mu_Wagon_Gen6_Hopper_Type2_Gray_L2_S2</t>
  </si>
  <si>
    <t>spriteset_mu_Wagon_Gen6_Hopper_Type2_Gray_L2_S1</t>
  </si>
  <si>
    <t>spriteset_mu_Wagon_Gen6_Hopper_Type2_Gray_L1_S3</t>
  </si>
  <si>
    <t>spriteset_mu_Wagon_Gen6_Hopper_Type2_Gray_L1_S2</t>
  </si>
  <si>
    <t>spriteset_mu_Wagon_Gen6_Hopper_Type2_Gray_L1_S1</t>
  </si>
  <si>
    <t>spriteset_mu_Wagon_Gen6_Hopper_Type2_Sand_L4_S3</t>
  </si>
  <si>
    <t>spriteset_mu_Wagon_Gen6_Hopper_Type2_Sand_L4_S2</t>
  </si>
  <si>
    <t>spriteset_mu_Wagon_Gen6_Hopper_Type2_Sand_L4_S1</t>
  </si>
  <si>
    <t>spriteset_mu_Wagon_Gen6_Hopper_Type2_Sand_L3_S3</t>
  </si>
  <si>
    <t>spriteset_mu_Wagon_Gen6_Hopper_Type2_Sand_L3_S2</t>
  </si>
  <si>
    <t>spriteset_mu_Wagon_Gen6_Hopper_Type2_Sand_L3_S1</t>
  </si>
  <si>
    <t>spriteset_mu_Wagon_Gen6_Hopper_Type2_Sand_L2_S3</t>
  </si>
  <si>
    <t>spriteset_mu_Wagon_Gen6_Hopper_Type2_Sand_L2_S2</t>
  </si>
  <si>
    <t>spriteset_mu_Wagon_Gen6_Hopper_Type2_Sand_L2_S1</t>
  </si>
  <si>
    <t>spriteset_mu_Wagon_Gen6_Hopper_Type2_Sand_L1_S3</t>
  </si>
  <si>
    <t>spriteset_mu_Wagon_Gen6_Hopper_Type2_Sand_L1_S2</t>
  </si>
  <si>
    <t>spriteset_mu_Wagon_Gen6_Hopper_Type2_Sand_L1_S1</t>
  </si>
  <si>
    <t>spriteset_mu_Wagon_Gen6_Hopper_Type2_Ore_L4_S3</t>
  </si>
  <si>
    <t>spriteset_mu_Wagon_Gen6_Hopper_Type2_Ore_L4_S2</t>
  </si>
  <si>
    <t>spriteset_mu_Wagon_Gen6_Hopper_Type2_Ore_L4_S1</t>
  </si>
  <si>
    <t>spriteset_mu_Wagon_Gen6_Hopper_Type2_Ore_L3_S3</t>
  </si>
  <si>
    <t>spriteset_mu_Wagon_Gen6_Hopper_Type2_Ore_L3_S2</t>
  </si>
  <si>
    <t>spriteset_mu_Wagon_Gen6_Hopper_Type2_Ore_L3_S1</t>
  </si>
  <si>
    <t>spriteset_mu_Wagon_Gen6_Hopper_Type2_Ore_L2_S3</t>
  </si>
  <si>
    <t>spriteset_mu_Wagon_Gen6_Hopper_Type2_Ore_L2_S2</t>
  </si>
  <si>
    <t>spriteset_mu_Wagon_Gen6_Hopper_Type2_Ore_L2_S1</t>
  </si>
  <si>
    <t>spriteset_mu_Wagon_Gen6_Hopper_Type2_Ore_L1_S3</t>
  </si>
  <si>
    <t>spriteset_mu_Wagon_Gen6_Hopper_Type2_Ore_L1_S2</t>
  </si>
  <si>
    <t>spriteset_mu_Wagon_Gen6_Hopper_Type2_Ore_L1_S1</t>
  </si>
  <si>
    <t>spriteset_mu_Wagon_Gen6_Hopper_Type2_Coal_L4_S3</t>
  </si>
  <si>
    <t>spriteset_mu_Wagon_Gen6_Hopper_Type2_Coal_L4_S2</t>
  </si>
  <si>
    <t>spriteset_mu_Wagon_Gen6_Hopper_Type2_Coal_L4_S1</t>
  </si>
  <si>
    <t>spriteset_mu_Wagon_Gen6_Hopper_Type2_Coal_L3_S3</t>
  </si>
  <si>
    <t>spriteset_mu_Wagon_Gen6_Hopper_Type2_Coal_L3_S2</t>
  </si>
  <si>
    <t>spriteset_mu_Wagon_Gen6_Hopper_Type2_Coal_L3_S1</t>
  </si>
  <si>
    <t>spriteset_mu_Wagon_Gen6_Hopper_Type2_Coal_L2_S3</t>
  </si>
  <si>
    <t>spriteset_mu_Wagon_Gen6_Hopper_Type2_Coal_L2_S2</t>
  </si>
  <si>
    <t>spriteset_mu_Wagon_Gen6_Hopper_Type2_Coal_L2_S1</t>
  </si>
  <si>
    <t>spriteset_mu_Wagon_Gen6_Hopper_Type2_Coal_L1_S3</t>
  </si>
  <si>
    <t>spriteset_mu_Wagon_Gen6_Hopper_Type2_Coal_L1_S2</t>
  </si>
  <si>
    <t>spriteset_mu_Wagon_Gen6_Hopper_Type2_Coal_L1_S1</t>
  </si>
  <si>
    <t>spriteset_mu_Wagon_Gen6_Hopper_Type2_purchase</t>
  </si>
  <si>
    <t>switch_mu_Wagon_Gen6_Hopper_Type1_cargo_selection</t>
  </si>
  <si>
    <t>switch_mu_Wagon_Gen6_Hopper_Type1_Gray_livery</t>
  </si>
  <si>
    <t>switch_mu_Wagon_Gen6_Hopper_Type1_Sand_livery</t>
  </si>
  <si>
    <t>switch_mu_Wagon_Gen6_Hopper_Type1_Ore_livery</t>
  </si>
  <si>
    <t>switch_mu_Wagon_Gen6_Hopper_Type1_Coal_livery</t>
  </si>
  <si>
    <t>spriteset_mu_Wagon_Gen6_Hopper_Type1_Gray_L4_S3</t>
  </si>
  <si>
    <t>spriteset_mu_Wagon_Gen6_Hopper_Type1_Gray_L4_S2</t>
  </si>
  <si>
    <t>spriteset_mu_Wagon_Gen6_Hopper_Type1_Gray_L4_S1</t>
  </si>
  <si>
    <t>spriteset_mu_Wagon_Gen6_Hopper_Type1_Gray_L3_S3</t>
  </si>
  <si>
    <t>spriteset_mu_Wagon_Gen6_Hopper_Type1_Gray_L3_S2</t>
  </si>
  <si>
    <t>spriteset_mu_Wagon_Gen6_Hopper_Type1_Gray_L3_S1</t>
  </si>
  <si>
    <t>spriteset_mu_Wagon_Gen6_Hopper_Type1_Gray_L2_S3</t>
  </si>
  <si>
    <t>spriteset_mu_Wagon_Gen6_Hopper_Type1_Gray_L2_S2</t>
  </si>
  <si>
    <t>spriteset_mu_Wagon_Gen6_Hopper_Type1_Gray_L2_S1</t>
  </si>
  <si>
    <t>spriteset_mu_Wagon_Gen6_Hopper_Type1_Gray_L1_S3</t>
  </si>
  <si>
    <t>spriteset_mu_Wagon_Gen6_Hopper_Type1_Gray_L1_S2</t>
  </si>
  <si>
    <t>spriteset_mu_Wagon_Gen6_Hopper_Type1_Gray_L1_S1</t>
  </si>
  <si>
    <t>spriteset_mu_Wagon_Gen6_Hopper_Type1_Sand_L4_S3</t>
  </si>
  <si>
    <t>spriteset_mu_Wagon_Gen6_Hopper_Type1_Sand_L4_S2</t>
  </si>
  <si>
    <t>spriteset_mu_Wagon_Gen6_Hopper_Type1_Sand_L4_S1</t>
  </si>
  <si>
    <t>spriteset_mu_Wagon_Gen6_Hopper_Type1_Sand_L3_S3</t>
  </si>
  <si>
    <t>spriteset_mu_Wagon_Gen6_Hopper_Type1_Sand_L3_S2</t>
  </si>
  <si>
    <t>spriteset_mu_Wagon_Gen6_Hopper_Type1_Sand_L3_S1</t>
  </si>
  <si>
    <t>spriteset_mu_Wagon_Gen6_Hopper_Type1_Sand_L2_S3</t>
  </si>
  <si>
    <t>spriteset_mu_Wagon_Gen6_Hopper_Type1_Sand_L2_S2</t>
  </si>
  <si>
    <t>spriteset_mu_Wagon_Gen6_Hopper_Type1_Sand_L2_S1</t>
  </si>
  <si>
    <t>spriteset_mu_Wagon_Gen6_Hopper_Type1_Sand_L1_S3</t>
  </si>
  <si>
    <t>spriteset_mu_Wagon_Gen6_Hopper_Type1_Sand_L1_S2</t>
  </si>
  <si>
    <t>spriteset_mu_Wagon_Gen6_Hopper_Type1_Sand_L1_S1</t>
  </si>
  <si>
    <t>spriteset_mu_Wagon_Gen6_Hopper_Type1_Ore_L4_S3</t>
  </si>
  <si>
    <t>spriteset_mu_Wagon_Gen6_Hopper_Type1_Ore_L4_S2</t>
  </si>
  <si>
    <t>spriteset_mu_Wagon_Gen6_Hopper_Type1_Ore_L4_S1</t>
  </si>
  <si>
    <t>spriteset_mu_Wagon_Gen6_Hopper_Type1_Ore_L3_S3</t>
  </si>
  <si>
    <t>spriteset_mu_Wagon_Gen6_Hopper_Type1_Ore_L3_S2</t>
  </si>
  <si>
    <t>spriteset_mu_Wagon_Gen6_Hopper_Type1_Ore_L3_S1</t>
  </si>
  <si>
    <t>spriteset_mu_Wagon_Gen6_Hopper_Type1_Ore_L2_S3</t>
  </si>
  <si>
    <t>spriteset_mu_Wagon_Gen6_Hopper_Type1_Ore_L2_S2</t>
  </si>
  <si>
    <t>spriteset_mu_Wagon_Gen6_Hopper_Type1_Ore_L2_S1</t>
  </si>
  <si>
    <t>spriteset_mu_Wagon_Gen6_Hopper_Type1_Ore_L1_S3</t>
  </si>
  <si>
    <t>spriteset_mu_Wagon_Gen6_Hopper_Type1_Ore_L1_S2</t>
  </si>
  <si>
    <t>spriteset_mu_Wagon_Gen6_Hopper_Type1_Ore_L1_S1</t>
  </si>
  <si>
    <t>spriteset_mu_Wagon_Gen6_Hopper_Type1_Coal_L4_S3</t>
  </si>
  <si>
    <t>spriteset_mu_Wagon_Gen6_Hopper_Type1_Coal_L4_S2</t>
  </si>
  <si>
    <t>spriteset_mu_Wagon_Gen6_Hopper_Type1_Coal_L4_S1</t>
  </si>
  <si>
    <t>spriteset_mu_Wagon_Gen6_Hopper_Type1_Coal_L3_S3</t>
  </si>
  <si>
    <t>spriteset_mu_Wagon_Gen6_Hopper_Type1_Coal_L3_S2</t>
  </si>
  <si>
    <t>spriteset_mu_Wagon_Gen6_Hopper_Type1_Coal_L3_S1</t>
  </si>
  <si>
    <t>spriteset_mu_Wagon_Gen6_Hopper_Type1_Coal_L2_S3</t>
  </si>
  <si>
    <t>spriteset_mu_Wagon_Gen6_Hopper_Type1_Coal_L2_S2</t>
  </si>
  <si>
    <t>spriteset_mu_Wagon_Gen6_Hopper_Type1_Coal_L2_S1</t>
  </si>
  <si>
    <t>spriteset_mu_Wagon_Gen6_Hopper_Type1_Coal_L1_S3</t>
  </si>
  <si>
    <t>spriteset_mu_Wagon_Gen6_Hopper_Type1_Coal_L1_S2</t>
  </si>
  <si>
    <t>spriteset_mu_Wagon_Gen6_Hopper_Type1_Coal_L1_S1</t>
  </si>
  <si>
    <t>spriteset_mu_Wagon_Gen6_Hopper_Type1_purchase</t>
  </si>
  <si>
    <t>switch_mu_Wagon_Gen6_Heavy_Flatcar_cargo_selection</t>
  </si>
  <si>
    <t>switch_mu_Wagon_Gen6_Heavy_Flatcar_Supplies_livery</t>
  </si>
  <si>
    <t>switch_mu_Wagon_Gen6_Heavy_Flatcar_Goods_livery</t>
  </si>
  <si>
    <t>switch_mu_Wagon_Gen6_Heavy_Flatcar_YETI_livery</t>
  </si>
  <si>
    <t>switch_mu_Wagon_Gen6_Heavy_Flatcar_Steel_livery</t>
  </si>
  <si>
    <t>switch_mu_Wagon_Gen6_Heavy_Flatcar_Machinery_livery</t>
  </si>
  <si>
    <t>switch_mu_Wagon_Gen6_Heavy_Flatcar_Cars_livery</t>
  </si>
  <si>
    <t>switch_mu_Wagon_Gen6_Heavy_Flatcar_Crates_livery</t>
  </si>
  <si>
    <t>spriteset_mu_Wagon_Gen6_Heavy_Flatcar_YETI_L4_S3</t>
  </si>
  <si>
    <t>spriteset_mu_Wagon_Gen6_Heavy_Flatcar_YETI_L4_S2</t>
  </si>
  <si>
    <t>spriteset_mu_Wagon_Gen6_Heavy_Flatcar_YETI_L4_S1</t>
  </si>
  <si>
    <t>spriteset_mu_Wagon_Gen6_Heavy_Flatcar_YETI_L3_S3</t>
  </si>
  <si>
    <t>spriteset_mu_Wagon_Gen6_Heavy_Flatcar_YETI_L3_S2</t>
  </si>
  <si>
    <t>spriteset_mu_Wagon_Gen6_Heavy_Flatcar_YETI_L3_S1</t>
  </si>
  <si>
    <t>spriteset_mu_Wagon_Gen6_Heavy_Flatcar_YETI_L2_S3</t>
  </si>
  <si>
    <t>spriteset_mu_Wagon_Gen6_Heavy_Flatcar_YETI_L2_S2</t>
  </si>
  <si>
    <t>spriteset_mu_Wagon_Gen6_Heavy_Flatcar_YETI_L2_S1</t>
  </si>
  <si>
    <t>spriteset_mu_Wagon_Gen6_Heavy_Flatcar_YETI_L1_S3</t>
  </si>
  <si>
    <t>spriteset_mu_Wagon_Gen6_Heavy_Flatcar_YETI_L1_S2</t>
  </si>
  <si>
    <t>spriteset_mu_Wagon_Gen6_Heavy_Flatcar_YETI_L1_S1</t>
  </si>
  <si>
    <t>spriteset_mu_Wagon_Gen6_Heavy_Flatcar_Steel_L4_S3</t>
  </si>
  <si>
    <t>spriteset_mu_Wagon_Gen6_Heavy_Flatcar_Steel_L4_S2</t>
  </si>
  <si>
    <t>spriteset_mu_Wagon_Gen6_Heavy_Flatcar_Steel_L4_S1</t>
  </si>
  <si>
    <t>spriteset_mu_Wagon_Gen6_Heavy_Flatcar_Steel_L3_S3</t>
  </si>
  <si>
    <t>spriteset_mu_Wagon_Gen6_Heavy_Flatcar_Steel_L3_S2</t>
  </si>
  <si>
    <t>spriteset_mu_Wagon_Gen6_Heavy_Flatcar_Steel_L3_S1</t>
  </si>
  <si>
    <t>spriteset_mu_Wagon_Gen6_Heavy_Flatcar_Steel_L2_S3</t>
  </si>
  <si>
    <t>spriteset_mu_Wagon_Gen6_Heavy_Flatcar_Steel_L2_S2</t>
  </si>
  <si>
    <t>spriteset_mu_Wagon_Gen6_Heavy_Flatcar_Steel_L2_S1</t>
  </si>
  <si>
    <t>spriteset_mu_Wagon_Gen6_Heavy_Flatcar_Steel_L1_S3</t>
  </si>
  <si>
    <t>spriteset_mu_Wagon_Gen6_Heavy_Flatcar_Steel_L1_S2</t>
  </si>
  <si>
    <t>spriteset_mu_Wagon_Gen6_Heavy_Flatcar_Steel_L1_S1</t>
  </si>
  <si>
    <t>spriteset_mu_Wagon_Gen6_Heavy_Flatcar_Machinery_L4_S3</t>
  </si>
  <si>
    <t>spriteset_mu_Wagon_Gen6_Heavy_Flatcar_Machinery_L4_S2</t>
  </si>
  <si>
    <t>spriteset_mu_Wagon_Gen6_Heavy_Flatcar_Machinery_L4_S1</t>
  </si>
  <si>
    <t>spriteset_mu_Wagon_Gen6_Heavy_Flatcar_Machinery_L3_S3</t>
  </si>
  <si>
    <t>spriteset_mu_Wagon_Gen6_Heavy_Flatcar_Machinery_L3_S2</t>
  </si>
  <si>
    <t>spriteset_mu_Wagon_Gen6_Heavy_Flatcar_Machinery_L3_S1</t>
  </si>
  <si>
    <t>spriteset_mu_Wagon_Gen6_Heavy_Flatcar_Machinery_L2_S3</t>
  </si>
  <si>
    <t>spriteset_mu_Wagon_Gen6_Heavy_Flatcar_Machinery_L2_S2</t>
  </si>
  <si>
    <t>spriteset_mu_Wagon_Gen6_Heavy_Flatcar_Machinery_L2_S1</t>
  </si>
  <si>
    <t>spriteset_mu_Wagon_Gen6_Heavy_Flatcar_Machinery_L1_S3</t>
  </si>
  <si>
    <t>spriteset_mu_Wagon_Gen6_Heavy_Flatcar_Machinery_L1_S2</t>
  </si>
  <si>
    <t>spriteset_mu_Wagon_Gen6_Heavy_Flatcar_Machinery_L1_S1</t>
  </si>
  <si>
    <t>spriteset_mu_Wagon_Gen6_Heavy_Flatcar_Cars_L4_S3</t>
  </si>
  <si>
    <t>spriteset_mu_Wagon_Gen6_Heavy_Flatcar_Cars_L4_S2</t>
  </si>
  <si>
    <t>spriteset_mu_Wagon_Gen6_Heavy_Flatcar_Cars_L4_S1</t>
  </si>
  <si>
    <t>spriteset_mu_Wagon_Gen6_Heavy_Flatcar_Cars_L3_S3</t>
  </si>
  <si>
    <t>spriteset_mu_Wagon_Gen6_Heavy_Flatcar_Cars_L3_S2</t>
  </si>
  <si>
    <t>spriteset_mu_Wagon_Gen6_Heavy_Flatcar_Cars_L3_S1</t>
  </si>
  <si>
    <t>spriteset_mu_Wagon_Gen6_Heavy_Flatcar_Cars_L2_S3</t>
  </si>
  <si>
    <t>spriteset_mu_Wagon_Gen6_Heavy_Flatcar_Cars_L2_S2</t>
  </si>
  <si>
    <t>spriteset_mu_Wagon_Gen6_Heavy_Flatcar_Cars_L2_S1</t>
  </si>
  <si>
    <t>spriteset_mu_Wagon_Gen6_Heavy_Flatcar_Cars_L1_S3</t>
  </si>
  <si>
    <t>spriteset_mu_Wagon_Gen6_Heavy_Flatcar_Cars_L1_S2</t>
  </si>
  <si>
    <t>spriteset_mu_Wagon_Gen6_Heavy_Flatcar_Cars_L1_S1</t>
  </si>
  <si>
    <t>spriteset_mu_Wagon_Gen6_Heavy_Flatcar_Crates_L4_S3</t>
  </si>
  <si>
    <t>spriteset_mu_Wagon_Gen6_Heavy_Flatcar_Crates_L4_S2</t>
  </si>
  <si>
    <t>spriteset_mu_Wagon_Gen6_Heavy_Flatcar_Crates_L4_S1</t>
  </si>
  <si>
    <t>spriteset_mu_Wagon_Gen6_Heavy_Flatcar_Crates_L3_S3</t>
  </si>
  <si>
    <t>spriteset_mu_Wagon_Gen6_Heavy_Flatcar_Crates_L3_S2</t>
  </si>
  <si>
    <t>spriteset_mu_Wagon_Gen6_Heavy_Flatcar_Crates_L3_S1</t>
  </si>
  <si>
    <t>spriteset_mu_Wagon_Gen6_Heavy_Flatcar_Crates_L2_S3</t>
  </si>
  <si>
    <t>spriteset_mu_Wagon_Gen6_Heavy_Flatcar_Crates_L2_S2</t>
  </si>
  <si>
    <t>spriteset_mu_Wagon_Gen6_Heavy_Flatcar_Crates_L2_S1</t>
  </si>
  <si>
    <t>spriteset_mu_Wagon_Gen6_Heavy_Flatcar_Crates_L1_S3</t>
  </si>
  <si>
    <t>spriteset_mu_Wagon_Gen6_Heavy_Flatcar_Crates_L1_S2</t>
  </si>
  <si>
    <t>spriteset_mu_Wagon_Gen6_Heavy_Flatcar_Crates_L1_S1</t>
  </si>
  <si>
    <t>spriteset_mu_Wagon_Gen6_Heavy_Flatcar_purchase</t>
  </si>
  <si>
    <t>switch_mu_Wagon_Gen6_Gondola_cargo_selection</t>
  </si>
  <si>
    <t>switch_mu_Wagon_Gen6_Gondola_Gray_livery</t>
  </si>
  <si>
    <t>switch_mu_Wagon_Gen6_Gondola_Sand_livery</t>
  </si>
  <si>
    <t>switch_mu_Wagon_Gen6_Gondola_Wood_livery</t>
  </si>
  <si>
    <t>switch_mu_Wagon_Gen6_Gondola_Ore_livery</t>
  </si>
  <si>
    <t>switch_mu_Wagon_Gen6_Gondola_Grain_livery</t>
  </si>
  <si>
    <t>switch_mu_Wagon_Gen6_Gondola_Coal_livery</t>
  </si>
  <si>
    <t>spriteset_mu_Wagon_Gen6_Gondola_Gray_L4_S3</t>
  </si>
  <si>
    <t>spriteset_mu_Wagon_Gen6_Gondola_Gray_L4_S2</t>
  </si>
  <si>
    <t>spriteset_mu_Wagon_Gen6_Gondola_Gray_L4_S1</t>
  </si>
  <si>
    <t>spriteset_mu_Wagon_Gen6_Gondola_Gray_L3_S3</t>
  </si>
  <si>
    <t>spriteset_mu_Wagon_Gen6_Gondola_Gray_L3_S2</t>
  </si>
  <si>
    <t>spriteset_mu_Wagon_Gen6_Gondola_Gray_L3_S1</t>
  </si>
  <si>
    <t>spriteset_mu_Wagon_Gen6_Gondola_Gray_L2_S3</t>
  </si>
  <si>
    <t>spriteset_mu_Wagon_Gen6_Gondola_Gray_L2_S2</t>
  </si>
  <si>
    <t>spriteset_mu_Wagon_Gen6_Gondola_Gray_L2_S1</t>
  </si>
  <si>
    <t>spriteset_mu_Wagon_Gen6_Gondola_Gray_L1_S3</t>
  </si>
  <si>
    <t>spriteset_mu_Wagon_Gen6_Gondola_Gray_L1_S2</t>
  </si>
  <si>
    <t>spriteset_mu_Wagon_Gen6_Gondola_Gray_L1_S1</t>
  </si>
  <si>
    <t>spriteset_mu_Wagon_Gen6_Gondola_Sand_L4_S3</t>
  </si>
  <si>
    <t>spriteset_mu_Wagon_Gen6_Gondola_Sand_L4_S2</t>
  </si>
  <si>
    <t>spriteset_mu_Wagon_Gen6_Gondola_Sand_L4_S1</t>
  </si>
  <si>
    <t>spriteset_mu_Wagon_Gen6_Gondola_Sand_L3_S3</t>
  </si>
  <si>
    <t>spriteset_mu_Wagon_Gen6_Gondola_Sand_L3_S2</t>
  </si>
  <si>
    <t>spriteset_mu_Wagon_Gen6_Gondola_Sand_L3_S1</t>
  </si>
  <si>
    <t>spriteset_mu_Wagon_Gen6_Gondola_Sand_L2_S3</t>
  </si>
  <si>
    <t>spriteset_mu_Wagon_Gen6_Gondola_Sand_L2_S2</t>
  </si>
  <si>
    <t>spriteset_mu_Wagon_Gen6_Gondola_Sand_L2_S1</t>
  </si>
  <si>
    <t>spriteset_mu_Wagon_Gen6_Gondola_Sand_L1_S3</t>
  </si>
  <si>
    <t>spriteset_mu_Wagon_Gen6_Gondola_Sand_L1_S2</t>
  </si>
  <si>
    <t>spriteset_mu_Wagon_Gen6_Gondola_Sand_L1_S1</t>
  </si>
  <si>
    <t>spriteset_mu_Wagon_Gen6_Gondola_Wood_L4_S3</t>
  </si>
  <si>
    <t>spriteset_mu_Wagon_Gen6_Gondola_Wood_L4_S2</t>
  </si>
  <si>
    <t>spriteset_mu_Wagon_Gen6_Gondola_Wood_L4_S1</t>
  </si>
  <si>
    <t>spriteset_mu_Wagon_Gen6_Gondola_Wood_L3_S3</t>
  </si>
  <si>
    <t>spriteset_mu_Wagon_Gen6_Gondola_Wood_L3_S2</t>
  </si>
  <si>
    <t>spriteset_mu_Wagon_Gen6_Gondola_Wood_L3_S1</t>
  </si>
  <si>
    <t>spriteset_mu_Wagon_Gen6_Gondola_Wood_L2_S3</t>
  </si>
  <si>
    <t>spriteset_mu_Wagon_Gen6_Gondola_Wood_L2_S2</t>
  </si>
  <si>
    <t>spriteset_mu_Wagon_Gen6_Gondola_Wood_L2_S1</t>
  </si>
  <si>
    <t>spriteset_mu_Wagon_Gen6_Gondola_Wood_L1_S3</t>
  </si>
  <si>
    <t>spriteset_mu_Wagon_Gen6_Gondola_Wood_L1_S2</t>
  </si>
  <si>
    <t>spriteset_mu_Wagon_Gen6_Gondola_Wood_L1_S1</t>
  </si>
  <si>
    <t>spriteset_mu_Wagon_Gen6_Gondola_Ore_L4_S3</t>
  </si>
  <si>
    <t>spriteset_mu_Wagon_Gen6_Gondola_Ore_L4_S2</t>
  </si>
  <si>
    <t>spriteset_mu_Wagon_Gen6_Gondola_Ore_L4_S1</t>
  </si>
  <si>
    <t>spriteset_mu_Wagon_Gen6_Gondola_Ore_L3_S3</t>
  </si>
  <si>
    <t>spriteset_mu_Wagon_Gen6_Gondola_Ore_L3_S2</t>
  </si>
  <si>
    <t>spriteset_mu_Wagon_Gen6_Gondola_Ore_L3_S1</t>
  </si>
  <si>
    <t>spriteset_mu_Wagon_Gen6_Gondola_Ore_L2_S3</t>
  </si>
  <si>
    <t>spriteset_mu_Wagon_Gen6_Gondola_Ore_L2_S2</t>
  </si>
  <si>
    <t>spriteset_mu_Wagon_Gen6_Gondola_Ore_L2_S1</t>
  </si>
  <si>
    <t>spriteset_mu_Wagon_Gen6_Gondola_Ore_L1_S3</t>
  </si>
  <si>
    <t>spriteset_mu_Wagon_Gen6_Gondola_Ore_L1_S2</t>
  </si>
  <si>
    <t>spriteset_mu_Wagon_Gen6_Gondola_Ore_L1_S1</t>
  </si>
  <si>
    <t>spriteset_mu_Wagon_Gen6_Gondola_Grain_L4_S4</t>
  </si>
  <si>
    <t>spriteset_mu_Wagon_Gen6_Gondola_Grain_L4_S3</t>
  </si>
  <si>
    <t>spriteset_mu_Wagon_Gen6_Gondola_Grain_L4_S2</t>
  </si>
  <si>
    <t>spriteset_mu_Wagon_Gen6_Gondola_Grain_L4_S1</t>
  </si>
  <si>
    <t>spriteset_mu_Wagon_Gen6_Gondola_Grain_L3_S4</t>
  </si>
  <si>
    <t>spriteset_mu_Wagon_Gen6_Gondola_Grain_L3_S3</t>
  </si>
  <si>
    <t>spriteset_mu_Wagon_Gen6_Gondola_Grain_L3_S2</t>
  </si>
  <si>
    <t>spriteset_mu_Wagon_Gen6_Gondola_Grain_L3_S1</t>
  </si>
  <si>
    <t>spriteset_mu_Wagon_Gen6_Gondola_Grain_L2_S4</t>
  </si>
  <si>
    <t>spriteset_mu_Wagon_Gen6_Gondola_Grain_L2_S3</t>
  </si>
  <si>
    <t>spriteset_mu_Wagon_Gen6_Gondola_Grain_L2_S2</t>
  </si>
  <si>
    <t>spriteset_mu_Wagon_Gen6_Gondola_Grain_L2_S1</t>
  </si>
  <si>
    <t>spriteset_mu_Wagon_Gen6_Gondola_Grain_L1_S4</t>
  </si>
  <si>
    <t>spriteset_mu_Wagon_Gen6_Gondola_Grain_L1_S3</t>
  </si>
  <si>
    <t>spriteset_mu_Wagon_Gen6_Gondola_Grain_L1_S2</t>
  </si>
  <si>
    <t>spriteset_mu_Wagon_Gen6_Gondola_Grain_L1_S1</t>
  </si>
  <si>
    <t>spriteset_mu_Wagon_Gen6_Gondola_Coal_L4_S3</t>
  </si>
  <si>
    <t>spriteset_mu_Wagon_Gen6_Gondola_Coal_L4_S2</t>
  </si>
  <si>
    <t>spriteset_mu_Wagon_Gen6_Gondola_Coal_L4_S1</t>
  </si>
  <si>
    <t>spriteset_mu_Wagon_Gen6_Gondola_Coal_L3_S3</t>
  </si>
  <si>
    <t>spriteset_mu_Wagon_Gen6_Gondola_Coal_L3_S2</t>
  </si>
  <si>
    <t>spriteset_mu_Wagon_Gen6_Gondola_Coal_L3_S1</t>
  </si>
  <si>
    <t>spriteset_mu_Wagon_Gen6_Gondola_Coal_L2_S3</t>
  </si>
  <si>
    <t>spriteset_mu_Wagon_Gen6_Gondola_Coal_L2_S2</t>
  </si>
  <si>
    <t>spriteset_mu_Wagon_Gen6_Gondola_Coal_L2_S1</t>
  </si>
  <si>
    <t>spriteset_mu_Wagon_Gen6_Gondola_Coal_L1_S3</t>
  </si>
  <si>
    <t>spriteset_mu_Wagon_Gen6_Gondola_Coal_L1_S2</t>
  </si>
  <si>
    <t>spriteset_mu_Wagon_Gen6_Gondola_Coal_L1_S1</t>
  </si>
  <si>
    <t>spriteset_mu_Wagon_Gen6_Gondola_purchase</t>
  </si>
  <si>
    <t>switch_mu_Wagon_Gen6_Flatcar_cargo_selection</t>
  </si>
  <si>
    <t>switch_mu_Wagon_Gen6_Flatcar_Building_Materials_livery</t>
  </si>
  <si>
    <t>switch_mu_Wagon_Gen6_Flatcar_Goods_livery</t>
  </si>
  <si>
    <t>switch_mu_Wagon_Gen6_Flatcar_YETI_livery</t>
  </si>
  <si>
    <t>switch_mu_Wagon_Gen6_Flatcar_Machinery_livery</t>
  </si>
  <si>
    <t>switch_mu_Wagon_Gen6_Flatcar_Wood_livery</t>
  </si>
  <si>
    <t>switch_mu_Wagon_Gen6_Flatcar_Steel_livery</t>
  </si>
  <si>
    <t>switch_mu_Wagon_Gen6_Flatcar_Planks_livery</t>
  </si>
  <si>
    <t>switch_mu_Wagon_Gen6_Flatcar_Crates_livery</t>
  </si>
  <si>
    <t>spriteset_mu_Wagon_Gen6_Flatcar_YETI_L4_S3</t>
  </si>
  <si>
    <t>spriteset_mu_Wagon_Gen6_Flatcar_YETI_L4_S2</t>
  </si>
  <si>
    <t>spriteset_mu_Wagon_Gen6_Flatcar_YETI_L4_S1</t>
  </si>
  <si>
    <t>spriteset_mu_Wagon_Gen6_Flatcar_YETI_L3_S3</t>
  </si>
  <si>
    <t>spriteset_mu_Wagon_Gen6_Flatcar_YETI_L3_S2</t>
  </si>
  <si>
    <t>spriteset_mu_Wagon_Gen6_Flatcar_YETI_L3_S1</t>
  </si>
  <si>
    <t>spriteset_mu_Wagon_Gen6_Flatcar_YETI_L2_S3</t>
  </si>
  <si>
    <t>spriteset_mu_Wagon_Gen6_Flatcar_YETI_L2_S2</t>
  </si>
  <si>
    <t>spriteset_mu_Wagon_Gen6_Flatcar_YETI_L2_S1</t>
  </si>
  <si>
    <t>spriteset_mu_Wagon_Gen6_Flatcar_YETI_L1_S3</t>
  </si>
  <si>
    <t>spriteset_mu_Wagon_Gen6_Flatcar_YETI_L1_S2</t>
  </si>
  <si>
    <t>spriteset_mu_Wagon_Gen6_Flatcar_YETI_L1_S1</t>
  </si>
  <si>
    <t>spriteset_mu_Wagon_Gen6_Flatcar_Machinery_L4_S3</t>
  </si>
  <si>
    <t>spriteset_mu_Wagon_Gen6_Flatcar_Machinery_L4_S2</t>
  </si>
  <si>
    <t>spriteset_mu_Wagon_Gen6_Flatcar_Machinery_L4_S1</t>
  </si>
  <si>
    <t>spriteset_mu_Wagon_Gen6_Flatcar_Machinery_L3_S3</t>
  </si>
  <si>
    <t>spriteset_mu_Wagon_Gen6_Flatcar_Machinery_L3_S2</t>
  </si>
  <si>
    <t>spriteset_mu_Wagon_Gen6_Flatcar_Machinery_L3_S1</t>
  </si>
  <si>
    <t>spriteset_mu_Wagon_Gen6_Flatcar_Machinery_L2_S3</t>
  </si>
  <si>
    <t>spriteset_mu_Wagon_Gen6_Flatcar_Machinery_L2_S2</t>
  </si>
  <si>
    <t>spriteset_mu_Wagon_Gen6_Flatcar_Machinery_L2_S1</t>
  </si>
  <si>
    <t>spriteset_mu_Wagon_Gen6_Flatcar_Machinery_L1_S3</t>
  </si>
  <si>
    <t>spriteset_mu_Wagon_Gen6_Flatcar_Machinery_L1_S2</t>
  </si>
  <si>
    <t>spriteset_mu_Wagon_Gen6_Flatcar_Machinery_L1_S1</t>
  </si>
  <si>
    <t>spriteset_mu_Wagon_Gen6_Flatcar_Wood_L4_S3</t>
  </si>
  <si>
    <t>spriteset_mu_Wagon_Gen6_Flatcar_Wood_L4_S2</t>
  </si>
  <si>
    <t>spriteset_mu_Wagon_Gen6_Flatcar_Wood_L4_S1</t>
  </si>
  <si>
    <t>spriteset_mu_Wagon_Gen6_Flatcar_Wood_L3_S3</t>
  </si>
  <si>
    <t>spriteset_mu_Wagon_Gen6_Flatcar_Wood_L3_S2</t>
  </si>
  <si>
    <t>spriteset_mu_Wagon_Gen6_Flatcar_Wood_L3_S1</t>
  </si>
  <si>
    <t>spriteset_mu_Wagon_Gen6_Flatcar_Wood_L2_S3</t>
  </si>
  <si>
    <t>spriteset_mu_Wagon_Gen6_Flatcar_Wood_L2_S2</t>
  </si>
  <si>
    <t>spriteset_mu_Wagon_Gen6_Flatcar_Wood_L2_S1</t>
  </si>
  <si>
    <t>spriteset_mu_Wagon_Gen6_Flatcar_Wood_L1_S3</t>
  </si>
  <si>
    <t>spriteset_mu_Wagon_Gen6_Flatcar_Wood_L1_S2</t>
  </si>
  <si>
    <t>spriteset_mu_Wagon_Gen6_Flatcar_Wood_L1_S1</t>
  </si>
  <si>
    <t>spriteset_mu_Wagon_Gen6_Flatcar_Steel_L4_S3</t>
  </si>
  <si>
    <t>spriteset_mu_Wagon_Gen6_Flatcar_Steel_L4_S2</t>
  </si>
  <si>
    <t>spriteset_mu_Wagon_Gen6_Flatcar_Steel_L4_S1</t>
  </si>
  <si>
    <t>spriteset_mu_Wagon_Gen6_Flatcar_Steel_L3_S3</t>
  </si>
  <si>
    <t>spriteset_mu_Wagon_Gen6_Flatcar_Steel_L3_S2</t>
  </si>
  <si>
    <t>spriteset_mu_Wagon_Gen6_Flatcar_Steel_L3_S1</t>
  </si>
  <si>
    <t>spriteset_mu_Wagon_Gen6_Flatcar_Steel_L2_S3</t>
  </si>
  <si>
    <t>spriteset_mu_Wagon_Gen6_Flatcar_Steel_L2_S2</t>
  </si>
  <si>
    <t>spriteset_mu_Wagon_Gen6_Flatcar_Steel_L2_S1</t>
  </si>
  <si>
    <t>spriteset_mu_Wagon_Gen6_Flatcar_Steel_L1_S3</t>
  </si>
  <si>
    <t>spriteset_mu_Wagon_Gen6_Flatcar_Steel_L1_S2</t>
  </si>
  <si>
    <t>spriteset_mu_Wagon_Gen6_Flatcar_Steel_L1_S1</t>
  </si>
  <si>
    <t>spriteset_mu_Wagon_Gen6_Flatcar_Planks_L4_S3</t>
  </si>
  <si>
    <t>spriteset_mu_Wagon_Gen6_Flatcar_Planks_L4_S2</t>
  </si>
  <si>
    <t>spriteset_mu_Wagon_Gen6_Flatcar_Planks_L4_S1</t>
  </si>
  <si>
    <t>spriteset_mu_Wagon_Gen6_Flatcar_Planks_L3_S3</t>
  </si>
  <si>
    <t>spriteset_mu_Wagon_Gen6_Flatcar_Planks_L3_S2</t>
  </si>
  <si>
    <t>spriteset_mu_Wagon_Gen6_Flatcar_Planks_L3_S1</t>
  </si>
  <si>
    <t>spriteset_mu_Wagon_Gen6_Flatcar_Planks_L2_S3</t>
  </si>
  <si>
    <t>spriteset_mu_Wagon_Gen6_Flatcar_Planks_L2_S2</t>
  </si>
  <si>
    <t>spriteset_mu_Wagon_Gen6_Flatcar_Planks_L2_S1</t>
  </si>
  <si>
    <t>spriteset_mu_Wagon_Gen6_Flatcar_Planks_L1_S3</t>
  </si>
  <si>
    <t>spriteset_mu_Wagon_Gen6_Flatcar_Planks_L1_S2</t>
  </si>
  <si>
    <t>spriteset_mu_Wagon_Gen6_Flatcar_Planks_L1_S1</t>
  </si>
  <si>
    <t>spriteset_mu_Wagon_Gen6_Flatcar_Crates_L4_S3</t>
  </si>
  <si>
    <t>spriteset_mu_Wagon_Gen6_Flatcar_Crates_L4_S2</t>
  </si>
  <si>
    <t>spriteset_mu_Wagon_Gen6_Flatcar_Crates_L4_S1</t>
  </si>
  <si>
    <t>spriteset_mu_Wagon_Gen6_Flatcar_Crates_L3_S3</t>
  </si>
  <si>
    <t>spriteset_mu_Wagon_Gen6_Flatcar_Crates_L3_S2</t>
  </si>
  <si>
    <t>spriteset_mu_Wagon_Gen6_Flatcar_Crates_L3_S1</t>
  </si>
  <si>
    <t>spriteset_mu_Wagon_Gen6_Flatcar_Crates_L2_S3</t>
  </si>
  <si>
    <t>spriteset_mu_Wagon_Gen6_Flatcar_Crates_L2_S2</t>
  </si>
  <si>
    <t>spriteset_mu_Wagon_Gen6_Flatcar_Crates_L2_S1</t>
  </si>
  <si>
    <t>spriteset_mu_Wagon_Gen6_Flatcar_Crates_L1_S3</t>
  </si>
  <si>
    <t>spriteset_mu_Wagon_Gen6_Flatcar_Crates_L1_S2</t>
  </si>
  <si>
    <t>spriteset_mu_Wagon_Gen6_Flatcar_Crates_L1_S1</t>
  </si>
  <si>
    <t>spriteset_mu_Wagon_Gen6_Flatcar_purchase</t>
  </si>
  <si>
    <t>switch_mu_Wagon_Gen6_Container_Doublestack_cargo_selection</t>
  </si>
  <si>
    <t>switch_mu_Wagon_Gen6_Container_Doublestack_Goods_livery</t>
  </si>
  <si>
    <t>switch_mu_Wagon_Gen6_Container_Doublestack_Refrigerated_livery</t>
  </si>
  <si>
    <t>switch_mu_Wagon_Gen6_Container_Doublestack_Container_livery</t>
  </si>
  <si>
    <t>spriteset_mu_Wagon_Gen6_Container_Doublestack_Refrigerated_L4_S3</t>
  </si>
  <si>
    <t>spriteset_mu_Wagon_Gen6_Container_Doublestack_Refrigerated_L4_S2</t>
  </si>
  <si>
    <t>spriteset_mu_Wagon_Gen6_Container_Doublestack_Refrigerated_L4_S1</t>
  </si>
  <si>
    <t>spriteset_mu_Wagon_Gen6_Container_Doublestack_Refrigerated_L3_S3</t>
  </si>
  <si>
    <t>spriteset_mu_Wagon_Gen6_Container_Doublestack_Refrigerated_L3_S2</t>
  </si>
  <si>
    <t>spriteset_mu_Wagon_Gen6_Container_Doublestack_Refrigerated_L3_S1</t>
  </si>
  <si>
    <t>spriteset_mu_Wagon_Gen6_Container_Doublestack_Refrigerated_L2_S3</t>
  </si>
  <si>
    <t>spriteset_mu_Wagon_Gen6_Container_Doublestack_Refrigerated_L2_S2</t>
  </si>
  <si>
    <t>spriteset_mu_Wagon_Gen6_Container_Doublestack_Refrigerated_L2_S1</t>
  </si>
  <si>
    <t>spriteset_mu_Wagon_Gen6_Container_Doublestack_Refrigerated_L1_S3</t>
  </si>
  <si>
    <t>spriteset_mu_Wagon_Gen6_Container_Doublestack_Refrigerated_L1_S2</t>
  </si>
  <si>
    <t>spriteset_mu_Wagon_Gen6_Container_Doublestack_Refrigerated_L1_S1</t>
  </si>
  <si>
    <t>spriteset_mu_Wagon_Gen6_Container_Doublestack_Container_L4_S3</t>
  </si>
  <si>
    <t>spriteset_mu_Wagon_Gen6_Container_Doublestack_Container_L4_S2</t>
  </si>
  <si>
    <t>spriteset_mu_Wagon_Gen6_Container_Doublestack_Container_L4_S1</t>
  </si>
  <si>
    <t>spriteset_mu_Wagon_Gen6_Container_Doublestack_Container_L3_S3</t>
  </si>
  <si>
    <t>spriteset_mu_Wagon_Gen6_Container_Doublestack_Container_L3_S2</t>
  </si>
  <si>
    <t>spriteset_mu_Wagon_Gen6_Container_Doublestack_Container_L3_S1</t>
  </si>
  <si>
    <t>spriteset_mu_Wagon_Gen6_Container_Doublestack_Container_L2_S3</t>
  </si>
  <si>
    <t>spriteset_mu_Wagon_Gen6_Container_Doublestack_Container_L2_S2</t>
  </si>
  <si>
    <t>spriteset_mu_Wagon_Gen6_Container_Doublestack_Container_L2_S1</t>
  </si>
  <si>
    <t>spriteset_mu_Wagon_Gen6_Container_Doublestack_Container_L1_S3</t>
  </si>
  <si>
    <t>spriteset_mu_Wagon_Gen6_Container_Doublestack_Container_L1_S2</t>
  </si>
  <si>
    <t>spriteset_mu_Wagon_Gen6_Container_Doublestack_Container_L1_S1</t>
  </si>
  <si>
    <t>spriteset_mu_Wagon_Gen6_Container_Doublestack_purchase</t>
  </si>
  <si>
    <t>switch_mu_Wagon_Gen6_Container_Carrier_cargo_selection</t>
  </si>
  <si>
    <t>switch_mu_Wagon_Gen6_Container_Carrier_Goods_livery</t>
  </si>
  <si>
    <t>switch_mu_Wagon_Gen6_Container_Carrier_Tanktainer_livery</t>
  </si>
  <si>
    <t>switch_mu_Wagon_Gen6_Container_Carrier_Refrigerated_livery</t>
  </si>
  <si>
    <t>switch_mu_Wagon_Gen6_Container_Carrier_Container_livery</t>
  </si>
  <si>
    <t>spriteset_mu_Wagon_Gen6_Container_Carrier_Tanktainer_L4_S3</t>
  </si>
  <si>
    <t>spriteset_mu_Wagon_Gen6_Container_Carrier_Tanktainer_L4_S2</t>
  </si>
  <si>
    <t>spriteset_mu_Wagon_Gen6_Container_Carrier_Tanktainer_L4_S1</t>
  </si>
  <si>
    <t>spriteset_mu_Wagon_Gen6_Container_Carrier_Tanktainer_L3_S3</t>
  </si>
  <si>
    <t>spriteset_mu_Wagon_Gen6_Container_Carrier_Tanktainer_L3_S2</t>
  </si>
  <si>
    <t>spriteset_mu_Wagon_Gen6_Container_Carrier_Tanktainer_L3_S1</t>
  </si>
  <si>
    <t>spriteset_mu_Wagon_Gen6_Container_Carrier_Tanktainer_L2_S3</t>
  </si>
  <si>
    <t>spriteset_mu_Wagon_Gen6_Container_Carrier_Tanktainer_L2_S2</t>
  </si>
  <si>
    <t>spriteset_mu_Wagon_Gen6_Container_Carrier_Tanktainer_L2_S1</t>
  </si>
  <si>
    <t>spriteset_mu_Wagon_Gen6_Container_Carrier_Tanktainer_L1_S3</t>
  </si>
  <si>
    <t>spriteset_mu_Wagon_Gen6_Container_Carrier_Tanktainer_L1_S2</t>
  </si>
  <si>
    <t>spriteset_mu_Wagon_Gen6_Container_Carrier_Tanktainer_L1_S1</t>
  </si>
  <si>
    <t>spriteset_mu_Wagon_Gen6_Container_Carrier_Refrigerated_L4_S3</t>
  </si>
  <si>
    <t>spriteset_mu_Wagon_Gen6_Container_Carrier_Refrigerated_L4_S2</t>
  </si>
  <si>
    <t>spriteset_mu_Wagon_Gen6_Container_Carrier_Refrigerated_L4_S1</t>
  </si>
  <si>
    <t>spriteset_mu_Wagon_Gen6_Container_Carrier_Refrigerated_L3_S3</t>
  </si>
  <si>
    <t>spriteset_mu_Wagon_Gen6_Container_Carrier_Refrigerated_L3_S2</t>
  </si>
  <si>
    <t>spriteset_mu_Wagon_Gen6_Container_Carrier_Refrigerated_L3_S1</t>
  </si>
  <si>
    <t>spriteset_mu_Wagon_Gen6_Container_Carrier_Refrigerated_L2_S3</t>
  </si>
  <si>
    <t>spriteset_mu_Wagon_Gen6_Container_Carrier_Refrigerated_L2_S2</t>
  </si>
  <si>
    <t>spriteset_mu_Wagon_Gen6_Container_Carrier_Refrigerated_L2_S1</t>
  </si>
  <si>
    <t>spriteset_mu_Wagon_Gen6_Container_Carrier_Refrigerated_L1_S3</t>
  </si>
  <si>
    <t>spriteset_mu_Wagon_Gen6_Container_Carrier_Refrigerated_L1_S2</t>
  </si>
  <si>
    <t>spriteset_mu_Wagon_Gen6_Container_Carrier_Refrigerated_L1_S1</t>
  </si>
  <si>
    <t>spriteset_mu_Wagon_Gen6_Container_Carrier_Container_L4_S3</t>
  </si>
  <si>
    <t>spriteset_mu_Wagon_Gen6_Container_Carrier_Container_L4_S2</t>
  </si>
  <si>
    <t>spriteset_mu_Wagon_Gen6_Container_Carrier_Container_L4_S1</t>
  </si>
  <si>
    <t>spriteset_mu_Wagon_Gen6_Container_Carrier_Container_L3_S3</t>
  </si>
  <si>
    <t>spriteset_mu_Wagon_Gen6_Container_Carrier_Container_L3_S2</t>
  </si>
  <si>
    <t>spriteset_mu_Wagon_Gen6_Container_Carrier_Container_L3_S1</t>
  </si>
  <si>
    <t>spriteset_mu_Wagon_Gen6_Container_Carrier_Container_L2_S3</t>
  </si>
  <si>
    <t>spriteset_mu_Wagon_Gen6_Container_Carrier_Container_L2_S2</t>
  </si>
  <si>
    <t>spriteset_mu_Wagon_Gen6_Container_Carrier_Container_L2_S1</t>
  </si>
  <si>
    <t>spriteset_mu_Wagon_Gen6_Container_Carrier_Container_L1_S3</t>
  </si>
  <si>
    <t>spriteset_mu_Wagon_Gen6_Container_Carrier_Container_L1_S2</t>
  </si>
  <si>
    <t>spriteset_mu_Wagon_Gen6_Container_Carrier_Container_L1_S1</t>
  </si>
  <si>
    <t>spriteset_mu_Wagon_Gen6_Container_Carrier_purchase</t>
  </si>
  <si>
    <t>switch_mu_Wagon_Gen6_Centerbeam_cargo_selection</t>
  </si>
  <si>
    <t>switch_mu_Wagon_Gen6_Centerbeam_Supplies_livery</t>
  </si>
  <si>
    <t>switch_mu_Wagon_Gen6_Centerbeam_Steel_livery</t>
  </si>
  <si>
    <t>switch_mu_Wagon_Gen6_Centerbeam_Planks_livery</t>
  </si>
  <si>
    <t>switch_mu_Wagon_Gen6_Centerbeam_Crates_livery</t>
  </si>
  <si>
    <t>spriteset_mu_Wagon_Gen6_Centerbeam_Steel_L4_S3</t>
  </si>
  <si>
    <t>spriteset_mu_Wagon_Gen6_Centerbeam_Steel_L4_S2</t>
  </si>
  <si>
    <t>spriteset_mu_Wagon_Gen6_Centerbeam_Steel_L4_S1</t>
  </si>
  <si>
    <t>spriteset_mu_Wagon_Gen6_Centerbeam_Steel_L3_S3</t>
  </si>
  <si>
    <t>spriteset_mu_Wagon_Gen6_Centerbeam_Steel_L3_S2</t>
  </si>
  <si>
    <t>spriteset_mu_Wagon_Gen6_Centerbeam_Steel_L3_S1</t>
  </si>
  <si>
    <t>spriteset_mu_Wagon_Gen6_Centerbeam_Steel_L2_S3</t>
  </si>
  <si>
    <t>spriteset_mu_Wagon_Gen6_Centerbeam_Steel_L2_S2</t>
  </si>
  <si>
    <t>spriteset_mu_Wagon_Gen6_Centerbeam_Steel_L2_S1</t>
  </si>
  <si>
    <t>spriteset_mu_Wagon_Gen6_Centerbeam_Steel_L1_S3</t>
  </si>
  <si>
    <t>spriteset_mu_Wagon_Gen6_Centerbeam_Steel_L1_S2</t>
  </si>
  <si>
    <t>spriteset_mu_Wagon_Gen6_Centerbeam_Steel_L1_S1</t>
  </si>
  <si>
    <t>spriteset_mu_Wagon_Gen6_Centerbeam_Planks_L4_S3</t>
  </si>
  <si>
    <t>spriteset_mu_Wagon_Gen6_Centerbeam_Planks_L4_S2</t>
  </si>
  <si>
    <t>spriteset_mu_Wagon_Gen6_Centerbeam_Planks_L4_S1</t>
  </si>
  <si>
    <t>spriteset_mu_Wagon_Gen6_Centerbeam_Planks_L3_S3</t>
  </si>
  <si>
    <t>spriteset_mu_Wagon_Gen6_Centerbeam_Planks_L3_S2</t>
  </si>
  <si>
    <t>spriteset_mu_Wagon_Gen6_Centerbeam_Planks_L3_S1</t>
  </si>
  <si>
    <t>spriteset_mu_Wagon_Gen6_Centerbeam_Planks_L2_S3</t>
  </si>
  <si>
    <t>spriteset_mu_Wagon_Gen6_Centerbeam_Planks_L2_S2</t>
  </si>
  <si>
    <t>spriteset_mu_Wagon_Gen6_Centerbeam_Planks_L2_S1</t>
  </si>
  <si>
    <t>spriteset_mu_Wagon_Gen6_Centerbeam_Planks_L1_S3</t>
  </si>
  <si>
    <t>spriteset_mu_Wagon_Gen6_Centerbeam_Planks_L1_S2</t>
  </si>
  <si>
    <t>spriteset_mu_Wagon_Gen6_Centerbeam_Planks_L1_S1</t>
  </si>
  <si>
    <t>spriteset_mu_Wagon_Gen6_Centerbeam_Crates_L4_S3</t>
  </si>
  <si>
    <t>spriteset_mu_Wagon_Gen6_Centerbeam_Crates_L4_S2</t>
  </si>
  <si>
    <t>spriteset_mu_Wagon_Gen6_Centerbeam_Crates_L4_S1</t>
  </si>
  <si>
    <t>spriteset_mu_Wagon_Gen6_Centerbeam_Crates_L3_S3</t>
  </si>
  <si>
    <t>spriteset_mu_Wagon_Gen6_Centerbeam_Crates_L3_S2</t>
  </si>
  <si>
    <t>spriteset_mu_Wagon_Gen6_Centerbeam_Crates_L3_S1</t>
  </si>
  <si>
    <t>spriteset_mu_Wagon_Gen6_Centerbeam_Crates_L2_S3</t>
  </si>
  <si>
    <t>spriteset_mu_Wagon_Gen6_Centerbeam_Crates_L2_S2</t>
  </si>
  <si>
    <t>spriteset_mu_Wagon_Gen6_Centerbeam_Crates_L2_S1</t>
  </si>
  <si>
    <t>spriteset_mu_Wagon_Gen6_Centerbeam_Crates_L1_S3</t>
  </si>
  <si>
    <t>spriteset_mu_Wagon_Gen6_Centerbeam_Crates_L1_S2</t>
  </si>
  <si>
    <t>spriteset_mu_Wagon_Gen6_Centerbeam_Crates_L1_S1</t>
  </si>
  <si>
    <t>spriteset_mu_Wagon_Gen6_Centerbeam_purchase</t>
  </si>
  <si>
    <t>switch_mu_Wagon_Gen6_Car_Transporter_livery</t>
  </si>
  <si>
    <t>spriteset_mu_Wagon_Gen6_Car_Transporter_L4_S3</t>
  </si>
  <si>
    <t>spriteset_mu_Wagon_Gen6_Car_Transporter_L4_S2</t>
  </si>
  <si>
    <t>spriteset_mu_Wagon_Gen6_Car_Transporter_L4_S1</t>
  </si>
  <si>
    <t>spriteset_mu_Wagon_Gen6_Car_Transporter_L3_S3</t>
  </si>
  <si>
    <t>spriteset_mu_Wagon_Gen6_Car_Transporter_L3_S2</t>
  </si>
  <si>
    <t>spriteset_mu_Wagon_Gen6_Car_Transporter_L3_S1</t>
  </si>
  <si>
    <t>spriteset_mu_Wagon_Gen6_Car_Transporter_L2_S3</t>
  </si>
  <si>
    <t>spriteset_mu_Wagon_Gen6_Car_Transporter_L2_S2</t>
  </si>
  <si>
    <t>spriteset_mu_Wagon_Gen6_Car_Transporter_L2_S1</t>
  </si>
  <si>
    <t>spriteset_mu_Wagon_Gen6_Car_Transporter_L1_S3</t>
  </si>
  <si>
    <t>spriteset_mu_Wagon_Gen6_Car_Transporter_L1_S2</t>
  </si>
  <si>
    <t>spriteset_mu_Wagon_Gen6_Car_Transporter_L1_S1</t>
  </si>
  <si>
    <t>spriteset_mu_Wagon_Gen6_Car_Transporter_purchase</t>
  </si>
  <si>
    <t>switch_mu_Wagon_Gen6_Boxcar_Type2_Standard_livery</t>
  </si>
  <si>
    <t>spriteset_mu_Wagon_Gen6_Boxcar_Type2_Standard_L4_S3</t>
  </si>
  <si>
    <t>spriteset_mu_Wagon_Gen6_Boxcar_Type2_Standard_L4_S2</t>
  </si>
  <si>
    <t>spriteset_mu_Wagon_Gen6_Boxcar_Type2_Standard_L4_S1</t>
  </si>
  <si>
    <t>spriteset_mu_Wagon_Gen6_Boxcar_Type2_Standard_L3_S3</t>
  </si>
  <si>
    <t>spriteset_mu_Wagon_Gen6_Boxcar_Type2_Standard_L3_S2</t>
  </si>
  <si>
    <t>spriteset_mu_Wagon_Gen6_Boxcar_Type2_Standard_L3_S1</t>
  </si>
  <si>
    <t>spriteset_mu_Wagon_Gen6_Boxcar_Type2_Standard_L2_S3</t>
  </si>
  <si>
    <t>spriteset_mu_Wagon_Gen6_Boxcar_Type2_Standard_L2_S2</t>
  </si>
  <si>
    <t>spriteset_mu_Wagon_Gen6_Boxcar_Type2_Standard_L2_S1</t>
  </si>
  <si>
    <t>spriteset_mu_Wagon_Gen6_Boxcar_Type2_Standard_L1_S3</t>
  </si>
  <si>
    <t>spriteset_mu_Wagon_Gen6_Boxcar_Type2_Standard_L1_S2</t>
  </si>
  <si>
    <t>spriteset_mu_Wagon_Gen6_Boxcar_Type2_Standard_L1_S1</t>
  </si>
  <si>
    <t>spriteset_mu_Wagon_Gen6_Boxcar_Type2_purchase</t>
  </si>
  <si>
    <t>switch_mu_Wagon_Gen6_Boxcar_Type1_cargo_selection</t>
  </si>
  <si>
    <t>switch_mu_Wagon_Gen6_Boxcar_Type1_Goods_livery</t>
  </si>
  <si>
    <t>switch_mu_Wagon_Gen6_Boxcar_Type1_Standard_livery</t>
  </si>
  <si>
    <t>switch_mu_Wagon_Gen6_Boxcar_Type1_Reefer_livery</t>
  </si>
  <si>
    <t>switch_mu_Wagon_Gen6_Boxcar_Type1_Livestock_livery</t>
  </si>
  <si>
    <t>switch_mu_Wagon_Gen6_Boxcar_Type1_Armoured_livery</t>
  </si>
  <si>
    <t>spriteset_mu_Wagon_Gen6_Boxcar_Type1_Standard_L4_S3</t>
  </si>
  <si>
    <t>spriteset_mu_Wagon_Gen6_Boxcar_Type1_Standard_L4_S2</t>
  </si>
  <si>
    <t>spriteset_mu_Wagon_Gen6_Boxcar_Type1_Standard_L4_S1</t>
  </si>
  <si>
    <t>spriteset_mu_Wagon_Gen6_Boxcar_Type1_Standard_L3_S3</t>
  </si>
  <si>
    <t>spriteset_mu_Wagon_Gen6_Boxcar_Type1_Standard_L3_S2</t>
  </si>
  <si>
    <t>spriteset_mu_Wagon_Gen6_Boxcar_Type1_Standard_L3_S1</t>
  </si>
  <si>
    <t>spriteset_mu_Wagon_Gen6_Boxcar_Type1_Standard_L2_S3</t>
  </si>
  <si>
    <t>spriteset_mu_Wagon_Gen6_Boxcar_Type1_Standard_L2_S2</t>
  </si>
  <si>
    <t>spriteset_mu_Wagon_Gen6_Boxcar_Type1_Standard_L2_S1</t>
  </si>
  <si>
    <t>spriteset_mu_Wagon_Gen6_Boxcar_Type1_Standard_L1_S3</t>
  </si>
  <si>
    <t>spriteset_mu_Wagon_Gen6_Boxcar_Type1_Standard_L1_S2</t>
  </si>
  <si>
    <t>spriteset_mu_Wagon_Gen6_Boxcar_Type1_Standard_L1_S1</t>
  </si>
  <si>
    <t>spriteset_mu_Wagon_Gen6_Boxcar_Type1_Reefer_L4_S3</t>
  </si>
  <si>
    <t>spriteset_mu_Wagon_Gen6_Boxcar_Type1_Reefer_L4_S2</t>
  </si>
  <si>
    <t>spriteset_mu_Wagon_Gen6_Boxcar_Type1_Reefer_L4_S1</t>
  </si>
  <si>
    <t>spriteset_mu_Wagon_Gen6_Boxcar_Type1_Reefer_L3_S3</t>
  </si>
  <si>
    <t>spriteset_mu_Wagon_Gen6_Boxcar_Type1_Reefer_L3_S2</t>
  </si>
  <si>
    <t>spriteset_mu_Wagon_Gen6_Boxcar_Type1_Reefer_L3_S1</t>
  </si>
  <si>
    <t>spriteset_mu_Wagon_Gen6_Boxcar_Type1_Reefer_L2_S3</t>
  </si>
  <si>
    <t>spriteset_mu_Wagon_Gen6_Boxcar_Type1_Reefer_L2_S2</t>
  </si>
  <si>
    <t>spriteset_mu_Wagon_Gen6_Boxcar_Type1_Reefer_L2_S1</t>
  </si>
  <si>
    <t>spriteset_mu_Wagon_Gen6_Boxcar_Type1_Reefer_L1_S3</t>
  </si>
  <si>
    <t>spriteset_mu_Wagon_Gen6_Boxcar_Type1_Reefer_L1_S2</t>
  </si>
  <si>
    <t>spriteset_mu_Wagon_Gen6_Boxcar_Type1_Reefer_L1_S1</t>
  </si>
  <si>
    <t>spriteset_mu_Wagon_Gen6_Boxcar_Type1_Livestock_L4_S3</t>
  </si>
  <si>
    <t>spriteset_mu_Wagon_Gen6_Boxcar_Type1_Livestock_L4_S2</t>
  </si>
  <si>
    <t>spriteset_mu_Wagon_Gen6_Boxcar_Type1_Livestock_L4_S1</t>
  </si>
  <si>
    <t>spriteset_mu_Wagon_Gen6_Boxcar_Type1_Livestock_L3_S3</t>
  </si>
  <si>
    <t>spriteset_mu_Wagon_Gen6_Boxcar_Type1_Livestock_L3_S2</t>
  </si>
  <si>
    <t>spriteset_mu_Wagon_Gen6_Boxcar_Type1_Livestock_L3_S1</t>
  </si>
  <si>
    <t>spriteset_mu_Wagon_Gen6_Boxcar_Type1_Livestock_L2_S3</t>
  </si>
  <si>
    <t>spriteset_mu_Wagon_Gen6_Boxcar_Type1_Livestock_L2_S2</t>
  </si>
  <si>
    <t>spriteset_mu_Wagon_Gen6_Boxcar_Type1_Livestock_L2_S1</t>
  </si>
  <si>
    <t>spriteset_mu_Wagon_Gen6_Boxcar_Type1_Livestock_L1_S3</t>
  </si>
  <si>
    <t>spriteset_mu_Wagon_Gen6_Boxcar_Type1_Livestock_L1_S2</t>
  </si>
  <si>
    <t>spriteset_mu_Wagon_Gen6_Boxcar_Type1_Livestock_L1_S1</t>
  </si>
  <si>
    <t>spriteset_mu_Wagon_Gen6_Boxcar_Type1_Armoured_L4_S3</t>
  </si>
  <si>
    <t>spriteset_mu_Wagon_Gen6_Boxcar_Type1_Armoured_L4_S2</t>
  </si>
  <si>
    <t>spriteset_mu_Wagon_Gen6_Boxcar_Type1_Armoured_L4_S1</t>
  </si>
  <si>
    <t>spriteset_mu_Wagon_Gen6_Boxcar_Type1_Armoured_L3_S3</t>
  </si>
  <si>
    <t>spriteset_mu_Wagon_Gen6_Boxcar_Type1_Armoured_L3_S2</t>
  </si>
  <si>
    <t>spriteset_mu_Wagon_Gen6_Boxcar_Type1_Armoured_L3_S1</t>
  </si>
  <si>
    <t>spriteset_mu_Wagon_Gen6_Boxcar_Type1_Armoured_L2_S3</t>
  </si>
  <si>
    <t>spriteset_mu_Wagon_Gen6_Boxcar_Type1_Armoured_L2_S2</t>
  </si>
  <si>
    <t>spriteset_mu_Wagon_Gen6_Boxcar_Type1_Armoured_L2_S1</t>
  </si>
  <si>
    <t>spriteset_mu_Wagon_Gen6_Boxcar_Type1_Armoured_L1_S3</t>
  </si>
  <si>
    <t>spriteset_mu_Wagon_Gen6_Boxcar_Type1_Armoured_L1_S2</t>
  </si>
  <si>
    <t>spriteset_mu_Wagon_Gen6_Boxcar_Type1_Armoured_L1_S1</t>
  </si>
  <si>
    <t>spriteset_mu_Wagon_Gen6_Boxcar_Type1_purchase</t>
  </si>
  <si>
    <t>switch_mu_Wagon_Gen5_Tanker_cargo_selection</t>
  </si>
  <si>
    <t>switch_mu_Wagon_Gen5_Tanker_Oil_livery_selection</t>
  </si>
  <si>
    <t>switch_mu_Wagon_Gen5_Tanker_Standard_livery</t>
  </si>
  <si>
    <t>switch_mu_Wagon_Gen5_Tanker_Oil_livery</t>
  </si>
  <si>
    <t>spriteset_mu_Wagon_Gen5_Tanker_Standard_L4_S3</t>
  </si>
  <si>
    <t>spriteset_mu_Wagon_Gen5_Tanker_Standard_L4_S2</t>
  </si>
  <si>
    <t>spriteset_mu_Wagon_Gen5_Tanker_Standard_L4_S1</t>
  </si>
  <si>
    <t>spriteset_mu_Wagon_Gen5_Tanker_Standard_L3_S3</t>
  </si>
  <si>
    <t>spriteset_mu_Wagon_Gen5_Tanker_Standard_L3_S2</t>
  </si>
  <si>
    <t>spriteset_mu_Wagon_Gen5_Tanker_Standard_L3_S1</t>
  </si>
  <si>
    <t>spriteset_mu_Wagon_Gen5_Tanker_Standard_L2_S3</t>
  </si>
  <si>
    <t>spriteset_mu_Wagon_Gen5_Tanker_Standard_L2_S2</t>
  </si>
  <si>
    <t>spriteset_mu_Wagon_Gen5_Tanker_Standard_L2_S1</t>
  </si>
  <si>
    <t>spriteset_mu_Wagon_Gen5_Tanker_Standard_L1_S3</t>
  </si>
  <si>
    <t>spriteset_mu_Wagon_Gen5_Tanker_Standard_L1_S2</t>
  </si>
  <si>
    <t>spriteset_mu_Wagon_Gen5_Tanker_Standard_L1_S1</t>
  </si>
  <si>
    <t>spriteset_mu_Wagon_Gen5_Tanker_Oil_L4_S3</t>
  </si>
  <si>
    <t>spriteset_mu_Wagon_Gen5_Tanker_Oil_L4_S2</t>
  </si>
  <si>
    <t>spriteset_mu_Wagon_Gen5_Tanker_Oil_L4_S1</t>
  </si>
  <si>
    <t>spriteset_mu_Wagon_Gen5_Tanker_Oil_L3_S3</t>
  </si>
  <si>
    <t>spriteset_mu_Wagon_Gen5_Tanker_Oil_L3_S2</t>
  </si>
  <si>
    <t>spriteset_mu_Wagon_Gen5_Tanker_Oil_L3_S1</t>
  </si>
  <si>
    <t>spriteset_mu_Wagon_Gen5_Tanker_Oil_L2_S3</t>
  </si>
  <si>
    <t>spriteset_mu_Wagon_Gen5_Tanker_Oil_L2_S2</t>
  </si>
  <si>
    <t>spriteset_mu_Wagon_Gen5_Tanker_Oil_L2_S1</t>
  </si>
  <si>
    <t>spriteset_mu_Wagon_Gen5_Tanker_Oil_L1_S3</t>
  </si>
  <si>
    <t>spriteset_mu_Wagon_Gen5_Tanker_Oil_L1_S2</t>
  </si>
  <si>
    <t>spriteset_mu_Wagon_Gen5_Tanker_Oil_L1_S1</t>
  </si>
  <si>
    <t>spriteset_mu_Wagon_Gen5_Tanker_purchase</t>
  </si>
  <si>
    <t>switch_mu_Wagon_Gen5_Superheavy_Flatcar_articulated</t>
  </si>
  <si>
    <t>switch_mu_Wagon_Gen5_Superheavy_Flatcar</t>
  </si>
  <si>
    <t>switch_mu_Wagon_Gen5_Superheavy_Flatcar_middle_livery</t>
  </si>
  <si>
    <t>spriteset_mu_Wagon_Gen5_Superheavy_Flatcar_middle_L4</t>
  </si>
  <si>
    <t>spriteset_mu_Wagon_Gen5_Superheavy_Flatcar_middle_L3</t>
  </si>
  <si>
    <t>spriteset_mu_Wagon_Gen5_Superheavy_Flatcar_middle_L2</t>
  </si>
  <si>
    <t>spriteset_mu_Wagon_Gen5_Superheavy_Flatcar_middle_L1</t>
  </si>
  <si>
    <t>spriteset_mu_Wagon_Gen5_Superheavy_Flatcar_middle_empty</t>
  </si>
  <si>
    <t>spriteset_mu_Wagon_Gen5_Superheavy_Flatcar_back</t>
  </si>
  <si>
    <t>spriteset_mu_Wagon_Gen5_Superheavy_Flatcar_front</t>
  </si>
  <si>
    <t>spriteset_mu_Wagon_Gen5_Superheavy_Flatcar_purchase</t>
  </si>
  <si>
    <t>switch_mu_Wagon_Gen5_Silo_Type2_livery</t>
  </si>
  <si>
    <t>spriteset_mu_Wagon_Gen5_Silo_Type2_L4_S3</t>
  </si>
  <si>
    <t>spriteset_mu_Wagon_Gen5_Silo_Type2_L4_S2</t>
  </si>
  <si>
    <t>spriteset_mu_Wagon_Gen5_Silo_Type2_L4_S1</t>
  </si>
  <si>
    <t>spriteset_mu_Wagon_Gen5_Silo_Type2_L3_S3</t>
  </si>
  <si>
    <t>spriteset_mu_Wagon_Gen5_Silo_Type2_L3_S2</t>
  </si>
  <si>
    <t>spriteset_mu_Wagon_Gen5_Silo_Type2_L3_S1</t>
  </si>
  <si>
    <t>spriteset_mu_Wagon_Gen5_Silo_Type2_L2_S3</t>
  </si>
  <si>
    <t>spriteset_mu_Wagon_Gen5_Silo_Type2_L2_S2</t>
  </si>
  <si>
    <t>spriteset_mu_Wagon_Gen5_Silo_Type2_L2_S1</t>
  </si>
  <si>
    <t>spriteset_mu_Wagon_Gen5_Silo_Type2_L1_S3</t>
  </si>
  <si>
    <t>spriteset_mu_Wagon_Gen5_Silo_Type2_L1_S2</t>
  </si>
  <si>
    <t>spriteset_mu_Wagon_Gen5_Silo_Type2_L1_S1</t>
  </si>
  <si>
    <t>spriteset_mu_Wagon_Gen5_Silo_Type2_purchase</t>
  </si>
  <si>
    <t>switch_mu_Wagon_Gen5_Silo_Type1_livery</t>
  </si>
  <si>
    <t>spriteset_mu_Wagon_Gen5_Silo_Type1_L4_S3</t>
  </si>
  <si>
    <t>spriteset_mu_Wagon_Gen5_Silo_Type1_L4_S2</t>
  </si>
  <si>
    <t>spriteset_mu_Wagon_Gen5_Silo_Type1_L4_S1</t>
  </si>
  <si>
    <t>spriteset_mu_Wagon_Gen5_Silo_Type1_L3_S3</t>
  </si>
  <si>
    <t>spriteset_mu_Wagon_Gen5_Silo_Type1_L3_S2</t>
  </si>
  <si>
    <t>spriteset_mu_Wagon_Gen5_Silo_Type1_L3_S1</t>
  </si>
  <si>
    <t>spriteset_mu_Wagon_Gen5_Silo_Type1_L2_S3</t>
  </si>
  <si>
    <t>spriteset_mu_Wagon_Gen5_Silo_Type1_L2_S2</t>
  </si>
  <si>
    <t>spriteset_mu_Wagon_Gen5_Silo_Type1_L2_S1</t>
  </si>
  <si>
    <t>spriteset_mu_Wagon_Gen5_Silo_Type1_L1_S3</t>
  </si>
  <si>
    <t>spriteset_mu_Wagon_Gen5_Silo_Type1_L1_S2</t>
  </si>
  <si>
    <t>spriteset_mu_Wagon_Gen5_Silo_Type1_L1_S1</t>
  </si>
  <si>
    <t>spriteset_mu_Wagon_Gen5_Silo_Type1_purchase</t>
  </si>
  <si>
    <t>switch_mu_Wagon_Gen5_Hopper_Type2_cargo_selection</t>
  </si>
  <si>
    <t>switch_mu_Wagon_Gen5_Hopper_Type2_Gray_livery</t>
  </si>
  <si>
    <t>switch_mu_Wagon_Gen5_Hopper_Type2_Sand_livery</t>
  </si>
  <si>
    <t>switch_mu_Wagon_Gen5_Hopper_Type2_Ore_livery</t>
  </si>
  <si>
    <t>switch_mu_Wagon_Gen5_Hopper_Type2_Coal_livery</t>
  </si>
  <si>
    <t>spriteset_mu_Wagon_Gen5_Hopper_Type2_Gray_L4_S3</t>
  </si>
  <si>
    <t>spriteset_mu_Wagon_Gen5_Hopper_Type2_Gray_L4_S2</t>
  </si>
  <si>
    <t>spriteset_mu_Wagon_Gen5_Hopper_Type2_Gray_L4_S1</t>
  </si>
  <si>
    <t>spriteset_mu_Wagon_Gen5_Hopper_Type2_Gray_L3_S3</t>
  </si>
  <si>
    <t>spriteset_mu_Wagon_Gen5_Hopper_Type2_Gray_L3_S2</t>
  </si>
  <si>
    <t>spriteset_mu_Wagon_Gen5_Hopper_Type2_Gray_L3_S1</t>
  </si>
  <si>
    <t>spriteset_mu_Wagon_Gen5_Hopper_Type2_Gray_L2_S3</t>
  </si>
  <si>
    <t>spriteset_mu_Wagon_Gen5_Hopper_Type2_Gray_L2_S2</t>
  </si>
  <si>
    <t>spriteset_mu_Wagon_Gen5_Hopper_Type2_Gray_L2_S1</t>
  </si>
  <si>
    <t>spriteset_mu_Wagon_Gen5_Hopper_Type2_Gray_L1_S3</t>
  </si>
  <si>
    <t>spriteset_mu_Wagon_Gen5_Hopper_Type2_Gray_L1_S2</t>
  </si>
  <si>
    <t>spriteset_mu_Wagon_Gen5_Hopper_Type2_Gray_L1_S1</t>
  </si>
  <si>
    <t>spriteset_mu_Wagon_Gen5_Hopper_Type2_Sand_L4_S3</t>
  </si>
  <si>
    <t>spriteset_mu_Wagon_Gen5_Hopper_Type2_Sand_L4_S2</t>
  </si>
  <si>
    <t>spriteset_mu_Wagon_Gen5_Hopper_Type2_Sand_L4_S1</t>
  </si>
  <si>
    <t>spriteset_mu_Wagon_Gen5_Hopper_Type2_Sand_L3_S3</t>
  </si>
  <si>
    <t>spriteset_mu_Wagon_Gen5_Hopper_Type2_Sand_L3_S2</t>
  </si>
  <si>
    <t>spriteset_mu_Wagon_Gen5_Hopper_Type2_Sand_L3_S1</t>
  </si>
  <si>
    <t>spriteset_mu_Wagon_Gen5_Hopper_Type2_Sand_L2_S3</t>
  </si>
  <si>
    <t>spriteset_mu_Wagon_Gen5_Hopper_Type2_Sand_L2_S2</t>
  </si>
  <si>
    <t>spriteset_mu_Wagon_Gen5_Hopper_Type2_Sand_L2_S1</t>
  </si>
  <si>
    <t>spriteset_mu_Wagon_Gen5_Hopper_Type2_Sand_L1_S3</t>
  </si>
  <si>
    <t>spriteset_mu_Wagon_Gen5_Hopper_Type2_Sand_L1_S2</t>
  </si>
  <si>
    <t>spriteset_mu_Wagon_Gen5_Hopper_Type2_Sand_L1_S1</t>
  </si>
  <si>
    <t>spriteset_mu_Wagon_Gen5_Hopper_Type2_Ore_L4_S3</t>
  </si>
  <si>
    <t>spriteset_mu_Wagon_Gen5_Hopper_Type2_Ore_L4_S2</t>
  </si>
  <si>
    <t>spriteset_mu_Wagon_Gen5_Hopper_Type2_Ore_L4_S1</t>
  </si>
  <si>
    <t>spriteset_mu_Wagon_Gen5_Hopper_Type2_Ore_L3_S3</t>
  </si>
  <si>
    <t>spriteset_mu_Wagon_Gen5_Hopper_Type2_Ore_L3_S2</t>
  </si>
  <si>
    <t>spriteset_mu_Wagon_Gen5_Hopper_Type2_Ore_L3_S1</t>
  </si>
  <si>
    <t>spriteset_mu_Wagon_Gen5_Hopper_Type2_Ore_L2_S3</t>
  </si>
  <si>
    <t>spriteset_mu_Wagon_Gen5_Hopper_Type2_Ore_L2_S2</t>
  </si>
  <si>
    <t>spriteset_mu_Wagon_Gen5_Hopper_Type2_Ore_L2_S1</t>
  </si>
  <si>
    <t>spriteset_mu_Wagon_Gen5_Hopper_Type2_Ore_L1_S3</t>
  </si>
  <si>
    <t>spriteset_mu_Wagon_Gen5_Hopper_Type2_Ore_L1_S2</t>
  </si>
  <si>
    <t>spriteset_mu_Wagon_Gen5_Hopper_Type2_Ore_L1_S1</t>
  </si>
  <si>
    <t>spriteset_mu_Wagon_Gen5_Hopper_Type2_Coal_L4_S3</t>
  </si>
  <si>
    <t>spriteset_mu_Wagon_Gen5_Hopper_Type2_Coal_L4_S2</t>
  </si>
  <si>
    <t>spriteset_mu_Wagon_Gen5_Hopper_Type2_Coal_L4_S1</t>
  </si>
  <si>
    <t>spriteset_mu_Wagon_Gen5_Hopper_Type2_Coal_L3_S3</t>
  </si>
  <si>
    <t>spriteset_mu_Wagon_Gen5_Hopper_Type2_Coal_L3_S2</t>
  </si>
  <si>
    <t>spriteset_mu_Wagon_Gen5_Hopper_Type2_Coal_L3_S1</t>
  </si>
  <si>
    <t>spriteset_mu_Wagon_Gen5_Hopper_Type2_Coal_L2_S3</t>
  </si>
  <si>
    <t>spriteset_mu_Wagon_Gen5_Hopper_Type2_Coal_L2_S2</t>
  </si>
  <si>
    <t>spriteset_mu_Wagon_Gen5_Hopper_Type2_Coal_L2_S1</t>
  </si>
  <si>
    <t>spriteset_mu_Wagon_Gen5_Hopper_Type2_Coal_L1_S3</t>
  </si>
  <si>
    <t>spriteset_mu_Wagon_Gen5_Hopper_Type2_Coal_L1_S2</t>
  </si>
  <si>
    <t>spriteset_mu_Wagon_Gen5_Hopper_Type2_Coal_L1_S1</t>
  </si>
  <si>
    <t>spriteset_mu_Wagon_Gen5_Hopper_Type2_purchase</t>
  </si>
  <si>
    <t>switch_mu_Wagon_Gen5_Hopper_Type1_cargo_selection</t>
  </si>
  <si>
    <t>switch_mu_Wagon_Gen5_Hopper_Type1_Gray_livery</t>
  </si>
  <si>
    <t>switch_mu_Wagon_Gen5_Hopper_Type1_Sand_livery</t>
  </si>
  <si>
    <t>switch_mu_Wagon_Gen5_Hopper_Type1_Ore_livery</t>
  </si>
  <si>
    <t>switch_mu_Wagon_Gen5_Hopper_Type1_Coal_livery</t>
  </si>
  <si>
    <t>spriteset_mu_Wagon_Gen5_Hopper_Type1_Gray_L4_S3</t>
  </si>
  <si>
    <t>spriteset_mu_Wagon_Gen5_Hopper_Type1_Gray_L4_S2</t>
  </si>
  <si>
    <t>spriteset_mu_Wagon_Gen5_Hopper_Type1_Gray_L4_S1</t>
  </si>
  <si>
    <t>spriteset_mu_Wagon_Gen5_Hopper_Type1_Gray_L3_S3</t>
  </si>
  <si>
    <t>spriteset_mu_Wagon_Gen5_Hopper_Type1_Gray_L3_S2</t>
  </si>
  <si>
    <t>spriteset_mu_Wagon_Gen5_Hopper_Type1_Gray_L3_S1</t>
  </si>
  <si>
    <t>spriteset_mu_Wagon_Gen5_Hopper_Type1_Gray_L2_S3</t>
  </si>
  <si>
    <t>spriteset_mu_Wagon_Gen5_Hopper_Type1_Gray_L2_S2</t>
  </si>
  <si>
    <t>spriteset_mu_Wagon_Gen5_Hopper_Type1_Gray_L2_S1</t>
  </si>
  <si>
    <t>spriteset_mu_Wagon_Gen5_Hopper_Type1_Gray_L1_S3</t>
  </si>
  <si>
    <t>spriteset_mu_Wagon_Gen5_Hopper_Type1_Gray_L1_S2</t>
  </si>
  <si>
    <t>spriteset_mu_Wagon_Gen5_Hopper_Type1_Gray_L1_S1</t>
  </si>
  <si>
    <t>spriteset_mu_Wagon_Gen5_Hopper_Type1_Sand_L4_S3</t>
  </si>
  <si>
    <t>spriteset_mu_Wagon_Gen5_Hopper_Type1_Sand_L4_S2</t>
  </si>
  <si>
    <t>spriteset_mu_Wagon_Gen5_Hopper_Type1_Sand_L4_S1</t>
  </si>
  <si>
    <t>spriteset_mu_Wagon_Gen5_Hopper_Type1_Sand_L3_S3</t>
  </si>
  <si>
    <t>spriteset_mu_Wagon_Gen5_Hopper_Type1_Sand_L3_S2</t>
  </si>
  <si>
    <t>spriteset_mu_Wagon_Gen5_Hopper_Type1_Sand_L3_S1</t>
  </si>
  <si>
    <t>spriteset_mu_Wagon_Gen5_Hopper_Type1_Sand_L2_S3</t>
  </si>
  <si>
    <t>spriteset_mu_Wagon_Gen5_Hopper_Type1_Sand_L2_S2</t>
  </si>
  <si>
    <t>spriteset_mu_Wagon_Gen5_Hopper_Type1_Sand_L2_S1</t>
  </si>
  <si>
    <t>spriteset_mu_Wagon_Gen5_Hopper_Type1_Sand_L1_S3</t>
  </si>
  <si>
    <t>spriteset_mu_Wagon_Gen5_Hopper_Type1_Sand_L1_S2</t>
  </si>
  <si>
    <t>spriteset_mu_Wagon_Gen5_Hopper_Type1_Sand_L1_S1</t>
  </si>
  <si>
    <t>spriteset_mu_Wagon_Gen5_Hopper_Type1_Ore_L4_S3</t>
  </si>
  <si>
    <t>spriteset_mu_Wagon_Gen5_Hopper_Type1_Ore_L4_S2</t>
  </si>
  <si>
    <t>spriteset_mu_Wagon_Gen5_Hopper_Type1_Ore_L4_S1</t>
  </si>
  <si>
    <t>spriteset_mu_Wagon_Gen5_Hopper_Type1_Ore_L3_S3</t>
  </si>
  <si>
    <t>spriteset_mu_Wagon_Gen5_Hopper_Type1_Ore_L3_S2</t>
  </si>
  <si>
    <t>spriteset_mu_Wagon_Gen5_Hopper_Type1_Ore_L3_S1</t>
  </si>
  <si>
    <t>spriteset_mu_Wagon_Gen5_Hopper_Type1_Ore_L2_S3</t>
  </si>
  <si>
    <t>spriteset_mu_Wagon_Gen5_Hopper_Type1_Ore_L2_S2</t>
  </si>
  <si>
    <t>spriteset_mu_Wagon_Gen5_Hopper_Type1_Ore_L2_S1</t>
  </si>
  <si>
    <t>spriteset_mu_Wagon_Gen5_Hopper_Type1_Ore_L1_S3</t>
  </si>
  <si>
    <t>spriteset_mu_Wagon_Gen5_Hopper_Type1_Ore_L1_S2</t>
  </si>
  <si>
    <t>spriteset_mu_Wagon_Gen5_Hopper_Type1_Ore_L1_S1</t>
  </si>
  <si>
    <t>spriteset_mu_Wagon_Gen5_Hopper_Type1_Coal_L4_S3</t>
  </si>
  <si>
    <t>spriteset_mu_Wagon_Gen5_Hopper_Type1_Coal_L4_S2</t>
  </si>
  <si>
    <t>spriteset_mu_Wagon_Gen5_Hopper_Type1_Coal_L4_S1</t>
  </si>
  <si>
    <t>spriteset_mu_Wagon_Gen5_Hopper_Type1_Coal_L3_S3</t>
  </si>
  <si>
    <t>spriteset_mu_Wagon_Gen5_Hopper_Type1_Coal_L3_S2</t>
  </si>
  <si>
    <t>spriteset_mu_Wagon_Gen5_Hopper_Type1_Coal_L3_S1</t>
  </si>
  <si>
    <t>spriteset_mu_Wagon_Gen5_Hopper_Type1_Coal_L2_S3</t>
  </si>
  <si>
    <t>spriteset_mu_Wagon_Gen5_Hopper_Type1_Coal_L2_S2</t>
  </si>
  <si>
    <t>spriteset_mu_Wagon_Gen5_Hopper_Type1_Coal_L2_S1</t>
  </si>
  <si>
    <t>spriteset_mu_Wagon_Gen5_Hopper_Type1_Coal_L1_S3</t>
  </si>
  <si>
    <t>spriteset_mu_Wagon_Gen5_Hopper_Type1_Coal_L1_S2</t>
  </si>
  <si>
    <t>spriteset_mu_Wagon_Gen5_Hopper_Type1_Coal_L1_S1</t>
  </si>
  <si>
    <t>spriteset_mu_Wagon_Gen5_Hopper_Type1_purchase</t>
  </si>
  <si>
    <t>switch_mu_Wagon_Gen5_Heavy_Flatcar_cargo_selection</t>
  </si>
  <si>
    <t>switch_mu_Wagon_Gen5_Heavy_Flatcar_Supplies_livery</t>
  </si>
  <si>
    <t>switch_mu_Wagon_Gen5_Heavy_Flatcar_Goods_livery</t>
  </si>
  <si>
    <t>switch_mu_Wagon_Gen5_Heavy_Flatcar_YETI_livery</t>
  </si>
  <si>
    <t>switch_mu_Wagon_Gen5_Heavy_Flatcar_Steel_livery</t>
  </si>
  <si>
    <t>switch_mu_Wagon_Gen5_Heavy_Flatcar_Machinery_livery</t>
  </si>
  <si>
    <t>switch_mu_Wagon_Gen5_Heavy_Flatcar_Cars_livery</t>
  </si>
  <si>
    <t>switch_mu_Wagon_Gen5_Heavy_Flatcar_Crates_livery</t>
  </si>
  <si>
    <t>spriteset_mu_Wagon_Gen5_Heavy_Flatcar_YETI_L4_S3</t>
  </si>
  <si>
    <t>spriteset_mu_Wagon_Gen5_Heavy_Flatcar_YETI_L4_S2</t>
  </si>
  <si>
    <t>spriteset_mu_Wagon_Gen5_Heavy_Flatcar_YETI_L4_S1</t>
  </si>
  <si>
    <t>spriteset_mu_Wagon_Gen5_Heavy_Flatcar_YETI_L3_S3</t>
  </si>
  <si>
    <t>spriteset_mu_Wagon_Gen5_Heavy_Flatcar_YETI_L3_S2</t>
  </si>
  <si>
    <t>spriteset_mu_Wagon_Gen5_Heavy_Flatcar_YETI_L3_S1</t>
  </si>
  <si>
    <t>spriteset_mu_Wagon_Gen5_Heavy_Flatcar_YETI_L2_S3</t>
  </si>
  <si>
    <t>spriteset_mu_Wagon_Gen5_Heavy_Flatcar_YETI_L2_S2</t>
  </si>
  <si>
    <t>spriteset_mu_Wagon_Gen5_Heavy_Flatcar_YETI_L2_S1</t>
  </si>
  <si>
    <t>spriteset_mu_Wagon_Gen5_Heavy_Flatcar_YETI_L1_S3</t>
  </si>
  <si>
    <t>spriteset_mu_Wagon_Gen5_Heavy_Flatcar_YETI_L1_S2</t>
  </si>
  <si>
    <t>spriteset_mu_Wagon_Gen5_Heavy_Flatcar_YETI_L1_S1</t>
  </si>
  <si>
    <t>spriteset_mu_Wagon_Gen5_Heavy_Flatcar_Steel_L4_S3</t>
  </si>
  <si>
    <t>spriteset_mu_Wagon_Gen5_Heavy_Flatcar_Steel_L4_S2</t>
  </si>
  <si>
    <t>spriteset_mu_Wagon_Gen5_Heavy_Flatcar_Steel_L4_S1</t>
  </si>
  <si>
    <t>spriteset_mu_Wagon_Gen5_Heavy_Flatcar_Steel_L3_S3</t>
  </si>
  <si>
    <t>spriteset_mu_Wagon_Gen5_Heavy_Flatcar_Steel_L3_S2</t>
  </si>
  <si>
    <t>spriteset_mu_Wagon_Gen5_Heavy_Flatcar_Steel_L3_S1</t>
  </si>
  <si>
    <t>spriteset_mu_Wagon_Gen5_Heavy_Flatcar_Steel_L2_S3</t>
  </si>
  <si>
    <t>spriteset_mu_Wagon_Gen5_Heavy_Flatcar_Steel_L2_S2</t>
  </si>
  <si>
    <t>spriteset_mu_Wagon_Gen5_Heavy_Flatcar_Steel_L2_S1</t>
  </si>
  <si>
    <t>spriteset_mu_Wagon_Gen5_Heavy_Flatcar_Steel_L1_S3</t>
  </si>
  <si>
    <t>spriteset_mu_Wagon_Gen5_Heavy_Flatcar_Steel_L1_S2</t>
  </si>
  <si>
    <t>spriteset_mu_Wagon_Gen5_Heavy_Flatcar_Steel_L1_S1</t>
  </si>
  <si>
    <t>spriteset_mu_Wagon_Gen5_Heavy_Flatcar_Machinery_L4_S3</t>
  </si>
  <si>
    <t>spriteset_mu_Wagon_Gen5_Heavy_Flatcar_Machinery_L4_S2</t>
  </si>
  <si>
    <t>spriteset_mu_Wagon_Gen5_Heavy_Flatcar_Machinery_L4_S1</t>
  </si>
  <si>
    <t>spriteset_mu_Wagon_Gen5_Heavy_Flatcar_Machinery_L3_S3</t>
  </si>
  <si>
    <t>spriteset_mu_Wagon_Gen5_Heavy_Flatcar_Machinery_L3_S2</t>
  </si>
  <si>
    <t>spriteset_mu_Wagon_Gen5_Heavy_Flatcar_Machinery_L3_S1</t>
  </si>
  <si>
    <t>spriteset_mu_Wagon_Gen5_Heavy_Flatcar_Machinery_L2_S3</t>
  </si>
  <si>
    <t>spriteset_mu_Wagon_Gen5_Heavy_Flatcar_Machinery_L2_S2</t>
  </si>
  <si>
    <t>spriteset_mu_Wagon_Gen5_Heavy_Flatcar_Machinery_L2_S1</t>
  </si>
  <si>
    <t>spriteset_mu_Wagon_Gen5_Heavy_Flatcar_Machinery_L1_S3</t>
  </si>
  <si>
    <t>spriteset_mu_Wagon_Gen5_Heavy_Flatcar_Machinery_L1_S2</t>
  </si>
  <si>
    <t>spriteset_mu_Wagon_Gen5_Heavy_Flatcar_Machinery_L1_S1</t>
  </si>
  <si>
    <t>spriteset_mu_Wagon_Gen5_Heavy_Flatcar_Cars_L4_S3</t>
  </si>
  <si>
    <t>spriteset_mu_Wagon_Gen5_Heavy_Flatcar_Cars_L4_S2</t>
  </si>
  <si>
    <t>spriteset_mu_Wagon_Gen5_Heavy_Flatcar_Cars_L4_S1</t>
  </si>
  <si>
    <t>spriteset_mu_Wagon_Gen5_Heavy_Flatcar_Cars_L3_S3</t>
  </si>
  <si>
    <t>spriteset_mu_Wagon_Gen5_Heavy_Flatcar_Cars_L3_S2</t>
  </si>
  <si>
    <t>spriteset_mu_Wagon_Gen5_Heavy_Flatcar_Cars_L3_S1</t>
  </si>
  <si>
    <t>spriteset_mu_Wagon_Gen5_Heavy_Flatcar_Cars_L2_S3</t>
  </si>
  <si>
    <t>spriteset_mu_Wagon_Gen5_Heavy_Flatcar_Cars_L2_S2</t>
  </si>
  <si>
    <t>spriteset_mu_Wagon_Gen5_Heavy_Flatcar_Cars_L2_S1</t>
  </si>
  <si>
    <t>spriteset_mu_Wagon_Gen5_Heavy_Flatcar_Cars_L1_S3</t>
  </si>
  <si>
    <t>spriteset_mu_Wagon_Gen5_Heavy_Flatcar_Cars_L1_S2</t>
  </si>
  <si>
    <t>spriteset_mu_Wagon_Gen5_Heavy_Flatcar_Cars_L1_S1</t>
  </si>
  <si>
    <t>spriteset_mu_Wagon_Gen5_Heavy_Flatcar_Crates_L4_S3</t>
  </si>
  <si>
    <t>spriteset_mu_Wagon_Gen5_Heavy_Flatcar_Crates_L4_S2</t>
  </si>
  <si>
    <t>spriteset_mu_Wagon_Gen5_Heavy_Flatcar_Crates_L4_S1</t>
  </si>
  <si>
    <t>spriteset_mu_Wagon_Gen5_Heavy_Flatcar_Crates_L3_S3</t>
  </si>
  <si>
    <t>spriteset_mu_Wagon_Gen5_Heavy_Flatcar_Crates_L3_S2</t>
  </si>
  <si>
    <t>spriteset_mu_Wagon_Gen5_Heavy_Flatcar_Crates_L3_S1</t>
  </si>
  <si>
    <t>spriteset_mu_Wagon_Gen5_Heavy_Flatcar_Crates_L2_S3</t>
  </si>
  <si>
    <t>spriteset_mu_Wagon_Gen5_Heavy_Flatcar_Crates_L2_S2</t>
  </si>
  <si>
    <t>spriteset_mu_Wagon_Gen5_Heavy_Flatcar_Crates_L2_S1</t>
  </si>
  <si>
    <t>spriteset_mu_Wagon_Gen5_Heavy_Flatcar_Crates_L1_S3</t>
  </si>
  <si>
    <t>spriteset_mu_Wagon_Gen5_Heavy_Flatcar_Crates_L1_S2</t>
  </si>
  <si>
    <t>spriteset_mu_Wagon_Gen5_Heavy_Flatcar_Crates_L1_S1</t>
  </si>
  <si>
    <t>spriteset_mu_Wagon_Gen5_Heavy_Flatcar_purchase</t>
  </si>
  <si>
    <t>switch_mu_Wagon_Gen5_Gondola_cargo_selection</t>
  </si>
  <si>
    <t>switch_mu_Wagon_Gen5_Gondola_Gray_livery</t>
  </si>
  <si>
    <t>switch_mu_Wagon_Gen5_Gondola_Sand_livery</t>
  </si>
  <si>
    <t>switch_mu_Wagon_Gen5_Gondola_Wood_livery</t>
  </si>
  <si>
    <t>switch_mu_Wagon_Gen5_Gondola_Ore_livery</t>
  </si>
  <si>
    <t>switch_mu_Wagon_Gen5_Gondola_Grain_livery</t>
  </si>
  <si>
    <t>switch_mu_Wagon_Gen5_Gondola_Coal_livery</t>
  </si>
  <si>
    <t>spriteset_mu_Wagon_Gen5_Gondola_Gray_L4_S3</t>
  </si>
  <si>
    <t>spriteset_mu_Wagon_Gen5_Gondola_Gray_L4_S2</t>
  </si>
  <si>
    <t>spriteset_mu_Wagon_Gen5_Gondola_Gray_L4_S1</t>
  </si>
  <si>
    <t>spriteset_mu_Wagon_Gen5_Gondola_Gray_L3_S3</t>
  </si>
  <si>
    <t>spriteset_mu_Wagon_Gen5_Gondola_Gray_L3_S2</t>
  </si>
  <si>
    <t>spriteset_mu_Wagon_Gen5_Gondola_Gray_L3_S1</t>
  </si>
  <si>
    <t>spriteset_mu_Wagon_Gen5_Gondola_Gray_L2_S3</t>
  </si>
  <si>
    <t>spriteset_mu_Wagon_Gen5_Gondola_Gray_L2_S2</t>
  </si>
  <si>
    <t>spriteset_mu_Wagon_Gen5_Gondola_Gray_L2_S1</t>
  </si>
  <si>
    <t>spriteset_mu_Wagon_Gen5_Gondola_Gray_L1_S3</t>
  </si>
  <si>
    <t>spriteset_mu_Wagon_Gen5_Gondola_Gray_L1_S2</t>
  </si>
  <si>
    <t>spriteset_mu_Wagon_Gen5_Gondola_Gray_L1_S1</t>
  </si>
  <si>
    <t>spriteset_mu_Wagon_Gen5_Gondola_Sand_L4_S3</t>
  </si>
  <si>
    <t>spriteset_mu_Wagon_Gen5_Gondola_Sand_L4_S2</t>
  </si>
  <si>
    <t>spriteset_mu_Wagon_Gen5_Gondola_Sand_L4_S1</t>
  </si>
  <si>
    <t>spriteset_mu_Wagon_Gen5_Gondola_Sand_L3_S3</t>
  </si>
  <si>
    <t>spriteset_mu_Wagon_Gen5_Gondola_Sand_L3_S2</t>
  </si>
  <si>
    <t>spriteset_mu_Wagon_Gen5_Gondola_Sand_L3_S1</t>
  </si>
  <si>
    <t>spriteset_mu_Wagon_Gen5_Gondola_Sand_L2_S3</t>
  </si>
  <si>
    <t>spriteset_mu_Wagon_Gen5_Gondola_Sand_L2_S2</t>
  </si>
  <si>
    <t>spriteset_mu_Wagon_Gen5_Gondola_Sand_L2_S1</t>
  </si>
  <si>
    <t>spriteset_mu_Wagon_Gen5_Gondola_Sand_L1_S3</t>
  </si>
  <si>
    <t>spriteset_mu_Wagon_Gen5_Gondola_Sand_L1_S2</t>
  </si>
  <si>
    <t>spriteset_mu_Wagon_Gen5_Gondola_Sand_L1_S1</t>
  </si>
  <si>
    <t>spriteset_mu_Wagon_Gen5_Gondola_Wood_L4_S3</t>
  </si>
  <si>
    <t>spriteset_mu_Wagon_Gen5_Gondola_Wood_L4_S2</t>
  </si>
  <si>
    <t>spriteset_mu_Wagon_Gen5_Gondola_Wood_L4_S1</t>
  </si>
  <si>
    <t>spriteset_mu_Wagon_Gen5_Gondola_Wood_L3_S3</t>
  </si>
  <si>
    <t>spriteset_mu_Wagon_Gen5_Gondola_Wood_L3_S2</t>
  </si>
  <si>
    <t>spriteset_mu_Wagon_Gen5_Gondola_Wood_L3_S1</t>
  </si>
  <si>
    <t>spriteset_mu_Wagon_Gen5_Gondola_Wood_L2_S3</t>
  </si>
  <si>
    <t>spriteset_mu_Wagon_Gen5_Gondola_Wood_L2_S2</t>
  </si>
  <si>
    <t>spriteset_mu_Wagon_Gen5_Gondola_Wood_L2_S1</t>
  </si>
  <si>
    <t>spriteset_mu_Wagon_Gen5_Gondola_Wood_L1_S3</t>
  </si>
  <si>
    <t>spriteset_mu_Wagon_Gen5_Gondola_Wood_L1_S2</t>
  </si>
  <si>
    <t>spriteset_mu_Wagon_Gen5_Gondola_Wood_L1_S1</t>
  </si>
  <si>
    <t>spriteset_mu_Wagon_Gen5_Gondola_Ore_L4_S3</t>
  </si>
  <si>
    <t>spriteset_mu_Wagon_Gen5_Gondola_Ore_L4_S2</t>
  </si>
  <si>
    <t>spriteset_mu_Wagon_Gen5_Gondola_Ore_L4_S1</t>
  </si>
  <si>
    <t>spriteset_mu_Wagon_Gen5_Gondola_Ore_L3_S3</t>
  </si>
  <si>
    <t>spriteset_mu_Wagon_Gen5_Gondola_Ore_L3_S2</t>
  </si>
  <si>
    <t>spriteset_mu_Wagon_Gen5_Gondola_Ore_L3_S1</t>
  </si>
  <si>
    <t>spriteset_mu_Wagon_Gen5_Gondola_Ore_L2_S3</t>
  </si>
  <si>
    <t>spriteset_mu_Wagon_Gen5_Gondola_Ore_L2_S2</t>
  </si>
  <si>
    <t>spriteset_mu_Wagon_Gen5_Gondola_Ore_L2_S1</t>
  </si>
  <si>
    <t>spriteset_mu_Wagon_Gen5_Gondola_Ore_L1_S3</t>
  </si>
  <si>
    <t>spriteset_mu_Wagon_Gen5_Gondola_Ore_L1_S2</t>
  </si>
  <si>
    <t>spriteset_mu_Wagon_Gen5_Gondola_Ore_L1_S1</t>
  </si>
  <si>
    <t>spriteset_mu_Wagon_Gen5_Gondola_Grain_L4_S4</t>
  </si>
  <si>
    <t>spriteset_mu_Wagon_Gen5_Gondola_Grain_L4_S3</t>
  </si>
  <si>
    <t>spriteset_mu_Wagon_Gen5_Gondola_Grain_L4_S2</t>
  </si>
  <si>
    <t>spriteset_mu_Wagon_Gen5_Gondola_Grain_L4_S1</t>
  </si>
  <si>
    <t>spriteset_mu_Wagon_Gen5_Gondola_Grain_L3_S4</t>
  </si>
  <si>
    <t>spriteset_mu_Wagon_Gen5_Gondola_Grain_L3_S3</t>
  </si>
  <si>
    <t>spriteset_mu_Wagon_Gen5_Gondola_Grain_L3_S2</t>
  </si>
  <si>
    <t>spriteset_mu_Wagon_Gen5_Gondola_Grain_L3_S1</t>
  </si>
  <si>
    <t>spriteset_mu_Wagon_Gen5_Gondola_Grain_L2_S4</t>
  </si>
  <si>
    <t>spriteset_mu_Wagon_Gen5_Gondola_Grain_L2_S3</t>
  </si>
  <si>
    <t>spriteset_mu_Wagon_Gen5_Gondola_Grain_L2_S2</t>
  </si>
  <si>
    <t>spriteset_mu_Wagon_Gen5_Gondola_Grain_L2_S1</t>
  </si>
  <si>
    <t>spriteset_mu_Wagon_Gen5_Gondola_Grain_L1_S4</t>
  </si>
  <si>
    <t>spriteset_mu_Wagon_Gen5_Gondola_Grain_L1_S3</t>
  </si>
  <si>
    <t>spriteset_mu_Wagon_Gen5_Gondola_Grain_L1_S2</t>
  </si>
  <si>
    <t>spriteset_mu_Wagon_Gen5_Gondola_Grain_L1_S1</t>
  </si>
  <si>
    <t>spriteset_mu_Wagon_Gen5_Gondola_Coal_L4_S3</t>
  </si>
  <si>
    <t>spriteset_mu_Wagon_Gen5_Gondola_Coal_L4_S2</t>
  </si>
  <si>
    <t>spriteset_mu_Wagon_Gen5_Gondola_Coal_L4_S1</t>
  </si>
  <si>
    <t>spriteset_mu_Wagon_Gen5_Gondola_Coal_L3_S3</t>
  </si>
  <si>
    <t>spriteset_mu_Wagon_Gen5_Gondola_Coal_L3_S2</t>
  </si>
  <si>
    <t>spriteset_mu_Wagon_Gen5_Gondola_Coal_L3_S1</t>
  </si>
  <si>
    <t>spriteset_mu_Wagon_Gen5_Gondola_Coal_L2_S3</t>
  </si>
  <si>
    <t>spriteset_mu_Wagon_Gen5_Gondola_Coal_L2_S2</t>
  </si>
  <si>
    <t>spriteset_mu_Wagon_Gen5_Gondola_Coal_L2_S1</t>
  </si>
  <si>
    <t>spriteset_mu_Wagon_Gen5_Gondola_Coal_L1_S3</t>
  </si>
  <si>
    <t>spriteset_mu_Wagon_Gen5_Gondola_Coal_L1_S2</t>
  </si>
  <si>
    <t>spriteset_mu_Wagon_Gen5_Gondola_Coal_L1_S1</t>
  </si>
  <si>
    <t>spriteset_mu_Wagon_Gen5_Gondola_purchase</t>
  </si>
  <si>
    <t>switch_mu_Wagon_Gen5_Flatcar_cargo_selection</t>
  </si>
  <si>
    <t>switch_mu_Wagon_Gen5_Flatcar_Building_Materials_livery</t>
  </si>
  <si>
    <t>switch_mu_Wagon_Gen5_Flatcar_Goods_livery</t>
  </si>
  <si>
    <t>switch_mu_Wagon_Gen5_Flatcar_YETI_livery</t>
  </si>
  <si>
    <t>switch_mu_Wagon_Gen5_Flatcar_Machinery_livery</t>
  </si>
  <si>
    <t>switch_mu_Wagon_Gen5_Flatcar_Wood_livery</t>
  </si>
  <si>
    <t>switch_mu_Wagon_Gen5_Flatcar_Steel_livery</t>
  </si>
  <si>
    <t>switch_mu_Wagon_Gen5_Flatcar_Planks_livery</t>
  </si>
  <si>
    <t>switch_mu_Wagon_Gen5_Flatcar_Crates_livery</t>
  </si>
  <si>
    <t>spriteset_mu_Wagon_Gen5_Flatcar_YETI_L4_S3</t>
  </si>
  <si>
    <t>spriteset_mu_Wagon_Gen5_Flatcar_YETI_L4_S2</t>
  </si>
  <si>
    <t>spriteset_mu_Wagon_Gen5_Flatcar_YETI_L4_S1</t>
  </si>
  <si>
    <t>spriteset_mu_Wagon_Gen5_Flatcar_YETI_L3_S3</t>
  </si>
  <si>
    <t>spriteset_mu_Wagon_Gen5_Flatcar_YETI_L3_S2</t>
  </si>
  <si>
    <t>spriteset_mu_Wagon_Gen5_Flatcar_YETI_L3_S1</t>
  </si>
  <si>
    <t>spriteset_mu_Wagon_Gen5_Flatcar_YETI_L2_S3</t>
  </si>
  <si>
    <t>spriteset_mu_Wagon_Gen5_Flatcar_YETI_L2_S2</t>
  </si>
  <si>
    <t>spriteset_mu_Wagon_Gen5_Flatcar_YETI_L2_S1</t>
  </si>
  <si>
    <t>spriteset_mu_Wagon_Gen5_Flatcar_YETI_L1_S3</t>
  </si>
  <si>
    <t>spriteset_mu_Wagon_Gen5_Flatcar_YETI_L1_S2</t>
  </si>
  <si>
    <t>spriteset_mu_Wagon_Gen5_Flatcar_YETI_L1_S1</t>
  </si>
  <si>
    <t>spriteset_mu_Wagon_Gen5_Flatcar_Machinery_L4_S3</t>
  </si>
  <si>
    <t>spriteset_mu_Wagon_Gen5_Flatcar_Machinery_L4_S2</t>
  </si>
  <si>
    <t>spriteset_mu_Wagon_Gen5_Flatcar_Machinery_L4_S1</t>
  </si>
  <si>
    <t>spriteset_mu_Wagon_Gen5_Flatcar_Machinery_L3_S3</t>
  </si>
  <si>
    <t>spriteset_mu_Wagon_Gen5_Flatcar_Machinery_L3_S2</t>
  </si>
  <si>
    <t>spriteset_mu_Wagon_Gen5_Flatcar_Machinery_L3_S1</t>
  </si>
  <si>
    <t>spriteset_mu_Wagon_Gen5_Flatcar_Machinery_L2_S3</t>
  </si>
  <si>
    <t>spriteset_mu_Wagon_Gen5_Flatcar_Machinery_L2_S2</t>
  </si>
  <si>
    <t>spriteset_mu_Wagon_Gen5_Flatcar_Machinery_L2_S1</t>
  </si>
  <si>
    <t>spriteset_mu_Wagon_Gen5_Flatcar_Machinery_L1_S3</t>
  </si>
  <si>
    <t>spriteset_mu_Wagon_Gen5_Flatcar_Machinery_L1_S2</t>
  </si>
  <si>
    <t>spriteset_mu_Wagon_Gen5_Flatcar_Machinery_L1_S1</t>
  </si>
  <si>
    <t>spriteset_mu_Wagon_Gen5_Flatcar_Wood_L4_S3</t>
  </si>
  <si>
    <t>spriteset_mu_Wagon_Gen5_Flatcar_Wood_L4_S2</t>
  </si>
  <si>
    <t>spriteset_mu_Wagon_Gen5_Flatcar_Wood_L4_S1</t>
  </si>
  <si>
    <t>spriteset_mu_Wagon_Gen5_Flatcar_Wood_L3_S3</t>
  </si>
  <si>
    <t>spriteset_mu_Wagon_Gen5_Flatcar_Wood_L3_S2</t>
  </si>
  <si>
    <t>spriteset_mu_Wagon_Gen5_Flatcar_Wood_L3_S1</t>
  </si>
  <si>
    <t>spriteset_mu_Wagon_Gen5_Flatcar_Wood_L2_S3</t>
  </si>
  <si>
    <t>spriteset_mu_Wagon_Gen5_Flatcar_Wood_L2_S2</t>
  </si>
  <si>
    <t>spriteset_mu_Wagon_Gen5_Flatcar_Wood_L2_S1</t>
  </si>
  <si>
    <t>spriteset_mu_Wagon_Gen5_Flatcar_Wood_L1_S3</t>
  </si>
  <si>
    <t>spriteset_mu_Wagon_Gen5_Flatcar_Wood_L1_S2</t>
  </si>
  <si>
    <t>spriteset_mu_Wagon_Gen5_Flatcar_Wood_L1_S1</t>
  </si>
  <si>
    <t>spriteset_mu_Wagon_Gen5_Flatcar_Steel_L4_S3</t>
  </si>
  <si>
    <t>spriteset_mu_Wagon_Gen5_Flatcar_Steel_L4_S2</t>
  </si>
  <si>
    <t>spriteset_mu_Wagon_Gen5_Flatcar_Steel_L4_S1</t>
  </si>
  <si>
    <t>spriteset_mu_Wagon_Gen5_Flatcar_Steel_L3_S3</t>
  </si>
  <si>
    <t>spriteset_mu_Wagon_Gen5_Flatcar_Steel_L3_S2</t>
  </si>
  <si>
    <t>spriteset_mu_Wagon_Gen5_Flatcar_Steel_L3_S1</t>
  </si>
  <si>
    <t>spriteset_mu_Wagon_Gen5_Flatcar_Steel_L2_S3</t>
  </si>
  <si>
    <t>spriteset_mu_Wagon_Gen5_Flatcar_Steel_L2_S2</t>
  </si>
  <si>
    <t>spriteset_mu_Wagon_Gen5_Flatcar_Steel_L2_S1</t>
  </si>
  <si>
    <t>spriteset_mu_Wagon_Gen5_Flatcar_Steel_L1_S3</t>
  </si>
  <si>
    <t>spriteset_mu_Wagon_Gen5_Flatcar_Steel_L1_S2</t>
  </si>
  <si>
    <t>spriteset_mu_Wagon_Gen5_Flatcar_Steel_L1_S1</t>
  </si>
  <si>
    <t>spriteset_mu_Wagon_Gen5_Flatcar_Planks_L4_S3</t>
  </si>
  <si>
    <t>spriteset_mu_Wagon_Gen5_Flatcar_Planks_L4_S2</t>
  </si>
  <si>
    <t>spriteset_mu_Wagon_Gen5_Flatcar_Planks_L4_S1</t>
  </si>
  <si>
    <t>spriteset_mu_Wagon_Gen5_Flatcar_Planks_L3_S3</t>
  </si>
  <si>
    <t>spriteset_mu_Wagon_Gen5_Flatcar_Planks_L3_S2</t>
  </si>
  <si>
    <t>spriteset_mu_Wagon_Gen5_Flatcar_Planks_L3_S1</t>
  </si>
  <si>
    <t>spriteset_mu_Wagon_Gen5_Flatcar_Planks_L2_S3</t>
  </si>
  <si>
    <t>spriteset_mu_Wagon_Gen5_Flatcar_Planks_L2_S2</t>
  </si>
  <si>
    <t>spriteset_mu_Wagon_Gen5_Flatcar_Planks_L2_S1</t>
  </si>
  <si>
    <t>spriteset_mu_Wagon_Gen5_Flatcar_Planks_L1_S3</t>
  </si>
  <si>
    <t>spriteset_mu_Wagon_Gen5_Flatcar_Planks_L1_S2</t>
  </si>
  <si>
    <t>spriteset_mu_Wagon_Gen5_Flatcar_Planks_L1_S1</t>
  </si>
  <si>
    <t>spriteset_mu_Wagon_Gen5_Flatcar_Crates_L4_S3</t>
  </si>
  <si>
    <t>spriteset_mu_Wagon_Gen5_Flatcar_Crates_L4_S2</t>
  </si>
  <si>
    <t>spriteset_mu_Wagon_Gen5_Flatcar_Crates_L4_S1</t>
  </si>
  <si>
    <t>spriteset_mu_Wagon_Gen5_Flatcar_Crates_L3_S3</t>
  </si>
  <si>
    <t>spriteset_mu_Wagon_Gen5_Flatcar_Crates_L3_S2</t>
  </si>
  <si>
    <t>spriteset_mu_Wagon_Gen5_Flatcar_Crates_L3_S1</t>
  </si>
  <si>
    <t>spriteset_mu_Wagon_Gen5_Flatcar_Crates_L2_S3</t>
  </si>
  <si>
    <t>spriteset_mu_Wagon_Gen5_Flatcar_Crates_L2_S2</t>
  </si>
  <si>
    <t>spriteset_mu_Wagon_Gen5_Flatcar_Crates_L2_S1</t>
  </si>
  <si>
    <t>spriteset_mu_Wagon_Gen5_Flatcar_Crates_L1_S3</t>
  </si>
  <si>
    <t>spriteset_mu_Wagon_Gen5_Flatcar_Crates_L1_S2</t>
  </si>
  <si>
    <t>spriteset_mu_Wagon_Gen5_Flatcar_Crates_L1_S1</t>
  </si>
  <si>
    <t>spriteset_mu_Wagon_Gen5_Flatcar_purchase</t>
  </si>
  <si>
    <t>switch_mu_Wagon_Gen5_Container_Doublestack_cargo_selection</t>
  </si>
  <si>
    <t>switch_mu_Wagon_Gen5_Container_Doublestack_Goods_livery</t>
  </si>
  <si>
    <t>switch_mu_Wagon_Gen5_Container_Doublestack_Refrigerated_livery</t>
  </si>
  <si>
    <t>switch_mu_Wagon_Gen5_Container_Doublestack_Container_livery</t>
  </si>
  <si>
    <t>spriteset_mu_Wagon_Gen5_Container_Doublestack_Refrigerated_L4_S3</t>
  </si>
  <si>
    <t>spriteset_mu_Wagon_Gen5_Container_Doublestack_Refrigerated_L4_S2</t>
  </si>
  <si>
    <t>spriteset_mu_Wagon_Gen5_Container_Doublestack_Refrigerated_L4_S1</t>
  </si>
  <si>
    <t>spriteset_mu_Wagon_Gen5_Container_Doublestack_Refrigerated_L3_S3</t>
  </si>
  <si>
    <t>spriteset_mu_Wagon_Gen5_Container_Doublestack_Refrigerated_L3_S2</t>
  </si>
  <si>
    <t>spriteset_mu_Wagon_Gen5_Container_Doublestack_Refrigerated_L3_S1</t>
  </si>
  <si>
    <t>spriteset_mu_Wagon_Gen5_Container_Doublestack_Refrigerated_L2_S3</t>
  </si>
  <si>
    <t>spriteset_mu_Wagon_Gen5_Container_Doublestack_Refrigerated_L2_S2</t>
  </si>
  <si>
    <t>spriteset_mu_Wagon_Gen5_Container_Doublestack_Refrigerated_L2_S1</t>
  </si>
  <si>
    <t>spriteset_mu_Wagon_Gen5_Container_Doublestack_Refrigerated_L1_S3</t>
  </si>
  <si>
    <t>spriteset_mu_Wagon_Gen5_Container_Doublestack_Refrigerated_L1_S2</t>
  </si>
  <si>
    <t>spriteset_mu_Wagon_Gen5_Container_Doublestack_Refrigerated_L1_S1</t>
  </si>
  <si>
    <t>spriteset_mu_Wagon_Gen5_Container_Doublestack_Container_L4_S3</t>
  </si>
  <si>
    <t>spriteset_mu_Wagon_Gen5_Container_Doublestack_Container_L4_S2</t>
  </si>
  <si>
    <t>spriteset_mu_Wagon_Gen5_Container_Doublestack_Container_L4_S1</t>
  </si>
  <si>
    <t>spriteset_mu_Wagon_Gen5_Container_Doublestack_Container_L3_S3</t>
  </si>
  <si>
    <t>spriteset_mu_Wagon_Gen5_Container_Doublestack_Container_L3_S2</t>
  </si>
  <si>
    <t>spriteset_mu_Wagon_Gen5_Container_Doublestack_Container_L3_S1</t>
  </si>
  <si>
    <t>spriteset_mu_Wagon_Gen5_Container_Doublestack_Container_L2_S3</t>
  </si>
  <si>
    <t>spriteset_mu_Wagon_Gen5_Container_Doublestack_Container_L2_S2</t>
  </si>
  <si>
    <t>spriteset_mu_Wagon_Gen5_Container_Doublestack_Container_L2_S1</t>
  </si>
  <si>
    <t>spriteset_mu_Wagon_Gen5_Container_Doublestack_Container_L1_S3</t>
  </si>
  <si>
    <t>spriteset_mu_Wagon_Gen5_Container_Doublestack_Container_L1_S2</t>
  </si>
  <si>
    <t>spriteset_mu_Wagon_Gen5_Container_Doublestack_Container_L1_S1</t>
  </si>
  <si>
    <t>spriteset_mu_Wagon_Gen5_Container_Doublestack_purchase</t>
  </si>
  <si>
    <t>switch_mu_Wagon_Gen5_Container_Carrier_cargo_selection</t>
  </si>
  <si>
    <t>switch_mu_Wagon_Gen5_Container_Carrier_Goods_livery</t>
  </si>
  <si>
    <t>switch_mu_Wagon_Gen5_Container_Carrier_Tanktainer_livery</t>
  </si>
  <si>
    <t>switch_mu_Wagon_Gen5_Container_Carrier_Refrigerated_livery</t>
  </si>
  <si>
    <t>switch_mu_Wagon_Gen5_Container_Carrier_Container_livery</t>
  </si>
  <si>
    <t>spriteset_mu_Wagon_Gen5_Container_Carrier_Tanktainer_L4_S3</t>
  </si>
  <si>
    <t>spriteset_mu_Wagon_Gen5_Container_Carrier_Tanktainer_L4_S2</t>
  </si>
  <si>
    <t>spriteset_mu_Wagon_Gen5_Container_Carrier_Tanktainer_L4_S1</t>
  </si>
  <si>
    <t>spriteset_mu_Wagon_Gen5_Container_Carrier_Tanktainer_L3_S3</t>
  </si>
  <si>
    <t>spriteset_mu_Wagon_Gen5_Container_Carrier_Tanktainer_L3_S2</t>
  </si>
  <si>
    <t>spriteset_mu_Wagon_Gen5_Container_Carrier_Tanktainer_L3_S1</t>
  </si>
  <si>
    <t>spriteset_mu_Wagon_Gen5_Container_Carrier_Tanktainer_L2_S3</t>
  </si>
  <si>
    <t>spriteset_mu_Wagon_Gen5_Container_Carrier_Tanktainer_L2_S2</t>
  </si>
  <si>
    <t>spriteset_mu_Wagon_Gen5_Container_Carrier_Tanktainer_L2_S1</t>
  </si>
  <si>
    <t>spriteset_mu_Wagon_Gen5_Container_Carrier_Tanktainer_L1_S3</t>
  </si>
  <si>
    <t>spriteset_mu_Wagon_Gen5_Container_Carrier_Tanktainer_L1_S2</t>
  </si>
  <si>
    <t>spriteset_mu_Wagon_Gen5_Container_Carrier_Tanktainer_L1_S1</t>
  </si>
  <si>
    <t>spriteset_mu_Wagon_Gen5_Container_Carrier_Refrigerated_L4_S3</t>
  </si>
  <si>
    <t>spriteset_mu_Wagon_Gen5_Container_Carrier_Refrigerated_L4_S2</t>
  </si>
  <si>
    <t>spriteset_mu_Wagon_Gen5_Container_Carrier_Refrigerated_L4_S1</t>
  </si>
  <si>
    <t>spriteset_mu_Wagon_Gen5_Container_Carrier_Refrigerated_L3_S3</t>
  </si>
  <si>
    <t>spriteset_mu_Wagon_Gen5_Container_Carrier_Refrigerated_L3_S2</t>
  </si>
  <si>
    <t>spriteset_mu_Wagon_Gen5_Container_Carrier_Refrigerated_L3_S1</t>
  </si>
  <si>
    <t>spriteset_mu_Wagon_Gen5_Container_Carrier_Refrigerated_L2_S3</t>
  </si>
  <si>
    <t>spriteset_mu_Wagon_Gen5_Container_Carrier_Refrigerated_L2_S2</t>
  </si>
  <si>
    <t>spriteset_mu_Wagon_Gen5_Container_Carrier_Refrigerated_L2_S1</t>
  </si>
  <si>
    <t>spriteset_mu_Wagon_Gen5_Container_Carrier_Refrigerated_L1_S3</t>
  </si>
  <si>
    <t>spriteset_mu_Wagon_Gen5_Container_Carrier_Refrigerated_L1_S2</t>
  </si>
  <si>
    <t>spriteset_mu_Wagon_Gen5_Container_Carrier_Refrigerated_L1_S1</t>
  </si>
  <si>
    <t>spriteset_mu_Wagon_Gen5_Container_Carrier_Container_L4_S3</t>
  </si>
  <si>
    <t>spriteset_mu_Wagon_Gen5_Container_Carrier_Container_L4_S2</t>
  </si>
  <si>
    <t>spriteset_mu_Wagon_Gen5_Container_Carrier_Container_L4_S1</t>
  </si>
  <si>
    <t>spriteset_mu_Wagon_Gen5_Container_Carrier_Container_L3_S3</t>
  </si>
  <si>
    <t>spriteset_mu_Wagon_Gen5_Container_Carrier_Container_L3_S2</t>
  </si>
  <si>
    <t>spriteset_mu_Wagon_Gen5_Container_Carrier_Container_L3_S1</t>
  </si>
  <si>
    <t>spriteset_mu_Wagon_Gen5_Container_Carrier_Container_L2_S3</t>
  </si>
  <si>
    <t>spriteset_mu_Wagon_Gen5_Container_Carrier_Container_L2_S2</t>
  </si>
  <si>
    <t>spriteset_mu_Wagon_Gen5_Container_Carrier_Container_L2_S1</t>
  </si>
  <si>
    <t>spriteset_mu_Wagon_Gen5_Container_Carrier_Container_L1_S3</t>
  </si>
  <si>
    <t>spriteset_mu_Wagon_Gen5_Container_Carrier_Container_L1_S2</t>
  </si>
  <si>
    <t>spriteset_mu_Wagon_Gen5_Container_Carrier_Container_L1_S1</t>
  </si>
  <si>
    <t>spriteset_mu_Wagon_Gen5_Container_Carrier_purchase</t>
  </si>
  <si>
    <t>switch_mu_Wagon_Gen5_Centerbeam_cargo_selection</t>
  </si>
  <si>
    <t>switch_mu_Wagon_Gen5_Centerbeam_Supplies_livery</t>
  </si>
  <si>
    <t>switch_mu_Wagon_Gen5_Centerbeam_Steel_livery</t>
  </si>
  <si>
    <t>switch_mu_Wagon_Gen5_Centerbeam_Planks_livery</t>
  </si>
  <si>
    <t>switch_mu_Wagon_Gen5_Centerbeam_Crates_livery</t>
  </si>
  <si>
    <t>spriteset_mu_Wagon_Gen5_Centerbeam_Steel_L4_S3</t>
  </si>
  <si>
    <t>spriteset_mu_Wagon_Gen5_Centerbeam_Steel_L4_S2</t>
  </si>
  <si>
    <t>spriteset_mu_Wagon_Gen5_Centerbeam_Steel_L4_S1</t>
  </si>
  <si>
    <t>spriteset_mu_Wagon_Gen5_Centerbeam_Steel_L3_S3</t>
  </si>
  <si>
    <t>spriteset_mu_Wagon_Gen5_Centerbeam_Steel_L3_S2</t>
  </si>
  <si>
    <t>spriteset_mu_Wagon_Gen5_Centerbeam_Steel_L3_S1</t>
  </si>
  <si>
    <t>spriteset_mu_Wagon_Gen5_Centerbeam_Steel_L2_S3</t>
  </si>
  <si>
    <t>spriteset_mu_Wagon_Gen5_Centerbeam_Steel_L2_S2</t>
  </si>
  <si>
    <t>spriteset_mu_Wagon_Gen5_Centerbeam_Steel_L2_S1</t>
  </si>
  <si>
    <t>spriteset_mu_Wagon_Gen5_Centerbeam_Steel_L1_S3</t>
  </si>
  <si>
    <t>spriteset_mu_Wagon_Gen5_Centerbeam_Steel_L1_S2</t>
  </si>
  <si>
    <t>spriteset_mu_Wagon_Gen5_Centerbeam_Steel_L1_S1</t>
  </si>
  <si>
    <t>spriteset_mu_Wagon_Gen5_Centerbeam_Planks_L4_S3</t>
  </si>
  <si>
    <t>spriteset_mu_Wagon_Gen5_Centerbeam_Planks_L4_S2</t>
  </si>
  <si>
    <t>spriteset_mu_Wagon_Gen5_Centerbeam_Planks_L4_S1</t>
  </si>
  <si>
    <t>spriteset_mu_Wagon_Gen5_Centerbeam_Planks_L3_S3</t>
  </si>
  <si>
    <t>spriteset_mu_Wagon_Gen5_Centerbeam_Planks_L3_S2</t>
  </si>
  <si>
    <t>spriteset_mu_Wagon_Gen5_Centerbeam_Planks_L3_S1</t>
  </si>
  <si>
    <t>spriteset_mu_Wagon_Gen5_Centerbeam_Planks_L2_S3</t>
  </si>
  <si>
    <t>spriteset_mu_Wagon_Gen5_Centerbeam_Planks_L2_S2</t>
  </si>
  <si>
    <t>spriteset_mu_Wagon_Gen5_Centerbeam_Planks_L2_S1</t>
  </si>
  <si>
    <t>spriteset_mu_Wagon_Gen5_Centerbeam_Planks_L1_S3</t>
  </si>
  <si>
    <t>spriteset_mu_Wagon_Gen5_Centerbeam_Planks_L1_S2</t>
  </si>
  <si>
    <t>spriteset_mu_Wagon_Gen5_Centerbeam_Planks_L1_S1</t>
  </si>
  <si>
    <t>spriteset_mu_Wagon_Gen5_Centerbeam_Crates_L4_S3</t>
  </si>
  <si>
    <t>spriteset_mu_Wagon_Gen5_Centerbeam_Crates_L4_S2</t>
  </si>
  <si>
    <t>spriteset_mu_Wagon_Gen5_Centerbeam_Crates_L4_S1</t>
  </si>
  <si>
    <t>spriteset_mu_Wagon_Gen5_Centerbeam_Crates_L3_S3</t>
  </si>
  <si>
    <t>spriteset_mu_Wagon_Gen5_Centerbeam_Crates_L3_S2</t>
  </si>
  <si>
    <t>spriteset_mu_Wagon_Gen5_Centerbeam_Crates_L3_S1</t>
  </si>
  <si>
    <t>spriteset_mu_Wagon_Gen5_Centerbeam_Crates_L2_S3</t>
  </si>
  <si>
    <t>spriteset_mu_Wagon_Gen5_Centerbeam_Crates_L2_S2</t>
  </si>
  <si>
    <t>spriteset_mu_Wagon_Gen5_Centerbeam_Crates_L2_S1</t>
  </si>
  <si>
    <t>spriteset_mu_Wagon_Gen5_Centerbeam_Crates_L1_S3</t>
  </si>
  <si>
    <t>spriteset_mu_Wagon_Gen5_Centerbeam_Crates_L1_S2</t>
  </si>
  <si>
    <t>spriteset_mu_Wagon_Gen5_Centerbeam_Crates_L1_S1</t>
  </si>
  <si>
    <t>spriteset_mu_Wagon_Gen5_Centerbeam_purchase</t>
  </si>
  <si>
    <t>switch_mu_Wagon_Gen5_Car_Transporter_livery</t>
  </si>
  <si>
    <t>spriteset_mu_Wagon_Gen5_Car_Transporter_L4_S3</t>
  </si>
  <si>
    <t>spriteset_mu_Wagon_Gen5_Car_Transporter_L4_S2</t>
  </si>
  <si>
    <t>spriteset_mu_Wagon_Gen5_Car_Transporter_L4_S1</t>
  </si>
  <si>
    <t>spriteset_mu_Wagon_Gen5_Car_Transporter_L3_S3</t>
  </si>
  <si>
    <t>spriteset_mu_Wagon_Gen5_Car_Transporter_L3_S2</t>
  </si>
  <si>
    <t>spriteset_mu_Wagon_Gen5_Car_Transporter_L3_S1</t>
  </si>
  <si>
    <t>spriteset_mu_Wagon_Gen5_Car_Transporter_L2_S3</t>
  </si>
  <si>
    <t>spriteset_mu_Wagon_Gen5_Car_Transporter_L2_S2</t>
  </si>
  <si>
    <t>spriteset_mu_Wagon_Gen5_Car_Transporter_L2_S1</t>
  </si>
  <si>
    <t>spriteset_mu_Wagon_Gen5_Car_Transporter_L1_S3</t>
  </si>
  <si>
    <t>spriteset_mu_Wagon_Gen5_Car_Transporter_L1_S2</t>
  </si>
  <si>
    <t>spriteset_mu_Wagon_Gen5_Car_Transporter_L1_S1</t>
  </si>
  <si>
    <t>spriteset_mu_Wagon_Gen5_Car_Transporter_purchase</t>
  </si>
  <si>
    <t>switch_mu_Wagon_Gen5_Boxcar_Type2_Standard_livery</t>
  </si>
  <si>
    <t>spriteset_mu_Wagon_Gen5_Boxcar_Type2_Standard_L4_S3</t>
  </si>
  <si>
    <t>spriteset_mu_Wagon_Gen5_Boxcar_Type2_Standard_L4_S2</t>
  </si>
  <si>
    <t>spriteset_mu_Wagon_Gen5_Boxcar_Type2_Standard_L4_S1</t>
  </si>
  <si>
    <t>spriteset_mu_Wagon_Gen5_Boxcar_Type2_Standard_L3_S3</t>
  </si>
  <si>
    <t>spriteset_mu_Wagon_Gen5_Boxcar_Type2_Standard_L3_S2</t>
  </si>
  <si>
    <t>spriteset_mu_Wagon_Gen5_Boxcar_Type2_Standard_L3_S1</t>
  </si>
  <si>
    <t>spriteset_mu_Wagon_Gen5_Boxcar_Type2_Standard_L2_S3</t>
  </si>
  <si>
    <t>spriteset_mu_Wagon_Gen5_Boxcar_Type2_Standard_L2_S2</t>
  </si>
  <si>
    <t>spriteset_mu_Wagon_Gen5_Boxcar_Type2_Standard_L2_S1</t>
  </si>
  <si>
    <t>spriteset_mu_Wagon_Gen5_Boxcar_Type2_Standard_L1_S3</t>
  </si>
  <si>
    <t>spriteset_mu_Wagon_Gen5_Boxcar_Type2_Standard_L1_S2</t>
  </si>
  <si>
    <t>spriteset_mu_Wagon_Gen5_Boxcar_Type2_Standard_L1_S1</t>
  </si>
  <si>
    <t>spriteset_mu_Wagon_Gen5_Boxcar_Type2_purchase</t>
  </si>
  <si>
    <t>switch_mu_Wagon_Gen5_Boxcar_Type1_cargo_selection</t>
  </si>
  <si>
    <t>switch_mu_Wagon_Gen5_Boxcar_Type1_Goods_livery</t>
  </si>
  <si>
    <t>switch_mu_Wagon_Gen5_Boxcar_Type1_Standard_livery</t>
  </si>
  <si>
    <t>switch_mu_Wagon_Gen5_Boxcar_Type1_Reefer_livery</t>
  </si>
  <si>
    <t>switch_mu_Wagon_Gen5_Boxcar_Type1_Livestock_livery</t>
  </si>
  <si>
    <t>switch_mu_Wagon_Gen5_Boxcar_Type1_Armoured_livery</t>
  </si>
  <si>
    <t>spriteset_mu_Wagon_Gen5_Boxcar_Type1_Standard_L4_S3</t>
  </si>
  <si>
    <t>spriteset_mu_Wagon_Gen5_Boxcar_Type1_Standard_L4_S2</t>
  </si>
  <si>
    <t>spriteset_mu_Wagon_Gen5_Boxcar_Type1_Standard_L4_S1</t>
  </si>
  <si>
    <t>spriteset_mu_Wagon_Gen5_Boxcar_Type1_Standard_L3_S3</t>
  </si>
  <si>
    <t>spriteset_mu_Wagon_Gen5_Boxcar_Type1_Standard_L3_S2</t>
  </si>
  <si>
    <t>spriteset_mu_Wagon_Gen5_Boxcar_Type1_Standard_L3_S1</t>
  </si>
  <si>
    <t>spriteset_mu_Wagon_Gen5_Boxcar_Type1_Standard_L2_S3</t>
  </si>
  <si>
    <t>spriteset_mu_Wagon_Gen5_Boxcar_Type1_Standard_L2_S2</t>
  </si>
  <si>
    <t>spriteset_mu_Wagon_Gen5_Boxcar_Type1_Standard_L2_S1</t>
  </si>
  <si>
    <t>spriteset_mu_Wagon_Gen5_Boxcar_Type1_Standard_L1_S3</t>
  </si>
  <si>
    <t>spriteset_mu_Wagon_Gen5_Boxcar_Type1_Standard_L1_S2</t>
  </si>
  <si>
    <t>spriteset_mu_Wagon_Gen5_Boxcar_Type1_Standard_L1_S1</t>
  </si>
  <si>
    <t>spriteset_mu_Wagon_Gen5_Boxcar_Type1_Reefer_L4_S3</t>
  </si>
  <si>
    <t>spriteset_mu_Wagon_Gen5_Boxcar_Type1_Reefer_L4_S2</t>
  </si>
  <si>
    <t>spriteset_mu_Wagon_Gen5_Boxcar_Type1_Reefer_L4_S1</t>
  </si>
  <si>
    <t>spriteset_mu_Wagon_Gen5_Boxcar_Type1_Reefer_L3_S3</t>
  </si>
  <si>
    <t>spriteset_mu_Wagon_Gen5_Boxcar_Type1_Reefer_L3_S2</t>
  </si>
  <si>
    <t>spriteset_mu_Wagon_Gen5_Boxcar_Type1_Reefer_L3_S1</t>
  </si>
  <si>
    <t>spriteset_mu_Wagon_Gen5_Boxcar_Type1_Reefer_L2_S3</t>
  </si>
  <si>
    <t>spriteset_mu_Wagon_Gen5_Boxcar_Type1_Reefer_L2_S2</t>
  </si>
  <si>
    <t>spriteset_mu_Wagon_Gen5_Boxcar_Type1_Reefer_L2_S1</t>
  </si>
  <si>
    <t>spriteset_mu_Wagon_Gen5_Boxcar_Type1_Reefer_L1_S3</t>
  </si>
  <si>
    <t>spriteset_mu_Wagon_Gen5_Boxcar_Type1_Reefer_L1_S2</t>
  </si>
  <si>
    <t>spriteset_mu_Wagon_Gen5_Boxcar_Type1_Reefer_L1_S1</t>
  </si>
  <si>
    <t>spriteset_mu_Wagon_Gen5_Boxcar_Type1_Livestock_L4_S3</t>
  </si>
  <si>
    <t>spriteset_mu_Wagon_Gen5_Boxcar_Type1_Livestock_L4_S2</t>
  </si>
  <si>
    <t>spriteset_mu_Wagon_Gen5_Boxcar_Type1_Livestock_L4_S1</t>
  </si>
  <si>
    <t>spriteset_mu_Wagon_Gen5_Boxcar_Type1_Livestock_L3_S3</t>
  </si>
  <si>
    <t>spriteset_mu_Wagon_Gen5_Boxcar_Type1_Livestock_L3_S2</t>
  </si>
  <si>
    <t>spriteset_mu_Wagon_Gen5_Boxcar_Type1_Livestock_L3_S1</t>
  </si>
  <si>
    <t>spriteset_mu_Wagon_Gen5_Boxcar_Type1_Livestock_L2_S3</t>
  </si>
  <si>
    <t>spriteset_mu_Wagon_Gen5_Boxcar_Type1_Livestock_L2_S2</t>
  </si>
  <si>
    <t>spriteset_mu_Wagon_Gen5_Boxcar_Type1_Livestock_L2_S1</t>
  </si>
  <si>
    <t>spriteset_mu_Wagon_Gen5_Boxcar_Type1_Livestock_L1_S3</t>
  </si>
  <si>
    <t>spriteset_mu_Wagon_Gen5_Boxcar_Type1_Livestock_L1_S2</t>
  </si>
  <si>
    <t>spriteset_mu_Wagon_Gen5_Boxcar_Type1_Livestock_L1_S1</t>
  </si>
  <si>
    <t>spriteset_mu_Wagon_Gen5_Boxcar_Type1_Armoured_L4_S3</t>
  </si>
  <si>
    <t>spriteset_mu_Wagon_Gen5_Boxcar_Type1_Armoured_L4_S2</t>
  </si>
  <si>
    <t>spriteset_mu_Wagon_Gen5_Boxcar_Type1_Armoured_L4_S1</t>
  </si>
  <si>
    <t>spriteset_mu_Wagon_Gen5_Boxcar_Type1_Armoured_L3_S3</t>
  </si>
  <si>
    <t>spriteset_mu_Wagon_Gen5_Boxcar_Type1_Armoured_L3_S2</t>
  </si>
  <si>
    <t>spriteset_mu_Wagon_Gen5_Boxcar_Type1_Armoured_L3_S1</t>
  </si>
  <si>
    <t>spriteset_mu_Wagon_Gen5_Boxcar_Type1_Armoured_L2_S3</t>
  </si>
  <si>
    <t>spriteset_mu_Wagon_Gen5_Boxcar_Type1_Armoured_L2_S2</t>
  </si>
  <si>
    <t>spriteset_mu_Wagon_Gen5_Boxcar_Type1_Armoured_L2_S1</t>
  </si>
  <si>
    <t>spriteset_mu_Wagon_Gen5_Boxcar_Type1_Armoured_L1_S3</t>
  </si>
  <si>
    <t>spriteset_mu_Wagon_Gen5_Boxcar_Type1_Armoured_L1_S2</t>
  </si>
  <si>
    <t>spriteset_mu_Wagon_Gen5_Boxcar_Type1_Armoured_L1_S1</t>
  </si>
  <si>
    <t>spriteset_mu_Wagon_Gen5_Boxcar_Type1_purchase</t>
  </si>
  <si>
    <t>switch_mu_Wagon_Gen4_Tanker_cargo_selection</t>
  </si>
  <si>
    <t>switch_mu_Wagon_Gen4_Tanker_Oil_livery_selection</t>
  </si>
  <si>
    <t>switch_mu_Wagon_Gen4_Tanker_Standard_livery</t>
  </si>
  <si>
    <t>switch_mu_Wagon_Gen4_Tanker_Oil_livery</t>
  </si>
  <si>
    <t>spriteset_mu_Wagon_Gen4_Tanker_Standard_L4_S3</t>
  </si>
  <si>
    <t>spriteset_mu_Wagon_Gen4_Tanker_Standard_L4_S2</t>
  </si>
  <si>
    <t>spriteset_mu_Wagon_Gen4_Tanker_Standard_L4_S1</t>
  </si>
  <si>
    <t>spriteset_mu_Wagon_Gen4_Tanker_Standard_L3_S3</t>
  </si>
  <si>
    <t>spriteset_mu_Wagon_Gen4_Tanker_Standard_L3_S2</t>
  </si>
  <si>
    <t>spriteset_mu_Wagon_Gen4_Tanker_Standard_L3_S1</t>
  </si>
  <si>
    <t>spriteset_mu_Wagon_Gen4_Tanker_Standard_L2_S3</t>
  </si>
  <si>
    <t>spriteset_mu_Wagon_Gen4_Tanker_Standard_L2_S2</t>
  </si>
  <si>
    <t>spriteset_mu_Wagon_Gen4_Tanker_Standard_L2_S1</t>
  </si>
  <si>
    <t>spriteset_mu_Wagon_Gen4_Tanker_Standard_L1_S3</t>
  </si>
  <si>
    <t>spriteset_mu_Wagon_Gen4_Tanker_Standard_L1_S2</t>
  </si>
  <si>
    <t>spriteset_mu_Wagon_Gen4_Tanker_Standard_L1_S1</t>
  </si>
  <si>
    <t>spriteset_mu_Wagon_Gen4_Tanker_Oil_L4_S3</t>
  </si>
  <si>
    <t>spriteset_mu_Wagon_Gen4_Tanker_Oil_L4_S2</t>
  </si>
  <si>
    <t>spriteset_mu_Wagon_Gen4_Tanker_Oil_L4_S1</t>
  </si>
  <si>
    <t>spriteset_mu_Wagon_Gen4_Tanker_Oil_L3_S3</t>
  </si>
  <si>
    <t>spriteset_mu_Wagon_Gen4_Tanker_Oil_L3_S2</t>
  </si>
  <si>
    <t>spriteset_mu_Wagon_Gen4_Tanker_Oil_L3_S1</t>
  </si>
  <si>
    <t>spriteset_mu_Wagon_Gen4_Tanker_Oil_L2_S3</t>
  </si>
  <si>
    <t>spriteset_mu_Wagon_Gen4_Tanker_Oil_L2_S2</t>
  </si>
  <si>
    <t>spriteset_mu_Wagon_Gen4_Tanker_Oil_L2_S1</t>
  </si>
  <si>
    <t>spriteset_mu_Wagon_Gen4_Tanker_Oil_L1_S3</t>
  </si>
  <si>
    <t>spriteset_mu_Wagon_Gen4_Tanker_Oil_L1_S2</t>
  </si>
  <si>
    <t>spriteset_mu_Wagon_Gen4_Tanker_Oil_L1_S1</t>
  </si>
  <si>
    <t>spriteset_mu_Wagon_Gen4_Tanker_purchase</t>
  </si>
  <si>
    <t>switch_mu_Wagon_Gen4_Silo_Type2_livery</t>
  </si>
  <si>
    <t>spriteset_mu_Wagon_Gen4_Silo_Type2_L4_S3</t>
  </si>
  <si>
    <t>spriteset_mu_Wagon_Gen4_Silo_Type2_L4_S2</t>
  </si>
  <si>
    <t>spriteset_mu_Wagon_Gen4_Silo_Type2_L4_S1</t>
  </si>
  <si>
    <t>spriteset_mu_Wagon_Gen4_Silo_Type2_L3_S3</t>
  </si>
  <si>
    <t>spriteset_mu_Wagon_Gen4_Silo_Type2_L3_S2</t>
  </si>
  <si>
    <t>spriteset_mu_Wagon_Gen4_Silo_Type2_L3_S1</t>
  </si>
  <si>
    <t>spriteset_mu_Wagon_Gen4_Silo_Type2_L2_S3</t>
  </si>
  <si>
    <t>spriteset_mu_Wagon_Gen4_Silo_Type2_L2_S2</t>
  </si>
  <si>
    <t>spriteset_mu_Wagon_Gen4_Silo_Type2_L2_S1</t>
  </si>
  <si>
    <t>spriteset_mu_Wagon_Gen4_Silo_Type2_L1_S3</t>
  </si>
  <si>
    <t>spriteset_mu_Wagon_Gen4_Silo_Type2_L1_S2</t>
  </si>
  <si>
    <t>spriteset_mu_Wagon_Gen4_Silo_Type2_L1_S1</t>
  </si>
  <si>
    <t>spriteset_mu_Wagon_Gen4_Silo_Type2_purchase</t>
  </si>
  <si>
    <t>switch_mu_Wagon_Gen4_Silo_Type1_livery</t>
  </si>
  <si>
    <t>spriteset_mu_Wagon_Gen4_Silo_Type1_L4_S3</t>
  </si>
  <si>
    <t>spriteset_mu_Wagon_Gen4_Silo_Type1_L4_S2</t>
  </si>
  <si>
    <t>spriteset_mu_Wagon_Gen4_Silo_Type1_L4_S1</t>
  </si>
  <si>
    <t>spriteset_mu_Wagon_Gen4_Silo_Type1_L3_S3</t>
  </si>
  <si>
    <t>spriteset_mu_Wagon_Gen4_Silo_Type1_L3_S2</t>
  </si>
  <si>
    <t>spriteset_mu_Wagon_Gen4_Silo_Type1_L3_S1</t>
  </si>
  <si>
    <t>spriteset_mu_Wagon_Gen4_Silo_Type1_L2_S3</t>
  </si>
  <si>
    <t>spriteset_mu_Wagon_Gen4_Silo_Type1_L2_S2</t>
  </si>
  <si>
    <t>spriteset_mu_Wagon_Gen4_Silo_Type1_L2_S1</t>
  </si>
  <si>
    <t>spriteset_mu_Wagon_Gen4_Silo_Type1_L1_S3</t>
  </si>
  <si>
    <t>spriteset_mu_Wagon_Gen4_Silo_Type1_L1_S2</t>
  </si>
  <si>
    <t>spriteset_mu_Wagon_Gen4_Silo_Type1_L1_S1</t>
  </si>
  <si>
    <t>spriteset_mu_Wagon_Gen4_Silo_Type1_purchase</t>
  </si>
  <si>
    <t>switch_mu_Wagon_Gen4_Hopper_Type2_cargo_selection</t>
  </si>
  <si>
    <t>switch_mu_Wagon_Gen4_Hopper_Type2_Gray_livery</t>
  </si>
  <si>
    <t>switch_mu_Wagon_Gen4_Hopper_Type2_Sand_livery</t>
  </si>
  <si>
    <t>switch_mu_Wagon_Gen4_Hopper_Type2_Ore_livery</t>
  </si>
  <si>
    <t>switch_mu_Wagon_Gen4_Hopper_Type2_Coal_livery</t>
  </si>
  <si>
    <t>spriteset_mu_Wagon_Gen4_Hopper_Type2_Gray_L4_S3</t>
  </si>
  <si>
    <t>spriteset_mu_Wagon_Gen4_Hopper_Type2_Gray_L4_S2</t>
  </si>
  <si>
    <t>spriteset_mu_Wagon_Gen4_Hopper_Type2_Gray_L4_S1</t>
  </si>
  <si>
    <t>spriteset_mu_Wagon_Gen4_Hopper_Type2_Gray_L3_S3</t>
  </si>
  <si>
    <t>spriteset_mu_Wagon_Gen4_Hopper_Type2_Gray_L3_S2</t>
  </si>
  <si>
    <t>spriteset_mu_Wagon_Gen4_Hopper_Type2_Gray_L3_S1</t>
  </si>
  <si>
    <t>spriteset_mu_Wagon_Gen4_Hopper_Type2_Gray_L2_S3</t>
  </si>
  <si>
    <t>spriteset_mu_Wagon_Gen4_Hopper_Type2_Gray_L2_S2</t>
  </si>
  <si>
    <t>spriteset_mu_Wagon_Gen4_Hopper_Type2_Gray_L2_S1</t>
  </si>
  <si>
    <t>spriteset_mu_Wagon_Gen4_Hopper_Type2_Gray_L1_S3</t>
  </si>
  <si>
    <t>spriteset_mu_Wagon_Gen4_Hopper_Type2_Gray_L1_S2</t>
  </si>
  <si>
    <t>spriteset_mu_Wagon_Gen4_Hopper_Type2_Gray_L1_S1</t>
  </si>
  <si>
    <t>spriteset_mu_Wagon_Gen4_Hopper_Type2_Sand_L4_S3</t>
  </si>
  <si>
    <t>spriteset_mu_Wagon_Gen4_Hopper_Type2_Sand_L4_S2</t>
  </si>
  <si>
    <t>spriteset_mu_Wagon_Gen4_Hopper_Type2_Sand_L4_S1</t>
  </si>
  <si>
    <t>spriteset_mu_Wagon_Gen4_Hopper_Type2_Sand_L3_S3</t>
  </si>
  <si>
    <t>spriteset_mu_Wagon_Gen4_Hopper_Type2_Sand_L3_S2</t>
  </si>
  <si>
    <t>spriteset_mu_Wagon_Gen4_Hopper_Type2_Sand_L3_S1</t>
  </si>
  <si>
    <t>spriteset_mu_Wagon_Gen4_Hopper_Type2_Sand_L2_S3</t>
  </si>
  <si>
    <t>spriteset_mu_Wagon_Gen4_Hopper_Type2_Sand_L2_S2</t>
  </si>
  <si>
    <t>spriteset_mu_Wagon_Gen4_Hopper_Type2_Sand_L2_S1</t>
  </si>
  <si>
    <t>spriteset_mu_Wagon_Gen4_Hopper_Type2_Sand_L1_S3</t>
  </si>
  <si>
    <t>spriteset_mu_Wagon_Gen4_Hopper_Type2_Sand_L1_S2</t>
  </si>
  <si>
    <t>spriteset_mu_Wagon_Gen4_Hopper_Type2_Sand_L1_S1</t>
  </si>
  <si>
    <t>spriteset_mu_Wagon_Gen4_Hopper_Type2_Ore_L4_S3</t>
  </si>
  <si>
    <t>spriteset_mu_Wagon_Gen4_Hopper_Type2_Ore_L4_S2</t>
  </si>
  <si>
    <t>spriteset_mu_Wagon_Gen4_Hopper_Type2_Ore_L4_S1</t>
  </si>
  <si>
    <t>spriteset_mu_Wagon_Gen4_Hopper_Type2_Ore_L3_S3</t>
  </si>
  <si>
    <t>spriteset_mu_Wagon_Gen4_Hopper_Type2_Ore_L3_S2</t>
  </si>
  <si>
    <t>spriteset_mu_Wagon_Gen4_Hopper_Type2_Ore_L3_S1</t>
  </si>
  <si>
    <t>spriteset_mu_Wagon_Gen4_Hopper_Type2_Ore_L2_S3</t>
  </si>
  <si>
    <t>spriteset_mu_Wagon_Gen4_Hopper_Type2_Ore_L2_S2</t>
  </si>
  <si>
    <t>spriteset_mu_Wagon_Gen4_Hopper_Type2_Ore_L2_S1</t>
  </si>
  <si>
    <t>spriteset_mu_Wagon_Gen4_Hopper_Type2_Ore_L1_S3</t>
  </si>
  <si>
    <t>spriteset_mu_Wagon_Gen4_Hopper_Type2_Ore_L1_S2</t>
  </si>
  <si>
    <t>spriteset_mu_Wagon_Gen4_Hopper_Type2_Ore_L1_S1</t>
  </si>
  <si>
    <t>spriteset_mu_Wagon_Gen4_Hopper_Type2_Coal_L4_S3</t>
  </si>
  <si>
    <t>spriteset_mu_Wagon_Gen4_Hopper_Type2_Coal_L4_S2</t>
  </si>
  <si>
    <t>spriteset_mu_Wagon_Gen4_Hopper_Type2_Coal_L4_S1</t>
  </si>
  <si>
    <t>spriteset_mu_Wagon_Gen4_Hopper_Type2_Coal_L3_S3</t>
  </si>
  <si>
    <t>spriteset_mu_Wagon_Gen4_Hopper_Type2_Coal_L3_S2</t>
  </si>
  <si>
    <t>spriteset_mu_Wagon_Gen4_Hopper_Type2_Coal_L3_S1</t>
  </si>
  <si>
    <t>spriteset_mu_Wagon_Gen4_Hopper_Type2_Coal_L2_S3</t>
  </si>
  <si>
    <t>spriteset_mu_Wagon_Gen4_Hopper_Type2_Coal_L2_S2</t>
  </si>
  <si>
    <t>spriteset_mu_Wagon_Gen4_Hopper_Type2_Coal_L2_S1</t>
  </si>
  <si>
    <t>spriteset_mu_Wagon_Gen4_Hopper_Type2_Coal_L1_S3</t>
  </si>
  <si>
    <t>spriteset_mu_Wagon_Gen4_Hopper_Type2_Coal_L1_S2</t>
  </si>
  <si>
    <t>spriteset_mu_Wagon_Gen4_Hopper_Type2_Coal_L1_S1</t>
  </si>
  <si>
    <t>spriteset_mu_Wagon_Gen4_Hopper_Type2_purchase</t>
  </si>
  <si>
    <t>switch_mu_Wagon_Gen4_Hopper_Type1_cargo_selection</t>
  </si>
  <si>
    <t>switch_mu_Wagon_Gen4_Hopper_Type1_Gray_livery</t>
  </si>
  <si>
    <t>switch_mu_Wagon_Gen4_Hopper_Type1_Sand_livery</t>
  </si>
  <si>
    <t>switch_mu_Wagon_Gen4_Hopper_Type1_Ore_livery</t>
  </si>
  <si>
    <t>switch_mu_Wagon_Gen4_Hopper_Type1_Coal_livery</t>
  </si>
  <si>
    <t>spriteset_mu_Wagon_Gen4_Hopper_Type1_Gray_L4_S3</t>
  </si>
  <si>
    <t>spriteset_mu_Wagon_Gen4_Hopper_Type1_Gray_L4_S2</t>
  </si>
  <si>
    <t>spriteset_mu_Wagon_Gen4_Hopper_Type1_Gray_L4_S1</t>
  </si>
  <si>
    <t>spriteset_mu_Wagon_Gen4_Hopper_Type1_Gray_L3_S3</t>
  </si>
  <si>
    <t>spriteset_mu_Wagon_Gen4_Hopper_Type1_Gray_L3_S2</t>
  </si>
  <si>
    <t>spriteset_mu_Wagon_Gen4_Hopper_Type1_Gray_L3_S1</t>
  </si>
  <si>
    <t>spriteset_mu_Wagon_Gen4_Hopper_Type1_Gray_L2_S3</t>
  </si>
  <si>
    <t>spriteset_mu_Wagon_Gen4_Hopper_Type1_Gray_L2_S2</t>
  </si>
  <si>
    <t>spriteset_mu_Wagon_Gen4_Hopper_Type1_Gray_L2_S1</t>
  </si>
  <si>
    <t>spriteset_mu_Wagon_Gen4_Hopper_Type1_Gray_L1_S3</t>
  </si>
  <si>
    <t>spriteset_mu_Wagon_Gen4_Hopper_Type1_Gray_L1_S2</t>
  </si>
  <si>
    <t>spriteset_mu_Wagon_Gen4_Hopper_Type1_Gray_L1_S1</t>
  </si>
  <si>
    <t>spriteset_mu_Wagon_Gen4_Hopper_Type1_Sand_L4_S3</t>
  </si>
  <si>
    <t>spriteset_mu_Wagon_Gen4_Hopper_Type1_Sand_L4_S2</t>
  </si>
  <si>
    <t>spriteset_mu_Wagon_Gen4_Hopper_Type1_Sand_L4_S1</t>
  </si>
  <si>
    <t>spriteset_mu_Wagon_Gen4_Hopper_Type1_Sand_L3_S3</t>
  </si>
  <si>
    <t>spriteset_mu_Wagon_Gen4_Hopper_Type1_Sand_L3_S2</t>
  </si>
  <si>
    <t>spriteset_mu_Wagon_Gen4_Hopper_Type1_Sand_L3_S1</t>
  </si>
  <si>
    <t>spriteset_mu_Wagon_Gen4_Hopper_Type1_Sand_L2_S3</t>
  </si>
  <si>
    <t>spriteset_mu_Wagon_Gen4_Hopper_Type1_Sand_L2_S2</t>
  </si>
  <si>
    <t>spriteset_mu_Wagon_Gen4_Hopper_Type1_Sand_L2_S1</t>
  </si>
  <si>
    <t>spriteset_mu_Wagon_Gen4_Hopper_Type1_Sand_L1_S3</t>
  </si>
  <si>
    <t>spriteset_mu_Wagon_Gen4_Hopper_Type1_Sand_L1_S2</t>
  </si>
  <si>
    <t>spriteset_mu_Wagon_Gen4_Hopper_Type1_Sand_L1_S1</t>
  </si>
  <si>
    <t>spriteset_mu_Wagon_Gen4_Hopper_Type1_Ore_L4_S3</t>
  </si>
  <si>
    <t>spriteset_mu_Wagon_Gen4_Hopper_Type1_Ore_L4_S2</t>
  </si>
  <si>
    <t>spriteset_mu_Wagon_Gen4_Hopper_Type1_Ore_L4_S1</t>
  </si>
  <si>
    <t>spriteset_mu_Wagon_Gen4_Hopper_Type1_Ore_L3_S3</t>
  </si>
  <si>
    <t>spriteset_mu_Wagon_Gen4_Hopper_Type1_Ore_L3_S2</t>
  </si>
  <si>
    <t>spriteset_mu_Wagon_Gen4_Hopper_Type1_Ore_L3_S1</t>
  </si>
  <si>
    <t>spriteset_mu_Wagon_Gen4_Hopper_Type1_Ore_L2_S3</t>
  </si>
  <si>
    <t>spriteset_mu_Wagon_Gen4_Hopper_Type1_Ore_L2_S2</t>
  </si>
  <si>
    <t>spriteset_mu_Wagon_Gen4_Hopper_Type1_Ore_L2_S1</t>
  </si>
  <si>
    <t>spriteset_mu_Wagon_Gen4_Hopper_Type1_Ore_L1_S3</t>
  </si>
  <si>
    <t>spriteset_mu_Wagon_Gen4_Hopper_Type1_Ore_L1_S2</t>
  </si>
  <si>
    <t>spriteset_mu_Wagon_Gen4_Hopper_Type1_Ore_L1_S1</t>
  </si>
  <si>
    <t>spriteset_mu_Wagon_Gen4_Hopper_Type1_Coal_L4_S3</t>
  </si>
  <si>
    <t>spriteset_mu_Wagon_Gen4_Hopper_Type1_Coal_L4_S2</t>
  </si>
  <si>
    <t>spriteset_mu_Wagon_Gen4_Hopper_Type1_Coal_L4_S1</t>
  </si>
  <si>
    <t>spriteset_mu_Wagon_Gen4_Hopper_Type1_Coal_L3_S3</t>
  </si>
  <si>
    <t>spriteset_mu_Wagon_Gen4_Hopper_Type1_Coal_L3_S2</t>
  </si>
  <si>
    <t>spriteset_mu_Wagon_Gen4_Hopper_Type1_Coal_L3_S1</t>
  </si>
  <si>
    <t>spriteset_mu_Wagon_Gen4_Hopper_Type1_Coal_L2_S3</t>
  </si>
  <si>
    <t>spriteset_mu_Wagon_Gen4_Hopper_Type1_Coal_L2_S2</t>
  </si>
  <si>
    <t>spriteset_mu_Wagon_Gen4_Hopper_Type1_Coal_L2_S1</t>
  </si>
  <si>
    <t>spriteset_mu_Wagon_Gen4_Hopper_Type1_Coal_L1_S3</t>
  </si>
  <si>
    <t>spriteset_mu_Wagon_Gen4_Hopper_Type1_Coal_L1_S2</t>
  </si>
  <si>
    <t>spriteset_mu_Wagon_Gen4_Hopper_Type1_Coal_L1_S1</t>
  </si>
  <si>
    <t>spriteset_mu_Wagon_Gen4_Hopper_Type1_purchase</t>
  </si>
  <si>
    <t>switch_mu_Wagon_Gen4_Heavy_Flatcar_cargo_selection</t>
  </si>
  <si>
    <t>switch_mu_Wagon_Gen4_Heavy_Flatcar_Supplies_livery</t>
  </si>
  <si>
    <t>switch_mu_Wagon_Gen4_Heavy_Flatcar_Goods_livery</t>
  </si>
  <si>
    <t>switch_mu_Wagon_Gen4_Heavy_Flatcar_YETI_livery</t>
  </si>
  <si>
    <t>switch_mu_Wagon_Gen4_Heavy_Flatcar_Steel_livery</t>
  </si>
  <si>
    <t>switch_mu_Wagon_Gen4_Heavy_Flatcar_Machinery_livery</t>
  </si>
  <si>
    <t>switch_mu_Wagon_Gen4_Heavy_Flatcar_Cars_livery</t>
  </si>
  <si>
    <t>switch_mu_Wagon_Gen4_Heavy_Flatcar_Crates_livery</t>
  </si>
  <si>
    <t>spriteset_mu_Wagon_Gen4_Heavy_Flatcar_YETI_L4_S3</t>
  </si>
  <si>
    <t>spriteset_mu_Wagon_Gen4_Heavy_Flatcar_YETI_L4_S2</t>
  </si>
  <si>
    <t>spriteset_mu_Wagon_Gen4_Heavy_Flatcar_YETI_L4_S1</t>
  </si>
  <si>
    <t>spriteset_mu_Wagon_Gen4_Heavy_Flatcar_YETI_L3_S3</t>
  </si>
  <si>
    <t>spriteset_mu_Wagon_Gen4_Heavy_Flatcar_YETI_L3_S2</t>
  </si>
  <si>
    <t>spriteset_mu_Wagon_Gen4_Heavy_Flatcar_YETI_L3_S1</t>
  </si>
  <si>
    <t>spriteset_mu_Wagon_Gen4_Heavy_Flatcar_YETI_L2_S3</t>
  </si>
  <si>
    <t>spriteset_mu_Wagon_Gen4_Heavy_Flatcar_YETI_L2_S2</t>
  </si>
  <si>
    <t>spriteset_mu_Wagon_Gen4_Heavy_Flatcar_YETI_L2_S1</t>
  </si>
  <si>
    <t>spriteset_mu_Wagon_Gen4_Heavy_Flatcar_YETI_L1_S3</t>
  </si>
  <si>
    <t>spriteset_mu_Wagon_Gen4_Heavy_Flatcar_YETI_L1_S2</t>
  </si>
  <si>
    <t>spriteset_mu_Wagon_Gen4_Heavy_Flatcar_YETI_L1_S1</t>
  </si>
  <si>
    <t>spriteset_mu_Wagon_Gen4_Heavy_Flatcar_Steel_L4_S3</t>
  </si>
  <si>
    <t>spriteset_mu_Wagon_Gen4_Heavy_Flatcar_Steel_L4_S2</t>
  </si>
  <si>
    <t>spriteset_mu_Wagon_Gen4_Heavy_Flatcar_Steel_L4_S1</t>
  </si>
  <si>
    <t>spriteset_mu_Wagon_Gen4_Heavy_Flatcar_Steel_L3_S3</t>
  </si>
  <si>
    <t>spriteset_mu_Wagon_Gen4_Heavy_Flatcar_Steel_L3_S2</t>
  </si>
  <si>
    <t>spriteset_mu_Wagon_Gen4_Heavy_Flatcar_Steel_L3_S1</t>
  </si>
  <si>
    <t>spriteset_mu_Wagon_Gen4_Heavy_Flatcar_Steel_L2_S3</t>
  </si>
  <si>
    <t>spriteset_mu_Wagon_Gen4_Heavy_Flatcar_Steel_L2_S2</t>
  </si>
  <si>
    <t>spriteset_mu_Wagon_Gen4_Heavy_Flatcar_Steel_L2_S1</t>
  </si>
  <si>
    <t>spriteset_mu_Wagon_Gen4_Heavy_Flatcar_Steel_L1_S3</t>
  </si>
  <si>
    <t>spriteset_mu_Wagon_Gen4_Heavy_Flatcar_Steel_L1_S2</t>
  </si>
  <si>
    <t>spriteset_mu_Wagon_Gen4_Heavy_Flatcar_Steel_L1_S1</t>
  </si>
  <si>
    <t>spriteset_mu_Wagon_Gen4_Heavy_Flatcar_Machinery_L4_S3</t>
  </si>
  <si>
    <t>spriteset_mu_Wagon_Gen4_Heavy_Flatcar_Machinery_L4_S2</t>
  </si>
  <si>
    <t>spriteset_mu_Wagon_Gen4_Heavy_Flatcar_Machinery_L4_S1</t>
  </si>
  <si>
    <t>spriteset_mu_Wagon_Gen4_Heavy_Flatcar_Machinery_L3_S3</t>
  </si>
  <si>
    <t>spriteset_mu_Wagon_Gen4_Heavy_Flatcar_Machinery_L3_S2</t>
  </si>
  <si>
    <t>spriteset_mu_Wagon_Gen4_Heavy_Flatcar_Machinery_L3_S1</t>
  </si>
  <si>
    <t>spriteset_mu_Wagon_Gen4_Heavy_Flatcar_Machinery_L2_S3</t>
  </si>
  <si>
    <t>spriteset_mu_Wagon_Gen4_Heavy_Flatcar_Machinery_L2_S2</t>
  </si>
  <si>
    <t>spriteset_mu_Wagon_Gen4_Heavy_Flatcar_Machinery_L2_S1</t>
  </si>
  <si>
    <t>spriteset_mu_Wagon_Gen4_Heavy_Flatcar_Machinery_L1_S3</t>
  </si>
  <si>
    <t>spriteset_mu_Wagon_Gen4_Heavy_Flatcar_Machinery_L1_S2</t>
  </si>
  <si>
    <t>spriteset_mu_Wagon_Gen4_Heavy_Flatcar_Machinery_L1_S1</t>
  </si>
  <si>
    <t>spriteset_mu_Wagon_Gen4_Heavy_Flatcar_Cars_L4_S3</t>
  </si>
  <si>
    <t>spriteset_mu_Wagon_Gen4_Heavy_Flatcar_Cars_L4_S2</t>
  </si>
  <si>
    <t>spriteset_mu_Wagon_Gen4_Heavy_Flatcar_Cars_L4_S1</t>
  </si>
  <si>
    <t>spriteset_mu_Wagon_Gen4_Heavy_Flatcar_Cars_L3_S3</t>
  </si>
  <si>
    <t>spriteset_mu_Wagon_Gen4_Heavy_Flatcar_Cars_L3_S2</t>
  </si>
  <si>
    <t>spriteset_mu_Wagon_Gen4_Heavy_Flatcar_Cars_L3_S1</t>
  </si>
  <si>
    <t>spriteset_mu_Wagon_Gen4_Heavy_Flatcar_Cars_L2_S3</t>
  </si>
  <si>
    <t>spriteset_mu_Wagon_Gen4_Heavy_Flatcar_Cars_L2_S2</t>
  </si>
  <si>
    <t>spriteset_mu_Wagon_Gen4_Heavy_Flatcar_Cars_L2_S1</t>
  </si>
  <si>
    <t>spriteset_mu_Wagon_Gen4_Heavy_Flatcar_Cars_L1_S3</t>
  </si>
  <si>
    <t>spriteset_mu_Wagon_Gen4_Heavy_Flatcar_Cars_L1_S2</t>
  </si>
  <si>
    <t>spriteset_mu_Wagon_Gen4_Heavy_Flatcar_Cars_L1_S1</t>
  </si>
  <si>
    <t>spriteset_mu_Wagon_Gen4_Heavy_Flatcar_Crates_L4_S3</t>
  </si>
  <si>
    <t>spriteset_mu_Wagon_Gen4_Heavy_Flatcar_Crates_L4_S2</t>
  </si>
  <si>
    <t>spriteset_mu_Wagon_Gen4_Heavy_Flatcar_Crates_L4_S1</t>
  </si>
  <si>
    <t>spriteset_mu_Wagon_Gen4_Heavy_Flatcar_Crates_L3_S3</t>
  </si>
  <si>
    <t>spriteset_mu_Wagon_Gen4_Heavy_Flatcar_Crates_L3_S2</t>
  </si>
  <si>
    <t>spriteset_mu_Wagon_Gen4_Heavy_Flatcar_Crates_L3_S1</t>
  </si>
  <si>
    <t>spriteset_mu_Wagon_Gen4_Heavy_Flatcar_Crates_L2_S3</t>
  </si>
  <si>
    <t>spriteset_mu_Wagon_Gen4_Heavy_Flatcar_Crates_L2_S2</t>
  </si>
  <si>
    <t>spriteset_mu_Wagon_Gen4_Heavy_Flatcar_Crates_L2_S1</t>
  </si>
  <si>
    <t>spriteset_mu_Wagon_Gen4_Heavy_Flatcar_Crates_L1_S3</t>
  </si>
  <si>
    <t>spriteset_mu_Wagon_Gen4_Heavy_Flatcar_Crates_L1_S2</t>
  </si>
  <si>
    <t>spriteset_mu_Wagon_Gen4_Heavy_Flatcar_Crates_L1_S1</t>
  </si>
  <si>
    <t>spriteset_mu_Wagon_Gen4_Heavy_Flatcar_purchase</t>
  </si>
  <si>
    <t>switch_mu_Wagon_Gen4_Gondola_cargo_selection</t>
  </si>
  <si>
    <t>switch_mu_Wagon_Gen4_Gondola_Gray_livery</t>
  </si>
  <si>
    <t>switch_mu_Wagon_Gen4_Gondola_Sand_livery</t>
  </si>
  <si>
    <t>switch_mu_Wagon_Gen4_Gondola_Wood_livery</t>
  </si>
  <si>
    <t>switch_mu_Wagon_Gen4_Gondola_Ore_livery</t>
  </si>
  <si>
    <t>switch_mu_Wagon_Gen4_Gondola_Grain_livery</t>
  </si>
  <si>
    <t>switch_mu_Wagon_Gen4_Gondola_Coal_livery</t>
  </si>
  <si>
    <t>spriteset_mu_Wagon_Gen4_Gondola_Gray_L4_S3</t>
  </si>
  <si>
    <t>spriteset_mu_Wagon_Gen4_Gondola_Gray_L4_S2</t>
  </si>
  <si>
    <t>spriteset_mu_Wagon_Gen4_Gondola_Gray_L4_S1</t>
  </si>
  <si>
    <t>spriteset_mu_Wagon_Gen4_Gondola_Gray_L3_S3</t>
  </si>
  <si>
    <t>spriteset_mu_Wagon_Gen4_Gondola_Gray_L3_S2</t>
  </si>
  <si>
    <t>spriteset_mu_Wagon_Gen4_Gondola_Gray_L3_S1</t>
  </si>
  <si>
    <t>spriteset_mu_Wagon_Gen4_Gondola_Gray_L2_S3</t>
  </si>
  <si>
    <t>spriteset_mu_Wagon_Gen4_Gondola_Gray_L2_S2</t>
  </si>
  <si>
    <t>spriteset_mu_Wagon_Gen4_Gondola_Gray_L2_S1</t>
  </si>
  <si>
    <t>spriteset_mu_Wagon_Gen4_Gondola_Gray_L1_S3</t>
  </si>
  <si>
    <t>spriteset_mu_Wagon_Gen4_Gondola_Gray_L1_S2</t>
  </si>
  <si>
    <t>spriteset_mu_Wagon_Gen4_Gondola_Gray_L1_S1</t>
  </si>
  <si>
    <t>spriteset_mu_Wagon_Gen4_Gondola_Sand_L4_S3</t>
  </si>
  <si>
    <t>spriteset_mu_Wagon_Gen4_Gondola_Sand_L4_S2</t>
  </si>
  <si>
    <t>spriteset_mu_Wagon_Gen4_Gondola_Sand_L4_S1</t>
  </si>
  <si>
    <t>spriteset_mu_Wagon_Gen4_Gondola_Sand_L3_S3</t>
  </si>
  <si>
    <t>spriteset_mu_Wagon_Gen4_Gondola_Sand_L3_S2</t>
  </si>
  <si>
    <t>spriteset_mu_Wagon_Gen4_Gondola_Sand_L3_S1</t>
  </si>
  <si>
    <t>spriteset_mu_Wagon_Gen4_Gondola_Sand_L2_S3</t>
  </si>
  <si>
    <t>spriteset_mu_Wagon_Gen4_Gondola_Sand_L2_S2</t>
  </si>
  <si>
    <t>spriteset_mu_Wagon_Gen4_Gondola_Sand_L2_S1</t>
  </si>
  <si>
    <t>spriteset_mu_Wagon_Gen4_Gondola_Sand_L1_S3</t>
  </si>
  <si>
    <t>spriteset_mu_Wagon_Gen4_Gondola_Sand_L1_S2</t>
  </si>
  <si>
    <t>spriteset_mu_Wagon_Gen4_Gondola_Sand_L1_S1</t>
  </si>
  <si>
    <t>spriteset_mu_Wagon_Gen4_Gondola_Wood_L4_S3</t>
  </si>
  <si>
    <t>spriteset_mu_Wagon_Gen4_Gondola_Wood_L4_S2</t>
  </si>
  <si>
    <t>spriteset_mu_Wagon_Gen4_Gondola_Wood_L4_S1</t>
  </si>
  <si>
    <t>spriteset_mu_Wagon_Gen4_Gondola_Wood_L3_S3</t>
  </si>
  <si>
    <t>spriteset_mu_Wagon_Gen4_Gondola_Wood_L3_S2</t>
  </si>
  <si>
    <t>spriteset_mu_Wagon_Gen4_Gondola_Wood_L3_S1</t>
  </si>
  <si>
    <t>spriteset_mu_Wagon_Gen4_Gondola_Wood_L2_S3</t>
  </si>
  <si>
    <t>spriteset_mu_Wagon_Gen4_Gondola_Wood_L2_S2</t>
  </si>
  <si>
    <t>spriteset_mu_Wagon_Gen4_Gondola_Wood_L2_S1</t>
  </si>
  <si>
    <t>spriteset_mu_Wagon_Gen4_Gondola_Wood_L1_S3</t>
  </si>
  <si>
    <t>spriteset_mu_Wagon_Gen4_Gondola_Wood_L1_S2</t>
  </si>
  <si>
    <t>spriteset_mu_Wagon_Gen4_Gondola_Wood_L1_S1</t>
  </si>
  <si>
    <t>spriteset_mu_Wagon_Gen4_Gondola_Ore_L4_S3</t>
  </si>
  <si>
    <t>spriteset_mu_Wagon_Gen4_Gondola_Ore_L4_S2</t>
  </si>
  <si>
    <t>spriteset_mu_Wagon_Gen4_Gondola_Ore_L4_S1</t>
  </si>
  <si>
    <t>spriteset_mu_Wagon_Gen4_Gondola_Ore_L3_S3</t>
  </si>
  <si>
    <t>spriteset_mu_Wagon_Gen4_Gondola_Ore_L3_S2</t>
  </si>
  <si>
    <t>spriteset_mu_Wagon_Gen4_Gondola_Ore_L3_S1</t>
  </si>
  <si>
    <t>spriteset_mu_Wagon_Gen4_Gondola_Ore_L2_S3</t>
  </si>
  <si>
    <t>spriteset_mu_Wagon_Gen4_Gondola_Ore_L2_S2</t>
  </si>
  <si>
    <t>spriteset_mu_Wagon_Gen4_Gondola_Ore_L2_S1</t>
  </si>
  <si>
    <t>spriteset_mu_Wagon_Gen4_Gondola_Ore_L1_S3</t>
  </si>
  <si>
    <t>spriteset_mu_Wagon_Gen4_Gondola_Ore_L1_S2</t>
  </si>
  <si>
    <t>spriteset_mu_Wagon_Gen4_Gondola_Ore_L1_S1</t>
  </si>
  <si>
    <t>spriteset_mu_Wagon_Gen4_Gondola_Grain_L4_S4</t>
  </si>
  <si>
    <t>spriteset_mu_Wagon_Gen4_Gondola_Grain_L4_S3</t>
  </si>
  <si>
    <t>spriteset_mu_Wagon_Gen4_Gondola_Grain_L4_S2</t>
  </si>
  <si>
    <t>spriteset_mu_Wagon_Gen4_Gondola_Grain_L4_S1</t>
  </si>
  <si>
    <t>spriteset_mu_Wagon_Gen4_Gondola_Grain_L3_S4</t>
  </si>
  <si>
    <t>spriteset_mu_Wagon_Gen4_Gondola_Grain_L3_S3</t>
  </si>
  <si>
    <t>spriteset_mu_Wagon_Gen4_Gondola_Grain_L3_S2</t>
  </si>
  <si>
    <t>spriteset_mu_Wagon_Gen4_Gondola_Grain_L3_S1</t>
  </si>
  <si>
    <t>spriteset_mu_Wagon_Gen4_Gondola_Grain_L2_S4</t>
  </si>
  <si>
    <t>spriteset_mu_Wagon_Gen4_Gondola_Grain_L2_S3</t>
  </si>
  <si>
    <t>spriteset_mu_Wagon_Gen4_Gondola_Grain_L2_S2</t>
  </si>
  <si>
    <t>spriteset_mu_Wagon_Gen4_Gondola_Grain_L2_S1</t>
  </si>
  <si>
    <t>spriteset_mu_Wagon_Gen4_Gondola_Grain_L1_S4</t>
  </si>
  <si>
    <t>spriteset_mu_Wagon_Gen4_Gondola_Grain_L1_S3</t>
  </si>
  <si>
    <t>spriteset_mu_Wagon_Gen4_Gondola_Grain_L1_S2</t>
  </si>
  <si>
    <t>spriteset_mu_Wagon_Gen4_Gondola_Grain_L1_S1</t>
  </si>
  <si>
    <t>spriteset_mu_Wagon_Gen4_Gondola_Coal_L4_S3</t>
  </si>
  <si>
    <t>spriteset_mu_Wagon_Gen4_Gondola_Coal_L4_S2</t>
  </si>
  <si>
    <t>spriteset_mu_Wagon_Gen4_Gondola_Coal_L4_S1</t>
  </si>
  <si>
    <t>spriteset_mu_Wagon_Gen4_Gondola_Coal_L3_S3</t>
  </si>
  <si>
    <t>spriteset_mu_Wagon_Gen4_Gondola_Coal_L3_S2</t>
  </si>
  <si>
    <t>spriteset_mu_Wagon_Gen4_Gondola_Coal_L3_S1</t>
  </si>
  <si>
    <t>spriteset_mu_Wagon_Gen4_Gondola_Coal_L2_S3</t>
  </si>
  <si>
    <t>spriteset_mu_Wagon_Gen4_Gondola_Coal_L2_S2</t>
  </si>
  <si>
    <t>spriteset_mu_Wagon_Gen4_Gondola_Coal_L2_S1</t>
  </si>
  <si>
    <t>spriteset_mu_Wagon_Gen4_Gondola_Coal_L1_S3</t>
  </si>
  <si>
    <t>spriteset_mu_Wagon_Gen4_Gondola_Coal_L1_S2</t>
  </si>
  <si>
    <t>spriteset_mu_Wagon_Gen4_Gondola_Coal_L1_S1</t>
  </si>
  <si>
    <t>spriteset_mu_Wagon_Gen4_Gondola_purchase</t>
  </si>
  <si>
    <t>switch_mu_Wagon_Gen4_Flatcar_cargo_selection</t>
  </si>
  <si>
    <t>switch_mu_Wagon_Gen4_Flatcar_Building_Materials_livery</t>
  </si>
  <si>
    <t>switch_mu_Wagon_Gen4_Flatcar_Goods_livery</t>
  </si>
  <si>
    <t>switch_mu_Wagon_Gen4_Flatcar_YETI_livery</t>
  </si>
  <si>
    <t>switch_mu_Wagon_Gen4_Flatcar_Machinery_livery</t>
  </si>
  <si>
    <t>switch_mu_Wagon_Gen4_Flatcar_Wood_livery</t>
  </si>
  <si>
    <t>switch_mu_Wagon_Gen4_Flatcar_Steel_livery</t>
  </si>
  <si>
    <t>switch_mu_Wagon_Gen4_Flatcar_Planks_livery</t>
  </si>
  <si>
    <t>switch_mu_Wagon_Gen4_Flatcar_Crates_livery</t>
  </si>
  <si>
    <t>spriteset_mu_Wagon_Gen4_Flatcar_YETI_L4_S3</t>
  </si>
  <si>
    <t>spriteset_mu_Wagon_Gen4_Flatcar_YETI_L4_S2</t>
  </si>
  <si>
    <t>spriteset_mu_Wagon_Gen4_Flatcar_YETI_L4_S1</t>
  </si>
  <si>
    <t>spriteset_mu_Wagon_Gen4_Flatcar_YETI_L3_S3</t>
  </si>
  <si>
    <t>spriteset_mu_Wagon_Gen4_Flatcar_YETI_L3_S2</t>
  </si>
  <si>
    <t>spriteset_mu_Wagon_Gen4_Flatcar_YETI_L3_S1</t>
  </si>
  <si>
    <t>spriteset_mu_Wagon_Gen4_Flatcar_YETI_L2_S3</t>
  </si>
  <si>
    <t>spriteset_mu_Wagon_Gen4_Flatcar_YETI_L2_S2</t>
  </si>
  <si>
    <t>spriteset_mu_Wagon_Gen4_Flatcar_YETI_L2_S1</t>
  </si>
  <si>
    <t>spriteset_mu_Wagon_Gen4_Flatcar_YETI_L1_S3</t>
  </si>
  <si>
    <t>spriteset_mu_Wagon_Gen4_Flatcar_YETI_L1_S2</t>
  </si>
  <si>
    <t>spriteset_mu_Wagon_Gen4_Flatcar_YETI_L1_S1</t>
  </si>
  <si>
    <t>spriteset_mu_Wagon_Gen4_Flatcar_Machinery_L4_S3</t>
  </si>
  <si>
    <t>spriteset_mu_Wagon_Gen4_Flatcar_Machinery_L4_S2</t>
  </si>
  <si>
    <t>spriteset_mu_Wagon_Gen4_Flatcar_Machinery_L4_S1</t>
  </si>
  <si>
    <t>spriteset_mu_Wagon_Gen4_Flatcar_Machinery_L3_S3</t>
  </si>
  <si>
    <t>spriteset_mu_Wagon_Gen4_Flatcar_Machinery_L3_S2</t>
  </si>
  <si>
    <t>spriteset_mu_Wagon_Gen4_Flatcar_Machinery_L3_S1</t>
  </si>
  <si>
    <t>spriteset_mu_Wagon_Gen4_Flatcar_Machinery_L2_S3</t>
  </si>
  <si>
    <t>spriteset_mu_Wagon_Gen4_Flatcar_Machinery_L2_S2</t>
  </si>
  <si>
    <t>spriteset_mu_Wagon_Gen4_Flatcar_Machinery_L2_S1</t>
  </si>
  <si>
    <t>spriteset_mu_Wagon_Gen4_Flatcar_Machinery_L1_S3</t>
  </si>
  <si>
    <t>spriteset_mu_Wagon_Gen4_Flatcar_Machinery_L1_S2</t>
  </si>
  <si>
    <t>spriteset_mu_Wagon_Gen4_Flatcar_Machinery_L1_S1</t>
  </si>
  <si>
    <t>spriteset_mu_Wagon_Gen4_Flatcar_Wood_L4_S3</t>
  </si>
  <si>
    <t>spriteset_mu_Wagon_Gen4_Flatcar_Wood_L4_S2</t>
  </si>
  <si>
    <t>spriteset_mu_Wagon_Gen4_Flatcar_Wood_L4_S1</t>
  </si>
  <si>
    <t>spriteset_mu_Wagon_Gen4_Flatcar_Wood_L3_S3</t>
  </si>
  <si>
    <t>spriteset_mu_Wagon_Gen4_Flatcar_Wood_L3_S2</t>
  </si>
  <si>
    <t>spriteset_mu_Wagon_Gen4_Flatcar_Wood_L3_S1</t>
  </si>
  <si>
    <t>spriteset_mu_Wagon_Gen4_Flatcar_Wood_L2_S3</t>
  </si>
  <si>
    <t>spriteset_mu_Wagon_Gen4_Flatcar_Wood_L2_S2</t>
  </si>
  <si>
    <t>spriteset_mu_Wagon_Gen4_Flatcar_Wood_L2_S1</t>
  </si>
  <si>
    <t>spriteset_mu_Wagon_Gen4_Flatcar_Wood_L1_S3</t>
  </si>
  <si>
    <t>spriteset_mu_Wagon_Gen4_Flatcar_Wood_L1_S2</t>
  </si>
  <si>
    <t>spriteset_mu_Wagon_Gen4_Flatcar_Wood_L1_S1</t>
  </si>
  <si>
    <t>spriteset_mu_Wagon_Gen4_Flatcar_Steel_L4_S3</t>
  </si>
  <si>
    <t>spriteset_mu_Wagon_Gen4_Flatcar_Steel_L4_S2</t>
  </si>
  <si>
    <t>spriteset_mu_Wagon_Gen4_Flatcar_Steel_L4_S1</t>
  </si>
  <si>
    <t>spriteset_mu_Wagon_Gen4_Flatcar_Steel_L3_S3</t>
  </si>
  <si>
    <t>spriteset_mu_Wagon_Gen4_Flatcar_Steel_L3_S2</t>
  </si>
  <si>
    <t>spriteset_mu_Wagon_Gen4_Flatcar_Steel_L3_S1</t>
  </si>
  <si>
    <t>spriteset_mu_Wagon_Gen4_Flatcar_Steel_L2_S3</t>
  </si>
  <si>
    <t>spriteset_mu_Wagon_Gen4_Flatcar_Steel_L2_S2</t>
  </si>
  <si>
    <t>spriteset_mu_Wagon_Gen4_Flatcar_Steel_L2_S1</t>
  </si>
  <si>
    <t>spriteset_mu_Wagon_Gen4_Flatcar_Steel_L1_S3</t>
  </si>
  <si>
    <t>spriteset_mu_Wagon_Gen4_Flatcar_Steel_L1_S2</t>
  </si>
  <si>
    <t>spriteset_mu_Wagon_Gen4_Flatcar_Steel_L1_S1</t>
  </si>
  <si>
    <t>spriteset_mu_Wagon_Gen4_Flatcar_Planks_L4_S3</t>
  </si>
  <si>
    <t>spriteset_mu_Wagon_Gen4_Flatcar_Planks_L4_S2</t>
  </si>
  <si>
    <t>spriteset_mu_Wagon_Gen4_Flatcar_Planks_L4_S1</t>
  </si>
  <si>
    <t>spriteset_mu_Wagon_Gen4_Flatcar_Planks_L3_S3</t>
  </si>
  <si>
    <t>spriteset_mu_Wagon_Gen4_Flatcar_Planks_L3_S2</t>
  </si>
  <si>
    <t>spriteset_mu_Wagon_Gen4_Flatcar_Planks_L3_S1</t>
  </si>
  <si>
    <t>spriteset_mu_Wagon_Gen4_Flatcar_Planks_L2_S3</t>
  </si>
  <si>
    <t>spriteset_mu_Wagon_Gen4_Flatcar_Planks_L2_S2</t>
  </si>
  <si>
    <t>spriteset_mu_Wagon_Gen4_Flatcar_Planks_L2_S1</t>
  </si>
  <si>
    <t>spriteset_mu_Wagon_Gen4_Flatcar_Planks_L1_S3</t>
  </si>
  <si>
    <t>spriteset_mu_Wagon_Gen4_Flatcar_Planks_L1_S2</t>
  </si>
  <si>
    <t>spriteset_mu_Wagon_Gen4_Flatcar_Planks_L1_S1</t>
  </si>
  <si>
    <t>spriteset_mu_Wagon_Gen4_Flatcar_Crates_L4_S3</t>
  </si>
  <si>
    <t>spriteset_mu_Wagon_Gen4_Flatcar_Crates_L4_S2</t>
  </si>
  <si>
    <t>spriteset_mu_Wagon_Gen4_Flatcar_Crates_L4_S1</t>
  </si>
  <si>
    <t>spriteset_mu_Wagon_Gen4_Flatcar_Crates_L3_S3</t>
  </si>
  <si>
    <t>spriteset_mu_Wagon_Gen4_Flatcar_Crates_L3_S2</t>
  </si>
  <si>
    <t>spriteset_mu_Wagon_Gen4_Flatcar_Crates_L3_S1</t>
  </si>
  <si>
    <t>spriteset_mu_Wagon_Gen4_Flatcar_Crates_L2_S3</t>
  </si>
  <si>
    <t>spriteset_mu_Wagon_Gen4_Flatcar_Crates_L2_S2</t>
  </si>
  <si>
    <t>spriteset_mu_Wagon_Gen4_Flatcar_Crates_L2_S1</t>
  </si>
  <si>
    <t>spriteset_mu_Wagon_Gen4_Flatcar_Crates_L1_S3</t>
  </si>
  <si>
    <t>spriteset_mu_Wagon_Gen4_Flatcar_Crates_L1_S2</t>
  </si>
  <si>
    <t>spriteset_mu_Wagon_Gen4_Flatcar_Crates_L1_S1</t>
  </si>
  <si>
    <t>spriteset_mu_Wagon_Gen4_Flatcar_purchase</t>
  </si>
  <si>
    <t>switch_mu_Wagon_Gen4_Container_Carrier_cargo_selection</t>
  </si>
  <si>
    <t>switch_mu_Wagon_Gen4_Container_Carrier_Goods_livery</t>
  </si>
  <si>
    <t>switch_mu_Wagon_Gen4_Container_Carrier_Tanktainer_livery</t>
  </si>
  <si>
    <t>switch_mu_Wagon_Gen4_Container_Carrier_Refrigerated_livery</t>
  </si>
  <si>
    <t>switch_mu_Wagon_Gen4_Container_Carrier_Container_livery</t>
  </si>
  <si>
    <t>spriteset_mu_Wagon_Gen4_Container_Carrier_Tanktainer_L4_S3</t>
  </si>
  <si>
    <t>spriteset_mu_Wagon_Gen4_Container_Carrier_Tanktainer_L4_S2</t>
  </si>
  <si>
    <t>spriteset_mu_Wagon_Gen4_Container_Carrier_Tanktainer_L4_S1</t>
  </si>
  <si>
    <t>spriteset_mu_Wagon_Gen4_Container_Carrier_Tanktainer_L3_S3</t>
  </si>
  <si>
    <t>spriteset_mu_Wagon_Gen4_Container_Carrier_Tanktainer_L3_S2</t>
  </si>
  <si>
    <t>spriteset_mu_Wagon_Gen4_Container_Carrier_Tanktainer_L3_S1</t>
  </si>
  <si>
    <t>spriteset_mu_Wagon_Gen4_Container_Carrier_Tanktainer_L2_S3</t>
  </si>
  <si>
    <t>spriteset_mu_Wagon_Gen4_Container_Carrier_Tanktainer_L2_S2</t>
  </si>
  <si>
    <t>spriteset_mu_Wagon_Gen4_Container_Carrier_Tanktainer_L2_S1</t>
  </si>
  <si>
    <t>spriteset_mu_Wagon_Gen4_Container_Carrier_Tanktainer_L1_S3</t>
  </si>
  <si>
    <t>spriteset_mu_Wagon_Gen4_Container_Carrier_Tanktainer_L1_S2</t>
  </si>
  <si>
    <t>spriteset_mu_Wagon_Gen4_Container_Carrier_Tanktainer_L1_S1</t>
  </si>
  <si>
    <t>spriteset_mu_Wagon_Gen4_Container_Carrier_Refrigerated_L4_S3</t>
  </si>
  <si>
    <t>spriteset_mu_Wagon_Gen4_Container_Carrier_Refrigerated_L4_S2</t>
  </si>
  <si>
    <t>spriteset_mu_Wagon_Gen4_Container_Carrier_Refrigerated_L4_S1</t>
  </si>
  <si>
    <t>spriteset_mu_Wagon_Gen4_Container_Carrier_Refrigerated_L3_S3</t>
  </si>
  <si>
    <t>spriteset_mu_Wagon_Gen4_Container_Carrier_Refrigerated_L3_S2</t>
  </si>
  <si>
    <t>spriteset_mu_Wagon_Gen4_Container_Carrier_Refrigerated_L3_S1</t>
  </si>
  <si>
    <t>spriteset_mu_Wagon_Gen4_Container_Carrier_Refrigerated_L2_S3</t>
  </si>
  <si>
    <t>spriteset_mu_Wagon_Gen4_Container_Carrier_Refrigerated_L2_S2</t>
  </si>
  <si>
    <t>spriteset_mu_Wagon_Gen4_Container_Carrier_Refrigerated_L2_S1</t>
  </si>
  <si>
    <t>spriteset_mu_Wagon_Gen4_Container_Carrier_Refrigerated_L1_S3</t>
  </si>
  <si>
    <t>spriteset_mu_Wagon_Gen4_Container_Carrier_Refrigerated_L1_S2</t>
  </si>
  <si>
    <t>spriteset_mu_Wagon_Gen4_Container_Carrier_Refrigerated_L1_S1</t>
  </si>
  <si>
    <t>spriteset_mu_Wagon_Gen4_Container_Carrier_Container_L4_S3</t>
  </si>
  <si>
    <t>spriteset_mu_Wagon_Gen4_Container_Carrier_Container_L4_S2</t>
  </si>
  <si>
    <t>spriteset_mu_Wagon_Gen4_Container_Carrier_Container_L4_S1</t>
  </si>
  <si>
    <t>spriteset_mu_Wagon_Gen4_Container_Carrier_Container_L3_S3</t>
  </si>
  <si>
    <t>spriteset_mu_Wagon_Gen4_Container_Carrier_Container_L3_S2</t>
  </si>
  <si>
    <t>spriteset_mu_Wagon_Gen4_Container_Carrier_Container_L3_S1</t>
  </si>
  <si>
    <t>spriteset_mu_Wagon_Gen4_Container_Carrier_Container_L2_S3</t>
  </si>
  <si>
    <t>spriteset_mu_Wagon_Gen4_Container_Carrier_Container_L2_S2</t>
  </si>
  <si>
    <t>spriteset_mu_Wagon_Gen4_Container_Carrier_Container_L2_S1</t>
  </si>
  <si>
    <t>spriteset_mu_Wagon_Gen4_Container_Carrier_Container_L1_S3</t>
  </si>
  <si>
    <t>spriteset_mu_Wagon_Gen4_Container_Carrier_Container_L1_S2</t>
  </si>
  <si>
    <t>spriteset_mu_Wagon_Gen4_Container_Carrier_Container_L1_S1</t>
  </si>
  <si>
    <t>spriteset_mu_Wagon_Gen4_Container_Carrier_purchase</t>
  </si>
  <si>
    <t>switch_mu_Wagon_Gen4_Centerbeam_cargo_selection</t>
  </si>
  <si>
    <t>switch_mu_Wagon_Gen4_Centerbeam_Supplies_livery</t>
  </si>
  <si>
    <t>switch_mu_Wagon_Gen4_Centerbeam_Steel_livery</t>
  </si>
  <si>
    <t>switch_mu_Wagon_Gen4_Centerbeam_Planks_livery</t>
  </si>
  <si>
    <t>switch_mu_Wagon_Gen4_Centerbeam_Crates_livery</t>
  </si>
  <si>
    <t>spriteset_mu_Wagon_Gen4_Centerbeam_Steel_L4_S3</t>
  </si>
  <si>
    <t>spriteset_mu_Wagon_Gen4_Centerbeam_Steel_L4_S2</t>
  </si>
  <si>
    <t>spriteset_mu_Wagon_Gen4_Centerbeam_Steel_L4_S1</t>
  </si>
  <si>
    <t>spriteset_mu_Wagon_Gen4_Centerbeam_Steel_L3_S3</t>
  </si>
  <si>
    <t>spriteset_mu_Wagon_Gen4_Centerbeam_Steel_L3_S2</t>
  </si>
  <si>
    <t>spriteset_mu_Wagon_Gen4_Centerbeam_Steel_L3_S1</t>
  </si>
  <si>
    <t>spriteset_mu_Wagon_Gen4_Centerbeam_Steel_L2_S3</t>
  </si>
  <si>
    <t>spriteset_mu_Wagon_Gen4_Centerbeam_Steel_L2_S2</t>
  </si>
  <si>
    <t>spriteset_mu_Wagon_Gen4_Centerbeam_Steel_L2_S1</t>
  </si>
  <si>
    <t>spriteset_mu_Wagon_Gen4_Centerbeam_Steel_L1_S3</t>
  </si>
  <si>
    <t>spriteset_mu_Wagon_Gen4_Centerbeam_Steel_L1_S2</t>
  </si>
  <si>
    <t>spriteset_mu_Wagon_Gen4_Centerbeam_Steel_L1_S1</t>
  </si>
  <si>
    <t>spriteset_mu_Wagon_Gen4_Centerbeam_Planks_L4_S3</t>
  </si>
  <si>
    <t>spriteset_mu_Wagon_Gen4_Centerbeam_Planks_L4_S2</t>
  </si>
  <si>
    <t>spriteset_mu_Wagon_Gen4_Centerbeam_Planks_L4_S1</t>
  </si>
  <si>
    <t>spriteset_mu_Wagon_Gen4_Centerbeam_Planks_L3_S3</t>
  </si>
  <si>
    <t>spriteset_mu_Wagon_Gen4_Centerbeam_Planks_L3_S2</t>
  </si>
  <si>
    <t>spriteset_mu_Wagon_Gen4_Centerbeam_Planks_L3_S1</t>
  </si>
  <si>
    <t>spriteset_mu_Wagon_Gen4_Centerbeam_Planks_L2_S3</t>
  </si>
  <si>
    <t>spriteset_mu_Wagon_Gen4_Centerbeam_Planks_L2_S2</t>
  </si>
  <si>
    <t>spriteset_mu_Wagon_Gen4_Centerbeam_Planks_L2_S1</t>
  </si>
  <si>
    <t>spriteset_mu_Wagon_Gen4_Centerbeam_Planks_L1_S3</t>
  </si>
  <si>
    <t>spriteset_mu_Wagon_Gen4_Centerbeam_Planks_L1_S2</t>
  </si>
  <si>
    <t>spriteset_mu_Wagon_Gen4_Centerbeam_Planks_L1_S1</t>
  </si>
  <si>
    <t>spriteset_mu_Wagon_Gen4_Centerbeam_Crates_L4_S3</t>
  </si>
  <si>
    <t>spriteset_mu_Wagon_Gen4_Centerbeam_Crates_L4_S2</t>
  </si>
  <si>
    <t>spriteset_mu_Wagon_Gen4_Centerbeam_Crates_L4_S1</t>
  </si>
  <si>
    <t>spriteset_mu_Wagon_Gen4_Centerbeam_Crates_L3_S3</t>
  </si>
  <si>
    <t>spriteset_mu_Wagon_Gen4_Centerbeam_Crates_L3_S2</t>
  </si>
  <si>
    <t>spriteset_mu_Wagon_Gen4_Centerbeam_Crates_L3_S1</t>
  </si>
  <si>
    <t>spriteset_mu_Wagon_Gen4_Centerbeam_Crates_L2_S3</t>
  </si>
  <si>
    <t>spriteset_mu_Wagon_Gen4_Centerbeam_Crates_L2_S2</t>
  </si>
  <si>
    <t>spriteset_mu_Wagon_Gen4_Centerbeam_Crates_L2_S1</t>
  </si>
  <si>
    <t>spriteset_mu_Wagon_Gen4_Centerbeam_Crates_L1_S3</t>
  </si>
  <si>
    <t>spriteset_mu_Wagon_Gen4_Centerbeam_Crates_L1_S2</t>
  </si>
  <si>
    <t>spriteset_mu_Wagon_Gen4_Centerbeam_Crates_L1_S1</t>
  </si>
  <si>
    <t>spriteset_mu_Wagon_Gen4_Centerbeam_purchase</t>
  </si>
  <si>
    <t>switch_mu_Wagon_Gen4_Car_Transporter_livery</t>
  </si>
  <si>
    <t>spriteset_mu_Wagon_Gen4_Car_Transporter_L4_S3</t>
  </si>
  <si>
    <t>spriteset_mu_Wagon_Gen4_Car_Transporter_L4_S2</t>
  </si>
  <si>
    <t>spriteset_mu_Wagon_Gen4_Car_Transporter_L4_S1</t>
  </si>
  <si>
    <t>spriteset_mu_Wagon_Gen4_Car_Transporter_L3_S3</t>
  </si>
  <si>
    <t>spriteset_mu_Wagon_Gen4_Car_Transporter_L3_S2</t>
  </si>
  <si>
    <t>spriteset_mu_Wagon_Gen4_Car_Transporter_L3_S1</t>
  </si>
  <si>
    <t>spriteset_mu_Wagon_Gen4_Car_Transporter_L2_S3</t>
  </si>
  <si>
    <t>spriteset_mu_Wagon_Gen4_Car_Transporter_L2_S2</t>
  </si>
  <si>
    <t>spriteset_mu_Wagon_Gen4_Car_Transporter_L2_S1</t>
  </si>
  <si>
    <t>spriteset_mu_Wagon_Gen4_Car_Transporter_L1_S3</t>
  </si>
  <si>
    <t>spriteset_mu_Wagon_Gen4_Car_Transporter_L1_S2</t>
  </si>
  <si>
    <t>spriteset_mu_Wagon_Gen4_Car_Transporter_L1_S1</t>
  </si>
  <si>
    <t>spriteset_mu_Wagon_Gen4_Car_Transporter_purchase</t>
  </si>
  <si>
    <t>switch_mu_Wagon_Gen4_Boxcar_Type2_cargo_selection</t>
  </si>
  <si>
    <t>switch_mu_Wagon_Gen4_Boxcar_Type2_Goods_livery</t>
  </si>
  <si>
    <t>switch_mu_Wagon_Gen4_Boxcar_Type2_Standard_livery</t>
  </si>
  <si>
    <t>switch_mu_Wagon_Gen4_Boxcar_Type2_Reefer_livery</t>
  </si>
  <si>
    <t>switch_mu_Wagon_Gen4_Boxcar_Type2_Livestock_livery</t>
  </si>
  <si>
    <t>spriteset_mu_Wagon_Gen4_Boxcar_Type2_Standard_L4_S3</t>
  </si>
  <si>
    <t>spriteset_mu_Wagon_Gen4_Boxcar_Type2_Standard_L4_S2</t>
  </si>
  <si>
    <t>spriteset_mu_Wagon_Gen4_Boxcar_Type2_Standard_L4_S1</t>
  </si>
  <si>
    <t>spriteset_mu_Wagon_Gen4_Boxcar_Type2_Standard_L3_S3</t>
  </si>
  <si>
    <t>spriteset_mu_Wagon_Gen4_Boxcar_Type2_Standard_L3_S2</t>
  </si>
  <si>
    <t>spriteset_mu_Wagon_Gen4_Boxcar_Type2_Standard_L3_S1</t>
  </si>
  <si>
    <t>spriteset_mu_Wagon_Gen4_Boxcar_Type2_Standard_L2_S3</t>
  </si>
  <si>
    <t>spriteset_mu_Wagon_Gen4_Boxcar_Type2_Standard_L2_S2</t>
  </si>
  <si>
    <t>spriteset_mu_Wagon_Gen4_Boxcar_Type2_Standard_L2_S1</t>
  </si>
  <si>
    <t>spriteset_mu_Wagon_Gen4_Boxcar_Type2_Standard_L1_S3</t>
  </si>
  <si>
    <t>spriteset_mu_Wagon_Gen4_Boxcar_Type2_Standard_L1_S2</t>
  </si>
  <si>
    <t>spriteset_mu_Wagon_Gen4_Boxcar_Type2_Standard_L1_S1</t>
  </si>
  <si>
    <t>spriteset_mu_Wagon_Gen4_Boxcar_Type2_Reefer_L4_S3</t>
  </si>
  <si>
    <t>spriteset_mu_Wagon_Gen4_Boxcar_Type2_Reefer_L4_S2</t>
  </si>
  <si>
    <t>spriteset_mu_Wagon_Gen4_Boxcar_Type2_Reefer_L4_S1</t>
  </si>
  <si>
    <t>spriteset_mu_Wagon_Gen4_Boxcar_Type2_Reefer_L3_S3</t>
  </si>
  <si>
    <t>spriteset_mu_Wagon_Gen4_Boxcar_Type2_Reefer_L3_S2</t>
  </si>
  <si>
    <t>spriteset_mu_Wagon_Gen4_Boxcar_Type2_Reefer_L3_S1</t>
  </si>
  <si>
    <t>spriteset_mu_Wagon_Gen4_Boxcar_Type2_Reefer_L2_S3</t>
  </si>
  <si>
    <t>spriteset_mu_Wagon_Gen4_Boxcar_Type2_Reefer_L2_S2</t>
  </si>
  <si>
    <t>spriteset_mu_Wagon_Gen4_Boxcar_Type2_Reefer_L2_S1</t>
  </si>
  <si>
    <t>spriteset_mu_Wagon_Gen4_Boxcar_Type2_Reefer_L1_S3</t>
  </si>
  <si>
    <t>spriteset_mu_Wagon_Gen4_Boxcar_Type2_Reefer_L1_S2</t>
  </si>
  <si>
    <t>spriteset_mu_Wagon_Gen4_Boxcar_Type2_Reefer_L1_S1</t>
  </si>
  <si>
    <t>spriteset_mu_Wagon_Gen4_Boxcar_Type2_Livestock_L4_S3</t>
  </si>
  <si>
    <t>spriteset_mu_Wagon_Gen4_Boxcar_Type2_Livestock_L4_S2</t>
  </si>
  <si>
    <t>spriteset_mu_Wagon_Gen4_Boxcar_Type2_Livestock_L4_S1</t>
  </si>
  <si>
    <t>spriteset_mu_Wagon_Gen4_Boxcar_Type2_Livestock_L3_S3</t>
  </si>
  <si>
    <t>spriteset_mu_Wagon_Gen4_Boxcar_Type2_Livestock_L3_S2</t>
  </si>
  <si>
    <t>spriteset_mu_Wagon_Gen4_Boxcar_Type2_Livestock_L3_S1</t>
  </si>
  <si>
    <t>spriteset_mu_Wagon_Gen4_Boxcar_Type2_Livestock_L2_S3</t>
  </si>
  <si>
    <t>spriteset_mu_Wagon_Gen4_Boxcar_Type2_Livestock_L2_S2</t>
  </si>
  <si>
    <t>spriteset_mu_Wagon_Gen4_Boxcar_Type2_Livestock_L2_S1</t>
  </si>
  <si>
    <t>spriteset_mu_Wagon_Gen4_Boxcar_Type2_Livestock_L1_S3</t>
  </si>
  <si>
    <t>spriteset_mu_Wagon_Gen4_Boxcar_Type2_Livestock_L1_S2</t>
  </si>
  <si>
    <t>spriteset_mu_Wagon_Gen4_Boxcar_Type2_Livestock_L1_S1</t>
  </si>
  <si>
    <t>spriteset_mu_Wagon_Gen4_Boxcar_Type2_purchase</t>
  </si>
  <si>
    <t>switch_mu_Wagon_Gen4_Boxcar_Type1_cargo_selection</t>
  </si>
  <si>
    <t>switch_mu_Wagon_Gen4_Boxcar_Type1_Goods_livery</t>
  </si>
  <si>
    <t>switch_mu_Wagon_Gen4_Boxcar_Type1_Standard_livery</t>
  </si>
  <si>
    <t>switch_mu_Wagon_Gen4_Boxcar_Type1_Reefer_livery</t>
  </si>
  <si>
    <t>switch_mu_Wagon_Gen4_Boxcar_Type1_Livestock_livery</t>
  </si>
  <si>
    <t>switch_mu_Wagon_Gen4_Boxcar_Type1_Armoured_livery</t>
  </si>
  <si>
    <t>spriteset_mu_Wagon_Gen4_Boxcar_Type1_Standard_L4_S3</t>
  </si>
  <si>
    <t>spriteset_mu_Wagon_Gen4_Boxcar_Type1_Standard_L4_S2</t>
  </si>
  <si>
    <t>spriteset_mu_Wagon_Gen4_Boxcar_Type1_Standard_L4_S1</t>
  </si>
  <si>
    <t>spriteset_mu_Wagon_Gen4_Boxcar_Type1_Standard_L3_S3</t>
  </si>
  <si>
    <t>spriteset_mu_Wagon_Gen4_Boxcar_Type1_Standard_L3_S2</t>
  </si>
  <si>
    <t>spriteset_mu_Wagon_Gen4_Boxcar_Type1_Standard_L3_S1</t>
  </si>
  <si>
    <t>spriteset_mu_Wagon_Gen4_Boxcar_Type1_Standard_L2_S3</t>
  </si>
  <si>
    <t>spriteset_mu_Wagon_Gen4_Boxcar_Type1_Standard_L2_S2</t>
  </si>
  <si>
    <t>spriteset_mu_Wagon_Gen4_Boxcar_Type1_Standard_L2_S1</t>
  </si>
  <si>
    <t>spriteset_mu_Wagon_Gen4_Boxcar_Type1_Standard_L1_S3</t>
  </si>
  <si>
    <t>spriteset_mu_Wagon_Gen4_Boxcar_Type1_Standard_L1_S2</t>
  </si>
  <si>
    <t>spriteset_mu_Wagon_Gen4_Boxcar_Type1_Standard_L1_S1</t>
  </si>
  <si>
    <t>spriteset_mu_Wagon_Gen4_Boxcar_Type1_Reefer_L4_S3</t>
  </si>
  <si>
    <t>spriteset_mu_Wagon_Gen4_Boxcar_Type1_Reefer_L4_S2</t>
  </si>
  <si>
    <t>spriteset_mu_Wagon_Gen4_Boxcar_Type1_Reefer_L4_S1</t>
  </si>
  <si>
    <t>spriteset_mu_Wagon_Gen4_Boxcar_Type1_Reefer_L3_S3</t>
  </si>
  <si>
    <t>spriteset_mu_Wagon_Gen4_Boxcar_Type1_Reefer_L3_S2</t>
  </si>
  <si>
    <t>spriteset_mu_Wagon_Gen4_Boxcar_Type1_Reefer_L3_S1</t>
  </si>
  <si>
    <t>spriteset_mu_Wagon_Gen4_Boxcar_Type1_Reefer_L2_S3</t>
  </si>
  <si>
    <t>spriteset_mu_Wagon_Gen4_Boxcar_Type1_Reefer_L2_S2</t>
  </si>
  <si>
    <t>spriteset_mu_Wagon_Gen4_Boxcar_Type1_Reefer_L2_S1</t>
  </si>
  <si>
    <t>spriteset_mu_Wagon_Gen4_Boxcar_Type1_Reefer_L1_S3</t>
  </si>
  <si>
    <t>spriteset_mu_Wagon_Gen4_Boxcar_Type1_Reefer_L1_S2</t>
  </si>
  <si>
    <t>spriteset_mu_Wagon_Gen4_Boxcar_Type1_Reefer_L1_S1</t>
  </si>
  <si>
    <t>spriteset_mu_Wagon_Gen4_Boxcar_Type1_Livestock_L4_S3</t>
  </si>
  <si>
    <t>spriteset_mu_Wagon_Gen4_Boxcar_Type1_Livestock_L4_S2</t>
  </si>
  <si>
    <t>spriteset_mu_Wagon_Gen4_Boxcar_Type1_Livestock_L4_S1</t>
  </si>
  <si>
    <t>spriteset_mu_Wagon_Gen4_Boxcar_Type1_Livestock_L3_S3</t>
  </si>
  <si>
    <t>spriteset_mu_Wagon_Gen4_Boxcar_Type1_Livestock_L3_S2</t>
  </si>
  <si>
    <t>spriteset_mu_Wagon_Gen4_Boxcar_Type1_Livestock_L3_S1</t>
  </si>
  <si>
    <t>spriteset_mu_Wagon_Gen4_Boxcar_Type1_Livestock_L2_S3</t>
  </si>
  <si>
    <t>spriteset_mu_Wagon_Gen4_Boxcar_Type1_Livestock_L2_S2</t>
  </si>
  <si>
    <t>spriteset_mu_Wagon_Gen4_Boxcar_Type1_Livestock_L2_S1</t>
  </si>
  <si>
    <t>spriteset_mu_Wagon_Gen4_Boxcar_Type1_Livestock_L1_S3</t>
  </si>
  <si>
    <t>spriteset_mu_Wagon_Gen4_Boxcar_Type1_Livestock_L1_S2</t>
  </si>
  <si>
    <t>spriteset_mu_Wagon_Gen4_Boxcar_Type1_Livestock_L1_S1</t>
  </si>
  <si>
    <t>spriteset_mu_Wagon_Gen4_Boxcar_Type1_Armoured_L4_S3</t>
  </si>
  <si>
    <t>spriteset_mu_Wagon_Gen4_Boxcar_Type1_Armoured_L4_S2</t>
  </si>
  <si>
    <t>spriteset_mu_Wagon_Gen4_Boxcar_Type1_Armoured_L4_S1</t>
  </si>
  <si>
    <t>spriteset_mu_Wagon_Gen4_Boxcar_Type1_Armoured_L3_S3</t>
  </si>
  <si>
    <t>spriteset_mu_Wagon_Gen4_Boxcar_Type1_Armoured_L3_S2</t>
  </si>
  <si>
    <t>spriteset_mu_Wagon_Gen4_Boxcar_Type1_Armoured_L3_S1</t>
  </si>
  <si>
    <t>spriteset_mu_Wagon_Gen4_Boxcar_Type1_Armoured_L2_S3</t>
  </si>
  <si>
    <t>spriteset_mu_Wagon_Gen4_Boxcar_Type1_Armoured_L2_S2</t>
  </si>
  <si>
    <t>spriteset_mu_Wagon_Gen4_Boxcar_Type1_Armoured_L2_S1</t>
  </si>
  <si>
    <t>spriteset_mu_Wagon_Gen4_Boxcar_Type1_Armoured_L1_S3</t>
  </si>
  <si>
    <t>spriteset_mu_Wagon_Gen4_Boxcar_Type1_Armoured_L1_S2</t>
  </si>
  <si>
    <t>spriteset_mu_Wagon_Gen4_Boxcar_Type1_Armoured_L1_S1</t>
  </si>
  <si>
    <t>spriteset_mu_Wagon_Gen4_Boxcar_Type1_purchase</t>
  </si>
  <si>
    <t>switch_mu_Wagon_Gen3_Tanker_cargo_selection</t>
  </si>
  <si>
    <t>switch_mu_Wagon_Gen3_Tanker_Oil_livery_selection</t>
  </si>
  <si>
    <t>switch_mu_Wagon_Gen3_Tanker_Standard_livery</t>
  </si>
  <si>
    <t>switch_mu_Wagon_Gen3_Tanker_Oil_livery</t>
  </si>
  <si>
    <t>spriteset_mu_Wagon_Gen3_Tanker_Standard_L4_S3</t>
  </si>
  <si>
    <t>spriteset_mu_Wagon_Gen3_Tanker_Standard_L4_S2</t>
  </si>
  <si>
    <t>spriteset_mu_Wagon_Gen3_Tanker_Standard_L4_S1</t>
  </si>
  <si>
    <t>spriteset_mu_Wagon_Gen3_Tanker_Standard_L3_S3</t>
  </si>
  <si>
    <t>spriteset_mu_Wagon_Gen3_Tanker_Standard_L3_S2</t>
  </si>
  <si>
    <t>spriteset_mu_Wagon_Gen3_Tanker_Standard_L3_S1</t>
  </si>
  <si>
    <t>spriteset_mu_Wagon_Gen3_Tanker_Standard_L2_S3</t>
  </si>
  <si>
    <t>spriteset_mu_Wagon_Gen3_Tanker_Standard_L2_S2</t>
  </si>
  <si>
    <t>spriteset_mu_Wagon_Gen3_Tanker_Standard_L2_S1</t>
  </si>
  <si>
    <t>spriteset_mu_Wagon_Gen3_Tanker_Standard_L1_S3</t>
  </si>
  <si>
    <t>spriteset_mu_Wagon_Gen3_Tanker_Standard_L1_S2</t>
  </si>
  <si>
    <t>spriteset_mu_Wagon_Gen3_Tanker_Standard_L1_S1</t>
  </si>
  <si>
    <t>spriteset_mu_Wagon_Gen3_Tanker_Oil_L4_S3</t>
  </si>
  <si>
    <t>spriteset_mu_Wagon_Gen3_Tanker_Oil_L4_S2</t>
  </si>
  <si>
    <t>spriteset_mu_Wagon_Gen3_Tanker_Oil_L4_S1</t>
  </si>
  <si>
    <t>spriteset_mu_Wagon_Gen3_Tanker_Oil_L3_S3</t>
  </si>
  <si>
    <t>spriteset_mu_Wagon_Gen3_Tanker_Oil_L3_S2</t>
  </si>
  <si>
    <t>spriteset_mu_Wagon_Gen3_Tanker_Oil_L3_S1</t>
  </si>
  <si>
    <t>spriteset_mu_Wagon_Gen3_Tanker_Oil_L2_S3</t>
  </si>
  <si>
    <t>spriteset_mu_Wagon_Gen3_Tanker_Oil_L2_S2</t>
  </si>
  <si>
    <t>spriteset_mu_Wagon_Gen3_Tanker_Oil_L2_S1</t>
  </si>
  <si>
    <t>spriteset_mu_Wagon_Gen3_Tanker_Oil_L1_S3</t>
  </si>
  <si>
    <t>spriteset_mu_Wagon_Gen3_Tanker_Oil_L1_S2</t>
  </si>
  <si>
    <t>spriteset_mu_Wagon_Gen3_Tanker_Oil_L1_S1</t>
  </si>
  <si>
    <t>spriteset_mu_Wagon_Gen3_Tanker_purchase</t>
  </si>
  <si>
    <t>switch_mu_Wagon_Gen3_Silo_Type2_livery</t>
  </si>
  <si>
    <t>spriteset_mu_Wagon_Gen3_Silo_Type2_L4_S3</t>
  </si>
  <si>
    <t>spriteset_mu_Wagon_Gen3_Silo_Type2_L4_S2</t>
  </si>
  <si>
    <t>spriteset_mu_Wagon_Gen3_Silo_Type2_L4_S1</t>
  </si>
  <si>
    <t>spriteset_mu_Wagon_Gen3_Silo_Type2_L3_S3</t>
  </si>
  <si>
    <t>spriteset_mu_Wagon_Gen3_Silo_Type2_L3_S2</t>
  </si>
  <si>
    <t>spriteset_mu_Wagon_Gen3_Silo_Type2_L3_S1</t>
  </si>
  <si>
    <t>spriteset_mu_Wagon_Gen3_Silo_Type2_L2_S3</t>
  </si>
  <si>
    <t>spriteset_mu_Wagon_Gen3_Silo_Type2_L2_S2</t>
  </si>
  <si>
    <t>spriteset_mu_Wagon_Gen3_Silo_Type2_L2_S1</t>
  </si>
  <si>
    <t>spriteset_mu_Wagon_Gen3_Silo_Type2_L1_S3</t>
  </si>
  <si>
    <t>spriteset_mu_Wagon_Gen3_Silo_Type2_L1_S2</t>
  </si>
  <si>
    <t>spriteset_mu_Wagon_Gen3_Silo_Type2_L1_S1</t>
  </si>
  <si>
    <t>spriteset_mu_Wagon_Gen3_Silo_Type2_purchase</t>
  </si>
  <si>
    <t>switch_mu_Wagon_Gen3_Silo_Type1_livery</t>
  </si>
  <si>
    <t>spriteset_mu_Wagon_Gen3_Silo_Type1_L4_S3</t>
  </si>
  <si>
    <t>spriteset_mu_Wagon_Gen3_Silo_Type1_L4_S2</t>
  </si>
  <si>
    <t>spriteset_mu_Wagon_Gen3_Silo_Type1_L4_S1</t>
  </si>
  <si>
    <t>spriteset_mu_Wagon_Gen3_Silo_Type1_L3_S3</t>
  </si>
  <si>
    <t>spriteset_mu_Wagon_Gen3_Silo_Type1_L3_S2</t>
  </si>
  <si>
    <t>spriteset_mu_Wagon_Gen3_Silo_Type1_L3_S1</t>
  </si>
  <si>
    <t>spriteset_mu_Wagon_Gen3_Silo_Type1_L2_S3</t>
  </si>
  <si>
    <t>spriteset_mu_Wagon_Gen3_Silo_Type1_L2_S2</t>
  </si>
  <si>
    <t>spriteset_mu_Wagon_Gen3_Silo_Type1_L2_S1</t>
  </si>
  <si>
    <t>spriteset_mu_Wagon_Gen3_Silo_Type1_L1_S3</t>
  </si>
  <si>
    <t>spriteset_mu_Wagon_Gen3_Silo_Type1_L1_S2</t>
  </si>
  <si>
    <t>spriteset_mu_Wagon_Gen3_Silo_Type1_L1_S1</t>
  </si>
  <si>
    <t>spriteset_mu_Wagon_Gen3_Silo_Type1_purchase</t>
  </si>
  <si>
    <t>switch_mu_Wagon_Gen3_Open_Wagon_cargo_selection</t>
  </si>
  <si>
    <t>switch_mu_Wagon_Gen3_Open_Wagon_Crates_livery</t>
  </si>
  <si>
    <t>switch_mu_Wagon_Gen3_Open_Wagon_Sand_livery</t>
  </si>
  <si>
    <t>switch_mu_Wagon_Gen3_Open_Wagon_Gray_livery</t>
  </si>
  <si>
    <t>switch_mu_Wagon_Gen3_Open_Wagon_Wood_livery</t>
  </si>
  <si>
    <t>switch_mu_Wagon_Gen3_Open_Wagon_Ore_livery</t>
  </si>
  <si>
    <t>switch_mu_Wagon_Gen3_Open_Wagon_Grain_livery</t>
  </si>
  <si>
    <t>switch_mu_Wagon_Gen3_Open_Wagon_Coal_livery</t>
  </si>
  <si>
    <t>spriteset_mu_Wagon_Gen3_Open_Wagon_Crates_L4_S3</t>
  </si>
  <si>
    <t>spriteset_mu_Wagon_Gen3_Open_Wagon_Crates_L4_S2</t>
  </si>
  <si>
    <t>spriteset_mu_Wagon_Gen3_Open_Wagon_Crates_L4_S1</t>
  </si>
  <si>
    <t>spriteset_mu_Wagon_Gen3_Open_Wagon_Crates_L3_S3</t>
  </si>
  <si>
    <t>spriteset_mu_Wagon_Gen3_Open_Wagon_Crates_L3_S2</t>
  </si>
  <si>
    <t>spriteset_mu_Wagon_Gen3_Open_Wagon_Crates_L3_S1</t>
  </si>
  <si>
    <t>spriteset_mu_Wagon_Gen3_Open_Wagon_Crates_L2_S3</t>
  </si>
  <si>
    <t>spriteset_mu_Wagon_Gen3_Open_Wagon_Crates_L2_S2</t>
  </si>
  <si>
    <t>spriteset_mu_Wagon_Gen3_Open_Wagon_Crates_L2_S1</t>
  </si>
  <si>
    <t>spriteset_mu_Wagon_Gen3_Open_Wagon_Crates_L1_S3</t>
  </si>
  <si>
    <t>spriteset_mu_Wagon_Gen3_Open_Wagon_Crates_L1_S2</t>
  </si>
  <si>
    <t>spriteset_mu_Wagon_Gen3_Open_Wagon_Crates_L1_S1</t>
  </si>
  <si>
    <t>spriteset_mu_Wagon_Gen3_Open_Wagon_Sand_L4_S3</t>
  </si>
  <si>
    <t>spriteset_mu_Wagon_Gen3_Open_Wagon_Sand_L4_S2</t>
  </si>
  <si>
    <t>spriteset_mu_Wagon_Gen3_Open_Wagon_Sand_L4_S1</t>
  </si>
  <si>
    <t>spriteset_mu_Wagon_Gen3_Open_Wagon_Sand_L3_S3</t>
  </si>
  <si>
    <t>spriteset_mu_Wagon_Gen3_Open_Wagon_Sand_L3_S2</t>
  </si>
  <si>
    <t>spriteset_mu_Wagon_Gen3_Open_Wagon_Sand_L3_S1</t>
  </si>
  <si>
    <t>spriteset_mu_Wagon_Gen3_Open_Wagon_Sand_L2_S3</t>
  </si>
  <si>
    <t>spriteset_mu_Wagon_Gen3_Open_Wagon_Sand_L2_S2</t>
  </si>
  <si>
    <t>spriteset_mu_Wagon_Gen3_Open_Wagon_Sand_L2_S1</t>
  </si>
  <si>
    <t>spriteset_mu_Wagon_Gen3_Open_Wagon_Sand_L1_S3</t>
  </si>
  <si>
    <t>spriteset_mu_Wagon_Gen3_Open_Wagon_Sand_L1_S2</t>
  </si>
  <si>
    <t>spriteset_mu_Wagon_Gen3_Open_Wagon_Sand_L1_S1</t>
  </si>
  <si>
    <t>spriteset_mu_Wagon_Gen3_Open_Wagon_Gray_L4_S3</t>
  </si>
  <si>
    <t>spriteset_mu_Wagon_Gen3_Open_Wagon_Gray_L4_S2</t>
  </si>
  <si>
    <t>spriteset_mu_Wagon_Gen3_Open_Wagon_Gray_L4_S1</t>
  </si>
  <si>
    <t>spriteset_mu_Wagon_Gen3_Open_Wagon_Gray_L3_S3</t>
  </si>
  <si>
    <t>spriteset_mu_Wagon_Gen3_Open_Wagon_Gray_L3_S2</t>
  </si>
  <si>
    <t>spriteset_mu_Wagon_Gen3_Open_Wagon_Gray_L3_S1</t>
  </si>
  <si>
    <t>spriteset_mu_Wagon_Gen3_Open_Wagon_Gray_L2_S3</t>
  </si>
  <si>
    <t>spriteset_mu_Wagon_Gen3_Open_Wagon_Gray_L2_S2</t>
  </si>
  <si>
    <t>spriteset_mu_Wagon_Gen3_Open_Wagon_Gray_L2_S1</t>
  </si>
  <si>
    <t>spriteset_mu_Wagon_Gen3_Open_Wagon_Gray_L1_S3</t>
  </si>
  <si>
    <t>spriteset_mu_Wagon_Gen3_Open_Wagon_Gray_L1_S2</t>
  </si>
  <si>
    <t>spriteset_mu_Wagon_Gen3_Open_Wagon_Gray_L1_S1</t>
  </si>
  <si>
    <t>spriteset_mu_Wagon_Gen3_Open_Wagon_Wood_L4_S3</t>
  </si>
  <si>
    <t>spriteset_mu_Wagon_Gen3_Open_Wagon_Wood_L4_S2</t>
  </si>
  <si>
    <t>spriteset_mu_Wagon_Gen3_Open_Wagon_Wood_L4_S1</t>
  </si>
  <si>
    <t>spriteset_mu_Wagon_Gen3_Open_Wagon_Wood_L3_S3</t>
  </si>
  <si>
    <t>spriteset_mu_Wagon_Gen3_Open_Wagon_Wood_L3_S2</t>
  </si>
  <si>
    <t>spriteset_mu_Wagon_Gen3_Open_Wagon_Wood_L3_S1</t>
  </si>
  <si>
    <t>spriteset_mu_Wagon_Gen3_Open_Wagon_Wood_L2_S3</t>
  </si>
  <si>
    <t>spriteset_mu_Wagon_Gen3_Open_Wagon_Wood_L2_S2</t>
  </si>
  <si>
    <t>spriteset_mu_Wagon_Gen3_Open_Wagon_Wood_L2_S1</t>
  </si>
  <si>
    <t>spriteset_mu_Wagon_Gen3_Open_Wagon_Wood_L1_S3</t>
  </si>
  <si>
    <t>spriteset_mu_Wagon_Gen3_Open_Wagon_Wood_L1_S2</t>
  </si>
  <si>
    <t>spriteset_mu_Wagon_Gen3_Open_Wagon_Wood_L1_S1</t>
  </si>
  <si>
    <t>spriteset_mu_Wagon_Gen3_Open_Wagon_Ore_L4_S3</t>
  </si>
  <si>
    <t>spriteset_mu_Wagon_Gen3_Open_Wagon_Ore_L4_S2</t>
  </si>
  <si>
    <t>spriteset_mu_Wagon_Gen3_Open_Wagon_Ore_L4_S1</t>
  </si>
  <si>
    <t>spriteset_mu_Wagon_Gen3_Open_Wagon_Ore_L3_S3</t>
  </si>
  <si>
    <t>spriteset_mu_Wagon_Gen3_Open_Wagon_Ore_L3_S2</t>
  </si>
  <si>
    <t>spriteset_mu_Wagon_Gen3_Open_Wagon_Ore_L3_S1</t>
  </si>
  <si>
    <t>spriteset_mu_Wagon_Gen3_Open_Wagon_Ore_L2_S3</t>
  </si>
  <si>
    <t>spriteset_mu_Wagon_Gen3_Open_Wagon_Ore_L2_S2</t>
  </si>
  <si>
    <t>spriteset_mu_Wagon_Gen3_Open_Wagon_Ore_L2_S1</t>
  </si>
  <si>
    <t>spriteset_mu_Wagon_Gen3_Open_Wagon_Ore_L1_S3</t>
  </si>
  <si>
    <t>spriteset_mu_Wagon_Gen3_Open_Wagon_Ore_L1_S2</t>
  </si>
  <si>
    <t>spriteset_mu_Wagon_Gen3_Open_Wagon_Ore_L1_S1</t>
  </si>
  <si>
    <t>spriteset_mu_Wagon_Gen3_Open_Wagon_Grain_L4_S4</t>
  </si>
  <si>
    <t>spriteset_mu_Wagon_Gen3_Open_Wagon_Grain_L4_S3</t>
  </si>
  <si>
    <t>spriteset_mu_Wagon_Gen3_Open_Wagon_Grain_L4_S2</t>
  </si>
  <si>
    <t>spriteset_mu_Wagon_Gen3_Open_Wagon_Grain_L4_S1</t>
  </si>
  <si>
    <t>spriteset_mu_Wagon_Gen3_Open_Wagon_Grain_L3_S4</t>
  </si>
  <si>
    <t>spriteset_mu_Wagon_Gen3_Open_Wagon_Grain_L3_S3</t>
  </si>
  <si>
    <t>spriteset_mu_Wagon_Gen3_Open_Wagon_Grain_L3_S2</t>
  </si>
  <si>
    <t>spriteset_mu_Wagon_Gen3_Open_Wagon_Grain_L3_S1</t>
  </si>
  <si>
    <t>spriteset_mu_Wagon_Gen3_Open_Wagon_Grain_L2_S4</t>
  </si>
  <si>
    <t>spriteset_mu_Wagon_Gen3_Open_Wagon_Grain_L2_S3</t>
  </si>
  <si>
    <t>spriteset_mu_Wagon_Gen3_Open_Wagon_Grain_L2_S2</t>
  </si>
  <si>
    <t>spriteset_mu_Wagon_Gen3_Open_Wagon_Grain_L2_S1</t>
  </si>
  <si>
    <t>spriteset_mu_Wagon_Gen3_Open_Wagon_Grain_L1_S4</t>
  </si>
  <si>
    <t>spriteset_mu_Wagon_Gen3_Open_Wagon_Grain_L1_S3</t>
  </si>
  <si>
    <t>spriteset_mu_Wagon_Gen3_Open_Wagon_Grain_L1_S2</t>
  </si>
  <si>
    <t>spriteset_mu_Wagon_Gen3_Open_Wagon_Grain_L1_S1</t>
  </si>
  <si>
    <t>spriteset_mu_Wagon_Gen3_Open_Wagon_Coal_L4_S3</t>
  </si>
  <si>
    <t>spriteset_mu_Wagon_Gen3_Open_Wagon_Coal_L4_S2</t>
  </si>
  <si>
    <t>spriteset_mu_Wagon_Gen3_Open_Wagon_Coal_L4_S1</t>
  </si>
  <si>
    <t>spriteset_mu_Wagon_Gen3_Open_Wagon_Coal_L3_S3</t>
  </si>
  <si>
    <t>spriteset_mu_Wagon_Gen3_Open_Wagon_Coal_L3_S2</t>
  </si>
  <si>
    <t>spriteset_mu_Wagon_Gen3_Open_Wagon_Coal_L3_S1</t>
  </si>
  <si>
    <t>spriteset_mu_Wagon_Gen3_Open_Wagon_Coal_L2_S3</t>
  </si>
  <si>
    <t>spriteset_mu_Wagon_Gen3_Open_Wagon_Coal_L2_S2</t>
  </si>
  <si>
    <t>spriteset_mu_Wagon_Gen3_Open_Wagon_Coal_L2_S1</t>
  </si>
  <si>
    <t>spriteset_mu_Wagon_Gen3_Open_Wagon_Coal_L1_S3</t>
  </si>
  <si>
    <t>spriteset_mu_Wagon_Gen3_Open_Wagon_Coal_L1_S2</t>
  </si>
  <si>
    <t>spriteset_mu_Wagon_Gen3_Open_Wagon_Coal_L1_S1</t>
  </si>
  <si>
    <t>spriteset_mu_Wagon_Gen3_Open_Wagon_purchase</t>
  </si>
  <si>
    <t>switch_mu_Wagon_Gen3_Hopper_cargo_selection</t>
  </si>
  <si>
    <t>switch_mu_Wagon_Gen3_Hopper_Gray_livery</t>
  </si>
  <si>
    <t>switch_mu_Wagon_Gen3_Hopper_Sand_livery</t>
  </si>
  <si>
    <t>switch_mu_Wagon_Gen3_Hopper_Ore_livery</t>
  </si>
  <si>
    <t>switch_mu_Wagon_Gen3_Hopper_Coal_livery</t>
  </si>
  <si>
    <t>spriteset_mu_Wagon_Gen3_Hopper_Gray_L4_S3</t>
  </si>
  <si>
    <t>spriteset_mu_Wagon_Gen3_Hopper_Gray_L4_S2</t>
  </si>
  <si>
    <t>spriteset_mu_Wagon_Gen3_Hopper_Gray_L4_S1</t>
  </si>
  <si>
    <t>spriteset_mu_Wagon_Gen3_Hopper_Gray_L3_S3</t>
  </si>
  <si>
    <t>spriteset_mu_Wagon_Gen3_Hopper_Gray_L3_S2</t>
  </si>
  <si>
    <t>spriteset_mu_Wagon_Gen3_Hopper_Gray_L3_S1</t>
  </si>
  <si>
    <t>spriteset_mu_Wagon_Gen3_Hopper_Gray_L2_S3</t>
  </si>
  <si>
    <t>spriteset_mu_Wagon_Gen3_Hopper_Gray_L2_S2</t>
  </si>
  <si>
    <t>spriteset_mu_Wagon_Gen3_Hopper_Gray_L2_S1</t>
  </si>
  <si>
    <t>spriteset_mu_Wagon_Gen3_Hopper_Gray_L1_S3</t>
  </si>
  <si>
    <t>spriteset_mu_Wagon_Gen3_Hopper_Gray_L1_S2</t>
  </si>
  <si>
    <t>spriteset_mu_Wagon_Gen3_Hopper_Gray_L1_S1</t>
  </si>
  <si>
    <t>spriteset_mu_Wagon_Gen3_Hopper_Sand_L4_S3</t>
  </si>
  <si>
    <t>spriteset_mu_Wagon_Gen3_Hopper_Sand_L4_S2</t>
  </si>
  <si>
    <t>spriteset_mu_Wagon_Gen3_Hopper_Sand_L4_S1</t>
  </si>
  <si>
    <t>spriteset_mu_Wagon_Gen3_Hopper_Sand_L3_S3</t>
  </si>
  <si>
    <t>spriteset_mu_Wagon_Gen3_Hopper_Sand_L3_S2</t>
  </si>
  <si>
    <t>spriteset_mu_Wagon_Gen3_Hopper_Sand_L3_S1</t>
  </si>
  <si>
    <t>spriteset_mu_Wagon_Gen3_Hopper_Sand_L2_S3</t>
  </si>
  <si>
    <t>spriteset_mu_Wagon_Gen3_Hopper_Sand_L2_S2</t>
  </si>
  <si>
    <t>spriteset_mu_Wagon_Gen3_Hopper_Sand_L2_S1</t>
  </si>
  <si>
    <t>spriteset_mu_Wagon_Gen3_Hopper_Sand_L1_S3</t>
  </si>
  <si>
    <t>spriteset_mu_Wagon_Gen3_Hopper_Sand_L1_S2</t>
  </si>
  <si>
    <t>spriteset_mu_Wagon_Gen3_Hopper_Sand_L1_S1</t>
  </si>
  <si>
    <t>spriteset_mu_Wagon_Gen3_Hopper_Ore_L4_S3</t>
  </si>
  <si>
    <t>spriteset_mu_Wagon_Gen3_Hopper_Ore_L4_S2</t>
  </si>
  <si>
    <t>spriteset_mu_Wagon_Gen3_Hopper_Ore_L4_S1</t>
  </si>
  <si>
    <t>spriteset_mu_Wagon_Gen3_Hopper_Ore_L3_S3</t>
  </si>
  <si>
    <t>spriteset_mu_Wagon_Gen3_Hopper_Ore_L3_S2</t>
  </si>
  <si>
    <t>spriteset_mu_Wagon_Gen3_Hopper_Ore_L3_S1</t>
  </si>
  <si>
    <t>spriteset_mu_Wagon_Gen3_Hopper_Ore_L2_S3</t>
  </si>
  <si>
    <t>spriteset_mu_Wagon_Gen3_Hopper_Ore_L2_S2</t>
  </si>
  <si>
    <t>spriteset_mu_Wagon_Gen3_Hopper_Ore_L2_S1</t>
  </si>
  <si>
    <t>spriteset_mu_Wagon_Gen3_Hopper_Ore_L1_S3</t>
  </si>
  <si>
    <t>spriteset_mu_Wagon_Gen3_Hopper_Ore_L1_S2</t>
  </si>
  <si>
    <t>spriteset_mu_Wagon_Gen3_Hopper_Ore_L1_S1</t>
  </si>
  <si>
    <t>spriteset_mu_Wagon_Gen3_Hopper_Coal_L4_S3</t>
  </si>
  <si>
    <t>spriteset_mu_Wagon_Gen3_Hopper_Coal_L4_S2</t>
  </si>
  <si>
    <t>spriteset_mu_Wagon_Gen3_Hopper_Coal_L4_S1</t>
  </si>
  <si>
    <t>spriteset_mu_Wagon_Gen3_Hopper_Coal_L3_S3</t>
  </si>
  <si>
    <t>spriteset_mu_Wagon_Gen3_Hopper_Coal_L3_S2</t>
  </si>
  <si>
    <t>spriteset_mu_Wagon_Gen3_Hopper_Coal_L3_S1</t>
  </si>
  <si>
    <t>spriteset_mu_Wagon_Gen3_Hopper_Coal_L2_S3</t>
  </si>
  <si>
    <t>spriteset_mu_Wagon_Gen3_Hopper_Coal_L2_S2</t>
  </si>
  <si>
    <t>spriteset_mu_Wagon_Gen3_Hopper_Coal_L2_S1</t>
  </si>
  <si>
    <t>spriteset_mu_Wagon_Gen3_Hopper_Coal_L1_S3</t>
  </si>
  <si>
    <t>spriteset_mu_Wagon_Gen3_Hopper_Coal_L1_S2</t>
  </si>
  <si>
    <t>spriteset_mu_Wagon_Gen3_Hopper_Coal_L1_S1</t>
  </si>
  <si>
    <t>spriteset_mu_Wagon_Gen3_Hopper_purchase</t>
  </si>
  <si>
    <t>switch_mu_Wagon_Gen3_Flat_Wagon_cargo_selection</t>
  </si>
  <si>
    <t>switch_mu_Wagon_Gen3_Flat_Wagon_Building_Materials_livery</t>
  </si>
  <si>
    <t>switch_mu_Wagon_Gen3_Flat_Wagon_Goods_livery</t>
  </si>
  <si>
    <t>switch_mu_Wagon_Gen3_Flat_Wagon_YETI_livery</t>
  </si>
  <si>
    <t>switch_mu_Wagon_Gen3_Flat_Wagon_Machinery_livery</t>
  </si>
  <si>
    <t>switch_mu_Wagon_Gen3_Flat_Wagon_Wood_livery</t>
  </si>
  <si>
    <t>switch_mu_Wagon_Gen3_Flat_Wagon_Steel_livery</t>
  </si>
  <si>
    <t>switch_mu_Wagon_Gen3_Flat_Wagon_Planks_livery</t>
  </si>
  <si>
    <t>switch_mu_Wagon_Gen3_Flat_Wagon_Crates_livery</t>
  </si>
  <si>
    <t>spriteset_mu_Wagon_Gen3_Flat_Wagon_YETI_L4_S3</t>
  </si>
  <si>
    <t>spriteset_mu_Wagon_Gen3_Flat_Wagon_YETI_L4_S2</t>
  </si>
  <si>
    <t>spriteset_mu_Wagon_Gen3_Flat_Wagon_YETI_L4_S1</t>
  </si>
  <si>
    <t>spriteset_mu_Wagon_Gen3_Flat_Wagon_YETI_L3_S3</t>
  </si>
  <si>
    <t>spriteset_mu_Wagon_Gen3_Flat_Wagon_YETI_L3_S2</t>
  </si>
  <si>
    <t>spriteset_mu_Wagon_Gen3_Flat_Wagon_YETI_L3_S1</t>
  </si>
  <si>
    <t>spriteset_mu_Wagon_Gen3_Flat_Wagon_YETI_L2_S3</t>
  </si>
  <si>
    <t>spriteset_mu_Wagon_Gen3_Flat_Wagon_YETI_L2_S2</t>
  </si>
  <si>
    <t>spriteset_mu_Wagon_Gen3_Flat_Wagon_YETI_L2_S1</t>
  </si>
  <si>
    <t>spriteset_mu_Wagon_Gen3_Flat_Wagon_YETI_L1_S3</t>
  </si>
  <si>
    <t>spriteset_mu_Wagon_Gen3_Flat_Wagon_YETI_L1_S2</t>
  </si>
  <si>
    <t>spriteset_mu_Wagon_Gen3_Flat_Wagon_YETI_L1_S1</t>
  </si>
  <si>
    <t>spriteset_mu_Wagon_Gen3_Flat_Wagon_Machinery_L4_S3</t>
  </si>
  <si>
    <t>spriteset_mu_Wagon_Gen3_Flat_Wagon_Machinery_L4_S2</t>
  </si>
  <si>
    <t>spriteset_mu_Wagon_Gen3_Flat_Wagon_Machinery_L4_S1</t>
  </si>
  <si>
    <t>spriteset_mu_Wagon_Gen3_Flat_Wagon_Machinery_L3_S3</t>
  </si>
  <si>
    <t>spriteset_mu_Wagon_Gen3_Flat_Wagon_Machinery_L3_S2</t>
  </si>
  <si>
    <t>spriteset_mu_Wagon_Gen3_Flat_Wagon_Machinery_L3_S1</t>
  </si>
  <si>
    <t>spriteset_mu_Wagon_Gen3_Flat_Wagon_Machinery_L2_S3</t>
  </si>
  <si>
    <t>spriteset_mu_Wagon_Gen3_Flat_Wagon_Machinery_L2_S2</t>
  </si>
  <si>
    <t>spriteset_mu_Wagon_Gen3_Flat_Wagon_Machinery_L2_S1</t>
  </si>
  <si>
    <t>spriteset_mu_Wagon_Gen3_Flat_Wagon_Machinery_L1_S3</t>
  </si>
  <si>
    <t>spriteset_mu_Wagon_Gen3_Flat_Wagon_Machinery_L1_S2</t>
  </si>
  <si>
    <t>spriteset_mu_Wagon_Gen3_Flat_Wagon_Machinery_L1_S1</t>
  </si>
  <si>
    <t>spriteset_mu_Wagon_Gen3_Flat_Wagon_Wood_L4_S3</t>
  </si>
  <si>
    <t>spriteset_mu_Wagon_Gen3_Flat_Wagon_Wood_L4_S2</t>
  </si>
  <si>
    <t>spriteset_mu_Wagon_Gen3_Flat_Wagon_Wood_L4_S1</t>
  </si>
  <si>
    <t>spriteset_mu_Wagon_Gen3_Flat_Wagon_Wood_L3_S3</t>
  </si>
  <si>
    <t>spriteset_mu_Wagon_Gen3_Flat_Wagon_Wood_L3_S2</t>
  </si>
  <si>
    <t>spriteset_mu_Wagon_Gen3_Flat_Wagon_Wood_L3_S1</t>
  </si>
  <si>
    <t>spriteset_mu_Wagon_Gen3_Flat_Wagon_Wood_L2_S3</t>
  </si>
  <si>
    <t>spriteset_mu_Wagon_Gen3_Flat_Wagon_Wood_L2_S2</t>
  </si>
  <si>
    <t>spriteset_mu_Wagon_Gen3_Flat_Wagon_Wood_L2_S1</t>
  </si>
  <si>
    <t>spriteset_mu_Wagon_Gen3_Flat_Wagon_Wood_L1_S3</t>
  </si>
  <si>
    <t>spriteset_mu_Wagon_Gen3_Flat_Wagon_Wood_L1_S2</t>
  </si>
  <si>
    <t>spriteset_mu_Wagon_Gen3_Flat_Wagon_Wood_L1_S1</t>
  </si>
  <si>
    <t>spriteset_mu_Wagon_Gen3_Flat_Wagon_Steel_L4_S3</t>
  </si>
  <si>
    <t>spriteset_mu_Wagon_Gen3_Flat_Wagon_Steel_L4_S2</t>
  </si>
  <si>
    <t>spriteset_mu_Wagon_Gen3_Flat_Wagon_Steel_L4_S1</t>
  </si>
  <si>
    <t>spriteset_mu_Wagon_Gen3_Flat_Wagon_Steel_L3_S3</t>
  </si>
  <si>
    <t>spriteset_mu_Wagon_Gen3_Flat_Wagon_Steel_L3_S2</t>
  </si>
  <si>
    <t>spriteset_mu_Wagon_Gen3_Flat_Wagon_Steel_L3_S1</t>
  </si>
  <si>
    <t>spriteset_mu_Wagon_Gen3_Flat_Wagon_Steel_L2_S3</t>
  </si>
  <si>
    <t>spriteset_mu_Wagon_Gen3_Flat_Wagon_Steel_L2_S2</t>
  </si>
  <si>
    <t>spriteset_mu_Wagon_Gen3_Flat_Wagon_Steel_L2_S1</t>
  </si>
  <si>
    <t>spriteset_mu_Wagon_Gen3_Flat_Wagon_Steel_L1_S3</t>
  </si>
  <si>
    <t>spriteset_mu_Wagon_Gen3_Flat_Wagon_Steel_L1_S2</t>
  </si>
  <si>
    <t>spriteset_mu_Wagon_Gen3_Flat_Wagon_Steel_L1_S1</t>
  </si>
  <si>
    <t>spriteset_mu_Wagon_Gen3_Flat_Wagon_Planks_L4_S3</t>
  </si>
  <si>
    <t>spriteset_mu_Wagon_Gen3_Flat_Wagon_Planks_L4_S2</t>
  </si>
  <si>
    <t>spriteset_mu_Wagon_Gen3_Flat_Wagon_Planks_L4_S1</t>
  </si>
  <si>
    <t>spriteset_mu_Wagon_Gen3_Flat_Wagon_Planks_L3_S3</t>
  </si>
  <si>
    <t>spriteset_mu_Wagon_Gen3_Flat_Wagon_Planks_L3_S2</t>
  </si>
  <si>
    <t>spriteset_mu_Wagon_Gen3_Flat_Wagon_Planks_L3_S1</t>
  </si>
  <si>
    <t>spriteset_mu_Wagon_Gen3_Flat_Wagon_Planks_L2_S3</t>
  </si>
  <si>
    <t>spriteset_mu_Wagon_Gen3_Flat_Wagon_Planks_L2_S2</t>
  </si>
  <si>
    <t>spriteset_mu_Wagon_Gen3_Flat_Wagon_Planks_L2_S1</t>
  </si>
  <si>
    <t>spriteset_mu_Wagon_Gen3_Flat_Wagon_Planks_L1_S3</t>
  </si>
  <si>
    <t>spriteset_mu_Wagon_Gen3_Flat_Wagon_Planks_L1_S2</t>
  </si>
  <si>
    <t>spriteset_mu_Wagon_Gen3_Flat_Wagon_Planks_L1_S1</t>
  </si>
  <si>
    <t>spriteset_mu_Wagon_Gen3_Flat_Wagon_Crates_L4_S3</t>
  </si>
  <si>
    <t>spriteset_mu_Wagon_Gen3_Flat_Wagon_Crates_L4_S2</t>
  </si>
  <si>
    <t>spriteset_mu_Wagon_Gen3_Flat_Wagon_Crates_L4_S1</t>
  </si>
  <si>
    <t>spriteset_mu_Wagon_Gen3_Flat_Wagon_Crates_L3_S3</t>
  </si>
  <si>
    <t>spriteset_mu_Wagon_Gen3_Flat_Wagon_Crates_L3_S2</t>
  </si>
  <si>
    <t>spriteset_mu_Wagon_Gen3_Flat_Wagon_Crates_L3_S1</t>
  </si>
  <si>
    <t>spriteset_mu_Wagon_Gen3_Flat_Wagon_Crates_L2_S3</t>
  </si>
  <si>
    <t>spriteset_mu_Wagon_Gen3_Flat_Wagon_Crates_L2_S2</t>
  </si>
  <si>
    <t>spriteset_mu_Wagon_Gen3_Flat_Wagon_Crates_L2_S1</t>
  </si>
  <si>
    <t>spriteset_mu_Wagon_Gen3_Flat_Wagon_Crates_L1_S3</t>
  </si>
  <si>
    <t>spriteset_mu_Wagon_Gen3_Flat_Wagon_Crates_L1_S2</t>
  </si>
  <si>
    <t>spriteset_mu_Wagon_Gen3_Flat_Wagon_Crates_L1_S1</t>
  </si>
  <si>
    <t>spriteset_mu_Wagon_Gen3_Flat_Wagon_purchase</t>
  </si>
  <si>
    <t>switch_mu_Wagon_Gen3_Boxcar_Type2_cargo_selection</t>
  </si>
  <si>
    <t>switch_mu_Wagon_Gen3_Boxcar_Type2_Goods_livery</t>
  </si>
  <si>
    <t>switch_mu_Wagon_Gen3_Boxcar_Type2_Standard_livery</t>
  </si>
  <si>
    <t>switch_mu_Wagon_Gen3_Boxcar_Type2_Reefer_livery</t>
  </si>
  <si>
    <t>switch_mu_Wagon_Gen3_Boxcar_Type2_Livestock_livery</t>
  </si>
  <si>
    <t>spriteset_mu_Wagon_Gen3_Boxcar_Type2_Standard_L4_S3</t>
  </si>
  <si>
    <t>spriteset_mu_Wagon_Gen3_Boxcar_Type2_Standard_L4_S2</t>
  </si>
  <si>
    <t>spriteset_mu_Wagon_Gen3_Boxcar_Type2_Standard_L4_S1</t>
  </si>
  <si>
    <t>spriteset_mu_Wagon_Gen3_Boxcar_Type2_Standard_L3_S3</t>
  </si>
  <si>
    <t>spriteset_mu_Wagon_Gen3_Boxcar_Type2_Standard_L3_S2</t>
  </si>
  <si>
    <t>spriteset_mu_Wagon_Gen3_Boxcar_Type2_Standard_L3_S1</t>
  </si>
  <si>
    <t>spriteset_mu_Wagon_Gen3_Boxcar_Type2_Standard_L2_S3</t>
  </si>
  <si>
    <t>spriteset_mu_Wagon_Gen3_Boxcar_Type2_Standard_L2_S2</t>
  </si>
  <si>
    <t>spriteset_mu_Wagon_Gen3_Boxcar_Type2_Standard_L2_S1</t>
  </si>
  <si>
    <t>spriteset_mu_Wagon_Gen3_Boxcar_Type2_Standard_L1_S3</t>
  </si>
  <si>
    <t>spriteset_mu_Wagon_Gen3_Boxcar_Type2_Standard_L1_S2</t>
  </si>
  <si>
    <t>spriteset_mu_Wagon_Gen3_Boxcar_Type2_Standard_L1_S1</t>
  </si>
  <si>
    <t>spriteset_mu_Wagon_Gen3_Boxcar_Type2_Reefer_L4_S3</t>
  </si>
  <si>
    <t>spriteset_mu_Wagon_Gen3_Boxcar_Type2_Reefer_L4_S2</t>
  </si>
  <si>
    <t>spriteset_mu_Wagon_Gen3_Boxcar_Type2_Reefer_L4_S1</t>
  </si>
  <si>
    <t>spriteset_mu_Wagon_Gen3_Boxcar_Type2_Reefer_L3_S3</t>
  </si>
  <si>
    <t>spriteset_mu_Wagon_Gen3_Boxcar_Type2_Reefer_L3_S2</t>
  </si>
  <si>
    <t>spriteset_mu_Wagon_Gen3_Boxcar_Type2_Reefer_L3_S1</t>
  </si>
  <si>
    <t>spriteset_mu_Wagon_Gen3_Boxcar_Type2_Reefer_L2_S3</t>
  </si>
  <si>
    <t>spriteset_mu_Wagon_Gen3_Boxcar_Type2_Reefer_L2_S2</t>
  </si>
  <si>
    <t>spriteset_mu_Wagon_Gen3_Boxcar_Type2_Reefer_L2_S1</t>
  </si>
  <si>
    <t>spriteset_mu_Wagon_Gen3_Boxcar_Type2_Reefer_L1_S3</t>
  </si>
  <si>
    <t>spriteset_mu_Wagon_Gen3_Boxcar_Type2_Reefer_L1_S2</t>
  </si>
  <si>
    <t>spriteset_mu_Wagon_Gen3_Boxcar_Type2_Reefer_L1_S1</t>
  </si>
  <si>
    <t>spriteset_mu_Wagon_Gen3_Boxcar_Type2_Livestock_L4_S3</t>
  </si>
  <si>
    <t>spriteset_mu_Wagon_Gen3_Boxcar_Type2_Livestock_L4_S2</t>
  </si>
  <si>
    <t>spriteset_mu_Wagon_Gen3_Boxcar_Type2_Livestock_L4_S1</t>
  </si>
  <si>
    <t>spriteset_mu_Wagon_Gen3_Boxcar_Type2_Livestock_L3_S3</t>
  </si>
  <si>
    <t>spriteset_mu_Wagon_Gen3_Boxcar_Type2_Livestock_L3_S2</t>
  </si>
  <si>
    <t>spriteset_mu_Wagon_Gen3_Boxcar_Type2_Livestock_L3_S1</t>
  </si>
  <si>
    <t>spriteset_mu_Wagon_Gen3_Boxcar_Type2_Livestock_L2_S3</t>
  </si>
  <si>
    <t>spriteset_mu_Wagon_Gen3_Boxcar_Type2_Livestock_L2_S2</t>
  </si>
  <si>
    <t>spriteset_mu_Wagon_Gen3_Boxcar_Type2_Livestock_L2_S1</t>
  </si>
  <si>
    <t>spriteset_mu_Wagon_Gen3_Boxcar_Type2_Livestock_L1_S3</t>
  </si>
  <si>
    <t>spriteset_mu_Wagon_Gen3_Boxcar_Type2_Livestock_L1_S2</t>
  </si>
  <si>
    <t>spriteset_mu_Wagon_Gen3_Boxcar_Type2_Livestock_L1_S1</t>
  </si>
  <si>
    <t>spriteset_mu_Wagon_Gen3_Boxcar_Type2_purchase</t>
  </si>
  <si>
    <t>switch_mu_Wagon_Gen3_Boxcar_Type1_cargo_selection</t>
  </si>
  <si>
    <t>switch_mu_Wagon_Gen3_Boxcar_Type1_Goods_livery</t>
  </si>
  <si>
    <t>switch_mu_Wagon_Gen3_Boxcar_Type1_Standard_livery</t>
  </si>
  <si>
    <t>switch_mu_Wagon_Gen3_Boxcar_Type1_Reefer_livery</t>
  </si>
  <si>
    <t>switch_mu_Wagon_Gen3_Boxcar_Type1_Livestock_livery</t>
  </si>
  <si>
    <t>switch_mu_Wagon_Gen3_Boxcar_Type1_Armoured_livery</t>
  </si>
  <si>
    <t>spriteset_mu_Wagon_Gen3_Boxcar_Type1_Standard_L4_S3</t>
  </si>
  <si>
    <t>spriteset_mu_Wagon_Gen3_Boxcar_Type1_Standard_L4_S2</t>
  </si>
  <si>
    <t>spriteset_mu_Wagon_Gen3_Boxcar_Type1_Standard_L4_S1</t>
  </si>
  <si>
    <t>spriteset_mu_Wagon_Gen3_Boxcar_Type1_Standard_L3_S3</t>
  </si>
  <si>
    <t>spriteset_mu_Wagon_Gen3_Boxcar_Type1_Standard_L3_S2</t>
  </si>
  <si>
    <t>spriteset_mu_Wagon_Gen3_Boxcar_Type1_Standard_L3_S1</t>
  </si>
  <si>
    <t>spriteset_mu_Wagon_Gen3_Boxcar_Type1_Standard_L2_S3</t>
  </si>
  <si>
    <t>spriteset_mu_Wagon_Gen3_Boxcar_Type1_Standard_L2_S2</t>
  </si>
  <si>
    <t>spriteset_mu_Wagon_Gen3_Boxcar_Type1_Standard_L2_S1</t>
  </si>
  <si>
    <t>spriteset_mu_Wagon_Gen3_Boxcar_Type1_Standard_L1_S3</t>
  </si>
  <si>
    <t>spriteset_mu_Wagon_Gen3_Boxcar_Type1_Standard_L1_S2</t>
  </si>
  <si>
    <t>spriteset_mu_Wagon_Gen3_Boxcar_Type1_Standard_L1_S1</t>
  </si>
  <si>
    <t>spriteset_mu_Wagon_Gen3_Boxcar_Type1_Reefer_L4_S3</t>
  </si>
  <si>
    <t>spriteset_mu_Wagon_Gen3_Boxcar_Type1_Reefer_L4_S2</t>
  </si>
  <si>
    <t>spriteset_mu_Wagon_Gen3_Boxcar_Type1_Reefer_L4_S1</t>
  </si>
  <si>
    <t>spriteset_mu_Wagon_Gen3_Boxcar_Type1_Reefer_L3_S3</t>
  </si>
  <si>
    <t>spriteset_mu_Wagon_Gen3_Boxcar_Type1_Reefer_L3_S2</t>
  </si>
  <si>
    <t>spriteset_mu_Wagon_Gen3_Boxcar_Type1_Reefer_L3_S1</t>
  </si>
  <si>
    <t>spriteset_mu_Wagon_Gen3_Boxcar_Type1_Reefer_L2_S3</t>
  </si>
  <si>
    <t>spriteset_mu_Wagon_Gen3_Boxcar_Type1_Reefer_L2_S2</t>
  </si>
  <si>
    <t>spriteset_mu_Wagon_Gen3_Boxcar_Type1_Reefer_L2_S1</t>
  </si>
  <si>
    <t>spriteset_mu_Wagon_Gen3_Boxcar_Type1_Reefer_L1_S3</t>
  </si>
  <si>
    <t>spriteset_mu_Wagon_Gen3_Boxcar_Type1_Reefer_L1_S2</t>
  </si>
  <si>
    <t>spriteset_mu_Wagon_Gen3_Boxcar_Type1_Reefer_L1_S1</t>
  </si>
  <si>
    <t>spriteset_mu_Wagon_Gen3_Boxcar_Type1_Livestock_L4_S3</t>
  </si>
  <si>
    <t>spriteset_mu_Wagon_Gen3_Boxcar_Type1_Livestock_L4_S2</t>
  </si>
  <si>
    <t>spriteset_mu_Wagon_Gen3_Boxcar_Type1_Livestock_L4_S1</t>
  </si>
  <si>
    <t>spriteset_mu_Wagon_Gen3_Boxcar_Type1_Livestock_L3_S3</t>
  </si>
  <si>
    <t>spriteset_mu_Wagon_Gen3_Boxcar_Type1_Livestock_L3_S2</t>
  </si>
  <si>
    <t>spriteset_mu_Wagon_Gen3_Boxcar_Type1_Livestock_L3_S1</t>
  </si>
  <si>
    <t>spriteset_mu_Wagon_Gen3_Boxcar_Type1_Livestock_L2_S3</t>
  </si>
  <si>
    <t>spriteset_mu_Wagon_Gen3_Boxcar_Type1_Livestock_L2_S2</t>
  </si>
  <si>
    <t>spriteset_mu_Wagon_Gen3_Boxcar_Type1_Livestock_L2_S1</t>
  </si>
  <si>
    <t>spriteset_mu_Wagon_Gen3_Boxcar_Type1_Livestock_L1_S3</t>
  </si>
  <si>
    <t>spriteset_mu_Wagon_Gen3_Boxcar_Type1_Livestock_L1_S2</t>
  </si>
  <si>
    <t>spriteset_mu_Wagon_Gen3_Boxcar_Type1_Livestock_L1_S1</t>
  </si>
  <si>
    <t>spriteset_mu_Wagon_Gen3_Boxcar_Type1_Armoured_L4_S3</t>
  </si>
  <si>
    <t>spriteset_mu_Wagon_Gen3_Boxcar_Type1_Armoured_L4_S2</t>
  </si>
  <si>
    <t>spriteset_mu_Wagon_Gen3_Boxcar_Type1_Armoured_L4_S1</t>
  </si>
  <si>
    <t>spriteset_mu_Wagon_Gen3_Boxcar_Type1_Armoured_L3_S3</t>
  </si>
  <si>
    <t>spriteset_mu_Wagon_Gen3_Boxcar_Type1_Armoured_L3_S2</t>
  </si>
  <si>
    <t>spriteset_mu_Wagon_Gen3_Boxcar_Type1_Armoured_L3_S1</t>
  </si>
  <si>
    <t>spriteset_mu_Wagon_Gen3_Boxcar_Type1_Armoured_L2_S3</t>
  </si>
  <si>
    <t>spriteset_mu_Wagon_Gen3_Boxcar_Type1_Armoured_L2_S2</t>
  </si>
  <si>
    <t>spriteset_mu_Wagon_Gen3_Boxcar_Type1_Armoured_L2_S1</t>
  </si>
  <si>
    <t>spriteset_mu_Wagon_Gen3_Boxcar_Type1_Armoured_L1_S3</t>
  </si>
  <si>
    <t>spriteset_mu_Wagon_Gen3_Boxcar_Type1_Armoured_L1_S2</t>
  </si>
  <si>
    <t>spriteset_mu_Wagon_Gen3_Boxcar_Type1_Armoured_L1_S1</t>
  </si>
  <si>
    <t>spriteset_mu_Wagon_Gen3_Boxcar_Type1_purchase</t>
  </si>
  <si>
    <t>switch_mu_Wagon_Gen2_Tanker_cargo_selection</t>
  </si>
  <si>
    <t>switch_mu_Wagon_Gen2_Tanker_Plastic_livery</t>
  </si>
  <si>
    <t>switch_mu_Wagon_Gen2_Tanker_Goods_livery</t>
  </si>
  <si>
    <t>switch_mu_Wagon_Gen2_Tanker_Water_livery</t>
  </si>
  <si>
    <t>switch_mu_Wagon_Gen2_Tanker_Rubber_livery</t>
  </si>
  <si>
    <t>switch_mu_Wagon_Gen2_Tanker_Oil_livery</t>
  </si>
  <si>
    <t>spriteset_mu_Wagon_Gen2_Tanker_Water_L4_S3</t>
  </si>
  <si>
    <t>spriteset_mu_Wagon_Gen2_Tanker_Water_L4_S2</t>
  </si>
  <si>
    <t>spriteset_mu_Wagon_Gen2_Tanker_Water_L4_S1</t>
  </si>
  <si>
    <t>spriteset_mu_Wagon_Gen2_Tanker_Water_L3_S3</t>
  </si>
  <si>
    <t>spriteset_mu_Wagon_Gen2_Tanker_Water_L3_S2</t>
  </si>
  <si>
    <t>spriteset_mu_Wagon_Gen2_Tanker_Water_L3_S1</t>
  </si>
  <si>
    <t>spriteset_mu_Wagon_Gen2_Tanker_Water_L2_S3</t>
  </si>
  <si>
    <t>spriteset_mu_Wagon_Gen2_Tanker_Water_L2_S2</t>
  </si>
  <si>
    <t>spriteset_mu_Wagon_Gen2_Tanker_Water_L2_S1</t>
  </si>
  <si>
    <t>spriteset_mu_Wagon_Gen2_Tanker_Water_L1_S3</t>
  </si>
  <si>
    <t>spriteset_mu_Wagon_Gen2_Tanker_Water_L1_S2</t>
  </si>
  <si>
    <t>spriteset_mu_Wagon_Gen2_Tanker_Water_L1_S1</t>
  </si>
  <si>
    <t>spriteset_mu_Wagon_Gen2_Tanker_Rubber_L4_S3</t>
  </si>
  <si>
    <t>spriteset_mu_Wagon_Gen2_Tanker_Rubber_L4_S2</t>
  </si>
  <si>
    <t>spriteset_mu_Wagon_Gen2_Tanker_Rubber_L4_S1</t>
  </si>
  <si>
    <t>spriteset_mu_Wagon_Gen2_Tanker_Rubber_L3_S3</t>
  </si>
  <si>
    <t>spriteset_mu_Wagon_Gen2_Tanker_Rubber_L3_S2</t>
  </si>
  <si>
    <t>spriteset_mu_Wagon_Gen2_Tanker_Rubber_L3_S1</t>
  </si>
  <si>
    <t>spriteset_mu_Wagon_Gen2_Tanker_Rubber_L2_S3</t>
  </si>
  <si>
    <t>spriteset_mu_Wagon_Gen2_Tanker_Rubber_L2_S2</t>
  </si>
  <si>
    <t>spriteset_mu_Wagon_Gen2_Tanker_Rubber_L2_S1</t>
  </si>
  <si>
    <t>spriteset_mu_Wagon_Gen2_Tanker_Rubber_L1_S3</t>
  </si>
  <si>
    <t>spriteset_mu_Wagon_Gen2_Tanker_Rubber_L1_S2</t>
  </si>
  <si>
    <t>spriteset_mu_Wagon_Gen2_Tanker_Rubber_L1_S1</t>
  </si>
  <si>
    <t>spriteset_mu_Wagon_Gen2_Tanker_Oil_L4_S3</t>
  </si>
  <si>
    <t>spriteset_mu_Wagon_Gen2_Tanker_Oil_L4_S2</t>
  </si>
  <si>
    <t>spriteset_mu_Wagon_Gen2_Tanker_Oil_L4_S1</t>
  </si>
  <si>
    <t>spriteset_mu_Wagon_Gen2_Tanker_Oil_L3_S3</t>
  </si>
  <si>
    <t>spriteset_mu_Wagon_Gen2_Tanker_Oil_L3_S2</t>
  </si>
  <si>
    <t>spriteset_mu_Wagon_Gen2_Tanker_Oil_L3_S1</t>
  </si>
  <si>
    <t>spriteset_mu_Wagon_Gen2_Tanker_Oil_L2_S3</t>
  </si>
  <si>
    <t>spriteset_mu_Wagon_Gen2_Tanker_Oil_L2_S2</t>
  </si>
  <si>
    <t>spriteset_mu_Wagon_Gen2_Tanker_Oil_L2_S1</t>
  </si>
  <si>
    <t>spriteset_mu_Wagon_Gen2_Tanker_Oil_L1_S3</t>
  </si>
  <si>
    <t>spriteset_mu_Wagon_Gen2_Tanker_Oil_L1_S2</t>
  </si>
  <si>
    <t>spriteset_mu_Wagon_Gen2_Tanker_Oil_L1_S1</t>
  </si>
  <si>
    <t>spriteset_mu_Wagon_Gen2_Tanker_purchase</t>
  </si>
  <si>
    <t>switch_mu_Wagon_Gen2_Silo_livery</t>
  </si>
  <si>
    <t>spriteset_mu_Wagon_Gen2_Silo_L4_S3</t>
  </si>
  <si>
    <t>spriteset_mu_Wagon_Gen2_Silo_L4_S2</t>
  </si>
  <si>
    <t>spriteset_mu_Wagon_Gen2_Silo_L4_S1</t>
  </si>
  <si>
    <t>spriteset_mu_Wagon_Gen2_Silo_L3_S3</t>
  </si>
  <si>
    <t>spriteset_mu_Wagon_Gen2_Silo_L3_S2</t>
  </si>
  <si>
    <t>spriteset_mu_Wagon_Gen2_Silo_L3_S1</t>
  </si>
  <si>
    <t>spriteset_mu_Wagon_Gen2_Silo_L2_S3</t>
  </si>
  <si>
    <t>spriteset_mu_Wagon_Gen2_Silo_L2_S2</t>
  </si>
  <si>
    <t>spriteset_mu_Wagon_Gen2_Silo_L2_S1</t>
  </si>
  <si>
    <t>spriteset_mu_Wagon_Gen2_Silo_L1_S3</t>
  </si>
  <si>
    <t>spriteset_mu_Wagon_Gen2_Silo_L1_S2</t>
  </si>
  <si>
    <t>spriteset_mu_Wagon_Gen2_Silo_L1_S1</t>
  </si>
  <si>
    <t>spriteset_mu_Wagon_Gen2_Silo_purchase</t>
  </si>
  <si>
    <t>switch_mu_Wagon_Gen2_Open_Wagon_cargo_selection</t>
  </si>
  <si>
    <t>switch_mu_Wagon_Gen2_Open_Wagon_Crates_livery</t>
  </si>
  <si>
    <t>switch_mu_Wagon_Gen2_Open_Wagon_Sand_livery</t>
  </si>
  <si>
    <t>switch_mu_Wagon_Gen2_Open_Wagon_Gray_livery</t>
  </si>
  <si>
    <t>switch_mu_Wagon_Gen2_Open_Wagon_Wood_livery</t>
  </si>
  <si>
    <t>switch_mu_Wagon_Gen2_Open_Wagon_Ore_livery</t>
  </si>
  <si>
    <t>switch_mu_Wagon_Gen2_Open_Wagon_Grain_livery</t>
  </si>
  <si>
    <t>switch_mu_Wagon_Gen2_Open_Wagon_Coal_livery</t>
  </si>
  <si>
    <t>spriteset_mu_Wagon_Gen2_Open_Wagon_Crates_L4_S3</t>
  </si>
  <si>
    <t>spriteset_mu_Wagon_Gen2_Open_Wagon_Crates_L4_S2</t>
  </si>
  <si>
    <t>spriteset_mu_Wagon_Gen2_Open_Wagon_Crates_L4_S1</t>
  </si>
  <si>
    <t>spriteset_mu_Wagon_Gen2_Open_Wagon_Crates_L3_S3</t>
  </si>
  <si>
    <t>spriteset_mu_Wagon_Gen2_Open_Wagon_Crates_L3_S2</t>
  </si>
  <si>
    <t>spriteset_mu_Wagon_Gen2_Open_Wagon_Crates_L3_S1</t>
  </si>
  <si>
    <t>spriteset_mu_Wagon_Gen2_Open_Wagon_Crates_L2_S3</t>
  </si>
  <si>
    <t>spriteset_mu_Wagon_Gen2_Open_Wagon_Crates_L2_S2</t>
  </si>
  <si>
    <t>spriteset_mu_Wagon_Gen2_Open_Wagon_Crates_L2_S1</t>
  </si>
  <si>
    <t>spriteset_mu_Wagon_Gen2_Open_Wagon_Crates_L1_S3</t>
  </si>
  <si>
    <t>spriteset_mu_Wagon_Gen2_Open_Wagon_Crates_L1_S2</t>
  </si>
  <si>
    <t>spriteset_mu_Wagon_Gen2_Open_Wagon_Crates_L1_S1</t>
  </si>
  <si>
    <t>spriteset_mu_Wagon_Gen2_Open_Wagon_Sand_L4_S3</t>
  </si>
  <si>
    <t>spriteset_mu_Wagon_Gen2_Open_Wagon_Sand_L4_S2</t>
  </si>
  <si>
    <t>spriteset_mu_Wagon_Gen2_Open_Wagon_Sand_L4_S1</t>
  </si>
  <si>
    <t>spriteset_mu_Wagon_Gen2_Open_Wagon_Sand_L3_S3</t>
  </si>
  <si>
    <t>spriteset_mu_Wagon_Gen2_Open_Wagon_Sand_L3_S2</t>
  </si>
  <si>
    <t>spriteset_mu_Wagon_Gen2_Open_Wagon_Sand_L3_S1</t>
  </si>
  <si>
    <t>spriteset_mu_Wagon_Gen2_Open_Wagon_Sand_L2_S3</t>
  </si>
  <si>
    <t>spriteset_mu_Wagon_Gen2_Open_Wagon_Sand_L2_S2</t>
  </si>
  <si>
    <t>spriteset_mu_Wagon_Gen2_Open_Wagon_Sand_L2_S1</t>
  </si>
  <si>
    <t>spriteset_mu_Wagon_Gen2_Open_Wagon_Sand_L1_S3</t>
  </si>
  <si>
    <t>spriteset_mu_Wagon_Gen2_Open_Wagon_Sand_L1_S2</t>
  </si>
  <si>
    <t>spriteset_mu_Wagon_Gen2_Open_Wagon_Sand_L1_S1</t>
  </si>
  <si>
    <t>spriteset_mu_Wagon_Gen2_Open_Wagon_Gray_L4_S3</t>
  </si>
  <si>
    <t>spriteset_mu_Wagon_Gen2_Open_Wagon_Gray_L4_S2</t>
  </si>
  <si>
    <t>spriteset_mu_Wagon_Gen2_Open_Wagon_Gray_L4_S1</t>
  </si>
  <si>
    <t>spriteset_mu_Wagon_Gen2_Open_Wagon_Gray_L3_S3</t>
  </si>
  <si>
    <t>spriteset_mu_Wagon_Gen2_Open_Wagon_Gray_L3_S2</t>
  </si>
  <si>
    <t>spriteset_mu_Wagon_Gen2_Open_Wagon_Gray_L3_S1</t>
  </si>
  <si>
    <t>spriteset_mu_Wagon_Gen2_Open_Wagon_Gray_L2_S3</t>
  </si>
  <si>
    <t>spriteset_mu_Wagon_Gen2_Open_Wagon_Gray_L2_S2</t>
  </si>
  <si>
    <t>spriteset_mu_Wagon_Gen2_Open_Wagon_Gray_L2_S1</t>
  </si>
  <si>
    <t>spriteset_mu_Wagon_Gen2_Open_Wagon_Gray_L1_S3</t>
  </si>
  <si>
    <t>spriteset_mu_Wagon_Gen2_Open_Wagon_Gray_L1_S2</t>
  </si>
  <si>
    <t>spriteset_mu_Wagon_Gen2_Open_Wagon_Gray_L1_S1</t>
  </si>
  <si>
    <t>spriteset_mu_Wagon_Gen2_Open_Wagon_Wood_L4_S3</t>
  </si>
  <si>
    <t>spriteset_mu_Wagon_Gen2_Open_Wagon_Wood_L4_S2</t>
  </si>
  <si>
    <t>spriteset_mu_Wagon_Gen2_Open_Wagon_Wood_L4_S1</t>
  </si>
  <si>
    <t>spriteset_mu_Wagon_Gen2_Open_Wagon_Wood_L3_S3</t>
  </si>
  <si>
    <t>spriteset_mu_Wagon_Gen2_Open_Wagon_Wood_L3_S2</t>
  </si>
  <si>
    <t>spriteset_mu_Wagon_Gen2_Open_Wagon_Wood_L3_S1</t>
  </si>
  <si>
    <t>spriteset_mu_Wagon_Gen2_Open_Wagon_Wood_L2_S3</t>
  </si>
  <si>
    <t>spriteset_mu_Wagon_Gen2_Open_Wagon_Wood_L2_S2</t>
  </si>
  <si>
    <t>spriteset_mu_Wagon_Gen2_Open_Wagon_Wood_L2_S1</t>
  </si>
  <si>
    <t>spriteset_mu_Wagon_Gen2_Open_Wagon_Wood_L1_S3</t>
  </si>
  <si>
    <t>spriteset_mu_Wagon_Gen2_Open_Wagon_Wood_L1_S2</t>
  </si>
  <si>
    <t>spriteset_mu_Wagon_Gen2_Open_Wagon_Wood_L1_S1</t>
  </si>
  <si>
    <t>spriteset_mu_Wagon_Gen2_Open_Wagon_Ore_L4_S3</t>
  </si>
  <si>
    <t>spriteset_mu_Wagon_Gen2_Open_Wagon_Ore_L4_S2</t>
  </si>
  <si>
    <t>spriteset_mu_Wagon_Gen2_Open_Wagon_Ore_L4_S1</t>
  </si>
  <si>
    <t>spriteset_mu_Wagon_Gen2_Open_Wagon_Ore_L3_S3</t>
  </si>
  <si>
    <t>spriteset_mu_Wagon_Gen2_Open_Wagon_Ore_L3_S2</t>
  </si>
  <si>
    <t>spriteset_mu_Wagon_Gen2_Open_Wagon_Ore_L3_S1</t>
  </si>
  <si>
    <t>spriteset_mu_Wagon_Gen2_Open_Wagon_Ore_L2_S3</t>
  </si>
  <si>
    <t>spriteset_mu_Wagon_Gen2_Open_Wagon_Ore_L2_S2</t>
  </si>
  <si>
    <t>spriteset_mu_Wagon_Gen2_Open_Wagon_Ore_L2_S1</t>
  </si>
  <si>
    <t>spriteset_mu_Wagon_Gen2_Open_Wagon_Ore_L1_S3</t>
  </si>
  <si>
    <t>spriteset_mu_Wagon_Gen2_Open_Wagon_Ore_L1_S2</t>
  </si>
  <si>
    <t>spriteset_mu_Wagon_Gen2_Open_Wagon_Ore_L1_S1</t>
  </si>
  <si>
    <t>spriteset_mu_Wagon_Gen2_Open_Wagon_Grain_L4_S4</t>
  </si>
  <si>
    <t>spriteset_mu_Wagon_Gen2_Open_Wagon_Grain_L4_S3</t>
  </si>
  <si>
    <t>spriteset_mu_Wagon_Gen2_Open_Wagon_Grain_L4_S2</t>
  </si>
  <si>
    <t>spriteset_mu_Wagon_Gen2_Open_Wagon_Grain_L4_S1</t>
  </si>
  <si>
    <t>spriteset_mu_Wagon_Gen2_Open_Wagon_Grain_L3_S4</t>
  </si>
  <si>
    <t>spriteset_mu_Wagon_Gen2_Open_Wagon_Grain_L3_S3</t>
  </si>
  <si>
    <t>spriteset_mu_Wagon_Gen2_Open_Wagon_Grain_L3_S2</t>
  </si>
  <si>
    <t>spriteset_mu_Wagon_Gen2_Open_Wagon_Grain_L3_S1</t>
  </si>
  <si>
    <t>spriteset_mu_Wagon_Gen2_Open_Wagon_Grain_L2_S4</t>
  </si>
  <si>
    <t>spriteset_mu_Wagon_Gen2_Open_Wagon_Grain_L2_S3</t>
  </si>
  <si>
    <t>spriteset_mu_Wagon_Gen2_Open_Wagon_Grain_L2_S2</t>
  </si>
  <si>
    <t>spriteset_mu_Wagon_Gen2_Open_Wagon_Grain_L2_S1</t>
  </si>
  <si>
    <t>spriteset_mu_Wagon_Gen2_Open_Wagon_Grain_L1_S4</t>
  </si>
  <si>
    <t>spriteset_mu_Wagon_Gen2_Open_Wagon_Grain_L1_S3</t>
  </si>
  <si>
    <t>spriteset_mu_Wagon_Gen2_Open_Wagon_Grain_L1_S2</t>
  </si>
  <si>
    <t>spriteset_mu_Wagon_Gen2_Open_Wagon_Grain_L1_S1</t>
  </si>
  <si>
    <t>spriteset_mu_Wagon_Gen2_Open_Wagon_Coal_L4_S3</t>
  </si>
  <si>
    <t>spriteset_mu_Wagon_Gen2_Open_Wagon_Coal_L4_S2</t>
  </si>
  <si>
    <t>spriteset_mu_Wagon_Gen2_Open_Wagon_Coal_L4_S1</t>
  </si>
  <si>
    <t>spriteset_mu_Wagon_Gen2_Open_Wagon_Coal_L3_S3</t>
  </si>
  <si>
    <t>spriteset_mu_Wagon_Gen2_Open_Wagon_Coal_L3_S2</t>
  </si>
  <si>
    <t>spriteset_mu_Wagon_Gen2_Open_Wagon_Coal_L3_S1</t>
  </si>
  <si>
    <t>spriteset_mu_Wagon_Gen2_Open_Wagon_Coal_L2_S3</t>
  </si>
  <si>
    <t>spriteset_mu_Wagon_Gen2_Open_Wagon_Coal_L2_S2</t>
  </si>
  <si>
    <t>spriteset_mu_Wagon_Gen2_Open_Wagon_Coal_L2_S1</t>
  </si>
  <si>
    <t>spriteset_mu_Wagon_Gen2_Open_Wagon_Coal_L1_S3</t>
  </si>
  <si>
    <t>spriteset_mu_Wagon_Gen2_Open_Wagon_Coal_L1_S2</t>
  </si>
  <si>
    <t>spriteset_mu_Wagon_Gen2_Open_Wagon_Coal_L1_S1</t>
  </si>
  <si>
    <t>spriteset_mu_Wagon_Gen2_Open_Wagon_purchase</t>
  </si>
  <si>
    <t>switch_mu_Wagon_Gen2_Hopper_cargo_selection</t>
  </si>
  <si>
    <t>switch_mu_Wagon_Gen2_Hopper_Gray_livery</t>
  </si>
  <si>
    <t>switch_mu_Wagon_Gen2_Hopper_Sand_livery</t>
  </si>
  <si>
    <t>switch_mu_Wagon_Gen2_Hopper_Ore_livery</t>
  </si>
  <si>
    <t>switch_mu_Wagon_Gen2_Hopper_Coal_livery</t>
  </si>
  <si>
    <t>spriteset_mu_Wagon_Gen2_Hopper_Gray_L4_S3</t>
  </si>
  <si>
    <t>spriteset_mu_Wagon_Gen2_Hopper_Gray_L4_S2</t>
  </si>
  <si>
    <t>spriteset_mu_Wagon_Gen2_Hopper_Gray_L4_S1</t>
  </si>
  <si>
    <t>spriteset_mu_Wagon_Gen2_Hopper_Gray_L3_S3</t>
  </si>
  <si>
    <t>spriteset_mu_Wagon_Gen2_Hopper_Gray_L3_S2</t>
  </si>
  <si>
    <t>spriteset_mu_Wagon_Gen2_Hopper_Gray_L3_S1</t>
  </si>
  <si>
    <t>spriteset_mu_Wagon_Gen2_Hopper_Gray_L2_S3</t>
  </si>
  <si>
    <t>spriteset_mu_Wagon_Gen2_Hopper_Gray_L2_S2</t>
  </si>
  <si>
    <t>spriteset_mu_Wagon_Gen2_Hopper_Gray_L2_S1</t>
  </si>
  <si>
    <t>spriteset_mu_Wagon_Gen2_Hopper_Gray_L1_S3</t>
  </si>
  <si>
    <t>spriteset_mu_Wagon_Gen2_Hopper_Gray_L1_S2</t>
  </si>
  <si>
    <t>spriteset_mu_Wagon_Gen2_Hopper_Gray_L1_S1</t>
  </si>
  <si>
    <t>spriteset_mu_Wagon_Gen2_Hopper_Sand_L4_S3</t>
  </si>
  <si>
    <t>spriteset_mu_Wagon_Gen2_Hopper_Sand_L4_S2</t>
  </si>
  <si>
    <t>spriteset_mu_Wagon_Gen2_Hopper_Sand_L4_S1</t>
  </si>
  <si>
    <t>spriteset_mu_Wagon_Gen2_Hopper_Sand_L3_S3</t>
  </si>
  <si>
    <t>spriteset_mu_Wagon_Gen2_Hopper_Sand_L3_S2</t>
  </si>
  <si>
    <t>spriteset_mu_Wagon_Gen2_Hopper_Sand_L3_S1</t>
  </si>
  <si>
    <t>spriteset_mu_Wagon_Gen2_Hopper_Sand_L2_S3</t>
  </si>
  <si>
    <t>spriteset_mu_Wagon_Gen2_Hopper_Sand_L2_S2</t>
  </si>
  <si>
    <t>spriteset_mu_Wagon_Gen2_Hopper_Sand_L2_S1</t>
  </si>
  <si>
    <t>spriteset_mu_Wagon_Gen2_Hopper_Sand_L1_S3</t>
  </si>
  <si>
    <t>spriteset_mu_Wagon_Gen2_Hopper_Sand_L1_S2</t>
  </si>
  <si>
    <t>spriteset_mu_Wagon_Gen2_Hopper_Sand_L1_S1</t>
  </si>
  <si>
    <t>spriteset_mu_Wagon_Gen2_Hopper_Ore_L4_S3</t>
  </si>
  <si>
    <t>spriteset_mu_Wagon_Gen2_Hopper_Ore_L4_S2</t>
  </si>
  <si>
    <t>spriteset_mu_Wagon_Gen2_Hopper_Ore_L4_S1</t>
  </si>
  <si>
    <t>spriteset_mu_Wagon_Gen2_Hopper_Ore_L3_S3</t>
  </si>
  <si>
    <t>spriteset_mu_Wagon_Gen2_Hopper_Ore_L3_S2</t>
  </si>
  <si>
    <t>spriteset_mu_Wagon_Gen2_Hopper_Ore_L3_S1</t>
  </si>
  <si>
    <t>spriteset_mu_Wagon_Gen2_Hopper_Ore_L2_S3</t>
  </si>
  <si>
    <t>spriteset_mu_Wagon_Gen2_Hopper_Ore_L2_S2</t>
  </si>
  <si>
    <t>spriteset_mu_Wagon_Gen2_Hopper_Ore_L2_S1</t>
  </si>
  <si>
    <t>spriteset_mu_Wagon_Gen2_Hopper_Ore_L1_S3</t>
  </si>
  <si>
    <t>spriteset_mu_Wagon_Gen2_Hopper_Ore_L1_S2</t>
  </si>
  <si>
    <t>spriteset_mu_Wagon_Gen2_Hopper_Ore_L1_S1</t>
  </si>
  <si>
    <t>spriteset_mu_Wagon_Gen2_Hopper_Coal_L4_S3</t>
  </si>
  <si>
    <t>spriteset_mu_Wagon_Gen2_Hopper_Coal_L4_S2</t>
  </si>
  <si>
    <t>spriteset_mu_Wagon_Gen2_Hopper_Coal_L4_S1</t>
  </si>
  <si>
    <t>spriteset_mu_Wagon_Gen2_Hopper_Coal_L3_S3</t>
  </si>
  <si>
    <t>spriteset_mu_Wagon_Gen2_Hopper_Coal_L3_S2</t>
  </si>
  <si>
    <t>spriteset_mu_Wagon_Gen2_Hopper_Coal_L3_S1</t>
  </si>
  <si>
    <t>spriteset_mu_Wagon_Gen2_Hopper_Coal_L2_S3</t>
  </si>
  <si>
    <t>spriteset_mu_Wagon_Gen2_Hopper_Coal_L2_S2</t>
  </si>
  <si>
    <t>spriteset_mu_Wagon_Gen2_Hopper_Coal_L2_S1</t>
  </si>
  <si>
    <t>spriteset_mu_Wagon_Gen2_Hopper_Coal_L1_S3</t>
  </si>
  <si>
    <t>spriteset_mu_Wagon_Gen2_Hopper_Coal_L1_S2</t>
  </si>
  <si>
    <t>spriteset_mu_Wagon_Gen2_Hopper_Coal_L1_S1</t>
  </si>
  <si>
    <t>spriteset_mu_Wagon_Gen2_Hopper_purchase</t>
  </si>
  <si>
    <t>switch_mu_Wagon_Gen2_Flat_Wagon_cargo_selection</t>
  </si>
  <si>
    <t>switch_mu_Wagon_Gen2_Flat_Wagon_Building_Materials_livery</t>
  </si>
  <si>
    <t>switch_mu_Wagon_Gen2_Flat_Wagon_Goods_livery</t>
  </si>
  <si>
    <t>switch_mu_Wagon_Gen2_Flat_Wagon_YETI_livery</t>
  </si>
  <si>
    <t>switch_mu_Wagon_Gen2_Flat_Wagon_Machinery_livery</t>
  </si>
  <si>
    <t>switch_mu_Wagon_Gen2_Flat_Wagon_Wood_livery</t>
  </si>
  <si>
    <t>switch_mu_Wagon_Gen2_Flat_Wagon_Steel_livery</t>
  </si>
  <si>
    <t>switch_mu_Wagon_Gen2_Flat_Wagon_Planks_livery</t>
  </si>
  <si>
    <t>switch_mu_Wagon_Gen2_Flat_Wagon_Crates_livery</t>
  </si>
  <si>
    <t>spriteset_mu_Wagon_Gen2_Flat_Wagon_YETI_L4_S3</t>
  </si>
  <si>
    <t>spriteset_mu_Wagon_Gen2_Flat_Wagon_YETI_L4_S2</t>
  </si>
  <si>
    <t>spriteset_mu_Wagon_Gen2_Flat_Wagon_YETI_L4_S1</t>
  </si>
  <si>
    <t>spriteset_mu_Wagon_Gen2_Flat_Wagon_YETI_L3_S3</t>
  </si>
  <si>
    <t>spriteset_mu_Wagon_Gen2_Flat_Wagon_YETI_L3_S2</t>
  </si>
  <si>
    <t>spriteset_mu_Wagon_Gen2_Flat_Wagon_YETI_L3_S1</t>
  </si>
  <si>
    <t>spriteset_mu_Wagon_Gen2_Flat_Wagon_YETI_L2_S3</t>
  </si>
  <si>
    <t>spriteset_mu_Wagon_Gen2_Flat_Wagon_YETI_L2_S2</t>
  </si>
  <si>
    <t>spriteset_mu_Wagon_Gen2_Flat_Wagon_YETI_L2_S1</t>
  </si>
  <si>
    <t>spriteset_mu_Wagon_Gen2_Flat_Wagon_YETI_L1_S3</t>
  </si>
  <si>
    <t>spriteset_mu_Wagon_Gen2_Flat_Wagon_YETI_L1_S2</t>
  </si>
  <si>
    <t>spriteset_mu_Wagon_Gen2_Flat_Wagon_YETI_L1_S1</t>
  </si>
  <si>
    <t>spriteset_mu_Wagon_Gen2_Flat_Wagon_Machinery_L4_S3</t>
  </si>
  <si>
    <t>spriteset_mu_Wagon_Gen2_Flat_Wagon_Machinery_L4_S2</t>
  </si>
  <si>
    <t>spriteset_mu_Wagon_Gen2_Flat_Wagon_Machinery_L4_S1</t>
  </si>
  <si>
    <t>spriteset_mu_Wagon_Gen2_Flat_Wagon_Machinery_L3_S3</t>
  </si>
  <si>
    <t>spriteset_mu_Wagon_Gen2_Flat_Wagon_Machinery_L3_S2</t>
  </si>
  <si>
    <t>spriteset_mu_Wagon_Gen2_Flat_Wagon_Machinery_L3_S1</t>
  </si>
  <si>
    <t>spriteset_mu_Wagon_Gen2_Flat_Wagon_Machinery_L2_S3</t>
  </si>
  <si>
    <t>spriteset_mu_Wagon_Gen2_Flat_Wagon_Machinery_L2_S2</t>
  </si>
  <si>
    <t>spriteset_mu_Wagon_Gen2_Flat_Wagon_Machinery_L2_S1</t>
  </si>
  <si>
    <t>spriteset_mu_Wagon_Gen2_Flat_Wagon_Machinery_L1_S3</t>
  </si>
  <si>
    <t>spriteset_mu_Wagon_Gen2_Flat_Wagon_Machinery_L1_S2</t>
  </si>
  <si>
    <t>spriteset_mu_Wagon_Gen2_Flat_Wagon_Machinery_L1_S1</t>
  </si>
  <si>
    <t>spriteset_mu_Wagon_Gen2_Flat_Wagon_Wood_L4_S3</t>
  </si>
  <si>
    <t>spriteset_mu_Wagon_Gen2_Flat_Wagon_Wood_L4_S2</t>
  </si>
  <si>
    <t>spriteset_mu_Wagon_Gen2_Flat_Wagon_Wood_L4_S1</t>
  </si>
  <si>
    <t>spriteset_mu_Wagon_Gen2_Flat_Wagon_Wood_L3_S3</t>
  </si>
  <si>
    <t>spriteset_mu_Wagon_Gen2_Flat_Wagon_Wood_L3_S2</t>
  </si>
  <si>
    <t>spriteset_mu_Wagon_Gen2_Flat_Wagon_Wood_L3_S1</t>
  </si>
  <si>
    <t>spriteset_mu_Wagon_Gen2_Flat_Wagon_Wood_L2_S3</t>
  </si>
  <si>
    <t>spriteset_mu_Wagon_Gen2_Flat_Wagon_Wood_L2_S2</t>
  </si>
  <si>
    <t>spriteset_mu_Wagon_Gen2_Flat_Wagon_Wood_L2_S1</t>
  </si>
  <si>
    <t>spriteset_mu_Wagon_Gen2_Flat_Wagon_Wood_L1_S3</t>
  </si>
  <si>
    <t>spriteset_mu_Wagon_Gen2_Flat_Wagon_Wood_L1_S2</t>
  </si>
  <si>
    <t>spriteset_mu_Wagon_Gen2_Flat_Wagon_Wood_L1_S1</t>
  </si>
  <si>
    <t>spriteset_mu_Wagon_Gen2_Flat_Wagon_Steel_L4_S3</t>
  </si>
  <si>
    <t>spriteset_mu_Wagon_Gen2_Flat_Wagon_Steel_L4_S2</t>
  </si>
  <si>
    <t>spriteset_mu_Wagon_Gen2_Flat_Wagon_Steel_L4_S1</t>
  </si>
  <si>
    <t>spriteset_mu_Wagon_Gen2_Flat_Wagon_Steel_L3_S3</t>
  </si>
  <si>
    <t>spriteset_mu_Wagon_Gen2_Flat_Wagon_Steel_L3_S2</t>
  </si>
  <si>
    <t>spriteset_mu_Wagon_Gen2_Flat_Wagon_Steel_L3_S1</t>
  </si>
  <si>
    <t>spriteset_mu_Wagon_Gen2_Flat_Wagon_Steel_L2_S3</t>
  </si>
  <si>
    <t>spriteset_mu_Wagon_Gen2_Flat_Wagon_Steel_L2_S2</t>
  </si>
  <si>
    <t>spriteset_mu_Wagon_Gen2_Flat_Wagon_Steel_L2_S1</t>
  </si>
  <si>
    <t>spriteset_mu_Wagon_Gen2_Flat_Wagon_Steel_L1_S3</t>
  </si>
  <si>
    <t>spriteset_mu_Wagon_Gen2_Flat_Wagon_Steel_L1_S2</t>
  </si>
  <si>
    <t>spriteset_mu_Wagon_Gen2_Flat_Wagon_Steel_L1_S1</t>
  </si>
  <si>
    <t>spriteset_mu_Wagon_Gen2_Flat_Wagon_Planks_L4_S3</t>
  </si>
  <si>
    <t>spriteset_mu_Wagon_Gen2_Flat_Wagon_Planks_L4_S2</t>
  </si>
  <si>
    <t>spriteset_mu_Wagon_Gen2_Flat_Wagon_Planks_L4_S1</t>
  </si>
  <si>
    <t>spriteset_mu_Wagon_Gen2_Flat_Wagon_Planks_L3_S3</t>
  </si>
  <si>
    <t>spriteset_mu_Wagon_Gen2_Flat_Wagon_Planks_L3_S2</t>
  </si>
  <si>
    <t>spriteset_mu_Wagon_Gen2_Flat_Wagon_Planks_L3_S1</t>
  </si>
  <si>
    <t>spriteset_mu_Wagon_Gen2_Flat_Wagon_Planks_L2_S3</t>
  </si>
  <si>
    <t>spriteset_mu_Wagon_Gen2_Flat_Wagon_Planks_L2_S2</t>
  </si>
  <si>
    <t>spriteset_mu_Wagon_Gen2_Flat_Wagon_Planks_L2_S1</t>
  </si>
  <si>
    <t>spriteset_mu_Wagon_Gen2_Flat_Wagon_Planks_L1_S3</t>
  </si>
  <si>
    <t>spriteset_mu_Wagon_Gen2_Flat_Wagon_Planks_L1_S2</t>
  </si>
  <si>
    <t>spriteset_mu_Wagon_Gen2_Flat_Wagon_Planks_L1_S1</t>
  </si>
  <si>
    <t>spriteset_mu_Wagon_Gen2_Flat_Wagon_Crates_L4_S3</t>
  </si>
  <si>
    <t>spriteset_mu_Wagon_Gen2_Flat_Wagon_Crates_L4_S2</t>
  </si>
  <si>
    <t>spriteset_mu_Wagon_Gen2_Flat_Wagon_Crates_L4_S1</t>
  </si>
  <si>
    <t>spriteset_mu_Wagon_Gen2_Flat_Wagon_Crates_L3_S3</t>
  </si>
  <si>
    <t>spriteset_mu_Wagon_Gen2_Flat_Wagon_Crates_L3_S2</t>
  </si>
  <si>
    <t>spriteset_mu_Wagon_Gen2_Flat_Wagon_Crates_L3_S1</t>
  </si>
  <si>
    <t>spriteset_mu_Wagon_Gen2_Flat_Wagon_Crates_L2_S3</t>
  </si>
  <si>
    <t>spriteset_mu_Wagon_Gen2_Flat_Wagon_Crates_L2_S2</t>
  </si>
  <si>
    <t>spriteset_mu_Wagon_Gen2_Flat_Wagon_Crates_L2_S1</t>
  </si>
  <si>
    <t>spriteset_mu_Wagon_Gen2_Flat_Wagon_Crates_L1_S3</t>
  </si>
  <si>
    <t>spriteset_mu_Wagon_Gen2_Flat_Wagon_Crates_L1_S2</t>
  </si>
  <si>
    <t>spriteset_mu_Wagon_Gen2_Flat_Wagon_Crates_L1_S1</t>
  </si>
  <si>
    <t>spriteset_mu_Wagon_Gen2_Flat_Wagon_purchase</t>
  </si>
  <si>
    <t>switch_mu_Wagon_Gen2_Boxcar_Type2_cargo_selection</t>
  </si>
  <si>
    <t>switch_mu_Wagon_Gen2_Boxcar_Type2_Goods_livery</t>
  </si>
  <si>
    <t>switch_mu_Wagon_Gen2_Boxcar_Type2_Standard_livery</t>
  </si>
  <si>
    <t>switch_mu_Wagon_Gen2_Boxcar_Type2_Reefer_livery</t>
  </si>
  <si>
    <t>switch_mu_Wagon_Gen2_Boxcar_Type2_Livestock_livery</t>
  </si>
  <si>
    <t>spriteset_mu_Wagon_Gen2_Boxcar_Type2_Standard_L4_S3</t>
  </si>
  <si>
    <t>spriteset_mu_Wagon_Gen2_Boxcar_Type2_Standard_L4_S2</t>
  </si>
  <si>
    <t>spriteset_mu_Wagon_Gen2_Boxcar_Type2_Standard_L4_S1</t>
  </si>
  <si>
    <t>spriteset_mu_Wagon_Gen2_Boxcar_Type2_Standard_L3_S3</t>
  </si>
  <si>
    <t>spriteset_mu_Wagon_Gen2_Boxcar_Type2_Standard_L3_S2</t>
  </si>
  <si>
    <t>spriteset_mu_Wagon_Gen2_Boxcar_Type2_Standard_L3_S1</t>
  </si>
  <si>
    <t>spriteset_mu_Wagon_Gen2_Boxcar_Type2_Standard_L2_S3</t>
  </si>
  <si>
    <t>spriteset_mu_Wagon_Gen2_Boxcar_Type2_Standard_L2_S2</t>
  </si>
  <si>
    <t>spriteset_mu_Wagon_Gen2_Boxcar_Type2_Standard_L2_S1</t>
  </si>
  <si>
    <t>spriteset_mu_Wagon_Gen2_Boxcar_Type2_Standard_L1_S3</t>
  </si>
  <si>
    <t>spriteset_mu_Wagon_Gen2_Boxcar_Type2_Standard_L1_S2</t>
  </si>
  <si>
    <t>spriteset_mu_Wagon_Gen2_Boxcar_Type2_Standard_L1_S1</t>
  </si>
  <si>
    <t>spriteset_mu_Wagon_Gen2_Boxcar_Type2_Reefer_L4_S3</t>
  </si>
  <si>
    <t>spriteset_mu_Wagon_Gen2_Boxcar_Type2_Reefer_L4_S2</t>
  </si>
  <si>
    <t>spriteset_mu_Wagon_Gen2_Boxcar_Type2_Reefer_L4_S1</t>
  </si>
  <si>
    <t>spriteset_mu_Wagon_Gen2_Boxcar_Type2_Reefer_L3_S3</t>
  </si>
  <si>
    <t>spriteset_mu_Wagon_Gen2_Boxcar_Type2_Reefer_L3_S2</t>
  </si>
  <si>
    <t>spriteset_mu_Wagon_Gen2_Boxcar_Type2_Reefer_L3_S1</t>
  </si>
  <si>
    <t>spriteset_mu_Wagon_Gen2_Boxcar_Type2_Reefer_L2_S3</t>
  </si>
  <si>
    <t>spriteset_mu_Wagon_Gen2_Boxcar_Type2_Reefer_L2_S2</t>
  </si>
  <si>
    <t>spriteset_mu_Wagon_Gen2_Boxcar_Type2_Reefer_L2_S1</t>
  </si>
  <si>
    <t>spriteset_mu_Wagon_Gen2_Boxcar_Type2_Reefer_L1_S3</t>
  </si>
  <si>
    <t>spriteset_mu_Wagon_Gen2_Boxcar_Type2_Reefer_L1_S2</t>
  </si>
  <si>
    <t>spriteset_mu_Wagon_Gen2_Boxcar_Type2_Reefer_L1_S1</t>
  </si>
  <si>
    <t>spriteset_mu_Wagon_Gen2_Boxcar_Type2_Livestock_L4_S3</t>
  </si>
  <si>
    <t>spriteset_mu_Wagon_Gen2_Boxcar_Type2_Livestock_L4_S2</t>
  </si>
  <si>
    <t>spriteset_mu_Wagon_Gen2_Boxcar_Type2_Livestock_L4_S1</t>
  </si>
  <si>
    <t>spriteset_mu_Wagon_Gen2_Boxcar_Type2_Livestock_L3_S3</t>
  </si>
  <si>
    <t>spriteset_mu_Wagon_Gen2_Boxcar_Type2_Livestock_L3_S2</t>
  </si>
  <si>
    <t>spriteset_mu_Wagon_Gen2_Boxcar_Type2_Livestock_L3_S1</t>
  </si>
  <si>
    <t>spriteset_mu_Wagon_Gen2_Boxcar_Type2_Livestock_L2_S3</t>
  </si>
  <si>
    <t>spriteset_mu_Wagon_Gen2_Boxcar_Type2_Livestock_L2_S2</t>
  </si>
  <si>
    <t>spriteset_mu_Wagon_Gen2_Boxcar_Type2_Livestock_L2_S1</t>
  </si>
  <si>
    <t>spriteset_mu_Wagon_Gen2_Boxcar_Type2_Livestock_L1_S3</t>
  </si>
  <si>
    <t>spriteset_mu_Wagon_Gen2_Boxcar_Type2_Livestock_L1_S2</t>
  </si>
  <si>
    <t>spriteset_mu_Wagon_Gen2_Boxcar_Type2_Livestock_L1_S1</t>
  </si>
  <si>
    <t>spriteset_mu_Wagon_Gen2_Boxcar_Type2_purchase</t>
  </si>
  <si>
    <t>switch_mu_Wagon_Gen2_Boxcar_Type1_cargo_selection</t>
  </si>
  <si>
    <t>switch_mu_Wagon_Gen2_Boxcar_Type1_Goods_livery</t>
  </si>
  <si>
    <t>switch_mu_Wagon_Gen2_Boxcar_Type1_Standard_livery</t>
  </si>
  <si>
    <t>switch_mu_Wagon_Gen2_Boxcar_Type1_Reefer_livery</t>
  </si>
  <si>
    <t>switch_mu_Wagon_Gen2_Boxcar_Type1_Livestock_livery</t>
  </si>
  <si>
    <t>switch_mu_Wagon_Gen2_Boxcar_Type1_Armoured_livery</t>
  </si>
  <si>
    <t>spriteset_mu_Wagon_Gen2_Boxcar_Type1_Standard_L4_S3</t>
  </si>
  <si>
    <t>spriteset_mu_Wagon_Gen2_Boxcar_Type1_Standard_L4_S2</t>
  </si>
  <si>
    <t>spriteset_mu_Wagon_Gen2_Boxcar_Type1_Standard_L4_S1</t>
  </si>
  <si>
    <t>spriteset_mu_Wagon_Gen2_Boxcar_Type1_Standard_L3_S3</t>
  </si>
  <si>
    <t>spriteset_mu_Wagon_Gen2_Boxcar_Type1_Standard_L3_S2</t>
  </si>
  <si>
    <t>spriteset_mu_Wagon_Gen2_Boxcar_Type1_Standard_L3_S1</t>
  </si>
  <si>
    <t>spriteset_mu_Wagon_Gen2_Boxcar_Type1_Standard_L2_S3</t>
  </si>
  <si>
    <t>spriteset_mu_Wagon_Gen2_Boxcar_Type1_Standard_L2_S2</t>
  </si>
  <si>
    <t>spriteset_mu_Wagon_Gen2_Boxcar_Type1_Standard_L2_S1</t>
  </si>
  <si>
    <t>spriteset_mu_Wagon_Gen2_Boxcar_Type1_Standard_L1_S3</t>
  </si>
  <si>
    <t>spriteset_mu_Wagon_Gen2_Boxcar_Type1_Standard_L1_S2</t>
  </si>
  <si>
    <t>spriteset_mu_Wagon_Gen2_Boxcar_Type1_Standard_L1_S1</t>
  </si>
  <si>
    <t>spriteset_mu_Wagon_Gen2_Boxcar_Type1_Reefer_L4_S3</t>
  </si>
  <si>
    <t>spriteset_mu_Wagon_Gen2_Boxcar_Type1_Reefer_L4_S2</t>
  </si>
  <si>
    <t>spriteset_mu_Wagon_Gen2_Boxcar_Type1_Reefer_L4_S1</t>
  </si>
  <si>
    <t>spriteset_mu_Wagon_Gen2_Boxcar_Type1_Reefer_L3_S3</t>
  </si>
  <si>
    <t>spriteset_mu_Wagon_Gen2_Boxcar_Type1_Reefer_L3_S2</t>
  </si>
  <si>
    <t>spriteset_mu_Wagon_Gen2_Boxcar_Type1_Reefer_L3_S1</t>
  </si>
  <si>
    <t>spriteset_mu_Wagon_Gen2_Boxcar_Type1_Reefer_L2_S3</t>
  </si>
  <si>
    <t>spriteset_mu_Wagon_Gen2_Boxcar_Type1_Reefer_L2_S2</t>
  </si>
  <si>
    <t>spriteset_mu_Wagon_Gen2_Boxcar_Type1_Reefer_L2_S1</t>
  </si>
  <si>
    <t>spriteset_mu_Wagon_Gen2_Boxcar_Type1_Reefer_L1_S3</t>
  </si>
  <si>
    <t>spriteset_mu_Wagon_Gen2_Boxcar_Type1_Reefer_L1_S2</t>
  </si>
  <si>
    <t>spriteset_mu_Wagon_Gen2_Boxcar_Type1_Reefer_L1_S1</t>
  </si>
  <si>
    <t>spriteset_mu_Wagon_Gen2_Boxcar_Type1_Livestock_L4_S3</t>
  </si>
  <si>
    <t>spriteset_mu_Wagon_Gen2_Boxcar_Type1_Livestock_L4_S2</t>
  </si>
  <si>
    <t>spriteset_mu_Wagon_Gen2_Boxcar_Type1_Livestock_L4_S1</t>
  </si>
  <si>
    <t>spriteset_mu_Wagon_Gen2_Boxcar_Type1_Livestock_L3_S3</t>
  </si>
  <si>
    <t>spriteset_mu_Wagon_Gen2_Boxcar_Type1_Livestock_L3_S2</t>
  </si>
  <si>
    <t>spriteset_mu_Wagon_Gen2_Boxcar_Type1_Livestock_L3_S1</t>
  </si>
  <si>
    <t>spriteset_mu_Wagon_Gen2_Boxcar_Type1_Livestock_L2_S3</t>
  </si>
  <si>
    <t>spriteset_mu_Wagon_Gen2_Boxcar_Type1_Livestock_L2_S2</t>
  </si>
  <si>
    <t>spriteset_mu_Wagon_Gen2_Boxcar_Type1_Livestock_L2_S1</t>
  </si>
  <si>
    <t>spriteset_mu_Wagon_Gen2_Boxcar_Type1_Livestock_L1_S3</t>
  </si>
  <si>
    <t>spriteset_mu_Wagon_Gen2_Boxcar_Type1_Livestock_L1_S2</t>
  </si>
  <si>
    <t>spriteset_mu_Wagon_Gen2_Boxcar_Type1_Livestock_L1_S1</t>
  </si>
  <si>
    <t>spriteset_mu_Wagon_Gen2_Boxcar_Type1_Armoured_L4_S3</t>
  </si>
  <si>
    <t>spriteset_mu_Wagon_Gen2_Boxcar_Type1_Armoured_L4_S2</t>
  </si>
  <si>
    <t>spriteset_mu_Wagon_Gen2_Boxcar_Type1_Armoured_L4_S1</t>
  </si>
  <si>
    <t>spriteset_mu_Wagon_Gen2_Boxcar_Type1_Armoured_L3_S3</t>
  </si>
  <si>
    <t>spriteset_mu_Wagon_Gen2_Boxcar_Type1_Armoured_L3_S2</t>
  </si>
  <si>
    <t>spriteset_mu_Wagon_Gen2_Boxcar_Type1_Armoured_L3_S1</t>
  </si>
  <si>
    <t>spriteset_mu_Wagon_Gen2_Boxcar_Type1_Armoured_L2_S3</t>
  </si>
  <si>
    <t>spriteset_mu_Wagon_Gen2_Boxcar_Type1_Armoured_L2_S2</t>
  </si>
  <si>
    <t>spriteset_mu_Wagon_Gen2_Boxcar_Type1_Armoured_L2_S1</t>
  </si>
  <si>
    <t>spriteset_mu_Wagon_Gen2_Boxcar_Type1_Armoured_L1_S3</t>
  </si>
  <si>
    <t>spriteset_mu_Wagon_Gen2_Boxcar_Type1_Armoured_L1_S2</t>
  </si>
  <si>
    <t>spriteset_mu_Wagon_Gen2_Boxcar_Type1_Armoured_L1_S1</t>
  </si>
  <si>
    <t>spriteset_mu_Wagon_Gen2_Boxcar_Type1_purchase</t>
  </si>
  <si>
    <t>switch_mu_Wagon_Gen1_Tanker_cargo_selection</t>
  </si>
  <si>
    <t>switch_mu_Wagon_Gen1_Tanker_Oil_livery_selection</t>
  </si>
  <si>
    <t>switch_mu_Wagon_Gen1_Tanker_Standard_livery</t>
  </si>
  <si>
    <t>switch_mu_Wagon_Gen1_Tanker_Oil_livery</t>
  </si>
  <si>
    <t>spriteset_mu_Wagon_Gen1_Tanker_Standard_L4_S3</t>
  </si>
  <si>
    <t>spriteset_mu_Wagon_Gen1_Tanker_Standard_L4_S2</t>
  </si>
  <si>
    <t>spriteset_mu_Wagon_Gen1_Tanker_Standard_L4_S1</t>
  </si>
  <si>
    <t>spriteset_mu_Wagon_Gen1_Tanker_Standard_L3_S3</t>
  </si>
  <si>
    <t>spriteset_mu_Wagon_Gen1_Tanker_Standard_L3_S2</t>
  </si>
  <si>
    <t>spriteset_mu_Wagon_Gen1_Tanker_Standard_L3_S1</t>
  </si>
  <si>
    <t>spriteset_mu_Wagon_Gen1_Tanker_Standard_L2_S3</t>
  </si>
  <si>
    <t>spriteset_mu_Wagon_Gen1_Tanker_Standard_L2_S2</t>
  </si>
  <si>
    <t>spriteset_mu_Wagon_Gen1_Tanker_Standard_L2_S1</t>
  </si>
  <si>
    <t>spriteset_mu_Wagon_Gen1_Tanker_Standard_L1_S3</t>
  </si>
  <si>
    <t>spriteset_mu_Wagon_Gen1_Tanker_Standard_L1_S2</t>
  </si>
  <si>
    <t>spriteset_mu_Wagon_Gen1_Tanker_Standard_L1_S1</t>
  </si>
  <si>
    <t>spriteset_mu_Wagon_Gen1_Tanker_Oil_L4_S3</t>
  </si>
  <si>
    <t>spriteset_mu_Wagon_Gen1_Tanker_Oil_L4_S2</t>
  </si>
  <si>
    <t>spriteset_mu_Wagon_Gen1_Tanker_Oil_L4_S1</t>
  </si>
  <si>
    <t>spriteset_mu_Wagon_Gen1_Tanker_Oil_L3_S3</t>
  </si>
  <si>
    <t>spriteset_mu_Wagon_Gen1_Tanker_Oil_L3_S2</t>
  </si>
  <si>
    <t>spriteset_mu_Wagon_Gen1_Tanker_Oil_L3_S1</t>
  </si>
  <si>
    <t>spriteset_mu_Wagon_Gen1_Tanker_Oil_L2_S3</t>
  </si>
  <si>
    <t>spriteset_mu_Wagon_Gen1_Tanker_Oil_L2_S2</t>
  </si>
  <si>
    <t>spriteset_mu_Wagon_Gen1_Tanker_Oil_L2_S1</t>
  </si>
  <si>
    <t>spriteset_mu_Wagon_Gen1_Tanker_Oil_L1_S3</t>
  </si>
  <si>
    <t>spriteset_mu_Wagon_Gen1_Tanker_Oil_L1_S2</t>
  </si>
  <si>
    <t>spriteset_mu_Wagon_Gen1_Tanker_Oil_L1_S1</t>
  </si>
  <si>
    <t>spriteset_mu_Wagon_Gen1_Tanker_purchase</t>
  </si>
  <si>
    <t>switch_mu_Wagon_Gen1_Open_Wagon_cargo_selection</t>
  </si>
  <si>
    <t>switch_mu_Wagon_Gen1_Open_Wagon_Fruit_livery</t>
  </si>
  <si>
    <t>switch_mu_Wagon_Gen1_Open_Wagon_Sand_livery</t>
  </si>
  <si>
    <t>switch_mu_Wagon_Gen1_Open_Wagon_Gray_livery</t>
  </si>
  <si>
    <t>switch_mu_Wagon_Gen1_Open_Wagon_Wood_livery</t>
  </si>
  <si>
    <t>switch_mu_Wagon_Gen1_Open_Wagon_Ore_livery</t>
  </si>
  <si>
    <t>switch_mu_Wagon_Gen1_Open_Wagon_Grain_livery</t>
  </si>
  <si>
    <t>switch_mu_Wagon_Gen1_Open_Wagon_Coal_livery</t>
  </si>
  <si>
    <t>spriteset_mu_Wagon_Gen1_Open_Wagon_Fruit_L4_S3</t>
  </si>
  <si>
    <t>spriteset_mu_Wagon_Gen1_Open_Wagon_Fruit_L4_S2</t>
  </si>
  <si>
    <t>spriteset_mu_Wagon_Gen1_Open_Wagon_Fruit_L4_S1</t>
  </si>
  <si>
    <t>spriteset_mu_Wagon_Gen1_Open_Wagon_Fruit_L3_S3</t>
  </si>
  <si>
    <t>spriteset_mu_Wagon_Gen1_Open_Wagon_Fruit_L3_S2</t>
  </si>
  <si>
    <t>spriteset_mu_Wagon_Gen1_Open_Wagon_Fruit_L3_S1</t>
  </si>
  <si>
    <t>spriteset_mu_Wagon_Gen1_Open_Wagon_Fruit_L2_S3</t>
  </si>
  <si>
    <t>spriteset_mu_Wagon_Gen1_Open_Wagon_Fruit_L2_S2</t>
  </si>
  <si>
    <t>spriteset_mu_Wagon_Gen1_Open_Wagon_Fruit_L2_S1</t>
  </si>
  <si>
    <t>spriteset_mu_Wagon_Gen1_Open_Wagon_Fruit_L1_S3</t>
  </si>
  <si>
    <t>spriteset_mu_Wagon_Gen1_Open_Wagon_Fruit_L1_S2</t>
  </si>
  <si>
    <t>spriteset_mu_Wagon_Gen1_Open_Wagon_Fruit_L1_S1</t>
  </si>
  <si>
    <t>spriteset_mu_Wagon_Gen1_Open_Wagon_Sand_L4_S3</t>
  </si>
  <si>
    <t>spriteset_mu_Wagon_Gen1_Open_Wagon_Sand_L4_S2</t>
  </si>
  <si>
    <t>spriteset_mu_Wagon_Gen1_Open_Wagon_Sand_L4_S1</t>
  </si>
  <si>
    <t>spriteset_mu_Wagon_Gen1_Open_Wagon_Sand_L3_S3</t>
  </si>
  <si>
    <t>spriteset_mu_Wagon_Gen1_Open_Wagon_Sand_L3_S2</t>
  </si>
  <si>
    <t>spriteset_mu_Wagon_Gen1_Open_Wagon_Sand_L3_S1</t>
  </si>
  <si>
    <t>spriteset_mu_Wagon_Gen1_Open_Wagon_Sand_L2_S3</t>
  </si>
  <si>
    <t>spriteset_mu_Wagon_Gen1_Open_Wagon_Sand_L2_S2</t>
  </si>
  <si>
    <t>spriteset_mu_Wagon_Gen1_Open_Wagon_Sand_L2_S1</t>
  </si>
  <si>
    <t>spriteset_mu_Wagon_Gen1_Open_Wagon_Sand_L1_S3</t>
  </si>
  <si>
    <t>spriteset_mu_Wagon_Gen1_Open_Wagon_Sand_L1_S2</t>
  </si>
  <si>
    <t>spriteset_mu_Wagon_Gen1_Open_Wagon_Sand_L1_S1</t>
  </si>
  <si>
    <t>spriteset_mu_Wagon_Gen1_Open_Wagon_Gray_L4_S3</t>
  </si>
  <si>
    <t>spriteset_mu_Wagon_Gen1_Open_Wagon_Gray_L4_S2</t>
  </si>
  <si>
    <t>spriteset_mu_Wagon_Gen1_Open_Wagon_Gray_L4_S1</t>
  </si>
  <si>
    <t>spriteset_mu_Wagon_Gen1_Open_Wagon_Gray_L3_S3</t>
  </si>
  <si>
    <t>spriteset_mu_Wagon_Gen1_Open_Wagon_Gray_L3_S2</t>
  </si>
  <si>
    <t>spriteset_mu_Wagon_Gen1_Open_Wagon_Gray_L3_S1</t>
  </si>
  <si>
    <t>spriteset_mu_Wagon_Gen1_Open_Wagon_Gray_L2_S3</t>
  </si>
  <si>
    <t>spriteset_mu_Wagon_Gen1_Open_Wagon_Gray_L2_S2</t>
  </si>
  <si>
    <t>spriteset_mu_Wagon_Gen1_Open_Wagon_Gray_L2_S1</t>
  </si>
  <si>
    <t>spriteset_mu_Wagon_Gen1_Open_Wagon_Gray_L1_S3</t>
  </si>
  <si>
    <t>spriteset_mu_Wagon_Gen1_Open_Wagon_Gray_L1_S2</t>
  </si>
  <si>
    <t>spriteset_mu_Wagon_Gen1_Open_Wagon_Gray_L1_S1</t>
  </si>
  <si>
    <t>spriteset_mu_Wagon_Gen1_Open_Wagon_Wood_L4_S3</t>
  </si>
  <si>
    <t>spriteset_mu_Wagon_Gen1_Open_Wagon_Wood_L4_S2</t>
  </si>
  <si>
    <t>spriteset_mu_Wagon_Gen1_Open_Wagon_Wood_L4_S1</t>
  </si>
  <si>
    <t>spriteset_mu_Wagon_Gen1_Open_Wagon_Wood_L3_S3</t>
  </si>
  <si>
    <t>spriteset_mu_Wagon_Gen1_Open_Wagon_Wood_L3_S2</t>
  </si>
  <si>
    <t>spriteset_mu_Wagon_Gen1_Open_Wagon_Wood_L3_S1</t>
  </si>
  <si>
    <t>spriteset_mu_Wagon_Gen1_Open_Wagon_Wood_L2_S3</t>
  </si>
  <si>
    <t>spriteset_mu_Wagon_Gen1_Open_Wagon_Wood_L2_S2</t>
  </si>
  <si>
    <t>spriteset_mu_Wagon_Gen1_Open_Wagon_Wood_L2_S1</t>
  </si>
  <si>
    <t>spriteset_mu_Wagon_Gen1_Open_Wagon_Wood_L1_S3</t>
  </si>
  <si>
    <t>spriteset_mu_Wagon_Gen1_Open_Wagon_Wood_L1_S2</t>
  </si>
  <si>
    <t>spriteset_mu_Wagon_Gen1_Open_Wagon_Wood_L1_S1</t>
  </si>
  <si>
    <t>spriteset_mu_Wagon_Gen1_Open_Wagon_Ore_L4_S3</t>
  </si>
  <si>
    <t>spriteset_mu_Wagon_Gen1_Open_Wagon_Ore_L4_S2</t>
  </si>
  <si>
    <t>spriteset_mu_Wagon_Gen1_Open_Wagon_Ore_L4_S1</t>
  </si>
  <si>
    <t>spriteset_mu_Wagon_Gen1_Open_Wagon_Ore_L3_S3</t>
  </si>
  <si>
    <t>spriteset_mu_Wagon_Gen1_Open_Wagon_Ore_L3_S2</t>
  </si>
  <si>
    <t>spriteset_mu_Wagon_Gen1_Open_Wagon_Ore_L3_S1</t>
  </si>
  <si>
    <t>spriteset_mu_Wagon_Gen1_Open_Wagon_Ore_L2_S3</t>
  </si>
  <si>
    <t>spriteset_mu_Wagon_Gen1_Open_Wagon_Ore_L2_S2</t>
  </si>
  <si>
    <t>spriteset_mu_Wagon_Gen1_Open_Wagon_Ore_L2_S1</t>
  </si>
  <si>
    <t>spriteset_mu_Wagon_Gen1_Open_Wagon_Ore_L1_S3</t>
  </si>
  <si>
    <t>spriteset_mu_Wagon_Gen1_Open_Wagon_Ore_L1_S2</t>
  </si>
  <si>
    <t>spriteset_mu_Wagon_Gen1_Open_Wagon_Ore_L1_S1</t>
  </si>
  <si>
    <t>spriteset_mu_Wagon_Gen1_Open_Wagon_Grain_L4_S4</t>
  </si>
  <si>
    <t>spriteset_mu_Wagon_Gen1_Open_Wagon_Grain_L4_S3</t>
  </si>
  <si>
    <t>spriteset_mu_Wagon_Gen1_Open_Wagon_Grain_L4_S2</t>
  </si>
  <si>
    <t>spriteset_mu_Wagon_Gen1_Open_Wagon_Grain_L4_S1</t>
  </si>
  <si>
    <t>spriteset_mu_Wagon_Gen1_Open_Wagon_Grain_L3_S4</t>
  </si>
  <si>
    <t>spriteset_mu_Wagon_Gen1_Open_Wagon_Grain_L3_S3</t>
  </si>
  <si>
    <t>spriteset_mu_Wagon_Gen1_Open_Wagon_Grain_L3_S2</t>
  </si>
  <si>
    <t>spriteset_mu_Wagon_Gen1_Open_Wagon_Grain_L3_S1</t>
  </si>
  <si>
    <t>spriteset_mu_Wagon_Gen1_Open_Wagon_Grain_L2_S4</t>
  </si>
  <si>
    <t>spriteset_mu_Wagon_Gen1_Open_Wagon_Grain_L2_S3</t>
  </si>
  <si>
    <t>spriteset_mu_Wagon_Gen1_Open_Wagon_Grain_L2_S2</t>
  </si>
  <si>
    <t>spriteset_mu_Wagon_Gen1_Open_Wagon_Grain_L2_S1</t>
  </si>
  <si>
    <t>spriteset_mu_Wagon_Gen1_Open_Wagon_Grain_L1_S4</t>
  </si>
  <si>
    <t>spriteset_mu_Wagon_Gen1_Open_Wagon_Grain_L1_S3</t>
  </si>
  <si>
    <t>spriteset_mu_Wagon_Gen1_Open_Wagon_Grain_L1_S2</t>
  </si>
  <si>
    <t>spriteset_mu_Wagon_Gen1_Open_Wagon_Grain_L1_S1</t>
  </si>
  <si>
    <t>spriteset_mu_Wagon_Gen1_Open_Wagon_Coal_L4_S3</t>
  </si>
  <si>
    <t>spriteset_mu_Wagon_Gen1_Open_Wagon_Coal_L4_S2</t>
  </si>
  <si>
    <t>spriteset_mu_Wagon_Gen1_Open_Wagon_Coal_L4_S1</t>
  </si>
  <si>
    <t>spriteset_mu_Wagon_Gen1_Open_Wagon_Coal_L3_S3</t>
  </si>
  <si>
    <t>spriteset_mu_Wagon_Gen1_Open_Wagon_Coal_L3_S2</t>
  </si>
  <si>
    <t>spriteset_mu_Wagon_Gen1_Open_Wagon_Coal_L3_S1</t>
  </si>
  <si>
    <t>spriteset_mu_Wagon_Gen1_Open_Wagon_Coal_L2_S3</t>
  </si>
  <si>
    <t>spriteset_mu_Wagon_Gen1_Open_Wagon_Coal_L2_S2</t>
  </si>
  <si>
    <t>spriteset_mu_Wagon_Gen1_Open_Wagon_Coal_L2_S1</t>
  </si>
  <si>
    <t>spriteset_mu_Wagon_Gen1_Open_Wagon_Coal_L1_S3</t>
  </si>
  <si>
    <t>spriteset_mu_Wagon_Gen1_Open_Wagon_Coal_L1_S2</t>
  </si>
  <si>
    <t>spriteset_mu_Wagon_Gen1_Open_Wagon_Coal_L1_S1</t>
  </si>
  <si>
    <t>spriteset_mu_Wagon_Gen1_Open_Wagon_purchase</t>
  </si>
  <si>
    <t>switch_mu_Wagon_Gen1_Flat_Wagon_cargo_selection</t>
  </si>
  <si>
    <t>switch_mu_Wagon_Gen1_Flat_Wagon_Building_Materials_livery</t>
  </si>
  <si>
    <t>switch_mu_Wagon_Gen1_Flat_Wagon_Goods_livery</t>
  </si>
  <si>
    <t>switch_mu_Wagon_Gen1_Flat_Wagon_YETI_livery</t>
  </si>
  <si>
    <t>switch_mu_Wagon_Gen1_Flat_Wagon_Machinery_livery</t>
  </si>
  <si>
    <t>switch_mu_Wagon_Gen1_Flat_Wagon_Wood_livery</t>
  </si>
  <si>
    <t>switch_mu_Wagon_Gen1_Flat_Wagon_Steel_livery</t>
  </si>
  <si>
    <t>switch_mu_Wagon_Gen1_Flat_Wagon_Planks_livery</t>
  </si>
  <si>
    <t>switch_mu_Wagon_Gen1_Flat_Wagon_Crates_livery</t>
  </si>
  <si>
    <t>spriteset_mu_Wagon_Gen1_Flat_Wagon_YETI_L4_S3</t>
  </si>
  <si>
    <t>spriteset_mu_Wagon_Gen1_Flat_Wagon_YETI_L4_S2</t>
  </si>
  <si>
    <t>spriteset_mu_Wagon_Gen1_Flat_Wagon_YETI_L4_S1</t>
  </si>
  <si>
    <t>spriteset_mu_Wagon_Gen1_Flat_Wagon_YETI_L3_S3</t>
  </si>
  <si>
    <t>spriteset_mu_Wagon_Gen1_Flat_Wagon_YETI_L3_S2</t>
  </si>
  <si>
    <t>spriteset_mu_Wagon_Gen1_Flat_Wagon_YETI_L3_S1</t>
  </si>
  <si>
    <t>spriteset_mu_Wagon_Gen1_Flat_Wagon_YETI_L2_S3</t>
  </si>
  <si>
    <t>spriteset_mu_Wagon_Gen1_Flat_Wagon_YETI_L2_S2</t>
  </si>
  <si>
    <t>spriteset_mu_Wagon_Gen1_Flat_Wagon_YETI_L2_S1</t>
  </si>
  <si>
    <t>spriteset_mu_Wagon_Gen1_Flat_Wagon_YETI_L1_S3</t>
  </si>
  <si>
    <t>spriteset_mu_Wagon_Gen1_Flat_Wagon_YETI_L1_S2</t>
  </si>
  <si>
    <t>spriteset_mu_Wagon_Gen1_Flat_Wagon_YETI_L1_S1</t>
  </si>
  <si>
    <t>spriteset_mu_Wagon_Gen1_Flat_Wagon_Machinery_L4_S3</t>
  </si>
  <si>
    <t>spriteset_mu_Wagon_Gen1_Flat_Wagon_Machinery_L4_S2</t>
  </si>
  <si>
    <t>spriteset_mu_Wagon_Gen1_Flat_Wagon_Machinery_L4_S1</t>
  </si>
  <si>
    <t>spriteset_mu_Wagon_Gen1_Flat_Wagon_Machinery_L3_S3</t>
  </si>
  <si>
    <t>spriteset_mu_Wagon_Gen1_Flat_Wagon_Machinery_L3_S2</t>
  </si>
  <si>
    <t>spriteset_mu_Wagon_Gen1_Flat_Wagon_Machinery_L3_S1</t>
  </si>
  <si>
    <t>spriteset_mu_Wagon_Gen1_Flat_Wagon_Machinery_L2_S3</t>
  </si>
  <si>
    <t>spriteset_mu_Wagon_Gen1_Flat_Wagon_Machinery_L2_S2</t>
  </si>
  <si>
    <t>spriteset_mu_Wagon_Gen1_Flat_Wagon_Machinery_L2_S1</t>
  </si>
  <si>
    <t>spriteset_mu_Wagon_Gen1_Flat_Wagon_Machinery_L1_S3</t>
  </si>
  <si>
    <t>spriteset_mu_Wagon_Gen1_Flat_Wagon_Machinery_L1_S2</t>
  </si>
  <si>
    <t>spriteset_mu_Wagon_Gen1_Flat_Wagon_Machinery_L1_S1</t>
  </si>
  <si>
    <t>spriteset_mu_Wagon_Gen1_Flat_Wagon_Wood_L4_S3</t>
  </si>
  <si>
    <t>spriteset_mu_Wagon_Gen1_Flat_Wagon_Wood_L4_S2</t>
  </si>
  <si>
    <t>spriteset_mu_Wagon_Gen1_Flat_Wagon_Wood_L4_S1</t>
  </si>
  <si>
    <t>spriteset_mu_Wagon_Gen1_Flat_Wagon_Wood_L3_S3</t>
  </si>
  <si>
    <t>spriteset_mu_Wagon_Gen1_Flat_Wagon_Wood_L3_S2</t>
  </si>
  <si>
    <t>spriteset_mu_Wagon_Gen1_Flat_Wagon_Wood_L3_S1</t>
  </si>
  <si>
    <t>spriteset_mu_Wagon_Gen1_Flat_Wagon_Wood_L2_S3</t>
  </si>
  <si>
    <t>spriteset_mu_Wagon_Gen1_Flat_Wagon_Wood_L2_S2</t>
  </si>
  <si>
    <t>spriteset_mu_Wagon_Gen1_Flat_Wagon_Wood_L2_S1</t>
  </si>
  <si>
    <t>spriteset_mu_Wagon_Gen1_Flat_Wagon_Wood_L1_S3</t>
  </si>
  <si>
    <t>spriteset_mu_Wagon_Gen1_Flat_Wagon_Wood_L1_S2</t>
  </si>
  <si>
    <t>spriteset_mu_Wagon_Gen1_Flat_Wagon_Wood_L1_S1</t>
  </si>
  <si>
    <t>spriteset_mu_Wagon_Gen1_Flat_Wagon_Steel_L4_S3</t>
  </si>
  <si>
    <t>spriteset_mu_Wagon_Gen1_Flat_Wagon_Steel_L4_S2</t>
  </si>
  <si>
    <t>spriteset_mu_Wagon_Gen1_Flat_Wagon_Steel_L4_S1</t>
  </si>
  <si>
    <t>spriteset_mu_Wagon_Gen1_Flat_Wagon_Steel_L3_S3</t>
  </si>
  <si>
    <t>spriteset_mu_Wagon_Gen1_Flat_Wagon_Steel_L3_S2</t>
  </si>
  <si>
    <t>spriteset_mu_Wagon_Gen1_Flat_Wagon_Steel_L3_S1</t>
  </si>
  <si>
    <t>spriteset_mu_Wagon_Gen1_Flat_Wagon_Steel_L2_S3</t>
  </si>
  <si>
    <t>spriteset_mu_Wagon_Gen1_Flat_Wagon_Steel_L2_S2</t>
  </si>
  <si>
    <t>spriteset_mu_Wagon_Gen1_Flat_Wagon_Steel_L2_S1</t>
  </si>
  <si>
    <t>spriteset_mu_Wagon_Gen1_Flat_Wagon_Steel_L1_S3</t>
  </si>
  <si>
    <t>spriteset_mu_Wagon_Gen1_Flat_Wagon_Steel_L1_S2</t>
  </si>
  <si>
    <t>spriteset_mu_Wagon_Gen1_Flat_Wagon_Steel_L1_S1</t>
  </si>
  <si>
    <t>spriteset_mu_Wagon_Gen1_Flat_Wagon_Planks_L4_S3</t>
  </si>
  <si>
    <t>spriteset_mu_Wagon_Gen1_Flat_Wagon_Planks_L4_S2</t>
  </si>
  <si>
    <t>spriteset_mu_Wagon_Gen1_Flat_Wagon_Planks_L4_S1</t>
  </si>
  <si>
    <t>spriteset_mu_Wagon_Gen1_Flat_Wagon_Planks_L3_S3</t>
  </si>
  <si>
    <t>spriteset_mu_Wagon_Gen1_Flat_Wagon_Planks_L3_S2</t>
  </si>
  <si>
    <t>spriteset_mu_Wagon_Gen1_Flat_Wagon_Planks_L3_S1</t>
  </si>
  <si>
    <t>spriteset_mu_Wagon_Gen1_Flat_Wagon_Planks_L2_S3</t>
  </si>
  <si>
    <t>spriteset_mu_Wagon_Gen1_Flat_Wagon_Planks_L2_S2</t>
  </si>
  <si>
    <t>spriteset_mu_Wagon_Gen1_Flat_Wagon_Planks_L2_S1</t>
  </si>
  <si>
    <t>spriteset_mu_Wagon_Gen1_Flat_Wagon_Planks_L1_S3</t>
  </si>
  <si>
    <t>spriteset_mu_Wagon_Gen1_Flat_Wagon_Planks_L1_S2</t>
  </si>
  <si>
    <t>spriteset_mu_Wagon_Gen1_Flat_Wagon_Planks_L1_S1</t>
  </si>
  <si>
    <t>spriteset_mu_Wagon_Gen1_Flat_Wagon_Crates_L4_S3</t>
  </si>
  <si>
    <t>spriteset_mu_Wagon_Gen1_Flat_Wagon_Crates_L4_S2</t>
  </si>
  <si>
    <t>spriteset_mu_Wagon_Gen1_Flat_Wagon_Crates_L4_S1</t>
  </si>
  <si>
    <t>spriteset_mu_Wagon_Gen1_Flat_Wagon_Crates_L3_S3</t>
  </si>
  <si>
    <t>spriteset_mu_Wagon_Gen1_Flat_Wagon_Crates_L3_S2</t>
  </si>
  <si>
    <t>spriteset_mu_Wagon_Gen1_Flat_Wagon_Crates_L3_S1</t>
  </si>
  <si>
    <t>spriteset_mu_Wagon_Gen1_Flat_Wagon_Crates_L2_S3</t>
  </si>
  <si>
    <t>spriteset_mu_Wagon_Gen1_Flat_Wagon_Crates_L2_S2</t>
  </si>
  <si>
    <t>spriteset_mu_Wagon_Gen1_Flat_Wagon_Crates_L2_S1</t>
  </si>
  <si>
    <t>spriteset_mu_Wagon_Gen1_Flat_Wagon_Crates_L1_S3</t>
  </si>
  <si>
    <t>spriteset_mu_Wagon_Gen1_Flat_Wagon_Crates_L1_S2</t>
  </si>
  <si>
    <t>spriteset_mu_Wagon_Gen1_Flat_Wagon_Crates_L1_S1</t>
  </si>
  <si>
    <t>spriteset_mu_Wagon_Gen1_Flat_Wagon_purchase</t>
  </si>
  <si>
    <t>switch_mu_Wagon_Gen1_Boxcar_cargo_selection</t>
  </si>
  <si>
    <t>switch_mu_Wagon_Gen1_Boxcar_Goods_livery</t>
  </si>
  <si>
    <t>switch_mu_Wagon_Gen1_Boxcar_Standard_livery</t>
  </si>
  <si>
    <t>switch_mu_Wagon_Gen1_Boxcar_Reefer_livery</t>
  </si>
  <si>
    <t>switch_mu_Wagon_Gen1_Boxcar_Livestock_livery</t>
  </si>
  <si>
    <t>switch_mu_Wagon_Gen1_Boxcar_Armoured_livery</t>
  </si>
  <si>
    <t>spriteset_mu_Wagon_Gen1_Boxcar_Standard_L4_S3</t>
  </si>
  <si>
    <t>spriteset_mu_Wagon_Gen1_Boxcar_Standard_L4_S2</t>
  </si>
  <si>
    <t>spriteset_mu_Wagon_Gen1_Boxcar_Standard_L4_S1</t>
  </si>
  <si>
    <t>spriteset_mu_Wagon_Gen1_Boxcar_Standard_L3_S3</t>
  </si>
  <si>
    <t>spriteset_mu_Wagon_Gen1_Boxcar_Standard_L3_S2</t>
  </si>
  <si>
    <t>spriteset_mu_Wagon_Gen1_Boxcar_Standard_L3_S1</t>
  </si>
  <si>
    <t>spriteset_mu_Wagon_Gen1_Boxcar_Standard_L2_S3</t>
  </si>
  <si>
    <t>spriteset_mu_Wagon_Gen1_Boxcar_Standard_L2_S2</t>
  </si>
  <si>
    <t>spriteset_mu_Wagon_Gen1_Boxcar_Standard_L2_S1</t>
  </si>
  <si>
    <t>spriteset_mu_Wagon_Gen1_Boxcar_Standard_L1_S3</t>
  </si>
  <si>
    <t>spriteset_mu_Wagon_Gen1_Boxcar_Standard_L1_S2</t>
  </si>
  <si>
    <t>spriteset_mu_Wagon_Gen1_Boxcar_Standard_L1_S1</t>
  </si>
  <si>
    <t>spriteset_mu_Wagon_Gen1_Boxcar_Reefer_L4_S3</t>
  </si>
  <si>
    <t>spriteset_mu_Wagon_Gen1_Boxcar_Reefer_L4_S2</t>
  </si>
  <si>
    <t>spriteset_mu_Wagon_Gen1_Boxcar_Reefer_L4_S1</t>
  </si>
  <si>
    <t>spriteset_mu_Wagon_Gen1_Boxcar_Reefer_L3_S3</t>
  </si>
  <si>
    <t>spriteset_mu_Wagon_Gen1_Boxcar_Reefer_L3_S2</t>
  </si>
  <si>
    <t>spriteset_mu_Wagon_Gen1_Boxcar_Reefer_L3_S1</t>
  </si>
  <si>
    <t>spriteset_mu_Wagon_Gen1_Boxcar_Reefer_L2_S3</t>
  </si>
  <si>
    <t>spriteset_mu_Wagon_Gen1_Boxcar_Reefer_L2_S2</t>
  </si>
  <si>
    <t>spriteset_mu_Wagon_Gen1_Boxcar_Reefer_L2_S1</t>
  </si>
  <si>
    <t>spriteset_mu_Wagon_Gen1_Boxcar_Reefer_L1_S3</t>
  </si>
  <si>
    <t>spriteset_mu_Wagon_Gen1_Boxcar_Reefer_L1_S2</t>
  </si>
  <si>
    <t>spriteset_mu_Wagon_Gen1_Boxcar_Reefer_L1_S1</t>
  </si>
  <si>
    <t>spriteset_mu_Wagon_Gen1_Boxcar_Livestock_L4_S3</t>
  </si>
  <si>
    <t>spriteset_mu_Wagon_Gen1_Boxcar_Livestock_L4_S2</t>
  </si>
  <si>
    <t>spriteset_mu_Wagon_Gen1_Boxcar_Livestock_L4_S1</t>
  </si>
  <si>
    <t>spriteset_mu_Wagon_Gen1_Boxcar_Livestock_L3_S3</t>
  </si>
  <si>
    <t>spriteset_mu_Wagon_Gen1_Boxcar_Livestock_L3_S2</t>
  </si>
  <si>
    <t>spriteset_mu_Wagon_Gen1_Boxcar_Livestock_L3_S1</t>
  </si>
  <si>
    <t>spriteset_mu_Wagon_Gen1_Boxcar_Livestock_L2_S3</t>
  </si>
  <si>
    <t>spriteset_mu_Wagon_Gen1_Boxcar_Livestock_L2_S2</t>
  </si>
  <si>
    <t>spriteset_mu_Wagon_Gen1_Boxcar_Livestock_L2_S1</t>
  </si>
  <si>
    <t>spriteset_mu_Wagon_Gen1_Boxcar_Livestock_L1_S3</t>
  </si>
  <si>
    <t>spriteset_mu_Wagon_Gen1_Boxcar_Livestock_L1_S2</t>
  </si>
  <si>
    <t>spriteset_mu_Wagon_Gen1_Boxcar_Livestock_L1_S1</t>
  </si>
  <si>
    <t>spriteset_mu_Wagon_Gen1_Boxcar_Armoured_L4_S3</t>
  </si>
  <si>
    <t>spriteset_mu_Wagon_Gen1_Boxcar_Armoured_L4_S2</t>
  </si>
  <si>
    <t>spriteset_mu_Wagon_Gen1_Boxcar_Armoured_L4_S1</t>
  </si>
  <si>
    <t>spriteset_mu_Wagon_Gen1_Boxcar_Armoured_L3_S3</t>
  </si>
  <si>
    <t>spriteset_mu_Wagon_Gen1_Boxcar_Armoured_L3_S2</t>
  </si>
  <si>
    <t>spriteset_mu_Wagon_Gen1_Boxcar_Armoured_L3_S1</t>
  </si>
  <si>
    <t>spriteset_mu_Wagon_Gen1_Boxcar_Armoured_L2_S3</t>
  </si>
  <si>
    <t>spriteset_mu_Wagon_Gen1_Boxcar_Armoured_L2_S2</t>
  </si>
  <si>
    <t>spriteset_mu_Wagon_Gen1_Boxcar_Armoured_L2_S1</t>
  </si>
  <si>
    <t>spriteset_mu_Wagon_Gen1_Boxcar_Armoured_L1_S3</t>
  </si>
  <si>
    <t>spriteset_mu_Wagon_Gen1_Boxcar_Armoured_L1_S2</t>
  </si>
  <si>
    <t>spriteset_mu_Wagon_Gen1_Boxcar_Armoured_L1_S1</t>
  </si>
  <si>
    <t>spriteset_mu_Wagon_Gen1_Boxcar_purchase</t>
  </si>
  <si>
    <t>switch_steam_Zimbabwe_Zimbabwe_Railways_15_articulated</t>
  </si>
  <si>
    <t>switch_steam_Zimbabwe_Zimbabwe_Railways_15_length</t>
  </si>
  <si>
    <t>switch_steam_Zimbabwe_Zimbabwe_Railways_15_visual_effect</t>
  </si>
  <si>
    <t>switch_steam_Zimbabwe_Zimbabwe_Railways_15_position</t>
  </si>
  <si>
    <t>switch_steam_Zimbabwe_Zimbabwe_Railways_15_animation_back</t>
  </si>
  <si>
    <t>switch_steam_Zimbabwe_Zimbabwe_Railways_15_animation_front</t>
  </si>
  <si>
    <t>spriteset_steam_Zimbabwe_Zimbabwe_Railways_15_back2</t>
  </si>
  <si>
    <t>spriteset_steam_Zimbabwe_Zimbabwe_Railways_15_back1</t>
  </si>
  <si>
    <t>spriteset_steam_Zimbabwe_Zimbabwe_Railways_15_middle</t>
  </si>
  <si>
    <t>spriteset_steam_Zimbabwe_Zimbabwe_Railways_15_front2</t>
  </si>
  <si>
    <t>spriteset_steam_Zimbabwe_Zimbabwe_Railways_15_front1</t>
  </si>
  <si>
    <t>spriteset_steam_Zimbabwe_Zimbabwe_Railways_15_purchase</t>
  </si>
  <si>
    <t>switch_steam_USA_UP_4000_Big_Boy_articulated</t>
  </si>
  <si>
    <t>switch_steam_USA_UP_4000_Big_Boy_length</t>
  </si>
  <si>
    <t>switch_steam_USA_UP_4000_Big_Boy_visual_effect</t>
  </si>
  <si>
    <t>switch_steam_USA_UP_4000_Big_Boy_position</t>
  </si>
  <si>
    <t>switch_steam_USA_UP_4000_Big_Boy_animation</t>
  </si>
  <si>
    <t>spriteset_steam_USA_UP_4000_Big_Boy_tender</t>
  </si>
  <si>
    <t>spriteset_steam_USA_UP_4000_Big_Boy_engine2</t>
  </si>
  <si>
    <t>spriteset_steam_USA_UP_4000_Big_Boy_engine1</t>
  </si>
  <si>
    <t>spriteset_steam_USA_UP_4000_Big_Boy_purchase</t>
  </si>
  <si>
    <t>switch_steam_USA_Southern_Pacific_GS_4_Daylight_articulated</t>
  </si>
  <si>
    <t>switch_steam_USA_Southern_Pacific_GS_4_Daylight_length</t>
  </si>
  <si>
    <t>switch_steam_USA_Southern_Pacific_GS_4_Daylight_visual_effect</t>
  </si>
  <si>
    <t>switch_steam_USA_Southern_Pacific_GS_4_Daylight_position</t>
  </si>
  <si>
    <t>switch_steam_USA_Southern_Pacific_GS_4_Daylight_animation</t>
  </si>
  <si>
    <t>spriteset_steam_USA_Southern_Pacific_GS_4_Daylight_tender</t>
  </si>
  <si>
    <t>spriteset_steam_USA_Southern_Pacific_GS_4_Daylight_engine2</t>
  </si>
  <si>
    <t>spriteset_steam_USA_Southern_Pacific_GS_4_Daylight_engine1</t>
  </si>
  <si>
    <t>spriteset_steam_USA_Southern_Pacific_GS_4_Daylight_purchase</t>
  </si>
  <si>
    <t>switch_steam_USA_Sierra_Railroad_28_articulated</t>
  </si>
  <si>
    <t>switch_steam_USA_Sierra_Railroad_28_length</t>
  </si>
  <si>
    <t>switch_steam_USA_Sierra_Railroad_28_visual_effect</t>
  </si>
  <si>
    <t>switch_steam_USA_Sierra_Railroad_28_position</t>
  </si>
  <si>
    <t>switch_steam_USA_Sierra_Railroad_28_animation</t>
  </si>
  <si>
    <t>spriteset_steam_USA_Sierra_Railroad_28_tender</t>
  </si>
  <si>
    <t>spriteset_steam_USA_Sierra_Railroad_28_engine2</t>
  </si>
  <si>
    <t>spriteset_steam_USA_Sierra_Railroad_28_engine1</t>
  </si>
  <si>
    <t>spriteset_steam_USA_Sierra_Railroad_28_purchase</t>
  </si>
  <si>
    <t>switch_steam_USA_PRR_D16_articulated</t>
  </si>
  <si>
    <t>switch_steam_USA_PRR_D16_length</t>
  </si>
  <si>
    <t>switch_steam_USA_PRR_D16_visual_effect</t>
  </si>
  <si>
    <t>switch_steam_USA_PRR_D16_position</t>
  </si>
  <si>
    <t>switch_steam_USA_PRR_D16_animation</t>
  </si>
  <si>
    <t>spriteset_steam_USA_PRR_D16_tender</t>
  </si>
  <si>
    <t>spriteset_steam_USA_PRR_D16_engine2</t>
  </si>
  <si>
    <t>spriteset_steam_USA_PRR_D16_engine1</t>
  </si>
  <si>
    <t>spriteset_steam_USA_PRR_D16_purchase</t>
  </si>
  <si>
    <t>switch_steam_USA_NYC_H_6A_Light_Mikado_articulated</t>
  </si>
  <si>
    <t>switch_steam_USA_NYC_H_6A_Light_Mikado_length</t>
  </si>
  <si>
    <t>switch_steam_USA_NYC_H_6A_Light_Mikado_visual_effect</t>
  </si>
  <si>
    <t>switch_steam_USA_NYC_H_6A_Light_Mikado_position</t>
  </si>
  <si>
    <t>switch_steam_USA_NYC_H_6A_Light_Mikado_animation</t>
  </si>
  <si>
    <t>spriteset_steam_USA_NYC_H_6A_Light_Mikado_tender</t>
  </si>
  <si>
    <t>spriteset_steam_USA_NYC_H_6A_Light_Mikado_engine2</t>
  </si>
  <si>
    <t>spriteset_steam_USA_NYC_H_6A_Light_Mikado_engine1</t>
  </si>
  <si>
    <t>spriteset_steam_USA_NYC_H_6A_Light_Mikado_purchase</t>
  </si>
  <si>
    <t>switch_steam_USA_Central_Pacific_4_2_2_articulated</t>
  </si>
  <si>
    <t>switch_steam_USA_Central_Pacific_4_2_2_length</t>
  </si>
  <si>
    <t>switch_steam_USA_Central_Pacific_4_2_2_visual_effect</t>
  </si>
  <si>
    <t>switch_steam_USA_Central_Pacific_4_2_2_position</t>
  </si>
  <si>
    <t>switch_steam_USA_Central_Pacific_4_2_2_animation</t>
  </si>
  <si>
    <t>spriteset_steam_USA_Central_Pacific_4_2_2_tender</t>
  </si>
  <si>
    <t>spriteset_steam_USA_Central_Pacific_4_2_2_engine2</t>
  </si>
  <si>
    <t>spriteset_steam_USA_Central_Pacific_4_2_2_engine1</t>
  </si>
  <si>
    <t>spriteset_steam_USA_Central_Pacific_4_2_2_purchase</t>
  </si>
  <si>
    <t>switch_steam_USA_AT_SF_5000_articulated</t>
  </si>
  <si>
    <t>switch_steam_USA_AT_SF_5000_length</t>
  </si>
  <si>
    <t>switch_steam_USA_AT_SF_5000_visual_effect</t>
  </si>
  <si>
    <t>switch_steam_USA_AT_SF_5000_position</t>
  </si>
  <si>
    <t>switch_steam_USA_AT_SF_5000_animation</t>
  </si>
  <si>
    <t>spriteset_steam_USA_AT_SF_5000_tender</t>
  </si>
  <si>
    <t>spriteset_steam_USA_AT_SF_5000_engine2</t>
  </si>
  <si>
    <t>spriteset_steam_USA_AT_SF_5000_engine1</t>
  </si>
  <si>
    <t>spriteset_steam_USA_AT_SF_5000_purchase</t>
  </si>
  <si>
    <t>switch_steam_USA_4_6_0_Ten_wheeler_articulated</t>
  </si>
  <si>
    <t>switch_steam_USA_4_6_0_Ten_wheeler_length</t>
  </si>
  <si>
    <t>switch_steam_USA_4_6_0_Ten_wheeler_visual_effect</t>
  </si>
  <si>
    <t>switch_steam_USA_4_6_0_Ten_wheeler_position</t>
  </si>
  <si>
    <t>switch_steam_USA_4_6_0_Ten_wheeler_animation</t>
  </si>
  <si>
    <t>spriteset_steam_USA_4_6_0_Ten_wheeler_tender</t>
  </si>
  <si>
    <t>spriteset_steam_USA_4_6_0_Ten_wheeler_engine2</t>
  </si>
  <si>
    <t>spriteset_steam_USA_4_6_0_Ten_wheeler_engine1</t>
  </si>
  <si>
    <t>spriteset_steam_USA_4_6_0_Ten_wheeler_purchase</t>
  </si>
  <si>
    <t>switch_steam_USA_4_4_0_American_articulated</t>
  </si>
  <si>
    <t>switch_steam_USA_4_4_0_American_length</t>
  </si>
  <si>
    <t>switch_steam_USA_4_4_0_American_visual_effect</t>
  </si>
  <si>
    <t>switch_steam_USA_4_4_0_American_position</t>
  </si>
  <si>
    <t>switch_steam_USA_4_4_0_American_animation</t>
  </si>
  <si>
    <t>spriteset_steam_USA_4_4_0_American_tender</t>
  </si>
  <si>
    <t>spriteset_steam_USA_4_4_0_American_engine2</t>
  </si>
  <si>
    <t>spriteset_steam_USA_4_4_0_American_engine1</t>
  </si>
  <si>
    <t>spriteset_steam_USA_4_4_0_American_purchase</t>
  </si>
  <si>
    <t>switch_steam_USA_2_8_0_Consolidation_articulated</t>
  </si>
  <si>
    <t>switch_steam_USA_2_8_0_Consolidation_length</t>
  </si>
  <si>
    <t>switch_steam_USA_2_8_0_Consolidation_visual_effect</t>
  </si>
  <si>
    <t>switch_steam_USA_2_8_0_Consolidation_position</t>
  </si>
  <si>
    <t>switch_steam_USA_2_8_0_Consolidation_animation</t>
  </si>
  <si>
    <t>spriteset_steam_USA_2_8_0_Consolidation_tender</t>
  </si>
  <si>
    <t>spriteset_steam_USA_2_8_0_Consolidation_engine2</t>
  </si>
  <si>
    <t>spriteset_steam_USA_2_8_0_Consolidation_engine1</t>
  </si>
  <si>
    <t>spriteset_steam_USA_2_8_0_Consolidation_purchase</t>
  </si>
  <si>
    <t>switch_steam_Uruguay_AFE_N1_2_6_0_articulated</t>
  </si>
  <si>
    <t>switch_steam_Uruguay_AFE_N1_2_6_0_length</t>
  </si>
  <si>
    <t>switch_steam_Uruguay_AFE_N1_2_6_0_visual_effect</t>
  </si>
  <si>
    <t>switch_steam_Uruguay_AFE_N1_2_6_0_position</t>
  </si>
  <si>
    <t>switch_steam_Uruguay_AFE_N1_2_6_0_animation</t>
  </si>
  <si>
    <t>spriteset_steam_Uruguay_AFE_N1_2_6_0_tender</t>
  </si>
  <si>
    <t>spriteset_steam_Uruguay_AFE_N1_2_6_0_engine2</t>
  </si>
  <si>
    <t>spriteset_steam_Uruguay_AFE_N1_2_6_0_engine1</t>
  </si>
  <si>
    <t>spriteset_steam_Uruguay_AFE_N1_2_6_0_purchase</t>
  </si>
  <si>
    <t>switch_steam_UK_LNER_N7_animation</t>
  </si>
  <si>
    <t>spriteset_steam_UK_LNER_N7_engine2</t>
  </si>
  <si>
    <t>spriteset_steam_UK_LNER_N7_engine1</t>
  </si>
  <si>
    <t>spriteset_steam_UK_LNER_N7_purchase</t>
  </si>
  <si>
    <t>switch_steam_UK_LNER_A4_Gresley_articulated</t>
  </si>
  <si>
    <t>switch_steam_UK_LNER_A4_Gresley_length</t>
  </si>
  <si>
    <t>switch_steam_UK_LNER_A4_Gresley_visual_effect</t>
  </si>
  <si>
    <t>switch_steam_UK_LNER_A4_Gresley_position</t>
  </si>
  <si>
    <t>switch_steam_UK_LNER_A4_Gresley_animation</t>
  </si>
  <si>
    <t>spriteset_steam_UK_LNER_A4_Gresley_tender</t>
  </si>
  <si>
    <t>spriteset_steam_UK_LNER_A4_Gresley_engine2</t>
  </si>
  <si>
    <t>spriteset_steam_UK_LNER_A4_Gresley_engine1</t>
  </si>
  <si>
    <t>spriteset_steam_UK_LNER_A4_Gresley_purchase</t>
  </si>
  <si>
    <t>switch_steam_UK_LNER_A1_Peppercorn_articulated</t>
  </si>
  <si>
    <t>switch_steam_UK_LNER_A1_Peppercorn_length</t>
  </si>
  <si>
    <t>switch_steam_UK_LNER_A1_Peppercorn_visual_effect</t>
  </si>
  <si>
    <t>switch_steam_UK_LNER_A1_Peppercorn_position</t>
  </si>
  <si>
    <t>switch_steam_UK_LNER_A1_Peppercorn_animation</t>
  </si>
  <si>
    <t>spriteset_steam_UK_LNER_A1_Peppercorn_tender</t>
  </si>
  <si>
    <t>spriteset_steam_UK_LNER_A1_Peppercorn_engine2</t>
  </si>
  <si>
    <t>spriteset_steam_UK_LNER_A1_Peppercorn_engine1</t>
  </si>
  <si>
    <t>spriteset_steam_UK_LNER_A1_Peppercorn_purchase</t>
  </si>
  <si>
    <t>switch_steam_UK_LMS_5MT_Black_Five_articulated</t>
  </si>
  <si>
    <t>switch_steam_UK_LMS_5MT_Black_Five_length</t>
  </si>
  <si>
    <t>switch_steam_UK_LMS_5MT_Black_Five_visual_effect</t>
  </si>
  <si>
    <t>switch_steam_UK_LMS_5MT_Black_Five_position</t>
  </si>
  <si>
    <t>switch_steam_UK_LMS_5MT_Black_Five_animation</t>
  </si>
  <si>
    <t>spriteset_steam_UK_LMS_5MT_Black_Five_tender</t>
  </si>
  <si>
    <t>spriteset_steam_UK_LMS_5MT_Black_Five_engine2</t>
  </si>
  <si>
    <t>spriteset_steam_UK_LMS_5MT_Black_Five_engine1</t>
  </si>
  <si>
    <t>spriteset_steam_UK_LMS_5MT_Black_Five_purchase</t>
  </si>
  <si>
    <t>switch_steam_UK_GWR_Iron_DUKe_Class_articulated</t>
  </si>
  <si>
    <t>switch_steam_UK_GWR_Iron_DUKe_Class_length</t>
  </si>
  <si>
    <t>switch_steam_UK_GWR_Iron_DUKe_Class_visual_effect</t>
  </si>
  <si>
    <t>switch_steam_UK_GWR_Iron_DUKe_Class_position</t>
  </si>
  <si>
    <t>switch_steam_UK_GWR_Iron_DUKe_Class_animation</t>
  </si>
  <si>
    <t>spriteset_steam_UK_GWR_Iron_DUKe_Class_tender</t>
  </si>
  <si>
    <t>spriteset_steam_UK_GWR_Iron_DUKe_Class_engine2</t>
  </si>
  <si>
    <t>spriteset_steam_UK_GWR_Iron_DUKe_Class_engine1</t>
  </si>
  <si>
    <t>spriteset_steam_UK_GWR_Iron_DUKe_Class_purchase</t>
  </si>
  <si>
    <t>switch_steam_UK_GWR_5700_animation</t>
  </si>
  <si>
    <t>spriteset_steam_UK_GWR_5700_engine2</t>
  </si>
  <si>
    <t>spriteset_steam_UK_GWR_5700_engine1</t>
  </si>
  <si>
    <t>spriteset_steam_UK_GWR_5700_purchase</t>
  </si>
  <si>
    <t>switch_steam_UK_GWR_4900_articulated</t>
  </si>
  <si>
    <t>switch_steam_UK_GWR_4900_length</t>
  </si>
  <si>
    <t>switch_steam_UK_GWR_4900_visual_effect</t>
  </si>
  <si>
    <t>switch_steam_UK_GWR_4900_position</t>
  </si>
  <si>
    <t>switch_steam_UK_GWR_4900_animation</t>
  </si>
  <si>
    <t>spriteset_steam_UK_GWR_4900_tender</t>
  </si>
  <si>
    <t>spriteset_steam_UK_GWR_4900_engine2</t>
  </si>
  <si>
    <t>spriteset_steam_UK_GWR_4900_engine1</t>
  </si>
  <si>
    <t>spriteset_steam_UK_GWR_4900_purchase</t>
  </si>
  <si>
    <t>switch_steam_UK_GWR_1600_Class_animation</t>
  </si>
  <si>
    <t>spriteset_steam_UK_GWR_1600_Class_engine2</t>
  </si>
  <si>
    <t>spriteset_steam_UK_GWR_1600_Class_engine1</t>
  </si>
  <si>
    <t>spriteset_steam_UK_GWR_1600_Class_purchase</t>
  </si>
  <si>
    <t>switch_steam_UK_Caledonian_Railway_439_animation</t>
  </si>
  <si>
    <t>spriteset_steam_UK_Caledonian_Railway_439_engine2</t>
  </si>
  <si>
    <t>spriteset_steam_UK_Caledonian_Railway_439_engine1</t>
  </si>
  <si>
    <t>spriteset_steam_UK_Caledonian_Railway_439_purchase</t>
  </si>
  <si>
    <t>switch_steam_Switzerland_SBB_E_3_3_animation</t>
  </si>
  <si>
    <t>spriteset_steam_Switzerland_SBB_E_3_3_engine2</t>
  </si>
  <si>
    <t>spriteset_steam_Switzerland_SBB_E_3_3_engine1</t>
  </si>
  <si>
    <t>spriteset_steam_Switzerland_SBB_E_3_3_purchase</t>
  </si>
  <si>
    <t>switch_steam_Switzerland_SBB_Ec_2_5_animation</t>
  </si>
  <si>
    <t>spriteset_steam_Switzerland_SBB_Ec_2_5_engine2</t>
  </si>
  <si>
    <t>spriteset_steam_Switzerland_SBB_Ec_2_5_engine1</t>
  </si>
  <si>
    <t>spriteset_steam_Switzerland_SBB_Ec_2_5_purchase</t>
  </si>
  <si>
    <t>switch_steam_Switzerland_SBB_C_5_6_articulated</t>
  </si>
  <si>
    <t>switch_steam_Switzerland_SBB_C_5_6_length</t>
  </si>
  <si>
    <t>switch_steam_Switzerland_SBB_C_5_6_visual_effect</t>
  </si>
  <si>
    <t>switch_steam_Switzerland_SBB_C_5_6_position</t>
  </si>
  <si>
    <t>switch_steam_Switzerland_SBB_C_5_6_animation</t>
  </si>
  <si>
    <t>spriteset_steam_Switzerland_SBB_C_5_6_tender</t>
  </si>
  <si>
    <t>spriteset_steam_Switzerland_SBB_C_5_6_engine2</t>
  </si>
  <si>
    <t>spriteset_steam_Switzerland_SBB_C_5_6_engine1</t>
  </si>
  <si>
    <t>spriteset_steam_Switzerland_SBB_C_5_6_purchase</t>
  </si>
  <si>
    <t>switch_steam_Switzerland_SBB_A_3_5_articulated</t>
  </si>
  <si>
    <t>switch_steam_Switzerland_SBB_A_3_5_length</t>
  </si>
  <si>
    <t>switch_steam_Switzerland_SBB_A_3_5_visual_effect</t>
  </si>
  <si>
    <t>switch_steam_Switzerland_SBB_A_3_5_position</t>
  </si>
  <si>
    <t>switch_steam_Switzerland_SBB_A_3_5_animation</t>
  </si>
  <si>
    <t>spriteset_steam_Switzerland_SBB_A_3_5_tender</t>
  </si>
  <si>
    <t>spriteset_steam_Switzerland_SBB_A_3_5_engine2</t>
  </si>
  <si>
    <t>spriteset_steam_Switzerland_SBB_A_3_5_engine1</t>
  </si>
  <si>
    <t>spriteset_steam_Switzerland_SBB_A_3_5_purchase</t>
  </si>
  <si>
    <t>switch_steam_Switzerland_RhB_G_3_4_animation</t>
  </si>
  <si>
    <t>spriteset_steam_Switzerland_RhB_G_3_4_engine2</t>
  </si>
  <si>
    <t>spriteset_steam_Switzerland_RhB_G_3_4_engine1</t>
  </si>
  <si>
    <t>spriteset_steam_Switzerland_RhB_G_3_4_purchase</t>
  </si>
  <si>
    <t>switch_steam_Spain_RENFE_Class_040_articulated</t>
  </si>
  <si>
    <t>switch_steam_Spain_RENFE_Class_040_length</t>
  </si>
  <si>
    <t>switch_steam_Spain_RENFE_Class_040_visual_effect</t>
  </si>
  <si>
    <t>switch_steam_Spain_RENFE_Class_040_position</t>
  </si>
  <si>
    <t>switch_steam_Spain_RENFE_Class_040_animation</t>
  </si>
  <si>
    <t>spriteset_steam_Spain_RENFE_Class_040_tender</t>
  </si>
  <si>
    <t>spriteset_steam_Spain_RENFE_Class_040_engine2</t>
  </si>
  <si>
    <t>spriteset_steam_Spain_RENFE_Class_040_engine1</t>
  </si>
  <si>
    <t>spriteset_steam_Spain_RENFE_Class_040_purchase</t>
  </si>
  <si>
    <t>switch_steam_Spain_RENFE_242F_articulated</t>
  </si>
  <si>
    <t>switch_steam_Spain_RENFE_242F_length</t>
  </si>
  <si>
    <t>switch_steam_Spain_RENFE_242F_visual_effect</t>
  </si>
  <si>
    <t>switch_steam_Spain_RENFE_242F_position</t>
  </si>
  <si>
    <t>switch_steam_Spain_RENFE_242F_animation</t>
  </si>
  <si>
    <t>spriteset_steam_Spain_RENFE_242F_tender</t>
  </si>
  <si>
    <t>spriteset_steam_Spain_RENFE_242F_engine2</t>
  </si>
  <si>
    <t>spriteset_steam_Spain_RENFE_242F_engine1</t>
  </si>
  <si>
    <t>spriteset_steam_Spain_RENFE_242F_purchase</t>
  </si>
  <si>
    <t>switch_steam_South_Africa_SAR_MD_Class_articulated</t>
  </si>
  <si>
    <t>switch_steam_South_Africa_SAR_MD_Class_length</t>
  </si>
  <si>
    <t>switch_steam_South_Africa_SAR_MD_Class_visual_effect</t>
  </si>
  <si>
    <t>switch_steam_South_Africa_SAR_MD_Class_position</t>
  </si>
  <si>
    <t>switch_steam_South_Africa_SAR_MD_Class_animation</t>
  </si>
  <si>
    <t>spriteset_steam_South_Africa_SAR_MD_Class_tender</t>
  </si>
  <si>
    <t>spriteset_steam_South_Africa_SAR_MD_Class_engine2</t>
  </si>
  <si>
    <t>spriteset_steam_South_Africa_SAR_MD_Class_engine1</t>
  </si>
  <si>
    <t>spriteset_steam_South_Africa_SAR_MD_Class_purchase</t>
  </si>
  <si>
    <t>switch_steam_South_Africa_SAR_GMA_4_8_2_2_8_4_articulated</t>
  </si>
  <si>
    <t>switch_steam_South_Africa_SAR_GMA_4_8_2_2_8_4_length</t>
  </si>
  <si>
    <t>switch_steam_South_Africa_SAR_GMA_4_8_2_2_8_4_visual_effect</t>
  </si>
  <si>
    <t>switch_steam_South_Africa_SAR_GMA_4_8_2_2_8_4_position</t>
  </si>
  <si>
    <t>switch_steam_South_Africa_SAR_GMA_4_8_2_2_8_4_animation_back</t>
  </si>
  <si>
    <t>switch_steam_South_Africa_SAR_GMA_4_8_2_2_8_4_animation_front</t>
  </si>
  <si>
    <t>spriteset_steam_South_Africa_SAR_GMA_4_8_2_2_8_4_back2</t>
  </si>
  <si>
    <t>spriteset_steam_South_Africa_SAR_GMA_4_8_2_2_8_4_back1</t>
  </si>
  <si>
    <t>spriteset_steam_South_Africa_SAR_GMA_4_8_2_2_8_4_middle</t>
  </si>
  <si>
    <t>spriteset_steam_South_Africa_SAR_GMA_4_8_2_2_8_4_front2</t>
  </si>
  <si>
    <t>spriteset_steam_South_Africa_SAR_GMA_4_8_2_2_8_4_front1</t>
  </si>
  <si>
    <t>spriteset_steam_South_Africa_SAR_GMA_4_8_2_2_8_4_purchase</t>
  </si>
  <si>
    <t>switch_steam_South_Africa_SAR_25_articulated</t>
  </si>
  <si>
    <t>switch_steam_South_Africa_SAR_25_length</t>
  </si>
  <si>
    <t>switch_steam_South_Africa_SAR_25_visual_effect</t>
  </si>
  <si>
    <t>switch_steam_South_Africa_SAR_25_position</t>
  </si>
  <si>
    <t>switch_steam_South_Africa_SAR_25_animation</t>
  </si>
  <si>
    <t>spriteset_steam_South_Africa_SAR_25_tender</t>
  </si>
  <si>
    <t>spriteset_steam_South_Africa_SAR_25_engine2</t>
  </si>
  <si>
    <t>spriteset_steam_South_Africa_SAR_25_engine1</t>
  </si>
  <si>
    <t>spriteset_steam_South_Africa_SAR_25_purchase</t>
  </si>
  <si>
    <t>switch_steam_South_Africa_PPR_35_tonner_4_6_0T_animation</t>
  </si>
  <si>
    <t>spriteset_steam_South_Africa_PPR_35_tonner_4_6_0T_engine2</t>
  </si>
  <si>
    <t>spriteset_steam_South_Africa_PPR_35_tonner_4_6_0T_engine1</t>
  </si>
  <si>
    <t>spriteset_steam_South_Africa_PPR_35_tonner_4_6_0T_purchase</t>
  </si>
  <si>
    <t>switch_steam_South_Africa_Natal_Government_Railways_2_6_0T_animation</t>
  </si>
  <si>
    <t>spriteset_steam_South_Africa_Natal_Government_Railways_2_6_0T_engine2</t>
  </si>
  <si>
    <t>spriteset_steam_South_Africa_Natal_Government_Railways_2_6_0T_engine1</t>
  </si>
  <si>
    <t>spriteset_steam_South_Africa_Natal_Government_Railways_2_6_0T_purchase</t>
  </si>
  <si>
    <t>switch_steam_South_Africa_Harbour_Board_EL_0_4_0_animation</t>
  </si>
  <si>
    <t>spriteset_steam_South_Africa_Harbour_Board_EL_0_4_0_tender</t>
  </si>
  <si>
    <t>spriteset_steam_South_Africa_Harbour_Board_EL_0_4_0_engine2</t>
  </si>
  <si>
    <t>spriteset_steam_South_Africa_Harbour_Board_EL_0_4_0_engine1</t>
  </si>
  <si>
    <t>spriteset_steam_South_Africa_Harbour_Board_EL_0_4_0_purchase</t>
  </si>
  <si>
    <t>switch_steam_Russia_RZD_U_articulated</t>
  </si>
  <si>
    <t>switch_steam_Russia_RZD_U_length</t>
  </si>
  <si>
    <t>switch_steam_Russia_RZD_U_visual_effect</t>
  </si>
  <si>
    <t>switch_steam_Russia_RZD_U_position</t>
  </si>
  <si>
    <t>switch_steam_Russia_RZD_U_animation</t>
  </si>
  <si>
    <t>spriteset_steam_Russia_RZD_U_tender</t>
  </si>
  <si>
    <t>spriteset_steam_Russia_RZD_U_engine2</t>
  </si>
  <si>
    <t>spriteset_steam_Russia_RZD_U_engine1</t>
  </si>
  <si>
    <t>spriteset_steam_Russia_RZD_U_purchase</t>
  </si>
  <si>
    <t>switch_steam_Russia_RZD_P36_articulated</t>
  </si>
  <si>
    <t>switch_steam_Russia_RZD_P36_length</t>
  </si>
  <si>
    <t>switch_steam_Russia_RZD_P36_visual_effect</t>
  </si>
  <si>
    <t>switch_steam_Russia_RZD_P36_position</t>
  </si>
  <si>
    <t>switch_steam_Russia_RZD_P36_animation</t>
  </si>
  <si>
    <t>spriteset_steam_Russia_RZD_P36_tender</t>
  </si>
  <si>
    <t>spriteset_steam_Russia_RZD_P36_engine2</t>
  </si>
  <si>
    <t>spriteset_steam_Russia_RZD_P36_engine1</t>
  </si>
  <si>
    <t>spriteset_steam_Russia_RZD_P36_purchase</t>
  </si>
  <si>
    <t>switch_steam_Russia_RZD_E_articulated</t>
  </si>
  <si>
    <t>switch_steam_Russia_RZD_E_length</t>
  </si>
  <si>
    <t>switch_steam_Russia_RZD_E_visual_effect</t>
  </si>
  <si>
    <t>switch_steam_Russia_RZD_E_position</t>
  </si>
  <si>
    <t>switch_steam_Russia_RZD_E_animation</t>
  </si>
  <si>
    <t>spriteset_steam_Russia_RZD_E_tender</t>
  </si>
  <si>
    <t>spriteset_steam_Russia_RZD_E_engine2</t>
  </si>
  <si>
    <t>spriteset_steam_Russia_RZD_E_engine1</t>
  </si>
  <si>
    <t>spriteset_steam_Russia_RZD_E_purchase</t>
  </si>
  <si>
    <t>switch_steam_Russia_RZD_9P_animation</t>
  </si>
  <si>
    <t>spriteset_steam_Russia_RZD_9P_engine2</t>
  </si>
  <si>
    <t>spriteset_steam_Russia_RZD_9P_engine1</t>
  </si>
  <si>
    <t>spriteset_steam_Russia_RZD_9P_purchase</t>
  </si>
  <si>
    <t>switch_steam_Poland_PKP_Okz32_animation</t>
  </si>
  <si>
    <t>spriteset_steam_Poland_PKP_Okz32_engine2</t>
  </si>
  <si>
    <t>spriteset_steam_Poland_PKP_Okz32_engine1</t>
  </si>
  <si>
    <t>spriteset_steam_Poland_PKP_Okz32_purchase</t>
  </si>
  <si>
    <t>switch_steam_Poland_PKP_Ok22_articulated</t>
  </si>
  <si>
    <t>switch_steam_Poland_PKP_Ok22_length</t>
  </si>
  <si>
    <t>switch_steam_Poland_PKP_Ok22_visual_effect</t>
  </si>
  <si>
    <t>switch_steam_Poland_PKP_Ok22_position</t>
  </si>
  <si>
    <t>switch_steam_Poland_PKP_Ok22_animation</t>
  </si>
  <si>
    <t>spriteset_steam_Poland_PKP_Ok22_tender</t>
  </si>
  <si>
    <t>spriteset_steam_Poland_PKP_Ok22_engine2</t>
  </si>
  <si>
    <t>spriteset_steam_Poland_PKP_Ok22_engine1</t>
  </si>
  <si>
    <t>spriteset_steam_Poland_PKP_Ok22_purchase</t>
  </si>
  <si>
    <t>switch_steam_Poland_PKP_OI49_articulated</t>
  </si>
  <si>
    <t>switch_steam_Poland_PKP_OI49_length</t>
  </si>
  <si>
    <t>switch_steam_Poland_PKP_OI49_visual_effect</t>
  </si>
  <si>
    <t>switch_steam_Poland_PKP_OI49_position</t>
  </si>
  <si>
    <t>switch_steam_Poland_PKP_OI49_animation</t>
  </si>
  <si>
    <t>spriteset_steam_Poland_PKP_OI49_tender</t>
  </si>
  <si>
    <t>spriteset_steam_Poland_PKP_OI49_engine2</t>
  </si>
  <si>
    <t>spriteset_steam_Poland_PKP_OI49_engine1</t>
  </si>
  <si>
    <t>spriteset_steam_Poland_PKP_OI49_purchase</t>
  </si>
  <si>
    <t>switch_steam_Norway_NSB_Class_XXI_animation</t>
  </si>
  <si>
    <t>spriteset_steam_Norway_NSB_Class_XXI_engine2</t>
  </si>
  <si>
    <t>spriteset_steam_Norway_NSB_Class_XXI_engine1</t>
  </si>
  <si>
    <t>spriteset_steam_Norway_NSB_Class_XXI_purchase</t>
  </si>
  <si>
    <t>switch_steam_New_Zealand_NZR_X_Class_articulated</t>
  </si>
  <si>
    <t>switch_steam_New_Zealand_NZR_X_Class_length</t>
  </si>
  <si>
    <t>switch_steam_New_Zealand_NZR_X_Class_visual_effect</t>
  </si>
  <si>
    <t>switch_steam_New_Zealand_NZR_X_Class_position</t>
  </si>
  <si>
    <t>switch_steam_New_Zealand_NZR_X_Class_animation</t>
  </si>
  <si>
    <t>spriteset_steam_New_Zealand_NZR_X_Class_tender</t>
  </si>
  <si>
    <t>spriteset_steam_New_Zealand_NZR_X_Class_engine2</t>
  </si>
  <si>
    <t>spriteset_steam_New_Zealand_NZR_X_Class_engine1</t>
  </si>
  <si>
    <t>spriteset_steam_New_Zealand_NZR_X_Class_purchase</t>
  </si>
  <si>
    <t>switch_steam_New_Zealand_NZR_WAB_animation</t>
  </si>
  <si>
    <t>spriteset_steam_New_Zealand_NZR_WAB_tender</t>
  </si>
  <si>
    <t>spriteset_steam_New_Zealand_NZR_WAB_engine2</t>
  </si>
  <si>
    <t>spriteset_steam_New_Zealand_NZR_WAB_engine1</t>
  </si>
  <si>
    <t>spriteset_steam_New_Zealand_NZR_WAB_purchase</t>
  </si>
  <si>
    <t>switch_steam_Netherlands_NS_8100_animation</t>
  </si>
  <si>
    <t>spriteset_steam_Netherlands_NS_8100_engine2</t>
  </si>
  <si>
    <t>spriteset_steam_Netherlands_NS_8100_engine1</t>
  </si>
  <si>
    <t>spriteset_steam_Netherlands_NS_8100_purchase</t>
  </si>
  <si>
    <t>switch_steam_Netherlands_NS_700_articulated</t>
  </si>
  <si>
    <t>switch_steam_Netherlands_NS_700_length</t>
  </si>
  <si>
    <t>switch_steam_Netherlands_NS_700_visual_effect</t>
  </si>
  <si>
    <t>switch_steam_Netherlands_NS_700_position</t>
  </si>
  <si>
    <t>switch_steam_Netherlands_NS_700_animation</t>
  </si>
  <si>
    <t>spriteset_steam_Netherlands_NS_700_tender</t>
  </si>
  <si>
    <t>spriteset_steam_Netherlands_NS_700_engine2</t>
  </si>
  <si>
    <t>spriteset_steam_Netherlands_NS_700_engine1</t>
  </si>
  <si>
    <t>spriteset_steam_Netherlands_NS_700_purchase</t>
  </si>
  <si>
    <t>switch_steam_Netherlands_NS_6300_animation</t>
  </si>
  <si>
    <t>spriteset_steam_Netherlands_NS_6300_engine2</t>
  </si>
  <si>
    <t>spriteset_steam_Netherlands_NS_6300_engine1</t>
  </si>
  <si>
    <t>spriteset_steam_Netherlands_NS_6300_purchase</t>
  </si>
  <si>
    <t>switch_steam_Netherlands_NRS_11_articulated</t>
  </si>
  <si>
    <t>switch_steam_Netherlands_NRS_11_length</t>
  </si>
  <si>
    <t>switch_steam_Netherlands_NRS_11_visual_effect</t>
  </si>
  <si>
    <t>switch_steam_Netherlands_NRS_11_position</t>
  </si>
  <si>
    <t>switch_steam_Netherlands_NRS_11_animation</t>
  </si>
  <si>
    <t>spriteset_steam_Netherlands_NRS_11_tender</t>
  </si>
  <si>
    <t>spriteset_steam_Netherlands_NRS_11_engine2</t>
  </si>
  <si>
    <t>spriteset_steam_Netherlands_NRS_11_engine1</t>
  </si>
  <si>
    <t>spriteset_steam_Netherlands_NRS_11_purchase</t>
  </si>
  <si>
    <t>switch_steam_Mozambique_Beira_Railway_BR6_F2_Falcon_articulated</t>
  </si>
  <si>
    <t>switch_steam_Mozambique_Beira_Railway_BR6_F2_Falcon_length</t>
  </si>
  <si>
    <t>switch_steam_Mozambique_Beira_Railway_BR6_F2_Falcon_visual_effect</t>
  </si>
  <si>
    <t>switch_steam_Mozambique_Beira_Railway_BR6_F2_Falcon_position</t>
  </si>
  <si>
    <t>switch_steam_Mozambique_Beira_Railway_BR6_F2_Falcon_animation</t>
  </si>
  <si>
    <t>spriteset_steam_Mozambique_Beira_Railway_BR6_F2_Falcon_tender</t>
  </si>
  <si>
    <t>spriteset_steam_Mozambique_Beira_Railway_BR6_F2_Falcon_engine2</t>
  </si>
  <si>
    <t>spriteset_steam_Mozambique_Beira_Railway_BR6_F2_Falcon_engine1</t>
  </si>
  <si>
    <t>spriteset_steam_Mozambique_Beira_Railway_BR6_F2_Falcon_purchase</t>
  </si>
  <si>
    <t>switch_steam_Kenya_East_African_Railway_31_articulated</t>
  </si>
  <si>
    <t>switch_steam_Kenya_East_African_Railway_31_length</t>
  </si>
  <si>
    <t>switch_steam_Kenya_East_African_Railway_31_visual_effect</t>
  </si>
  <si>
    <t>switch_steam_Kenya_East_African_Railway_31_position</t>
  </si>
  <si>
    <t>switch_steam_Kenya_East_African_Railway_31_animation</t>
  </si>
  <si>
    <t>spriteset_steam_Kenya_East_African_Railway_31_tender</t>
  </si>
  <si>
    <t>spriteset_steam_Kenya_East_African_Railway_31_engine2</t>
  </si>
  <si>
    <t>spriteset_steam_Kenya_East_African_Railway_31_engine1</t>
  </si>
  <si>
    <t>spriteset_steam_Kenya_East_African_Railway_31_purchase</t>
  </si>
  <si>
    <t>switch_steam_Kenya_East_African_Railway_23_articulated</t>
  </si>
  <si>
    <t>switch_steam_Kenya_East_African_Railway_23_length</t>
  </si>
  <si>
    <t>switch_steam_Kenya_East_African_Railway_23_visual_effect</t>
  </si>
  <si>
    <t>switch_steam_Kenya_East_African_Railway_23_position</t>
  </si>
  <si>
    <t>switch_steam_Kenya_East_African_Railway_23_animation</t>
  </si>
  <si>
    <t>spriteset_steam_Kenya_East_African_Railway_23_tender</t>
  </si>
  <si>
    <t>spriteset_steam_Kenya_East_African_Railway_23_engine2</t>
  </si>
  <si>
    <t>spriteset_steam_Kenya_East_African_Railway_23_engine1</t>
  </si>
  <si>
    <t>spriteset_steam_Kenya_East_African_Railway_23_purchase</t>
  </si>
  <si>
    <t>switch_steam_Kenya_East_African_Railway_21_articulated</t>
  </si>
  <si>
    <t>switch_steam_Kenya_East_African_Railway_21_length</t>
  </si>
  <si>
    <t>switch_steam_Kenya_East_African_Railway_21_visual_effect</t>
  </si>
  <si>
    <t>switch_steam_Kenya_East_African_Railway_21_position</t>
  </si>
  <si>
    <t>switch_steam_Kenya_East_African_Railway_21_animation</t>
  </si>
  <si>
    <t>spriteset_steam_Kenya_East_African_Railway_21_tender</t>
  </si>
  <si>
    <t>spriteset_steam_Kenya_East_African_Railway_21_engine2</t>
  </si>
  <si>
    <t>spriteset_steam_Kenya_East_African_Railway_21_engine1</t>
  </si>
  <si>
    <t>spriteset_steam_Kenya_East_African_Railway_21_purchase</t>
  </si>
  <si>
    <t>switch_steam_Japan_JNR_D50_articulated</t>
  </si>
  <si>
    <t>switch_steam_Japan_JNR_D50_length</t>
  </si>
  <si>
    <t>switch_steam_Japan_JNR_D50_visual_effect</t>
  </si>
  <si>
    <t>switch_steam_Japan_JNR_D50_position</t>
  </si>
  <si>
    <t>switch_steam_Japan_JNR_D50_animation</t>
  </si>
  <si>
    <t>spriteset_steam_Japan_JNR_D50_tender</t>
  </si>
  <si>
    <t>spriteset_steam_Japan_JNR_D50_engine2</t>
  </si>
  <si>
    <t>spriteset_steam_Japan_JNR_D50_engine1</t>
  </si>
  <si>
    <t>spriteset_steam_Japan_JNR_D50_purchase</t>
  </si>
  <si>
    <t>switch_steam_Japan_JNR_Class_E10_animation</t>
  </si>
  <si>
    <t>spriteset_steam_Japan_JNR_Class_E10_engine2</t>
  </si>
  <si>
    <t>spriteset_steam_Japan_JNR_Class_E10_engine1</t>
  </si>
  <si>
    <t>spriteset_steam_Japan_JNR_Class_E10_purchase</t>
  </si>
  <si>
    <t>switch_steam_Japan_JNR_9600_articulated</t>
  </si>
  <si>
    <t>switch_steam_Japan_JNR_9600_length</t>
  </si>
  <si>
    <t>switch_steam_Japan_JNR_9600_visual_effect</t>
  </si>
  <si>
    <t>switch_steam_Japan_JNR_9600_position</t>
  </si>
  <si>
    <t>switch_steam_Japan_JNR_9600_animation</t>
  </si>
  <si>
    <t>spriteset_steam_Japan_JNR_9600_tender</t>
  </si>
  <si>
    <t>spriteset_steam_Japan_JNR_9600_engine2</t>
  </si>
  <si>
    <t>spriteset_steam_Japan_JNR_9600_engine1</t>
  </si>
  <si>
    <t>spriteset_steam_Japan_JNR_9600_purchase</t>
  </si>
  <si>
    <t>switch_steam_Japan_JNR_860_animation</t>
  </si>
  <si>
    <t>spriteset_steam_Japan_JNR_860_tender</t>
  </si>
  <si>
    <t>spriteset_steam_Japan_JNR_860_engine2</t>
  </si>
  <si>
    <t>spriteset_steam_Japan_JNR_860_engine1</t>
  </si>
  <si>
    <t>spriteset_steam_Japan_JNR_860_purchase</t>
  </si>
  <si>
    <t>switch_steam_Japan_JNR_7100_articulated</t>
  </si>
  <si>
    <t>switch_steam_Japan_JNR_7100_length</t>
  </si>
  <si>
    <t>switch_steam_Japan_JNR_7100_visual_effect</t>
  </si>
  <si>
    <t>switch_steam_Japan_JNR_7100_position</t>
  </si>
  <si>
    <t>switch_steam_Japan_JNR_7100_animation</t>
  </si>
  <si>
    <t>spriteset_steam_Japan_JNR_7100_tender</t>
  </si>
  <si>
    <t>spriteset_steam_Japan_JNR_7100_engine2</t>
  </si>
  <si>
    <t>spriteset_steam_Japan_JNR_7100_engine1</t>
  </si>
  <si>
    <t>spriteset_steam_Japan_JNR_7100_purchase</t>
  </si>
  <si>
    <t>switch_steam_Italy_FS_895_animation</t>
  </si>
  <si>
    <t>spriteset_steam_Italy_FS_895_engine2</t>
  </si>
  <si>
    <t>spriteset_steam_Italy_FS_895_engine1</t>
  </si>
  <si>
    <t>spriteset_steam_Italy_FS_895_purchase</t>
  </si>
  <si>
    <t>switch_steam_Italy_FS_880_animation</t>
  </si>
  <si>
    <t>spriteset_steam_Italy_FS_880_engine2</t>
  </si>
  <si>
    <t>spriteset_steam_Italy_FS_880_engine1</t>
  </si>
  <si>
    <t>spriteset_steam_Italy_FS_880_purchase</t>
  </si>
  <si>
    <t>switch_steam_Italy_FS_691_articulated</t>
  </si>
  <si>
    <t>switch_steam_Italy_FS_691_length</t>
  </si>
  <si>
    <t>switch_steam_Italy_FS_691_visual_effect</t>
  </si>
  <si>
    <t>switch_steam_Italy_FS_691_position</t>
  </si>
  <si>
    <t>switch_steam_Italy_FS_691_animation</t>
  </si>
  <si>
    <t>spriteset_steam_Italy_FS_691_tender</t>
  </si>
  <si>
    <t>spriteset_steam_Italy_FS_691_engine2</t>
  </si>
  <si>
    <t>spriteset_steam_Italy_FS_691_engine1</t>
  </si>
  <si>
    <t>spriteset_steam_Italy_FS_691_purchase</t>
  </si>
  <si>
    <t>switch_steam_Italy_FS_480_articulated</t>
  </si>
  <si>
    <t>switch_steam_Italy_FS_480_length</t>
  </si>
  <si>
    <t>switch_steam_Italy_FS_480_visual_effect</t>
  </si>
  <si>
    <t>switch_steam_Italy_FS_480_position</t>
  </si>
  <si>
    <t>switch_steam_Italy_FS_480_animation</t>
  </si>
  <si>
    <t>spriteset_steam_Italy_FS_480_tender</t>
  </si>
  <si>
    <t>spriteset_steam_Italy_FS_480_engine2</t>
  </si>
  <si>
    <t>spriteset_steam_Italy_FS_480_engine1</t>
  </si>
  <si>
    <t>spriteset_steam_Italy_FS_480_purchase</t>
  </si>
  <si>
    <t>switch_steam_Israel_Israel_Railways_H_articulated</t>
  </si>
  <si>
    <t>switch_steam_Israel_Israel_Railways_H_length</t>
  </si>
  <si>
    <t>switch_steam_Israel_Israel_Railways_H_visual_effect</t>
  </si>
  <si>
    <t>switch_steam_Israel_Israel_Railways_H_position</t>
  </si>
  <si>
    <t>switch_steam_Israel_Israel_Railways_H_animation</t>
  </si>
  <si>
    <t>spriteset_steam_Israel_Israel_Railways_H_tender</t>
  </si>
  <si>
    <t>spriteset_steam_Israel_Israel_Railways_H_engine2</t>
  </si>
  <si>
    <t>spriteset_steam_Israel_Israel_Railways_H_engine1</t>
  </si>
  <si>
    <t>spriteset_steam_Israel_Israel_Railways_H_purchase</t>
  </si>
  <si>
    <t>switch_steam_Ireland_GS_WR_101_articulated</t>
  </si>
  <si>
    <t>switch_steam_Ireland_GS_WR_101_length</t>
  </si>
  <si>
    <t>switch_steam_Ireland_GS_WR_101_visual_effect</t>
  </si>
  <si>
    <t>switch_steam_Ireland_GS_WR_101_position</t>
  </si>
  <si>
    <t>switch_steam_Ireland_GS_WR_101_animation</t>
  </si>
  <si>
    <t>spriteset_steam_Ireland_GS_WR_101_tender</t>
  </si>
  <si>
    <t>spriteset_steam_Ireland_GS_WR_101_engine2</t>
  </si>
  <si>
    <t>spriteset_steam_Ireland_GS_WR_101_engine1</t>
  </si>
  <si>
    <t>spriteset_steam_Ireland_GS_WR_101_purchase</t>
  </si>
  <si>
    <t>switch_steam_Ireland_DSER_15_articulated</t>
  </si>
  <si>
    <t>switch_steam_Ireland_DSER_15_length</t>
  </si>
  <si>
    <t>switch_steam_Ireland_DSER_15_visual_effect</t>
  </si>
  <si>
    <t>switch_steam_Ireland_DSER_15_position</t>
  </si>
  <si>
    <t>switch_steam_Ireland_DSER_15_animation</t>
  </si>
  <si>
    <t>spriteset_steam_Ireland_DSER_15_tender</t>
  </si>
  <si>
    <t>spriteset_steam_Ireland_DSER_15_engine2</t>
  </si>
  <si>
    <t>spriteset_steam_Ireland_DSER_15_engine1</t>
  </si>
  <si>
    <t>spriteset_steam_Ireland_DSER_15_purchase</t>
  </si>
  <si>
    <t>switch_steam_Iraq_Iraqi_State_Railways_PC_Class_articulated</t>
  </si>
  <si>
    <t>switch_steam_Iraq_Iraqi_State_Railways_PC_Class_length</t>
  </si>
  <si>
    <t>switch_steam_Iraq_Iraqi_State_Railways_PC_Class_visual_effect</t>
  </si>
  <si>
    <t>switch_steam_Iraq_Iraqi_State_Railways_PC_Class_position</t>
  </si>
  <si>
    <t>switch_steam_Iraq_Iraqi_State_Railways_PC_Class_animation</t>
  </si>
  <si>
    <t>spriteset_steam_Iraq_Iraqi_State_Railways_PC_Class_tender</t>
  </si>
  <si>
    <t>spriteset_steam_Iraq_Iraqi_State_Railways_PC_Class_engine2</t>
  </si>
  <si>
    <t>spriteset_steam_Iraq_Iraqi_State_Railways_PC_Class_engine1</t>
  </si>
  <si>
    <t>spriteset_steam_Iraq_Iraqi_State_Railways_PC_Class_purchase</t>
  </si>
  <si>
    <t>switch_steam_India_Indian_Railways_XB_Class_articulated</t>
  </si>
  <si>
    <t>switch_steam_India_Indian_Railways_XB_Class_length</t>
  </si>
  <si>
    <t>switch_steam_India_Indian_Railways_XB_Class_visual_effect</t>
  </si>
  <si>
    <t>switch_steam_India_Indian_Railways_XB_Class_position</t>
  </si>
  <si>
    <t>switch_steam_India_Indian_Railways_XB_Class_animation</t>
  </si>
  <si>
    <t>spriteset_steam_India_Indian_Railways_XB_Class_tender</t>
  </si>
  <si>
    <t>spriteset_steam_India_Indian_Railways_XB_Class_engine2</t>
  </si>
  <si>
    <t>spriteset_steam_India_Indian_Railways_XB_Class_engine1</t>
  </si>
  <si>
    <t>spriteset_steam_India_Indian_Railways_XB_Class_purchase</t>
  </si>
  <si>
    <t>switch_steam_India_Fairy_Queen_animation</t>
  </si>
  <si>
    <t>spriteset_steam_India_Fairy_Queen_tender</t>
  </si>
  <si>
    <t>spriteset_steam_India_Fairy_Queen_engine2</t>
  </si>
  <si>
    <t>spriteset_steam_India_Fairy_Queen_engine1</t>
  </si>
  <si>
    <t>spriteset_steam_India_Fairy_Queen_purchase</t>
  </si>
  <si>
    <t>switch_steam_India_DHR_B_articulated</t>
  </si>
  <si>
    <t>switch_steam_India_DHR_B_length</t>
  </si>
  <si>
    <t>switch_steam_India_DHR_B_visual_effect</t>
  </si>
  <si>
    <t>switch_steam_India_DHR_B_position</t>
  </si>
  <si>
    <t>switch_steam_India_DHR_B_animation</t>
  </si>
  <si>
    <t>spriteset_steam_India_DHR_B_tender</t>
  </si>
  <si>
    <t>spriteset_steam_India_DHR_B_engine2</t>
  </si>
  <si>
    <t>spriteset_steam_India_DHR_B_engine1</t>
  </si>
  <si>
    <t>spriteset_steam_India_DHR_B_purchase</t>
  </si>
  <si>
    <t>switch_steam_Hungary_MAV_377_animation</t>
  </si>
  <si>
    <t>spriteset_steam_Hungary_MAV_377_engine2</t>
  </si>
  <si>
    <t>spriteset_steam_Hungary_MAV_377_engine1</t>
  </si>
  <si>
    <t>spriteset_steam_Hungary_MAV_377_purchase</t>
  </si>
  <si>
    <t>switch_steam_Hungary_MAV_242_animation</t>
  </si>
  <si>
    <t>spriteset_steam_Hungary_MAV_242_tender</t>
  </si>
  <si>
    <t>spriteset_steam_Hungary_MAV_242_engine2</t>
  </si>
  <si>
    <t>spriteset_steam_Hungary_MAV_242_engine1</t>
  </si>
  <si>
    <t>spriteset_steam_Hungary_MAV_242_purchase</t>
  </si>
  <si>
    <t>switch_steam_Greece_SEK_Lb_articulated</t>
  </si>
  <si>
    <t>switch_steam_Greece_SEK_Lb_length</t>
  </si>
  <si>
    <t>switch_steam_Greece_SEK_Lb_visual_effect</t>
  </si>
  <si>
    <t>switch_steam_Greece_SEK_Lb_position</t>
  </si>
  <si>
    <t>switch_steam_Greece_SEK_Lb_animation</t>
  </si>
  <si>
    <t>spriteset_steam_Greece_SEK_Lb_tender</t>
  </si>
  <si>
    <t>spriteset_steam_Greece_SEK_Lb_engine2</t>
  </si>
  <si>
    <t>spriteset_steam_Greece_SEK_Lb_engine1</t>
  </si>
  <si>
    <t>spriteset_steam_Greece_SEK_Lb_purchase</t>
  </si>
  <si>
    <t>switch_steam_Germany_Saxon_XX_HV_articulated</t>
  </si>
  <si>
    <t>switch_steam_Germany_Saxon_XX_HV_length</t>
  </si>
  <si>
    <t>switch_steam_Germany_Saxon_XX_HV_visual_effect</t>
  </si>
  <si>
    <t>switch_steam_Germany_Saxon_XX_HV_position</t>
  </si>
  <si>
    <t>switch_steam_Germany_Saxon_XX_HV_animation</t>
  </si>
  <si>
    <t>spriteset_steam_Germany_Saxon_XX_HV_tender</t>
  </si>
  <si>
    <t>spriteset_steam_Germany_Saxon_XX_HV_engine2</t>
  </si>
  <si>
    <t>spriteset_steam_Germany_Saxon_XX_HV_engine1</t>
  </si>
  <si>
    <t>spriteset_steam_Germany_Saxon_XX_HV_purchase</t>
  </si>
  <si>
    <t>switch_steam_Germany_Saxon_IV_K_animation</t>
  </si>
  <si>
    <t>spriteset_steam_Germany_Saxon_IV_K_engine2</t>
  </si>
  <si>
    <t>spriteset_steam_Germany_Saxon_IV_K_engine1</t>
  </si>
  <si>
    <t>spriteset_steam_Germany_Saxon_IV_K_purchase</t>
  </si>
  <si>
    <t>switch_steam_Germany_Prussian_S_3_articulated</t>
  </si>
  <si>
    <t>switch_steam_Germany_Prussian_S_3_length</t>
  </si>
  <si>
    <t>switch_steam_Germany_Prussian_S_3_visual_effect</t>
  </si>
  <si>
    <t>switch_steam_Germany_Prussian_S_3_position</t>
  </si>
  <si>
    <t>switch_steam_Germany_Prussian_S_3_animation</t>
  </si>
  <si>
    <t>spriteset_steam_Germany_Prussian_S_3_tender</t>
  </si>
  <si>
    <t>spriteset_steam_Germany_Prussian_S_3_engine2</t>
  </si>
  <si>
    <t>spriteset_steam_Germany_Prussian_S_3_engine1</t>
  </si>
  <si>
    <t>spriteset_steam_Germany_Prussian_S_3_purchase</t>
  </si>
  <si>
    <t>switch_steam_Germany_Prussian_S10_articulated</t>
  </si>
  <si>
    <t>switch_steam_Germany_Prussian_S10_length</t>
  </si>
  <si>
    <t>switch_steam_Germany_Prussian_S10_visual_effect</t>
  </si>
  <si>
    <t>switch_steam_Germany_Prussian_S10_position</t>
  </si>
  <si>
    <t>switch_steam_Germany_Prussian_S10_animation</t>
  </si>
  <si>
    <t>spriteset_steam_Germany_Prussian_S10_tender</t>
  </si>
  <si>
    <t>spriteset_steam_Germany_Prussian_S10_engine2</t>
  </si>
  <si>
    <t>spriteset_steam_Germany_Prussian_S10_engine1</t>
  </si>
  <si>
    <t>spriteset_steam_Germany_Prussian_S10_purchase</t>
  </si>
  <si>
    <t>switch_steam_Germany_DB_9977_79_animation</t>
  </si>
  <si>
    <t>spriteset_steam_Germany_DB_9977_79_engine2</t>
  </si>
  <si>
    <t>spriteset_steam_Germany_DB_9977_79_engine1</t>
  </si>
  <si>
    <t>spriteset_steam_Germany_DB_9977_79_purchase</t>
  </si>
  <si>
    <t>switch_steam_Germany_DB_52_articulated</t>
  </si>
  <si>
    <t>switch_steam_Germany_DB_52_length</t>
  </si>
  <si>
    <t>switch_steam_Germany_DB_52_visual_effect</t>
  </si>
  <si>
    <t>switch_steam_Germany_DB_52_position</t>
  </si>
  <si>
    <t>switch_steam_Germany_DB_52_animation</t>
  </si>
  <si>
    <t>spriteset_steam_Germany_DB_52_tender</t>
  </si>
  <si>
    <t>spriteset_steam_Germany_DB_52_engine2</t>
  </si>
  <si>
    <t>spriteset_steam_Germany_DB_52_engine1</t>
  </si>
  <si>
    <t>spriteset_steam_Germany_DB_52_purchase</t>
  </si>
  <si>
    <t>switch_steam_Germany_DB_18_201_articulated</t>
  </si>
  <si>
    <t>switch_steam_Germany_DB_18_201_length</t>
  </si>
  <si>
    <t>switch_steam_Germany_DB_18_201_visual_effect</t>
  </si>
  <si>
    <t>switch_steam_Germany_DB_18_201_position</t>
  </si>
  <si>
    <t>switch_steam_Germany_DB_18_201_animation</t>
  </si>
  <si>
    <t>spriteset_steam_Germany_DB_18_201_tender</t>
  </si>
  <si>
    <t>spriteset_steam_Germany_DB_18_201_engine2</t>
  </si>
  <si>
    <t>spriteset_steam_Germany_DB_18_201_engine1</t>
  </si>
  <si>
    <t>spriteset_steam_Germany_DB_18_201_purchase</t>
  </si>
  <si>
    <t>switch_steam_France_SNCF_150B_articulated</t>
  </si>
  <si>
    <t>switch_steam_France_SNCF_150B_length</t>
  </si>
  <si>
    <t>switch_steam_France_SNCF_150B_visual_effect</t>
  </si>
  <si>
    <t>switch_steam_France_SNCF_150B_position</t>
  </si>
  <si>
    <t>switch_steam_France_SNCF_150B_animation</t>
  </si>
  <si>
    <t>spriteset_steam_France_SNCF_150B_tender</t>
  </si>
  <si>
    <t>spriteset_steam_France_SNCF_150B_engine2</t>
  </si>
  <si>
    <t>spriteset_steam_France_SNCF_150B_engine1</t>
  </si>
  <si>
    <t>spriteset_steam_France_SNCF_150B_purchase</t>
  </si>
  <si>
    <t>switch_steam_France_SNCF_141TA_animation</t>
  </si>
  <si>
    <t>spriteset_steam_France_SNCF_141TA_engine2</t>
  </si>
  <si>
    <t>spriteset_steam_France_SNCF_141TA_engine1</t>
  </si>
  <si>
    <t>spriteset_steam_France_SNCF_141TA_purchase</t>
  </si>
  <si>
    <t>switch_steam_France_SNCF_140C_articulated</t>
  </si>
  <si>
    <t>switch_steam_France_SNCF_140C_length</t>
  </si>
  <si>
    <t>switch_steam_France_SNCF_140C_visual_effect</t>
  </si>
  <si>
    <t>switch_steam_France_SNCF_140C_position</t>
  </si>
  <si>
    <t>switch_steam_France_SNCF_140C_animation</t>
  </si>
  <si>
    <t>spriteset_steam_France_SNCF_140C_tender</t>
  </si>
  <si>
    <t>spriteset_steam_France_SNCF_140C_engine2</t>
  </si>
  <si>
    <t>spriteset_steam_France_SNCF_140C_engine1</t>
  </si>
  <si>
    <t>spriteset_steam_France_SNCF_140C_purchase</t>
  </si>
  <si>
    <t>switch_steam_Eritrea_Eritrean_Railway_R440_animation</t>
  </si>
  <si>
    <t>spriteset_steam_Eritrea_Eritrean_Railway_R440_tender</t>
  </si>
  <si>
    <t>spriteset_steam_Eritrea_Eritrean_Railway_R440_engine2</t>
  </si>
  <si>
    <t>spriteset_steam_Eritrea_Eritrean_Railway_R440_engine1</t>
  </si>
  <si>
    <t>spriteset_steam_Eritrea_Eritrean_Railway_R440_purchase</t>
  </si>
  <si>
    <t>switch_steam_Egypt_ENR_1100_animation</t>
  </si>
  <si>
    <t>spriteset_steam_Egypt_ENR_1100_engine2</t>
  </si>
  <si>
    <t>spriteset_steam_Egypt_ENR_1100_engine1</t>
  </si>
  <si>
    <t>spriteset_steam_Egypt_ENR_1100_purchase</t>
  </si>
  <si>
    <t>switch_steam_Denmark_DSB_E_articulated</t>
  </si>
  <si>
    <t>switch_steam_Denmark_DSB_E_length</t>
  </si>
  <si>
    <t>switch_steam_Denmark_DSB_E_visual_effect</t>
  </si>
  <si>
    <t>switch_steam_Denmark_DSB_E_position</t>
  </si>
  <si>
    <t>switch_steam_Denmark_DSB_E_animation</t>
  </si>
  <si>
    <t>spriteset_steam_Denmark_DSB_E_tender</t>
  </si>
  <si>
    <t>spriteset_steam_Denmark_DSB_E_engine2</t>
  </si>
  <si>
    <t>spriteset_steam_Denmark_DSB_E_engine1</t>
  </si>
  <si>
    <t>spriteset_steam_Denmark_DSB_E_purchase</t>
  </si>
  <si>
    <t>switch_steam_Czech_Republic_CD_5341_articulated</t>
  </si>
  <si>
    <t>switch_steam_Czech_Republic_CD_5341_length</t>
  </si>
  <si>
    <t>switch_steam_Czech_Republic_CD_5341_visual_effect</t>
  </si>
  <si>
    <t>switch_steam_Czech_Republic_CD_5341_position</t>
  </si>
  <si>
    <t>switch_steam_Czech_Republic_CD_5341_animation</t>
  </si>
  <si>
    <t>spriteset_steam_Czech_Republic_CD_5341_tender</t>
  </si>
  <si>
    <t>spriteset_steam_Czech_Republic_CD_5341_engine2</t>
  </si>
  <si>
    <t>spriteset_steam_Czech_Republic_CD_5341_engine1</t>
  </si>
  <si>
    <t>spriteset_steam_Czech_Republic_CD_5341_purchase</t>
  </si>
  <si>
    <t>switch_steam_Czech_Republic_CD_4590_articulated</t>
  </si>
  <si>
    <t>switch_steam_Czech_Republic_CD_4590_length</t>
  </si>
  <si>
    <t>switch_steam_Czech_Republic_CD_4590_visual_effect</t>
  </si>
  <si>
    <t>switch_steam_Czech_Republic_CD_4590_position</t>
  </si>
  <si>
    <t>switch_steam_Czech_Republic_CD_4590_animation</t>
  </si>
  <si>
    <t>spriteset_steam_Czech_Republic_CD_4590_tender</t>
  </si>
  <si>
    <t>spriteset_steam_Czech_Republic_CD_4590_engine2</t>
  </si>
  <si>
    <t>spriteset_steam_Czech_Republic_CD_4590_engine1</t>
  </si>
  <si>
    <t>spriteset_steam_Czech_Republic_CD_4590_purchase</t>
  </si>
  <si>
    <t>switch_steam_Croatia_HZ_51_animation</t>
  </si>
  <si>
    <t>spriteset_steam_Croatia_HZ_51_engine2</t>
  </si>
  <si>
    <t>spriteset_steam_Croatia_HZ_51_engine1</t>
  </si>
  <si>
    <t>spriteset_steam_Croatia_HZ_51_purchase</t>
  </si>
  <si>
    <t>switch_steam_Croatia_HZ_11_articulated</t>
  </si>
  <si>
    <t>switch_steam_Croatia_HZ_11_length</t>
  </si>
  <si>
    <t>switch_steam_Croatia_HZ_11_visual_effect</t>
  </si>
  <si>
    <t>switch_steam_Croatia_HZ_11_position</t>
  </si>
  <si>
    <t>switch_steam_Croatia_HZ_11_animation</t>
  </si>
  <si>
    <t>spriteset_steam_Croatia_HZ_11_tender</t>
  </si>
  <si>
    <t>spriteset_steam_Croatia_HZ_11_engine2</t>
  </si>
  <si>
    <t>spriteset_steam_Croatia_HZ_11_engine1</t>
  </si>
  <si>
    <t>spriteset_steam_Croatia_HZ_11_purchase</t>
  </si>
  <si>
    <t>switch_steam_China_Railways_QJ_articulated</t>
  </si>
  <si>
    <t>switch_steam_China_Railways_QJ_length</t>
  </si>
  <si>
    <t>switch_steam_China_Railways_QJ_visual_effect</t>
  </si>
  <si>
    <t>switch_steam_China_Railways_QJ_position</t>
  </si>
  <si>
    <t>switch_steam_China_Railways_QJ_animation</t>
  </si>
  <si>
    <t>spriteset_steam_China_Railways_QJ_tender</t>
  </si>
  <si>
    <t>spriteset_steam_China_Railways_QJ_engine2</t>
  </si>
  <si>
    <t>spriteset_steam_China_Railways_QJ_engine1</t>
  </si>
  <si>
    <t>spriteset_steam_China_Railways_QJ_purchase</t>
  </si>
  <si>
    <t>switch_steam_China_China_Railways_H_articulated</t>
  </si>
  <si>
    <t>switch_steam_China_China_Railways_H_length</t>
  </si>
  <si>
    <t>switch_steam_China_China_Railways_H_visual_effect</t>
  </si>
  <si>
    <t>switch_steam_China_China_Railways_H_position</t>
  </si>
  <si>
    <t>switch_steam_China_China_Railways_H_animation</t>
  </si>
  <si>
    <t>spriteset_steam_China_China_Railways_H_tender</t>
  </si>
  <si>
    <t>spriteset_steam_China_China_Railways_H_engine2</t>
  </si>
  <si>
    <t>spriteset_steam_China_China_Railways_H_engine1</t>
  </si>
  <si>
    <t>spriteset_steam_China_China_Railways_H_purchase</t>
  </si>
  <si>
    <t>switch_steam_Chile_FCAB_4_8_2_articulated</t>
  </si>
  <si>
    <t>switch_steam_Chile_FCAB_4_8_2_length</t>
  </si>
  <si>
    <t>switch_steam_Chile_FCAB_4_8_2_visual_effect</t>
  </si>
  <si>
    <t>switch_steam_Chile_FCAB_4_8_2_position</t>
  </si>
  <si>
    <t>switch_steam_Chile_FCAB_4_8_2_animation</t>
  </si>
  <si>
    <t>spriteset_steam_Chile_FCAB_4_8_2_tender</t>
  </si>
  <si>
    <t>spriteset_steam_Chile_FCAB_4_8_2_engine2</t>
  </si>
  <si>
    <t>spriteset_steam_Chile_FCAB_4_8_2_engine1</t>
  </si>
  <si>
    <t>spriteset_steam_Chile_FCAB_4_8_2_purchase</t>
  </si>
  <si>
    <t>switch_steam_Canada_CPR_Royal_Hudson_articulated</t>
  </si>
  <si>
    <t>switch_steam_Canada_CPR_Royal_Hudson_length</t>
  </si>
  <si>
    <t>switch_steam_Canada_CPR_Royal_Hudson_visual_effect</t>
  </si>
  <si>
    <t>switch_steam_Canada_CPR_Royal_Hudson_position</t>
  </si>
  <si>
    <t>switch_steam_Canada_CPR_Royal_Hudson_animation</t>
  </si>
  <si>
    <t>spriteset_steam_Canada_CPR_Royal_Hudson_tender</t>
  </si>
  <si>
    <t>spriteset_steam_Canada_CPR_Royal_Hudson_engine2</t>
  </si>
  <si>
    <t>spriteset_steam_Canada_CPR_Royal_Hudson_engine1</t>
  </si>
  <si>
    <t>spriteset_steam_Canada_CPR_Royal_Hudson_purchase</t>
  </si>
  <si>
    <t>switch_steam_Canada_CN_U_1_Class_articulated</t>
  </si>
  <si>
    <t>switch_steam_Canada_CN_U_1_Class_length</t>
  </si>
  <si>
    <t>switch_steam_Canada_CN_U_1_Class_visual_effect</t>
  </si>
  <si>
    <t>switch_steam_Canada_CN_U_1_Class_position</t>
  </si>
  <si>
    <t>switch_steam_Canada_CN_U_1_Class_animation</t>
  </si>
  <si>
    <t>spriteset_steam_Canada_CN_U_1_Class_tender</t>
  </si>
  <si>
    <t>spriteset_steam_Canada_CN_U_1_Class_engine2</t>
  </si>
  <si>
    <t>spriteset_steam_Canada_CN_U_1_Class_engine1</t>
  </si>
  <si>
    <t>spriteset_steam_Canada_CN_U_1_Class_purchase</t>
  </si>
  <si>
    <t>switch_steam_Canada_Canadian_Pacific_374_articulated</t>
  </si>
  <si>
    <t>switch_steam_Canada_Canadian_Pacific_374_length</t>
  </si>
  <si>
    <t>switch_steam_Canada_Canadian_Pacific_374_visual_effect</t>
  </si>
  <si>
    <t>switch_steam_Canada_Canadian_Pacific_374_position</t>
  </si>
  <si>
    <t>switch_steam_Canada_Canadian_Pacific_374_animation</t>
  </si>
  <si>
    <t>spriteset_steam_Canada_Canadian_Pacific_374_tender</t>
  </si>
  <si>
    <t>spriteset_steam_Canada_Canadian_Pacific_374_engine2</t>
  </si>
  <si>
    <t>spriteset_steam_Canada_Canadian_Pacific_374_engine1</t>
  </si>
  <si>
    <t>spriteset_steam_Canada_Canadian_Pacific_374_purchase</t>
  </si>
  <si>
    <t>switch_steam_Belgium_NMBS_Type_7_articulated</t>
  </si>
  <si>
    <t>switch_steam_Belgium_NMBS_Type_7_length</t>
  </si>
  <si>
    <t>switch_steam_Belgium_NMBS_Type_7_visual_effect</t>
  </si>
  <si>
    <t>switch_steam_Belgium_NMBS_Type_7_position</t>
  </si>
  <si>
    <t>switch_steam_Belgium_NMBS_Type_7_animation</t>
  </si>
  <si>
    <t>spriteset_steam_Belgium_NMBS_Type_7_tender</t>
  </si>
  <si>
    <t>spriteset_steam_Belgium_NMBS_Type_7_engine2</t>
  </si>
  <si>
    <t>spriteset_steam_Belgium_NMBS_Type_7_engine1</t>
  </si>
  <si>
    <t>spriteset_steam_Belgium_NMBS_Type_7_purchase</t>
  </si>
  <si>
    <t>switch_steam_Belgium_NMBS_SNCB_Type_29_articulated</t>
  </si>
  <si>
    <t>switch_steam_Belgium_NMBS_SNCB_Type_29_length</t>
  </si>
  <si>
    <t>switch_steam_Belgium_NMBS_SNCB_Type_29_visual_effect</t>
  </si>
  <si>
    <t>switch_steam_Belgium_NMBS_SNCB_Type_29_position</t>
  </si>
  <si>
    <t>switch_steam_Belgium_NMBS_SNCB_Type_29_animation</t>
  </si>
  <si>
    <t>spriteset_steam_Belgium_NMBS_SNCB_Type_29_tender</t>
  </si>
  <si>
    <t>spriteset_steam_Belgium_NMBS_SNCB_Type_29_engine2</t>
  </si>
  <si>
    <t>spriteset_steam_Belgium_NMBS_SNCB_Type_29_engine1</t>
  </si>
  <si>
    <t>spriteset_steam_Belgium_NMBS_SNCB_Type_29_purchase</t>
  </si>
  <si>
    <t>switch_steam_Belgium_Le_Belge_animation</t>
  </si>
  <si>
    <t>spriteset_steam_Belgium_Le_Belge_engine2</t>
  </si>
  <si>
    <t>spriteset_steam_Belgium_Le_Belge_engine1</t>
  </si>
  <si>
    <t>spriteset_steam_Belgium_Le_Belge_purchase</t>
  </si>
  <si>
    <t>switch_steam_Austria_KkStB_99_animation</t>
  </si>
  <si>
    <t>spriteset_steam_Austria_KkStB_99_engine2</t>
  </si>
  <si>
    <t>spriteset_steam_Austria_KkStB_99_engine1</t>
  </si>
  <si>
    <t>spriteset_steam_Austria_KkStB_99_purchase</t>
  </si>
  <si>
    <t>switch_steam_Austria_KKStB_310_articulated</t>
  </si>
  <si>
    <t>switch_steam_Austria_KKStB_310_length</t>
  </si>
  <si>
    <t>switch_steam_Austria_KKStB_310_visual_effect</t>
  </si>
  <si>
    <t>switch_steam_Austria_KKStB_310_position</t>
  </si>
  <si>
    <t>switch_steam_Austria_KKStB_310_animation</t>
  </si>
  <si>
    <t>spriteset_steam_Austria_KKStB_310_tender</t>
  </si>
  <si>
    <t>spriteset_steam_Austria_KKStB_310_engine2</t>
  </si>
  <si>
    <t>spriteset_steam_Austria_KKStB_310_engine1</t>
  </si>
  <si>
    <t>spriteset_steam_Austria_KKStB_310_purchase</t>
  </si>
  <si>
    <t>switch_steam_Austria_KkStB_299_animation</t>
  </si>
  <si>
    <t>spriteset_steam_Austria_KkStB_299_engine2</t>
  </si>
  <si>
    <t>spriteset_steam_Austria_KkStB_299_engine1</t>
  </si>
  <si>
    <t>spriteset_steam_Austria_KkStB_299_purchase</t>
  </si>
  <si>
    <t>switch_steam_Australia_Victorian_Railways_R_Class_articulated</t>
  </si>
  <si>
    <t>switch_steam_Australia_Victorian_Railways_R_Class_length</t>
  </si>
  <si>
    <t>switch_steam_Australia_Victorian_Railways_R_Class_visual_effect</t>
  </si>
  <si>
    <t>switch_steam_Australia_Victorian_Railways_R_Class_position</t>
  </si>
  <si>
    <t>switch_steam_Australia_Victorian_Railways_R_Class_animation</t>
  </si>
  <si>
    <t>spriteset_steam_Australia_Victorian_Railways_R_Class_tender</t>
  </si>
  <si>
    <t>spriteset_steam_Australia_Victorian_Railways_R_Class_engine2</t>
  </si>
  <si>
    <t>spriteset_steam_Australia_Victorian_Railways_R_Class_engine1</t>
  </si>
  <si>
    <t>spriteset_steam_Australia_Victorian_Railways_R_Class_purchase</t>
  </si>
  <si>
    <t>switch_steam_Australia_South_Australian_Railways_520_articulated</t>
  </si>
  <si>
    <t>switch_steam_Australia_South_Australian_Railways_520_length</t>
  </si>
  <si>
    <t>switch_steam_Australia_South_Australian_Railways_520_visual_effect</t>
  </si>
  <si>
    <t>switch_steam_Australia_South_Australian_Railways_520_position</t>
  </si>
  <si>
    <t>switch_steam_Australia_South_Australian_Railways_520_animation</t>
  </si>
  <si>
    <t>spriteset_steam_Australia_South_Australian_Railways_520_tender</t>
  </si>
  <si>
    <t>spriteset_steam_Australia_South_Australian_Railways_520_engine2</t>
  </si>
  <si>
    <t>spriteset_steam_Australia_South_Australian_Railways_520_engine1</t>
  </si>
  <si>
    <t>spriteset_steam_Australia_South_Australian_Railways_520_purchase</t>
  </si>
  <si>
    <t>switch_steam_Australia_Sidney_Railway_Locomotive_No1_articulated</t>
  </si>
  <si>
    <t>switch_steam_Australia_Sidney_Railway_Locomotive_No1_length</t>
  </si>
  <si>
    <t>switch_steam_Australia_Sidney_Railway_Locomotive_No1_visual_effect</t>
  </si>
  <si>
    <t>switch_steam_Australia_Sidney_Railway_Locomotive_No1_position</t>
  </si>
  <si>
    <t>switch_steam_Australia_Sidney_Railway_Locomotive_No1_animation</t>
  </si>
  <si>
    <t>spriteset_steam_Australia_Sidney_Railway_Locomotive_No1_tender</t>
  </si>
  <si>
    <t>spriteset_steam_Australia_Sidney_Railway_Locomotive_No1_engine2</t>
  </si>
  <si>
    <t>spriteset_steam_Australia_Sidney_Railway_Locomotive_No1_engine1</t>
  </si>
  <si>
    <t>spriteset_steam_Australia_Sidney_Railway_Locomotive_No1_purchase</t>
  </si>
  <si>
    <t>switch_steam_Australia_NSWGR_Z25_Class_articulated</t>
  </si>
  <si>
    <t>switch_steam_Australia_NSWGR_Z25_Class_length</t>
  </si>
  <si>
    <t>switch_steam_Australia_NSWGR_Z25_Class_visual_effect</t>
  </si>
  <si>
    <t>switch_steam_Australia_NSWGR_Z25_Class_position</t>
  </si>
  <si>
    <t>switch_steam_Australia_NSWGR_Z25_Class_animation</t>
  </si>
  <si>
    <t>spriteset_steam_Australia_NSWGR_Z25_Class_tender</t>
  </si>
  <si>
    <t>spriteset_steam_Australia_NSWGR_Z25_Class_engine2</t>
  </si>
  <si>
    <t>spriteset_steam_Australia_NSWGR_Z25_Class_engine1</t>
  </si>
  <si>
    <t>spriteset_steam_Australia_NSWGR_Z25_Class_purchase</t>
  </si>
  <si>
    <t>switch_steam_Australia_NSWGR_D57_articulated</t>
  </si>
  <si>
    <t>switch_steam_Australia_NSWGR_D57_length</t>
  </si>
  <si>
    <t>switch_steam_Australia_NSWGR_D57_visual_effect</t>
  </si>
  <si>
    <t>switch_steam_Australia_NSWGR_D57_position</t>
  </si>
  <si>
    <t>switch_steam_Australia_NSWGR_D57_animation</t>
  </si>
  <si>
    <t>spriteset_steam_Australia_NSWGR_D57_tender</t>
  </si>
  <si>
    <t>spriteset_steam_Australia_NSWGR_D57_engine2</t>
  </si>
  <si>
    <t>spriteset_steam_Australia_NSWGR_D57_engine1</t>
  </si>
  <si>
    <t>spriteset_steam_Australia_NSWGR_D57_purchase</t>
  </si>
  <si>
    <t>switch_steam_Australia_NSWGR_C35_articulated</t>
  </si>
  <si>
    <t>switch_steam_Australia_NSWGR_C35_length</t>
  </si>
  <si>
    <t>switch_steam_Australia_NSWGR_C35_visual_effect</t>
  </si>
  <si>
    <t>switch_steam_Australia_NSWGR_C35_position</t>
  </si>
  <si>
    <t>switch_steam_Australia_NSWGR_C35_animation</t>
  </si>
  <si>
    <t>spriteset_steam_Australia_NSWGR_C35_tender</t>
  </si>
  <si>
    <t>spriteset_steam_Australia_NSWGR_C35_engine2</t>
  </si>
  <si>
    <t>spriteset_steam_Australia_NSWGR_C35_engine1</t>
  </si>
  <si>
    <t>spriteset_steam_Australia_NSWGR_C35_purchase</t>
  </si>
  <si>
    <t>switch_steam_Australia_NSWGR_AD60_articulated</t>
  </si>
  <si>
    <t>switch_steam_Australia_NSWGR_AD60_length</t>
  </si>
  <si>
    <t>switch_steam_Australia_NSWGR_AD60_visual_effect</t>
  </si>
  <si>
    <t>switch_steam_Australia_NSWGR_AD60_position</t>
  </si>
  <si>
    <t>switch_steam_Australia_NSWGR_AD60_animation_back</t>
  </si>
  <si>
    <t>switch_steam_Australia_NSWGR_AD60_animation_front</t>
  </si>
  <si>
    <t>spriteset_steam_Australia_NSWGR_AD60_back2</t>
  </si>
  <si>
    <t>spriteset_steam_Australia_NSWGR_AD60_back1</t>
  </si>
  <si>
    <t>spriteset_steam_Australia_NSWGR_AD60_middle</t>
  </si>
  <si>
    <t>spriteset_steam_Australia_NSWGR_AD60_front2</t>
  </si>
  <si>
    <t>spriteset_steam_Australia_NSWGR_AD60_front1</t>
  </si>
  <si>
    <t>spriteset_steam_Australia_NSWGR_AD60_purchase</t>
  </si>
  <si>
    <t>switch_steam_Argentina_FCNEA_11B_2_8_0_articulated</t>
  </si>
  <si>
    <t>switch_steam_Argentina_FCNEA_11B_2_8_0_length</t>
  </si>
  <si>
    <t>switch_steam_Argentina_FCNEA_11B_2_8_0_visual_effect</t>
  </si>
  <si>
    <t>switch_steam_Argentina_FCNEA_11B_2_8_0_position</t>
  </si>
  <si>
    <t>switch_steam_Argentina_FCNEA_11B_2_8_0_animation</t>
  </si>
  <si>
    <t>spriteset_steam_Argentina_FCNEA_11B_2_8_0_tender</t>
  </si>
  <si>
    <t>spriteset_steam_Argentina_FCNEA_11B_2_8_0_engine2</t>
  </si>
  <si>
    <t>spriteset_steam_Argentina_FCNEA_11B_2_8_0_engine1</t>
  </si>
  <si>
    <t>spriteset_steam_Argentina_FCNEA_11B_2_8_0_purchase</t>
  </si>
  <si>
    <t>switch_steam_Argentina_FCGR_315_animation</t>
  </si>
  <si>
    <t>spriteset_steam_Argentina_FCGR_315_engine2</t>
  </si>
  <si>
    <t>spriteset_steam_Argentina_FCGR_315_engine1</t>
  </si>
  <si>
    <t>spriteset_steam_Argentina_FCGR_315_purchase</t>
  </si>
  <si>
    <t>switch_steam_Argentina_FCCA_PS11_articulated</t>
  </si>
  <si>
    <t>switch_steam_Argentina_FCCA_PS11_length</t>
  </si>
  <si>
    <t>switch_steam_Argentina_FCCA_PS11_visual_effect</t>
  </si>
  <si>
    <t>switch_steam_Argentina_FCCA_PS11_position</t>
  </si>
  <si>
    <t>switch_steam_Argentina_FCCA_PS11_animation</t>
  </si>
  <si>
    <t>spriteset_steam_Argentina_FCCA_PS11_tender</t>
  </si>
  <si>
    <t>spriteset_steam_Argentina_FCCA_PS11_engine2</t>
  </si>
  <si>
    <t>spriteset_steam_Argentina_FCCA_PS11_engine1</t>
  </si>
  <si>
    <t>spriteset_steam_Argentina_FCCA_PS11_purchase</t>
  </si>
  <si>
    <t>switch_steam_Angola_South_West_African_2_8_0_articulated</t>
  </si>
  <si>
    <t>switch_steam_Angola_South_West_African_2_8_0_length</t>
  </si>
  <si>
    <t>switch_steam_Angola_South_West_African_2_8_0_visual_effect</t>
  </si>
  <si>
    <t>switch_steam_Angola_South_West_African_2_8_0_position</t>
  </si>
  <si>
    <t>switch_steam_Angola_South_West_African_2_8_0_animation</t>
  </si>
  <si>
    <t>spriteset_steam_Angola_South_West_African_2_8_0_tender</t>
  </si>
  <si>
    <t>spriteset_steam_Angola_South_West_African_2_8_0_engine2</t>
  </si>
  <si>
    <t>spriteset_steam_Angola_South_West_African_2_8_0_engine1</t>
  </si>
  <si>
    <t>spriteset_steam_Angola_South_West_African_2_8_0_purchase</t>
  </si>
  <si>
    <t>switch_steam_Albania_HSH_01_animation</t>
  </si>
  <si>
    <t>spriteset_steam_Albania_HSH_01_tender</t>
  </si>
  <si>
    <t>spriteset_steam_Albania_HSH_01_engine2</t>
  </si>
  <si>
    <t>spriteset_steam_Albania_HSH_01_engine1</t>
  </si>
  <si>
    <t>spriteset_steam_Albania_HSH_01_purchase</t>
  </si>
  <si>
    <t>spriteset_mu_MU_Wagon_Unpowered</t>
  </si>
  <si>
    <t>spriteset_mu_MU_Wagon_Unpowered_purchase</t>
  </si>
  <si>
    <t>spriteset_mu_MU_Wagon_Powered</t>
  </si>
  <si>
    <t>spriteset_mu_MU_Wagon_Powered_purchase</t>
  </si>
  <si>
    <t>spriteset_mu_MU_Cargo_Wagon_Unpowered</t>
  </si>
  <si>
    <t>spriteset_mu_MU_Cargo_Wagon_Unpowered_purchase</t>
  </si>
  <si>
    <t>spriteset_mu_MU_Cargo_Wagon_Powered</t>
  </si>
  <si>
    <t>spriteset_mu_MU_Cargo_Wagon_Powered_purchase</t>
  </si>
  <si>
    <t>spriteset_mtro_Metro_Wagon_Unpowered</t>
  </si>
  <si>
    <t>spriteset_mtro_Metro_Wagon_Unpowered_purchase</t>
  </si>
  <si>
    <t>spriteset_mtro_Metro_Wagon_Powered</t>
  </si>
  <si>
    <t>spriteset_mtro_Metro_Wagon_Powered_purchase</t>
  </si>
  <si>
    <t>spriteset_mglv_Maglev_Wagon_Unpowered</t>
  </si>
  <si>
    <t>spriteset_mglv_Maglev_Wagon_Unpowered_purchase</t>
  </si>
  <si>
    <t>spriteset_mglv_Maglev_Wagon_Powered</t>
  </si>
  <si>
    <t>spriteset_mglv_Maglev_Wagon_Powered_purchase</t>
  </si>
  <si>
    <t>spriteset_singlemtro_USA_Chicago_L_Northwest_Elevated_1907_Stock</t>
  </si>
  <si>
    <t>spriteset_singlemtro_USA_Chicago_L_Northwest_Elevated_1907_Stock_purchase</t>
  </si>
  <si>
    <t>spriteset_singlemtro_USA_Brooklyn_Union_Gate_Car</t>
  </si>
  <si>
    <t>spriteset_singlemtro_USA_Brooklyn_Union_Gate_Car_purchase</t>
  </si>
  <si>
    <t>spriteset_singlemtro_Hungary_Budapest_1894_Stock</t>
  </si>
  <si>
    <t>spriteset_singlemtro_Hungary_Budapest_1894_Stock_purchase</t>
  </si>
  <si>
    <t>spriteset_singlemtro_Germany_Berlin_U_Bahn_C_II</t>
  </si>
  <si>
    <t>spriteset_singlemtro_Germany_Berlin_U_Bahn_C_II_purchase</t>
  </si>
  <si>
    <t>switch_rbs_Switzerland_UeBB_Czm_1_2_animation</t>
  </si>
  <si>
    <t>spriteset_rbs_Switzerland_UeBB_Czm_1_2_engine2</t>
  </si>
  <si>
    <t>spriteset_rbs_Switzerland_UeBB_Czm_1_2_engine1</t>
  </si>
  <si>
    <t>spriteset_rbs_Switzerland_UeBB_Czm_1_2_purchase</t>
  </si>
  <si>
    <t>switch_rbs_South_Africa_CSAR_Railmotor_articulated</t>
  </si>
  <si>
    <t>switch_rbs_South_Africa_CSAR_Railmotor_capacity_position</t>
  </si>
  <si>
    <t>switch_rbs_South_Africa_CSAR_Railmotor_length</t>
  </si>
  <si>
    <t>switch_rbs_South_Africa_CSAR_Railmotor_visual_effect</t>
  </si>
  <si>
    <t>switch_rbs_South_Africa_CSAR_Railmotor_position</t>
  </si>
  <si>
    <t>switch_rbs_South_Africa_CSAR_Railmotor_animation</t>
  </si>
  <si>
    <t>spriteset_rbs_South_Africa_CSAR_Railmotor_engine2</t>
  </si>
  <si>
    <t>spriteset_rbs_South_Africa_CSAR_Railmotor_engine1</t>
  </si>
  <si>
    <t>spriteset_rbs_South_Africa_CSAR_Railmotor_purchase</t>
  </si>
  <si>
    <t>switch_rbs_Italy_FS_86_animation</t>
  </si>
  <si>
    <t>spriteset_rbs_Italy_FS_86_engine2</t>
  </si>
  <si>
    <t>spriteset_rbs_Italy_FS_86_engine1</t>
  </si>
  <si>
    <t>spriteset_rbs_Italy_FS_86_purchase</t>
  </si>
  <si>
    <t>spriteset_rbs_Germany_Bavarian_MCCi</t>
  </si>
  <si>
    <t>spriteset_rbs_Germany_Bavarian_MCCi_purchase</t>
  </si>
  <si>
    <t>spriteset_rbs_Austria_NOLB_1</t>
  </si>
  <si>
    <t>spriteset_rbs_Austria_NOLB_1_purchase</t>
  </si>
  <si>
    <t>switch_rbs_Austria_kkStB_4_0_animation</t>
  </si>
  <si>
    <t>spriteset_rbs_Austria_kkStB_4_0_engine2</t>
  </si>
  <si>
    <t>spriteset_rbs_Austria_kkStB_4_0_engine1</t>
  </si>
  <si>
    <t>spriteset_rbs_Austria_kkStB_4_0_purchase</t>
  </si>
  <si>
    <t>spriteset_rbs_Australia_Victorian_Railways_Rowan_Railmotor_engine2</t>
  </si>
  <si>
    <t>spriteset_rbs_Australia_Victorian_Railways_Rowan_Railmotor_engine1</t>
  </si>
  <si>
    <t>spriteset_rbs_Australia_Victorian_Railways_Rowan_Railmotor_purchase</t>
  </si>
  <si>
    <t>spriteset_rbs_Australia_Victorian_Railways_Motor_Car_3_engine2</t>
  </si>
  <si>
    <t>spriteset_rbs_Australia_Victorian_Railways_Motor_Car_3_engine1</t>
  </si>
  <si>
    <t>spriteset_rbs_Australia_Victorian_Railways_Motor_Car_3_purchase</t>
  </si>
  <si>
    <t>switch_rbm_World_Turbobus_articulated</t>
  </si>
  <si>
    <t>switch_rbm_World_Turbobus_length</t>
  </si>
  <si>
    <t>switch_rbm_World_Turbobus_position</t>
  </si>
  <si>
    <t>spriteset_rbm_World_Turbobus</t>
  </si>
  <si>
    <t>spriteset_rbm_World_Turbobus_purchase</t>
  </si>
  <si>
    <t>spriteset_rbe_USA_SEPTA_Silverliner_V</t>
  </si>
  <si>
    <t>spriteset_rbe_USA_SEPTA_Silverliner_V_purchase</t>
  </si>
  <si>
    <t>spriteset_rbe_USA_Pennsylvania_Railroad_Silverliner_II</t>
  </si>
  <si>
    <t>spriteset_rbe_USA_Pennsylvania_Railroad_Silverliner_II_purchase</t>
  </si>
  <si>
    <t>spriteset_rbe_Switzerland_TPC_BVB_Be_2_2</t>
  </si>
  <si>
    <t>spriteset_rbe_Switzerland_TPC_BVB_Be_2_2_purchase</t>
  </si>
  <si>
    <t>spriteset_rbe_Switzerland_MVR_Beh_2_4</t>
  </si>
  <si>
    <t>spriteset_rbe_Switzerland_MVR_Beh_2_4_purchase</t>
  </si>
  <si>
    <t>spriteset_rbe_Switzerland_AB_CFe_3_3</t>
  </si>
  <si>
    <t>spriteset_rbe_Switzerland_AB_CFe_3_3_purchase</t>
  </si>
  <si>
    <t>spriteset_rbe_Sweden_SJ_X16</t>
  </si>
  <si>
    <t>spriteset_rbe_Sweden_SJ_X16_purchase</t>
  </si>
  <si>
    <t>spriteset_rbe_Spain_Ferrocarril_de_Soller_1_3</t>
  </si>
  <si>
    <t>spriteset_rbe_Spain_Ferrocarril_de_Soller_1_3_purchase</t>
  </si>
  <si>
    <t>spriteset_rbe_Slovakia_ZSSK_490</t>
  </si>
  <si>
    <t>spriteset_rbe_Slovakia_ZSSK_490_purchase</t>
  </si>
  <si>
    <t>spriteset_rbe_Poland_PKP_EN81</t>
  </si>
  <si>
    <t>spriteset_rbe_Poland_PKP_EN81_purchase</t>
  </si>
  <si>
    <t>spriteset_rbe_Morocco_ONCFM_ZAB1000</t>
  </si>
  <si>
    <t>spriteset_rbe_Morocco_ONCFM_ZAB1000_purchase</t>
  </si>
  <si>
    <t>spriteset_rbe_Japan_Choshi_DeHa_1000</t>
  </si>
  <si>
    <t>spriteset_rbe_Japan_Choshi_DeHa_1000_purchase</t>
  </si>
  <si>
    <t>spriteset_rbe_Italy_FS_E623</t>
  </si>
  <si>
    <t>spriteset_rbe_Italy_FS_E623_purchase</t>
  </si>
  <si>
    <t>spriteset_rbe_Italy_FS_ALe_840</t>
  </si>
  <si>
    <t>spriteset_rbe_Italy_FS_ALe_840_purchase</t>
  </si>
  <si>
    <t>spriteset_rbe_Italy_FG_ALe_80</t>
  </si>
  <si>
    <t>spriteset_rbe_Italy_FG_ALe_80_purchase</t>
  </si>
  <si>
    <t>spriteset_rbe_Germany_DB_ET_85</t>
  </si>
  <si>
    <t>spriteset_rbe_Germany_DB_ET_85_purchase</t>
  </si>
  <si>
    <t>spriteset_rbe_Germany_DB_4792</t>
  </si>
  <si>
    <t>spriteset_rbe_Germany_DB_4792_purchase</t>
  </si>
  <si>
    <t>spriteset_rbe_Germany_Buckower_Kleinbahn_Nr_1_3</t>
  </si>
  <si>
    <t>spriteset_rbe_Germany_Buckower_Kleinbahn_Nr_1_3_purchase</t>
  </si>
  <si>
    <t>spriteset_rbe_France_SNCF_Z_7100</t>
  </si>
  <si>
    <t>spriteset_rbe_France_SNCF_Z_7100_purchase</t>
  </si>
  <si>
    <t>spriteset_rbe_Czech_Republic_CD_M400</t>
  </si>
  <si>
    <t>spriteset_rbe_Czech_Republic_CD_M400_purchase</t>
  </si>
  <si>
    <t>spriteset_rbe_Austria_OBB_4855</t>
  </si>
  <si>
    <t>spriteset_rbe_Austria_OBB_4855_purchase</t>
  </si>
  <si>
    <t>spriteset_rbe_Austria_MBS_ET_10109</t>
  </si>
  <si>
    <t>spriteset_rbe_Austria_MBS_ET_10109_purchase</t>
  </si>
  <si>
    <t>spriteset_rbd_USA_Virginia_Truckee_Motor_Car_22</t>
  </si>
  <si>
    <t>spriteset_rbd_USA_Virginia_Truckee_Motor_Car_22_purchase</t>
  </si>
  <si>
    <t>spriteset_rbd_USA_Amtrak_SPV_200</t>
  </si>
  <si>
    <t>spriteset_rbd_USA_Amtrak_SPV_200_purchase</t>
  </si>
  <si>
    <t>spriteset_rbd_USA_Amtrak_Budd_RDC</t>
  </si>
  <si>
    <t>spriteset_rbd_USA_Amtrak_Budd_RDC_purchase</t>
  </si>
  <si>
    <t>spriteset_rbd_United_Kingdom_GWR_AEC_Railcar</t>
  </si>
  <si>
    <t>spriteset_rbd_United_Kingdom_GWR_AEC_Railcar_purchase</t>
  </si>
  <si>
    <t>spriteset_rbd_United_Kingdom_BR_153_Super_Sprinter</t>
  </si>
  <si>
    <t>spriteset_rbd_United_Kingdom_BR_153_Super_Sprinter_purchase</t>
  </si>
  <si>
    <t>spriteset_rbd_UK_WC_PR_Drewry_Railcar</t>
  </si>
  <si>
    <t>spriteset_rbd_UK_WC_PR_Drewry_Railcar_purchase</t>
  </si>
  <si>
    <t>spriteset_rbd_Tunisia_SNCFT_Z431</t>
  </si>
  <si>
    <t>spriteset_rbd_Tunisia_SNCFT_Z431_purchase</t>
  </si>
  <si>
    <t>spriteset_rbd_Russia_RZD_ACh2</t>
  </si>
  <si>
    <t>spriteset_rbd_Russia_RZD_ACh2_purchase</t>
  </si>
  <si>
    <t>spriteset_rbd_Portugal_CP_USD_9050</t>
  </si>
  <si>
    <t>spriteset_rbd_Portugal_CP_USD_9050_purchase</t>
  </si>
  <si>
    <t>spriteset_rbd_Portugal_CP_0100</t>
  </si>
  <si>
    <t>spriteset_rbd_Portugal_CP_0100_purchase</t>
  </si>
  <si>
    <t>spriteset_rbd_Norway_NSB_Cmb_17</t>
  </si>
  <si>
    <t>spriteset_rbd_Norway_NSB_Cmb_17_purchase</t>
  </si>
  <si>
    <t>spriteset_rbd_New_Zealand_NZR_RM31</t>
  </si>
  <si>
    <t>spriteset_rbd_New_Zealand_NZR_RM31_purchase</t>
  </si>
  <si>
    <t>spriteset_rbd_Netherlands_NS_omBC</t>
  </si>
  <si>
    <t>spriteset_rbd_Netherlands_NS_omBC_purchase</t>
  </si>
  <si>
    <t>spriteset_rbd_Netherlands_NS_DH1</t>
  </si>
  <si>
    <t>spriteset_rbd_Netherlands_NS_DH1_purchase</t>
  </si>
  <si>
    <t>spriteset_rbd_Netherlands_NS_20_Kameel</t>
  </si>
  <si>
    <t>spriteset_rbd_Netherlands_NS_20_Kameel_purchase</t>
  </si>
  <si>
    <t>spriteset_rbd_Lithuania_Lithuanian_Railways_AR2</t>
  </si>
  <si>
    <t>spriteset_rbd_Lithuania_Lithuanian_Railways_AR2_purchase</t>
  </si>
  <si>
    <t>spriteset_rbd_Japan_JR_Shikoku_1000</t>
  </si>
  <si>
    <t>spriteset_rbd_Japan_JR_Shikoku_1000_purchase</t>
  </si>
  <si>
    <t>spriteset_rbd_Japan_JR_KiHa_E120</t>
  </si>
  <si>
    <t>spriteset_rbd_Japan_JR_KiHa_E120_purchase</t>
  </si>
  <si>
    <t>spriteset_rbd_Italy_FS_ALn_668</t>
  </si>
  <si>
    <t>spriteset_rbd_Italy_FS_ALn_668_purchase</t>
  </si>
  <si>
    <t>spriteset_rbd_Greece_OSE_AA71</t>
  </si>
  <si>
    <t>spriteset_rbd_Greece_OSE_AA71_purchase</t>
  </si>
  <si>
    <t>switch_rbd_Germany_Schienenzeppelin_animation</t>
  </si>
  <si>
    <t>spriteset_rbd_Germany_Schienenzeppelin_engine2</t>
  </si>
  <si>
    <t>spriteset_rbd_Germany_Schienenzeppelin_engine1</t>
  </si>
  <si>
    <t>spriteset_rbd_Germany_Schienenzeppelin_purchase</t>
  </si>
  <si>
    <t>switch_rbd_Germany_Saxon_DET_1_2_articulated</t>
  </si>
  <si>
    <t>switch_rbd_Germany_Saxon_DET_1_2_capacity_position</t>
  </si>
  <si>
    <t>switch_rbd_Germany_Saxon_DET_1_2_length</t>
  </si>
  <si>
    <t>switch_rbd_Germany_Saxon_DET_1_2_visual_effect</t>
  </si>
  <si>
    <t>switch_rbd_Germany_Saxon_DET_1_2_position</t>
  </si>
  <si>
    <t>spriteset_rbd_Germany_Saxon_DET_1_2</t>
  </si>
  <si>
    <t>spriteset_rbd_Germany_Saxon_DET_1_2_purchase</t>
  </si>
  <si>
    <t>spriteset_rbd_Germany_OHE_520_GDT</t>
  </si>
  <si>
    <t>spriteset_rbd_Germany_OHE_520_GDT_purchase</t>
  </si>
  <si>
    <t>spriteset_rbd_Germany_DB_VT_989</t>
  </si>
  <si>
    <t>spriteset_rbd_Germany_DB_VT_989_purchase</t>
  </si>
  <si>
    <t>spriteset_rbd_Germany_DB_VT_133</t>
  </si>
  <si>
    <t>spriteset_rbd_Germany_DB_VT_133_purchase</t>
  </si>
  <si>
    <t>spriteset_rbd_Germany_DB_670</t>
  </si>
  <si>
    <t>spriteset_rbd_Germany_DB_670_purchase</t>
  </si>
  <si>
    <t>spriteset_rbd_Germany_BSt_6001</t>
  </si>
  <si>
    <t>spriteset_rbd_Germany_BSt_6001_purchase</t>
  </si>
  <si>
    <t>spriteset_rbd_Finland_VR_Dm7</t>
  </si>
  <si>
    <t>spriteset_rbd_Finland_VR_Dm7_purchase</t>
  </si>
  <si>
    <t>spriteset_rbd_Finland_VR_Dm12</t>
  </si>
  <si>
    <t>spriteset_rbd_Finland_VR_Dm12_purchase</t>
  </si>
  <si>
    <t>spriteset_rbd_Eritrea_Eritrean_Railway_A62_70_Littorina</t>
  </si>
  <si>
    <t>spriteset_rbd_Eritrea_Eritrean_Railway_A62_70_Littorina_purchase</t>
  </si>
  <si>
    <t>spriteset_rbd_Denmark_DSB_MO</t>
  </si>
  <si>
    <t>spriteset_rbd_Denmark_DSB_MO_purchase</t>
  </si>
  <si>
    <t>spriteset_rbd_Czech_Republic_CD_M290</t>
  </si>
  <si>
    <t>spriteset_rbd_Czech_Republic_CD_M290_purchase</t>
  </si>
  <si>
    <t>spriteset_rbd_Czech_Republic_CD_M120</t>
  </si>
  <si>
    <t>spriteset_rbd_Czech_Republic_CD_M120_purchase</t>
  </si>
  <si>
    <t>spriteset_rbd_Czech_Republic_CD_840</t>
  </si>
  <si>
    <t>spriteset_rbd_Czech_Republic_CD_840_purchase</t>
  </si>
  <si>
    <t>spriteset_rbd_Czech_Republic_CD_809</t>
  </si>
  <si>
    <t>spriteset_rbd_Czech_Republic_CD_809_purchase</t>
  </si>
  <si>
    <t>spriteset_rbd_Chile_EFE_Buscarril</t>
  </si>
  <si>
    <t>spriteset_rbd_Chile_EFE_Buscarril_purchase</t>
  </si>
  <si>
    <t>spriteset_rbd_Bulgaria_BDZ_19</t>
  </si>
  <si>
    <t>spriteset_rbd_Bulgaria_BDZ_19_purchase</t>
  </si>
  <si>
    <t>spriteset_rbd_Belgium_SNCB_Class_42</t>
  </si>
  <si>
    <t>spriteset_rbd_Belgium_SNCB_Class_42_purchase</t>
  </si>
  <si>
    <t>spriteset_rbd_Austria_OBB_5047</t>
  </si>
  <si>
    <t>spriteset_rbd_Austria_OBB_5047_purchase</t>
  </si>
  <si>
    <t>spriteset_rbd_Austria_OBB_5042</t>
  </si>
  <si>
    <t>spriteset_rbd_Austria_OBB_5042_purchase</t>
  </si>
  <si>
    <t>spriteset_rbd_Austria_kkStB_19</t>
  </si>
  <si>
    <t>spriteset_rbd_Austria_kkStB_19_purchase</t>
  </si>
  <si>
    <t>spriteset_rbd_Australia_Victorian_Railways_DERM</t>
  </si>
  <si>
    <t>spriteset_rbd_Australia_Victorian_Railways_DERM_purchase</t>
  </si>
  <si>
    <t>spriteset_rbd_Australia_Victorian_Railways_AEC_RM1</t>
  </si>
  <si>
    <t>spriteset_rbd_Australia_Victorian_Railways_AEC_RM1_purchase</t>
  </si>
  <si>
    <t>spriteset_rbd_Australia_NSWGR_Class_400</t>
  </si>
  <si>
    <t>spriteset_rbd_Australia_NSWGR_Class_400_purchase</t>
  </si>
  <si>
    <t>spriteset_rbd_Argentina_FCPBA_M_Railcar</t>
  </si>
  <si>
    <t>spriteset_rbd_Argentina_FCPBA_M_Railcar_purchase</t>
  </si>
  <si>
    <t>switch_mglv_Japan_MLX01_901_cargo_selection</t>
  </si>
  <si>
    <t>switch_mglv_Japan_MLX01_901_reversed</t>
  </si>
  <si>
    <t>spriteset_mglv_Japan_MLX01_901_middlemail</t>
  </si>
  <si>
    <t>spriteset_mglv_Japan_MLX01_901_middlepass</t>
  </si>
  <si>
    <t>spriteset_mglv_Japan_MLX01_901_back</t>
  </si>
  <si>
    <t>spriteset_mglv_Japan_MLX01_901_front</t>
  </si>
  <si>
    <t>spriteset_mglv_Japan_MLX01_901_purchase</t>
  </si>
  <si>
    <t>spriteset_mglv_Germany_DB_182_ES64UM_Mutus</t>
  </si>
  <si>
    <t>spriteset_mglv_Germany_DB_182_ES64UM_Mutus_purchase</t>
  </si>
  <si>
    <t>switch_mglv_China_Transrapid_cargo_selection</t>
  </si>
  <si>
    <t>switch_mglv_China_Transrapid_reversed</t>
  </si>
  <si>
    <t>spriteset_mglv_China_Transrapid_middlemail</t>
  </si>
  <si>
    <t>spriteset_mglv_China_Transrapid_middlepass</t>
  </si>
  <si>
    <t>spriteset_mglv_China_Transrapid_back</t>
  </si>
  <si>
    <t>spriteset_mglv_China_Transrapid_front</t>
  </si>
  <si>
    <t>spriteset_mglv_China_Transrapid_purchase</t>
  </si>
  <si>
    <t>switch_emu_USA_PRR_MP54_cargo_selection</t>
  </si>
  <si>
    <t>switch_emu_USA_PRR_MP54_visual_effect_and_powered</t>
  </si>
  <si>
    <t>switch_emu_USA_PRR_MP54_reversed</t>
  </si>
  <si>
    <t>spriteset_emu_USA_PRR_MP54_middlemail</t>
  </si>
  <si>
    <t>spriteset_emu_USA_PRR_MP54_middlepass</t>
  </si>
  <si>
    <t>spriteset_emu_USA_PRR_MP54_back</t>
  </si>
  <si>
    <t>spriteset_emu_USA_PRR_MP54_front</t>
  </si>
  <si>
    <t>spriteset_emu_USA_PRR_MP54_purchase</t>
  </si>
  <si>
    <t>switch_emu_USA_Erie_Lackawanna_MU_Cars_cargo_selection</t>
  </si>
  <si>
    <t>switch_emu_USA_Erie_Lackawanna_MU_Cars_visual_effect_and_powered</t>
  </si>
  <si>
    <t>switch_emu_USA_Erie_Lackawanna_MU_Cars_reversed</t>
  </si>
  <si>
    <t>spriteset_emu_USA_Erie_Lackawanna_MU_Cars_middlemail</t>
  </si>
  <si>
    <t>spriteset_emu_USA_Erie_Lackawanna_MU_Cars_middlepass</t>
  </si>
  <si>
    <t>spriteset_emu_USA_Erie_Lackawanna_MU_Cars_back</t>
  </si>
  <si>
    <t>spriteset_emu_USA_Erie_Lackawanna_MU_Cars_front</t>
  </si>
  <si>
    <t>spriteset_emu_USA_Erie_Lackawanna_MU_Cars_purchase</t>
  </si>
  <si>
    <t>switch_emu_USA_Amtrak_Budd_Metroliner_cargo_selection</t>
  </si>
  <si>
    <t>switch_emu_USA_Amtrak_Budd_Metroliner_visual_effect_and_powered</t>
  </si>
  <si>
    <t>switch_emu_USA_Amtrak_Budd_Metroliner_reversed</t>
  </si>
  <si>
    <t>spriteset_emu_USA_Amtrak_Budd_Metroliner_middlemail</t>
  </si>
  <si>
    <t>spriteset_emu_USA_Amtrak_Budd_Metroliner_middlepass</t>
  </si>
  <si>
    <t>spriteset_emu_USA_Amtrak_Budd_Metroliner_back</t>
  </si>
  <si>
    <t>spriteset_emu_USA_Amtrak_Budd_Metroliner_front</t>
  </si>
  <si>
    <t>spriteset_emu_USA_Amtrak_Budd_Metroliner_purchase</t>
  </si>
  <si>
    <t>switch_emu_USA_Amtrak_Acela_Express_cargo_selection</t>
  </si>
  <si>
    <t>switch_emu_USA_Amtrak_Acela_Express_visual_effect_and_powered</t>
  </si>
  <si>
    <t>switch_emu_USA_Amtrak_Acela_Express_reversed</t>
  </si>
  <si>
    <t>spriteset_emu_USA_Amtrak_Acela_Express_middlemail</t>
  </si>
  <si>
    <t>spriteset_emu_USA_Amtrak_Acela_Express_middlepass</t>
  </si>
  <si>
    <t>spriteset_emu_USA_Amtrak_Acela_Express_back</t>
  </si>
  <si>
    <t>spriteset_emu_USA_Amtrak_Acela_Express_front</t>
  </si>
  <si>
    <t>spriteset_emu_USA_Amtrak_Acela_Express_purchase</t>
  </si>
  <si>
    <t>switch_emu_Turkey_TCDD_E8000_cargo_selection</t>
  </si>
  <si>
    <t>switch_emu_Turkey_TCDD_E8000_visual_effect_and_powered</t>
  </si>
  <si>
    <t>switch_emu_Turkey_TCDD_E8000_reversed</t>
  </si>
  <si>
    <t>spriteset_emu_Turkey_TCDD_E8000_middlemail</t>
  </si>
  <si>
    <t>spriteset_emu_Turkey_TCDD_E8000_middlepass</t>
  </si>
  <si>
    <t>spriteset_emu_Turkey_TCDD_E8000_back</t>
  </si>
  <si>
    <t>spriteset_emu_Turkey_TCDD_E8000_front</t>
  </si>
  <si>
    <t>spriteset_emu_Turkey_TCDD_E8000_purchase</t>
  </si>
  <si>
    <t>switch_emu_Tunisia_SNCFT_YZ_E_cargo_selection</t>
  </si>
  <si>
    <t>switch_emu_Tunisia_SNCFT_YZ_E_middlemail_position</t>
  </si>
  <si>
    <t>switch_emu_Tunisia_SNCFT_YZ_E_middlepass_position</t>
  </si>
  <si>
    <t>switch_emu_Tunisia_SNCFT_YZ_E_middlemail_livery</t>
  </si>
  <si>
    <t>switch_emu_Tunisia_SNCFT_YZ_E_middlepass_livery</t>
  </si>
  <si>
    <t>switch_emu_Tunisia_SNCFT_YZ_E_visual_effect_and_powered_position</t>
  </si>
  <si>
    <t>switch_emu_Tunisia_SNCFT_YZ_E_visual_effect_and_powered</t>
  </si>
  <si>
    <t>switch_emu_Tunisia_SNCFT_YZ_E_reversed</t>
  </si>
  <si>
    <t>spriteset_emu_Tunisia_SNCFT_YZ_E_middlemail_L2</t>
  </si>
  <si>
    <t>spriteset_emu_Tunisia_SNCFT_YZ_E_middlemail_L1</t>
  </si>
  <si>
    <t>spriteset_emu_Tunisia_SNCFT_YZ_E_middlepass_L2</t>
  </si>
  <si>
    <t>spriteset_emu_Tunisia_SNCFT_YZ_E_middlepass_L1</t>
  </si>
  <si>
    <t>spriteset_emu_Tunisia_SNCFT_YZ_E_back</t>
  </si>
  <si>
    <t>spriteset_emu_Tunisia_SNCFT_YZ_E_front</t>
  </si>
  <si>
    <t>spriteset_emu_Tunisia_SNCFT_YZ_E_purchase</t>
  </si>
  <si>
    <t>switch_emu_Switzerland_SBB_RBDe_560_cargo_selection</t>
  </si>
  <si>
    <t>switch_emu_Switzerland_SBB_RBDe_560_visual_effect_and_powered</t>
  </si>
  <si>
    <t>switch_emu_Switzerland_SBB_RBDe_560_reversed</t>
  </si>
  <si>
    <t>spriteset_emu_Switzerland_SBB_RBDe_560_middlemail</t>
  </si>
  <si>
    <t>spriteset_emu_Switzerland_SBB_RBDe_560_middlepass</t>
  </si>
  <si>
    <t>spriteset_emu_Switzerland_SBB_RBDe_560_back</t>
  </si>
  <si>
    <t>spriteset_emu_Switzerland_SBB_RBDe_560_front</t>
  </si>
  <si>
    <t>spriteset_emu_Switzerland_SBB_RBDe_560_purchase</t>
  </si>
  <si>
    <t>switch_emu_Switzerland_SBB_Rae_TEE_II_cargo_selection</t>
  </si>
  <si>
    <t>switch_emu_Switzerland_SBB_Rae_TEE_II_middlemail_position</t>
  </si>
  <si>
    <t>switch_emu_Switzerland_SBB_Rae_TEE_II_middlepass_position</t>
  </si>
  <si>
    <t>switch_emu_Switzerland_SBB_Rae_TEE_II_middlemail_livery</t>
  </si>
  <si>
    <t>switch_emu_Switzerland_SBB_Rae_TEE_II_middlepass_livery</t>
  </si>
  <si>
    <t>switch_emu_Switzerland_SBB_Rae_TEE_II_visual_effect_and_powered_position</t>
  </si>
  <si>
    <t>switch_emu_Switzerland_SBB_Rae_TEE_II_visual_effect_and_powered</t>
  </si>
  <si>
    <t>switch_emu_Switzerland_SBB_Rae_TEE_II_reversed</t>
  </si>
  <si>
    <t>spriteset_emu_Switzerland_SBB_Rae_TEE_II_middlemail_L2</t>
  </si>
  <si>
    <t>spriteset_emu_Switzerland_SBB_Rae_TEE_II_middlemail_L1</t>
  </si>
  <si>
    <t>spriteset_emu_Switzerland_SBB_Rae_TEE_II_middlepass_L2</t>
  </si>
  <si>
    <t>spriteset_emu_Switzerland_SBB_Rae_TEE_II_middlepass_L1</t>
  </si>
  <si>
    <t>spriteset_emu_Switzerland_SBB_Rae_TEE_II_back</t>
  </si>
  <si>
    <t>spriteset_emu_Switzerland_SBB_Rae_TEE_II_front</t>
  </si>
  <si>
    <t>spriteset_emu_Switzerland_SBB_Rae_TEE_II_purchase</t>
  </si>
  <si>
    <t>switch_emu_Switzerland_SBB_RABe_523_Flirt_cargo_selection</t>
  </si>
  <si>
    <t>switch_emu_Switzerland_SBB_RABe_523_Flirt_visual_effect_and_powered</t>
  </si>
  <si>
    <t>switch_emu_Switzerland_SBB_RABe_523_Flirt_reversed</t>
  </si>
  <si>
    <t>spriteset_emu_Switzerland_SBB_RABe_523_Flirt_middlemail</t>
  </si>
  <si>
    <t>spriteset_emu_Switzerland_SBB_RABe_523_Flirt_middlepass</t>
  </si>
  <si>
    <t>spriteset_emu_Switzerland_SBB_RABe_523_Flirt_back</t>
  </si>
  <si>
    <t>spriteset_emu_Switzerland_SBB_RABe_523_Flirt_front</t>
  </si>
  <si>
    <t>spriteset_emu_Switzerland_SBB_RABe_523_Flirt_purchase</t>
  </si>
  <si>
    <t>switch_emu_Switzerland_SBB_RABDe_510_cargo_selection</t>
  </si>
  <si>
    <t>switch_emu_Switzerland_SBB_RABDe_510_middlemail_position</t>
  </si>
  <si>
    <t>switch_emu_Switzerland_SBB_RABDe_510_middlepass_position</t>
  </si>
  <si>
    <t>switch_emu_Switzerland_SBB_RABDe_510_middlemail_livery</t>
  </si>
  <si>
    <t>switch_emu_Switzerland_SBB_RABDe_510_middlepass_livery</t>
  </si>
  <si>
    <t>switch_emu_Switzerland_SBB_RABDe_510_visual_effect_and_powered_position</t>
  </si>
  <si>
    <t>switch_emu_Switzerland_SBB_RABDe_510_visual_effect_and_powered</t>
  </si>
  <si>
    <t>switch_emu_Switzerland_SBB_RABDe_510_reversed</t>
  </si>
  <si>
    <t>spriteset_emu_Switzerland_SBB_RABDe_510_middlemail_L2</t>
  </si>
  <si>
    <t>spriteset_emu_Switzerland_SBB_RABDe_510_middlemail_L1</t>
  </si>
  <si>
    <t>spriteset_emu_Switzerland_SBB_RABDe_510_middlepass_L2</t>
  </si>
  <si>
    <t>spriteset_emu_Switzerland_SBB_RABDe_510_middlepass_L1</t>
  </si>
  <si>
    <t>spriteset_emu_Switzerland_SBB_RABDe_510_back</t>
  </si>
  <si>
    <t>spriteset_emu_Switzerland_SBB_RABDe_510_front</t>
  </si>
  <si>
    <t>spriteset_emu_Switzerland_SBB_RABDe_510_purchase</t>
  </si>
  <si>
    <t>switch_emu_Sweden_SJ_X2000_cargo_selection</t>
  </si>
  <si>
    <t>switch_emu_Sweden_SJ_X2000_visual_effect_and_powered</t>
  </si>
  <si>
    <t>switch_emu_Sweden_SJ_X2000_reversed</t>
  </si>
  <si>
    <t>spriteset_emu_Sweden_SJ_X2000_middlemail</t>
  </si>
  <si>
    <t>spriteset_emu_Sweden_SJ_X2000_middlepass</t>
  </si>
  <si>
    <t>spriteset_emu_Sweden_SJ_X2000_back</t>
  </si>
  <si>
    <t>spriteset_emu_Sweden_SJ_X2000_front</t>
  </si>
  <si>
    <t>spriteset_emu_Sweden_SJ_X2000_purchase</t>
  </si>
  <si>
    <t>switch_emu_Spain_RENFE_120_cargo_selection</t>
  </si>
  <si>
    <t>switch_emu_Spain_RENFE_120_visual_effect_and_powered</t>
  </si>
  <si>
    <t>switch_emu_Spain_RENFE_120_reversed</t>
  </si>
  <si>
    <t>spriteset_emu_Spain_RENFE_120_middlemail</t>
  </si>
  <si>
    <t>spriteset_emu_Spain_RENFE_120_middlepass</t>
  </si>
  <si>
    <t>spriteset_emu_Spain_RENFE_120_back</t>
  </si>
  <si>
    <t>spriteset_emu_Spain_RENFE_120_front</t>
  </si>
  <si>
    <t>spriteset_emu_Spain_RENFE_120_purchase</t>
  </si>
  <si>
    <t>switch_emu_South_Africa_SAR_5M2_cargo_selection</t>
  </si>
  <si>
    <t>switch_emu_South_Africa_SAR_5M2_visual_effect_and_powered</t>
  </si>
  <si>
    <t>switch_emu_South_Africa_SAR_5M2_reversed</t>
  </si>
  <si>
    <t>spriteset_emu_South_Africa_SAR_5M2_middlemail</t>
  </si>
  <si>
    <t>spriteset_emu_South_Africa_SAR_5M2_middlepass</t>
  </si>
  <si>
    <t>spriteset_emu_South_Africa_SAR_5M2_back</t>
  </si>
  <si>
    <t>spriteset_emu_South_Africa_SAR_5M2_front</t>
  </si>
  <si>
    <t>spriteset_emu_South_Africa_SAR_5M2_purchase</t>
  </si>
  <si>
    <t>switch_emu_South_Africa_Gautrain_Electrostar_cargo_selection</t>
  </si>
  <si>
    <t>switch_emu_South_Africa_Gautrain_Electrostar_visual_effect_and_powered</t>
  </si>
  <si>
    <t>switch_emu_South_Africa_Gautrain_Electrostar_reversed</t>
  </si>
  <si>
    <t>spriteset_emu_South_Africa_Gautrain_Electrostar_middlemail</t>
  </si>
  <si>
    <t>spriteset_emu_South_Africa_Gautrain_Electrostar_middlepass</t>
  </si>
  <si>
    <t>spriteset_emu_South_Africa_Gautrain_Electrostar_back</t>
  </si>
  <si>
    <t>spriteset_emu_South_Africa_Gautrain_Electrostar_front</t>
  </si>
  <si>
    <t>spriteset_emu_South_Africa_Gautrain_Electrostar_purchase</t>
  </si>
  <si>
    <t>switch_emu_Russia_RZD_S_cargo_selection</t>
  </si>
  <si>
    <t>switch_emu_Russia_RZD_S_visual_effect_and_powered</t>
  </si>
  <si>
    <t>switch_emu_Russia_RZD_S_reversed</t>
  </si>
  <si>
    <t>spriteset_emu_Russia_RZD_S_middlemail</t>
  </si>
  <si>
    <t>spriteset_emu_Russia_RZD_S_middlepass</t>
  </si>
  <si>
    <t>spriteset_emu_Russia_RZD_S_back</t>
  </si>
  <si>
    <t>spriteset_emu_Russia_RZD_S_front</t>
  </si>
  <si>
    <t>spriteset_emu_Russia_RZD_S_purchase</t>
  </si>
  <si>
    <t>switch_emu_Russia_RZD_ES1_Lastochka_cargo_selection</t>
  </si>
  <si>
    <t>switch_emu_Russia_RZD_ES1_Lastochka_middlemail_position</t>
  </si>
  <si>
    <t>switch_emu_Russia_RZD_ES1_Lastochka_middlepass_position</t>
  </si>
  <si>
    <t>switch_emu_Russia_RZD_ES1_Lastochka_middlemail_livery</t>
  </si>
  <si>
    <t>switch_emu_Russia_RZD_ES1_Lastochka_middlepass_livery</t>
  </si>
  <si>
    <t>switch_emu_Russia_RZD_ES1_Lastochka_visual_effect_and_powered_position</t>
  </si>
  <si>
    <t>switch_emu_Russia_RZD_ES1_Lastochka_visual_effect_and_powered</t>
  </si>
  <si>
    <t>switch_emu_Russia_RZD_ES1_Lastochka_reversed</t>
  </si>
  <si>
    <t>spriteset_emu_Russia_RZD_ES1_Lastochka_middlemail_L2</t>
  </si>
  <si>
    <t>spriteset_emu_Russia_RZD_ES1_Lastochka_middlemail_L1</t>
  </si>
  <si>
    <t>spriteset_emu_Russia_RZD_ES1_Lastochka_middlepass_L2</t>
  </si>
  <si>
    <t>spriteset_emu_Russia_RZD_ES1_Lastochka_middlepass_L1</t>
  </si>
  <si>
    <t>spriteset_emu_Russia_RZD_ES1_Lastochka_back</t>
  </si>
  <si>
    <t>spriteset_emu_Russia_RZD_ES1_Lastochka_front</t>
  </si>
  <si>
    <t>spriteset_emu_Russia_RZD_ES1_Lastochka_purchase</t>
  </si>
  <si>
    <t>switch_emu_Russia_RZD_ER200_cargo_selection</t>
  </si>
  <si>
    <t>switch_emu_Russia_RZD_ER200_middlemail_position</t>
  </si>
  <si>
    <t>switch_emu_Russia_RZD_ER200_middlepass_position</t>
  </si>
  <si>
    <t>switch_emu_Russia_RZD_ER200_middlemail_livery</t>
  </si>
  <si>
    <t>switch_emu_Russia_RZD_ER200_middlepass_livery</t>
  </si>
  <si>
    <t>switch_emu_Russia_RZD_ER200_visual_effect_and_powered_position</t>
  </si>
  <si>
    <t>switch_emu_Russia_RZD_ER200_visual_effect_and_powered</t>
  </si>
  <si>
    <t>switch_emu_Russia_RZD_ER200_reversed</t>
  </si>
  <si>
    <t>spriteset_emu_Russia_RZD_ER200_middlemail_L2</t>
  </si>
  <si>
    <t>spriteset_emu_Russia_RZD_ER200_middlemail_L1</t>
  </si>
  <si>
    <t>spriteset_emu_Russia_RZD_ER200_middlepass_L2</t>
  </si>
  <si>
    <t>spriteset_emu_Russia_RZD_ER200_middlepass_L1</t>
  </si>
  <si>
    <t>spriteset_emu_Russia_RZD_ER200_back</t>
  </si>
  <si>
    <t>spriteset_emu_Russia_RZD_ER200_front</t>
  </si>
  <si>
    <t>spriteset_emu_Russia_RZD_ER200_purchase</t>
  </si>
  <si>
    <t>switch_emu_Romania_CFR_58_cargo_selection</t>
  </si>
  <si>
    <t>switch_emu_Romania_CFR_58_visual_effect_and_powered</t>
  </si>
  <si>
    <t>switch_emu_Romania_CFR_58_reversed</t>
  </si>
  <si>
    <t>spriteset_emu_Romania_CFR_58_middlemail</t>
  </si>
  <si>
    <t>spriteset_emu_Romania_CFR_58_middlepass</t>
  </si>
  <si>
    <t>spriteset_emu_Romania_CFR_58_back</t>
  </si>
  <si>
    <t>spriteset_emu_Romania_CFR_58_front</t>
  </si>
  <si>
    <t>spriteset_emu_Romania_CFR_58_purchase</t>
  </si>
  <si>
    <t>switch_emu_Poland_PKP_EW90_cargo_selection</t>
  </si>
  <si>
    <t>switch_emu_Poland_PKP_EW90_visual_effect_and_powered</t>
  </si>
  <si>
    <t>switch_emu_Poland_PKP_EW90_reversed</t>
  </si>
  <si>
    <t>spriteset_emu_Poland_PKP_EW90_middlemail</t>
  </si>
  <si>
    <t>spriteset_emu_Poland_PKP_EW90_middlepass</t>
  </si>
  <si>
    <t>spriteset_emu_Poland_PKP_EW90_back</t>
  </si>
  <si>
    <t>spriteset_emu_Poland_PKP_EW90_front</t>
  </si>
  <si>
    <t>spriteset_emu_Poland_PKP_EW90_purchase</t>
  </si>
  <si>
    <t>switch_emu_Poland_PKP_EW54_cargo_selection</t>
  </si>
  <si>
    <t>switch_emu_Poland_PKP_EW54_middlemail_position</t>
  </si>
  <si>
    <t>switch_emu_Poland_PKP_EW54_middlepass_position</t>
  </si>
  <si>
    <t>switch_emu_Poland_PKP_EW54_middlemail_livery</t>
  </si>
  <si>
    <t>switch_emu_Poland_PKP_EW54_middlepass_livery</t>
  </si>
  <si>
    <t>switch_emu_Poland_PKP_EW54_visual_effect_and_powered_position</t>
  </si>
  <si>
    <t>switch_emu_Poland_PKP_EW54_visual_effect_and_powered</t>
  </si>
  <si>
    <t>switch_emu_Poland_PKP_EW54_reversed</t>
  </si>
  <si>
    <t>spriteset_emu_Poland_PKP_EW54_middlemail_L2</t>
  </si>
  <si>
    <t>spriteset_emu_Poland_PKP_EW54_middlemail_L1</t>
  </si>
  <si>
    <t>spriteset_emu_Poland_PKP_EW54_middlepass_L2</t>
  </si>
  <si>
    <t>spriteset_emu_Poland_PKP_EW54_middlepass_L1</t>
  </si>
  <si>
    <t>spriteset_emu_Poland_PKP_EW54_back</t>
  </si>
  <si>
    <t>spriteset_emu_Poland_PKP_EW54_front</t>
  </si>
  <si>
    <t>spriteset_emu_Poland_PKP_EW54_purchase</t>
  </si>
  <si>
    <t>switch_emu_Norway_NSB_BM73_cargo_selection</t>
  </si>
  <si>
    <t>switch_emu_Norway_NSB_BM73_middlemail_position</t>
  </si>
  <si>
    <t>switch_emu_Norway_NSB_BM73_middlepass_position</t>
  </si>
  <si>
    <t>switch_emu_Norway_NSB_BM73_middlemail_livery</t>
  </si>
  <si>
    <t>switch_emu_Norway_NSB_BM73_middlepass_livery</t>
  </si>
  <si>
    <t>switch_emu_Norway_NSB_BM73_visual_effect_and_powered_position</t>
  </si>
  <si>
    <t>switch_emu_Norway_NSB_BM73_visual_effect_and_powered</t>
  </si>
  <si>
    <t>switch_emu_Norway_NSB_BM73_reversed</t>
  </si>
  <si>
    <t>spriteset_emu_Norway_NSB_BM73_middlemail_L2</t>
  </si>
  <si>
    <t>spriteset_emu_Norway_NSB_BM73_middlemail_L1</t>
  </si>
  <si>
    <t>spriteset_emu_Norway_NSB_BM73_middlepass_L2</t>
  </si>
  <si>
    <t>spriteset_emu_Norway_NSB_BM73_middlepass_L1</t>
  </si>
  <si>
    <t>spriteset_emu_Norway_NSB_BM73_back</t>
  </si>
  <si>
    <t>spriteset_emu_Norway_NSB_BM73_front</t>
  </si>
  <si>
    <t>spriteset_emu_Norway_NSB_BM73_purchase</t>
  </si>
  <si>
    <t>switch_emu_Norway_NSB_BM65_cargo_selection</t>
  </si>
  <si>
    <t>switch_emu_Norway_NSB_BM65_visual_effect_and_powered</t>
  </si>
  <si>
    <t>switch_emu_Norway_NSB_BM65_reversed</t>
  </si>
  <si>
    <t>spriteset_emu_Norway_NSB_BM65_middlemail</t>
  </si>
  <si>
    <t>spriteset_emu_Norway_NSB_BM65_middlepass</t>
  </si>
  <si>
    <t>spriteset_emu_Norway_NSB_BM65_back</t>
  </si>
  <si>
    <t>spriteset_emu_Norway_NSB_BM65_front</t>
  </si>
  <si>
    <t>spriteset_emu_Norway_NSB_BM65_purchase</t>
  </si>
  <si>
    <t>switch_emu_New_Zealand_NZR_EM_ET_Class_cargo_selection</t>
  </si>
  <si>
    <t>switch_emu_New_Zealand_NZR_EM_ET_Class_visual_effect_and_powered</t>
  </si>
  <si>
    <t>switch_emu_New_Zealand_NZR_EM_ET_Class_reversed</t>
  </si>
  <si>
    <t>spriteset_emu_New_Zealand_NZR_EM_ET_Class_middlemail</t>
  </si>
  <si>
    <t>spriteset_emu_New_Zealand_NZR_EM_ET_Class_middlepass</t>
  </si>
  <si>
    <t>spriteset_emu_New_Zealand_NZR_EM_ET_Class_back</t>
  </si>
  <si>
    <t>spriteset_emu_New_Zealand_NZR_EM_ET_Class_front</t>
  </si>
  <si>
    <t>spriteset_emu_New_Zealand_NZR_EM_ET_Class_purchase</t>
  </si>
  <si>
    <t>switch_emu_Netherlands_NS_Plan_Y_cargo_selection</t>
  </si>
  <si>
    <t>switch_emu_Netherlands_NS_Plan_Y_visual_effect_and_powered</t>
  </si>
  <si>
    <t>switch_emu_Netherlands_NS_Plan_Y_reversed</t>
  </si>
  <si>
    <t>spriteset_emu_Netherlands_NS_Plan_Y_middlemail</t>
  </si>
  <si>
    <t>spriteset_emu_Netherlands_NS_Plan_Y_middlepass</t>
  </si>
  <si>
    <t>spriteset_emu_Netherlands_NS_Plan_Y_back</t>
  </si>
  <si>
    <t>spriteset_emu_Netherlands_NS_Plan_Y_front</t>
  </si>
  <si>
    <t>spriteset_emu_Netherlands_NS_Plan_Y_purchase</t>
  </si>
  <si>
    <t>switch_emu_Netherlands_NS_mDDm_390_cargo_selection</t>
  </si>
  <si>
    <t>switch_emu_Netherlands_NS_mDDm_390_visual_effect_and_powered</t>
  </si>
  <si>
    <t>switch_emu_Netherlands_NS_mDDm_390_reversed</t>
  </si>
  <si>
    <t>spriteset_emu_Netherlands_NS_mDDm_390_middlemail</t>
  </si>
  <si>
    <t>spriteset_emu_Netherlands_NS_mDDm_390_middlepass</t>
  </si>
  <si>
    <t>spriteset_emu_Netherlands_NS_mDDm_390_back</t>
  </si>
  <si>
    <t>spriteset_emu_Netherlands_NS_mDDm_390_front</t>
  </si>
  <si>
    <t>spriteset_emu_Netherlands_NS_mDDm_390_purchase</t>
  </si>
  <si>
    <t>switch_emu_Netherlands_NS_Mat54_cargo_selection</t>
  </si>
  <si>
    <t>switch_emu_Netherlands_NS_Mat54_visual_effect_and_powered</t>
  </si>
  <si>
    <t>switch_emu_Netherlands_NS_Mat54_reversed</t>
  </si>
  <si>
    <t>spriteset_emu_Netherlands_NS_Mat54_middlemail</t>
  </si>
  <si>
    <t>spriteset_emu_Netherlands_NS_Mat54_middlepass</t>
  </si>
  <si>
    <t>spriteset_emu_Netherlands_NS_Mat54_back</t>
  </si>
  <si>
    <t>spriteset_emu_Netherlands_NS_Mat54_front</t>
  </si>
  <si>
    <t>spriteset_emu_Netherlands_NS_Mat54_purchase</t>
  </si>
  <si>
    <t>switch_emu_Netherlands_NS_Mat36_cargo_selection</t>
  </si>
  <si>
    <t>switch_emu_Netherlands_NS_Mat36_visual_effect_and_powered</t>
  </si>
  <si>
    <t>switch_emu_Netherlands_NS_Mat36_reversed</t>
  </si>
  <si>
    <t>spriteset_emu_Netherlands_NS_Mat36_middlemail</t>
  </si>
  <si>
    <t>spriteset_emu_Netherlands_NS_Mat36_middlepass</t>
  </si>
  <si>
    <t>spriteset_emu_Netherlands_NS_Mat36_back</t>
  </si>
  <si>
    <t>spriteset_emu_Netherlands_NS_Mat36_front</t>
  </si>
  <si>
    <t>spriteset_emu_Netherlands_NS_Mat36_purchase</t>
  </si>
  <si>
    <t>switch_emu_Netherlands_NS_Mat24_cargo_selection</t>
  </si>
  <si>
    <t>switch_emu_Netherlands_NS_Mat24_visual_effect_and_powered</t>
  </si>
  <si>
    <t>switch_emu_Netherlands_NS_Mat24_reversed</t>
  </si>
  <si>
    <t>spriteset_emu_Netherlands_NS_Mat24_middlemail</t>
  </si>
  <si>
    <t>spriteset_emu_Netherlands_NS_Mat24_middlepass</t>
  </si>
  <si>
    <t>spriteset_emu_Netherlands_NS_Mat24_back</t>
  </si>
  <si>
    <t>spriteset_emu_Netherlands_NS_Mat24_front</t>
  </si>
  <si>
    <t>spriteset_emu_Netherlands_NS_Mat24_purchase</t>
  </si>
  <si>
    <t>switch_emu_Netherlands_NS_ICM_4000_cargo_selection</t>
  </si>
  <si>
    <t>switch_emu_Netherlands_NS_ICM_4000_visual_effect_and_powered</t>
  </si>
  <si>
    <t>switch_emu_Netherlands_NS_ICM_4000_reversed</t>
  </si>
  <si>
    <t>spriteset_emu_Netherlands_NS_ICM_4000_middlemail</t>
  </si>
  <si>
    <t>spriteset_emu_Netherlands_NS_ICM_4000_middlepass</t>
  </si>
  <si>
    <t>spriteset_emu_Netherlands_NS_ICM_4000_back</t>
  </si>
  <si>
    <t>spriteset_emu_Netherlands_NS_ICM_4000_front</t>
  </si>
  <si>
    <t>spriteset_emu_Netherlands_NS_ICM_4000_purchase</t>
  </si>
  <si>
    <t>switch_emu_Netherlands_NS_Hispeed_V250_Albatros_cargo_selection</t>
  </si>
  <si>
    <t>switch_emu_Netherlands_NS_Hispeed_V250_Albatros_visual_effect_and_powered</t>
  </si>
  <si>
    <t>switch_emu_Netherlands_NS_Hispeed_V250_Albatros_reversed</t>
  </si>
  <si>
    <t>spriteset_emu_Netherlands_NS_Hispeed_V250_Albatros_middlemail</t>
  </si>
  <si>
    <t>spriteset_emu_Netherlands_NS_Hispeed_V250_Albatros_middlepass</t>
  </si>
  <si>
    <t>spriteset_emu_Netherlands_NS_Hispeed_V250_Albatros_back</t>
  </si>
  <si>
    <t>spriteset_emu_Netherlands_NS_Hispeed_V250_Albatros_front</t>
  </si>
  <si>
    <t>spriteset_emu_Netherlands_NS_Hispeed_V250_Albatros_purchase</t>
  </si>
  <si>
    <t>switch_emu_Netherlands_NS_DD_IRM_VIRM_cargo_selection</t>
  </si>
  <si>
    <t>switch_emu_Netherlands_NS_DD_IRM_VIRM_visual_effect_and_powered</t>
  </si>
  <si>
    <t>switch_emu_Netherlands_NS_DD_IRM_VIRM_reversed</t>
  </si>
  <si>
    <t>spriteset_emu_Netherlands_NS_DD_IRM_VIRM_middlemail</t>
  </si>
  <si>
    <t>spriteset_emu_Netherlands_NS_DD_IRM_VIRM_middlepass</t>
  </si>
  <si>
    <t>spriteset_emu_Netherlands_NS_DD_IRM_VIRM_back</t>
  </si>
  <si>
    <t>spriteset_emu_Netherlands_NS_DD_IRM_VIRM_front</t>
  </si>
  <si>
    <t>spriteset_emu_Netherlands_NS_DD_IRM_VIRM_purchase</t>
  </si>
  <si>
    <t>switch_emu_Netherlands_NS_4800_HSA_cargo_selection</t>
  </si>
  <si>
    <t>switch_emu_Netherlands_NS_4800_HSA_visual_effect_and_powered</t>
  </si>
  <si>
    <t>switch_emu_Netherlands_NS_4800_HSA_reversed</t>
  </si>
  <si>
    <t>switch_emu_Netherlands_NS_4800_HSA_middlemail_length</t>
  </si>
  <si>
    <t>switch_emu_Netherlands_NS_4800_HSA_middlemail_position_front</t>
  </si>
  <si>
    <t>switch_emu_Netherlands_NS_4800_HSA_middlemail_position_back</t>
  </si>
  <si>
    <t>switch_emu_Netherlands_NS_4800_HSA_middlepass_length</t>
  </si>
  <si>
    <t>switch_emu_Netherlands_NS_4800_HSA_middlepass_position_front</t>
  </si>
  <si>
    <t>switch_emu_Netherlands_NS_4800_HSA_middlepass_position_back</t>
  </si>
  <si>
    <t>spriteset_emu_Netherlands_NS_4800_HSA_middlemail_double</t>
  </si>
  <si>
    <t>spriteset_emu_Netherlands_NS_4800_HSA_middlemail_part2_back</t>
  </si>
  <si>
    <t>spriteset_emu_Netherlands_NS_4800_HSA_middlemail_part2_front</t>
  </si>
  <si>
    <t>spriteset_emu_Netherlands_NS_4800_HSA_middlemail_regular</t>
  </si>
  <si>
    <t>spriteset_emu_Netherlands_NS_4800_HSA_middlepass_double</t>
  </si>
  <si>
    <t>spriteset_emu_Netherlands_NS_4800_HSA_middlepass_part2_back</t>
  </si>
  <si>
    <t>spriteset_emu_Netherlands_NS_4800_HSA_middlepass_part2_front</t>
  </si>
  <si>
    <t>spriteset_emu_Netherlands_NS_4800_HSA_middlepass_regular</t>
  </si>
  <si>
    <t>spriteset_emu_Netherlands_NS_4800_HSA_back</t>
  </si>
  <si>
    <t>spriteset_emu_Netherlands_NS_4800_HSA_front</t>
  </si>
  <si>
    <t>spriteset_emu_Netherlands_NS_4800_HSA_purchase</t>
  </si>
  <si>
    <t>switch_emu_Morocco_ONCF_ZMC_cargo_selection</t>
  </si>
  <si>
    <t>switch_emu_Morocco_ONCF_ZMC_visual_effect_and_powered</t>
  </si>
  <si>
    <t>switch_emu_Morocco_ONCF_ZMC_reversed</t>
  </si>
  <si>
    <t>spriteset_emu_Morocco_ONCF_ZMC_middlemail</t>
  </si>
  <si>
    <t>spriteset_emu_Morocco_ONCF_ZMC_middlepass</t>
  </si>
  <si>
    <t>spriteset_emu_Morocco_ONCF_ZMC_back</t>
  </si>
  <si>
    <t>spriteset_emu_Morocco_ONCF_ZMC_front</t>
  </si>
  <si>
    <t>spriteset_emu_Morocco_ONCF_ZMC_purchase</t>
  </si>
  <si>
    <t>switch_emu_Macedonia_Macedonian_Railways_412_cargo_selection</t>
  </si>
  <si>
    <t>switch_emu_Macedonia_Macedonian_Railways_412_visual_effect_and_powered</t>
  </si>
  <si>
    <t>switch_emu_Macedonia_Macedonian_Railways_412_reversed</t>
  </si>
  <si>
    <t>spriteset_emu_Macedonia_Macedonian_Railways_412_middlemail</t>
  </si>
  <si>
    <t>spriteset_emu_Macedonia_Macedonian_Railways_412_middlepass</t>
  </si>
  <si>
    <t>spriteset_emu_Macedonia_Macedonian_Railways_412_back</t>
  </si>
  <si>
    <t>spriteset_emu_Macedonia_Macedonian_Railways_412_front</t>
  </si>
  <si>
    <t>spriteset_emu_Macedonia_Macedonian_Railways_412_purchase</t>
  </si>
  <si>
    <t>switch_emu_Luxembourg_CFL_2200_Coradia_Duplex_cargo_selection</t>
  </si>
  <si>
    <t>switch_emu_Luxembourg_CFL_2200_Coradia_Duplex_visual_effect_and_powered</t>
  </si>
  <si>
    <t>switch_emu_Luxembourg_CFL_2200_Coradia_Duplex_reversed</t>
  </si>
  <si>
    <t>spriteset_emu_Luxembourg_CFL_2200_Coradia_Duplex_middlemail</t>
  </si>
  <si>
    <t>spriteset_emu_Luxembourg_CFL_2200_Coradia_Duplex_middlepass</t>
  </si>
  <si>
    <t>spriteset_emu_Luxembourg_CFL_2200_Coradia_Duplex_back</t>
  </si>
  <si>
    <t>spriteset_emu_Luxembourg_CFL_2200_Coradia_Duplex_front</t>
  </si>
  <si>
    <t>spriteset_emu_Luxembourg_CFL_2200_Coradia_Duplex_purchase</t>
  </si>
  <si>
    <t>switch_emu_Japan_Odakyu_3100_Series_Romance_cargo_selection</t>
  </si>
  <si>
    <t>switch_emu_Japan_Odakyu_3100_Series_Romance_middlemail_position</t>
  </si>
  <si>
    <t>switch_emu_Japan_Odakyu_3100_Series_Romance_middlepass_position</t>
  </si>
  <si>
    <t>switch_emu_Japan_Odakyu_3100_Series_Romance_middlemail_livery</t>
  </si>
  <si>
    <t>switch_emu_Japan_Odakyu_3100_Series_Romance_middlepass_livery</t>
  </si>
  <si>
    <t>switch_emu_Japan_Odakyu_3100_Series_Romance_visual_effect_and_powered_position</t>
  </si>
  <si>
    <t>switch_emu_Japan_Odakyu_3100_Series_Romance_visual_effect_and_powered</t>
  </si>
  <si>
    <t>switch_emu_Japan_Odakyu_3100_Series_Romance_reversed</t>
  </si>
  <si>
    <t>spriteset_emu_Japan_Odakyu_3100_Series_Romance_middlemail_L2</t>
  </si>
  <si>
    <t>spriteset_emu_Japan_Odakyu_3100_Series_Romance_middlemail_L1</t>
  </si>
  <si>
    <t>spriteset_emu_Japan_Odakyu_3100_Series_Romance_middlepass_L2</t>
  </si>
  <si>
    <t>spriteset_emu_Japan_Odakyu_3100_Series_Romance_middlepass_L1</t>
  </si>
  <si>
    <t>spriteset_emu_Japan_Odakyu_3100_Series_Romance_back</t>
  </si>
  <si>
    <t>spriteset_emu_Japan_Odakyu_3100_Series_Romance_front</t>
  </si>
  <si>
    <t>spriteset_emu_Japan_Odakyu_3100_Series_Romance_purchase</t>
  </si>
  <si>
    <t>switch_emu_Japan_Odakyu_10000_Series_Romance_cargo_selection</t>
  </si>
  <si>
    <t>switch_emu_Japan_Odakyu_10000_Series_Romance_middlemail_position</t>
  </si>
  <si>
    <t>switch_emu_Japan_Odakyu_10000_Series_Romance_middlepass_position</t>
  </si>
  <si>
    <t>switch_emu_Japan_Odakyu_10000_Series_Romance_middlemail_livery</t>
  </si>
  <si>
    <t>switch_emu_Japan_Odakyu_10000_Series_Romance_middlepass_livery</t>
  </si>
  <si>
    <t>switch_emu_Japan_Odakyu_10000_Series_Romance_visual_effect_and_powered_position</t>
  </si>
  <si>
    <t>switch_emu_Japan_Odakyu_10000_Series_Romance_visual_effect_and_powered</t>
  </si>
  <si>
    <t>switch_emu_Japan_Odakyu_10000_Series_Romance_reversed</t>
  </si>
  <si>
    <t>spriteset_emu_Japan_Odakyu_10000_Series_Romance_middlemail_L2</t>
  </si>
  <si>
    <t>spriteset_emu_Japan_Odakyu_10000_Series_Romance_middlemail_L1</t>
  </si>
  <si>
    <t>spriteset_emu_Japan_Odakyu_10000_Series_Romance_middlepass_L2</t>
  </si>
  <si>
    <t>spriteset_emu_Japan_Odakyu_10000_Series_Romance_middlepass_L1</t>
  </si>
  <si>
    <t>spriteset_emu_Japan_Odakyu_10000_Series_Romance_back</t>
  </si>
  <si>
    <t>spriteset_emu_Japan_Odakyu_10000_Series_Romance_front</t>
  </si>
  <si>
    <t>spriteset_emu_Japan_Odakyu_10000_Series_Romance_purchase</t>
  </si>
  <si>
    <t>switch_emu_Japan_JR_Shinkansen_Series_E1_Max_cargo_selection</t>
  </si>
  <si>
    <t>switch_emu_Japan_JR_Shinkansen_Series_E1_Max_middlemail_position</t>
  </si>
  <si>
    <t>switch_emu_Japan_JR_Shinkansen_Series_E1_Max_middlepass_position</t>
  </si>
  <si>
    <t>switch_emu_Japan_JR_Shinkansen_Series_E1_Max_middlemail_livery</t>
  </si>
  <si>
    <t>switch_emu_Japan_JR_Shinkansen_Series_E1_Max_middlepass_livery</t>
  </si>
  <si>
    <t>switch_emu_Japan_JR_Shinkansen_Series_E1_Max_visual_effect_and_powered_position</t>
  </si>
  <si>
    <t>switch_emu_Japan_JR_Shinkansen_Series_E1_Max_visual_effect_and_powered</t>
  </si>
  <si>
    <t>switch_emu_Japan_JR_Shinkansen_Series_E1_Max_reversed</t>
  </si>
  <si>
    <t>spriteset_emu_Japan_JR_Shinkansen_Series_E1_Max_middlemail_L2</t>
  </si>
  <si>
    <t>spriteset_emu_Japan_JR_Shinkansen_Series_E1_Max_middlemail_L1</t>
  </si>
  <si>
    <t>spriteset_emu_Japan_JR_Shinkansen_Series_E1_Max_middlepass_L2</t>
  </si>
  <si>
    <t>spriteset_emu_Japan_JR_Shinkansen_Series_E1_Max_middlepass_L1</t>
  </si>
  <si>
    <t>spriteset_emu_Japan_JR_Shinkansen_Series_E1_Max_back</t>
  </si>
  <si>
    <t>spriteset_emu_Japan_JR_Shinkansen_Series_E1_Max_front</t>
  </si>
  <si>
    <t>spriteset_emu_Japan_JR_Shinkansen_Series_E1_Max_purchase</t>
  </si>
  <si>
    <t>switch_emu_Japan_JR_Shinkansen_Series_700_cargo_selection</t>
  </si>
  <si>
    <t>switch_emu_Japan_JR_Shinkansen_Series_700_middlemail_position</t>
  </si>
  <si>
    <t>switch_emu_Japan_JR_Shinkansen_Series_700_middlepass_position</t>
  </si>
  <si>
    <t>switch_emu_Japan_JR_Shinkansen_Series_700_middlemail_livery</t>
  </si>
  <si>
    <t>switch_emu_Japan_JR_Shinkansen_Series_700_middlepass_livery</t>
  </si>
  <si>
    <t>switch_emu_Japan_JR_Shinkansen_Series_700_visual_effect_and_powered_position</t>
  </si>
  <si>
    <t>switch_emu_Japan_JR_Shinkansen_Series_700_visual_effect_and_powered</t>
  </si>
  <si>
    <t>switch_emu_Japan_JR_Shinkansen_Series_700_reversed</t>
  </si>
  <si>
    <t>spriteset_emu_Japan_JR_Shinkansen_Series_700_middlemail_L2</t>
  </si>
  <si>
    <t>spriteset_emu_Japan_JR_Shinkansen_Series_700_middlemail_L1</t>
  </si>
  <si>
    <t>spriteset_emu_Japan_JR_Shinkansen_Series_700_middlepass_L2</t>
  </si>
  <si>
    <t>spriteset_emu_Japan_JR_Shinkansen_Series_700_middlepass_L1</t>
  </si>
  <si>
    <t>spriteset_emu_Japan_JR_Shinkansen_Series_700_back</t>
  </si>
  <si>
    <t>spriteset_emu_Japan_JR_Shinkansen_Series_700_front</t>
  </si>
  <si>
    <t>spriteset_emu_Japan_JR_Shinkansen_Series_700_purchase</t>
  </si>
  <si>
    <t>switch_emu_Japan_JNR_Shinkansen_Series_0_cargo_selection</t>
  </si>
  <si>
    <t>switch_emu_Japan_JNR_Shinkansen_Series_0_middlemail_position</t>
  </si>
  <si>
    <t>switch_emu_Japan_JNR_Shinkansen_Series_0_middlepass_position</t>
  </si>
  <si>
    <t>switch_emu_Japan_JNR_Shinkansen_Series_0_middlemail_livery</t>
  </si>
  <si>
    <t>switch_emu_Japan_JNR_Shinkansen_Series_0_middlepass_livery</t>
  </si>
  <si>
    <t>switch_emu_Japan_JNR_Shinkansen_Series_0_visual_effect_and_powered_position</t>
  </si>
  <si>
    <t>switch_emu_Japan_JNR_Shinkansen_Series_0_visual_effect_and_powered</t>
  </si>
  <si>
    <t>switch_emu_Japan_JNR_Shinkansen_Series_0_reversed</t>
  </si>
  <si>
    <t>spriteset_emu_Japan_JNR_Shinkansen_Series_0_middlemail_L2</t>
  </si>
  <si>
    <t>spriteset_emu_Japan_JNR_Shinkansen_Series_0_middlemail_L1</t>
  </si>
  <si>
    <t>spriteset_emu_Japan_JNR_Shinkansen_Series_0_middlepass_L2</t>
  </si>
  <si>
    <t>spriteset_emu_Japan_JNR_Shinkansen_Series_0_middlepass_L1</t>
  </si>
  <si>
    <t>spriteset_emu_Japan_JNR_Shinkansen_Series_0_back</t>
  </si>
  <si>
    <t>spriteset_emu_Japan_JNR_Shinkansen_Series_0_front</t>
  </si>
  <si>
    <t>spriteset_emu_Japan_JNR_Shinkansen_Series_0_purchase</t>
  </si>
  <si>
    <t>switch_emu_Italy_NTV_AGV_cargo_selection</t>
  </si>
  <si>
    <t>switch_emu_Italy_NTV_AGV_visual_effect_and_powered</t>
  </si>
  <si>
    <t>switch_emu_Italy_NTV_AGV_reversed</t>
  </si>
  <si>
    <t>switch_emu_Italy_NTV_AGV_middlemail_length</t>
  </si>
  <si>
    <t>switch_emu_Italy_NTV_AGV_middlemail_position_front</t>
  </si>
  <si>
    <t>switch_emu_Italy_NTV_AGV_middlemail_position_back</t>
  </si>
  <si>
    <t>switch_emu_Italy_NTV_AGV_middlepass_length</t>
  </si>
  <si>
    <t>switch_emu_Italy_NTV_AGV_middlepass_position_front</t>
  </si>
  <si>
    <t>switch_emu_Italy_NTV_AGV_middlepass_position_back</t>
  </si>
  <si>
    <t>spriteset_emu_Italy_NTV_AGV_middlemail_double</t>
  </si>
  <si>
    <t>spriteset_emu_Italy_NTV_AGV_middlemail_part2_back</t>
  </si>
  <si>
    <t>spriteset_emu_Italy_NTV_AGV_middlemail_part2_front</t>
  </si>
  <si>
    <t>spriteset_emu_Italy_NTV_AGV_middlemail_regular</t>
  </si>
  <si>
    <t>spriteset_emu_Italy_NTV_AGV_middlepass_double</t>
  </si>
  <si>
    <t>spriteset_emu_Italy_NTV_AGV_middlepass_part2_back</t>
  </si>
  <si>
    <t>spriteset_emu_Italy_NTV_AGV_middlepass_part2_front</t>
  </si>
  <si>
    <t>spriteset_emu_Italy_NTV_AGV_middlepass_regular</t>
  </si>
  <si>
    <t>spriteset_emu_Italy_NTV_AGV_back</t>
  </si>
  <si>
    <t>spriteset_emu_Italy_NTV_AGV_front</t>
  </si>
  <si>
    <t>spriteset_emu_Italy_NTV_AGV_purchase</t>
  </si>
  <si>
    <t>switch_emu_Italy_NTV_AGV_Duplex_cargo_selection</t>
  </si>
  <si>
    <t>switch_emu_Italy_NTV_AGV_Duplex_visual_effect_and_powered</t>
  </si>
  <si>
    <t>switch_emu_Italy_NTV_AGV_Duplex_reversed</t>
  </si>
  <si>
    <t>switch_emu_Italy_NTV_AGV_Duplex_middlemail_length</t>
  </si>
  <si>
    <t>switch_emu_Italy_NTV_AGV_Duplex_middlemail_position_front</t>
  </si>
  <si>
    <t>switch_emu_Italy_NTV_AGV_Duplex_middlemail_position_back</t>
  </si>
  <si>
    <t>switch_emu_Italy_NTV_AGV_Duplex_middlepass_length</t>
  </si>
  <si>
    <t>switch_emu_Italy_NTV_AGV_Duplex_middlepass_position_front</t>
  </si>
  <si>
    <t>switch_emu_Italy_NTV_AGV_Duplex_middlepass_position_back</t>
  </si>
  <si>
    <t>spriteset_emu_Italy_NTV_AGV_Duplex_middlemail_double</t>
  </si>
  <si>
    <t>spriteset_emu_Italy_NTV_AGV_Duplex_middlemail_part2_back</t>
  </si>
  <si>
    <t>spriteset_emu_Italy_NTV_AGV_Duplex_middlemail_part2_front</t>
  </si>
  <si>
    <t>spriteset_emu_Italy_NTV_AGV_Duplex_middlemail_regular</t>
  </si>
  <si>
    <t>spriteset_emu_Italy_NTV_AGV_Duplex_middlepass_double</t>
  </si>
  <si>
    <t>spriteset_emu_Italy_NTV_AGV_Duplex_middlepass_part2_back</t>
  </si>
  <si>
    <t>spriteset_emu_Italy_NTV_AGV_Duplex_middlepass_part2_front</t>
  </si>
  <si>
    <t>spriteset_emu_Italy_NTV_AGV_Duplex_middlepass_regular</t>
  </si>
  <si>
    <t>spriteset_emu_Italy_NTV_AGV_Duplex_back</t>
  </si>
  <si>
    <t>spriteset_emu_Italy_NTV_AGV_Duplex_front</t>
  </si>
  <si>
    <t>spriteset_emu_Italy_NTV_AGV_Duplex_purchase</t>
  </si>
  <si>
    <t>switch_emu_Italy_FS_ETR500_cargo_selection</t>
  </si>
  <si>
    <t>switch_emu_Italy_FS_ETR500_visual_effect_and_powered</t>
  </si>
  <si>
    <t>switch_emu_Italy_FS_ETR500_reversed</t>
  </si>
  <si>
    <t>spriteset_emu_Italy_FS_ETR500_middlemail</t>
  </si>
  <si>
    <t>spriteset_emu_Italy_FS_ETR500_middlepass</t>
  </si>
  <si>
    <t>spriteset_emu_Italy_FS_ETR500_back</t>
  </si>
  <si>
    <t>spriteset_emu_Italy_FS_ETR500_front</t>
  </si>
  <si>
    <t>spriteset_emu_Italy_FS_ETR500_purchase</t>
  </si>
  <si>
    <t>switch_emu_Italy_FS_ETR300_Settebello_cargo_selection</t>
  </si>
  <si>
    <t>switch_emu_Italy_FS_ETR300_Settebello_middlemail_position</t>
  </si>
  <si>
    <t>switch_emu_Italy_FS_ETR300_Settebello_middlepass_position</t>
  </si>
  <si>
    <t>switch_emu_Italy_FS_ETR300_Settebello_middlemail_livery</t>
  </si>
  <si>
    <t>switch_emu_Italy_FS_ETR300_Settebello_middlepass_livery</t>
  </si>
  <si>
    <t>switch_emu_Italy_FS_ETR300_Settebello_visual_effect_and_powered_position</t>
  </si>
  <si>
    <t>switch_emu_Italy_FS_ETR300_Settebello_visual_effect_and_powered</t>
  </si>
  <si>
    <t>switch_emu_Italy_FS_ETR300_Settebello_reversed</t>
  </si>
  <si>
    <t>spriteset_emu_Italy_FS_ETR300_Settebello_middlemail_L2</t>
  </si>
  <si>
    <t>spriteset_emu_Italy_FS_ETR300_Settebello_middlemail_L1</t>
  </si>
  <si>
    <t>spriteset_emu_Italy_FS_ETR300_Settebello_middlepass_L2</t>
  </si>
  <si>
    <t>spriteset_emu_Italy_FS_ETR300_Settebello_middlepass_L1</t>
  </si>
  <si>
    <t>spriteset_emu_Italy_FS_ETR300_Settebello_back</t>
  </si>
  <si>
    <t>spriteset_emu_Italy_FS_ETR300_Settebello_front</t>
  </si>
  <si>
    <t>spriteset_emu_Italy_FS_ETR300_Settebello_purchase</t>
  </si>
  <si>
    <t>switch_emu_Italy_FS_ETR200_cargo_selection</t>
  </si>
  <si>
    <t>switch_emu_Italy_FS_ETR200_visual_effect_and_powered</t>
  </si>
  <si>
    <t>switch_emu_Italy_FS_ETR200_reversed</t>
  </si>
  <si>
    <t>spriteset_emu_Italy_FS_ETR200_middlemail</t>
  </si>
  <si>
    <t>spriteset_emu_Italy_FS_ETR200_middlepass</t>
  </si>
  <si>
    <t>spriteset_emu_Italy_FS_ETR200_back</t>
  </si>
  <si>
    <t>spriteset_emu_Italy_FS_ETR200_front</t>
  </si>
  <si>
    <t>spriteset_emu_Italy_FS_ETR200_purchase</t>
  </si>
  <si>
    <t>switch_emu_Italy_FS_ALe_801_cargo_selection</t>
  </si>
  <si>
    <t>switch_emu_Italy_FS_ALe_801_visual_effect_and_powered</t>
  </si>
  <si>
    <t>switch_emu_Italy_FS_ALe_801_reversed</t>
  </si>
  <si>
    <t>spriteset_emu_Italy_FS_ALe_801_middlemail</t>
  </si>
  <si>
    <t>spriteset_emu_Italy_FS_ALe_801_middlepass</t>
  </si>
  <si>
    <t>spriteset_emu_Italy_FS_ALe_801_back</t>
  </si>
  <si>
    <t>spriteset_emu_Italy_FS_ALe_801_front</t>
  </si>
  <si>
    <t>spriteset_emu_Italy_FS_ALe_801_purchase</t>
  </si>
  <si>
    <t>switch_emu_Italy_FS_ALe426_cargo_selection</t>
  </si>
  <si>
    <t>switch_emu_Italy_FS_ALe426_visual_effect_and_powered</t>
  </si>
  <si>
    <t>switch_emu_Italy_FS_ALe426_reversed</t>
  </si>
  <si>
    <t>spriteset_emu_Italy_FS_ALe426_middlemail</t>
  </si>
  <si>
    <t>spriteset_emu_Italy_FS_ALe426_middlepass</t>
  </si>
  <si>
    <t>spriteset_emu_Italy_FS_ALe426_back</t>
  </si>
  <si>
    <t>spriteset_emu_Italy_FS_ALe426_front</t>
  </si>
  <si>
    <t>spriteset_emu_Italy_FS_ALe426_purchase</t>
  </si>
  <si>
    <t>switch_emu_Italy_ATAC_ECD_21_30_cargo_selection</t>
  </si>
  <si>
    <t>switch_emu_Italy_ATAC_ECD_21_30_visual_effect_and_powered</t>
  </si>
  <si>
    <t>switch_emu_Italy_ATAC_ECD_21_30_reversed</t>
  </si>
  <si>
    <t>spriteset_emu_Italy_ATAC_ECD_21_30_middlemail</t>
  </si>
  <si>
    <t>spriteset_emu_Italy_ATAC_ECD_21_30_middlepass</t>
  </si>
  <si>
    <t>spriteset_emu_Italy_ATAC_ECD_21_30_back</t>
  </si>
  <si>
    <t>spriteset_emu_Italy_ATAC_ECD_21_30_front</t>
  </si>
  <si>
    <t>spriteset_emu_Italy_ATAC_ECD_21_30_purchase</t>
  </si>
  <si>
    <t>switch_emu_Hungary_MAV_BDVmot_cargo_selection</t>
  </si>
  <si>
    <t>switch_emu_Hungary_MAV_BDVmot_visual_effect_and_powered</t>
  </si>
  <si>
    <t>switch_emu_Hungary_MAV_BDVmot_reversed</t>
  </si>
  <si>
    <t>spriteset_emu_Hungary_MAV_BDVmot_middlemail</t>
  </si>
  <si>
    <t>spriteset_emu_Hungary_MAV_BDVmot_middlepass</t>
  </si>
  <si>
    <t>spriteset_emu_Hungary_MAV_BDVmot_back</t>
  </si>
  <si>
    <t>spriteset_emu_Hungary_MAV_BDVmot_front</t>
  </si>
  <si>
    <t>spriteset_emu_Hungary_MAV_BDVmot_purchase</t>
  </si>
  <si>
    <t>switch_emu_Germany_DB_ET420_cargo_selection</t>
  </si>
  <si>
    <t>switch_emu_Germany_DB_ET420_middlemail_position</t>
  </si>
  <si>
    <t>switch_emu_Germany_DB_ET420_middlepass_position</t>
  </si>
  <si>
    <t>switch_emu_Germany_DB_ET420_middlemail_livery</t>
  </si>
  <si>
    <t>switch_emu_Germany_DB_ET420_middlepass_livery</t>
  </si>
  <si>
    <t>switch_emu_Germany_DB_ET420_visual_effect_and_powered_position</t>
  </si>
  <si>
    <t>switch_emu_Germany_DB_ET420_visual_effect_and_powered</t>
  </si>
  <si>
    <t>switch_emu_Germany_DB_ET420_reversed</t>
  </si>
  <si>
    <t>spriteset_emu_Germany_DB_ET420_middlemail_L2</t>
  </si>
  <si>
    <t>spriteset_emu_Germany_DB_ET420_middlemail_L1</t>
  </si>
  <si>
    <t>spriteset_emu_Germany_DB_ET420_middlepass_L2</t>
  </si>
  <si>
    <t>spriteset_emu_Germany_DB_ET420_middlepass_L1</t>
  </si>
  <si>
    <t>spriteset_emu_Germany_DB_ET420_back</t>
  </si>
  <si>
    <t>spriteset_emu_Germany_DB_ET420_front</t>
  </si>
  <si>
    <t>spriteset_emu_Germany_DB_ET420_purchase</t>
  </si>
  <si>
    <t>switch_emu_Germany_DB_403_ICE_3_cargo_selection</t>
  </si>
  <si>
    <t>switch_emu_Germany_DB_403_ICE_3_middlemail_position</t>
  </si>
  <si>
    <t>switch_emu_Germany_DB_403_ICE_3_middlepass_position</t>
  </si>
  <si>
    <t>switch_emu_Germany_DB_403_ICE_3_middlemail_livery</t>
  </si>
  <si>
    <t>switch_emu_Germany_DB_403_ICE_3_middlepass_livery</t>
  </si>
  <si>
    <t>switch_emu_Germany_DB_403_ICE_3_visual_effect_and_powered_position</t>
  </si>
  <si>
    <t>switch_emu_Germany_DB_403_ICE_3_visual_effect_and_powered</t>
  </si>
  <si>
    <t>switch_emu_Germany_DB_403_ICE_3_reversed</t>
  </si>
  <si>
    <t>spriteset_emu_Germany_DB_403_ICE_3_middlemail_L2</t>
  </si>
  <si>
    <t>spriteset_emu_Germany_DB_403_ICE_3_middlemail_L1</t>
  </si>
  <si>
    <t>spriteset_emu_Germany_DB_403_ICE_3_middlepass_L2</t>
  </si>
  <si>
    <t>spriteset_emu_Germany_DB_403_ICE_3_middlepass_L1</t>
  </si>
  <si>
    <t>spriteset_emu_Germany_DB_403_ICE_3_back</t>
  </si>
  <si>
    <t>spriteset_emu_Germany_DB_403_ICE_3_front</t>
  </si>
  <si>
    <t>spriteset_emu_Germany_DB_403_ICE_3_purchase</t>
  </si>
  <si>
    <t>switch_emu_France_Thalys_PBKA_cargo_selection</t>
  </si>
  <si>
    <t>switch_emu_France_Thalys_PBKA_visual_effect_and_powered</t>
  </si>
  <si>
    <t>switch_emu_France_Thalys_PBKA_reversed</t>
  </si>
  <si>
    <t>switch_emu_France_Thalys_PBKA_middlemail_length</t>
  </si>
  <si>
    <t>switch_emu_France_Thalys_PBKA_middlemail_position_front</t>
  </si>
  <si>
    <t>switch_emu_France_Thalys_PBKA_middlemail_position_back</t>
  </si>
  <si>
    <t>switch_emu_France_Thalys_PBKA_middlepass_length</t>
  </si>
  <si>
    <t>switch_emu_France_Thalys_PBKA_middlepass_position_front</t>
  </si>
  <si>
    <t>switch_emu_France_Thalys_PBKA_middlepass_position_back</t>
  </si>
  <si>
    <t>spriteset_emu_France_Thalys_PBKA_middlemail_double</t>
  </si>
  <si>
    <t>spriteset_emu_France_Thalys_PBKA_middlemail_part2_back</t>
  </si>
  <si>
    <t>spriteset_emu_France_Thalys_PBKA_middlemail_part2_front</t>
  </si>
  <si>
    <t>spriteset_emu_France_Thalys_PBKA_middlemail_regular</t>
  </si>
  <si>
    <t>spriteset_emu_France_Thalys_PBKA_middlepass_double</t>
  </si>
  <si>
    <t>spriteset_emu_France_Thalys_PBKA_middlepass_part2_back</t>
  </si>
  <si>
    <t>spriteset_emu_France_Thalys_PBKA_middlepass_part2_front</t>
  </si>
  <si>
    <t>spriteset_emu_France_Thalys_PBKA_middlepass_regular</t>
  </si>
  <si>
    <t>spriteset_emu_France_Thalys_PBKA_back</t>
  </si>
  <si>
    <t>spriteset_emu_France_Thalys_PBKA_front</t>
  </si>
  <si>
    <t>spriteset_emu_France_Thalys_PBKA_purchase</t>
  </si>
  <si>
    <t>switch_emu_France_SNCF_TGV_Sud_Est_cargo_selection</t>
  </si>
  <si>
    <t>switch_emu_France_SNCF_TGV_Sud_Est_visual_effect_and_powered</t>
  </si>
  <si>
    <t>switch_emu_France_SNCF_TGV_Sud_Est_reversed</t>
  </si>
  <si>
    <t>switch_emu_France_SNCF_TGV_Sud_Est_middlemail_length</t>
  </si>
  <si>
    <t>switch_emu_France_SNCF_TGV_Sud_Est_middlemail_position_front</t>
  </si>
  <si>
    <t>switch_emu_France_SNCF_TGV_Sud_Est_middlemail_position_back</t>
  </si>
  <si>
    <t>switch_emu_France_SNCF_TGV_Sud_Est_middlepass_length</t>
  </si>
  <si>
    <t>switch_emu_France_SNCF_TGV_Sud_Est_middlepass_position_front</t>
  </si>
  <si>
    <t>switch_emu_France_SNCF_TGV_Sud_Est_middlepass_position_back</t>
  </si>
  <si>
    <t>spriteset_emu_France_SNCF_TGV_Sud_Est_middlemail_double</t>
  </si>
  <si>
    <t>spriteset_emu_France_SNCF_TGV_Sud_Est_middlemail_part2_back</t>
  </si>
  <si>
    <t>spriteset_emu_France_SNCF_TGV_Sud_Est_middlemail_part2_front</t>
  </si>
  <si>
    <t>spriteset_emu_France_SNCF_TGV_Sud_Est_middlemail_regular</t>
  </si>
  <si>
    <t>spriteset_emu_France_SNCF_TGV_Sud_Est_middlepass_double</t>
  </si>
  <si>
    <t>spriteset_emu_France_SNCF_TGV_Sud_Est_middlepass_part2_back</t>
  </si>
  <si>
    <t>spriteset_emu_France_SNCF_TGV_Sud_Est_middlepass_part2_front</t>
  </si>
  <si>
    <t>spriteset_emu_France_SNCF_TGV_Sud_Est_middlepass_regular</t>
  </si>
  <si>
    <t>spriteset_emu_France_SNCF_TGV_Sud_Est_back</t>
  </si>
  <si>
    <t>spriteset_emu_France_SNCF_TGV_Sud_Est_front</t>
  </si>
  <si>
    <t>spriteset_emu_France_SNCF_TGV_Sud_Est_purchase</t>
  </si>
  <si>
    <t>switch_emu_France_SNCF_TGV_Duplex_cargo_selection</t>
  </si>
  <si>
    <t>switch_emu_France_SNCF_TGV_Duplex_reversed</t>
  </si>
  <si>
    <t>switch_emu_France_SNCF_TGV_Duplex_livery</t>
  </si>
  <si>
    <t>spriteset_emu_France_SNCF_TGV_Duplex_middlemail</t>
  </si>
  <si>
    <t>spriteset_emu_France_SNCF_TGV_Duplex_middlepass_L2</t>
  </si>
  <si>
    <t>spriteset_emu_France_SNCF_TGV_Duplex_middlepass_L1</t>
  </si>
  <si>
    <t>spriteset_emu_France_SNCF_TGV_Duplex_back</t>
  </si>
  <si>
    <t>spriteset_emu_France_SNCF_TGV_Duplex_front</t>
  </si>
  <si>
    <t>spriteset_emu_France_SNCF_TGV_Duplex_purchase</t>
  </si>
  <si>
    <t>switch_emu_Finland_VR_Sm4_cargo_selection</t>
  </si>
  <si>
    <t>switch_emu_Finland_VR_Sm4_visual_effect_and_powered</t>
  </si>
  <si>
    <t>switch_emu_Finland_VR_Sm4_reversed</t>
  </si>
  <si>
    <t>spriteset_emu_Finland_VR_Sm4_middlemail</t>
  </si>
  <si>
    <t>spriteset_emu_Finland_VR_Sm4_middlepass</t>
  </si>
  <si>
    <t>spriteset_emu_Finland_VR_Sm4_back</t>
  </si>
  <si>
    <t>spriteset_emu_Finland_VR_Sm4_front</t>
  </si>
  <si>
    <t>spriteset_emu_Finland_VR_Sm4_purchase</t>
  </si>
  <si>
    <t>switch_emu_Finland_VR_Sm2_cargo_selection</t>
  </si>
  <si>
    <t>switch_emu_Finland_VR_Sm2_visual_effect_and_powered</t>
  </si>
  <si>
    <t>switch_emu_Finland_VR_Sm2_reversed</t>
  </si>
  <si>
    <t>spriteset_emu_Finland_VR_Sm2_middlemail</t>
  </si>
  <si>
    <t>spriteset_emu_Finland_VR_Sm2_middlepass</t>
  </si>
  <si>
    <t>spriteset_emu_Finland_VR_Sm2_back</t>
  </si>
  <si>
    <t>spriteset_emu_Finland_VR_Sm2_front</t>
  </si>
  <si>
    <t>spriteset_emu_Finland_VR_Sm2_purchase</t>
  </si>
  <si>
    <t>switch_emu_Europe_Sureot_cargo_selection</t>
  </si>
  <si>
    <t>switch_emu_Europe_Sureot_visual_effect_and_powered</t>
  </si>
  <si>
    <t>switch_emu_Europe_Sureot_reversed</t>
  </si>
  <si>
    <t>switch_emu_Europe_Sureot_middlepass_livery</t>
  </si>
  <si>
    <t>spriteset_emu_Europe_Sureot_middlemail</t>
  </si>
  <si>
    <t>spriteset_emu_Europe_Sureot_middlepass_L2</t>
  </si>
  <si>
    <t>spriteset_emu_Europe_Sureot_middlepass_L1</t>
  </si>
  <si>
    <t>spriteset_emu_Europe_Sureot_back</t>
  </si>
  <si>
    <t>spriteset_emu_Europe_Sureot_front</t>
  </si>
  <si>
    <t>spriteset_emu_Europe_Sureot_purchase</t>
  </si>
  <si>
    <t>switch_emu_Denmark_DSB_S_Tog_IV_cargo_selection</t>
  </si>
  <si>
    <t>switch_emu_Denmark_DSB_S_Tog_IV_middlemail_position</t>
  </si>
  <si>
    <t>switch_emu_Denmark_DSB_S_Tog_IV_middlepass_position</t>
  </si>
  <si>
    <t>switch_emu_Denmark_DSB_S_Tog_IV_middlemail_livery</t>
  </si>
  <si>
    <t>switch_emu_Denmark_DSB_S_Tog_IV_middlepass_livery</t>
  </si>
  <si>
    <t>switch_emu_Denmark_DSB_S_Tog_IV_visual_effect_and_powered_position</t>
  </si>
  <si>
    <t>switch_emu_Denmark_DSB_S_Tog_IV_visual_effect_and_powered</t>
  </si>
  <si>
    <t>switch_emu_Denmark_DSB_S_Tog_IV_reversed</t>
  </si>
  <si>
    <t>spriteset_emu_Denmark_DSB_S_Tog_IV_middlemail_L2</t>
  </si>
  <si>
    <t>spriteset_emu_Denmark_DSB_S_Tog_IV_middlemail_L1</t>
  </si>
  <si>
    <t>spriteset_emu_Denmark_DSB_S_Tog_IV_middlepass_L2</t>
  </si>
  <si>
    <t>spriteset_emu_Denmark_DSB_S_Tog_IV_middlepass_L1</t>
  </si>
  <si>
    <t>spriteset_emu_Denmark_DSB_S_Tog_IV_back</t>
  </si>
  <si>
    <t>spriteset_emu_Denmark_DSB_S_Tog_IV_front</t>
  </si>
  <si>
    <t>spriteset_emu_Denmark_DSB_S_Tog_IV_purchase</t>
  </si>
  <si>
    <t>switch_emu_Denmark_DSB_S_Tog_II_cargo_selection</t>
  </si>
  <si>
    <t>switch_emu_Denmark_DSB_S_Tog_II_middlemail_position</t>
  </si>
  <si>
    <t>switch_emu_Denmark_DSB_S_Tog_II_middlepass_position</t>
  </si>
  <si>
    <t>switch_emu_Denmark_DSB_S_Tog_II_middlemail_livery</t>
  </si>
  <si>
    <t>switch_emu_Denmark_DSB_S_Tog_II_middlepass_livery</t>
  </si>
  <si>
    <t>switch_emu_Denmark_DSB_S_Tog_II_visual_effect_and_powered_position</t>
  </si>
  <si>
    <t>switch_emu_Denmark_DSB_S_Tog_II_visual_effect_and_powered</t>
  </si>
  <si>
    <t>switch_emu_Denmark_DSB_S_Tog_II_reversed</t>
  </si>
  <si>
    <t>spriteset_emu_Denmark_DSB_S_Tog_II_middlemail_L2</t>
  </si>
  <si>
    <t>spriteset_emu_Denmark_DSB_S_Tog_II_middlemail_L1</t>
  </si>
  <si>
    <t>spriteset_emu_Denmark_DSB_S_Tog_II_middlepass_L2</t>
  </si>
  <si>
    <t>spriteset_emu_Denmark_DSB_S_Tog_II_middlepass_L1</t>
  </si>
  <si>
    <t>spriteset_emu_Denmark_DSB_S_Tog_II_back</t>
  </si>
  <si>
    <t>spriteset_emu_Denmark_DSB_S_Tog_II_front</t>
  </si>
  <si>
    <t>spriteset_emu_Denmark_DSB_S_Tog_II_purchase</t>
  </si>
  <si>
    <t>switch_emu_Czech_Republic_CD_680_Pendolino_cargo_selection</t>
  </si>
  <si>
    <t>switch_emu_Czech_Republic_CD_680_Pendolino_visual_effect_and_powered</t>
  </si>
  <si>
    <t>switch_emu_Czech_Republic_CD_680_Pendolino_reversed</t>
  </si>
  <si>
    <t>spriteset_emu_Czech_Republic_CD_680_Pendolino_middlemail</t>
  </si>
  <si>
    <t>spriteset_emu_Czech_Republic_CD_680_Pendolino_middlepass</t>
  </si>
  <si>
    <t>spriteset_emu_Czech_Republic_CD_680_Pendolino_back</t>
  </si>
  <si>
    <t>spriteset_emu_Czech_Republic_CD_680_Pendolino_front</t>
  </si>
  <si>
    <t>spriteset_emu_Czech_Republic_CD_680_Pendolino_purchase</t>
  </si>
  <si>
    <t>switch_emu_Croatia_HZ_6112_cargo_selection</t>
  </si>
  <si>
    <t>switch_emu_Croatia_HZ_6112_visual_effect_and_powered</t>
  </si>
  <si>
    <t>switch_emu_Croatia_HZ_6112_reversed</t>
  </si>
  <si>
    <t>spriteset_emu_Croatia_HZ_6112_middlemail</t>
  </si>
  <si>
    <t>spriteset_emu_Croatia_HZ_6112_middlepass</t>
  </si>
  <si>
    <t>spriteset_emu_Croatia_HZ_6112_back</t>
  </si>
  <si>
    <t>spriteset_emu_Croatia_HZ_6112_front</t>
  </si>
  <si>
    <t>spriteset_emu_Croatia_HZ_6112_purchase</t>
  </si>
  <si>
    <t>switch_emu_China_Railways_CHR380A_cargo_selection</t>
  </si>
  <si>
    <t>switch_emu_China_Railways_CHR380A_middlemail_position</t>
  </si>
  <si>
    <t>switch_emu_China_Railways_CHR380A_middlepass_position</t>
  </si>
  <si>
    <t>switch_emu_China_Railways_CHR380A_middlemail_livery</t>
  </si>
  <si>
    <t>switch_emu_China_Railways_CHR380A_middlepass_livery</t>
  </si>
  <si>
    <t>switch_emu_China_Railways_CHR380A_visual_effect_and_powered_position</t>
  </si>
  <si>
    <t>switch_emu_China_Railways_CHR380A_visual_effect_and_powered</t>
  </si>
  <si>
    <t>switch_emu_China_Railways_CHR380A_reversed</t>
  </si>
  <si>
    <t>spriteset_emu_China_Railways_CHR380A_middlemail_L2</t>
  </si>
  <si>
    <t>spriteset_emu_China_Railways_CHR380A_middlemail_L1</t>
  </si>
  <si>
    <t>spriteset_emu_China_Railways_CHR380A_middlepass_L2</t>
  </si>
  <si>
    <t>spriteset_emu_China_Railways_CHR380A_middlepass_L1</t>
  </si>
  <si>
    <t>spriteset_emu_China_Railways_CHR380A_back</t>
  </si>
  <si>
    <t>spriteset_emu_China_Railways_CHR380A_front</t>
  </si>
  <si>
    <t>spriteset_emu_China_Railways_CHR380A_purchase</t>
  </si>
  <si>
    <t>switch_emu_Chile_EFE_XTrapolis_100_cargo_selection</t>
  </si>
  <si>
    <t>switch_emu_Chile_EFE_XTrapolis_100_visual_effect_and_powered</t>
  </si>
  <si>
    <t>switch_emu_Chile_EFE_XTrapolis_100_reversed</t>
  </si>
  <si>
    <t>spriteset_emu_Chile_EFE_XTrapolis_100_middlemail</t>
  </si>
  <si>
    <t>spriteset_emu_Chile_EFE_XTrapolis_100_middlepass</t>
  </si>
  <si>
    <t>spriteset_emu_Chile_EFE_XTrapolis_100_back</t>
  </si>
  <si>
    <t>spriteset_emu_Chile_EFE_XTrapolis_100_front</t>
  </si>
  <si>
    <t>spriteset_emu_Chile_EFE_XTrapolis_100_purchase</t>
  </si>
  <si>
    <t>switch_emu_Chile_EFE_AES_Railcar_cargo_selection</t>
  </si>
  <si>
    <t>switch_emu_Chile_EFE_AES_Railcar_visual_effect_and_powered</t>
  </si>
  <si>
    <t>switch_emu_Chile_EFE_AES_Railcar_reversed</t>
  </si>
  <si>
    <t>spriteset_emu_Chile_EFE_AES_Railcar_middlemail</t>
  </si>
  <si>
    <t>spriteset_emu_Chile_EFE_AES_Railcar_middlepass</t>
  </si>
  <si>
    <t>spriteset_emu_Chile_EFE_AES_Railcar_back</t>
  </si>
  <si>
    <t>spriteset_emu_Chile_EFE_AES_Railcar_front</t>
  </si>
  <si>
    <t>spriteset_emu_Chile_EFE_AES_Railcar_purchase</t>
  </si>
  <si>
    <t>switch_emu_Bulgaria_BDZ_10_Desiro_cargo_selection</t>
  </si>
  <si>
    <t>switch_emu_Bulgaria_BDZ_10_Desiro_visual_effect_and_powered</t>
  </si>
  <si>
    <t>switch_emu_Bulgaria_BDZ_10_Desiro_reversed</t>
  </si>
  <si>
    <t>spriteset_emu_Bulgaria_BDZ_10_Desiro_middlemail</t>
  </si>
  <si>
    <t>spriteset_emu_Bulgaria_BDZ_10_Desiro_middlepass</t>
  </si>
  <si>
    <t>spriteset_emu_Bulgaria_BDZ_10_Desiro_back</t>
  </si>
  <si>
    <t>spriteset_emu_Bulgaria_BDZ_10_Desiro_front</t>
  </si>
  <si>
    <t>spriteset_emu_Bulgaria_BDZ_10_Desiro_purchase</t>
  </si>
  <si>
    <t>switch_emu_Austria_WESTbahn_4010_KISS_cargo_selection</t>
  </si>
  <si>
    <t>switch_emu_Austria_WESTbahn_4010_KISS_visual_effect_and_powered</t>
  </si>
  <si>
    <t>switch_emu_Austria_WESTbahn_4010_KISS_reversed</t>
  </si>
  <si>
    <t>spriteset_emu_Austria_WESTbahn_4010_KISS_middlemail</t>
  </si>
  <si>
    <t>spriteset_emu_Austria_WESTbahn_4010_KISS_middlepass</t>
  </si>
  <si>
    <t>spriteset_emu_Austria_WESTbahn_4010_KISS_back</t>
  </si>
  <si>
    <t>spriteset_emu_Austria_WESTbahn_4010_KISS_front</t>
  </si>
  <si>
    <t>spriteset_emu_Austria_WESTbahn_4010_KISS_purchase</t>
  </si>
  <si>
    <t>switch_emu_Austria_OBB_4041_cargo_selection</t>
  </si>
  <si>
    <t>switch_emu_Austria_OBB_4041_visual_effect_and_powered</t>
  </si>
  <si>
    <t>switch_emu_Austria_OBB_4041_reversed</t>
  </si>
  <si>
    <t>spriteset_emu_Austria_OBB_4041_middlemail</t>
  </si>
  <si>
    <t>spriteset_emu_Austria_OBB_4041_middlepass</t>
  </si>
  <si>
    <t>spriteset_emu_Austria_OBB_4041_back</t>
  </si>
  <si>
    <t>spriteset_emu_Austria_OBB_4041_front</t>
  </si>
  <si>
    <t>spriteset_emu_Austria_OBB_4041_purchase</t>
  </si>
  <si>
    <t>switch_emu_Austria_OBB_4030_cargo_selection</t>
  </si>
  <si>
    <t>switch_emu_Austria_OBB_4030_visual_effect_and_powered</t>
  </si>
  <si>
    <t>switch_emu_Austria_OBB_4030_reversed</t>
  </si>
  <si>
    <t>spriteset_emu_Austria_OBB_4030_middlemail</t>
  </si>
  <si>
    <t>spriteset_emu_Austria_OBB_4030_middlepass</t>
  </si>
  <si>
    <t>spriteset_emu_Austria_OBB_4030_back</t>
  </si>
  <si>
    <t>spriteset_emu_Austria_OBB_4030_front</t>
  </si>
  <si>
    <t>spriteset_emu_Austria_OBB_4030_purchase</t>
  </si>
  <si>
    <t>switch_emu_Australia_Victorian_Railways_Swing_Door_cargo_selection</t>
  </si>
  <si>
    <t>switch_emu_Australia_Victorian_Railways_Swing_Door_visual_effect_and_powered</t>
  </si>
  <si>
    <t>switch_emu_Australia_Victorian_Railways_Swing_Door_reversed</t>
  </si>
  <si>
    <t>spriteset_emu_Australia_Victorian_Railways_Swing_Door_middlemail</t>
  </si>
  <si>
    <t>spriteset_emu_Australia_Victorian_Railways_Swing_Door_middlepass</t>
  </si>
  <si>
    <t>spriteset_emu_Australia_Victorian_Railways_Swing_Door_back</t>
  </si>
  <si>
    <t>spriteset_emu_Australia_Victorian_Railways_Swing_Door_front</t>
  </si>
  <si>
    <t>spriteset_emu_Australia_Victorian_Railways_Swing_Door_purchase</t>
  </si>
  <si>
    <t>switch_emu_Australia_Sydney_Trains_S_Set_cargo_selection</t>
  </si>
  <si>
    <t>switch_emu_Australia_Sydney_Trains_S_Set_reversed</t>
  </si>
  <si>
    <t>spriteset_emu_Australia_Sydney_Trains_S_Set_middlemail</t>
  </si>
  <si>
    <t>spriteset_emu_Australia_Sydney_Trains_S_Set_middlepass</t>
  </si>
  <si>
    <t>spriteset_emu_Australia_Sydney_Trains_S_Set_back</t>
  </si>
  <si>
    <t>spriteset_emu_Australia_Sydney_Trains_S_Set_front</t>
  </si>
  <si>
    <t>spriteset_emu_Australia_Sydney_Trains_S_Set_purchase</t>
  </si>
  <si>
    <t>switch_emu_Australia_Sydney_Trains_OSCars_cargo_selection</t>
  </si>
  <si>
    <t>switch_emu_Australia_Sydney_Trains_OSCars_visual_effect_and_powered</t>
  </si>
  <si>
    <t>switch_emu_Australia_Sydney_Trains_OSCars_reversed</t>
  </si>
  <si>
    <t>spriteset_emu_Australia_Sydney_Trains_OSCars_middlemail</t>
  </si>
  <si>
    <t>spriteset_emu_Australia_Sydney_Trains_OSCars_middlepass</t>
  </si>
  <si>
    <t>spriteset_emu_Australia_Sydney_Trains_OSCars_back</t>
  </si>
  <si>
    <t>spriteset_emu_Australia_Sydney_Trains_OSCars_front</t>
  </si>
  <si>
    <t>spriteset_emu_Australia_Sydney_Trains_OSCars_purchase</t>
  </si>
  <si>
    <t>switch_emu_Australia_Sydney_Trains_A_Set_Waratah_cargo_selection</t>
  </si>
  <si>
    <t>switch_emu_Australia_Sydney_Trains_A_Set_Waratah_visual_effect_and_powered</t>
  </si>
  <si>
    <t>switch_emu_Australia_Sydney_Trains_A_Set_Waratah_reversed</t>
  </si>
  <si>
    <t>spriteset_emu_Australia_Sydney_Trains_A_Set_Waratah_middlemail</t>
  </si>
  <si>
    <t>spriteset_emu_Australia_Sydney_Trains_A_Set_Waratah_middlepass</t>
  </si>
  <si>
    <t>spriteset_emu_Australia_Sydney_Trains_A_Set_Waratah_back</t>
  </si>
  <si>
    <t>spriteset_emu_Australia_Sydney_Trains_A_Set_Waratah_front</t>
  </si>
  <si>
    <t>spriteset_emu_Australia_Sydney_Trains_A_Set_Waratah_purchase</t>
  </si>
  <si>
    <t>switch_emu_Australia_Queensland_Rail_Tilt_Train_cargo_selection</t>
  </si>
  <si>
    <t>switch_emu_Australia_Queensland_Rail_Tilt_Train_middlemail_position</t>
  </si>
  <si>
    <t>switch_emu_Australia_Queensland_Rail_Tilt_Train_middlepass_position</t>
  </si>
  <si>
    <t>switch_emu_Australia_Queensland_Rail_Tilt_Train_middlemail_livery</t>
  </si>
  <si>
    <t>switch_emu_Australia_Queensland_Rail_Tilt_Train_middlepass_livery</t>
  </si>
  <si>
    <t>switch_emu_Australia_Queensland_Rail_Tilt_Train_visual_effect_and_powered_position</t>
  </si>
  <si>
    <t>switch_emu_Australia_Queensland_Rail_Tilt_Train_visual_effect_and_powered</t>
  </si>
  <si>
    <t>switch_emu_Australia_Queensland_Rail_Tilt_Train_reversed</t>
  </si>
  <si>
    <t>spriteset_emu_Australia_Queensland_Rail_Tilt_Train_middlemail_L2</t>
  </si>
  <si>
    <t>spriteset_emu_Australia_Queensland_Rail_Tilt_Train_middlemail_L1</t>
  </si>
  <si>
    <t>spriteset_emu_Australia_Queensland_Rail_Tilt_Train_middlepass_L2</t>
  </si>
  <si>
    <t>spriteset_emu_Australia_Queensland_Rail_Tilt_Train_middlepass_L1</t>
  </si>
  <si>
    <t>spriteset_emu_Australia_Queensland_Rail_Tilt_Train_back</t>
  </si>
  <si>
    <t>spriteset_emu_Australia_Queensland_Rail_Tilt_Train_front</t>
  </si>
  <si>
    <t>spriteset_emu_Australia_Queensland_Rail_Tilt_Train_purchase</t>
  </si>
  <si>
    <t>switch_mtro_USA_Washington_7000_reversed</t>
  </si>
  <si>
    <t>spriteset_mtro_USA_Washington_7000_middle</t>
  </si>
  <si>
    <t>spriteset_mtro_USA_Washington_7000_back</t>
  </si>
  <si>
    <t>spriteset_mtro_USA_Washington_7000_front</t>
  </si>
  <si>
    <t>spriteset_mtro_USA_Washington_7000_purchase</t>
  </si>
  <si>
    <t>switch_electric_USA_Virginian_Railway_EL_2B_articulated</t>
  </si>
  <si>
    <t>switch_electric_USA_Virginian_Railway_EL_2B_visual_effect</t>
  </si>
  <si>
    <t>switch_electric_USA_Virginian_Railway_EL_2B_position</t>
  </si>
  <si>
    <t>spriteset_electric_USA_Virginian_Railway_EL_2B_back</t>
  </si>
  <si>
    <t>spriteset_electric_USA_Virginian_Railway_EL_2B_front</t>
  </si>
  <si>
    <t>spriteset_electric_USA_Virginian_Railway_EL_2B_purchase</t>
  </si>
  <si>
    <t>spriteset_electric_USA_PRR_E44</t>
  </si>
  <si>
    <t>spriteset_electric_USA_PRR_E44_purchase</t>
  </si>
  <si>
    <t>spriteset_electric_USA_PRR_B1</t>
  </si>
  <si>
    <t>spriteset_electric_USA_PRR_B1_purchase</t>
  </si>
  <si>
    <t>switch_electric_USA_Pennsylvania_Railroad_GG_1_articulated</t>
  </si>
  <si>
    <t>switch_electric_USA_Pennsylvania_Railroad_GG_1_length</t>
  </si>
  <si>
    <t>switch_electric_USA_Pennsylvania_Railroad_GG_1_visual_effect</t>
  </si>
  <si>
    <t>switch_electric_USA_Pennsylvania_Railroad_GG_1_position</t>
  </si>
  <si>
    <t>spriteset_electric_USA_Pennsylvania_Railroad_GG_1_engine</t>
  </si>
  <si>
    <t>spriteset_electric_USA_Pennsylvania_Railroad_GG_1_purchase</t>
  </si>
  <si>
    <t>switch_electric_USA_Pennsylvania_Railroad_FF_1_articulated</t>
  </si>
  <si>
    <t>switch_electric_USA_Pennsylvania_Railroad_FF_1_length</t>
  </si>
  <si>
    <t>switch_electric_USA_Pennsylvania_Railroad_FF_1_visual_effect</t>
  </si>
  <si>
    <t>switch_electric_USA_Pennsylvania_Railroad_FF_1_position</t>
  </si>
  <si>
    <t>switch_electric_USA_Pennsylvania_Railroad_FF_1_animation</t>
  </si>
  <si>
    <t>spriteset_electric_USA_Pennsylvania_Railroad_FF_1_engine2</t>
  </si>
  <si>
    <t>spriteset_electric_USA_Pennsylvania_Railroad_FF_1_engine1</t>
  </si>
  <si>
    <t>spriteset_electric_USA_Pennsylvania_Railroad_FF_1_purchase</t>
  </si>
  <si>
    <t>switch_mtro_USA_NY_R44_reversed</t>
  </si>
  <si>
    <t>spriteset_mtro_USA_NY_R44_middle</t>
  </si>
  <si>
    <t>spriteset_mtro_USA_NY_R44_back</t>
  </si>
  <si>
    <t>spriteset_mtro_USA_NY_R44_front</t>
  </si>
  <si>
    <t>spriteset_mtro_USA_NY_R44_purchase</t>
  </si>
  <si>
    <t>switch_mtro_USA_NY_R1_reversed</t>
  </si>
  <si>
    <t>spriteset_mtro_USA_NY_R1_middle</t>
  </si>
  <si>
    <t>spriteset_mtro_USA_NY_R1_back</t>
  </si>
  <si>
    <t>spriteset_mtro_USA_NY_R1_front</t>
  </si>
  <si>
    <t>spriteset_mtro_USA_NY_R1_purchase</t>
  </si>
  <si>
    <t>switch_mtro_USA_NY_R10_reversed</t>
  </si>
  <si>
    <t>spriteset_mtro_USA_NY_R10_middle</t>
  </si>
  <si>
    <t>spriteset_mtro_USA_NY_R10_back</t>
  </si>
  <si>
    <t>spriteset_mtro_USA_NY_R10_front</t>
  </si>
  <si>
    <t>spriteset_mtro_USA_NY_R10_purchase</t>
  </si>
  <si>
    <t>switch_mtro_USA_NY_Hedley_Hi_V_reversed</t>
  </si>
  <si>
    <t>spriteset_mtro_USA_NY_Hedley_Hi_V_middle</t>
  </si>
  <si>
    <t>spriteset_mtro_USA_NY_Hedley_Hi_V_back</t>
  </si>
  <si>
    <t>spriteset_mtro_USA_NY_Hedley_Hi_V_front</t>
  </si>
  <si>
    <t>spriteset_mtro_USA_NY_Hedley_Hi_V_purchase</t>
  </si>
  <si>
    <t>spriteset_electric_USA_NYC_S_motor</t>
  </si>
  <si>
    <t>spriteset_electric_USA_NYC_S_motor_purchase</t>
  </si>
  <si>
    <t>spriteset_electric_USA_Milwaukee_Road_ES_2</t>
  </si>
  <si>
    <t>spriteset_electric_USA_Milwaukee_Road_ES_2_purchase</t>
  </si>
  <si>
    <t>switch_electric_USA_Milwaukee_Road_EP_2_Bipolar_articulated</t>
  </si>
  <si>
    <t>switch_electric_USA_Milwaukee_Road_EP_2_Bipolar_length</t>
  </si>
  <si>
    <t>switch_electric_USA_Milwaukee_Road_EP_2_Bipolar_visual_effect</t>
  </si>
  <si>
    <t>switch_electric_USA_Milwaukee_Road_EP_2_Bipolar_position</t>
  </si>
  <si>
    <t>spriteset_electric_USA_Milwaukee_Road_EP_2_Bipolar_engine</t>
  </si>
  <si>
    <t>spriteset_electric_USA_Milwaukee_Road_EP_2_Bipolar_purchase</t>
  </si>
  <si>
    <t>switch_mtro_USA_LA_A650_reversed</t>
  </si>
  <si>
    <t>spriteset_mtro_USA_LA_A650_middle</t>
  </si>
  <si>
    <t>spriteset_mtro_USA_LA_A650_back</t>
  </si>
  <si>
    <t>spriteset_mtro_USA_LA_A650_front</t>
  </si>
  <si>
    <t>spriteset_mtro_USA_LA_A650_purchase</t>
  </si>
  <si>
    <t>switch_electric_USA_GN_W_1_articulated</t>
  </si>
  <si>
    <t>switch_electric_USA_GN_W_1_length</t>
  </si>
  <si>
    <t>switch_electric_USA_GN_W_1_visual_effect</t>
  </si>
  <si>
    <t>switch_electric_USA_GN_W_1_position</t>
  </si>
  <si>
    <t>spriteset_electric_USA_GN_W_1_engine</t>
  </si>
  <si>
    <t>spriteset_electric_USA_GN_W_1_purchase</t>
  </si>
  <si>
    <t>switch_mtro_USA_Chicago_L_6000_reversed</t>
  </si>
  <si>
    <t>spriteset_mtro_USA_Chicago_L_6000_middle</t>
  </si>
  <si>
    <t>spriteset_mtro_USA_Chicago_L_6000_back</t>
  </si>
  <si>
    <t>spriteset_mtro_USA_Chicago_L_6000_front</t>
  </si>
  <si>
    <t>spriteset_mtro_USA_Chicago_L_6000_purchase</t>
  </si>
  <si>
    <t>switch_mtro_USA_Boston_01800_reversed</t>
  </si>
  <si>
    <t>spriteset_mtro_USA_Boston_01800_middle</t>
  </si>
  <si>
    <t>spriteset_mtro_USA_Boston_01800_back</t>
  </si>
  <si>
    <t>spriteset_mtro_USA_Boston_01800_front</t>
  </si>
  <si>
    <t>spriteset_mtro_USA_Boston_01800_purchase</t>
  </si>
  <si>
    <t>spriteset_electric_USA_Amtrak_HHP_8</t>
  </si>
  <si>
    <t>spriteset_electric_USA_Amtrak_HHP_8_purchase</t>
  </si>
  <si>
    <t>spriteset_electric_USA_Amtrak_EMD_AEM_7</t>
  </si>
  <si>
    <t>spriteset_electric_USA_Amtrak_EMD_AEM_7_purchase</t>
  </si>
  <si>
    <t>spriteset_electric_USA_Amtrak_ACS_64</t>
  </si>
  <si>
    <t>spriteset_electric_USA_Amtrak_ACS_64_purchase</t>
  </si>
  <si>
    <t>spriteset_electric_UK_NER_ES1</t>
  </si>
  <si>
    <t>spriteset_electric_UK_NER_ES1_purchase</t>
  </si>
  <si>
    <t>spriteset_electric_UK_NER_EF1</t>
  </si>
  <si>
    <t>spriteset_electric_UK_NER_EF1_purchase</t>
  </si>
  <si>
    <t>spriteset_electric_UK_NER_EE1</t>
  </si>
  <si>
    <t>spriteset_electric_UK_NER_EE1_purchase</t>
  </si>
  <si>
    <t>switch_mtro_UK_London_1938_Stock_reversed</t>
  </si>
  <si>
    <t>spriteset_mtro_UK_London_1938_Stock_middle</t>
  </si>
  <si>
    <t>spriteset_mtro_UK_London_1938_Stock_back</t>
  </si>
  <si>
    <t>spriteset_mtro_UK_London_1938_Stock_front</t>
  </si>
  <si>
    <t>spriteset_mtro_UK_London_1938_Stock_purchase</t>
  </si>
  <si>
    <t>switch_mtro_UK_London_1903_Stock_reversed</t>
  </si>
  <si>
    <t>spriteset_mtro_UK_London_1903_Stock_middle</t>
  </si>
  <si>
    <t>spriteset_mtro_UK_London_1903_Stock_back</t>
  </si>
  <si>
    <t>spriteset_mtro_UK_London_1903_Stock_front</t>
  </si>
  <si>
    <t>spriteset_mtro_UK_London_1903_Stock_purchase</t>
  </si>
  <si>
    <t>switch_mtro_UK_DLR_P86_reversed</t>
  </si>
  <si>
    <t>spriteset_mtro_UK_DLR_P86_middle</t>
  </si>
  <si>
    <t>spriteset_mtro_UK_DLR_P86_back</t>
  </si>
  <si>
    <t>spriteset_mtro_UK_DLR_P86_front</t>
  </si>
  <si>
    <t>spriteset_mtro_UK_DLR_P86_purchase</t>
  </si>
  <si>
    <t>spriteset_electric_UK_BR_92</t>
  </si>
  <si>
    <t>spriteset_electric_UK_BR_92_purchase</t>
  </si>
  <si>
    <t>spriteset_electric_UK_BR_85</t>
  </si>
  <si>
    <t>spriteset_electric_UK_BR_85_purchase</t>
  </si>
  <si>
    <t>spriteset_electric_UK_BR_77_Metrovic</t>
  </si>
  <si>
    <t>spriteset_electric_UK_BR_77_Metrovic_purchase</t>
  </si>
  <si>
    <t>spriteset_electric_Ukraine_UZ_DS3</t>
  </si>
  <si>
    <t>spriteset_electric_Ukraine_UZ_DS3_purchase</t>
  </si>
  <si>
    <t>switch_electric_Ukraine_UZ_DE1_articulated</t>
  </si>
  <si>
    <t>switch_electric_Ukraine_UZ_DE1_visual_effect</t>
  </si>
  <si>
    <t>switch_electric_Ukraine_UZ_DE1_position</t>
  </si>
  <si>
    <t>spriteset_electric_Ukraine_UZ_DE1_back</t>
  </si>
  <si>
    <t>spriteset_electric_Ukraine_UZ_DE1_front</t>
  </si>
  <si>
    <t>spriteset_electric_Ukraine_UZ_DE1_purchase</t>
  </si>
  <si>
    <t>switch_electric_Ukraine_UZ_ChS7_articulated</t>
  </si>
  <si>
    <t>switch_electric_Ukraine_UZ_ChS7_visual_effect</t>
  </si>
  <si>
    <t>switch_electric_Ukraine_UZ_ChS7_position</t>
  </si>
  <si>
    <t>spriteset_electric_Ukraine_UZ_ChS7_back</t>
  </si>
  <si>
    <t>spriteset_electric_Ukraine_UZ_ChS7_front</t>
  </si>
  <si>
    <t>spriteset_electric_Ukraine_UZ_ChS7_purchase</t>
  </si>
  <si>
    <t>switch_mtro_Taiwan_Taipei_C301_reversed</t>
  </si>
  <si>
    <t>spriteset_mtro_Taiwan_Taipei_C301_middle</t>
  </si>
  <si>
    <t>spriteset_mtro_Taiwan_Taipei_C301_back</t>
  </si>
  <si>
    <t>spriteset_mtro_Taiwan_Taipei_C301_front</t>
  </si>
  <si>
    <t>spriteset_mtro_Taiwan_Taipei_C301_purchase</t>
  </si>
  <si>
    <t>spriteset_electric_Switzerland_SBB_Re460_Lok_2000</t>
  </si>
  <si>
    <t>spriteset_electric_Switzerland_SBB_Re460_Lok_2000_purchase</t>
  </si>
  <si>
    <t>spriteset_electric_Switzerland_SBB_Eem_923</t>
  </si>
  <si>
    <t>spriteset_electric_Switzerland_SBB_Eem_923_purchase</t>
  </si>
  <si>
    <t>spriteset_electric_Switzerland_SBB_Ae_6_6</t>
  </si>
  <si>
    <t>spriteset_electric_Switzerland_SBB_Ae_6_6_purchase</t>
  </si>
  <si>
    <t>switch_electric_Switzerland_RhB_Ge_6_6_Krokodil_animation</t>
  </si>
  <si>
    <t>spriteset_electric_Switzerland_RhB_Ge_6_6_Krokodil_engine2</t>
  </si>
  <si>
    <t>spriteset_electric_Switzerland_RhB_Ge_6_6_Krokodil_engine1</t>
  </si>
  <si>
    <t>spriteset_electric_Switzerland_RhB_Ge_6_6_Krokodil_purchase</t>
  </si>
  <si>
    <t>spriteset_electric_Switzerland_RhB_Ge_4_4_I</t>
  </si>
  <si>
    <t>spriteset_electric_Switzerland_RhB_Ge_4_4_I_purchase</t>
  </si>
  <si>
    <t>spriteset_electric_Switzerland_RhB_DE_2_2</t>
  </si>
  <si>
    <t>spriteset_electric_Switzerland_RhB_DE_2_2_purchase</t>
  </si>
  <si>
    <t>spriteset_electric_Switzerland_BLS_Ce_4_4</t>
  </si>
  <si>
    <t>spriteset_electric_Switzerland_BLS_Ce_4_4_purchase</t>
  </si>
  <si>
    <t>switch_mtro_Sweden_Stockholm_C8_reversed</t>
  </si>
  <si>
    <t>spriteset_mtro_Sweden_Stockholm_C8_middle</t>
  </si>
  <si>
    <t>spriteset_mtro_Sweden_Stockholm_C8_back</t>
  </si>
  <si>
    <t>spriteset_mtro_Sweden_Stockholm_C8_front</t>
  </si>
  <si>
    <t>spriteset_mtro_Sweden_Stockholm_C8_purchase</t>
  </si>
  <si>
    <t>switch_electric_Sweden_SJ_O_Class_articulated</t>
  </si>
  <si>
    <t>switch_electric_Sweden_SJ_O_Class_length</t>
  </si>
  <si>
    <t>switch_electric_Sweden_SJ_O_Class_visual_effect</t>
  </si>
  <si>
    <t>switch_electric_Sweden_SJ_O_Class_position</t>
  </si>
  <si>
    <t>switch_electric_Sweden_SJ_O_Class_back_animation</t>
  </si>
  <si>
    <t>switch_electric_Sweden_SJ_O_Class_front_animation</t>
  </si>
  <si>
    <t>spriteset_electric_Sweden_SJ_O_Class_back_2</t>
  </si>
  <si>
    <t>spriteset_electric_Sweden_SJ_O_Class_back_1</t>
  </si>
  <si>
    <t>spriteset_electric_Sweden_SJ_O_Class_front_2</t>
  </si>
  <si>
    <t>spriteset_electric_Sweden_SJ_O_Class_front_1</t>
  </si>
  <si>
    <t>spriteset_electric_Sweden_SJ_O_Class_purchase</t>
  </si>
  <si>
    <t>spriteset_electric_Sweden_SJ_F_Class</t>
  </si>
  <si>
    <t>spriteset_electric_Sweden_SJ_F_Class_purchase</t>
  </si>
  <si>
    <t>switch_electric_Sweden_MTAB_IORE_articulated</t>
  </si>
  <si>
    <t>switch_electric_Sweden_MTAB_IORE_length</t>
  </si>
  <si>
    <t>switch_electric_Sweden_MTAB_IORE_visual_effect</t>
  </si>
  <si>
    <t>switch_electric_Sweden_MTAB_IORE_position</t>
  </si>
  <si>
    <t>spriteset_electric_Sweden_MTAB_IORE_tender</t>
  </si>
  <si>
    <t>spriteset_electric_Sweden_MTAB_IORE_engine</t>
  </si>
  <si>
    <t>spriteset_electric_Sweden_MTAB_IORE_purchase</t>
  </si>
  <si>
    <t>switch_electric_Sweden_MTAB_Dm3_articulated</t>
  </si>
  <si>
    <t>switch_electric_Sweden_MTAB_Dm3_length</t>
  </si>
  <si>
    <t>switch_electric_Sweden_MTAB_Dm3_visual_effect</t>
  </si>
  <si>
    <t>switch_electric_Sweden_MTAB_Dm3_position</t>
  </si>
  <si>
    <t>switch_electric_Sweden_MTAB_Dm3_back_animation</t>
  </si>
  <si>
    <t>switch_electric_Sweden_MTAB_Dm3_middle_animation</t>
  </si>
  <si>
    <t>switch_electric_Sweden_MTAB_Dm3_front_animation</t>
  </si>
  <si>
    <t>spriteset_electric_Sweden_MTAB_Dm3_back2</t>
  </si>
  <si>
    <t>spriteset_electric_Sweden_MTAB_Dm3_back1</t>
  </si>
  <si>
    <t>spriteset_electric_Sweden_MTAB_Dm3_middle2</t>
  </si>
  <si>
    <t>spriteset_electric_Sweden_MTAB_Dm3_middle1</t>
  </si>
  <si>
    <t>spriteset_electric_Sweden_MTAB_Dm3_front2</t>
  </si>
  <si>
    <t>spriteset_electric_Sweden_MTAB_Dm3_front1</t>
  </si>
  <si>
    <t>spriteset_electric_Sweden_MTAB_Dm3_purchase</t>
  </si>
  <si>
    <t>spriteset_electric_Spain_RENFE_252</t>
  </si>
  <si>
    <t>spriteset_electric_Spain_RENFE_252_purchase</t>
  </si>
  <si>
    <t>spriteset_electric_Spain_RENFE_250</t>
  </si>
  <si>
    <t>spriteset_electric_Spain_RENFE_250_purchase</t>
  </si>
  <si>
    <t>switch_mtro_Spain_Madrid_Series_5000_reversed</t>
  </si>
  <si>
    <t>spriteset_mtro_Spain_Madrid_Series_5000_middle</t>
  </si>
  <si>
    <t>spriteset_mtro_Spain_Madrid_Series_5000_back</t>
  </si>
  <si>
    <t>spriteset_mtro_Spain_Madrid_Series_5000_front</t>
  </si>
  <si>
    <t>spriteset_mtro_Spain_Madrid_Series_5000_purchase</t>
  </si>
  <si>
    <t>spriteset_electric_South_Korea_Korail_8200</t>
  </si>
  <si>
    <t>spriteset_electric_South_Korea_Korail_8200_purchase</t>
  </si>
  <si>
    <t>spriteset_electric_South_Africa_SAR_ES_Class</t>
  </si>
  <si>
    <t>spriteset_electric_South_Africa_SAR_ES_Class_purchase</t>
  </si>
  <si>
    <t>spriteset_electric_South_Africa_SAR_E38</t>
  </si>
  <si>
    <t>spriteset_electric_South_Africa_SAR_E38_purchase</t>
  </si>
  <si>
    <t>spriteset_electric_South_Africa_SAR_7E</t>
  </si>
  <si>
    <t>spriteset_electric_South_Africa_SAR_7E_purchase</t>
  </si>
  <si>
    <t>spriteset_electric_South_Africa_SAR_6E</t>
  </si>
  <si>
    <t>spriteset_electric_South_Africa_SAR_6E_purchase</t>
  </si>
  <si>
    <t>spriteset_electric_South_Africa_SAR_5E1</t>
  </si>
  <si>
    <t>spriteset_electric_South_Africa_SAR_5E1_purchase</t>
  </si>
  <si>
    <t>spriteset_electric_South_Africa_SAR_4E</t>
  </si>
  <si>
    <t>spriteset_electric_South_Africa_SAR_4E_purchase</t>
  </si>
  <si>
    <t>spriteset_electric_South_Africa_SAR_20E</t>
  </si>
  <si>
    <t>spriteset_electric_South_Africa_SAR_20E_purchase</t>
  </si>
  <si>
    <t>spriteset_electric_South_Africa_SAR_11E</t>
  </si>
  <si>
    <t>spriteset_electric_South_Africa_SAR_11E_purchase</t>
  </si>
  <si>
    <t>spriteset_electric_Slovakia_ZSSK_162</t>
  </si>
  <si>
    <t>spriteset_electric_Slovakia_ZSSK_162_purchase</t>
  </si>
  <si>
    <t>switch_mtro_Singapore_Singapore_C830_Metropolis_reversed</t>
  </si>
  <si>
    <t>spriteset_mtro_Singapore_Singapore_C830_Metropolis_middle</t>
  </si>
  <si>
    <t>spriteset_mtro_Singapore_Singapore_C830_Metropolis_back</t>
  </si>
  <si>
    <t>spriteset_mtro_Singapore_Singapore_C830_Metropolis_front</t>
  </si>
  <si>
    <t>spriteset_mtro_Singapore_Singapore_C830_Metropolis_purchase</t>
  </si>
  <si>
    <t>switch_mtro_Singapore_Singapore_C151A_reversed</t>
  </si>
  <si>
    <t>spriteset_mtro_Singapore_Singapore_C151A_middle</t>
  </si>
  <si>
    <t>spriteset_mtro_Singapore_Singapore_C151A_back</t>
  </si>
  <si>
    <t>spriteset_mtro_Singapore_Singapore_C151A_front</t>
  </si>
  <si>
    <t>spriteset_mtro_Singapore_Singapore_C151A_purchase</t>
  </si>
  <si>
    <t>switch_electric_Russia_RZD_VL85_articulated</t>
  </si>
  <si>
    <t>switch_electric_Russia_RZD_VL85_length</t>
  </si>
  <si>
    <t>switch_electric_Russia_RZD_VL85_visual_effect</t>
  </si>
  <si>
    <t>switch_electric_Russia_RZD_VL85_position</t>
  </si>
  <si>
    <t>spriteset_electric_Russia_RZD_VL85_tender</t>
  </si>
  <si>
    <t>spriteset_electric_Russia_RZD_VL85_engine</t>
  </si>
  <si>
    <t>spriteset_electric_Russia_RZD_VL85_purchase</t>
  </si>
  <si>
    <t>spriteset_electric_Russia_RZD_VL41</t>
  </si>
  <si>
    <t>spriteset_electric_Russia_RZD_VL41_purchase</t>
  </si>
  <si>
    <t>spriteset_electric_Russia_RZD_VL22M</t>
  </si>
  <si>
    <t>spriteset_electric_Russia_RZD_VL22M_purchase</t>
  </si>
  <si>
    <t>switch_electric_Russia_RZD_VL15_articulated</t>
  </si>
  <si>
    <t>switch_electric_Russia_RZD_VL15_length</t>
  </si>
  <si>
    <t>switch_electric_Russia_RZD_VL15_visual_effect</t>
  </si>
  <si>
    <t>switch_electric_Russia_RZD_VL15_position</t>
  </si>
  <si>
    <t>spriteset_electric_Russia_RZD_VL15_tender</t>
  </si>
  <si>
    <t>spriteset_electric_Russia_RZD_VL15_engine</t>
  </si>
  <si>
    <t>spriteset_electric_Russia_RZD_VL15_purchase</t>
  </si>
  <si>
    <t>switch_electric_Russia_RZD_VL11_articulated</t>
  </si>
  <si>
    <t>switch_electric_Russia_RZD_VL11_length</t>
  </si>
  <si>
    <t>switch_electric_Russia_RZD_VL11_visual_effect</t>
  </si>
  <si>
    <t>switch_electric_Russia_RZD_VL11_position</t>
  </si>
  <si>
    <t>spriteset_electric_Russia_RZD_VL11_tender</t>
  </si>
  <si>
    <t>spriteset_electric_Russia_RZD_VL11_engine</t>
  </si>
  <si>
    <t>spriteset_electric_Russia_RZD_VL11_purchase</t>
  </si>
  <si>
    <t>spriteset_electric_Russia_RZD_EP20</t>
  </si>
  <si>
    <t>spriteset_electric_Russia_RZD_EP20_purchase</t>
  </si>
  <si>
    <t>spriteset_electric_Russia_RZD_ChS3</t>
  </si>
  <si>
    <t>spriteset_electric_Russia_RZD_ChS3_purchase</t>
  </si>
  <si>
    <t>switch_mtro_Russia_Moscow_Type_D_reversed</t>
  </si>
  <si>
    <t>spriteset_mtro_Russia_Moscow_Type_D_middle</t>
  </si>
  <si>
    <t>spriteset_mtro_Russia_Moscow_Type_D_back</t>
  </si>
  <si>
    <t>spriteset_mtro_Russia_Moscow_Type_D_front</t>
  </si>
  <si>
    <t>spriteset_mtro_Russia_Moscow_Type_D_purchase</t>
  </si>
  <si>
    <t>switch_mtro_Russia_Moscow_Type_A_reversed</t>
  </si>
  <si>
    <t>spriteset_mtro_Russia_Moscow_Type_A_middle</t>
  </si>
  <si>
    <t>spriteset_mtro_Russia_Moscow_Type_A_back</t>
  </si>
  <si>
    <t>spriteset_mtro_Russia_Moscow_Type_A_front</t>
  </si>
  <si>
    <t>spriteset_mtro_Russia_Moscow_Type_A_purchase</t>
  </si>
  <si>
    <t>switch_mtro_Russia_Moscow_81_740_reversed</t>
  </si>
  <si>
    <t>spriteset_mtro_Russia_Moscow_81_740_middle</t>
  </si>
  <si>
    <t>spriteset_mtro_Russia_Moscow_81_740_back</t>
  </si>
  <si>
    <t>spriteset_mtro_Russia_Moscow_81_740_front</t>
  </si>
  <si>
    <t>spriteset_mtro_Russia_Moscow_81_740_purchase</t>
  </si>
  <si>
    <t>switch_mtro_Russia_Moscow_81_720_reversed</t>
  </si>
  <si>
    <t>spriteset_mtro_Russia_Moscow_81_720_middle</t>
  </si>
  <si>
    <t>spriteset_mtro_Russia_Moscow_81_720_back</t>
  </si>
  <si>
    <t>spriteset_mtro_Russia_Moscow_81_720_front</t>
  </si>
  <si>
    <t>spriteset_mtro_Russia_Moscow_81_720_purchase</t>
  </si>
  <si>
    <t>switch_mtro_Russia_Moscow_81_7175M_reversed</t>
  </si>
  <si>
    <t>spriteset_mtro_Russia_Moscow_81_7175M_middle</t>
  </si>
  <si>
    <t>spriteset_mtro_Russia_Moscow_81_7175M_back</t>
  </si>
  <si>
    <t>spriteset_mtro_Russia_Moscow_81_7175M_front</t>
  </si>
  <si>
    <t>spriteset_mtro_Russia_Moscow_81_7175M_purchase</t>
  </si>
  <si>
    <t>switch_mtro_Portugal_Lisbon_ML7_reversed</t>
  </si>
  <si>
    <t>spriteset_mtro_Portugal_Lisbon_ML7_middle</t>
  </si>
  <si>
    <t>spriteset_mtro_Portugal_Lisbon_ML7_back</t>
  </si>
  <si>
    <t>spriteset_mtro_Portugal_Lisbon_ML7_front</t>
  </si>
  <si>
    <t>spriteset_mtro_Portugal_Lisbon_ML7_purchase</t>
  </si>
  <si>
    <t>spriteset_electric_Portugal_CP_2600</t>
  </si>
  <si>
    <t>spriteset_electric_Portugal_CP_2600_purchase</t>
  </si>
  <si>
    <t>spriteset_electric_Portugal_CP_2500</t>
  </si>
  <si>
    <t>spriteset_electric_Portugal_CP_2500_purchase</t>
  </si>
  <si>
    <t>spriteset_electric_Poland_PKP_EU06</t>
  </si>
  <si>
    <t>spriteset_electric_Poland_PKP_EU06_purchase</t>
  </si>
  <si>
    <t>switch_electric_Poland_PKP_ET41_articulated</t>
  </si>
  <si>
    <t>switch_electric_Poland_PKP_ET41_length</t>
  </si>
  <si>
    <t>switch_electric_Poland_PKP_ET41_visual_effect</t>
  </si>
  <si>
    <t>switch_electric_Poland_PKP_ET41_position</t>
  </si>
  <si>
    <t>spriteset_electric_Poland_PKP_ET41_tender</t>
  </si>
  <si>
    <t>spriteset_electric_Poland_PKP_ET41_engine</t>
  </si>
  <si>
    <t>spriteset_electric_Poland_PKP_ET41_purchase</t>
  </si>
  <si>
    <t>spriteset_electric_Poland_PKP_EP09</t>
  </si>
  <si>
    <t>spriteset_electric_Poland_PKP_EP09_purchase</t>
  </si>
  <si>
    <t>switch_mtro_Norway_Oslo_T1000_reversed</t>
  </si>
  <si>
    <t>spriteset_mtro_Norway_Oslo_T1000_middle</t>
  </si>
  <si>
    <t>spriteset_mtro_Norway_Oslo_T1000_back</t>
  </si>
  <si>
    <t>spriteset_mtro_Norway_Oslo_T1000_front</t>
  </si>
  <si>
    <t>spriteset_mtro_Norway_Oslo_T1000_purchase</t>
  </si>
  <si>
    <t>switch_mtro_Norway_Oslo_MX3000_reversed</t>
  </si>
  <si>
    <t>spriteset_mtro_Norway_Oslo_MX3000_middle</t>
  </si>
  <si>
    <t>spriteset_mtro_Norway_Oslo_MX3000_back</t>
  </si>
  <si>
    <t>spriteset_mtro_Norway_Oslo_MX3000_front</t>
  </si>
  <si>
    <t>spriteset_mtro_Norway_Oslo_MX3000_purchase</t>
  </si>
  <si>
    <t>spriteset_electric_Norway_NSB_EL7</t>
  </si>
  <si>
    <t>spriteset_electric_Norway_NSB_EL7_purchase</t>
  </si>
  <si>
    <t>spriteset_electric_Norway_NSB_EL17</t>
  </si>
  <si>
    <t>spriteset_electric_Norway_NSB_EL17_purchase</t>
  </si>
  <si>
    <t>spriteset_electric_Norway_NSB_EL10</t>
  </si>
  <si>
    <t>spriteset_electric_Norway_NSB_EL10_purchase</t>
  </si>
  <si>
    <t>switch_mtro_North_Korea_Pyongyang_D_stock_reversed</t>
  </si>
  <si>
    <t>spriteset_mtro_North_Korea_Pyongyang_D_stock_middle</t>
  </si>
  <si>
    <t>spriteset_mtro_North_Korea_Pyongyang_D_stock_back</t>
  </si>
  <si>
    <t>spriteset_mtro_North_Korea_Pyongyang_D_stock_front</t>
  </si>
  <si>
    <t>spriteset_mtro_North_Korea_Pyongyang_D_stock_purchase</t>
  </si>
  <si>
    <t>spriteset_electric_New_Zealand_TranzRail_EF</t>
  </si>
  <si>
    <t>spriteset_electric_New_Zealand_TranzRail_EF_purchase</t>
  </si>
  <si>
    <t>spriteset_electric_New_Zealand_NZR_EO_Class</t>
  </si>
  <si>
    <t>spriteset_electric_New_Zealand_NZR_EO_Class_purchase</t>
  </si>
  <si>
    <t>spriteset_electric_New_Zealand_NZR_EA</t>
  </si>
  <si>
    <t>spriteset_electric_New_Zealand_NZR_EA_purchase</t>
  </si>
  <si>
    <t>switch_mtro_Netherlands_Rotterdam_MG2_Type_M_reversed</t>
  </si>
  <si>
    <t>spriteset_mtro_Netherlands_Rotterdam_MG2_Type_M_middle</t>
  </si>
  <si>
    <t>spriteset_mtro_Netherlands_Rotterdam_MG2_Type_M_back</t>
  </si>
  <si>
    <t>spriteset_mtro_Netherlands_Rotterdam_MG2_Type_M_front</t>
  </si>
  <si>
    <t>spriteset_mtro_Netherlands_Rotterdam_MG2_Type_M_purchase</t>
  </si>
  <si>
    <t>spriteset_electric_Netherlands_NS_1600</t>
  </si>
  <si>
    <t>spriteset_electric_Netherlands_NS_1600_purchase</t>
  </si>
  <si>
    <t>spriteset_electric_Netherlands_NS_1000</t>
  </si>
  <si>
    <t>spriteset_electric_Netherlands_NS_1000_purchase</t>
  </si>
  <si>
    <t>switch_mtro_Netherlands_Amsterdam_Type_M1_reversed</t>
  </si>
  <si>
    <t>spriteset_mtro_Netherlands_Amsterdam_Type_M1_middle</t>
  </si>
  <si>
    <t>spriteset_mtro_Netherlands_Amsterdam_Type_M1_back</t>
  </si>
  <si>
    <t>spriteset_mtro_Netherlands_Amsterdam_Type_M1_front</t>
  </si>
  <si>
    <t>spriteset_mtro_Netherlands_Amsterdam_Type_M1_purchase</t>
  </si>
  <si>
    <t>switch_mtro_Netherlands_Amsterdam_CAF_90_reversed</t>
  </si>
  <si>
    <t>spriteset_mtro_Netherlands_Amsterdam_CAF_90_middle</t>
  </si>
  <si>
    <t>spriteset_mtro_Netherlands_Amsterdam_CAF_90_back</t>
  </si>
  <si>
    <t>spriteset_mtro_Netherlands_Amsterdam_CAF_90_front</t>
  </si>
  <si>
    <t>spriteset_mtro_Netherlands_Amsterdam_CAF_90_purchase</t>
  </si>
  <si>
    <t>spriteset_electric_Morocco_ONCF_E_700</t>
  </si>
  <si>
    <t>spriteset_electric_Morocco_ONCF_E_700_purchase</t>
  </si>
  <si>
    <t>spriteset_electric_Morocco_ONCF_E_1400_Prima_II</t>
  </si>
  <si>
    <t>spriteset_electric_Morocco_ONCF_E_1400_Prima_II_purchase</t>
  </si>
  <si>
    <t>spriteset_electric_Morocco_ONCFM_E_500</t>
  </si>
  <si>
    <t>spriteset_electric_Morocco_ONCFM_E_500_purchase</t>
  </si>
  <si>
    <t>spriteset_electric_Mexico_FNM_GE_E60C_2</t>
  </si>
  <si>
    <t>spriteset_electric_Mexico_FNM_GE_E60C_2_purchase</t>
  </si>
  <si>
    <t>spriteset_electric_Macedonia_Macedonian_Railways_462</t>
  </si>
  <si>
    <t>spriteset_electric_Macedonia_Macedonian_Railways_462_purchase</t>
  </si>
  <si>
    <t>switch_electric_Kazakhstan_KTZ_KZ8A_articulated</t>
  </si>
  <si>
    <t>switch_electric_Kazakhstan_KTZ_KZ8A_length</t>
  </si>
  <si>
    <t>switch_electric_Kazakhstan_KTZ_KZ8A_visual_effect</t>
  </si>
  <si>
    <t>switch_electric_Kazakhstan_KTZ_KZ8A_position</t>
  </si>
  <si>
    <t>spriteset_electric_Kazakhstan_KTZ_KZ8A_tender</t>
  </si>
  <si>
    <t>spriteset_electric_Kazakhstan_KTZ_KZ8A_engine</t>
  </si>
  <si>
    <t>spriteset_electric_Kazakhstan_KTZ_KZ8A_purchase</t>
  </si>
  <si>
    <t>spriteset_electric_Kazakhstan_KTZ_KZ4A</t>
  </si>
  <si>
    <t>spriteset_electric_Kazakhstan_KTZ_KZ4A_purchase</t>
  </si>
  <si>
    <t>switch_mtro_Japan_Tokyo_S01_reversed</t>
  </si>
  <si>
    <t>spriteset_mtro_Japan_Tokyo_S01_middle</t>
  </si>
  <si>
    <t>spriteset_mtro_Japan_Tokyo_S01_back</t>
  </si>
  <si>
    <t>spriteset_mtro_Japan_Tokyo_S01_front</t>
  </si>
  <si>
    <t>spriteset_mtro_Japan_Tokyo_S01_purchase</t>
  </si>
  <si>
    <t>switch_mtro_Japan_Osaka_30000_reversed</t>
  </si>
  <si>
    <t>spriteset_mtro_Japan_Osaka_30000_middle</t>
  </si>
  <si>
    <t>spriteset_mtro_Japan_Osaka_30000_back</t>
  </si>
  <si>
    <t>spriteset_mtro_Japan_Osaka_30000_front</t>
  </si>
  <si>
    <t>spriteset_mtro_Japan_Osaka_30000_purchase</t>
  </si>
  <si>
    <t>switch_mtro_Japan_Osaka_1000_reversed</t>
  </si>
  <si>
    <t>spriteset_mtro_Japan_Osaka_1000_middle</t>
  </si>
  <si>
    <t>spriteset_mtro_Japan_Osaka_1000_back</t>
  </si>
  <si>
    <t>spriteset_mtro_Japan_Osaka_1000_front</t>
  </si>
  <si>
    <t>spriteset_mtro_Japan_Osaka_1000_purchase</t>
  </si>
  <si>
    <t>switch_electric_Japan_JR_EH500_articulated</t>
  </si>
  <si>
    <t>switch_electric_Japan_JR_EH500_length</t>
  </si>
  <si>
    <t>switch_electric_Japan_JR_EH500_visual_effect</t>
  </si>
  <si>
    <t>switch_electric_Japan_JR_EH500_position</t>
  </si>
  <si>
    <t>spriteset_electric_Japan_JR_EH500_tender</t>
  </si>
  <si>
    <t>spriteset_electric_Japan_JR_EH500_engine</t>
  </si>
  <si>
    <t>spriteset_electric_Japan_JR_EH500_purchase</t>
  </si>
  <si>
    <t>switch_electric_Japan_JNR_EH10_articulated</t>
  </si>
  <si>
    <t>switch_electric_Japan_JNR_EH10_length</t>
  </si>
  <si>
    <t>switch_electric_Japan_JNR_EH10_visual_effect</t>
  </si>
  <si>
    <t>switch_electric_Japan_JNR_EH10_position</t>
  </si>
  <si>
    <t>spriteset_electric_Japan_JNR_EH10_tender</t>
  </si>
  <si>
    <t>spriteset_electric_Japan_JNR_EH10_engine</t>
  </si>
  <si>
    <t>spriteset_electric_Japan_JNR_EH10_purchase</t>
  </si>
  <si>
    <t>spriteset_electric_Japan_JNR_EF81</t>
  </si>
  <si>
    <t>spriteset_electric_Japan_JNR_EF81_purchase</t>
  </si>
  <si>
    <t>spriteset_electric_Japan_JNR_EF64</t>
  </si>
  <si>
    <t>spriteset_electric_Japan_JNR_EF64_purchase</t>
  </si>
  <si>
    <t>spriteset_electric_Japan_JNR_EF55</t>
  </si>
  <si>
    <t>spriteset_electric_Japan_JNR_EF55_purchase</t>
  </si>
  <si>
    <t>spriteset_electric_Japan_JNR_EB10</t>
  </si>
  <si>
    <t>spriteset_electric_Japan_JNR_EB10_purchase</t>
  </si>
  <si>
    <t>spriteset_electric_Japan_Aichi_Railroad_DeKi_400</t>
  </si>
  <si>
    <t>spriteset_electric_Japan_Aichi_Railroad_DeKi_400_purchase</t>
  </si>
  <si>
    <t>switch_mtro_Italy_Rome_S_300_reversed</t>
  </si>
  <si>
    <t>spriteset_mtro_Italy_Rome_S_300_middle</t>
  </si>
  <si>
    <t>spriteset_mtro_Italy_Rome_S_300_back</t>
  </si>
  <si>
    <t>spriteset_mtro_Italy_Rome_S_300_front</t>
  </si>
  <si>
    <t>spriteset_mtro_Italy_Rome_S_300_purchase</t>
  </si>
  <si>
    <t>switch_mtro_Italy_Rome_MR_100_reversed</t>
  </si>
  <si>
    <t>spriteset_mtro_Italy_Rome_MR_100_middle</t>
  </si>
  <si>
    <t>spriteset_mtro_Italy_Rome_MR_100_back</t>
  </si>
  <si>
    <t>spriteset_mtro_Italy_Rome_MR_100_front</t>
  </si>
  <si>
    <t>spriteset_mtro_Italy_Rome_MR_100_purchase</t>
  </si>
  <si>
    <t>switch_electric_Italy_FS_E646_articulated</t>
  </si>
  <si>
    <t>switch_electric_Italy_FS_E646_length</t>
  </si>
  <si>
    <t>switch_electric_Italy_FS_E646_visual_effect</t>
  </si>
  <si>
    <t>switch_electric_Italy_FS_E646_position</t>
  </si>
  <si>
    <t>spriteset_electric_Italy_FS_E646_tender</t>
  </si>
  <si>
    <t>spriteset_electric_Italy_FS_E646_engine</t>
  </si>
  <si>
    <t>spriteset_electric_Italy_FS_E646_purchase</t>
  </si>
  <si>
    <t>spriteset_electric_Italy_FS_E633</t>
  </si>
  <si>
    <t>spriteset_electric_Italy_FS_E633_purchase</t>
  </si>
  <si>
    <t>switch_electric_Italy_FS_E550_animation</t>
  </si>
  <si>
    <t>spriteset_electric_Italy_FS_E550_engine2</t>
  </si>
  <si>
    <t>spriteset_electric_Italy_FS_E550_engine1</t>
  </si>
  <si>
    <t>spriteset_electric_Italy_FS_E550_purchase</t>
  </si>
  <si>
    <t>spriteset_electric_Italy_FS_E491</t>
  </si>
  <si>
    <t>spriteset_electric_Italy_FS_E491_purchase</t>
  </si>
  <si>
    <t>spriteset_electric_Italy_FS_E444</t>
  </si>
  <si>
    <t>spriteset_electric_Italy_FS_E444_purchase</t>
  </si>
  <si>
    <t>spriteset_electric_Italy_FS_E428</t>
  </si>
  <si>
    <t>spriteset_electric_Italy_FS_E428_purchase</t>
  </si>
  <si>
    <t>spriteset_electric_Italy_FS_E424</t>
  </si>
  <si>
    <t>spriteset_electric_Italy_FS_E424_purchase</t>
  </si>
  <si>
    <t>spriteset_electric_Indonesia_ESS_3200</t>
  </si>
  <si>
    <t>spriteset_electric_Indonesia_ESS_3200_purchase</t>
  </si>
  <si>
    <t>spriteset_electric_India_Indian_Railways_WCM_1</t>
  </si>
  <si>
    <t>spriteset_electric_India_Indian_Railways_WCM_1_purchase</t>
  </si>
  <si>
    <t>switch_electric_India_Indian_Railways_WCG_1_animation</t>
  </si>
  <si>
    <t>spriteset_electric_India_Indian_Railways_WCG_1_engine2</t>
  </si>
  <si>
    <t>spriteset_electric_India_Indian_Railways_WCG_1_engine1</t>
  </si>
  <si>
    <t>spriteset_electric_India_Indian_Railways_WCG_1_purchase</t>
  </si>
  <si>
    <t>spriteset_electric_India_Indian_Railways_WAP_4</t>
  </si>
  <si>
    <t>spriteset_electric_India_Indian_Railways_WAP_4_purchase</t>
  </si>
  <si>
    <t>spriteset_electric_Hungary_MAV_Class_V43</t>
  </si>
  <si>
    <t>spriteset_electric_Hungary_MAV_Class_V43_purchase</t>
  </si>
  <si>
    <t>switch_mtro_Hungary_Budapest_Ev3_200_reversed</t>
  </si>
  <si>
    <t>spriteset_mtro_Hungary_Budapest_Ev3_200_middle</t>
  </si>
  <si>
    <t>spriteset_mtro_Hungary_Budapest_Ev3_200_back</t>
  </si>
  <si>
    <t>spriteset_mtro_Hungary_Budapest_Ev3_200_front</t>
  </si>
  <si>
    <t>spriteset_mtro_Hungary_Budapest_Ev3_200_purchase</t>
  </si>
  <si>
    <t>switch_mtro_Greece_Thessaloniki_2014_reversed</t>
  </si>
  <si>
    <t>spriteset_mtro_Greece_Thessaloniki_2014_middle</t>
  </si>
  <si>
    <t>spriteset_mtro_Greece_Thessaloniki_2014_back</t>
  </si>
  <si>
    <t>spriteset_mtro_Greece_Thessaloniki_2014_front</t>
  </si>
  <si>
    <t>spriteset_mtro_Greece_Thessaloniki_2014_purchase</t>
  </si>
  <si>
    <t>switch_electric_Germany_Prussian_ES_6_animation</t>
  </si>
  <si>
    <t>spriteset_electric_Germany_Prussian_ES_6_engine2</t>
  </si>
  <si>
    <t>spriteset_electric_Germany_Prussian_ES_6_engine1</t>
  </si>
  <si>
    <t>spriteset_electric_Germany_Prussian_ES_6_purchase</t>
  </si>
  <si>
    <t>switch_mtro_Germany_Munchen_MVG_A2_reversed</t>
  </si>
  <si>
    <t>spriteset_mtro_Germany_Munchen_MVG_A2_middle</t>
  </si>
  <si>
    <t>spriteset_mtro_Germany_Munchen_MVG_A2_back</t>
  </si>
  <si>
    <t>spriteset_mtro_Germany_Munchen_MVG_A2_front</t>
  </si>
  <si>
    <t>spriteset_mtro_Germany_Munchen_MVG_A2_purchase</t>
  </si>
  <si>
    <t>spriteset_electric_Germany_DB_E_919</t>
  </si>
  <si>
    <t>spriteset_electric_Germany_DB_E_919_purchase</t>
  </si>
  <si>
    <t>switch_mtro_Germany_DB_ET_171_reversed</t>
  </si>
  <si>
    <t>spriteset_mtro_Germany_DB_ET_171_middle</t>
  </si>
  <si>
    <t>spriteset_mtro_Germany_DB_ET_171_back</t>
  </si>
  <si>
    <t>spriteset_mtro_Germany_DB_ET_171_front</t>
  </si>
  <si>
    <t>spriteset_mtro_Germany_DB_ET_171_purchase</t>
  </si>
  <si>
    <t>spriteset_electric_Germany_DB_185_TRAXX_F140</t>
  </si>
  <si>
    <t>spriteset_electric_Germany_DB_185_TRAXX_F140_purchase</t>
  </si>
  <si>
    <t>spriteset_electric_Germany_DB_182_ES64U_Taurus</t>
  </si>
  <si>
    <t>spriteset_electric_Germany_DB_182_ES64U_Taurus_purchase</t>
  </si>
  <si>
    <t>spriteset_electric_Germany_DB_169</t>
  </si>
  <si>
    <t>spriteset_electric_Germany_DB_169_purchase</t>
  </si>
  <si>
    <t>spriteset_electric_Germany_DB_104</t>
  </si>
  <si>
    <t>spriteset_electric_Germany_DB_104_purchase</t>
  </si>
  <si>
    <t>spriteset_electric_Germany_DB_1031</t>
  </si>
  <si>
    <t>spriteset_electric_Germany_DB_1031_purchase</t>
  </si>
  <si>
    <t>switch_mtro_Germany_Berlin_U_Bahn_IK_reversed</t>
  </si>
  <si>
    <t>spriteset_mtro_Germany_Berlin_U_Bahn_IK_middle</t>
  </si>
  <si>
    <t>spriteset_mtro_Germany_Berlin_U_Bahn_IK_back</t>
  </si>
  <si>
    <t>spriteset_mtro_Germany_Berlin_U_Bahn_IK_front</t>
  </si>
  <si>
    <t>spriteset_mtro_Germany_Berlin_U_Bahn_IK_purchase</t>
  </si>
  <si>
    <t>switch_mtro_Germany_Berlin_U_Bahn_A_I_reversed</t>
  </si>
  <si>
    <t>spriteset_mtro_Germany_Berlin_U_Bahn_A_I_middle</t>
  </si>
  <si>
    <t>spriteset_mtro_Germany_Berlin_U_Bahn_A_I_back</t>
  </si>
  <si>
    <t>spriteset_mtro_Germany_Berlin_U_Bahn_A_I_front</t>
  </si>
  <si>
    <t>spriteset_mtro_Germany_Berlin_U_Bahn_A_I_purchase</t>
  </si>
  <si>
    <t>spriteset_electric_France_SNCF_CC_40100</t>
  </si>
  <si>
    <t>spriteset_electric_France_SNCF_CC_40100_purchase</t>
  </si>
  <si>
    <t>spriteset_electric_France_SNCF_BB_9004</t>
  </si>
  <si>
    <t>spriteset_electric_France_SNCF_BB_9004_purchase</t>
  </si>
  <si>
    <t>spriteset_electric_France_SNCF_BB_26000</t>
  </si>
  <si>
    <t>spriteset_electric_France_SNCF_BB_26000_purchase</t>
  </si>
  <si>
    <t>spriteset_electric_France_SNCF_BB_25500</t>
  </si>
  <si>
    <t>spriteset_electric_France_SNCF_BB_25500_purchase</t>
  </si>
  <si>
    <t>spriteset_electric_France_SNCF_BB_22200</t>
  </si>
  <si>
    <t>spriteset_electric_France_SNCF_BB_22200_purchase</t>
  </si>
  <si>
    <t>switch_mtro_France_Paris_MP89_reversed</t>
  </si>
  <si>
    <t>spriteset_mtro_France_Paris_MP89_middle</t>
  </si>
  <si>
    <t>spriteset_mtro_France_Paris_MP89_back</t>
  </si>
  <si>
    <t>spriteset_mtro_France_Paris_MP89_front</t>
  </si>
  <si>
    <t>spriteset_mtro_France_Paris_MP89_purchase</t>
  </si>
  <si>
    <t>switch_mtro_France_Paris_M2_840_reversed</t>
  </si>
  <si>
    <t>spriteset_mtro_France_Paris_M2_840_middle</t>
  </si>
  <si>
    <t>spriteset_mtro_France_Paris_M2_840_back</t>
  </si>
  <si>
    <t>spriteset_mtro_France_Paris_M2_840_front</t>
  </si>
  <si>
    <t>spriteset_mtro_France_Paris_M2_840_purchase</t>
  </si>
  <si>
    <t>spriteset_electric_Finland_VR_Sr1</t>
  </si>
  <si>
    <t>spriteset_electric_Finland_VR_Sr1_purchase</t>
  </si>
  <si>
    <t>switch_mtro_Finland_Helsinki_M100_reversed</t>
  </si>
  <si>
    <t>spriteset_mtro_Finland_Helsinki_M100_middle</t>
  </si>
  <si>
    <t>spriteset_mtro_Finland_Helsinki_M100_back</t>
  </si>
  <si>
    <t>spriteset_mtro_Finland_Helsinki_M100_front</t>
  </si>
  <si>
    <t>spriteset_mtro_Finland_Helsinki_M100_purchase</t>
  </si>
  <si>
    <t>switch_mtro_Egypt_Cairo_1987_Stock_reversed</t>
  </si>
  <si>
    <t>spriteset_mtro_Egypt_Cairo_1987_Stock_middle</t>
  </si>
  <si>
    <t>spriteset_mtro_Egypt_Cairo_1987_Stock_back</t>
  </si>
  <si>
    <t>spriteset_mtro_Egypt_Cairo_1987_Stock_front</t>
  </si>
  <si>
    <t>spriteset_mtro_Egypt_Cairo_1987_Stock_purchase</t>
  </si>
  <si>
    <t>switch_mtro_Czech_Republic_Prague_ECS_Set_reversed</t>
  </si>
  <si>
    <t>spriteset_mtro_Czech_Republic_Prague_ECS_Set_middle</t>
  </si>
  <si>
    <t>spriteset_mtro_Czech_Republic_Prague_ECS_Set_back</t>
  </si>
  <si>
    <t>spriteset_mtro_Czech_Republic_Prague_ECS_Set_front</t>
  </si>
  <si>
    <t>spriteset_mtro_Czech_Republic_Prague_ECS_Set_purchase</t>
  </si>
  <si>
    <t>spriteset_electric_Czech_Republic_CD_S499</t>
  </si>
  <si>
    <t>spriteset_electric_Czech_Republic_CD_S499_purchase</t>
  </si>
  <si>
    <t>spriteset_electric_Czech_Republic_CD_380</t>
  </si>
  <si>
    <t>spriteset_electric_Czech_Republic_CD_380_purchase</t>
  </si>
  <si>
    <t>spriteset_electric_Czech_Republic_CD_363</t>
  </si>
  <si>
    <t>spriteset_electric_Czech_Republic_CD_363_purchase</t>
  </si>
  <si>
    <t>spriteset_electric_Croatia_HZ_1141</t>
  </si>
  <si>
    <t>spriteset_electric_Croatia_HZ_1141_purchase</t>
  </si>
  <si>
    <t>spriteset_electric_China_China_Railways_SS6</t>
  </si>
  <si>
    <t>spriteset_electric_China_China_Railways_SS6_purchase</t>
  </si>
  <si>
    <t>spriteset_electric_China_China_Railways_SS3</t>
  </si>
  <si>
    <t>spriteset_electric_China_China_Railways_SS3_purchase</t>
  </si>
  <si>
    <t>spriteset_electric_China_China_Railways_HXD3</t>
  </si>
  <si>
    <t>spriteset_electric_China_China_Railways_HXD3_purchase</t>
  </si>
  <si>
    <t>spriteset_electric_China_China_Railways_HXD1D</t>
  </si>
  <si>
    <t>spriteset_electric_China_China_Railways_HXD1D_purchase</t>
  </si>
  <si>
    <t>spriteset_electric_China_China_Railways_6K</t>
  </si>
  <si>
    <t>spriteset_electric_China_China_Railways_6K_purchase</t>
  </si>
  <si>
    <t>switch_mtro_Chile_Santiago_NS_93_reversed</t>
  </si>
  <si>
    <t>spriteset_mtro_Chile_Santiago_NS_93_middle</t>
  </si>
  <si>
    <t>spriteset_mtro_Chile_Santiago_NS_93_back</t>
  </si>
  <si>
    <t>spriteset_mtro_Chile_Santiago_NS_93_front</t>
  </si>
  <si>
    <t>spriteset_mtro_Chile_Santiago_NS_93_purchase</t>
  </si>
  <si>
    <t>switch_mtro_Chile_Santiago_AS_2002_reversed</t>
  </si>
  <si>
    <t>spriteset_mtro_Chile_Santiago_AS_2002_middle</t>
  </si>
  <si>
    <t>spriteset_mtro_Chile_Santiago_AS_2002_back</t>
  </si>
  <si>
    <t>spriteset_mtro_Chile_Santiago_AS_2002_front</t>
  </si>
  <si>
    <t>spriteset_mtro_Chile_Santiago_AS_2002_purchase</t>
  </si>
  <si>
    <t>switch_electric_Chile_EFE_E_29_articulated</t>
  </si>
  <si>
    <t>switch_electric_Chile_EFE_E_29_length</t>
  </si>
  <si>
    <t>switch_electric_Chile_EFE_E_29_visual_effect</t>
  </si>
  <si>
    <t>switch_electric_Chile_EFE_E_29_position</t>
  </si>
  <si>
    <t>spriteset_electric_Chile_EFE_E_29_engine</t>
  </si>
  <si>
    <t>spriteset_electric_Chile_EFE_E_29_purchase</t>
  </si>
  <si>
    <t>spriteset_electric_Chile_EFE_E_28</t>
  </si>
  <si>
    <t>spriteset_electric_Chile_EFE_E_28_purchase</t>
  </si>
  <si>
    <t>spriteset_electric_Chile_EFE_E_269</t>
  </si>
  <si>
    <t>spriteset_electric_Chile_EFE_E_269_purchase</t>
  </si>
  <si>
    <t>spriteset_electric_Chile_EFE_E_17</t>
  </si>
  <si>
    <t>spriteset_electric_Chile_EFE_E_17_purchase</t>
  </si>
  <si>
    <t>switch_mtro_Canada_Toronto_H_series_reversed</t>
  </si>
  <si>
    <t>spriteset_mtro_Canada_Toronto_H_series_middle</t>
  </si>
  <si>
    <t>spriteset_mtro_Canada_Toronto_H_series_back</t>
  </si>
  <si>
    <t>spriteset_mtro_Canada_Toronto_H_series_front</t>
  </si>
  <si>
    <t>spriteset_mtro_Canada_Toronto_H_series_purchase</t>
  </si>
  <si>
    <t>spriteset_electric_Canada_BC_Rail_GF6C</t>
  </si>
  <si>
    <t>spriteset_electric_Canada_BC_Rail_GF6C_purchase</t>
  </si>
  <si>
    <t>switch_mtro_Brazil_Sao_Paulo_Serie_5500_reversed</t>
  </si>
  <si>
    <t>spriteset_mtro_Brazil_Sao_Paulo_Serie_5500_middle</t>
  </si>
  <si>
    <t>spriteset_mtro_Brazil_Sao_Paulo_Serie_5500_back</t>
  </si>
  <si>
    <t>spriteset_mtro_Brazil_Sao_Paulo_Serie_5500_front</t>
  </si>
  <si>
    <t>spriteset_mtro_Brazil_Sao_Paulo_Serie_5500_purchase</t>
  </si>
  <si>
    <t>switch_mtro_Brazil_Recife_VLT_Mobile_3_reversed</t>
  </si>
  <si>
    <t>spriteset_mtro_Brazil_Recife_VLT_Mobile_3_middle</t>
  </si>
  <si>
    <t>spriteset_mtro_Brazil_Recife_VLT_Mobile_3_back</t>
  </si>
  <si>
    <t>spriteset_mtro_Brazil_Recife_VLT_Mobile_3_front</t>
  </si>
  <si>
    <t>spriteset_mtro_Brazil_Recife_VLT_Mobile_3_purchase</t>
  </si>
  <si>
    <t>spriteset_electric_Brasil_RFFSA_GE_C_C_4400</t>
  </si>
  <si>
    <t>spriteset_electric_Brasil_RFFSA_GE_C_C_4400_purchase</t>
  </si>
  <si>
    <t>spriteset_electric_Brasil_MRS_He_4_4</t>
  </si>
  <si>
    <t>spriteset_electric_Brasil_MRS_He_4_4_purchase</t>
  </si>
  <si>
    <t>spriteset_electric_Belgium_NMBS_SNCB_13_HLE</t>
  </si>
  <si>
    <t>spriteset_electric_Belgium_NMBS_SNCB_13_HLE_purchase</t>
  </si>
  <si>
    <t>spriteset_electric_Belgium_NMBS_Class_255</t>
  </si>
  <si>
    <t>spriteset_electric_Belgium_NMBS_Class_255_purchase</t>
  </si>
  <si>
    <t>switch_electric_Austria_OBB_1161_animation</t>
  </si>
  <si>
    <t>spriteset_electric_Austria_OBB_1161_engine2</t>
  </si>
  <si>
    <t>spriteset_electric_Austria_OBB_1161_engine1</t>
  </si>
  <si>
    <t>spriteset_electric_Austria_OBB_1161_purchase</t>
  </si>
  <si>
    <t>spriteset_electric_Austria_OBB_1063</t>
  </si>
  <si>
    <t>spriteset_electric_Austria_OBB_1063_purchase</t>
  </si>
  <si>
    <t>spriteset_electric_Austria_OBB_1044</t>
  </si>
  <si>
    <t>spriteset_electric_Austria_OBB_1044_purchase</t>
  </si>
  <si>
    <t>spriteset_electric_Austria_OBB_1020_Crocodile</t>
  </si>
  <si>
    <t>spriteset_electric_Austria_OBB_1020_Crocodile_purchase</t>
  </si>
  <si>
    <t>spriteset_electric_Australia_Victorian_Railways_E_Class</t>
  </si>
  <si>
    <t>spriteset_electric_Australia_Victorian_Railways_E_Class_purchase</t>
  </si>
  <si>
    <t>spriteset_electric_Australia_NSWGR_71</t>
  </si>
  <si>
    <t>spriteset_electric_Australia_NSWGR_71_purchase</t>
  </si>
  <si>
    <t>spriteset_electric_Australia_Aurizon_E40_AG_V1</t>
  </si>
  <si>
    <t>spriteset_electric_Australia_Aurizon_E40_AG_V1_purchase</t>
  </si>
  <si>
    <t>switch_mtro_Argentina_Le_Brugeoise_reversed</t>
  </si>
  <si>
    <t>spriteset_mtro_Argentina_Le_Brugeoise_middle</t>
  </si>
  <si>
    <t>spriteset_mtro_Argentina_Le_Brugeoise_back</t>
  </si>
  <si>
    <t>spriteset_mtro_Argentina_Le_Brugeoise_front</t>
  </si>
  <si>
    <t>spriteset_mtro_Argentina_Le_Brugeoise_purchase</t>
  </si>
  <si>
    <t>switch_mtro_Argentina_Buenos_Aires_Serie_1200_reversed</t>
  </si>
  <si>
    <t>spriteset_mtro_Argentina_Buenos_Aires_Serie_1200_middle</t>
  </si>
  <si>
    <t>spriteset_mtro_Argentina_Buenos_Aires_Serie_1200_back</t>
  </si>
  <si>
    <t>spriteset_mtro_Argentina_Buenos_Aires_Serie_1200_front</t>
  </si>
  <si>
    <t>spriteset_mtro_Argentina_Buenos_Aires_Serie_1200_purchase</t>
  </si>
  <si>
    <t>switch_mtro_Algeria_Algiers_CAF_2011_Stock_reversed</t>
  </si>
  <si>
    <t>spriteset_mtro_Algeria_Algiers_CAF_2011_Stock_middle</t>
  </si>
  <si>
    <t>spriteset_mtro_Algeria_Algiers_CAF_2011_Stock_back</t>
  </si>
  <si>
    <t>spriteset_mtro_Algeria_Algiers_CAF_2011_Stock_front</t>
  </si>
  <si>
    <t>spriteset_mtro_Algeria_Algiers_CAF_2011_Stock_purchase</t>
  </si>
  <si>
    <t>switch_dmu_UK_BR_43_IC125_cargo_selection</t>
  </si>
  <si>
    <t>switch_dmu_UK_BR_43_IC125_visual_effect_and_powered</t>
  </si>
  <si>
    <t>switch_dmu_UK_BR_43_IC125_reversed</t>
  </si>
  <si>
    <t>spriteset_dmu_UK_BR_43_IC125_middlemail</t>
  </si>
  <si>
    <t>spriteset_dmu_UK_BR_43_IC125_middlepass</t>
  </si>
  <si>
    <t>spriteset_dmu_UK_BR_43_IC125_back</t>
  </si>
  <si>
    <t>spriteset_dmu_UK_BR_43_IC125_front</t>
  </si>
  <si>
    <t>spriteset_dmu_UK_BR_43_IC125_purchase</t>
  </si>
  <si>
    <t>switch_dmu_UK_BR_251_Blue_Pullman_cargo_selection</t>
  </si>
  <si>
    <t>switch_dmu_UK_BR_251_Blue_Pullman_visual_effect_and_powered</t>
  </si>
  <si>
    <t>switch_dmu_UK_BR_251_Blue_Pullman_reversed</t>
  </si>
  <si>
    <t>spriteset_dmu_UK_BR_251_Blue_Pullman_middlemail</t>
  </si>
  <si>
    <t>spriteset_dmu_UK_BR_251_Blue_Pullman_middlepass</t>
  </si>
  <si>
    <t>spriteset_dmu_UK_BR_251_Blue_Pullman_back</t>
  </si>
  <si>
    <t>spriteset_dmu_UK_BR_251_Blue_Pullman_front</t>
  </si>
  <si>
    <t>spriteset_dmu_UK_BR_251_Blue_Pullman_purchase</t>
  </si>
  <si>
    <t>switch_dmu_UK_BR_168_cargo_selection</t>
  </si>
  <si>
    <t>switch_dmu_UK_BR_168_visual_effect_and_powered</t>
  </si>
  <si>
    <t>switch_dmu_UK_BR_168_reversed</t>
  </si>
  <si>
    <t>spriteset_dmu_UK_BR_168_middlemail</t>
  </si>
  <si>
    <t>spriteset_dmu_UK_BR_168_middlepass</t>
  </si>
  <si>
    <t>spriteset_dmu_UK_BR_168_back</t>
  </si>
  <si>
    <t>spriteset_dmu_UK_BR_168_front</t>
  </si>
  <si>
    <t>spriteset_dmu_UK_BR_168_purchase</t>
  </si>
  <si>
    <t>switch_dmu_UK_BR_150_0_Sprinter_cargo_selection</t>
  </si>
  <si>
    <t>switch_dmu_UK_BR_150_0_Sprinter_visual_effect_and_powered</t>
  </si>
  <si>
    <t>switch_dmu_UK_BR_150_0_Sprinter_reversed</t>
  </si>
  <si>
    <t>spriteset_dmu_UK_BR_150_0_Sprinter_middlemail</t>
  </si>
  <si>
    <t>spriteset_dmu_UK_BR_150_0_Sprinter_middlepass</t>
  </si>
  <si>
    <t>spriteset_dmu_UK_BR_150_0_Sprinter_back</t>
  </si>
  <si>
    <t>spriteset_dmu_UK_BR_150_0_Sprinter_front</t>
  </si>
  <si>
    <t>spriteset_dmu_UK_BR_150_0_Sprinter_purchase</t>
  </si>
  <si>
    <t>switch_dmu_Turkey_TCDD_MT_5500_cargo_selection</t>
  </si>
  <si>
    <t>switch_dmu_Turkey_TCDD_MT_5500_visual_effect_and_powered</t>
  </si>
  <si>
    <t>switch_dmu_Turkey_TCDD_MT_5500_reversed</t>
  </si>
  <si>
    <t>spriteset_dmu_Turkey_TCDD_MT_5500_middlemail</t>
  </si>
  <si>
    <t>spriteset_dmu_Turkey_TCDD_MT_5500_middlepass</t>
  </si>
  <si>
    <t>spriteset_dmu_Turkey_TCDD_MT_5500_back</t>
  </si>
  <si>
    <t>spriteset_dmu_Turkey_TCDD_MT_5500_front</t>
  </si>
  <si>
    <t>spriteset_dmu_Turkey_TCDD_MT_5500_purchase</t>
  </si>
  <si>
    <t>switch_dmu_Tunisia_SNCFT_AMT_800_cargo_selection</t>
  </si>
  <si>
    <t>switch_dmu_Tunisia_SNCFT_AMT_800_visual_effect_and_powered</t>
  </si>
  <si>
    <t>switch_dmu_Tunisia_SNCFT_AMT_800_reversed</t>
  </si>
  <si>
    <t>spriteset_dmu_Tunisia_SNCFT_AMT_800_middlemail</t>
  </si>
  <si>
    <t>spriteset_dmu_Tunisia_SNCFT_AMT_800_middlepass</t>
  </si>
  <si>
    <t>spriteset_dmu_Tunisia_SNCFT_AMT_800_back</t>
  </si>
  <si>
    <t>spriteset_dmu_Tunisia_SNCFT_AMT_800_front</t>
  </si>
  <si>
    <t>spriteset_dmu_Tunisia_SNCFT_AMT_800_purchase</t>
  </si>
  <si>
    <t>switch_dmu_Sweden_SJ_Y2_cargo_selection</t>
  </si>
  <si>
    <t>switch_dmu_Sweden_SJ_Y2_visual_effect_and_powered</t>
  </si>
  <si>
    <t>switch_dmu_Sweden_SJ_Y2_reversed</t>
  </si>
  <si>
    <t>spriteset_dmu_Sweden_SJ_Y2_middlemail</t>
  </si>
  <si>
    <t>spriteset_dmu_Sweden_SJ_Y2_middlepass</t>
  </si>
  <si>
    <t>spriteset_dmu_Sweden_SJ_Y2_back</t>
  </si>
  <si>
    <t>spriteset_dmu_Sweden_SJ_Y2_front</t>
  </si>
  <si>
    <t>spriteset_dmu_Sweden_SJ_Y2_purchase</t>
  </si>
  <si>
    <t>switch_dmu_Sri_Lanka_Sri_Lanka_Railways_S11_cargo_selection</t>
  </si>
  <si>
    <t>switch_dmu_Sri_Lanka_Sri_Lanka_Railways_S11_visual_effect_and_powered</t>
  </si>
  <si>
    <t>switch_dmu_Sri_Lanka_Sri_Lanka_Railways_S11_reversed</t>
  </si>
  <si>
    <t>spriteset_dmu_Sri_Lanka_Sri_Lanka_Railways_S11_middlemail</t>
  </si>
  <si>
    <t>spriteset_dmu_Sri_Lanka_Sri_Lanka_Railways_S11_middlepass</t>
  </si>
  <si>
    <t>spriteset_dmu_Sri_Lanka_Sri_Lanka_Railways_S11_back</t>
  </si>
  <si>
    <t>spriteset_dmu_Sri_Lanka_Sri_Lanka_Railways_S11_front</t>
  </si>
  <si>
    <t>spriteset_dmu_Sri_Lanka_Sri_Lanka_Railways_S11_purchase</t>
  </si>
  <si>
    <t>switch_dmu_Spain_RENFE_594_TRD_cargo_selection</t>
  </si>
  <si>
    <t>switch_dmu_Spain_RENFE_594_TRD_visual_effect_and_powered</t>
  </si>
  <si>
    <t>switch_dmu_Spain_RENFE_594_TRD_reversed</t>
  </si>
  <si>
    <t>spriteset_dmu_Spain_RENFE_594_TRD_middlemail</t>
  </si>
  <si>
    <t>spriteset_dmu_Spain_RENFE_594_TRD_middlepass</t>
  </si>
  <si>
    <t>spriteset_dmu_Spain_RENFE_594_TRD_back</t>
  </si>
  <si>
    <t>spriteset_dmu_Spain_RENFE_594_TRD_front</t>
  </si>
  <si>
    <t>spriteset_dmu_Spain_RENFE_594_TRD_purchase</t>
  </si>
  <si>
    <t>switch_dmu_Spain_FEVE_2400_Apollos_cargo_selection</t>
  </si>
  <si>
    <t>switch_dmu_Spain_FEVE_2400_Apollos_visual_effect_and_powered</t>
  </si>
  <si>
    <t>switch_dmu_Spain_FEVE_2400_Apollos_reversed</t>
  </si>
  <si>
    <t>spriteset_dmu_Spain_FEVE_2400_Apollos_middlemail</t>
  </si>
  <si>
    <t>spriteset_dmu_Spain_FEVE_2400_Apollos_middlepass</t>
  </si>
  <si>
    <t>spriteset_dmu_Spain_FEVE_2400_Apollos_back</t>
  </si>
  <si>
    <t>spriteset_dmu_Spain_FEVE_2400_Apollos_front</t>
  </si>
  <si>
    <t>spriteset_dmu_Spain_FEVE_2400_Apollos_purchase</t>
  </si>
  <si>
    <t>switch_dmu_Slovakia_ZSSK_861_cargo_selection</t>
  </si>
  <si>
    <t>switch_dmu_Slovakia_ZSSK_861_visual_effect_and_powered</t>
  </si>
  <si>
    <t>switch_dmu_Slovakia_ZSSK_861_reversed</t>
  </si>
  <si>
    <t>spriteset_dmu_Slovakia_ZSSK_861_middlemail</t>
  </si>
  <si>
    <t>spriteset_dmu_Slovakia_ZSSK_861_middlepass</t>
  </si>
  <si>
    <t>spriteset_dmu_Slovakia_ZSSK_861_back</t>
  </si>
  <si>
    <t>spriteset_dmu_Slovakia_ZSSK_861_front</t>
  </si>
  <si>
    <t>spriteset_dmu_Slovakia_ZSSK_861_purchase</t>
  </si>
  <si>
    <t>switch_dmu_Serbia_ZS_811_cargo_selection</t>
  </si>
  <si>
    <t>switch_dmu_Serbia_ZS_811_visual_effect_and_powered</t>
  </si>
  <si>
    <t>switch_dmu_Serbia_ZS_811_reversed</t>
  </si>
  <si>
    <t>spriteset_dmu_Serbia_ZS_811_middlemail</t>
  </si>
  <si>
    <t>spriteset_dmu_Serbia_ZS_811_middlepass</t>
  </si>
  <si>
    <t>spriteset_dmu_Serbia_ZS_811_back</t>
  </si>
  <si>
    <t>spriteset_dmu_Serbia_ZS_811_front</t>
  </si>
  <si>
    <t>spriteset_dmu_Serbia_ZS_811_purchase</t>
  </si>
  <si>
    <t>switch_dmu_Russia_RZD_RA2_cargo_selection</t>
  </si>
  <si>
    <t>switch_dmu_Russia_RZD_RA2_visual_effect_and_powered</t>
  </si>
  <si>
    <t>switch_dmu_Russia_RZD_RA2_reversed</t>
  </si>
  <si>
    <t>spriteset_dmu_Russia_RZD_RA2_middlemail</t>
  </si>
  <si>
    <t>spriteset_dmu_Russia_RZD_RA2_middlepass</t>
  </si>
  <si>
    <t>spriteset_dmu_Russia_RZD_RA2_back</t>
  </si>
  <si>
    <t>spriteset_dmu_Russia_RZD_RA2_front</t>
  </si>
  <si>
    <t>spriteset_dmu_Russia_RZD_RA2_purchase</t>
  </si>
  <si>
    <t>switch_dmu_Portugal_CP_0600_cargo_selection</t>
  </si>
  <si>
    <t>switch_dmu_Portugal_CP_0600_visual_effect_and_powered</t>
  </si>
  <si>
    <t>switch_dmu_Portugal_CP_0600_reversed</t>
  </si>
  <si>
    <t>spriteset_dmu_Portugal_CP_0600_middlemail</t>
  </si>
  <si>
    <t>spriteset_dmu_Portugal_CP_0600_middlepass</t>
  </si>
  <si>
    <t>spriteset_dmu_Portugal_CP_0600_back</t>
  </si>
  <si>
    <t>spriteset_dmu_Portugal_CP_0600_front</t>
  </si>
  <si>
    <t>spriteset_dmu_Portugal_CP_0600_purchase</t>
  </si>
  <si>
    <t>switch_dmu_Portugal_CP_0400_cargo_selection</t>
  </si>
  <si>
    <t>switch_dmu_Portugal_CP_0400_visual_effect_and_powered</t>
  </si>
  <si>
    <t>switch_dmu_Portugal_CP_0400_reversed</t>
  </si>
  <si>
    <t>spriteset_dmu_Portugal_CP_0400_middlemail</t>
  </si>
  <si>
    <t>spriteset_dmu_Portugal_CP_0400_middlepass</t>
  </si>
  <si>
    <t>spriteset_dmu_Portugal_CP_0400_back</t>
  </si>
  <si>
    <t>spriteset_dmu_Portugal_CP_0400_front</t>
  </si>
  <si>
    <t>spriteset_dmu_Portugal_CP_0400_purchase</t>
  </si>
  <si>
    <t>switch_dmu_Norway_NSB_BM_93_Talent_cargo_selection</t>
  </si>
  <si>
    <t>switch_dmu_Norway_NSB_BM_93_Talent_visual_effect_and_powered</t>
  </si>
  <si>
    <t>switch_dmu_Norway_NSB_BM_93_Talent_reversed</t>
  </si>
  <si>
    <t>spriteset_dmu_Norway_NSB_BM_93_Talent_middlemail</t>
  </si>
  <si>
    <t>spriteset_dmu_Norway_NSB_BM_93_Talent_middlepass</t>
  </si>
  <si>
    <t>spriteset_dmu_Norway_NSB_BM_93_Talent_back</t>
  </si>
  <si>
    <t>spriteset_dmu_Norway_NSB_BM_93_Talent_front</t>
  </si>
  <si>
    <t>spriteset_dmu_Norway_NSB_BM_93_Talent_purchase</t>
  </si>
  <si>
    <t>switch_dmu_Netherlands_NS_Plan_U_DE_III_cargo_selection</t>
  </si>
  <si>
    <t>switch_dmu_Netherlands_NS_Plan_U_DE_III_visual_effect_and_powered</t>
  </si>
  <si>
    <t>switch_dmu_Netherlands_NS_Plan_U_DE_III_reversed</t>
  </si>
  <si>
    <t>spriteset_dmu_Netherlands_NS_Plan_U_DE_III_middlemail</t>
  </si>
  <si>
    <t>spriteset_dmu_Netherlands_NS_Plan_U_DE_III_middlepass</t>
  </si>
  <si>
    <t>spriteset_dmu_Netherlands_NS_Plan_U_DE_III_back</t>
  </si>
  <si>
    <t>spriteset_dmu_Netherlands_NS_Plan_U_DE_III_front</t>
  </si>
  <si>
    <t>spriteset_dmu_Netherlands_NS_Plan_U_DE_III_purchase</t>
  </si>
  <si>
    <t>switch_dmu_Netherlands_NS_DH2_cargo_selection</t>
  </si>
  <si>
    <t>switch_dmu_Netherlands_NS_DH2_visual_effect_and_powered</t>
  </si>
  <si>
    <t>switch_dmu_Netherlands_NS_DH2_reversed</t>
  </si>
  <si>
    <t>spriteset_dmu_Netherlands_NS_DH2_middlemail</t>
  </si>
  <si>
    <t>spriteset_dmu_Netherlands_NS_DH2_middlepass</t>
  </si>
  <si>
    <t>spriteset_dmu_Netherlands_NS_DH2_back</t>
  </si>
  <si>
    <t>spriteset_dmu_Netherlands_NS_DH2_front</t>
  </si>
  <si>
    <t>spriteset_dmu_Netherlands_NS_DH2_purchase</t>
  </si>
  <si>
    <t>switch_dmu_Japan_JR_KiHa_189_cargo_selection</t>
  </si>
  <si>
    <t>switch_dmu_Japan_JR_KiHa_189_visual_effect_and_powered</t>
  </si>
  <si>
    <t>switch_dmu_Japan_JR_KiHa_189_reversed</t>
  </si>
  <si>
    <t>spriteset_dmu_Japan_JR_KiHa_189_middlemail</t>
  </si>
  <si>
    <t>spriteset_dmu_Japan_JR_KiHa_189_middlepass</t>
  </si>
  <si>
    <t>spriteset_dmu_Japan_JR_KiHa_189_back</t>
  </si>
  <si>
    <t>spriteset_dmu_Japan_JR_KiHa_189_front</t>
  </si>
  <si>
    <t>spriteset_dmu_Japan_JR_KiHa_189_purchase</t>
  </si>
  <si>
    <t>switch_dmu_Japan_JNR_KiHa_181_cargo_selection</t>
  </si>
  <si>
    <t>switch_dmu_Japan_JNR_KiHa_181_visual_effect_and_powered</t>
  </si>
  <si>
    <t>switch_dmu_Japan_JNR_KiHa_181_reversed</t>
  </si>
  <si>
    <t>spriteset_dmu_Japan_JNR_KiHa_181_middlemail</t>
  </si>
  <si>
    <t>spriteset_dmu_Japan_JNR_KiHa_181_middlepass</t>
  </si>
  <si>
    <t>spriteset_dmu_Japan_JNR_KiHa_181_back</t>
  </si>
  <si>
    <t>spriteset_dmu_Japan_JNR_KiHa_181_front</t>
  </si>
  <si>
    <t>spriteset_dmu_Japan_JNR_KiHa_181_purchase</t>
  </si>
  <si>
    <t>switch_dmu_Italy_FS_ALn_442_448_cargo_selection</t>
  </si>
  <si>
    <t>switch_dmu_Italy_FS_ALn_442_448_visual_effect_and_powered</t>
  </si>
  <si>
    <t>switch_dmu_Italy_FS_ALn_442_448_reversed</t>
  </si>
  <si>
    <t>spriteset_dmu_Italy_FS_ALn_442_448_middlemail</t>
  </si>
  <si>
    <t>spriteset_dmu_Italy_FS_ALn_442_448_middlepass</t>
  </si>
  <si>
    <t>spriteset_dmu_Italy_FS_ALn_442_448_back</t>
  </si>
  <si>
    <t>spriteset_dmu_Italy_FS_ALn_442_448_front</t>
  </si>
  <si>
    <t>spriteset_dmu_Italy_FS_ALn_442_448_purchase</t>
  </si>
  <si>
    <t>switch_dmu_Israel_Israel_Railways_IC3_cargo_selection</t>
  </si>
  <si>
    <t>switch_dmu_Israel_Israel_Railways_IC3_visual_effect_and_powered</t>
  </si>
  <si>
    <t>switch_dmu_Israel_Israel_Railways_IC3_reversed</t>
  </si>
  <si>
    <t>spriteset_dmu_Israel_Israel_Railways_IC3_middlemail</t>
  </si>
  <si>
    <t>spriteset_dmu_Israel_Israel_Railways_IC3_middlepass</t>
  </si>
  <si>
    <t>spriteset_dmu_Israel_Israel_Railways_IC3_back</t>
  </si>
  <si>
    <t>spriteset_dmu_Israel_Israel_Railways_IC3_front</t>
  </si>
  <si>
    <t>spriteset_dmu_Israel_Israel_Railways_IC3_purchase</t>
  </si>
  <si>
    <t>switch_dmu_Iran_RAI_141_Pacer_cargo_selection</t>
  </si>
  <si>
    <t>switch_dmu_Iran_RAI_141_Pacer_visual_effect_and_powered</t>
  </si>
  <si>
    <t>switch_dmu_Iran_RAI_141_Pacer_reversed</t>
  </si>
  <si>
    <t>spriteset_dmu_Iran_RAI_141_Pacer_middlemail</t>
  </si>
  <si>
    <t>spriteset_dmu_Iran_RAI_141_Pacer_middlepass</t>
  </si>
  <si>
    <t>spriteset_dmu_Iran_RAI_141_Pacer_back</t>
  </si>
  <si>
    <t>spriteset_dmu_Iran_RAI_141_Pacer_front</t>
  </si>
  <si>
    <t>spriteset_dmu_Iran_RAI_141_Pacer_purchase</t>
  </si>
  <si>
    <t>switch_dmu_Ghana_Ghana_Railways_DEMU_cargo_selection</t>
  </si>
  <si>
    <t>switch_dmu_Ghana_Ghana_Railways_DEMU_visual_effect_and_powered</t>
  </si>
  <si>
    <t>switch_dmu_Ghana_Ghana_Railways_DEMU_reversed</t>
  </si>
  <si>
    <t>spriteset_dmu_Ghana_Ghana_Railways_DEMU_middlemail</t>
  </si>
  <si>
    <t>spriteset_dmu_Ghana_Ghana_Railways_DEMU_middlepass</t>
  </si>
  <si>
    <t>spriteset_dmu_Ghana_Ghana_Railways_DEMU_back</t>
  </si>
  <si>
    <t>spriteset_dmu_Ghana_Ghana_Railways_DEMU_front</t>
  </si>
  <si>
    <t>spriteset_dmu_Ghana_Ghana_Railways_DEMU_purchase</t>
  </si>
  <si>
    <t>switch_dmu_Germany_DB_VT_115_cargo_selection</t>
  </si>
  <si>
    <t>switch_dmu_Germany_DB_VT_115_visual_effect_and_powered</t>
  </si>
  <si>
    <t>switch_dmu_Germany_DB_VT_115_reversed</t>
  </si>
  <si>
    <t>spriteset_dmu_Germany_DB_VT_115_middlemail</t>
  </si>
  <si>
    <t>spriteset_dmu_Germany_DB_VT_115_middlepass</t>
  </si>
  <si>
    <t>spriteset_dmu_Germany_DB_VT_115_back</t>
  </si>
  <si>
    <t>spriteset_dmu_Germany_DB_VT_115_front</t>
  </si>
  <si>
    <t>spriteset_dmu_Germany_DB_VT_115_purchase</t>
  </si>
  <si>
    <t>switch_dmu_Germany_DB_VT_085_cargo_selection</t>
  </si>
  <si>
    <t>switch_dmu_Germany_DB_VT_085_visual_effect_and_powered</t>
  </si>
  <si>
    <t>switch_dmu_Germany_DB_VT_085_reversed</t>
  </si>
  <si>
    <t>spriteset_dmu_Germany_DB_VT_085_middlemail</t>
  </si>
  <si>
    <t>spriteset_dmu_Germany_DB_VT_085_middlepass</t>
  </si>
  <si>
    <t>spriteset_dmu_Germany_DB_VT_085_back</t>
  </si>
  <si>
    <t>spriteset_dmu_Germany_DB_VT_085_front</t>
  </si>
  <si>
    <t>spriteset_dmu_Germany_DB_VT_085_purchase</t>
  </si>
  <si>
    <t>switch_dmu_Germany_DB_VT_040_Flying_Hamburger_cargo_selection</t>
  </si>
  <si>
    <t>switch_dmu_Germany_DB_VT_040_Flying_Hamburger_visual_effect_and_powered</t>
  </si>
  <si>
    <t>switch_dmu_Germany_DB_VT_040_Flying_Hamburger_reversed</t>
  </si>
  <si>
    <t>spriteset_dmu_Germany_DB_VT_040_Flying_Hamburger_middlemail</t>
  </si>
  <si>
    <t>spriteset_dmu_Germany_DB_VT_040_Flying_Hamburger_middlepass</t>
  </si>
  <si>
    <t>spriteset_dmu_Germany_DB_VT_040_Flying_Hamburger_back</t>
  </si>
  <si>
    <t>spriteset_dmu_Germany_DB_VT_040_Flying_Hamburger_front</t>
  </si>
  <si>
    <t>spriteset_dmu_Germany_DB_VT_040_Flying_Hamburger_purchase</t>
  </si>
  <si>
    <t>switch_dmu_Germany_DB_642_Desiro_cargo_selection</t>
  </si>
  <si>
    <t>switch_dmu_Germany_DB_642_Desiro_visual_effect_and_powered</t>
  </si>
  <si>
    <t>switch_dmu_Germany_DB_642_Desiro_reversed</t>
  </si>
  <si>
    <t>spriteset_dmu_Germany_DB_642_Desiro_middlemail</t>
  </si>
  <si>
    <t>spriteset_dmu_Germany_DB_642_Desiro_middlepass</t>
  </si>
  <si>
    <t>spriteset_dmu_Germany_DB_642_Desiro_back</t>
  </si>
  <si>
    <t>spriteset_dmu_Germany_DB_642_Desiro_front</t>
  </si>
  <si>
    <t>spriteset_dmu_Germany_DB_642_Desiro_purchase</t>
  </si>
  <si>
    <t>switch_dmu_Germany_DB_6282_cargo_selection</t>
  </si>
  <si>
    <t>switch_dmu_Germany_DB_6282_visual_effect_and_powered</t>
  </si>
  <si>
    <t>switch_dmu_Germany_DB_6282_reversed</t>
  </si>
  <si>
    <t>spriteset_dmu_Germany_DB_6282_middlemail</t>
  </si>
  <si>
    <t>spriteset_dmu_Germany_DB_6282_middlepass</t>
  </si>
  <si>
    <t>spriteset_dmu_Germany_DB_6282_back</t>
  </si>
  <si>
    <t>spriteset_dmu_Germany_DB_6282_front</t>
  </si>
  <si>
    <t>spriteset_dmu_Germany_DB_6282_purchase</t>
  </si>
  <si>
    <t>switch_dmu_Germany_DB_612_Regio_Swinger_cargo_selection</t>
  </si>
  <si>
    <t>switch_dmu_Germany_DB_612_Regio_Swinger_visual_effect_and_powered</t>
  </si>
  <si>
    <t>switch_dmu_Germany_DB_612_Regio_Swinger_reversed</t>
  </si>
  <si>
    <t>spriteset_dmu_Germany_DB_612_Regio_Swinger_middlemail</t>
  </si>
  <si>
    <t>spriteset_dmu_Germany_DB_612_Regio_Swinger_middlepass</t>
  </si>
  <si>
    <t>spriteset_dmu_Germany_DB_612_Regio_Swinger_back</t>
  </si>
  <si>
    <t>spriteset_dmu_Germany_DB_612_Regio_Swinger_front</t>
  </si>
  <si>
    <t>spriteset_dmu_Germany_DB_612_Regio_Swinger_purchase</t>
  </si>
  <si>
    <t>switch_dmu_France_SNCF_X_4630_cargo_selection</t>
  </si>
  <si>
    <t>switch_dmu_France_SNCF_X_4630_visual_effect_and_powered</t>
  </si>
  <si>
    <t>switch_dmu_France_SNCF_X_4630_reversed</t>
  </si>
  <si>
    <t>spriteset_dmu_France_SNCF_X_4630_middlemail</t>
  </si>
  <si>
    <t>spriteset_dmu_France_SNCF_X_4630_middlepass</t>
  </si>
  <si>
    <t>spriteset_dmu_France_SNCF_X_4630_back</t>
  </si>
  <si>
    <t>spriteset_dmu_France_SNCF_X_4630_front</t>
  </si>
  <si>
    <t>spriteset_dmu_France_SNCF_X_4630_purchase</t>
  </si>
  <si>
    <t>switch_dmu_France_SNCF_T_2000_cargo_selection</t>
  </si>
  <si>
    <t>switch_dmu_France_SNCF_T_2000_visual_effect_and_powered</t>
  </si>
  <si>
    <t>switch_dmu_France_SNCF_T_2000_reversed</t>
  </si>
  <si>
    <t>spriteset_dmu_France_SNCF_T_2000_middlemail</t>
  </si>
  <si>
    <t>spriteset_dmu_France_SNCF_T_2000_middlepass</t>
  </si>
  <si>
    <t>spriteset_dmu_France_SNCF_T_2000_back</t>
  </si>
  <si>
    <t>spriteset_dmu_France_SNCF_T_2000_front</t>
  </si>
  <si>
    <t>spriteset_dmu_France_SNCF_T_2000_purchase</t>
  </si>
  <si>
    <t>switch_dmu_Denmark_DSB_IC4_cargo_selection</t>
  </si>
  <si>
    <t>switch_dmu_Denmark_DSB_IC4_visual_effect_and_powered</t>
  </si>
  <si>
    <t>switch_dmu_Denmark_DSB_IC4_reversed</t>
  </si>
  <si>
    <t>spriteset_dmu_Denmark_DSB_IC4_middlemail</t>
  </si>
  <si>
    <t>spriteset_dmu_Denmark_DSB_IC4_middlepass</t>
  </si>
  <si>
    <t>spriteset_dmu_Denmark_DSB_IC4_back</t>
  </si>
  <si>
    <t>spriteset_dmu_Denmark_DSB_IC4_front</t>
  </si>
  <si>
    <t>spriteset_dmu_Denmark_DSB_IC4_purchase</t>
  </si>
  <si>
    <t>switch_dmu_Denmark_Arriva_Lint_41_cargo_selection</t>
  </si>
  <si>
    <t>switch_dmu_Denmark_Arriva_Lint_41_visual_effect_and_powered</t>
  </si>
  <si>
    <t>switch_dmu_Denmark_Arriva_Lint_41_reversed</t>
  </si>
  <si>
    <t>spriteset_dmu_Denmark_Arriva_Lint_41_middlemail</t>
  </si>
  <si>
    <t>spriteset_dmu_Denmark_Arriva_Lint_41_middlepass</t>
  </si>
  <si>
    <t>spriteset_dmu_Denmark_Arriva_Lint_41_back</t>
  </si>
  <si>
    <t>spriteset_dmu_Denmark_Arriva_Lint_41_front</t>
  </si>
  <si>
    <t>spriteset_dmu_Denmark_Arriva_Lint_41_purchase</t>
  </si>
  <si>
    <t>switch_dmu_Czech_Republic_CD_M131_cargo_selection</t>
  </si>
  <si>
    <t>switch_dmu_Czech_Republic_CD_M131_visual_effect_and_powered</t>
  </si>
  <si>
    <t>switch_dmu_Czech_Republic_CD_M131_reversed</t>
  </si>
  <si>
    <t>spriteset_dmu_Czech_Republic_CD_M131_middlemail</t>
  </si>
  <si>
    <t>spriteset_dmu_Czech_Republic_CD_M131_middlepass</t>
  </si>
  <si>
    <t>spriteset_dmu_Czech_Republic_CD_M131_back</t>
  </si>
  <si>
    <t>spriteset_dmu_Czech_Republic_CD_M131_front</t>
  </si>
  <si>
    <t>spriteset_dmu_Czech_Republic_CD_M131_purchase</t>
  </si>
  <si>
    <t>switch_dmu_Czech_Republic_CD_814_cargo_selection</t>
  </si>
  <si>
    <t>switch_dmu_Czech_Republic_CD_814_visual_effect_and_powered</t>
  </si>
  <si>
    <t>switch_dmu_Czech_Republic_CD_814_reversed</t>
  </si>
  <si>
    <t>spriteset_dmu_Czech_Republic_CD_814_middlemail</t>
  </si>
  <si>
    <t>spriteset_dmu_Czech_Republic_CD_814_middlepass</t>
  </si>
  <si>
    <t>spriteset_dmu_Czech_Republic_CD_814_back</t>
  </si>
  <si>
    <t>spriteset_dmu_Czech_Republic_CD_814_front</t>
  </si>
  <si>
    <t>spriteset_dmu_Czech_Republic_CD_814_purchase</t>
  </si>
  <si>
    <t>switch_dmu_Croatia_HZ_7022_cargo_selection</t>
  </si>
  <si>
    <t>switch_dmu_Croatia_HZ_7022_visual_effect_and_powered</t>
  </si>
  <si>
    <t>switch_dmu_Croatia_HZ_7022_reversed</t>
  </si>
  <si>
    <t>spriteset_dmu_Croatia_HZ_7022_middlemail</t>
  </si>
  <si>
    <t>spriteset_dmu_Croatia_HZ_7022_middlepass</t>
  </si>
  <si>
    <t>spriteset_dmu_Croatia_HZ_7022_back</t>
  </si>
  <si>
    <t>spriteset_dmu_Croatia_HZ_7022_front</t>
  </si>
  <si>
    <t>spriteset_dmu_Croatia_HZ_7022_purchase</t>
  </si>
  <si>
    <t>switch_dmu_Chile_EFE_TLD_500_cargo_selection</t>
  </si>
  <si>
    <t>switch_dmu_Chile_EFE_TLD_500_visual_effect_and_powered</t>
  </si>
  <si>
    <t>switch_dmu_Chile_EFE_TLD_500_reversed</t>
  </si>
  <si>
    <t>spriteset_dmu_Chile_EFE_TLD_500_middlemail</t>
  </si>
  <si>
    <t>spriteset_dmu_Chile_EFE_TLD_500_middlepass</t>
  </si>
  <si>
    <t>spriteset_dmu_Chile_EFE_TLD_500_back</t>
  </si>
  <si>
    <t>spriteset_dmu_Chile_EFE_TLD_500_front</t>
  </si>
  <si>
    <t>spriteset_dmu_Chile_EFE_TLD_500_purchase</t>
  </si>
  <si>
    <t>switch_dmu_Canada_VIA_Rail_LRC_cargo_selection</t>
  </si>
  <si>
    <t>switch_dmu_Canada_VIA_Rail_LRC_visual_effect_and_powered</t>
  </si>
  <si>
    <t>switch_dmu_Canada_VIA_Rail_LRC_reversed</t>
  </si>
  <si>
    <t>spriteset_dmu_Canada_VIA_Rail_LRC_middlemail</t>
  </si>
  <si>
    <t>spriteset_dmu_Canada_VIA_Rail_LRC_middlepass</t>
  </si>
  <si>
    <t>spriteset_dmu_Canada_VIA_Rail_LRC_back</t>
  </si>
  <si>
    <t>spriteset_dmu_Canada_VIA_Rail_LRC_front</t>
  </si>
  <si>
    <t>spriteset_dmu_Canada_VIA_Rail_LRC_purchase</t>
  </si>
  <si>
    <t>switch_dmu_Canada_UP_Express_Nippon_Sharyo_DMU_cargo_selection</t>
  </si>
  <si>
    <t>switch_dmu_Canada_UP_Express_Nippon_Sharyo_DMU_visual_effect_and_powered</t>
  </si>
  <si>
    <t>switch_dmu_Canada_UP_Express_Nippon_Sharyo_DMU_reversed</t>
  </si>
  <si>
    <t>spriteset_dmu_Canada_UP_Express_Nippon_Sharyo_DMU_middlemail</t>
  </si>
  <si>
    <t>spriteset_dmu_Canada_UP_Express_Nippon_Sharyo_DMU_middlepass</t>
  </si>
  <si>
    <t>spriteset_dmu_Canada_UP_Express_Nippon_Sharyo_DMU_back</t>
  </si>
  <si>
    <t>spriteset_dmu_Canada_UP_Express_Nippon_Sharyo_DMU_front</t>
  </si>
  <si>
    <t>spriteset_dmu_Canada_UP_Express_Nippon_Sharyo_DMU_purchase</t>
  </si>
  <si>
    <t>switch_dmu_Canada_CNR_Turbo_Train_cargo_selection</t>
  </si>
  <si>
    <t>switch_dmu_Canada_CNR_Turbo_Train_visual_effect_and_powered</t>
  </si>
  <si>
    <t>switch_dmu_Canada_CNR_Turbo_Train_reversed</t>
  </si>
  <si>
    <t>spriteset_dmu_Canada_CNR_Turbo_Train_middlemail</t>
  </si>
  <si>
    <t>spriteset_dmu_Canada_CNR_Turbo_Train_middlepass</t>
  </si>
  <si>
    <t>spriteset_dmu_Canada_CNR_Turbo_Train_back</t>
  </si>
  <si>
    <t>spriteset_dmu_Canada_CNR_Turbo_Train_front</t>
  </si>
  <si>
    <t>spriteset_dmu_Canada_CNR_Turbo_Train_purchase</t>
  </si>
  <si>
    <t>switch_dmu_Cameroon_Camrail_ZE_500_cargo_selection</t>
  </si>
  <si>
    <t>switch_dmu_Cameroon_Camrail_ZE_500_visual_effect_and_powered</t>
  </si>
  <si>
    <t>switch_dmu_Cameroon_Camrail_ZE_500_reversed</t>
  </si>
  <si>
    <t>spriteset_dmu_Cameroon_Camrail_ZE_500_middlemail</t>
  </si>
  <si>
    <t>spriteset_dmu_Cameroon_Camrail_ZE_500_middlepass</t>
  </si>
  <si>
    <t>spriteset_dmu_Cameroon_Camrail_ZE_500_back</t>
  </si>
  <si>
    <t>spriteset_dmu_Cameroon_Camrail_ZE_500_front</t>
  </si>
  <si>
    <t>spriteset_dmu_Cameroon_Camrail_ZE_500_purchase</t>
  </si>
  <si>
    <t>switch_dmu_Australia_WAGR_ADK_ADB_cargo_selection</t>
  </si>
  <si>
    <t>switch_dmu_Australia_WAGR_ADK_ADB_visual_effect_and_powered</t>
  </si>
  <si>
    <t>switch_dmu_Australia_WAGR_ADK_ADB_reversed</t>
  </si>
  <si>
    <t>spriteset_dmu_Australia_WAGR_ADK_ADB_middlemail</t>
  </si>
  <si>
    <t>spriteset_dmu_Australia_WAGR_ADK_ADB_middlepass</t>
  </si>
  <si>
    <t>spriteset_dmu_Australia_WAGR_ADK_ADB_back</t>
  </si>
  <si>
    <t>spriteset_dmu_Australia_WAGR_ADK_ADB_front</t>
  </si>
  <si>
    <t>spriteset_dmu_Australia_WAGR_ADK_ADB_purchase</t>
  </si>
  <si>
    <t>switch_dmu_Australia_Transwa_Prospector_cargo_selection</t>
  </si>
  <si>
    <t>switch_dmu_Australia_Transwa_Prospector_visual_effect_and_powered</t>
  </si>
  <si>
    <t>switch_dmu_Australia_Transwa_Prospector_reversed</t>
  </si>
  <si>
    <t>spriteset_dmu_Australia_Transwa_Prospector_middlemail</t>
  </si>
  <si>
    <t>spriteset_dmu_Australia_Transwa_Prospector_middlepass</t>
  </si>
  <si>
    <t>spriteset_dmu_Australia_Transwa_Prospector_back</t>
  </si>
  <si>
    <t>spriteset_dmu_Australia_Transwa_Prospector_front</t>
  </si>
  <si>
    <t>spriteset_dmu_Australia_Transwa_Prospector_purchase</t>
  </si>
  <si>
    <t>switch_dmu_Australia_TransAdelaide_3100_cargo_selection</t>
  </si>
  <si>
    <t>switch_dmu_Australia_TransAdelaide_3100_visual_effect_and_powered</t>
  </si>
  <si>
    <t>switch_dmu_Australia_TransAdelaide_3100_reversed</t>
  </si>
  <si>
    <t>spriteset_dmu_Australia_TransAdelaide_3100_middlemail</t>
  </si>
  <si>
    <t>spriteset_dmu_Australia_TransAdelaide_3100_middlepass</t>
  </si>
  <si>
    <t>spriteset_dmu_Australia_TransAdelaide_3100_back</t>
  </si>
  <si>
    <t>spriteset_dmu_Australia_TransAdelaide_3100_front</t>
  </si>
  <si>
    <t>spriteset_dmu_Australia_TransAdelaide_3100_purchase</t>
  </si>
  <si>
    <t>switch_dmu_Australia_Queensland_Rail_Diesel_Tilt_Train_cargo_selection</t>
  </si>
  <si>
    <t>switch_dmu_Australia_Queensland_Rail_Diesel_Tilt_Train_visual_effect_and_powered</t>
  </si>
  <si>
    <t>switch_dmu_Australia_Queensland_Rail_Diesel_Tilt_Train_reversed</t>
  </si>
  <si>
    <t>spriteset_dmu_Australia_Queensland_Rail_Diesel_Tilt_Train_middlemail</t>
  </si>
  <si>
    <t>spriteset_dmu_Australia_Queensland_Rail_Diesel_Tilt_Train_middlepass</t>
  </si>
  <si>
    <t>spriteset_dmu_Australia_Queensland_Rail_Diesel_Tilt_Train_back</t>
  </si>
  <si>
    <t>spriteset_dmu_Australia_Queensland_Rail_Diesel_Tilt_Train_front</t>
  </si>
  <si>
    <t>spriteset_dmu_Australia_Queensland_Rail_Diesel_Tilt_Train_purchase</t>
  </si>
  <si>
    <t>switch_dmu_Australia_Queensland_Rail_400_cargo_selection</t>
  </si>
  <si>
    <t>switch_dmu_Australia_Queensland_Rail_400_visual_effect_and_powered</t>
  </si>
  <si>
    <t>switch_dmu_Australia_Queensland_Rail_400_reversed</t>
  </si>
  <si>
    <t>spriteset_dmu_Australia_Queensland_Rail_400_middlemail</t>
  </si>
  <si>
    <t>spriteset_dmu_Australia_Queensland_Rail_400_middlepass</t>
  </si>
  <si>
    <t>spriteset_dmu_Australia_Queensland_Rail_400_back</t>
  </si>
  <si>
    <t>spriteset_dmu_Australia_Queensland_Rail_400_front</t>
  </si>
  <si>
    <t>spriteset_dmu_Australia_Queensland_Rail_400_purchase</t>
  </si>
  <si>
    <t>switch_dmu_Australia_NSWGR_Xplorer_cargo_selection</t>
  </si>
  <si>
    <t>switch_dmu_Australia_NSWGR_Xplorer_visual_effect_and_powered</t>
  </si>
  <si>
    <t>switch_dmu_Australia_NSWGR_Xplorer_reversed</t>
  </si>
  <si>
    <t>spriteset_dmu_Australia_NSWGR_Xplorer_middlemail</t>
  </si>
  <si>
    <t>spriteset_dmu_Australia_NSWGR_Xplorer_middlepass</t>
  </si>
  <si>
    <t>spriteset_dmu_Australia_NSWGR_Xplorer_back</t>
  </si>
  <si>
    <t>spriteset_dmu_Australia_NSWGR_Xplorer_front</t>
  </si>
  <si>
    <t>spriteset_dmu_Australia_NSWGR_Xplorer_purchase</t>
  </si>
  <si>
    <t>switch_dmu_Australia_NSWGR_Silver_City_Comet_cargo_selection</t>
  </si>
  <si>
    <t>switch_dmu_Australia_NSWGR_Silver_City_Comet_visual_effect_and_powered</t>
  </si>
  <si>
    <t>switch_dmu_Australia_NSWGR_Silver_City_Comet_reversed</t>
  </si>
  <si>
    <t>spriteset_dmu_Australia_NSWGR_Silver_City_Comet_middlemail</t>
  </si>
  <si>
    <t>spriteset_dmu_Australia_NSWGR_Silver_City_Comet_middlepass</t>
  </si>
  <si>
    <t>spriteset_dmu_Australia_NSWGR_Silver_City_Comet_back</t>
  </si>
  <si>
    <t>spriteset_dmu_Australia_NSWGR_Silver_City_Comet_front</t>
  </si>
  <si>
    <t>spriteset_dmu_Australia_NSWGR_Silver_City_Comet_purchase</t>
  </si>
  <si>
    <t>switch_dmu_Australia_CityRail_Hunter_Railcar_cargo_selection</t>
  </si>
  <si>
    <t>switch_dmu_Australia_CityRail_Hunter_Railcar_visual_effect_and_powered</t>
  </si>
  <si>
    <t>switch_dmu_Australia_CityRail_Hunter_Railcar_reversed</t>
  </si>
  <si>
    <t>spriteset_dmu_Australia_CityRail_Hunter_Railcar_middlemail</t>
  </si>
  <si>
    <t>spriteset_dmu_Australia_CityRail_Hunter_Railcar_middlepass</t>
  </si>
  <si>
    <t>spriteset_dmu_Australia_CityRail_Hunter_Railcar_back</t>
  </si>
  <si>
    <t>spriteset_dmu_Australia_CityRail_Hunter_Railcar_front</t>
  </si>
  <si>
    <t>spriteset_dmu_Australia_CityRail_Hunter_Railcar_purchase</t>
  </si>
  <si>
    <t>switch_dmu_Argentina_FCGU_CMM_400_2_cargo_selection</t>
  </si>
  <si>
    <t>switch_dmu_Argentina_FCGU_CMM_400_2_visual_effect_and_powered</t>
  </si>
  <si>
    <t>switch_dmu_Argentina_FCGU_CMM_400_2_reversed</t>
  </si>
  <si>
    <t>spriteset_dmu_Argentina_FCGU_CMM_400_2_middlemail</t>
  </si>
  <si>
    <t>spriteset_dmu_Argentina_FCGU_CMM_400_2_middlepass</t>
  </si>
  <si>
    <t>spriteset_dmu_Argentina_FCGU_CMM_400_2_back</t>
  </si>
  <si>
    <t>spriteset_dmu_Argentina_FCGU_CMM_400_2_front</t>
  </si>
  <si>
    <t>spriteset_dmu_Argentina_FCGU_CMM_400_2_purchase</t>
  </si>
  <si>
    <t>switch_dmu_Algeria_SNTF_ZZ_2200_Autorail_cargo_selection</t>
  </si>
  <si>
    <t>switch_dmu_Algeria_SNTF_ZZ_2200_Autorail_visual_effect_and_powered</t>
  </si>
  <si>
    <t>switch_dmu_Algeria_SNTF_ZZ_2200_Autorail_reversed</t>
  </si>
  <si>
    <t>spriteset_dmu_Algeria_SNTF_ZZ_2200_Autorail_middlemail</t>
  </si>
  <si>
    <t>spriteset_dmu_Algeria_SNTF_ZZ_2200_Autorail_middlepass</t>
  </si>
  <si>
    <t>spriteset_dmu_Algeria_SNTF_ZZ_2200_Autorail_back</t>
  </si>
  <si>
    <t>spriteset_dmu_Algeria_SNTF_ZZ_2200_Autorail_front</t>
  </si>
  <si>
    <t>spriteset_dmu_Algeria_SNTF_ZZ_2200_Autorail_purchase</t>
  </si>
  <si>
    <t>spriteset_diesel_Zimbabwe_Zimbabwe_Railways_DH_1</t>
  </si>
  <si>
    <t>spriteset_diesel_Zimbabwe_Zimbabwe_Railways_DH_1_purchase</t>
  </si>
  <si>
    <t>spriteset_diesel_USA_Western_Pacific_ALCO_S_2</t>
  </si>
  <si>
    <t>spriteset_diesel_USA_Western_Pacific_ALCO_S_2_purchase</t>
  </si>
  <si>
    <t>switch_diesel_USA_UP_EMD_E8_visual_effect</t>
  </si>
  <si>
    <t>switch_diesel_USA_UP_EMD_E8_position</t>
  </si>
  <si>
    <t>spriteset_diesel_USA_UP_EMD_E8_A_Back</t>
  </si>
  <si>
    <t>spriteset_diesel_USA_UP_EMD_E8_B_Back</t>
  </si>
  <si>
    <t>spriteset_diesel_USA_UP_EMD_E8_B_Front</t>
  </si>
  <si>
    <t>spriteset_diesel_USA_UP_EMD_E8_A_Front</t>
  </si>
  <si>
    <t>spriteset_diesel_USA_UP_EMD_E8_purchase</t>
  </si>
  <si>
    <t>switch_diesel_USA_UP_EMD_DDA40X_articulated</t>
  </si>
  <si>
    <t>switch_diesel_USA_UP_EMD_DDA40X_length</t>
  </si>
  <si>
    <t>switch_diesel_USA_UP_EMD_DDA40X_visual_effect</t>
  </si>
  <si>
    <t>switch_diesel_USA_UP_EMD_DDA40X_position</t>
  </si>
  <si>
    <t>spriteset_diesel_USA_UP_EMD_DDA40X_engine</t>
  </si>
  <si>
    <t>spriteset_diesel_USA_UP_EMD_DDA40X_purchase</t>
  </si>
  <si>
    <t>spriteset_diesel_USA_Rock_Island_EMC_TA</t>
  </si>
  <si>
    <t>spriteset_diesel_USA_Rock_Island_EMC_TA_purchase</t>
  </si>
  <si>
    <t>spriteset_diesel_USA_PRR_FM_H_10_44</t>
  </si>
  <si>
    <t>spriteset_diesel_USA_PRR_FM_H_10_44_purchase</t>
  </si>
  <si>
    <t>switch_diesel_USA_Pennsylvania_Railroad_RF_16_Sharknose_visual_effect</t>
  </si>
  <si>
    <t>switch_diesel_USA_Pennsylvania_Railroad_RF_16_Sharknose_position</t>
  </si>
  <si>
    <t>spriteset_diesel_USA_Pennsylvania_Railroad_RF_16_Sharknose_A_Back</t>
  </si>
  <si>
    <t>spriteset_diesel_USA_Pennsylvania_Railroad_RF_16_Sharknose_B_Back</t>
  </si>
  <si>
    <t>spriteset_diesel_USA_Pennsylvania_Railroad_RF_16_Sharknose_B_Front</t>
  </si>
  <si>
    <t>spriteset_diesel_USA_Pennsylvania_Railroad_RF_16_Sharknose_A_Front</t>
  </si>
  <si>
    <t>spriteset_diesel_USA_Pennsylvania_Railroad_RF_16_Sharknose_purchase</t>
  </si>
  <si>
    <t>spriteset_diesel_USA_NYC_Baldwin_VO_660</t>
  </si>
  <si>
    <t>spriteset_diesel_USA_NYC_Baldwin_VO_660_purchase</t>
  </si>
  <si>
    <t>spriteset_diesel_USA_Metrolink_EMD_F59PH</t>
  </si>
  <si>
    <t>spriteset_diesel_USA_Metrolink_EMD_F59PH_purchase</t>
  </si>
  <si>
    <t>spriteset_diesel_USA_CNJ_ALCo_GE_IR_Boxcab</t>
  </si>
  <si>
    <t>spriteset_diesel_USA_CNJ_ALCo_GE_IR_Boxcab_purchase</t>
  </si>
  <si>
    <t>switch_diesel_USA_AT_SF_EMD_F3_visual_effect</t>
  </si>
  <si>
    <t>switch_diesel_USA_AT_SF_EMD_F3_position</t>
  </si>
  <si>
    <t>spriteset_diesel_USA_AT_SF_EMD_F3_A_Back</t>
  </si>
  <si>
    <t>spriteset_diesel_USA_AT_SF_EMD_F3_B_Back</t>
  </si>
  <si>
    <t>spriteset_diesel_USA_AT_SF_EMD_F3_B_Front</t>
  </si>
  <si>
    <t>spriteset_diesel_USA_AT_SF_EMD_F3_A_Front</t>
  </si>
  <si>
    <t>spriteset_diesel_USA_AT_SF_EMD_F3_purchase</t>
  </si>
  <si>
    <t>switch_diesel_USA_Amtrak_SDP_40F_position</t>
  </si>
  <si>
    <t>spriteset_diesel_USA_Amtrak_SDP_40F_B</t>
  </si>
  <si>
    <t>spriteset_diesel_USA_Amtrak_SDP_40F_engine</t>
  </si>
  <si>
    <t>spriteset_diesel_USA_Amtrak_SDP_40F_purchase</t>
  </si>
  <si>
    <t>switch_diesel_USA_Amtrak_P42DC_Genesis_position</t>
  </si>
  <si>
    <t>spriteset_diesel_USA_Amtrak_P42DC_Genesis_B</t>
  </si>
  <si>
    <t>spriteset_diesel_USA_Amtrak_P42DC_Genesis_engine</t>
  </si>
  <si>
    <t>spriteset_diesel_USA_Amtrak_P42DC_Genesis_purchase</t>
  </si>
  <si>
    <t>spriteset_diesel_USA_Amtrak_FL9</t>
  </si>
  <si>
    <t>spriteset_diesel_USA_Amtrak_FL9_purchase</t>
  </si>
  <si>
    <t>spriteset_diesel_USA_Amtrak_Charger</t>
  </si>
  <si>
    <t>spriteset_diesel_USA_Amtrak_Charger_purchase</t>
  </si>
  <si>
    <t>spriteset_diesel_Uruguay_AFE_1500</t>
  </si>
  <si>
    <t>spriteset_diesel_Uruguay_AFE_1500_purchase</t>
  </si>
  <si>
    <t>switch_diesel_UK_LMS_7051_Diesel_Shunter_animation</t>
  </si>
  <si>
    <t>spriteset_diesel_UK_LMS_7051_Diesel_Shunter_engine2</t>
  </si>
  <si>
    <t>spriteset_diesel_UK_LMS_7051_Diesel_Shunter_engine1</t>
  </si>
  <si>
    <t>spriteset_diesel_UK_LMS_7051_Diesel_Shunter_purchase</t>
  </si>
  <si>
    <t>switch_diesel_UK_BR_Class_D3_7_animation</t>
  </si>
  <si>
    <t>spriteset_diesel_UK_BR_Class_D3_7_engine2</t>
  </si>
  <si>
    <t>spriteset_diesel_UK_BR_Class_D3_7_engine1</t>
  </si>
  <si>
    <t>spriteset_diesel_UK_BR_Class_D3_7_purchase</t>
  </si>
  <si>
    <t>spriteset_diesel_UK_BR_68</t>
  </si>
  <si>
    <t>spriteset_diesel_UK_BR_68_purchase</t>
  </si>
  <si>
    <t>spriteset_diesel_UK_BR_67</t>
  </si>
  <si>
    <t>spriteset_diesel_UK_BR_67_purchase</t>
  </si>
  <si>
    <t>spriteset_diesel_UK_BR_66</t>
  </si>
  <si>
    <t>spriteset_diesel_UK_BR_66_purchase</t>
  </si>
  <si>
    <t>spriteset_diesel_UK_BR_60</t>
  </si>
  <si>
    <t>spriteset_diesel_UK_BR_60_purchase</t>
  </si>
  <si>
    <t>switch_diesel_UK_BR_14_animation</t>
  </si>
  <si>
    <t>spriteset_diesel_UK_BR_14_engine2</t>
  </si>
  <si>
    <t>spriteset_diesel_UK_BR_14_engine1</t>
  </si>
  <si>
    <t>spriteset_diesel_UK_BR_14_purchase</t>
  </si>
  <si>
    <t>spriteset_diesel_Ukraine_UZ_TEP150</t>
  </si>
  <si>
    <t>spriteset_diesel_Ukraine_UZ_TEP150_purchase</t>
  </si>
  <si>
    <t>spriteset_diesel_Ukraine_UZ_TEP10L</t>
  </si>
  <si>
    <t>spriteset_diesel_Ukraine_UZ_TEP10L_purchase</t>
  </si>
  <si>
    <t>switch_diesel_Ukraine_UZ_2TE126_articulated</t>
  </si>
  <si>
    <t>switch_diesel_Ukraine_UZ_2TE126_length</t>
  </si>
  <si>
    <t>switch_diesel_Ukraine_UZ_2TE126_visual_effect</t>
  </si>
  <si>
    <t>switch_diesel_Ukraine_UZ_2TE126_position</t>
  </si>
  <si>
    <t>spriteset_diesel_Ukraine_UZ_2TE126_engine2</t>
  </si>
  <si>
    <t>spriteset_diesel_Ukraine_UZ_2TE126_engine1</t>
  </si>
  <si>
    <t>spriteset_diesel_Ukraine_UZ_2TE126_purchase</t>
  </si>
  <si>
    <t>switch_diesel_Ukraine_UZ_2TE10Ut_articulated</t>
  </si>
  <si>
    <t>switch_diesel_Ukraine_UZ_2TE10Ut_visual_effect</t>
  </si>
  <si>
    <t>switch_diesel_Ukraine_UZ_2TE10Ut_position</t>
  </si>
  <si>
    <t>spriteset_diesel_Ukraine_UZ_2TE10Ut_back</t>
  </si>
  <si>
    <t>spriteset_diesel_Ukraine_UZ_2TE10Ut_front</t>
  </si>
  <si>
    <t>spriteset_diesel_Ukraine_UZ_2TE10Ut_purchase</t>
  </si>
  <si>
    <t>spriteset_diesel_Turkey_TCDD_DH7000</t>
  </si>
  <si>
    <t>spriteset_diesel_Turkey_TCDD_DH7000_purchase</t>
  </si>
  <si>
    <t>spriteset_diesel_Tunisia_SNCFT_040_DJ</t>
  </si>
  <si>
    <t>spriteset_diesel_Tunisia_SNCFT_040_DJ_purchase</t>
  </si>
  <si>
    <t>spriteset_diesel_Tunisia_SNCFT_040_DF</t>
  </si>
  <si>
    <t>spriteset_diesel_Tunisia_SNCFT_040_DF_purchase</t>
  </si>
  <si>
    <t>spriteset_diesel_Switzerland_SBB_Am_4_6</t>
  </si>
  <si>
    <t>spriteset_diesel_Switzerland_SBB_Am_4_6_purchase</t>
  </si>
  <si>
    <t>spriteset_diesel_Sweden_SJ_V4</t>
  </si>
  <si>
    <t>spriteset_diesel_Sweden_SJ_V4_purchase</t>
  </si>
  <si>
    <t>spriteset_diesel_Sri_Lanka_Sri_Lanka_Railways_M2</t>
  </si>
  <si>
    <t>spriteset_diesel_Sri_Lanka_Sri_Lanka_Railways_M2_purchase</t>
  </si>
  <si>
    <t>spriteset_diesel_Spain_RENFE_Class_334</t>
  </si>
  <si>
    <t>spriteset_diesel_Spain_RENFE_Class_334_purchase</t>
  </si>
  <si>
    <t>spriteset_diesel_Spain_RENFE_308</t>
  </si>
  <si>
    <t>spriteset_diesel_Spain_RENFE_308_purchase</t>
  </si>
  <si>
    <t>spriteset_diesel_South_Korea_Korail_6000_EMD_SD18</t>
  </si>
  <si>
    <t>spriteset_diesel_South_Korea_Korail_6000_EMD_SD18_purchase</t>
  </si>
  <si>
    <t>spriteset_diesel_South_Africa_SAR_DS</t>
  </si>
  <si>
    <t>spriteset_diesel_South_Africa_SAR_DS_purchase</t>
  </si>
  <si>
    <t>spriteset_diesel_South_Africa_SAR_Afro_4000</t>
  </si>
  <si>
    <t>spriteset_diesel_South_Africa_SAR_Afro_4000_purchase</t>
  </si>
  <si>
    <t>spriteset_diesel_Serbia_ZS_621</t>
  </si>
  <si>
    <t>spriteset_diesel_Serbia_ZS_621_purchase</t>
  </si>
  <si>
    <t>spriteset_diesel_Saudi_Arabia_Saudi_Railways_4000_EMD_SD70ACS</t>
  </si>
  <si>
    <t>spriteset_diesel_Saudi_Arabia_Saudi_Railways_4000_EMD_SD70ACS_purchase</t>
  </si>
  <si>
    <t>spriteset_diesel_Russia_RZD_TEP80</t>
  </si>
  <si>
    <t>spriteset_diesel_Russia_RZD_TEP80_purchase</t>
  </si>
  <si>
    <t>spriteset_diesel_Russia_RZD_TEP60</t>
  </si>
  <si>
    <t>spriteset_diesel_Russia_RZD_TEP60_purchase</t>
  </si>
  <si>
    <t>spriteset_diesel_Russia_RZD_M62</t>
  </si>
  <si>
    <t>spriteset_diesel_Russia_RZD_M62_purchase</t>
  </si>
  <si>
    <t>switch_diesel_Russia_RZD_GT1_articulated</t>
  </si>
  <si>
    <t>switch_diesel_Russia_RZD_GT1_length</t>
  </si>
  <si>
    <t>switch_diesel_Russia_RZD_GT1_visual_effect</t>
  </si>
  <si>
    <t>switch_diesel_Russia_RZD_GT1_position</t>
  </si>
  <si>
    <t>spriteset_diesel_Russia_RZD_GT1_tender</t>
  </si>
  <si>
    <t>spriteset_diesel_Russia_RZD_GT1_engine</t>
  </si>
  <si>
    <t>spriteset_diesel_Russia_RZD_GT1_purchase</t>
  </si>
  <si>
    <t>switch_diesel_Russia_RZD_Emch_3_animation</t>
  </si>
  <si>
    <t>spriteset_diesel_Russia_RZD_Emch_3_engine2</t>
  </si>
  <si>
    <t>spriteset_diesel_Russia_RZD_Emch_3_engine1</t>
  </si>
  <si>
    <t>spriteset_diesel_Russia_RZD_Emch_3_purchase</t>
  </si>
  <si>
    <t>spriteset_diesel_Russia_RZD_Db</t>
  </si>
  <si>
    <t>spriteset_diesel_Russia_RZD_Db_purchase</t>
  </si>
  <si>
    <t>spriteset_diesel_Russia_RZD_ChME3</t>
  </si>
  <si>
    <t>spriteset_diesel_Russia_RZD_ChME3_purchase</t>
  </si>
  <si>
    <t>spriteset_diesel_Romania_CFR_060_DA</t>
  </si>
  <si>
    <t>spriteset_diesel_Romania_CFR_060_DA_purchase</t>
  </si>
  <si>
    <t>spriteset_diesel_Portugal_CP_1900</t>
  </si>
  <si>
    <t>spriteset_diesel_Portugal_CP_1900_purchase</t>
  </si>
  <si>
    <t>spriteset_diesel_Portugal_CP_1500</t>
  </si>
  <si>
    <t>spriteset_diesel_Portugal_CP_1500_purchase</t>
  </si>
  <si>
    <t>spriteset_diesel_Poland_PKP_SP32</t>
  </si>
  <si>
    <t>spriteset_diesel_Poland_PKP_SP32_purchase</t>
  </si>
  <si>
    <t>spriteset_diesel_Peru_Ferrocarril_Central_Andino_GE_C39_8</t>
  </si>
  <si>
    <t>spriteset_diesel_Peru_Ferrocarril_Central_Andino_GE_C39_8_purchase</t>
  </si>
  <si>
    <t>spriteset_diesel_Peru_Ferrocarril_Central_Andino_Alco_RSD_39</t>
  </si>
  <si>
    <t>spriteset_diesel_Peru_Ferrocarril_Central_Andino_Alco_RSD_39_purchase</t>
  </si>
  <si>
    <t>switch_diesel_Panama_Panama_Canal_Railway_EMD_F40PH_position</t>
  </si>
  <si>
    <t>spriteset_diesel_Panama_Panama_Canal_Railway_EMD_F40PH_B</t>
  </si>
  <si>
    <t>spriteset_diesel_Panama_Panama_Canal_Railway_EMD_F40PH_engine</t>
  </si>
  <si>
    <t>spriteset_diesel_Panama_Panama_Canal_Railway_EMD_F40PH_purchase</t>
  </si>
  <si>
    <t>spriteset_diesel_Norway_NSB_Di4</t>
  </si>
  <si>
    <t>spriteset_diesel_Norway_NSB_Di4_purchase</t>
  </si>
  <si>
    <t>spriteset_diesel_Norway_CargoNet_312</t>
  </si>
  <si>
    <t>spriteset_diesel_Norway_CargoNet_312_purchase</t>
  </si>
  <si>
    <t>spriteset_diesel_Netherlands_NS_6400</t>
  </si>
  <si>
    <t>spriteset_diesel_Netherlands_NS_6400_purchase</t>
  </si>
  <si>
    <t>switch_diesel_Netherlands_NS_600_animation</t>
  </si>
  <si>
    <t>spriteset_diesel_Netherlands_NS_600_engine2</t>
  </si>
  <si>
    <t>spriteset_diesel_Netherlands_NS_600_engine1</t>
  </si>
  <si>
    <t>spriteset_diesel_Netherlands_NS_600_purchase</t>
  </si>
  <si>
    <t>spriteset_diesel_Netherlands_NS_200</t>
  </si>
  <si>
    <t>spriteset_diesel_Netherlands_NS_200_purchase</t>
  </si>
  <si>
    <t>spriteset_diesel_Morocco_ONCF_DF_100</t>
  </si>
  <si>
    <t>spriteset_diesel_Morocco_ONCF_DF_100_purchase</t>
  </si>
  <si>
    <t>spriteset_diesel_Mexico_CHP_500_FM_H_16_44</t>
  </si>
  <si>
    <t>spriteset_diesel_Mexico_CHP_500_FM_H_16_44_purchase</t>
  </si>
  <si>
    <t>switch_diesel_Liberia_Liberia_Railways_Class_08_animation</t>
  </si>
  <si>
    <t>spriteset_diesel_Liberia_Liberia_Railways_Class_08_engine2</t>
  </si>
  <si>
    <t>spriteset_diesel_Liberia_Liberia_Railways_Class_08_engine1</t>
  </si>
  <si>
    <t>spriteset_diesel_Liberia_Liberia_Railways_Class_08_purchase</t>
  </si>
  <si>
    <t>spriteset_diesel_Japan_JNR_DF50</t>
  </si>
  <si>
    <t>spriteset_diesel_Japan_JNR_DF50_purchase</t>
  </si>
  <si>
    <t>spriteset_diesel_Italy_FS_D345</t>
  </si>
  <si>
    <t>spriteset_diesel_Italy_FS_D345_purchase</t>
  </si>
  <si>
    <t>spriteset_diesel_Italy_FS_D341</t>
  </si>
  <si>
    <t>spriteset_diesel_Italy_FS_D341_purchase</t>
  </si>
  <si>
    <t>spriteset_diesel_Italy_FS_207</t>
  </si>
  <si>
    <t>spriteset_diesel_Italy_FS_207_purchase</t>
  </si>
  <si>
    <t>spriteset_diesel_Italy_ACT_D_200</t>
  </si>
  <si>
    <t>spriteset_diesel_Italy_ACT_D_200_purchase</t>
  </si>
  <si>
    <t>spriteset_diesel_Ireland_IE_201</t>
  </si>
  <si>
    <t>spriteset_diesel_Ireland_IE_201_purchase</t>
  </si>
  <si>
    <t>spriteset_diesel_Ireland_CIE_113</t>
  </si>
  <si>
    <t>spriteset_diesel_Ireland_CIE_113_purchase</t>
  </si>
  <si>
    <t>spriteset_diesel_Ireland_CIE_001</t>
  </si>
  <si>
    <t>spriteset_diesel_Ireland_CIE_001_purchase</t>
  </si>
  <si>
    <t>spriteset_diesel_Iran_RAI_DE43CA_Prima</t>
  </si>
  <si>
    <t>spriteset_diesel_Iran_RAI_DE43CA_Prima_purchase</t>
  </si>
  <si>
    <t>spriteset_diesel_Indonesia_Indonesia_Railways_CC300</t>
  </si>
  <si>
    <t>spriteset_diesel_Indonesia_Indonesia_Railways_CC300_purchase</t>
  </si>
  <si>
    <t>spriteset_diesel_India_Indian_Railways_WDM_2</t>
  </si>
  <si>
    <t>spriteset_diesel_India_Indian_Railways_WDM_2_purchase</t>
  </si>
  <si>
    <t>spriteset_diesel_Hungary_MAV_M44</t>
  </si>
  <si>
    <t>spriteset_diesel_Hungary_MAV_M44_purchase</t>
  </si>
  <si>
    <t>spriteset_diesel_Hungary_MAV_M28</t>
  </si>
  <si>
    <t>spriteset_diesel_Hungary_MAV_M28_purchase</t>
  </si>
  <si>
    <t>spriteset_diesel_Germany_HVLE_V490</t>
  </si>
  <si>
    <t>spriteset_diesel_Germany_HVLE_V490_purchase</t>
  </si>
  <si>
    <t>spriteset_diesel_Germany_DB_Kof_II</t>
  </si>
  <si>
    <t>spriteset_diesel_Germany_DB_Kof_II_purchase</t>
  </si>
  <si>
    <t>switch_diesel_Germany_DB_270_animation</t>
  </si>
  <si>
    <t>spriteset_diesel_Germany_DB_270_engine2</t>
  </si>
  <si>
    <t>spriteset_diesel_Germany_DB_270_engine1</t>
  </si>
  <si>
    <t>spriteset_diesel_Germany_DB_270_purchase</t>
  </si>
  <si>
    <t>spriteset_diesel_Germany_DB_261_Gravita_10BB</t>
  </si>
  <si>
    <t>spriteset_diesel_Germany_DB_261_Gravita_10BB_purchase</t>
  </si>
  <si>
    <t>spriteset_diesel_Germany_DB_220</t>
  </si>
  <si>
    <t>spriteset_diesel_Germany_DB_220_purchase</t>
  </si>
  <si>
    <t>spriteset_diesel_France_SNCF_BB_67400</t>
  </si>
  <si>
    <t>spriteset_diesel_France_SNCF_BB_67400_purchase</t>
  </si>
  <si>
    <t>spriteset_diesel_France_SNCF_461000</t>
  </si>
  <si>
    <t>spriteset_diesel_France_SNCF_461000_purchase</t>
  </si>
  <si>
    <t>spriteset_diesel_Finland_VR_Dr16</t>
  </si>
  <si>
    <t>spriteset_diesel_Finland_VR_Dr16_purchase</t>
  </si>
  <si>
    <t>spriteset_diesel_Finland_VR_Dr12</t>
  </si>
  <si>
    <t>spriteset_diesel_Finland_VR_Dr12_purchase</t>
  </si>
  <si>
    <t>spriteset_diesel_Egypt_ENR_TE114E</t>
  </si>
  <si>
    <t>spriteset_diesel_Egypt_ENR_TE114E_purchase</t>
  </si>
  <si>
    <t>spriteset_diesel_Egypt_ENR_G22W</t>
  </si>
  <si>
    <t>spriteset_diesel_Egypt_ENR_G22W_purchase</t>
  </si>
  <si>
    <t>spriteset_diesel_Egypt_ENR_2400_GE_ES40ACi</t>
  </si>
  <si>
    <t>spriteset_diesel_Egypt_ENR_2400_GE_ES40ACi_purchase</t>
  </si>
  <si>
    <t>spriteset_diesel_Denmark_DSB_MaK_100</t>
  </si>
  <si>
    <t>spriteset_diesel_Denmark_DSB_MaK_100_purchase</t>
  </si>
  <si>
    <t>spriteset_diesel_Czech_Republic_CD_720_ChME2</t>
  </si>
  <si>
    <t>spriteset_diesel_Czech_Republic_CD_720_ChME2_purchase</t>
  </si>
  <si>
    <t>spriteset_diesel_Croatia_HZ_2062</t>
  </si>
  <si>
    <t>spriteset_diesel_Croatia_HZ_2062_purchase</t>
  </si>
  <si>
    <t>spriteset_diesel_China_MTR_8000</t>
  </si>
  <si>
    <t>spriteset_diesel_China_MTR_8000_purchase</t>
  </si>
  <si>
    <t>spriteset_diesel_China_China_Railways_HXN5</t>
  </si>
  <si>
    <t>spriteset_diesel_China_China_Railways_HXN5_purchase</t>
  </si>
  <si>
    <t>spriteset_diesel_China_China_Railways_DFH3</t>
  </si>
  <si>
    <t>spriteset_diesel_China_China_Railways_DFH3_purchase</t>
  </si>
  <si>
    <t>spriteset_diesel_China_China_Railways_DF8</t>
  </si>
  <si>
    <t>spriteset_diesel_China_China_Railways_DF8_purchase</t>
  </si>
  <si>
    <t>spriteset_diesel_Chile_EFE_GE_U5B</t>
  </si>
  <si>
    <t>spriteset_diesel_Chile_EFE_GE_U5B_purchase</t>
  </si>
  <si>
    <t>switch_diesel_Canada_VIA_Rail_FP9_visual_effect</t>
  </si>
  <si>
    <t>switch_diesel_Canada_VIA_Rail_FP9_position</t>
  </si>
  <si>
    <t>spriteset_diesel_Canada_VIA_Rail_FP9_A_Back</t>
  </si>
  <si>
    <t>spriteset_diesel_Canada_VIA_Rail_FP9_B_Back</t>
  </si>
  <si>
    <t>spriteset_diesel_Canada_VIA_Rail_FP9_B_Front</t>
  </si>
  <si>
    <t>spriteset_diesel_Canada_VIA_Rail_FP9_A_Front</t>
  </si>
  <si>
    <t>spriteset_diesel_Canada_VIA_Rail_FP9_purchase</t>
  </si>
  <si>
    <t>spriteset_diesel_Canada_GO_Transit_MP40PH_3C</t>
  </si>
  <si>
    <t>spriteset_diesel_Canada_GO_Transit_MP40PH_3C_purchase</t>
  </si>
  <si>
    <t>spriteset_diesel_Canada_CPR_Trainmaster</t>
  </si>
  <si>
    <t>spriteset_diesel_Canada_CPR_Trainmaster_purchase</t>
  </si>
  <si>
    <t>spriteset_diesel_Canada_CNR_SW1200</t>
  </si>
  <si>
    <t>spriteset_diesel_Canada_CNR_SW1200_purchase</t>
  </si>
  <si>
    <t>spriteset_diesel_Canada_CNR_MLW_M420W</t>
  </si>
  <si>
    <t>spriteset_diesel_Canada_CNR_MLW_M420W_purchase</t>
  </si>
  <si>
    <t>switch_diesel_Canada_CNR_9000_articulated</t>
  </si>
  <si>
    <t>switch_diesel_Canada_CNR_9000_length</t>
  </si>
  <si>
    <t>switch_diesel_Canada_CNR_9000_visual_effect</t>
  </si>
  <si>
    <t>switch_diesel_Canada_CNR_9000_position</t>
  </si>
  <si>
    <t>spriteset_diesel_Canada_CNR_9000_tender</t>
  </si>
  <si>
    <t>spriteset_diesel_Canada_CNR_9000_engine</t>
  </si>
  <si>
    <t>spriteset_diesel_Canada_CNR_9000_purchase</t>
  </si>
  <si>
    <t>spriteset_diesel_Brazil_EFVM_ML4000</t>
  </si>
  <si>
    <t>spriteset_diesel_Brazil_EFVM_ML4000_purchase</t>
  </si>
  <si>
    <t>spriteset_diesel_Brazil_EFVM_EMD_DDM45</t>
  </si>
  <si>
    <t>spriteset_diesel_Brazil_EFVM_EMD_DDM45_purchase</t>
  </si>
  <si>
    <t>spriteset_diesel_Brazil_EFC_3300_Baldwin_AS_616</t>
  </si>
  <si>
    <t>spriteset_diesel_Brazil_EFC_3300_Baldwin_AS_616_purchase</t>
  </si>
  <si>
    <t>spriteset_diesel_Brazil_EFCB_ALCO_RS_3</t>
  </si>
  <si>
    <t>spriteset_diesel_Brazil_EFCB_ALCO_RS_3_purchase</t>
  </si>
  <si>
    <t>spriteset_diesel_Brazil_EE_VFFLB</t>
  </si>
  <si>
    <t>spriteset_diesel_Brazil_EE_VFFLB_purchase</t>
  </si>
  <si>
    <t>switch_diesel_Brazil_BF_EMD_GL8_position</t>
  </si>
  <si>
    <t>spriteset_diesel_Brazil_BF_EMD_GL8_B</t>
  </si>
  <si>
    <t>spriteset_diesel_Brazil_BF_EMD_GL8_engine</t>
  </si>
  <si>
    <t>spriteset_diesel_Brazil_BF_EMD_GL8_purchase</t>
  </si>
  <si>
    <t>switch_diesel_Belgium_NMBS_SNCB_83_animation</t>
  </si>
  <si>
    <t>spriteset_diesel_Belgium_NMBS_SNCB_83_engine2</t>
  </si>
  <si>
    <t>spriteset_diesel_Belgium_NMBS_SNCB_83_engine1</t>
  </si>
  <si>
    <t>spriteset_diesel_Belgium_NMBS_SNCB_83_purchase</t>
  </si>
  <si>
    <t>spriteset_diesel_Belgium_NMBS_SNCB_7800</t>
  </si>
  <si>
    <t>spriteset_diesel_Belgium_NMBS_SNCB_7800_purchase</t>
  </si>
  <si>
    <t>spriteset_diesel_Belgium_NMBS_SNCB_62</t>
  </si>
  <si>
    <t>spriteset_diesel_Belgium_NMBS_SNCB_62_purchase</t>
  </si>
  <si>
    <t>switch_diesel_Belarus_BCh_2TE10M_articulated</t>
  </si>
  <si>
    <t>switch_diesel_Belarus_BCh_2TE10M_visual_effect</t>
  </si>
  <si>
    <t>switch_diesel_Belarus_BCh_2TE10M_position</t>
  </si>
  <si>
    <t>spriteset_diesel_Belarus_BCh_2TE10M_back</t>
  </si>
  <si>
    <t>spriteset_diesel_Belarus_BCh_2TE10M_front</t>
  </si>
  <si>
    <t>spriteset_diesel_Belarus_BCh_2TE10M_purchase</t>
  </si>
  <si>
    <t>spriteset_diesel_Austria_OBB_2060</t>
  </si>
  <si>
    <t>spriteset_diesel_Austria_OBB_2060_purchase</t>
  </si>
  <si>
    <t>spriteset_diesel_Australia_Westrail_P_Class</t>
  </si>
  <si>
    <t>spriteset_diesel_Australia_Westrail_P_Class_purchase</t>
  </si>
  <si>
    <t>spriteset_diesel_Australia_South_Australian_Railways_900</t>
  </si>
  <si>
    <t>spriteset_diesel_Australia_South_Australian_Railways_900_purchase</t>
  </si>
  <si>
    <t>spriteset_diesel_Australia_Queensland_Rail_2100</t>
  </si>
  <si>
    <t>spriteset_diesel_Australia_Queensland_Rail_2100_purchase</t>
  </si>
  <si>
    <t>switch_diesel_Australia_Queensland_Railways_DL_Class_animation</t>
  </si>
  <si>
    <t>spriteset_diesel_Australia_Queensland_Railways_DL_Class_engine2</t>
  </si>
  <si>
    <t>spriteset_diesel_Australia_Queensland_Railways_DL_Class_engine1</t>
  </si>
  <si>
    <t>spriteset_diesel_Australia_Queensland_Railways_DL_Class_purchase</t>
  </si>
  <si>
    <t>switch_diesel_Australia_Pacific_National_XR_XRB_visual_effect</t>
  </si>
  <si>
    <t>switch_diesel_Australia_Pacific_National_XR_XRB_position</t>
  </si>
  <si>
    <t>spriteset_diesel_Australia_Pacific_National_XR_XRB_A_Back</t>
  </si>
  <si>
    <t>spriteset_diesel_Australia_Pacific_National_XR_XRB_B_Back</t>
  </si>
  <si>
    <t>spriteset_diesel_Australia_Pacific_National_XR_XRB_B_Front</t>
  </si>
  <si>
    <t>spriteset_diesel_Australia_Pacific_National_XR_XRB_A_Front</t>
  </si>
  <si>
    <t>spriteset_diesel_Australia_Pacific_National_XR_XRB_purchase</t>
  </si>
  <si>
    <t>spriteset_diesel_Australia_Pacific_National_G_Class</t>
  </si>
  <si>
    <t>spriteset_diesel_Australia_Pacific_National_G_Class_purchase</t>
  </si>
  <si>
    <t>spriteset_diesel_Australia_Pacific_National_92</t>
  </si>
  <si>
    <t>spriteset_diesel_Australia_Pacific_National_92_purchase</t>
  </si>
  <si>
    <t>spriteset_diesel_Australia_NSWGR_79</t>
  </si>
  <si>
    <t>spriteset_diesel_Australia_NSWGR_79_purchase</t>
  </si>
  <si>
    <t>spriteset_diesel_Australia_NSWGR_44</t>
  </si>
  <si>
    <t>spriteset_diesel_Australia_NSWGR_44_purchase</t>
  </si>
  <si>
    <t>spriteset_diesel_Australia_NSWGR_422</t>
  </si>
  <si>
    <t>spriteset_diesel_Australia_NSWGR_422_purchase</t>
  </si>
  <si>
    <t>spriteset_diesel_Australia_Australian_National_AN</t>
  </si>
  <si>
    <t>spriteset_diesel_Australia_Australian_National_AN_purchase</t>
  </si>
  <si>
    <t>spriteset_diesel_Argentina_SOFSE_CNR_CKD8</t>
  </si>
  <si>
    <t>spriteset_diesel_Argentina_SOFSE_CNR_CKD8_purchase</t>
  </si>
  <si>
    <t>spriteset_diesel_Argentina_SOFSE_3193</t>
  </si>
  <si>
    <t>spriteset_diesel_Argentina_SOFSE_3193_purchase</t>
  </si>
  <si>
    <t>spriteset_diesel_Argentina_MF_GM_EMD_J16CW_AC</t>
  </si>
  <si>
    <t>spriteset_diesel_Argentina_MF_GM_EMD_J16CW_AC_purchase</t>
  </si>
  <si>
    <t>spriteset_diesel_Argentina_MF_GE_U20C</t>
  </si>
  <si>
    <t>spriteset_diesel_Argentina_MF_GE_U20C_purchase</t>
  </si>
  <si>
    <t>spriteset_diesel_Argentina_Great_Southern_Railway_DH501</t>
  </si>
  <si>
    <t>spriteset_diesel_Argentina_Great_Southern_Railway_DH501_purchase</t>
  </si>
  <si>
    <t>spriteset_diesel_Algeria_SNTF_Baldwin_DRS6_4_1000</t>
  </si>
  <si>
    <t>spriteset_diesel_Algeria_SNTF_Baldwin_DRS6_4_1000_purchase</t>
  </si>
  <si>
    <t>spriteset_diesel_Algeria_SNTF_040_DG</t>
  </si>
  <si>
    <t>spriteset_diesel_Algeria_SNTF_040_DG_purchase</t>
  </si>
  <si>
    <t>switch_mu_Coach_Gen6_Super_Voyager_Coach_livery</t>
  </si>
  <si>
    <t>spriteset_mu_Coach_Gen6_Super_Voyager_Coach_L4</t>
  </si>
  <si>
    <t>spriteset_mu_Coach_Gen6_Super_Voyager_Coach_L3</t>
  </si>
  <si>
    <t>spriteset_mu_Coach_Gen6_Super_Voyager_Coach_L2</t>
  </si>
  <si>
    <t>spriteset_mu_Coach_Gen6_Super_Voyager_Coach_L1</t>
  </si>
  <si>
    <t>spriteset_mu_Coach_Gen6_Super_Voyager_Coach_purchase</t>
  </si>
  <si>
    <t>switch_mu_Coach_Gen6_Super_Regio_Coach_livery</t>
  </si>
  <si>
    <t>spriteset_mu_Coach_Gen6_Super_Regio_Coach_L4</t>
  </si>
  <si>
    <t>spriteset_mu_Coach_Gen6_Super_Regio_Coach_L3</t>
  </si>
  <si>
    <t>spriteset_mu_Coach_Gen6_Super_Regio_Coach_L2</t>
  </si>
  <si>
    <t>spriteset_mu_Coach_Gen6_Super_Regio_Coach_L1</t>
  </si>
  <si>
    <t>spriteset_mu_Coach_Gen6_Super_Regio_Coach_purchase</t>
  </si>
  <si>
    <t>switch_mu_Coach_Gen6_Speedmail_Coach_livery</t>
  </si>
  <si>
    <t>spriteset_mu_Coach_Gen6_Speedmail_Coach_L4</t>
  </si>
  <si>
    <t>spriteset_mu_Coach_Gen6_Speedmail_Coach_L3</t>
  </si>
  <si>
    <t>spriteset_mu_Coach_Gen6_Speedmail_Coach_L2</t>
  </si>
  <si>
    <t>spriteset_mu_Coach_Gen6_Speedmail_Coach_L1</t>
  </si>
  <si>
    <t>spriteset_mu_Coach_Gen6_Speedmail_Coach_purchase</t>
  </si>
  <si>
    <t>switch_mu_Coach_Gen6_Metropolis_Coach_livery</t>
  </si>
  <si>
    <t>spriteset_mu_Coach_Gen6_Metropolis_Coach_L4</t>
  </si>
  <si>
    <t>spriteset_mu_Coach_Gen6_Metropolis_Coach_L3</t>
  </si>
  <si>
    <t>spriteset_mu_Coach_Gen6_Metropolis_Coach_L2</t>
  </si>
  <si>
    <t>spriteset_mu_Coach_Gen6_Metropolis_Coach_L1</t>
  </si>
  <si>
    <t>spriteset_mu_Coach_Gen6_Metropolis_Coach_purchase</t>
  </si>
  <si>
    <t>switch_mu_Coach_Gen6_Grand_Voyager_Coach_livery</t>
  </si>
  <si>
    <t>spriteset_mu_Coach_Gen6_Grand_Voyager_Coach_L4</t>
  </si>
  <si>
    <t>spriteset_mu_Coach_Gen6_Grand_Voyager_Coach_L3</t>
  </si>
  <si>
    <t>spriteset_mu_Coach_Gen6_Grand_Voyager_Coach_L2</t>
  </si>
  <si>
    <t>spriteset_mu_Coach_Gen6_Grand_Voyager_Coach_L1</t>
  </si>
  <si>
    <t>spriteset_mu_Coach_Gen6_Grand_Voyager_Coach_purchase</t>
  </si>
  <si>
    <t>switch_mu_Coach_Gen6_Grand_Regio_Coach_livery</t>
  </si>
  <si>
    <t>spriteset_mu_Coach_Gen6_Grand_Regio_Coach_L4</t>
  </si>
  <si>
    <t>spriteset_mu_Coach_Gen6_Grand_Regio_Coach_L3</t>
  </si>
  <si>
    <t>spriteset_mu_Coach_Gen6_Grand_Regio_Coach_L2</t>
  </si>
  <si>
    <t>spriteset_mu_Coach_Gen6_Grand_Regio_Coach_L1</t>
  </si>
  <si>
    <t>spriteset_mu_Coach_Gen6_Grand_Regio_Coach_purchase</t>
  </si>
  <si>
    <t>switch_mu_Coach_Gen5_Talgo_Pendular_Mail_livery</t>
  </si>
  <si>
    <t>spriteset_mu_Coach_Gen5_Talgo_Pendular_Mail_L4</t>
  </si>
  <si>
    <t>spriteset_mu_Coach_Gen5_Talgo_Pendular_Mail_L3</t>
  </si>
  <si>
    <t>spriteset_mu_Coach_Gen5_Talgo_Pendular_Mail_L2</t>
  </si>
  <si>
    <t>spriteset_mu_Coach_Gen5_Talgo_Pendular_Mail_L1</t>
  </si>
  <si>
    <t>spriteset_mu_Coach_Gen5_Talgo_Pendular_Mail_purchase</t>
  </si>
  <si>
    <t>switch_mu_Coach_Gen5_Talgo_Pendular_livery</t>
  </si>
  <si>
    <t>spriteset_mu_Coach_Gen5_Talgo_Pendular_L4</t>
  </si>
  <si>
    <t>spriteset_mu_Coach_Gen5_Talgo_Pendular_L3</t>
  </si>
  <si>
    <t>spriteset_mu_Coach_Gen5_Talgo_Pendular_L2</t>
  </si>
  <si>
    <t>spriteset_mu_Coach_Gen5_Talgo_Pendular_L1</t>
  </si>
  <si>
    <t>spriteset_mu_Coach_Gen5_Talgo_Pendular_purchase</t>
  </si>
  <si>
    <t>switch_mu_Coach_Gen5_Modern_Regional_Coach_livery</t>
  </si>
  <si>
    <t>spriteset_mu_Coach_Gen5_Modern_Regional_Coach_L4</t>
  </si>
  <si>
    <t>spriteset_mu_Coach_Gen5_Modern_Regional_Coach_L3</t>
  </si>
  <si>
    <t>spriteset_mu_Coach_Gen5_Modern_Regional_Coach_L2</t>
  </si>
  <si>
    <t>spriteset_mu_Coach_Gen5_Modern_Regional_Coach_L1</t>
  </si>
  <si>
    <t>spriteset_mu_Coach_Gen5_Modern_Regional_Coach_purchase</t>
  </si>
  <si>
    <t>switch_mu_Coach_Gen5_Modern_Double_Decker_Coach_livery</t>
  </si>
  <si>
    <t>spriteset_mu_Coach_Gen5_Modern_Double_Decker_Coach_L4</t>
  </si>
  <si>
    <t>spriteset_mu_Coach_Gen5_Modern_Double_Decker_Coach_L3</t>
  </si>
  <si>
    <t>spriteset_mu_Coach_Gen5_Modern_Double_Decker_Coach_L2</t>
  </si>
  <si>
    <t>spriteset_mu_Coach_Gen5_Modern_Double_Decker_Coach_L1</t>
  </si>
  <si>
    <t>spriteset_mu_Coach_Gen5_Modern_Double_Decker_Coach_purchase</t>
  </si>
  <si>
    <t>switch_mu_Coach_Gen5_Modern_Commuter_Coach_livery</t>
  </si>
  <si>
    <t>spriteset_mu_Coach_Gen5_Modern_Commuter_Coach_L4</t>
  </si>
  <si>
    <t>spriteset_mu_Coach_Gen5_Modern_Commuter_Coach_L3</t>
  </si>
  <si>
    <t>spriteset_mu_Coach_Gen5_Modern_Commuter_Coach_L2</t>
  </si>
  <si>
    <t>spriteset_mu_Coach_Gen5_Modern_Commuter_Coach_L1</t>
  </si>
  <si>
    <t>spriteset_mu_Coach_Gen5_Modern_Commuter_Coach_purchase</t>
  </si>
  <si>
    <t>switch_mu_Coach_Gen5_High_Speed_Mail_Coach_livery</t>
  </si>
  <si>
    <t>spriteset_mu_Coach_Gen5_High_Speed_Mail_Coach_L4</t>
  </si>
  <si>
    <t>spriteset_mu_Coach_Gen5_High_Speed_Mail_Coach_L3</t>
  </si>
  <si>
    <t>spriteset_mu_Coach_Gen5_High_Speed_Mail_Coach_L2</t>
  </si>
  <si>
    <t>spriteset_mu_Coach_Gen5_High_Speed_Mail_Coach_L1</t>
  </si>
  <si>
    <t>spriteset_mu_Coach_Gen5_High_Speed_Mail_Coach_purchase</t>
  </si>
  <si>
    <t>switch_mu_Coach_Gen5_High_Speed_Double_Decker_IC2000_livery</t>
  </si>
  <si>
    <t>spriteset_mu_Coach_Gen5_High_Speed_Double_Decker_IC2000_L4</t>
  </si>
  <si>
    <t>spriteset_mu_Coach_Gen5_High_Speed_Double_Decker_IC2000_L3</t>
  </si>
  <si>
    <t>spriteset_mu_Coach_Gen5_High_Speed_Double_Decker_IC2000_L2</t>
  </si>
  <si>
    <t>spriteset_mu_Coach_Gen5_High_Speed_Double_Decker_IC2000_L1</t>
  </si>
  <si>
    <t>spriteset_mu_Coach_Gen5_High_Speed_Double_Decker_IC2000_purchase</t>
  </si>
  <si>
    <t>switch_mu_Coach_Gen5_High_Speed_Coach_livery</t>
  </si>
  <si>
    <t>spriteset_mu_Coach_Gen5_High_Speed_Coach_L4</t>
  </si>
  <si>
    <t>spriteset_mu_Coach_Gen5_High_Speed_Coach_L3</t>
  </si>
  <si>
    <t>spriteset_mu_Coach_Gen5_High_Speed_Coach_L2</t>
  </si>
  <si>
    <t>spriteset_mu_Coach_Gen5_High_Speed_Coach_L1</t>
  </si>
  <si>
    <t>spriteset_mu_Coach_Gen5_High_Speed_Coach_purchase</t>
  </si>
  <si>
    <t>switch_mu_Coach_Gen4_Superliner_Coach_livery</t>
  </si>
  <si>
    <t>spriteset_mu_Coach_Gen4_Superliner_Coach_L4</t>
  </si>
  <si>
    <t>spriteset_mu_Coach_Gen4_Superliner_Coach_L3</t>
  </si>
  <si>
    <t>spriteset_mu_Coach_Gen4_Superliner_Coach_L2</t>
  </si>
  <si>
    <t>spriteset_mu_Coach_Gen4_Superliner_Coach_L1</t>
  </si>
  <si>
    <t>spriteset_mu_Coach_Gen4_Superliner_Coach_purchase</t>
  </si>
  <si>
    <t>switch_mu_Coach_Gen4_Superliner_California_livery</t>
  </si>
  <si>
    <t>spriteset_mu_Coach_Gen4_Superliner_California_L4</t>
  </si>
  <si>
    <t>spriteset_mu_Coach_Gen4_Superliner_California_L3</t>
  </si>
  <si>
    <t>spriteset_mu_Coach_Gen4_Superliner_California_L2</t>
  </si>
  <si>
    <t>spriteset_mu_Coach_Gen4_Superliner_California_L1</t>
  </si>
  <si>
    <t>spriteset_mu_Coach_Gen4_Superliner_California_purchase</t>
  </si>
  <si>
    <t>switch_mu_Coach_Gen4_Silberling_Commuter_Coach_livery</t>
  </si>
  <si>
    <t>spriteset_mu_Coach_Gen4_Silberling_Commuter_Coach_L4</t>
  </si>
  <si>
    <t>spriteset_mu_Coach_Gen4_Silberling_Commuter_Coach_L3</t>
  </si>
  <si>
    <t>spriteset_mu_Coach_Gen4_Silberling_Commuter_Coach_L2</t>
  </si>
  <si>
    <t>spriteset_mu_Coach_Gen4_Silberling_Commuter_Coach_L1</t>
  </si>
  <si>
    <t>spriteset_mu_Coach_Gen4_Silberling_Commuter_Coach_purchase</t>
  </si>
  <si>
    <t>switch_mu_Coach_Gen4_Russian_Regional_Coach_livery</t>
  </si>
  <si>
    <t>spriteset_mu_Coach_Gen4_Russian_Regional_Coach_L4</t>
  </si>
  <si>
    <t>spriteset_mu_Coach_Gen4_Russian_Regional_Coach_L3</t>
  </si>
  <si>
    <t>spriteset_mu_Coach_Gen4_Russian_Regional_Coach_L2</t>
  </si>
  <si>
    <t>spriteset_mu_Coach_Gen4_Russian_Regional_Coach_L1</t>
  </si>
  <si>
    <t>spriteset_mu_Coach_Gen4_Russian_Regional_Coach_purchase</t>
  </si>
  <si>
    <t>switch_mu_Coach_Gen4_Russian_Mail_Coach_livery</t>
  </si>
  <si>
    <t>spriteset_mu_Coach_Gen4_Russian_Mail_Coach_L4</t>
  </si>
  <si>
    <t>spriteset_mu_Coach_Gen4_Russian_Mail_Coach_L3</t>
  </si>
  <si>
    <t>spriteset_mu_Coach_Gen4_Russian_Mail_Coach_L2</t>
  </si>
  <si>
    <t>spriteset_mu_Coach_Gen4_Russian_Mail_Coach_L1</t>
  </si>
  <si>
    <t>spriteset_mu_Coach_Gen4_Russian_Mail_Coach_purchase</t>
  </si>
  <si>
    <t>switch_mu_Coach_Gen4_Russian_Intercity_Coach_livery</t>
  </si>
  <si>
    <t>spriteset_mu_Coach_Gen4_Russian_Intercity_Coach_L4</t>
  </si>
  <si>
    <t>spriteset_mu_Coach_Gen4_Russian_Intercity_Coach_L3</t>
  </si>
  <si>
    <t>spriteset_mu_Coach_Gen4_Russian_Intercity_Coach_L2</t>
  </si>
  <si>
    <t>spriteset_mu_Coach_Gen4_Russian_Intercity_Coach_L1</t>
  </si>
  <si>
    <t>spriteset_mu_Coach_Gen4_Russian_Intercity_Coach_purchase</t>
  </si>
  <si>
    <t>switch_mu_Coach_Gen4_InterRegio_Coach_livery</t>
  </si>
  <si>
    <t>spriteset_mu_Coach_Gen4_InterRegio_Coach_L4</t>
  </si>
  <si>
    <t>spriteset_mu_Coach_Gen4_InterRegio_Coach_L3</t>
  </si>
  <si>
    <t>spriteset_mu_Coach_Gen4_InterRegio_Coach_L2</t>
  </si>
  <si>
    <t>spriteset_mu_Coach_Gen4_InterRegio_Coach_L1</t>
  </si>
  <si>
    <t>spriteset_mu_Coach_Gen4_InterRegio_Coach_purchase</t>
  </si>
  <si>
    <t>switch_mu_Coach_Gen4_Horizon_Regional_Coach_livery</t>
  </si>
  <si>
    <t>spriteset_mu_Coach_Gen4_Horizon_Regional_Coach_L4</t>
  </si>
  <si>
    <t>spriteset_mu_Coach_Gen4_Horizon_Regional_Coach_L3</t>
  </si>
  <si>
    <t>spriteset_mu_Coach_Gen4_Horizon_Regional_Coach_L2</t>
  </si>
  <si>
    <t>spriteset_mu_Coach_Gen4_Horizon_Regional_Coach_L1</t>
  </si>
  <si>
    <t>spriteset_mu_Coach_Gen4_Horizon_Regional_Coach_purchase</t>
  </si>
  <si>
    <t>switch_mu_Coach_Gen4_Horizon_Baggage_Coach_livery</t>
  </si>
  <si>
    <t>spriteset_mu_Coach_Gen4_Horizon_Baggage_Coach_L4</t>
  </si>
  <si>
    <t>spriteset_mu_Coach_Gen4_Horizon_Baggage_Coach_L3</t>
  </si>
  <si>
    <t>spriteset_mu_Coach_Gen4_Horizon_Baggage_Coach_L2</t>
  </si>
  <si>
    <t>spriteset_mu_Coach_Gen4_Horizon_Baggage_Coach_L1</t>
  </si>
  <si>
    <t>spriteset_mu_Coach_Gen4_Horizon_Baggage_Coach_purchase</t>
  </si>
  <si>
    <t>switch_mu_Coach_Gen4_Eurofima_Mail_Coach_livery</t>
  </si>
  <si>
    <t>spriteset_mu_Coach_Gen4_Eurofima_Mail_Coach_L4</t>
  </si>
  <si>
    <t>spriteset_mu_Coach_Gen4_Eurofima_Mail_Coach_L3</t>
  </si>
  <si>
    <t>spriteset_mu_Coach_Gen4_Eurofima_Mail_Coach_L2</t>
  </si>
  <si>
    <t>spriteset_mu_Coach_Gen4_Eurofima_Mail_Coach_L1</t>
  </si>
  <si>
    <t>spriteset_mu_Coach_Gen4_Eurofima_Mail_Coach_purchase</t>
  </si>
  <si>
    <t>switch_mu_Coach_Gen4_Eurofima_Intercity_Coach_livery</t>
  </si>
  <si>
    <t>spriteset_mu_Coach_Gen4_Eurofima_Intercity_Coach_L4</t>
  </si>
  <si>
    <t>spriteset_mu_Coach_Gen4_Eurofima_Intercity_Coach_L3</t>
  </si>
  <si>
    <t>spriteset_mu_Coach_Gen4_Eurofima_Intercity_Coach_L2</t>
  </si>
  <si>
    <t>spriteset_mu_Coach_Gen4_Eurofima_Intercity_Coach_L1</t>
  </si>
  <si>
    <t>spriteset_mu_Coach_Gen4_Eurofima_Intercity_Coach_purchase</t>
  </si>
  <si>
    <t>switch_mu_Coach_Gen4_Double_Decker_Coach_livery</t>
  </si>
  <si>
    <t>spriteset_mu_Coach_Gen4_Double_Decker_Coach_L4</t>
  </si>
  <si>
    <t>spriteset_mu_Coach_Gen4_Double_Decker_Coach_L3</t>
  </si>
  <si>
    <t>spriteset_mu_Coach_Gen4_Double_Decker_Coach_L2</t>
  </si>
  <si>
    <t>spriteset_mu_Coach_Gen4_Double_Decker_Coach_L1</t>
  </si>
  <si>
    <t>spriteset_mu_Coach_Gen4_Double_Decker_Coach_purchase</t>
  </si>
  <si>
    <t>switch_mu_Coach_Gen4_Comet_Commuter_Coach_livery</t>
  </si>
  <si>
    <t>spriteset_mu_Coach_Gen4_Comet_Commuter_Coach_L4</t>
  </si>
  <si>
    <t>spriteset_mu_Coach_Gen4_Comet_Commuter_Coach_L3</t>
  </si>
  <si>
    <t>spriteset_mu_Coach_Gen4_Comet_Commuter_Coach_L2</t>
  </si>
  <si>
    <t>spriteset_mu_Coach_Gen4_Comet_Commuter_Coach_L1</t>
  </si>
  <si>
    <t>spriteset_mu_Coach_Gen4_Comet_Commuter_Coach_purchase</t>
  </si>
  <si>
    <t>switch_mu_Coach_Gen4_Bombardier_Bi_level_livery</t>
  </si>
  <si>
    <t>spriteset_mu_Coach_Gen4_Bombardier_Bi_level_L4</t>
  </si>
  <si>
    <t>spriteset_mu_Coach_Gen4_Bombardier_Bi_level_L3</t>
  </si>
  <si>
    <t>spriteset_mu_Coach_Gen4_Bombardier_Bi_level_L2</t>
  </si>
  <si>
    <t>spriteset_mu_Coach_Gen4_Bombardier_Bi_level_L1</t>
  </si>
  <si>
    <t>spriteset_mu_Coach_Gen4_Bombardier_Bi_level_purchase</t>
  </si>
  <si>
    <t>switch_mu_Coach_Gen4_Amfleet_Regional_Coach_livery</t>
  </si>
  <si>
    <t>spriteset_mu_Coach_Gen4_Amfleet_Regional_Coach_L4</t>
  </si>
  <si>
    <t>spriteset_mu_Coach_Gen4_Amfleet_Regional_Coach_L3</t>
  </si>
  <si>
    <t>spriteset_mu_Coach_Gen4_Amfleet_Regional_Coach_L2</t>
  </si>
  <si>
    <t>spriteset_mu_Coach_Gen4_Amfleet_Regional_Coach_L1</t>
  </si>
  <si>
    <t>spriteset_mu_Coach_Gen4_Amfleet_Regional_Coach_purchase</t>
  </si>
  <si>
    <t>switch_mu_Coach_Gen4_Amfleet_Intercity_Coach_livery</t>
  </si>
  <si>
    <t>spriteset_mu_Coach_Gen4_Amfleet_Intercity_Coach_L4</t>
  </si>
  <si>
    <t>spriteset_mu_Coach_Gen4_Amfleet_Intercity_Coach_L3</t>
  </si>
  <si>
    <t>spriteset_mu_Coach_Gen4_Amfleet_Intercity_Coach_L2</t>
  </si>
  <si>
    <t>spriteset_mu_Coach_Gen4_Amfleet_Intercity_Coach_L1</t>
  </si>
  <si>
    <t>spriteset_mu_Coach_Gen4_Amfleet_Intercity_Coach_purchase</t>
  </si>
  <si>
    <t>switch_mu_Coach_Gen3_Umbauwagen_Local_Coach_livery</t>
  </si>
  <si>
    <t>spriteset_mu_Coach_Gen3_Umbauwagen_Local_Coach_L4</t>
  </si>
  <si>
    <t>spriteset_mu_Coach_Gen3_Umbauwagen_Local_Coach_L3</t>
  </si>
  <si>
    <t>spriteset_mu_Coach_Gen3_Umbauwagen_Local_Coach_L2</t>
  </si>
  <si>
    <t>spriteset_mu_Coach_Gen3_Umbauwagen_Local_Coach_L1</t>
  </si>
  <si>
    <t>spriteset_mu_Coach_Gen3_Umbauwagen_Local_Coach_purchase</t>
  </si>
  <si>
    <t>switch_mu_Coach_Gen3_UIC_X_Regional_Coach_livery</t>
  </si>
  <si>
    <t>spriteset_mu_Coach_Gen3_UIC_X_Regional_Coach_L4</t>
  </si>
  <si>
    <t>spriteset_mu_Coach_Gen3_UIC_X_Regional_Coach_L3</t>
  </si>
  <si>
    <t>spriteset_mu_Coach_Gen3_UIC_X_Regional_Coach_L2</t>
  </si>
  <si>
    <t>spriteset_mu_Coach_Gen3_UIC_X_Regional_Coach_L1</t>
  </si>
  <si>
    <t>spriteset_mu_Coach_Gen3_UIC_X_Regional_Coach_purchase</t>
  </si>
  <si>
    <t>switch_mu_Coach_Gen3_UIC_X_Mail_Coach_livery</t>
  </si>
  <si>
    <t>spriteset_mu_Coach_Gen3_UIC_X_Mail_Coach_L4</t>
  </si>
  <si>
    <t>spriteset_mu_Coach_Gen3_UIC_X_Mail_Coach_L3</t>
  </si>
  <si>
    <t>spriteset_mu_Coach_Gen3_UIC_X_Mail_Coach_L2</t>
  </si>
  <si>
    <t>spriteset_mu_Coach_Gen3_UIC_X_Mail_Coach_L1</t>
  </si>
  <si>
    <t>spriteset_mu_Coach_Gen3_UIC_X_Mail_Coach_purchase</t>
  </si>
  <si>
    <t>switch_mu_Coach_Gen3_UIC_X_Intercity_Coach_livery</t>
  </si>
  <si>
    <t>spriteset_mu_Coach_Gen3_UIC_X_Intercity_Coach_L4</t>
  </si>
  <si>
    <t>spriteset_mu_Coach_Gen3_UIC_X_Intercity_Coach_L3</t>
  </si>
  <si>
    <t>spriteset_mu_Coach_Gen3_UIC_X_Intercity_Coach_L2</t>
  </si>
  <si>
    <t>spriteset_mu_Coach_Gen3_UIC_X_Intercity_Coach_L1</t>
  </si>
  <si>
    <t>spriteset_mu_Coach_Gen3_UIC_X_Intercity_Coach_purchase</t>
  </si>
  <si>
    <t>switch_mu_Coach_Gen3_TEE_Intercity_Coach_livery</t>
  </si>
  <si>
    <t>spriteset_mu_Coach_Gen3_TEE_Intercity_Coach_L4</t>
  </si>
  <si>
    <t>spriteset_mu_Coach_Gen3_TEE_Intercity_Coach_L3</t>
  </si>
  <si>
    <t>spriteset_mu_Coach_Gen3_TEE_Intercity_Coach_L2</t>
  </si>
  <si>
    <t>spriteset_mu_Coach_Gen3_TEE_Intercity_Coach_L1</t>
  </si>
  <si>
    <t>spriteset_mu_Coach_Gen3_TEE_Intercity_Coach_purchase</t>
  </si>
  <si>
    <t>switch_mu_Coach_Gen3_Steel_Lightweight_Regional_Coach_livery</t>
  </si>
  <si>
    <t>spriteset_mu_Coach_Gen3_Steel_Lightweight_Regional_Coach_L4</t>
  </si>
  <si>
    <t>spriteset_mu_Coach_Gen3_Steel_Lightweight_Regional_Coach_L3</t>
  </si>
  <si>
    <t>spriteset_mu_Coach_Gen3_Steel_Lightweight_Regional_Coach_L2</t>
  </si>
  <si>
    <t>spriteset_mu_Coach_Gen3_Steel_Lightweight_Regional_Coach_L1</t>
  </si>
  <si>
    <t>spriteset_mu_Coach_Gen3_Steel_Lightweight_Regional_Coach_purchase</t>
  </si>
  <si>
    <t>switch_mu_Coach_Gen3_Steel_Lightweight_Mail_Coach_livery</t>
  </si>
  <si>
    <t>spriteset_mu_Coach_Gen3_Steel_Lightweight_Mail_Coach_L4</t>
  </si>
  <si>
    <t>spriteset_mu_Coach_Gen3_Steel_Lightweight_Mail_Coach_L3</t>
  </si>
  <si>
    <t>spriteset_mu_Coach_Gen3_Steel_Lightweight_Mail_Coach_L2</t>
  </si>
  <si>
    <t>spriteset_mu_Coach_Gen3_Steel_Lightweight_Mail_Coach_L1</t>
  </si>
  <si>
    <t>spriteset_mu_Coach_Gen3_Steel_Lightweight_Mail_Coach_purchase</t>
  </si>
  <si>
    <t>switch_mu_Coach_Gen3_Steel_Lightweight_Intercity_Coach_livery</t>
  </si>
  <si>
    <t>spriteset_mu_Coach_Gen3_Steel_Lightweight_Intercity_Coach_L4</t>
  </si>
  <si>
    <t>spriteset_mu_Coach_Gen3_Steel_Lightweight_Intercity_Coach_L3</t>
  </si>
  <si>
    <t>spriteset_mu_Coach_Gen3_Steel_Lightweight_Intercity_Coach_L2</t>
  </si>
  <si>
    <t>spriteset_mu_Coach_Gen3_Steel_Lightweight_Intercity_Coach_L1</t>
  </si>
  <si>
    <t>spriteset_mu_Coach_Gen3_Steel_Lightweight_Intercity_Coach_purchase</t>
  </si>
  <si>
    <t>switch_mu_Coach_Gen3_Mk1_Regional_Coach_livery</t>
  </si>
  <si>
    <t>spriteset_mu_Coach_Gen3_Mk1_Regional_Coach_L4</t>
  </si>
  <si>
    <t>spriteset_mu_Coach_Gen3_Mk1_Regional_Coach_L3</t>
  </si>
  <si>
    <t>spriteset_mu_Coach_Gen3_Mk1_Regional_Coach_L2</t>
  </si>
  <si>
    <t>spriteset_mu_Coach_Gen3_Mk1_Regional_Coach_L1</t>
  </si>
  <si>
    <t>spriteset_mu_Coach_Gen3_Mk1_Regional_Coach_purchase</t>
  </si>
  <si>
    <t>switch_mu_Coach_Gen3_Mk1_Mail_Coach_livery</t>
  </si>
  <si>
    <t>spriteset_mu_Coach_Gen3_Mk1_Mail_Coach_L4</t>
  </si>
  <si>
    <t>spriteset_mu_Coach_Gen3_Mk1_Mail_Coach_L3</t>
  </si>
  <si>
    <t>spriteset_mu_Coach_Gen3_Mk1_Mail_Coach_L2</t>
  </si>
  <si>
    <t>spriteset_mu_Coach_Gen3_Mk1_Mail_Coach_L1</t>
  </si>
  <si>
    <t>spriteset_mu_Coach_Gen3_Mk1_Mail_Coach_purchase</t>
  </si>
  <si>
    <t>switch_mu_Coach_Gen3_Mk1_Intercity_Coach_livery</t>
  </si>
  <si>
    <t>spriteset_mu_Coach_Gen3_Mk1_Intercity_Coach_L4</t>
  </si>
  <si>
    <t>spriteset_mu_Coach_Gen3_Mk1_Intercity_Coach_L3</t>
  </si>
  <si>
    <t>spriteset_mu_Coach_Gen3_Mk1_Intercity_Coach_L2</t>
  </si>
  <si>
    <t>spriteset_mu_Coach_Gen3_Mk1_Intercity_Coach_L1</t>
  </si>
  <si>
    <t>spriteset_mu_Coach_Gen3_Mk1_Intercity_Coach_purchase</t>
  </si>
  <si>
    <t>switch_mu_Coach_Gen3_Indian_Regional_Coach_livery</t>
  </si>
  <si>
    <t>spriteset_mu_Coach_Gen3_Indian_Regional_Coach_L4_S3</t>
  </si>
  <si>
    <t>spriteset_mu_Coach_Gen3_Indian_Regional_Coach_L4_S2</t>
  </si>
  <si>
    <t>spriteset_mu_Coach_Gen3_Indian_Regional_Coach_L4_S1</t>
  </si>
  <si>
    <t>spriteset_mu_Coach_Gen3_Indian_Regional_Coach_L3_S3</t>
  </si>
  <si>
    <t>spriteset_mu_Coach_Gen3_Indian_Regional_Coach_L3_S2</t>
  </si>
  <si>
    <t>spriteset_mu_Coach_Gen3_Indian_Regional_Coach_L3_S1</t>
  </si>
  <si>
    <t>spriteset_mu_Coach_Gen3_Indian_Regional_Coach_L2_S3</t>
  </si>
  <si>
    <t>spriteset_mu_Coach_Gen3_Indian_Regional_Coach_L2_S2</t>
  </si>
  <si>
    <t>spriteset_mu_Coach_Gen3_Indian_Regional_Coach_L2_S1</t>
  </si>
  <si>
    <t>spriteset_mu_Coach_Gen3_Indian_Regional_Coach_L1_S3</t>
  </si>
  <si>
    <t>spriteset_mu_Coach_Gen3_Indian_Regional_Coach_L1_S2</t>
  </si>
  <si>
    <t>spriteset_mu_Coach_Gen3_Indian_Regional_Coach_L1_S1</t>
  </si>
  <si>
    <t>spriteset_mu_Coach_Gen3_Indian_Regional_Coach_purchase</t>
  </si>
  <si>
    <t>switch_mu_Coach_Gen3_Indian_Mail_Coach_livery</t>
  </si>
  <si>
    <t>spriteset_mu_Coach_Gen3_Indian_Mail_Coach_L4</t>
  </si>
  <si>
    <t>spriteset_mu_Coach_Gen3_Indian_Mail_Coach_L3</t>
  </si>
  <si>
    <t>spriteset_mu_Coach_Gen3_Indian_Mail_Coach_L2</t>
  </si>
  <si>
    <t>spriteset_mu_Coach_Gen3_Indian_Mail_Coach_L1</t>
  </si>
  <si>
    <t>spriteset_mu_Coach_Gen3_Indian_Mail_Coach_purchase</t>
  </si>
  <si>
    <t>switch_mu_Coach_Gen3_Indian_Local_Coach_livery</t>
  </si>
  <si>
    <t>spriteset_mu_Coach_Gen3_Indian_Local_Coach_L4_S3</t>
  </si>
  <si>
    <t>spriteset_mu_Coach_Gen3_Indian_Local_Coach_L4_S2</t>
  </si>
  <si>
    <t>spriteset_mu_Coach_Gen3_Indian_Local_Coach_L4_S1</t>
  </si>
  <si>
    <t>spriteset_mu_Coach_Gen3_Indian_Local_Coach_L3_S3</t>
  </si>
  <si>
    <t>spriteset_mu_Coach_Gen3_Indian_Local_Coach_L3_S2</t>
  </si>
  <si>
    <t>spriteset_mu_Coach_Gen3_Indian_Local_Coach_L3_S1</t>
  </si>
  <si>
    <t>spriteset_mu_Coach_Gen3_Indian_Local_Coach_L2_S3</t>
  </si>
  <si>
    <t>spriteset_mu_Coach_Gen3_Indian_Local_Coach_L2_S2</t>
  </si>
  <si>
    <t>spriteset_mu_Coach_Gen3_Indian_Local_Coach_L2_S1</t>
  </si>
  <si>
    <t>spriteset_mu_Coach_Gen3_Indian_Local_Coach_L1_S3</t>
  </si>
  <si>
    <t>spriteset_mu_Coach_Gen3_Indian_Local_Coach_L1_S2</t>
  </si>
  <si>
    <t>spriteset_mu_Coach_Gen3_Indian_Local_Coach_L1_S1</t>
  </si>
  <si>
    <t>spriteset_mu_Coach_Gen3_Indian_Local_Coach_purchase</t>
  </si>
  <si>
    <t>switch_mu_Coach_Gen3_Indian_Intercity_Coach_livery</t>
  </si>
  <si>
    <t>spriteset_mu_Coach_Gen3_Indian_Intercity_Coach_L4</t>
  </si>
  <si>
    <t>spriteset_mu_Coach_Gen3_Indian_Intercity_Coach_L3</t>
  </si>
  <si>
    <t>spriteset_mu_Coach_Gen3_Indian_Intercity_Coach_L2</t>
  </si>
  <si>
    <t>spriteset_mu_Coach_Gen3_Indian_Intercity_Coach_L1</t>
  </si>
  <si>
    <t>spriteset_mu_Coach_Gen3_Indian_Intercity_Coach_purchase</t>
  </si>
  <si>
    <t>switch_mu_Coach_Gen3_Gallery_Car_livery</t>
  </si>
  <si>
    <t>spriteset_mu_Coach_Gen3_Gallery_Car_L4</t>
  </si>
  <si>
    <t>spriteset_mu_Coach_Gen3_Gallery_Car_L3</t>
  </si>
  <si>
    <t>spriteset_mu_Coach_Gen3_Gallery_Car_L2</t>
  </si>
  <si>
    <t>spriteset_mu_Coach_Gen3_Gallery_Car_L1</t>
  </si>
  <si>
    <t>spriteset_mu_Coach_Gen3_Gallery_Car_purchase</t>
  </si>
  <si>
    <t>switch_mu_Coach_Gen3_Doppelstockwagen_Local_Coach_livery</t>
  </si>
  <si>
    <t>spriteset_mu_Coach_Gen3_Doppelstockwagen_Local_Coach_L4</t>
  </si>
  <si>
    <t>spriteset_mu_Coach_Gen3_Doppelstockwagen_Local_Coach_L3</t>
  </si>
  <si>
    <t>spriteset_mu_Coach_Gen3_Doppelstockwagen_Local_Coach_L2</t>
  </si>
  <si>
    <t>spriteset_mu_Coach_Gen3_Doppelstockwagen_Local_Coach_L1</t>
  </si>
  <si>
    <t>spriteset_mu_Coach_Gen3_Doppelstockwagen_Local_Coach_purchase</t>
  </si>
  <si>
    <t>switch_mu_Coach_Gen3_Aluminium_Lightweight_Regional_Coach_livery</t>
  </si>
  <si>
    <t>spriteset_mu_Coach_Gen3_Aluminium_Lightweight_Regional_Coach_L4</t>
  </si>
  <si>
    <t>spriteset_mu_Coach_Gen3_Aluminium_Lightweight_Regional_Coach_L3</t>
  </si>
  <si>
    <t>spriteset_mu_Coach_Gen3_Aluminium_Lightweight_Regional_Coach_L2</t>
  </si>
  <si>
    <t>spriteset_mu_Coach_Gen3_Aluminium_Lightweight_Regional_Coach_L1</t>
  </si>
  <si>
    <t>spriteset_mu_Coach_Gen3_Aluminium_Lightweight_Regional_Coach_purchase</t>
  </si>
  <si>
    <t>switch_mu_Coach_Gen3_Aluminium_Lightweight_Mail_Coach_livery</t>
  </si>
  <si>
    <t>spriteset_mu_Coach_Gen3_Aluminium_Lightweight_Mail_Coach_L4</t>
  </si>
  <si>
    <t>spriteset_mu_Coach_Gen3_Aluminium_Lightweight_Mail_Coach_L3</t>
  </si>
  <si>
    <t>spriteset_mu_Coach_Gen3_Aluminium_Lightweight_Mail_Coach_L2</t>
  </si>
  <si>
    <t>spriteset_mu_Coach_Gen3_Aluminium_Lightweight_Mail_Coach_L1</t>
  </si>
  <si>
    <t>spriteset_mu_Coach_Gen3_Aluminium_Lightweight_Mail_Coach_purchase</t>
  </si>
  <si>
    <t>switch_mu_Coach_Gen3_Aluminium_Lightweight_Intercity_Coach_livery</t>
  </si>
  <si>
    <t>spriteset_mu_Coach_Gen3_Aluminium_Lightweight_Intercity_Coach_L4</t>
  </si>
  <si>
    <t>spriteset_mu_Coach_Gen3_Aluminium_Lightweight_Intercity_Coach_L3</t>
  </si>
  <si>
    <t>spriteset_mu_Coach_Gen3_Aluminium_Lightweight_Intercity_Coach_L2</t>
  </si>
  <si>
    <t>spriteset_mu_Coach_Gen3_Aluminium_Lightweight_Intercity_Coach_L1</t>
  </si>
  <si>
    <t>spriteset_mu_Coach_Gen3_Aluminium_Lightweight_Intercity_Coach_purchase</t>
  </si>
  <si>
    <t>switch_mu_Coach_Gen2_Steel_Regional_Coach_livery</t>
  </si>
  <si>
    <t>spriteset_mu_Coach_Gen2_Steel_Regional_Coach_L4</t>
  </si>
  <si>
    <t>spriteset_mu_Coach_Gen2_Steel_Regional_Coach_L3</t>
  </si>
  <si>
    <t>spriteset_mu_Coach_Gen2_Steel_Regional_Coach_L2</t>
  </si>
  <si>
    <t>spriteset_mu_Coach_Gen2_Steel_Regional_Coach_L1</t>
  </si>
  <si>
    <t>spriteset_mu_Coach_Gen2_Steel_Regional_Coach_purchase</t>
  </si>
  <si>
    <t>switch_mu_Coach_Gen2_Steel_Mail_Coach_livery</t>
  </si>
  <si>
    <t>spriteset_mu_Coach_Gen2_Steel_Mail_Coach_L4</t>
  </si>
  <si>
    <t>spriteset_mu_Coach_Gen2_Steel_Mail_Coach_L3</t>
  </si>
  <si>
    <t>spriteset_mu_Coach_Gen2_Steel_Mail_Coach_L2</t>
  </si>
  <si>
    <t>spriteset_mu_Coach_Gen2_Steel_Mail_Coach_L1</t>
  </si>
  <si>
    <t>spriteset_mu_Coach_Gen2_Steel_Mail_Coach_purchase</t>
  </si>
  <si>
    <t>switch_mu_Coach_Gen2_Steel_Intercity_Coach_livery</t>
  </si>
  <si>
    <t>spriteset_mu_Coach_Gen2_Steel_Intercity_Coach_L4</t>
  </si>
  <si>
    <t>spriteset_mu_Coach_Gen2_Steel_Intercity_Coach_L3</t>
  </si>
  <si>
    <t>spriteset_mu_Coach_Gen2_Steel_Intercity_Coach_L2</t>
  </si>
  <si>
    <t>spriteset_mu_Coach_Gen2_Steel_Intercity_Coach_L1</t>
  </si>
  <si>
    <t>spriteset_mu_Coach_Gen2_Steel_Intercity_Coach_purchase</t>
  </si>
  <si>
    <t>switch_mu_Coach_Gen2_Steel_Compartment_Coach_livery</t>
  </si>
  <si>
    <t>spriteset_mu_Coach_Gen2_Steel_Compartment_Coach_L4</t>
  </si>
  <si>
    <t>spriteset_mu_Coach_Gen2_Steel_Compartment_Coach_L3</t>
  </si>
  <si>
    <t>spriteset_mu_Coach_Gen2_Steel_Compartment_Coach_L2</t>
  </si>
  <si>
    <t>spriteset_mu_Coach_Gen2_Steel_Compartment_Coach_L1</t>
  </si>
  <si>
    <t>spriteset_mu_Coach_Gen2_Steel_Compartment_Coach_purchase</t>
  </si>
  <si>
    <t>switch_mu_Coach_Gen2_Steel_3_axle_Regional_Coach_livery</t>
  </si>
  <si>
    <t>spriteset_mu_Coach_Gen2_Steel_3_axle_Regional_Coach_L4</t>
  </si>
  <si>
    <t>spriteset_mu_Coach_Gen2_Steel_3_axle_Regional_Coach_L3</t>
  </si>
  <si>
    <t>spriteset_mu_Coach_Gen2_Steel_3_axle_Regional_Coach_L2</t>
  </si>
  <si>
    <t>spriteset_mu_Coach_Gen2_Steel_3_axle_Regional_Coach_L1</t>
  </si>
  <si>
    <t>spriteset_mu_Coach_Gen2_Steel_3_axle_Regional_Coach_purchase</t>
  </si>
  <si>
    <t>switch_mu_Coach_Gen2_Steel_3_axle_Mail_Coach_livery</t>
  </si>
  <si>
    <t>spriteset_mu_Coach_Gen2_Steel_3_axle_Mail_Coach_L4</t>
  </si>
  <si>
    <t>spriteset_mu_Coach_Gen2_Steel_3_axle_Mail_Coach_L3</t>
  </si>
  <si>
    <t>spriteset_mu_Coach_Gen2_Steel_3_axle_Mail_Coach_L2</t>
  </si>
  <si>
    <t>spriteset_mu_Coach_Gen2_Steel_3_axle_Mail_Coach_L1</t>
  </si>
  <si>
    <t>spriteset_mu_Coach_Gen2_Steel_3_axle_Mail_Coach_purchase</t>
  </si>
  <si>
    <t>switch_mu_Coach_Gen2_Steel_3_axle_Compartment_Coach_livery</t>
  </si>
  <si>
    <t>spriteset_mu_Coach_Gen2_Steel_3_axle_Compartment_Coach_L4</t>
  </si>
  <si>
    <t>spriteset_mu_Coach_Gen2_Steel_3_axle_Compartment_Coach_L3</t>
  </si>
  <si>
    <t>spriteset_mu_Coach_Gen2_Steel_3_axle_Compartment_Coach_L2</t>
  </si>
  <si>
    <t>spriteset_mu_Coach_Gen2_Steel_3_axle_Compartment_Coach_L1</t>
  </si>
  <si>
    <t>spriteset_mu_Coach_Gen2_Steel_3_axle_Compartment_Coach_purchase</t>
  </si>
  <si>
    <t>switch_mu_Coach_Gen2_Steel_2_axle_Regional_Coach_livery</t>
  </si>
  <si>
    <t>spriteset_mu_Coach_Gen2_Steel_2_axle_Regional_Coach_L4</t>
  </si>
  <si>
    <t>spriteset_mu_Coach_Gen2_Steel_2_axle_Regional_Coach_L3</t>
  </si>
  <si>
    <t>spriteset_mu_Coach_Gen2_Steel_2_axle_Regional_Coach_L2</t>
  </si>
  <si>
    <t>spriteset_mu_Coach_Gen2_Steel_2_axle_Regional_Coach_L1</t>
  </si>
  <si>
    <t>spriteset_mu_Coach_Gen2_Steel_2_axle_Regional_Coach_purchase</t>
  </si>
  <si>
    <t>switch_mu_Coach_Gen2_Steel_2_axle_Mail_Coach_livery</t>
  </si>
  <si>
    <t>spriteset_mu_Coach_Gen2_Steel_2_axle_Mail_Coach_L4</t>
  </si>
  <si>
    <t>spriteset_mu_Coach_Gen2_Steel_2_axle_Mail_Coach_L3</t>
  </si>
  <si>
    <t>spriteset_mu_Coach_Gen2_Steel_2_axle_Mail_Coach_L2</t>
  </si>
  <si>
    <t>spriteset_mu_Coach_Gen2_Steel_2_axle_Mail_Coach_L1</t>
  </si>
  <si>
    <t>spriteset_mu_Coach_Gen2_Steel_2_axle_Mail_Coach_purchase</t>
  </si>
  <si>
    <t>switch_mu_Coach_Gen2_Steel_2_axle_Compartment_Coach_livery</t>
  </si>
  <si>
    <t>spriteset_mu_Coach_Gen2_Steel_2_axle_Compartment_Coach_L4</t>
  </si>
  <si>
    <t>spriteset_mu_Coach_Gen2_Steel_2_axle_Compartment_Coach_L3</t>
  </si>
  <si>
    <t>spriteset_mu_Coach_Gen2_Steel_2_axle_Compartment_Coach_L2</t>
  </si>
  <si>
    <t>spriteset_mu_Coach_Gen2_Steel_2_axle_Compartment_Coach_L1</t>
  </si>
  <si>
    <t>spriteset_mu_Coach_Gen2_Steel_2_axle_Compartment_Coach_purchase</t>
  </si>
  <si>
    <t>switch_mu_Coach_Gen2_Heavyweight_Mail_Coach_livery</t>
  </si>
  <si>
    <t>spriteset_mu_Coach_Gen2_Heavyweight_Mail_Coach_L4</t>
  </si>
  <si>
    <t>spriteset_mu_Coach_Gen2_Heavyweight_Mail_Coach_L3</t>
  </si>
  <si>
    <t>spriteset_mu_Coach_Gen2_Heavyweight_Mail_Coach_L2</t>
  </si>
  <si>
    <t>spriteset_mu_Coach_Gen2_Heavyweight_Mail_Coach_L1</t>
  </si>
  <si>
    <t>spriteset_mu_Coach_Gen2_Heavyweight_Mail_Coach_purchase</t>
  </si>
  <si>
    <t>switch_mu_Coach_Gen2_Heavyweight_Intercity_Coach_livery</t>
  </si>
  <si>
    <t>spriteset_mu_Coach_Gen2_Heavyweight_Intercity_Coach_L4</t>
  </si>
  <si>
    <t>spriteset_mu_Coach_Gen2_Heavyweight_Intercity_Coach_L3</t>
  </si>
  <si>
    <t>spriteset_mu_Coach_Gen2_Heavyweight_Intercity_Coach_L2</t>
  </si>
  <si>
    <t>spriteset_mu_Coach_Gen2_Heavyweight_Intercity_Coach_L1</t>
  </si>
  <si>
    <t>spriteset_mu_Coach_Gen2_Heavyweight_Intercity_Coach_purchase</t>
  </si>
  <si>
    <t>switch_mu_Coach_Gen1_Wooden_3_axle_Regional_Coach_livery</t>
  </si>
  <si>
    <t>spriteset_mu_Coach_Gen1_Wooden_3_axle_Regional_Coach_L4</t>
  </si>
  <si>
    <t>spriteset_mu_Coach_Gen1_Wooden_3_axle_Regional_Coach_L3</t>
  </si>
  <si>
    <t>spriteset_mu_Coach_Gen1_Wooden_3_axle_Regional_Coach_L2</t>
  </si>
  <si>
    <t>spriteset_mu_Coach_Gen1_Wooden_3_axle_Regional_Coach_L1</t>
  </si>
  <si>
    <t>spriteset_mu_Coach_Gen1_Wooden_3_axle_Regional_Coach_purchase</t>
  </si>
  <si>
    <t>switch_mu_Coach_Gen1_Wooden_3_axle_Mail_Coach_livery</t>
  </si>
  <si>
    <t>spriteset_mu_Coach_Gen1_Wooden_3_axle_Mail_Coach_L4</t>
  </si>
  <si>
    <t>spriteset_mu_Coach_Gen1_Wooden_3_axle_Mail_Coach_L3</t>
  </si>
  <si>
    <t>spriteset_mu_Coach_Gen1_Wooden_3_axle_Mail_Coach_L2</t>
  </si>
  <si>
    <t>spriteset_mu_Coach_Gen1_Wooden_3_axle_Mail_Coach_L1</t>
  </si>
  <si>
    <t>spriteset_mu_Coach_Gen1_Wooden_3_axle_Mail_Coach_purchase</t>
  </si>
  <si>
    <t>switch_mu_Coach_Gen1_Wooden_3_axle_Compartment_Coach_livery</t>
  </si>
  <si>
    <t>spriteset_mu_Coach_Gen1_Wooden_3_axle_Compartment_Coach_L4</t>
  </si>
  <si>
    <t>spriteset_mu_Coach_Gen1_Wooden_3_axle_Compartment_Coach_L3</t>
  </si>
  <si>
    <t>spriteset_mu_Coach_Gen1_Wooden_3_axle_Compartment_Coach_L2</t>
  </si>
  <si>
    <t>spriteset_mu_Coach_Gen1_Wooden_3_axle_Compartment_Coach_L1</t>
  </si>
  <si>
    <t>spriteset_mu_Coach_Gen1_Wooden_3_axle_Compartment_Coach_purchase</t>
  </si>
  <si>
    <t>switch_mu_Coach_Gen1_Wooden_2_axle_Regional_Coach_livery</t>
  </si>
  <si>
    <t>spriteset_mu_Coach_Gen1_Wooden_2_axle_Regional_Coach_L4</t>
  </si>
  <si>
    <t>spriteset_mu_Coach_Gen1_Wooden_2_axle_Regional_Coach_L3</t>
  </si>
  <si>
    <t>spriteset_mu_Coach_Gen1_Wooden_2_axle_Regional_Coach_L2</t>
  </si>
  <si>
    <t>spriteset_mu_Coach_Gen1_Wooden_2_axle_Regional_Coach_L1</t>
  </si>
  <si>
    <t>spriteset_mu_Coach_Gen1_Wooden_2_axle_Regional_Coach_purchase</t>
  </si>
  <si>
    <t>switch_mu_Coach_Gen1_Wooden_2_axle_Mail_Coach_livery</t>
  </si>
  <si>
    <t>spriteset_mu_Coach_Gen1_Wooden_2_axle_Mail_Coach_L4</t>
  </si>
  <si>
    <t>spriteset_mu_Coach_Gen1_Wooden_2_axle_Mail_Coach_L3</t>
  </si>
  <si>
    <t>spriteset_mu_Coach_Gen1_Wooden_2_axle_Mail_Coach_L2</t>
  </si>
  <si>
    <t>spriteset_mu_Coach_Gen1_Wooden_2_axle_Mail_Coach_L1</t>
  </si>
  <si>
    <t>spriteset_mu_Coach_Gen1_Wooden_2_axle_Mail_Coach_purchase</t>
  </si>
  <si>
    <t>switch_mu_Coach_Gen1_Wooden_2_axle_Compartment_Coach_livery</t>
  </si>
  <si>
    <t>spriteset_mu_Coach_Gen1_Wooden_2_axle_Compartment_Coach_L4</t>
  </si>
  <si>
    <t>spriteset_mu_Coach_Gen1_Wooden_2_axle_Compartment_Coach_L3</t>
  </si>
  <si>
    <t>spriteset_mu_Coach_Gen1_Wooden_2_axle_Compartment_Coach_L2</t>
  </si>
  <si>
    <t>spriteset_mu_Coach_Gen1_Wooden_2_axle_Compartment_Coach_L1</t>
  </si>
  <si>
    <t>spriteset_mu_Coach_Gen1_Wooden_2_axle_Compartment_Coach_purchase</t>
  </si>
  <si>
    <t>switch_mu_Coach_Gen1_Clerestory_Regional_Coach_livery</t>
  </si>
  <si>
    <t>spriteset_mu_Coach_Gen1_Clerestory_Regional_Coach_L4</t>
  </si>
  <si>
    <t>spriteset_mu_Coach_Gen1_Clerestory_Regional_Coach_L3</t>
  </si>
  <si>
    <t>spriteset_mu_Coach_Gen1_Clerestory_Regional_Coach_L2</t>
  </si>
  <si>
    <t>spriteset_mu_Coach_Gen1_Clerestory_Regional_Coach_L1</t>
  </si>
  <si>
    <t>spriteset_mu_Coach_Gen1_Clerestory_Regional_Coach_purchase</t>
  </si>
  <si>
    <t>switch_mu_Coach_Gen1_Clerestory_Mail_Coach_livery</t>
  </si>
  <si>
    <t>spriteset_mu_Coach_Gen1_Clerestory_Mail_Coach_L4</t>
  </si>
  <si>
    <t>spriteset_mu_Coach_Gen1_Clerestory_Mail_Coach_L3</t>
  </si>
  <si>
    <t>spriteset_mu_Coach_Gen1_Clerestory_Mail_Coach_L2</t>
  </si>
  <si>
    <t>spriteset_mu_Coach_Gen1_Clerestory_Mail_Coach_L1</t>
  </si>
  <si>
    <t>spriteset_mu_Coach_Gen1_Clerestory_Mail_Coach_purchase</t>
  </si>
  <si>
    <t>switch_mu_Coach_Gen1_Clerestory_Compartment_Coach_livery</t>
  </si>
  <si>
    <t>spriteset_mu_Coach_Gen1_Clerestory_Compartment_Coach_L4</t>
  </si>
  <si>
    <t>spriteset_mu_Coach_Gen1_Clerestory_Compartment_Coach_L3</t>
  </si>
  <si>
    <t>spriteset_mu_Coach_Gen1_Clerestory_Compartment_Coach_L2</t>
  </si>
  <si>
    <t>spriteset_mu_Coach_Gen1_Clerestory_Compartment_Coach_L1</t>
  </si>
  <si>
    <t>spriteset_mu_Coach_Gen1_Clerestory_Compartment_Coach_purchase</t>
  </si>
  <si>
    <t>switch_cargodmu_Germany_DB_691_CargoSprinter_visual_effect_and_powered</t>
  </si>
  <si>
    <t>switch_cargodmu_Germany_DB_691_CargoSprinter_reversed</t>
  </si>
  <si>
    <t>switch_cargodmu_Germany_DB_691_CargoSprinter_middle_livery</t>
  </si>
  <si>
    <t>switch_cargodmu_Germany_DB_691_CargoSprinter_back_livery</t>
  </si>
  <si>
    <t>switch_cargodmu_Germany_DB_691_CargoSprinter_front_livery</t>
  </si>
  <si>
    <t>spriteset_cargodmu_Germany_DB_691_CargoSprinter_middle_L2_S3</t>
  </si>
  <si>
    <t>spriteset_cargodmu_Germany_DB_691_CargoSprinter_middle_L2_S2</t>
  </si>
  <si>
    <t>spriteset_cargodmu_Germany_DB_691_CargoSprinter_middle_L2_S1</t>
  </si>
  <si>
    <t>spriteset_cargodmu_Germany_DB_691_CargoSprinter_middle_L1_S3</t>
  </si>
  <si>
    <t>spriteset_cargodmu_Germany_DB_691_CargoSprinter_middle_L1_S2</t>
  </si>
  <si>
    <t>spriteset_cargodmu_Germany_DB_691_CargoSprinter_middle_L1_S1</t>
  </si>
  <si>
    <t>spriteset_cargodmu_Germany_DB_691_CargoSprinter_back_L2_S3</t>
  </si>
  <si>
    <t>spriteset_cargodmu_Germany_DB_691_CargoSprinter_back_L2_S2</t>
  </si>
  <si>
    <t>spriteset_cargodmu_Germany_DB_691_CargoSprinter_back_L2_S1</t>
  </si>
  <si>
    <t>spriteset_cargodmu_Germany_DB_691_CargoSprinter_back_L1_S3</t>
  </si>
  <si>
    <t>spriteset_cargodmu_Germany_DB_691_CargoSprinter_back_L1_S2</t>
  </si>
  <si>
    <t>spriteset_cargodmu_Germany_DB_691_CargoSprinter_back_L1_S1</t>
  </si>
  <si>
    <t>spriteset_cargodmu_Germany_DB_691_CargoSprinter_front_L2_S3</t>
  </si>
  <si>
    <t>spriteset_cargodmu_Germany_DB_691_CargoSprinter_front_L2_S2</t>
  </si>
  <si>
    <t>spriteset_cargodmu_Germany_DB_691_CargoSprinter_front_L2_S1</t>
  </si>
  <si>
    <t>spriteset_cargodmu_Germany_DB_691_CargoSprinter_front_L1_S3</t>
  </si>
  <si>
    <t>spriteset_cargodmu_Germany_DB_691_CargoSprinter_front_L1_S2</t>
  </si>
  <si>
    <t>spriteset_cargodmu_Germany_DB_691_CargoSprinter_front_L1_S1</t>
  </si>
  <si>
    <t>spriteset_cargodmu_Germany_DB_691_CargoSprinter_purchase</t>
  </si>
  <si>
    <t>ID</t>
  </si>
  <si>
    <t>Type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</si>
  <si>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</si>
  <si>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</si>
  <si>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</si>
  <si>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</si>
  <si>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</si>
  <si>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</si>
  <si>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</si>
  <si>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</si>
  <si>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switch_rbs_Australia_Victorian_Railways_Motor_Car_3_animation</t>
  </si>
  <si>
    <t>switch_rbs_Australia_Victorian_Railways_Rowan_Railmotor_animation</t>
  </si>
  <si>
    <t>ENGLISH_ITEMS</t>
  </si>
  <si>
    <t>English_Name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</si>
  <si>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</si>
  <si>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</si>
  <si>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</si>
  <si>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</si>
  <si>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</si>
  <si>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</si>
  <si>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</si>
  <si>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</si>
  <si>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</si>
  <si>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</si>
  <si>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</si>
  <si>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</si>
  <si>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OBB 5042</t>
  </si>
  <si>
    <t>NZR RM31</t>
  </si>
  <si>
    <t>CP 0100</t>
  </si>
  <si>
    <t>Amtrak Budd RDC</t>
  </si>
  <si>
    <t>DB VT 98.9 / DB 798 'Uerdingen railbus'</t>
  </si>
  <si>
    <t>OHE 520 GDT</t>
  </si>
  <si>
    <t>NS 20 'Kameel'</t>
  </si>
  <si>
    <t>NS DH1</t>
  </si>
  <si>
    <t>OBB 5047</t>
  </si>
  <si>
    <t>BR 153 'Super Sprinter'</t>
  </si>
  <si>
    <t>CD 809</t>
  </si>
  <si>
    <t>DB 670</t>
  </si>
  <si>
    <t>Lithuanian Railways AR2</t>
  </si>
  <si>
    <t>KkStB 19</t>
  </si>
  <si>
    <t>Virginia &amp; Truckee Motor Car 22</t>
  </si>
  <si>
    <t>Saxon DET 1-2</t>
  </si>
  <si>
    <t>WC&amp;PR Drewry Railcar</t>
  </si>
  <si>
    <t>BSt 6001</t>
  </si>
  <si>
    <t>Victorian Railways DERM</t>
  </si>
  <si>
    <t>CD M120</t>
  </si>
  <si>
    <t>Schienenzeppelin</t>
  </si>
  <si>
    <t>DSB MO</t>
  </si>
  <si>
    <t>NSB Cmb 17</t>
  </si>
  <si>
    <t>CD M290</t>
  </si>
  <si>
    <t>NS omBC 2900</t>
  </si>
  <si>
    <t>NSWGR 400</t>
  </si>
  <si>
    <t>CP USD 9050</t>
  </si>
  <si>
    <t>NMBS/SNCB 42</t>
  </si>
  <si>
    <t>BDZ 19</t>
  </si>
  <si>
    <t>OSE AA.71</t>
  </si>
  <si>
    <t>SNCFT Z431</t>
  </si>
  <si>
    <t>Amtrak SPV-200</t>
  </si>
  <si>
    <t>VR Dm12</t>
  </si>
  <si>
    <t>CD 840</t>
  </si>
  <si>
    <t>FS ALn 668</t>
  </si>
  <si>
    <t>CD M400</t>
  </si>
  <si>
    <t>SNCF Z 7100</t>
  </si>
  <si>
    <t>Buckower Kleinbahn Nr. 1-3</t>
  </si>
  <si>
    <t>DB 479.2</t>
  </si>
  <si>
    <t>ZSSK 49.0</t>
  </si>
  <si>
    <t>FS ALe 840</t>
  </si>
  <si>
    <t>FG ALe 80</t>
  </si>
  <si>
    <t>FS E.623</t>
  </si>
  <si>
    <t>ONCFM ZAB1000</t>
  </si>
  <si>
    <t>PKP EN81</t>
  </si>
  <si>
    <t>OBB 4855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</si>
  <si>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</si>
  <si>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</si>
  <si>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</si>
  <si>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</si>
  <si>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</si>
  <si>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</si>
  <si>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</si>
  <si>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</si>
  <si>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</si>
  <si>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</si>
  <si>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MAV 377</t>
  </si>
  <si>
    <t>KkStB 99</t>
  </si>
  <si>
    <t>Caledonian Railway 439</t>
  </si>
  <si>
    <t>SBB A 3/5</t>
  </si>
  <si>
    <t>SBB E 3/3</t>
  </si>
  <si>
    <t>KkStB 299</t>
  </si>
  <si>
    <t>NZR X</t>
  </si>
  <si>
    <t>HZ 51</t>
  </si>
  <si>
    <t>FS 880</t>
  </si>
  <si>
    <t>FCNEA 11B 2-8-0</t>
  </si>
  <si>
    <t>SNCF 140C</t>
  </si>
  <si>
    <t>SNCF 141TA</t>
  </si>
  <si>
    <t>GWR 4900</t>
  </si>
  <si>
    <t>GWR 5700</t>
  </si>
  <si>
    <t>NS 6300</t>
  </si>
  <si>
    <t>AT&amp;SF 5000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</si>
  <si>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</si>
  <si>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</si>
  <si>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</si>
  <si>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</si>
  <si>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</si>
  <si>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</si>
  <si>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</si>
  <si>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</si>
  <si>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SAR 25</t>
  </si>
  <si>
    <t>RZD P36</t>
  </si>
  <si>
    <t>SNCF 150B</t>
  </si>
  <si>
    <t>FS 895</t>
  </si>
  <si>
    <t>PKP OKz32</t>
  </si>
  <si>
    <t>SBB C 5/6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</si>
  <si>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</si>
  <si>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</si>
  <si>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</si>
  <si>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</si>
  <si>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</si>
  <si>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</si>
  <si>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</si>
  <si>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</si>
  <si>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</si>
  <si>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</si>
  <si>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</si>
  <si>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DB 99.51-60 'Saxon IV K'</t>
  </si>
  <si>
    <t>K.P.St.E. S 3</t>
  </si>
  <si>
    <t>NSB XXI</t>
  </si>
  <si>
    <t>PRR D16</t>
  </si>
  <si>
    <t>NS 8100</t>
  </si>
  <si>
    <t>SAR MD</t>
  </si>
  <si>
    <t>South West African 2-8-0</t>
  </si>
  <si>
    <t>LNER N7</t>
  </si>
  <si>
    <t>DB 19.0 'Saxon XX HV'</t>
  </si>
  <si>
    <t>NMBS Type 7</t>
  </si>
  <si>
    <t>DSER 15</t>
  </si>
  <si>
    <t>Sierra Railroad 28</t>
  </si>
  <si>
    <t>CN U-1</t>
  </si>
  <si>
    <t>Indian Railways XB</t>
  </si>
  <si>
    <t>Iraqi State Railways PC</t>
  </si>
  <si>
    <t>ENR 1100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</si>
  <si>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</si>
  <si>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</si>
  <si>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</si>
  <si>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</si>
  <si>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</si>
  <si>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</si>
  <si>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</si>
  <si>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</si>
  <si>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</si>
  <si>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</si>
  <si>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Harbour Board EL 0-4-0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</si>
  <si>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</si>
  <si>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</si>
  <si>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</si>
  <si>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</si>
  <si>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</si>
  <si>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</si>
  <si>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</si>
  <si>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</si>
  <si>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</si>
  <si>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China Railways H</t>
  </si>
  <si>
    <t>RZD U</t>
  </si>
  <si>
    <t>RZD E</t>
  </si>
  <si>
    <t>Israel Railways H</t>
  </si>
  <si>
    <t>FS 480</t>
  </si>
  <si>
    <t>FS 691</t>
  </si>
  <si>
    <t>SEK Lb</t>
  </si>
  <si>
    <t>HSH 01</t>
  </si>
  <si>
    <t>RENFE 242F</t>
  </si>
  <si>
    <t>CD 534.1</t>
  </si>
  <si>
    <t>PKP Ok22</t>
  </si>
  <si>
    <t>HZ 11</t>
  </si>
  <si>
    <t>MAV 242</t>
  </si>
  <si>
    <t>CD 459.0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</si>
  <si>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</si>
  <si>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</si>
  <si>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</si>
  <si>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</si>
  <si>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</si>
  <si>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</si>
  <si>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</si>
  <si>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</si>
  <si>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FCAB 4-8-2</t>
  </si>
  <si>
    <t>China Railways QJ</t>
  </si>
  <si>
    <t>DB Kof II / DB 322</t>
  </si>
  <si>
    <t>CNJ ALCo-GE-IR Boxcab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</si>
  <si>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</si>
  <si>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</si>
  <si>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</si>
  <si>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</si>
  <si>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</si>
  <si>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</si>
  <si>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</si>
  <si>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</si>
  <si>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</si>
  <si>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</si>
  <si>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</si>
  <si>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CPR 'Trainmaster'</t>
  </si>
  <si>
    <t>Liberia Railways 08</t>
  </si>
  <si>
    <t>OBB 2060</t>
  </si>
  <si>
    <t>CNR SW1200</t>
  </si>
  <si>
    <t>VIA Rail FP9</t>
  </si>
  <si>
    <t>MAV M44</t>
  </si>
  <si>
    <t>MAV M28</t>
  </si>
  <si>
    <t>NMBS/SNCB 83</t>
  </si>
  <si>
    <t>DB V200.0 / DB 220</t>
  </si>
  <si>
    <t>Amtrak FL9</t>
  </si>
  <si>
    <t>CD 720 ChME2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</si>
  <si>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</si>
  <si>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</si>
  <si>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</si>
  <si>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</si>
  <si>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</si>
  <si>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</si>
  <si>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</si>
  <si>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</si>
  <si>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</si>
  <si>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</si>
  <si>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MF GM-EMD-J16CW-AC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</si>
  <si>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</si>
  <si>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</si>
  <si>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</si>
  <si>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</si>
  <si>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</si>
  <si>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</si>
  <si>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</si>
  <si>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</si>
  <si>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</si>
  <si>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</si>
  <si>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</si>
  <si>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</si>
  <si>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</si>
  <si>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</si>
  <si>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</si>
  <si>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</si>
  <si>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TCDD DH7000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</si>
  <si>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</si>
  <si>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</si>
  <si>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</si>
  <si>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</si>
  <si>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</si>
  <si>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</si>
  <si>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</si>
  <si>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</si>
  <si>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</si>
  <si>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</si>
  <si>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</si>
  <si>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</si>
  <si>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</si>
  <si>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</si>
  <si>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</si>
  <si>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</si>
  <si>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</si>
  <si>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</si>
  <si>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</si>
  <si>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CIE 113</t>
  </si>
  <si>
    <t>EFC 3300 Baldwin AS-616</t>
  </si>
  <si>
    <t>CHP 500 FM H-16-44</t>
  </si>
  <si>
    <t>South Australian Railways 900</t>
  </si>
  <si>
    <t>Sri Lanka Railways M2</t>
  </si>
  <si>
    <t>CIE 001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</si>
  <si>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</si>
  <si>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</si>
  <si>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</si>
  <si>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</si>
  <si>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</si>
  <si>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</si>
  <si>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</si>
  <si>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</si>
  <si>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</si>
  <si>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</si>
  <si>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</si>
  <si>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IE 201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</si>
  <si>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</si>
  <si>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</si>
  <si>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</si>
  <si>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</si>
  <si>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</si>
  <si>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</si>
  <si>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</si>
  <si>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</si>
  <si>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</si>
  <si>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</si>
  <si>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</si>
  <si>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</si>
  <si>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</si>
  <si>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SOFSE CNR CKD8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</si>
  <si>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</si>
  <si>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</si>
  <si>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</si>
  <si>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</si>
  <si>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</si>
  <si>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</si>
  <si>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</si>
  <si>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</si>
  <si>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</si>
  <si>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</si>
  <si>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</si>
  <si>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</si>
  <si>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</si>
  <si>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</si>
  <si>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</si>
  <si>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</si>
  <si>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</si>
  <si>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</si>
  <si>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SAR Afro 4000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</si>
  <si>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</si>
  <si>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</si>
  <si>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</si>
  <si>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</si>
  <si>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</si>
  <si>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</si>
  <si>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</si>
  <si>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</si>
  <si>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</si>
  <si>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</si>
  <si>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</si>
  <si>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Budapest Ev3-200</t>
  </si>
  <si>
    <t>Oslo T1000</t>
  </si>
  <si>
    <t>Toronto H-series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</si>
  <si>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</si>
  <si>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</si>
  <si>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</si>
  <si>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</si>
  <si>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</si>
  <si>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</si>
  <si>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</si>
  <si>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</si>
  <si>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</si>
  <si>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Cairo 1987 Stock</t>
  </si>
  <si>
    <t>DLR P86</t>
  </si>
  <si>
    <t>Moscow 81-717.5M</t>
  </si>
  <si>
    <t>Boston 01800</t>
  </si>
  <si>
    <t>LA A650</t>
  </si>
  <si>
    <t>Taipei C301</t>
  </si>
  <si>
    <t>Amsterdam CAF 90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</si>
  <si>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</si>
  <si>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</si>
  <si>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</si>
  <si>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</si>
  <si>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</si>
  <si>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</si>
  <si>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</si>
  <si>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</si>
  <si>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</si>
  <si>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</si>
  <si>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</si>
  <si>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</si>
  <si>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</si>
  <si>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</si>
  <si>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</si>
  <si>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</si>
  <si>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</si>
  <si>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</si>
  <si>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</si>
  <si>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</si>
  <si>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</si>
  <si>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</si>
  <si>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</si>
  <si>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</si>
  <si>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</si>
  <si>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</si>
  <si>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</si>
  <si>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</si>
  <si>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</si>
  <si>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</si>
  <si>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</si>
  <si>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</si>
  <si>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</si>
  <si>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</si>
  <si>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</si>
  <si>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NYC S-motor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</si>
  <si>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</si>
  <si>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</si>
  <si>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</si>
  <si>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</si>
  <si>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</si>
  <si>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</si>
  <si>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</si>
  <si>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</si>
  <si>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</si>
  <si>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</si>
  <si>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</si>
  <si>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</si>
  <si>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</si>
  <si>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</si>
  <si>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</si>
  <si>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</si>
  <si>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</si>
  <si>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</si>
  <si>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</si>
  <si>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</si>
  <si>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</si>
  <si>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</si>
  <si>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</si>
  <si>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</si>
  <si>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</si>
  <si>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SAR E38</t>
  </si>
  <si>
    <t>EFE E-269</t>
  </si>
  <si>
    <t>CD 363</t>
  </si>
  <si>
    <t>NSB EL7</t>
  </si>
  <si>
    <t>PRR FF-1</t>
  </si>
  <si>
    <t>OBB 1161</t>
  </si>
  <si>
    <t>DB E 69 05 / DB 169 005</t>
  </si>
  <si>
    <t>NSB EL10</t>
  </si>
  <si>
    <t>DB E 04 / DB 104</t>
  </si>
  <si>
    <t>PRR GG-1</t>
  </si>
  <si>
    <t>OBB 1020 'Krokodil'</t>
  </si>
  <si>
    <t>DB 103.1</t>
  </si>
  <si>
    <t>DB E 91.9 / DB 191.9</t>
  </si>
  <si>
    <t>BLS Ce 4/4</t>
  </si>
  <si>
    <t>SBB Ae 6/6</t>
  </si>
  <si>
    <t>SBB Re460 'Lok 2000'</t>
  </si>
  <si>
    <t>SBB Eem 923</t>
  </si>
  <si>
    <t>OBB 1044</t>
  </si>
  <si>
    <t>OBB 1063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</si>
  <si>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</si>
  <si>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</si>
  <si>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</si>
  <si>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</si>
  <si>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</si>
  <si>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</si>
  <si>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</si>
  <si>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</si>
  <si>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</si>
  <si>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</si>
  <si>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</si>
  <si>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</si>
  <si>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</si>
  <si>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</si>
  <si>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</si>
  <si>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</si>
  <si>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</si>
  <si>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MAV V43</t>
  </si>
  <si>
    <t>CP 2500</t>
  </si>
  <si>
    <t>CP 2600</t>
  </si>
  <si>
    <t>SAR 20E</t>
  </si>
  <si>
    <t>Korail 8200</t>
  </si>
  <si>
    <t>UZ DS3</t>
  </si>
  <si>
    <t>CD S499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</si>
  <si>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</si>
  <si>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</si>
  <si>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</si>
  <si>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</si>
  <si>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</si>
  <si>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</si>
  <si>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</si>
  <si>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</si>
  <si>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</si>
  <si>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</si>
  <si>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</si>
  <si>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</si>
  <si>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</si>
  <si>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</si>
  <si>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</si>
  <si>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CD 380</t>
  </si>
  <si>
    <t>RENFE 252</t>
  </si>
  <si>
    <t>DB 185 TRAXX F140</t>
  </si>
  <si>
    <t>FS E.550</t>
  </si>
  <si>
    <t>JNR EF81</t>
  </si>
  <si>
    <t>BR 92</t>
  </si>
  <si>
    <t>Amtrak ACS-64</t>
  </si>
  <si>
    <t>SNCF CC 40100</t>
  </si>
  <si>
    <t>NMBS/SNCB 13 HLE</t>
  </si>
  <si>
    <t>DB VT 04.0 'Flying Hamburger'</t>
  </si>
  <si>
    <t>NSWGR 'Silver City Comet'</t>
  </si>
  <si>
    <t>CD M131</t>
  </si>
  <si>
    <t>DB VT 08.5</t>
  </si>
  <si>
    <t>Queensland Rail 400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</si>
  <si>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</si>
  <si>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</si>
  <si>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</si>
  <si>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</si>
  <si>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</si>
  <si>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</si>
  <si>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</si>
  <si>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</si>
  <si>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</si>
  <si>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</si>
  <si>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</si>
  <si>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</si>
  <si>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</si>
  <si>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</si>
  <si>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</si>
  <si>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</si>
  <si>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</si>
  <si>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</si>
  <si>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TCDD MT 5500</t>
  </si>
  <si>
    <t>JNR KiHa 181</t>
  </si>
  <si>
    <t>CD 814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</si>
  <si>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</si>
  <si>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</si>
  <si>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</si>
  <si>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</si>
  <si>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</si>
  <si>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</si>
  <si>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</si>
  <si>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</si>
  <si>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</si>
  <si>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</si>
  <si>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</si>
  <si>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WAGR ADK/ADB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</si>
  <si>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</si>
  <si>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</si>
  <si>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</si>
  <si>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</si>
  <si>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</si>
  <si>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</si>
  <si>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</si>
  <si>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</si>
  <si>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</si>
  <si>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</si>
  <si>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</si>
  <si>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</si>
  <si>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</si>
  <si>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</si>
  <si>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</si>
  <si>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</si>
  <si>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</si>
  <si>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</si>
  <si>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ATAC ECD 21-30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</si>
  <si>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</si>
  <si>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</si>
  <si>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</si>
  <si>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</si>
  <si>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</si>
  <si>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</si>
  <si>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</si>
  <si>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</si>
  <si>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</si>
  <si>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</si>
  <si>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</si>
  <si>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</si>
  <si>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</si>
  <si>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</si>
  <si>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</si>
  <si>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OBB 4030</t>
  </si>
  <si>
    <t>OBB 4041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</si>
  <si>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</si>
  <si>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</si>
  <si>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</si>
  <si>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</si>
  <si>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</si>
  <si>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</si>
  <si>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</si>
  <si>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</si>
  <si>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</si>
  <si>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</si>
  <si>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</si>
  <si>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</si>
  <si>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</si>
  <si>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MAV BDVmot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</si>
  <si>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</si>
  <si>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</si>
  <si>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</si>
  <si>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</si>
  <si>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</si>
  <si>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</si>
  <si>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</si>
  <si>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</si>
  <si>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TCDD E8000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</si>
  <si>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</si>
  <si>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</si>
  <si>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</si>
  <si>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</si>
  <si>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</si>
  <si>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</si>
  <si>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</si>
  <si>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</si>
  <si>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</si>
  <si>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</si>
  <si>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CD 680 'Pendolino'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</si>
  <si>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</si>
  <si>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</si>
  <si>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</si>
  <si>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</si>
  <si>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</si>
  <si>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</si>
  <si>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</si>
  <si>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</si>
  <si>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</si>
  <si>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</si>
  <si>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</si>
  <si>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</si>
  <si>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</si>
  <si>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</si>
  <si>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</si>
  <si>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</si>
  <si>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</si>
  <si>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</si>
  <si>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</si>
  <si>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</si>
  <si>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</si>
  <si>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</si>
  <si>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</si>
  <si>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</si>
  <si>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EFE Buscarril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</si>
  <si>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</si>
  <si>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</si>
  <si>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</si>
  <si>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</si>
  <si>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</si>
  <si>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</si>
  <si>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</si>
  <si>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</si>
  <si>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</si>
  <si>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</si>
  <si>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</si>
  <si>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</si>
  <si>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</si>
  <si>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</si>
  <si>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</si>
  <si>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</si>
  <si>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</si>
  <si>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</si>
  <si>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</si>
  <si>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</si>
  <si>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</si>
  <si>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</si>
  <si>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</si>
  <si>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</si>
  <si>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</si>
  <si>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</si>
  <si>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</si>
  <si>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</si>
  <si>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</si>
  <si>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</si>
  <si>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</si>
  <si>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</si>
  <si>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</si>
  <si>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</si>
  <si>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</si>
  <si>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</si>
  <si>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</si>
  <si>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</si>
  <si>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</si>
  <si>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</si>
  <si>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</si>
  <si>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</si>
  <si>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</si>
  <si>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</si>
  <si>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</si>
  <si>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</si>
  <si>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</si>
  <si>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</si>
  <si>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</si>
  <si>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</si>
  <si>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</si>
  <si>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</si>
  <si>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</si>
  <si>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</si>
  <si>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</si>
  <si>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</si>
  <si>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</si>
  <si>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</si>
  <si>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</si>
  <si>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</si>
  <si>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Multipe Unit Cargo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</si>
  <si>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</si>
  <si>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</si>
  <si>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</si>
  <si>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</si>
  <si>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</si>
  <si>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</si>
  <si>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</si>
  <si>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</si>
  <si>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</si>
  <si>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</si>
  <si>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</si>
  <si>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</si>
  <si>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</si>
  <si>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</si>
  <si>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</si>
  <si>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</si>
  <si>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</si>
  <si>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</si>
  <si>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</si>
  <si>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</si>
  <si>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</si>
  <si>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</si>
  <si>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</si>
  <si>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</si>
  <si>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</si>
  <si>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</si>
  <si>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</si>
  <si>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</si>
  <si>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</si>
  <si>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</si>
  <si>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</si>
  <si>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</si>
  <si>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</si>
  <si>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</si>
  <si>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</si>
  <si>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</si>
  <si>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</si>
  <si>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</si>
  <si>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</si>
  <si>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</si>
  <si>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</si>
  <si>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</si>
  <si>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</si>
  <si>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</si>
  <si>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</si>
  <si>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</si>
  <si>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</si>
  <si>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</si>
  <si>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</si>
  <si>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</si>
  <si>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</si>
  <si>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</si>
  <si>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</si>
  <si>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</si>
  <si>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</si>
  <si>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</si>
  <si>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</si>
  <si>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</si>
  <si>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</si>
  <si>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</si>
  <si>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</si>
  <si>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</si>
  <si>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</si>
  <si>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</si>
  <si>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</si>
  <si>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</si>
  <si>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</si>
  <si>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</si>
  <si>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</si>
  <si>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</si>
  <si>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</si>
  <si>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</si>
  <si>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</si>
  <si>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</si>
  <si>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</si>
  <si>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</si>
  <si>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</si>
  <si>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</si>
  <si>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</si>
  <si>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</si>
  <si>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</si>
  <si>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</si>
  <si>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</si>
  <si>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</si>
  <si>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</si>
  <si>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</si>
  <si>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</si>
  <si>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</si>
  <si>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</si>
  <si>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</si>
  <si>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</si>
  <si>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</si>
  <si>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</si>
  <si>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</si>
  <si>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</si>
  <si>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</si>
  <si>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</si>
  <si>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</si>
  <si>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</si>
  <si>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</si>
  <si>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</si>
  <si>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</si>
  <si>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</si>
  <si>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</si>
  <si>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</si>
  <si>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</si>
  <si>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</si>
  <si>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</si>
  <si>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</si>
  <si>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</si>
  <si>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</si>
  <si>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</si>
  <si>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</si>
  <si>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</si>
  <si>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</si>
  <si>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</si>
  <si>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</si>
  <si>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</si>
  <si>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</si>
  <si>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</si>
  <si>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</si>
  <si>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</si>
  <si>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</si>
  <si>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</si>
  <si>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</si>
  <si>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</si>
  <si>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</si>
  <si>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Component</t>
  </si>
  <si>
    <t>spriteset__purchase</t>
  </si>
  <si>
    <t>spriteset__front_l1_s1</t>
  </si>
  <si>
    <t>spriteset__front_l1_s2</t>
  </si>
  <si>
    <t>spriteset__front_l1_s3</t>
  </si>
  <si>
    <t>spriteset__front_l2_s1</t>
  </si>
  <si>
    <t>spriteset__front_l2_s2</t>
  </si>
  <si>
    <t>spriteset__front_l2_s3</t>
  </si>
  <si>
    <t>spriteset__back_l1_s1</t>
  </si>
  <si>
    <t>spriteset__back_l1_s2</t>
  </si>
  <si>
    <t>spriteset__back_l1_s3</t>
  </si>
  <si>
    <t>spriteset__back_l2_s1</t>
  </si>
  <si>
    <t>spriteset__back_l2_s2</t>
  </si>
  <si>
    <t>spriteset__back_l2_s3</t>
  </si>
  <si>
    <t>spriteset__middle_l1_s1</t>
  </si>
  <si>
    <t>spriteset__middle_l1_s2</t>
  </si>
  <si>
    <t>spriteset__middle_l1_s3</t>
  </si>
  <si>
    <t>spriteset__middle_l2_s1</t>
  </si>
  <si>
    <t>spriteset__middle_l2_s2</t>
  </si>
  <si>
    <t>spriteset__middle_l2_s3</t>
  </si>
  <si>
    <t>switch__front_livery</t>
  </si>
  <si>
    <t>switch__back_livery</t>
  </si>
  <si>
    <t>switch__middle_livery</t>
  </si>
  <si>
    <t>switch__reversed</t>
  </si>
  <si>
    <t>switch__visual_effect_and_powered</t>
  </si>
  <si>
    <t>spriteset_</t>
  </si>
  <si>
    <t>switch__position</t>
  </si>
  <si>
    <t>switch__visual_effect</t>
  </si>
  <si>
    <t>spriteset__a_front</t>
  </si>
  <si>
    <t>spriteset__b_front</t>
  </si>
  <si>
    <t>spriteset__b_back</t>
  </si>
  <si>
    <t>spriteset__a_back</t>
  </si>
  <si>
    <t>switch__animation</t>
  </si>
  <si>
    <t>spriteset__engine1</t>
  </si>
  <si>
    <t>spriteset__engine2</t>
  </si>
  <si>
    <t>switch__articulated</t>
  </si>
  <si>
    <t>spriteset__front</t>
  </si>
  <si>
    <t>spriteset__back</t>
  </si>
  <si>
    <t>spriteset__engine</t>
  </si>
  <si>
    <t>spriteset__b</t>
  </si>
  <si>
    <t>switch__length</t>
  </si>
  <si>
    <t>spriteset__tender</t>
  </si>
  <si>
    <t>switch__cargo_selection</t>
  </si>
  <si>
    <t>spriteset__middlepass</t>
  </si>
  <si>
    <t>spriteset__middlemail</t>
  </si>
  <si>
    <t>switch__front_animation</t>
  </si>
  <si>
    <t>switch__middle_animation</t>
  </si>
  <si>
    <t>switch__back_animation</t>
  </si>
  <si>
    <t>spriteset__front1</t>
  </si>
  <si>
    <t>spriteset__front2</t>
  </si>
  <si>
    <t>spriteset__middle1</t>
  </si>
  <si>
    <t>spriteset__middle2</t>
  </si>
  <si>
    <t>spriteset__back1</t>
  </si>
  <si>
    <t>spriteset__back2</t>
  </si>
  <si>
    <t>spriteset__front_1</t>
  </si>
  <si>
    <t>spriteset__front_2</t>
  </si>
  <si>
    <t>spriteset__back_1</t>
  </si>
  <si>
    <t>spriteset__back_2</t>
  </si>
  <si>
    <t>switch__visual_effect_and_powered_position</t>
  </si>
  <si>
    <t>switch__middlepass_livery</t>
  </si>
  <si>
    <t>switch__middlemail_livery</t>
  </si>
  <si>
    <t>switch__middlepass_position</t>
  </si>
  <si>
    <t>switch__middlemail_position</t>
  </si>
  <si>
    <t>spriteset__middlepass_l1</t>
  </si>
  <si>
    <t>spriteset__middlepass_l2</t>
  </si>
  <si>
    <t>spriteset__middlemail_l1</t>
  </si>
  <si>
    <t>spriteset__middlemail_l2</t>
  </si>
  <si>
    <t>switch__livery</t>
  </si>
  <si>
    <t>switch__middlepass_position_back</t>
  </si>
  <si>
    <t>switch__middlepass_position_front</t>
  </si>
  <si>
    <t>switch__middlepass_length</t>
  </si>
  <si>
    <t>switch__middlemail_position_back</t>
  </si>
  <si>
    <t>switch__middlemail_position_front</t>
  </si>
  <si>
    <t>switch__middlemail_length</t>
  </si>
  <si>
    <t>spriteset__middlepass_regular</t>
  </si>
  <si>
    <t>spriteset__middlepass_part2_front</t>
  </si>
  <si>
    <t>spriteset__middlepass_part2_back</t>
  </si>
  <si>
    <t>spriteset__middlepass_double</t>
  </si>
  <si>
    <t>spriteset__middlemail_regular</t>
  </si>
  <si>
    <t>spriteset__middlemail_part2_front</t>
  </si>
  <si>
    <t>spriteset__middlemail_part2_back</t>
  </si>
  <si>
    <t>spriteset__middlemail_double</t>
  </si>
  <si>
    <t>switch__armoured_livery</t>
  </si>
  <si>
    <t>switch__livestock_livery</t>
  </si>
  <si>
    <t>switch__reefer_livery</t>
  </si>
  <si>
    <t>switch__standard_livery</t>
  </si>
  <si>
    <t>switch__goods_livery</t>
  </si>
  <si>
    <t>spriteset__armoured_l1_s1</t>
  </si>
  <si>
    <t>spriteset__armoured_l1_s2</t>
  </si>
  <si>
    <t>spriteset__armoured_l1_s3</t>
  </si>
  <si>
    <t>spriteset__armoured_l2_s1</t>
  </si>
  <si>
    <t>spriteset__armoured_l2_s2</t>
  </si>
  <si>
    <t>spriteset__armoured_l2_s3</t>
  </si>
  <si>
    <t>spriteset__armoured_l3_s1</t>
  </si>
  <si>
    <t>spriteset__armoured_l3_s2</t>
  </si>
  <si>
    <t>spriteset__armoured_l3_s3</t>
  </si>
  <si>
    <t>spriteset__armoured_l4_s1</t>
  </si>
  <si>
    <t>spriteset__armoured_l4_s2</t>
  </si>
  <si>
    <t>spriteset__armoured_l4_s3</t>
  </si>
  <si>
    <t>spriteset__livestock_l1_s1</t>
  </si>
  <si>
    <t>spriteset__livestock_l1_s2</t>
  </si>
  <si>
    <t>spriteset__livestock_l1_s3</t>
  </si>
  <si>
    <t>spriteset__livestock_l2_s1</t>
  </si>
  <si>
    <t>spriteset__livestock_l2_s2</t>
  </si>
  <si>
    <t>spriteset__livestock_l2_s3</t>
  </si>
  <si>
    <t>spriteset__livestock_l3_s1</t>
  </si>
  <si>
    <t>spriteset__livestock_l3_s2</t>
  </si>
  <si>
    <t>spriteset__livestock_l3_s3</t>
  </si>
  <si>
    <t>spriteset__livestock_l4_s1</t>
  </si>
  <si>
    <t>spriteset__livestock_l4_s2</t>
  </si>
  <si>
    <t>spriteset__livestock_l4_s3</t>
  </si>
  <si>
    <t>spriteset__reefer_l1_s1</t>
  </si>
  <si>
    <t>spriteset__reefer_l1_s2</t>
  </si>
  <si>
    <t>spriteset__reefer_l1_s3</t>
  </si>
  <si>
    <t>spriteset__reefer_l2_s1</t>
  </si>
  <si>
    <t>spriteset__reefer_l2_s2</t>
  </si>
  <si>
    <t>spriteset__reefer_l2_s3</t>
  </si>
  <si>
    <t>spriteset__reefer_l3_s1</t>
  </si>
  <si>
    <t>spriteset__reefer_l3_s2</t>
  </si>
  <si>
    <t>spriteset__reefer_l3_s3</t>
  </si>
  <si>
    <t>spriteset__reefer_l4_s1</t>
  </si>
  <si>
    <t>spriteset__reefer_l4_s2</t>
  </si>
  <si>
    <t>spriteset__reefer_l4_s3</t>
  </si>
  <si>
    <t>spriteset__standard_l1_s1</t>
  </si>
  <si>
    <t>spriteset__standard_l1_s2</t>
  </si>
  <si>
    <t>spriteset__standard_l1_s3</t>
  </si>
  <si>
    <t>spriteset__standard_l2_s1</t>
  </si>
  <si>
    <t>spriteset__standard_l2_s2</t>
  </si>
  <si>
    <t>spriteset__standard_l2_s3</t>
  </si>
  <si>
    <t>spriteset__standard_l3_s1</t>
  </si>
  <si>
    <t>spriteset__standard_l3_s2</t>
  </si>
  <si>
    <t>spriteset__standard_l3_s3</t>
  </si>
  <si>
    <t>spriteset__standard_l4_s1</t>
  </si>
  <si>
    <t>spriteset__standard_l4_s2</t>
  </si>
  <si>
    <t>spriteset__standard_l4_s3</t>
  </si>
  <si>
    <t>spriteset__l1_s1</t>
  </si>
  <si>
    <t>spriteset__l1_s2</t>
  </si>
  <si>
    <t>spriteset__l1_s3</t>
  </si>
  <si>
    <t>spriteset__l2_s1</t>
  </si>
  <si>
    <t>spriteset__l2_s2</t>
  </si>
  <si>
    <t>spriteset__l2_s3</t>
  </si>
  <si>
    <t>spriteset__l3_s1</t>
  </si>
  <si>
    <t>spriteset__l3_s2</t>
  </si>
  <si>
    <t>spriteset__l3_s3</t>
  </si>
  <si>
    <t>spriteset__l4_s1</t>
  </si>
  <si>
    <t>spriteset__l4_s2</t>
  </si>
  <si>
    <t>spriteset__l4_s3</t>
  </si>
  <si>
    <t>switch__crates_livery</t>
  </si>
  <si>
    <t>switch__planks_livery</t>
  </si>
  <si>
    <t>switch__steel_livery</t>
  </si>
  <si>
    <t>switch__supplies_livery</t>
  </si>
  <si>
    <t>spriteset__crates_l1_s1</t>
  </si>
  <si>
    <t>spriteset__crates_l1_s2</t>
  </si>
  <si>
    <t>spriteset__crates_l1_s3</t>
  </si>
  <si>
    <t>spriteset__crates_l2_s1</t>
  </si>
  <si>
    <t>spriteset__crates_l2_s2</t>
  </si>
  <si>
    <t>spriteset__crates_l2_s3</t>
  </si>
  <si>
    <t>spriteset__crates_l3_s1</t>
  </si>
  <si>
    <t>spriteset__crates_l3_s2</t>
  </si>
  <si>
    <t>spriteset__crates_l3_s3</t>
  </si>
  <si>
    <t>spriteset__crates_l4_s1</t>
  </si>
  <si>
    <t>spriteset__crates_l4_s2</t>
  </si>
  <si>
    <t>spriteset__crates_l4_s3</t>
  </si>
  <si>
    <t>spriteset__planks_l1_s1</t>
  </si>
  <si>
    <t>spriteset__planks_l1_s2</t>
  </si>
  <si>
    <t>spriteset__planks_l1_s3</t>
  </si>
  <si>
    <t>spriteset__planks_l2_s1</t>
  </si>
  <si>
    <t>spriteset__planks_l2_s2</t>
  </si>
  <si>
    <t>spriteset__planks_l2_s3</t>
  </si>
  <si>
    <t>spriteset__planks_l3_s1</t>
  </si>
  <si>
    <t>spriteset__planks_l3_s2</t>
  </si>
  <si>
    <t>spriteset__planks_l3_s3</t>
  </si>
  <si>
    <t>spriteset__planks_l4_s1</t>
  </si>
  <si>
    <t>spriteset__planks_l4_s2</t>
  </si>
  <si>
    <t>spriteset__planks_l4_s3</t>
  </si>
  <si>
    <t>spriteset__steel_l1_s1</t>
  </si>
  <si>
    <t>spriteset__steel_l1_s2</t>
  </si>
  <si>
    <t>spriteset__steel_l1_s3</t>
  </si>
  <si>
    <t>spriteset__steel_l2_s1</t>
  </si>
  <si>
    <t>spriteset__steel_l2_s2</t>
  </si>
  <si>
    <t>spriteset__steel_l2_s3</t>
  </si>
  <si>
    <t>spriteset__steel_l3_s1</t>
  </si>
  <si>
    <t>spriteset__steel_l3_s2</t>
  </si>
  <si>
    <t>spriteset__steel_l3_s3</t>
  </si>
  <si>
    <t>spriteset__steel_l4_s1</t>
  </si>
  <si>
    <t>spriteset__steel_l4_s2</t>
  </si>
  <si>
    <t>spriteset__steel_l4_s3</t>
  </si>
  <si>
    <t>switch__container_livery</t>
  </si>
  <si>
    <t>switch__refrigerated_livery</t>
  </si>
  <si>
    <t>switch__tanktainer_livery</t>
  </si>
  <si>
    <t>spriteset__container_l1_s1</t>
  </si>
  <si>
    <t>spriteset__container_l1_s2</t>
  </si>
  <si>
    <t>spriteset__container_l1_s3</t>
  </si>
  <si>
    <t>spriteset__container_l2_s1</t>
  </si>
  <si>
    <t>spriteset__container_l2_s2</t>
  </si>
  <si>
    <t>spriteset__container_l2_s3</t>
  </si>
  <si>
    <t>spriteset__container_l3_s1</t>
  </si>
  <si>
    <t>spriteset__container_l3_s2</t>
  </si>
  <si>
    <t>spriteset__container_l3_s3</t>
  </si>
  <si>
    <t>spriteset__container_l4_s1</t>
  </si>
  <si>
    <t>spriteset__container_l4_s2</t>
  </si>
  <si>
    <t>spriteset__container_l4_s3</t>
  </si>
  <si>
    <t>spriteset__refrigerated_l1_s1</t>
  </si>
  <si>
    <t>spriteset__refrigerated_l1_s2</t>
  </si>
  <si>
    <t>spriteset__refrigerated_l1_s3</t>
  </si>
  <si>
    <t>spriteset__refrigerated_l2_s1</t>
  </si>
  <si>
    <t>spriteset__refrigerated_l2_s2</t>
  </si>
  <si>
    <t>spriteset__refrigerated_l2_s3</t>
  </si>
  <si>
    <t>spriteset__refrigerated_l3_s1</t>
  </si>
  <si>
    <t>spriteset__refrigerated_l3_s2</t>
  </si>
  <si>
    <t>spriteset__refrigerated_l3_s3</t>
  </si>
  <si>
    <t>spriteset__refrigerated_l4_s1</t>
  </si>
  <si>
    <t>spriteset__refrigerated_l4_s2</t>
  </si>
  <si>
    <t>spriteset__refrigerated_l4_s3</t>
  </si>
  <si>
    <t>spriteset__tanktainer_l1_s1</t>
  </si>
  <si>
    <t>spriteset__tanktainer_l1_s2</t>
  </si>
  <si>
    <t>spriteset__tanktainer_l1_s3</t>
  </si>
  <si>
    <t>spriteset__tanktainer_l2_s1</t>
  </si>
  <si>
    <t>spriteset__tanktainer_l2_s2</t>
  </si>
  <si>
    <t>spriteset__tanktainer_l2_s3</t>
  </si>
  <si>
    <t>spriteset__tanktainer_l3_s1</t>
  </si>
  <si>
    <t>spriteset__tanktainer_l3_s2</t>
  </si>
  <si>
    <t>spriteset__tanktainer_l3_s3</t>
  </si>
  <si>
    <t>spriteset__tanktainer_l4_s1</t>
  </si>
  <si>
    <t>spriteset__tanktainer_l4_s2</t>
  </si>
  <si>
    <t>spriteset__tanktainer_l4_s3</t>
  </si>
  <si>
    <t>switch__wood_livery</t>
  </si>
  <si>
    <t>switch__machinery_livery</t>
  </si>
  <si>
    <t>switch__yeti_livery</t>
  </si>
  <si>
    <t>switch__building_materials_livery</t>
  </si>
  <si>
    <t>spriteset__wood_l1_s1</t>
  </si>
  <si>
    <t>spriteset__wood_l1_s2</t>
  </si>
  <si>
    <t>spriteset__wood_l1_s3</t>
  </si>
  <si>
    <t>spriteset__wood_l2_s1</t>
  </si>
  <si>
    <t>spriteset__wood_l2_s2</t>
  </si>
  <si>
    <t>spriteset__wood_l2_s3</t>
  </si>
  <si>
    <t>spriteset__wood_l3_s1</t>
  </si>
  <si>
    <t>spriteset__wood_l3_s2</t>
  </si>
  <si>
    <t>spriteset__wood_l3_s3</t>
  </si>
  <si>
    <t>spriteset__wood_l4_s1</t>
  </si>
  <si>
    <t>spriteset__wood_l4_s2</t>
  </si>
  <si>
    <t>spriteset__wood_l4_s3</t>
  </si>
  <si>
    <t>spriteset__machinery_l1_s1</t>
  </si>
  <si>
    <t>spriteset__machinery_l1_s2</t>
  </si>
  <si>
    <t>spriteset__machinery_l1_s3</t>
  </si>
  <si>
    <t>spriteset__machinery_l2_s1</t>
  </si>
  <si>
    <t>spriteset__machinery_l2_s2</t>
  </si>
  <si>
    <t>spriteset__machinery_l2_s3</t>
  </si>
  <si>
    <t>spriteset__machinery_l3_s1</t>
  </si>
  <si>
    <t>spriteset__machinery_l3_s2</t>
  </si>
  <si>
    <t>spriteset__machinery_l3_s3</t>
  </si>
  <si>
    <t>spriteset__machinery_l4_s1</t>
  </si>
  <si>
    <t>spriteset__machinery_l4_s2</t>
  </si>
  <si>
    <t>spriteset__machinery_l4_s3</t>
  </si>
  <si>
    <t>spriteset__yeti_l1_s1</t>
  </si>
  <si>
    <t>spriteset__yeti_l1_s2</t>
  </si>
  <si>
    <t>spriteset__yeti_l1_s3</t>
  </si>
  <si>
    <t>spriteset__yeti_l2_s1</t>
  </si>
  <si>
    <t>spriteset__yeti_l2_s2</t>
  </si>
  <si>
    <t>spriteset__yeti_l2_s3</t>
  </si>
  <si>
    <t>spriteset__yeti_l3_s1</t>
  </si>
  <si>
    <t>spriteset__yeti_l3_s2</t>
  </si>
  <si>
    <t>spriteset__yeti_l3_s3</t>
  </si>
  <si>
    <t>spriteset__yeti_l4_s1</t>
  </si>
  <si>
    <t>spriteset__yeti_l4_s2</t>
  </si>
  <si>
    <t>spriteset__yeti_l4_s3</t>
  </si>
  <si>
    <t>switch__coal_livery</t>
  </si>
  <si>
    <t>switch__grain_livery</t>
  </si>
  <si>
    <t>switch__ore_livery</t>
  </si>
  <si>
    <t>switch__sand_livery</t>
  </si>
  <si>
    <t>switch__gray_livery</t>
  </si>
  <si>
    <t>spriteset__coal_l1_s1</t>
  </si>
  <si>
    <t>spriteset__coal_l1_s2</t>
  </si>
  <si>
    <t>spriteset__coal_l1_s3</t>
  </si>
  <si>
    <t>spriteset__coal_l2_s1</t>
  </si>
  <si>
    <t>spriteset__coal_l2_s2</t>
  </si>
  <si>
    <t>spriteset__coal_l2_s3</t>
  </si>
  <si>
    <t>spriteset__coal_l3_s1</t>
  </si>
  <si>
    <t>spriteset__coal_l3_s2</t>
  </si>
  <si>
    <t>spriteset__coal_l3_s3</t>
  </si>
  <si>
    <t>spriteset__coal_l4_s1</t>
  </si>
  <si>
    <t>spriteset__coal_l4_s2</t>
  </si>
  <si>
    <t>spriteset__coal_l4_s3</t>
  </si>
  <si>
    <t>spriteset__grain_l1_s1</t>
  </si>
  <si>
    <t>spriteset__grain_l1_s2</t>
  </si>
  <si>
    <t>spriteset__grain_l1_s3</t>
  </si>
  <si>
    <t>spriteset__grain_l1_s4</t>
  </si>
  <si>
    <t>spriteset__grain_l2_s1</t>
  </si>
  <si>
    <t>spriteset__grain_l2_s2</t>
  </si>
  <si>
    <t>spriteset__grain_l2_s3</t>
  </si>
  <si>
    <t>spriteset__grain_l2_s4</t>
  </si>
  <si>
    <t>spriteset__grain_l3_s1</t>
  </si>
  <si>
    <t>spriteset__grain_l3_s2</t>
  </si>
  <si>
    <t>spriteset__grain_l3_s3</t>
  </si>
  <si>
    <t>spriteset__grain_l3_s4</t>
  </si>
  <si>
    <t>spriteset__grain_l4_s1</t>
  </si>
  <si>
    <t>spriteset__grain_l4_s2</t>
  </si>
  <si>
    <t>spriteset__grain_l4_s3</t>
  </si>
  <si>
    <t>spriteset__grain_l4_s4</t>
  </si>
  <si>
    <t>spriteset__ore_l1_s1</t>
  </si>
  <si>
    <t>spriteset__ore_l1_s2</t>
  </si>
  <si>
    <t>spriteset__ore_l1_s3</t>
  </si>
  <si>
    <t>spriteset__ore_l2_s1</t>
  </si>
  <si>
    <t>spriteset__ore_l2_s2</t>
  </si>
  <si>
    <t>spriteset__ore_l2_s3</t>
  </si>
  <si>
    <t>spriteset__ore_l3_s1</t>
  </si>
  <si>
    <t>spriteset__ore_l3_s2</t>
  </si>
  <si>
    <t>spriteset__ore_l3_s3</t>
  </si>
  <si>
    <t>spriteset__ore_l4_s1</t>
  </si>
  <si>
    <t>spriteset__ore_l4_s2</t>
  </si>
  <si>
    <t>spriteset__ore_l4_s3</t>
  </si>
  <si>
    <t>spriteset__sand_l1_s1</t>
  </si>
  <si>
    <t>spriteset__sand_l1_s2</t>
  </si>
  <si>
    <t>spriteset__sand_l1_s3</t>
  </si>
  <si>
    <t>spriteset__sand_l2_s1</t>
  </si>
  <si>
    <t>spriteset__sand_l2_s2</t>
  </si>
  <si>
    <t>spriteset__sand_l2_s3</t>
  </si>
  <si>
    <t>spriteset__sand_l3_s1</t>
  </si>
  <si>
    <t>spriteset__sand_l3_s2</t>
  </si>
  <si>
    <t>spriteset__sand_l3_s3</t>
  </si>
  <si>
    <t>spriteset__sand_l4_s1</t>
  </si>
  <si>
    <t>spriteset__sand_l4_s2</t>
  </si>
  <si>
    <t>spriteset__sand_l4_s3</t>
  </si>
  <si>
    <t>spriteset__gray_l1_s1</t>
  </si>
  <si>
    <t>spriteset__gray_l1_s2</t>
  </si>
  <si>
    <t>spriteset__gray_l1_s3</t>
  </si>
  <si>
    <t>spriteset__gray_l2_s1</t>
  </si>
  <si>
    <t>spriteset__gray_l2_s2</t>
  </si>
  <si>
    <t>spriteset__gray_l2_s3</t>
  </si>
  <si>
    <t>spriteset__gray_l3_s1</t>
  </si>
  <si>
    <t>spriteset__gray_l3_s2</t>
  </si>
  <si>
    <t>spriteset__gray_l3_s3</t>
  </si>
  <si>
    <t>spriteset__gray_l4_s1</t>
  </si>
  <si>
    <t>spriteset__gray_l4_s2</t>
  </si>
  <si>
    <t>spriteset__gray_l4_s3</t>
  </si>
  <si>
    <t>switch__cars_livery</t>
  </si>
  <si>
    <t>spriteset__cars_l1_s1</t>
  </si>
  <si>
    <t>spriteset__cars_l1_s2</t>
  </si>
  <si>
    <t>spriteset__cars_l1_s3</t>
  </si>
  <si>
    <t>spriteset__cars_l2_s1</t>
  </si>
  <si>
    <t>spriteset__cars_l2_s2</t>
  </si>
  <si>
    <t>spriteset__cars_l2_s3</t>
  </si>
  <si>
    <t>spriteset__cars_l3_s1</t>
  </si>
  <si>
    <t>spriteset__cars_l3_s2</t>
  </si>
  <si>
    <t>spriteset__cars_l3_s3</t>
  </si>
  <si>
    <t>spriteset__cars_l4_s1</t>
  </si>
  <si>
    <t>spriteset__cars_l4_s2</t>
  </si>
  <si>
    <t>spriteset__cars_l4_s3</t>
  </si>
  <si>
    <t>switch_</t>
  </si>
  <si>
    <t>spriteset__middle_empty</t>
  </si>
  <si>
    <t>spriteset__middle_l1</t>
  </si>
  <si>
    <t>spriteset__middle_l2</t>
  </si>
  <si>
    <t>spriteset__middle_l3</t>
  </si>
  <si>
    <t>spriteset__middle_l4</t>
  </si>
  <si>
    <t>switch__oil_livery</t>
  </si>
  <si>
    <t>switch__oil_livery_selection</t>
  </si>
  <si>
    <t>spriteset__oil_l1_s1</t>
  </si>
  <si>
    <t>spriteset__oil_l1_s2</t>
  </si>
  <si>
    <t>spriteset__oil_l1_s3</t>
  </si>
  <si>
    <t>spriteset__oil_l2_s1</t>
  </si>
  <si>
    <t>spriteset__oil_l2_s2</t>
  </si>
  <si>
    <t>spriteset__oil_l2_s3</t>
  </si>
  <si>
    <t>spriteset__oil_l3_s1</t>
  </si>
  <si>
    <t>spriteset__oil_l3_s2</t>
  </si>
  <si>
    <t>spriteset__oil_l3_s3</t>
  </si>
  <si>
    <t>spriteset__oil_l4_s1</t>
  </si>
  <si>
    <t>spriteset__oil_l4_s2</t>
  </si>
  <si>
    <t>spriteset__oil_l4_s3</t>
  </si>
  <si>
    <t>spriteset__middle</t>
  </si>
  <si>
    <t>spriteset__l1</t>
  </si>
  <si>
    <t>spriteset__l2</t>
  </si>
  <si>
    <t>spriteset__l3</t>
  </si>
  <si>
    <t>spriteset__l4</t>
  </si>
  <si>
    <t>switch__fruit_livery</t>
  </si>
  <si>
    <t>spriteset__fruit_l1_s1</t>
  </si>
  <si>
    <t>spriteset__fruit_l1_s2</t>
  </si>
  <si>
    <t>spriteset__fruit_l1_s3</t>
  </si>
  <si>
    <t>spriteset__fruit_l2_s1</t>
  </si>
  <si>
    <t>spriteset__fruit_l2_s2</t>
  </si>
  <si>
    <t>spriteset__fruit_l2_s3</t>
  </si>
  <si>
    <t>spriteset__fruit_l3_s1</t>
  </si>
  <si>
    <t>spriteset__fruit_l3_s2</t>
  </si>
  <si>
    <t>spriteset__fruit_l3_s3</t>
  </si>
  <si>
    <t>spriteset__fruit_l4_s1</t>
  </si>
  <si>
    <t>spriteset__fruit_l4_s2</t>
  </si>
  <si>
    <t>spriteset__fruit_l4_s3</t>
  </si>
  <si>
    <t>switch__rubber_livery</t>
  </si>
  <si>
    <t>switch__water_livery</t>
  </si>
  <si>
    <t>switch__plastic_livery</t>
  </si>
  <si>
    <t>spriteset__rubber_l1_s1</t>
  </si>
  <si>
    <t>spriteset__rubber_l1_s2</t>
  </si>
  <si>
    <t>spriteset__rubber_l1_s3</t>
  </si>
  <si>
    <t>spriteset__rubber_l2_s1</t>
  </si>
  <si>
    <t>spriteset__rubber_l2_s2</t>
  </si>
  <si>
    <t>spriteset__rubber_l2_s3</t>
  </si>
  <si>
    <t>spriteset__rubber_l3_s1</t>
  </si>
  <si>
    <t>spriteset__rubber_l3_s2</t>
  </si>
  <si>
    <t>spriteset__rubber_l3_s3</t>
  </si>
  <si>
    <t>spriteset__rubber_l4_s1</t>
  </si>
  <si>
    <t>spriteset__rubber_l4_s2</t>
  </si>
  <si>
    <t>spriteset__rubber_l4_s3</t>
  </si>
  <si>
    <t>spriteset__water_l1_s1</t>
  </si>
  <si>
    <t>spriteset__water_l1_s2</t>
  </si>
  <si>
    <t>spriteset__water_l1_s3</t>
  </si>
  <si>
    <t>spriteset__water_l2_s1</t>
  </si>
  <si>
    <t>spriteset__water_l2_s2</t>
  </si>
  <si>
    <t>spriteset__water_l2_s3</t>
  </si>
  <si>
    <t>spriteset__water_l3_s1</t>
  </si>
  <si>
    <t>spriteset__water_l3_s2</t>
  </si>
  <si>
    <t>spriteset__water_l3_s3</t>
  </si>
  <si>
    <t>spriteset__water_l4_s1</t>
  </si>
  <si>
    <t>spriteset__water_l4_s2</t>
  </si>
  <si>
    <t>spriteset__water_l4_s3</t>
  </si>
  <si>
    <t>switch__capacity_position</t>
  </si>
  <si>
    <t>switch__animation_front</t>
  </si>
  <si>
    <t>switch__animation_back</t>
  </si>
  <si>
    <t>TemplateID</t>
  </si>
  <si>
    <t>TPL_42</t>
  </si>
  <si>
    <t>TPL_01</t>
  </si>
  <si>
    <t>TPL_18</t>
  </si>
  <si>
    <t>TPL_06</t>
  </si>
  <si>
    <t>TPL_17</t>
  </si>
  <si>
    <t>TPL_22</t>
  </si>
  <si>
    <t>TPL_09</t>
  </si>
  <si>
    <t>TPL_32</t>
  </si>
  <si>
    <t>TPL_16</t>
  </si>
  <si>
    <t>TPL_02</t>
  </si>
  <si>
    <t>TPL_33</t>
  </si>
  <si>
    <t>TPL_38</t>
  </si>
  <si>
    <t>TPL_40</t>
  </si>
  <si>
    <t>TPL_07</t>
  </si>
  <si>
    <t>TPL_29</t>
  </si>
  <si>
    <t>TPL_36</t>
  </si>
  <si>
    <t>TPL_41</t>
  </si>
  <si>
    <t>TPL_15</t>
  </si>
  <si>
    <t>TPL_13</t>
  </si>
  <si>
    <t>TPL_28</t>
  </si>
  <si>
    <t>TPL_08</t>
  </si>
  <si>
    <t>TPL_20</t>
  </si>
  <si>
    <t>TPL_19</t>
  </si>
  <si>
    <t>TPL_27</t>
  </si>
  <si>
    <t>TPL_12</t>
  </si>
  <si>
    <t>TPL_23</t>
  </si>
  <si>
    <t>TPL_21</t>
  </si>
  <si>
    <t>TPL_10</t>
  </si>
  <si>
    <t>TPL_25</t>
  </si>
  <si>
    <t>TPL_14</t>
  </si>
  <si>
    <t>TPL_05</t>
  </si>
  <si>
    <t>TPL_04</t>
  </si>
  <si>
    <t>TPL_39</t>
  </si>
  <si>
    <t>TPL_24</t>
  </si>
  <si>
    <t>TPL_30</t>
  </si>
  <si>
    <t>TPL_37</t>
  </si>
  <si>
    <t>TPL_31</t>
  </si>
  <si>
    <t>TPL_35</t>
  </si>
  <si>
    <t>TPL_34</t>
  </si>
  <si>
    <t>TPL_11</t>
  </si>
  <si>
    <t>TPL_03</t>
  </si>
  <si>
    <t>TPL_26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</si>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</sst>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13" fillId="36" borderId="12" xfId="0" applyFont="1" applyFill="1" applyBorder="1" applyAlignment="1">
      <alignment wrapText="1"/>
    </xf>
    <xf numFmtId="0" fontId="0" fillId="0" borderId="15" xfId="0" applyBorder="1"/>
    <xf numFmtId="0" fontId="0" fillId="0" borderId="16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4"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789" totalsRowShown="0" headerRowDxfId="118">
  <autoFilter ref="A1:P789" xr:uid="{A2EA8B49-66CF-4BEA-9B39-A62C2B50785A}"/>
  <tableColumns count="16">
    <tableColumn id="1" xr3:uid="{FF4A1243-8066-4FF2-9225-EDE41896A1A5}" name="VEHIDCODE"/>
    <tableColumn id="2" xr3:uid="{44DB3ECB-3D36-4D92-B31F-6B9604288D8B}" name="FILENAMES_EXPECTED"/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5" xr3:uid="{C9DBDDFF-A526-4383-A426-8408C4B17785}" name="IS_POWERED_UNPOWERED_SUNDRY" dataDxfId="11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16">
      <calculatedColumnFormula>OR(ISNUMBER(SEARCH("wagon_",CONTROL[[#This Row],[VEHIDCODE]])),ISNUMBER(SEARCH("coach_",CONTROL[[#This Row],[VEHIDCODE]])))</calculatedColumnFormula>
    </tableColumn>
    <tableColumn id="9" xr3:uid="{7B229E25-CF6B-4C5F-B4A4-FEC34CB93E9B}" name="ITEM" dataDxfId="115">
      <calculatedColumnFormula>"item_"&amp;CONTROL[[#This Row],[VEHIDCODE]]</calculatedColumnFormula>
    </tableColumn>
    <tableColumn id="8" xr3:uid="{327E5CDA-51AE-4721-ACBD-5E8C3D890998}" name="NAME" dataDxfId="114">
      <calculatedColumnFormula>"str_"&amp;CONTROL[[#This Row],[VEHIDCODE]]</calculatedColumnFormula>
    </tableColumn>
    <tableColumn id="7" xr3:uid="{B82AB1D7-17AE-4057-AB6F-44B6BA86F247}" name="TRACK_TYPES" dataDxfId="113">
      <calculatedColumnFormula>ISNUMBER(_xlfn.XMATCH(CONTROL[[#This Row],[VEHIDCODE]],TRACK_TYPES[VEHIDCODE],0))</calculatedColumnFormula>
    </tableColumn>
    <tableColumn id="11" xr3:uid="{D7F142C5-8884-454F-94AC-795FE6A81C81}" name="REGIONS" dataDxfId="112">
      <calculatedColumnFormula>ISNUMBER(_xlfn.XMATCH(CONTROL[[#This Row],[VEHIDCODE]],REGIONS[VEHIDCODE],0))</calculatedColumnFormula>
    </tableColumn>
    <tableColumn id="14" xr3:uid="{222C2DB1-CA5D-4369-995A-6A316AC5C947}" name="PROPERTIES" dataDxfId="111">
      <calculatedColumnFormula>ISNUMBER(_xlfn.XMATCH(CONTROL[[#This Row],[VEHIDCODE]],PROPERTIES[VEHIDCODE],0))</calculatedColumnFormula>
    </tableColumn>
    <tableColumn id="12" xr3:uid="{98C60329-4C14-461E-A11A-0FBD5B385214}" name="CONSTANTS" dataDxfId="110">
      <calculatedColumnFormula>ISNUMBER(_xlfn.XMATCH(CONTROL[[#This Row],[VEHIDCODE]],CONSTANTS[VEHIDCODE],0))</calculatedColumnFormula>
    </tableColumn>
    <tableColumn id="13" xr3:uid="{473FD571-A166-4EC8-8B7B-F1D30044570B}" name="FLAGS" dataDxfId="109">
      <calculatedColumnFormula>ISNUMBER(_xlfn.XMATCH(CONTROL[[#This Row],[VEHIDCODE]],FLAGS[VEHIDCODE],0))</calculatedColumnFormula>
    </tableColumn>
    <tableColumn id="10" xr3:uid="{7783F713-60B4-45CF-AEB3-EE02271B3D6F}" name="GRAPHICS_PROPERTIES" dataDxfId="108">
      <calculatedColumnFormula>ISNUMBER(_xlfn.XMATCH(CONTROL[[#This Row],[VEHIDCODE]],GRAPHICS_PROPERTIES[VEHIDCODE],0))</calculatedColumnFormula>
    </tableColumn>
    <tableColumn id="16" xr3:uid="{0ADFB3F4-3A64-4236-B9F2-77C3B0727506}" name="ENGLISH_ITEMS" dataDxfId="107">
      <calculatedColumnFormula>ISNUMBER(_xlfn.XMATCH(CONTROL[[#This Row],[VEHIDCODE]],ENGLISH_ITEMS[VEHIDCODE],0))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X789" totalsRowShown="0" headerRowDxfId="106">
  <autoFilter ref="A1:X789" xr:uid="{6DCCB998-B5D1-4B0D-8701-BC0E171A94CA}"/>
  <tableColumns count="24">
    <tableColumn id="1" xr3:uid="{173D09BF-30BA-4FF2-B4FE-F09962415DA2}" name="VEHIDCODE" dataDxfId="105"/>
    <tableColumn id="7" xr3:uid="{1916DEDB-A6C2-4AB6-B9BF-2B3B69CAD452}" name="INTRODUCTION_YEAR"/>
    <tableColumn id="4" xr3:uid="{0B911663-AF6D-4AFE-A704-0E28EFE769C9}" name="DUAL_HEADED"/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20" xr3:uid="{F2C39D3A-8FF6-42D0-B4FA-98F5D712B04F}" name="WEIGHT" dataDxfId="104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03"/>
    <tableColumn id="58" xr3:uid="{37DCFD33-B11D-4E3C-9899-EA36DBD4DBC0}" name="LOADINGSPEED_VALUE" dataDxfId="10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12" xr3:uid="{261F7748-A233-4C1A-AC65-90519D8B7183}" name="POWER"/>
    <tableColumn id="13" xr3:uid="{A6A5F185-541A-4533-B5F7-A2D87152DE1F}" name="SPEED"/>
    <tableColumn id="14" xr3:uid="{123AAB87-6D4C-406A-A5E1-A61DC2DDFFEE}" name="TE_COEFFICIENT" dataDxfId="101"/>
    <tableColumn id="16" xr3:uid="{52CFAA15-69B5-45FF-8981-D3CAEB901DFB}" name="VEHICLE_LIFE" dataDxfId="100"/>
    <tableColumn id="18" xr3:uid="{EB0CE86B-9E06-4ADD-85C1-EA622DE32153}" name="WAGON_CAPACITY" dataDxfId="99"/>
    <tableColumn id="15" xr3:uid="{3558C882-A912-4F84-BDE6-BC0A2A676C4B}" name="WAGON_LENGTH" dataDxfId="98"/>
    <tableColumn id="71" xr3:uid="{3D8AA890-C1F2-4EBD-90E3-21F948960989}" name="PURCHASE_CARGO_CAPACITY" dataDxfId="97"/>
    <tableColumn id="107" xr3:uid="{64FE90FD-3682-462D-B2DC-D2193BF8E5C1}" name="RUNNING_COST_BASE" dataDxfId="96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95"/>
    <tableColumn id="28" xr3:uid="{B24767B4-97D7-4814-9BBD-1231E1A0A0A7}" name="RUNNINGCOST_VALUE" dataDxfId="94"/>
    <tableColumn id="22" xr3:uid="{68BAA036-8189-4A5A-B0EF-3F284C15672C}" name="COST_CAT" dataDxfId="93">
      <calculatedColumnFormula>SUBSTITUTE(SUBSTITUTE(PROPERTIES[[#This Row],[PURCHASECOST_VALUE]], "PURCHASECOST_", ""), "_VALUE",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89" totalsRowShown="0" headerRowDxfId="92">
  <autoFilter ref="A1:AF789" xr:uid="{6DCCB998-B5D1-4B0D-8701-BC0E171A94CA}"/>
  <tableColumns count="32">
    <tableColumn id="1" xr3:uid="{CDEAF13A-A986-4600-A992-A08C1CA6142C}" name="VEHIDCODE" dataDxfId="91"/>
    <tableColumn id="55" xr3:uid="{839D134C-3027-42F4-BA04-3BA8BFF71A3B}" name="TRACK_TYPE_STANDARD_GAUGE_RAILTYPE_OHLE" dataDxfId="90"/>
    <tableColumn id="54" xr3:uid="{5D83FD10-ABCB-4FE7-A7DB-4A857A58D719}" name="TRACK_TYPE_STANDARD_GAUGE_RAILTYPE_25KV" dataDxfId="89"/>
    <tableColumn id="53" xr3:uid="{56183170-0B7F-45FB-91B4-356C62C246AD}" name="TRACK_TYPE_STANDARD_GAUGE_RAILTYPE_15KV" dataDxfId="88"/>
    <tableColumn id="52" xr3:uid="{5B71BE07-0EB9-4DEB-A8E8-252C9D979AC2}" name="TRACK_TYPE_STANDARD_GAUGE_RAILTYPE_3KV" dataDxfId="87"/>
    <tableColumn id="51" xr3:uid="{5A6435EB-111E-4AED-A8E1-AEFF82C34393}" name="TRACK_TYPE_STANDARD_GAUGE_RAILTYPE_1500V" dataDxfId="86"/>
    <tableColumn id="50" xr3:uid="{14CA70EA-0EE7-44BA-9D77-FC902C0596DD}" name="TRACK_TYPE_STANDARD_GAUGE_RAILTYPE_3RD" dataDxfId="85"/>
    <tableColumn id="49" xr3:uid="{3A15447A-9663-43FB-8EFF-8F8034548FB0}" name="TRACK_TYPE_STANDARD_GAUGE_RAILTYPE_4TH" dataDxfId="84"/>
    <tableColumn id="48" xr3:uid="{E44E324A-492F-4566-8DC9-0A6F58F40EA9}" name="TRACK_TYPE_STANDARD_GAUGE_RAILTYPE_DUAL" dataDxfId="83"/>
    <tableColumn id="47" xr3:uid="{FE3223C6-E685-4456-91E9-10AEB3B699E7}" name="TRACK_TYPE_STANDARD_GAUGE_RAILTYPE_NONE" dataDxfId="82"/>
    <tableColumn id="46" xr3:uid="{D39969E8-C0CA-4A59-A556-D29019991069}" name="TRACK_TYPE_NARROW_GAUGE_RAILTYPE_OHLE" dataDxfId="81"/>
    <tableColumn id="45" xr3:uid="{5266A9E9-D840-4460-AB81-A081897372F3}" name="TRACK_TYPE_NARROW_GAUGE_RAILTYPE_25KV" dataDxfId="80"/>
    <tableColumn id="44" xr3:uid="{7B4C44D1-C745-4291-86A0-777579742A84}" name="TRACK_TYPE_NARROW_GAUGE_RAILTYPE_15KV" dataDxfId="79"/>
    <tableColumn id="43" xr3:uid="{8736D285-A163-4DBE-84E1-870118B47F14}" name="TRACK_TYPE_NARROW_GAUGE_RAILTYPE_3KV" dataDxfId="78"/>
    <tableColumn id="42" xr3:uid="{6FBBA2FB-4743-4072-B4E0-C42BBDA1CC47}" name="TRACK_TYPE_NARROW_GAUGE_RAILTYPE_1500V" dataDxfId="77"/>
    <tableColumn id="41" xr3:uid="{D3ED2E70-19BF-4D92-A76B-0F0F03D31947}" name="TRACK_TYPE_NARROW_GAUGE_RAILTYPE_3RD" dataDxfId="76"/>
    <tableColumn id="40" xr3:uid="{F38AE7AF-B798-40A5-992A-13685296E710}" name="TRACK_TYPE_NARROW_GAUGE_RAILTYPE_4TH" dataDxfId="75"/>
    <tableColumn id="39" xr3:uid="{16463F64-2239-4E7F-8257-47F324BF8959}" name="TRACK_TYPE_NARROW_GAUGE_RAILTYPE_DUAL" dataDxfId="74"/>
    <tableColumn id="38" xr3:uid="{97037A15-9172-4057-863E-582804353817}" name="TRACK_TYPE_NARROW_GAUGE_RAILTYPE_NONE" dataDxfId="73"/>
    <tableColumn id="37" xr3:uid="{24999D59-5A4F-4A21-B8B4-EBDBF9F8BF1E}" name="TRACK_TYPE_BROAD_GAUGE_RAILTYPE_OHLE" dataDxfId="72"/>
    <tableColumn id="36" xr3:uid="{31AB3927-D18B-49AD-8EF5-C7E9FF4CEDF3}" name="TRACK_TYPE_BROAD_GAUGE_RAILTYPE_25KV" dataDxfId="71"/>
    <tableColumn id="35" xr3:uid="{CB3432E7-4DAE-4807-9CE5-4CB1ACECD395}" name="TRACK_TYPE_BROAD_GAUGE_RAILTYPE_15KV" dataDxfId="70"/>
    <tableColumn id="34" xr3:uid="{E3936FE4-2B46-4DC0-84C0-44C7892A0927}" name="TRACK_TYPE_BROAD_GAUGE_RAILTYPE_3KV" dataDxfId="69"/>
    <tableColumn id="33" xr3:uid="{A5FAA105-CF81-4A75-8967-5721104454E8}" name="TRACK_TYPE_BROAD_GAUGE_RAILTYPE_1500V" dataDxfId="68"/>
    <tableColumn id="32" xr3:uid="{439CDFDE-6BFC-446C-87CF-28C8FF65FCE0}" name="TRACK_TYPE_BROAD_GAUGE_RAILTYPE_3RD" dataDxfId="67"/>
    <tableColumn id="31" xr3:uid="{219AB5E3-CDFF-41B3-BD58-F7427606D15F}" name="TRACK_TYPE_BROAD_GAUGE_RAILTYPE_4TH" dataDxfId="66"/>
    <tableColumn id="30" xr3:uid="{01529768-EA0D-4662-B835-74641896CE3F}" name="TRACK_TYPE_BROAD_GAUGE_RAILTYPE_DUAL" dataDxfId="65"/>
    <tableColumn id="29" xr3:uid="{32C384AB-18DB-4161-B29B-A363A2547BB2}" name="TRACK_TYPE_BROAD_GAUGE_RAILTYPE_NONE" dataDxfId="64"/>
    <tableColumn id="26" xr3:uid="{1CFC6F26-22A8-42EE-972B-0F7ED6623B5A}" name="TRACK_TYPE_MONO" dataDxfId="63"/>
    <tableColumn id="25" xr3:uid="{62939270-15C1-494E-9C53-6EA9E8209C3B}" name="TRACK_TYPE_MGLV" dataDxfId="62"/>
    <tableColumn id="24" xr3:uid="{9DA86EDA-F2AB-4C2D-918E-5260313FD8B3}" name="TRACK_TYPE_MTRO" dataDxfId="61"/>
    <tableColumn id="21" xr3:uid="{E6F11214-E912-4D1C-980D-A111C93B0BED}" name="CHECK_ANY_TT" dataDxfId="60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89" totalsRowShown="0" headerRowDxfId="59">
  <autoFilter ref="A1:D789" xr:uid="{6DCCB998-B5D1-4B0D-8701-BC0E171A94CA}"/>
  <tableColumns count="4">
    <tableColumn id="1" xr3:uid="{D2075027-38D7-4343-90E5-C24108CD2AE6}" name="VEHIDCODE" dataDxfId="58"/>
    <tableColumn id="90" xr3:uid="{D77720DE-D127-4558-8307-BE7A69A3838E}" name="REGION1" dataDxfId="57"/>
    <tableColumn id="91" xr3:uid="{92457DA1-8436-4E87-A9BF-D4D2B9B82761}" name="REGION2" dataDxfId="56"/>
    <tableColumn id="17" xr3:uid="{840511D0-8458-4E0F-8A5C-5845BECB7FBE}" name="REGION3" dataDxfId="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89" totalsRowShown="0" headerRowDxfId="54">
  <autoFilter ref="A1:I789" xr:uid="{6DCCB998-B5D1-4B0D-8701-BC0E171A94CA}"/>
  <tableColumns count="9">
    <tableColumn id="1" xr3:uid="{BCDA7527-0C26-4CCE-A429-B20E1B0E4D5C}" name="VEHIDCODE" dataDxfId="53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89" totalsRowShown="0" headerRowDxfId="52">
  <autoFilter ref="A1:G789" xr:uid="{6DCCB998-B5D1-4B0D-8701-BC0E171A94CA}"/>
  <tableColumns count="7">
    <tableColumn id="1" xr3:uid="{327CDBB6-E1D6-4B9F-9625-C81419775134}" name="VEHIDCODE" dataDxfId="51"/>
    <tableColumn id="101" xr3:uid="{78690AEB-EA8F-4FC7-9651-C84D8F318EE9}" name="MISC_FLAGS_TRAIN_FLAG_2CC" dataDxfId="50"/>
    <tableColumn id="100" xr3:uid="{90DBB1A2-A86F-42C6-B2B8-64A2FD6690AB}" name="MISC_FLAGS_TRAIN_FLAG_MU" dataDxfId="49"/>
    <tableColumn id="99" xr3:uid="{DA6644B2-20CC-47E2-B1B5-10210B43738A}" name="MISC_FLAGS_TRAIN_FLAG_AUTOREFIT" dataDxfId="48"/>
    <tableColumn id="108" xr3:uid="{980A5687-92C0-42A0-811D-C3D4EA0876D1}" name="VISUAL_EFFECT_1" dataDxfId="47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4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89" totalsRowShown="0" headerRowDxfId="123">
  <autoFilter ref="A1:D789" xr:uid="{6DCCB998-B5D1-4B0D-8701-BC0E171A94CA}"/>
  <tableColumns count="4">
    <tableColumn id="1" xr3:uid="{0B6094CF-6CA6-410A-A041-C85FACC0820E}" name="VEHIDCODE" dataDxfId="122"/>
    <tableColumn id="7" xr3:uid="{3D8CAD9A-C0D1-459B-8D7C-DFC931F5B279}" name="PANTOGRAPH_POSITION" dataDxfId="121"/>
    <tableColumn id="6" xr3:uid="{E0637D36-B3FC-4486-87F9-603EB2076188}" name="TEMPLATE_ID" dataDxfId="120"/>
    <tableColumn id="9" xr3:uid="{FEF2BF9C-74F1-405C-9871-E4301805E364}" name="TEMPLATE_AMENDMENT_CODE" dataDxfId="11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8911387-C76E-41BC-B2D1-617970CD0968}" name="ENGLISH_ITEMS" displayName="ENGLISH_ITEMS" ref="A1:B789" totalsRowShown="0" headerRowDxfId="45" dataDxfId="43" headerRowBorderDxfId="44" tableBorderDxfId="42" totalsRowBorderDxfId="41">
  <autoFilter ref="A1:B789" xr:uid="{68911387-C76E-41BC-B2D1-617970CD0968}"/>
  <tableColumns count="2">
    <tableColumn id="1" xr3:uid="{59531D9A-5B2E-4EEB-90AB-1B626319D82E}" name="VEHIDCODE" dataDxfId="40"/>
    <tableColumn id="2" xr3:uid="{B4CE8568-C653-45AC-9712-6719D442617D}" name="English_Name" dataDxfId="3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AC995AE-697A-4422-B25B-66DEB978FF7E}" name="graphics_dump_lookup" displayName="graphics_dump_lookup" ref="A1:C7162" totalsRowShown="0">
  <autoFilter ref="A1:C7162" xr:uid="{238737DE-BEEC-4F0C-A2B8-9A4DC1C78EB9}"/>
  <tableColumns count="3">
    <tableColumn id="1" xr3:uid="{B60FB5D0-9FFF-4343-9EF7-C4524F7E153F}" name="VEHIDCODE"/>
    <tableColumn id="2" xr3:uid="{12D22EC7-5FE8-4D32-B539-C27ABE0685D9}" name="Type"/>
    <tableColumn id="3" xr3:uid="{8E786A6F-7245-4B7A-8E0C-4BA8818A63F0}" name="ID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5E3B48CB-2AF8-44C5-937C-F53BF1781568}" name="graphics_dump_lookup26" displayName="graphics_dump_lookup26" ref="A1:B1032" totalsRowShown="0">
  <autoFilter ref="A1:B1032" xr:uid="{238737DE-BEEC-4F0C-A2B8-9A4DC1C78EB9}"/>
  <sortState xmlns:xlrd2="http://schemas.microsoft.com/office/spreadsheetml/2017/richdata2" ref="A2:B1032">
    <sortCondition ref="A1:A1032"/>
  </sortState>
  <tableColumns count="2">
    <tableColumn id="7" xr3:uid="{DB670FA4-0874-4B83-8E25-10544B5A5698}" name="TemplateID" dataDxfId="38"/>
    <tableColumn id="6" xr3:uid="{EEC6EBB7-7CF6-4154-87F9-810CE08B6163}" name="Component" dataDxfId="3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36" headerRowBorderDxfId="35" tableBorderDxfId="3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33" headerRowBorderDxfId="32" tableBorderDxfId="3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30" dataDxfId="29" tableBorderDxfId="28">
  <autoFilter ref="A1:A17" xr:uid="{0B243503-43AD-403A-90CE-B69D05B25C30}"/>
  <tableColumns count="1">
    <tableColumn id="1" xr3:uid="{3709FB1B-DE08-4A3E-8CA6-F5322D2A3261}" name="VALID_REGIONS" dataDxfId="2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26"/>
    <tableColumn id="4" xr3:uid="{3DDC8685-BA3D-40E8-A910-1E59013A762D}" name="Range End" dataDxfId="2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24" dataDxfId="23">
  <autoFilter ref="A1:N16" xr:uid="{863AE95D-BE34-47D8-B01B-1170BF25FDF2}"/>
  <tableColumns count="14">
    <tableColumn id="1" xr3:uid="{5F487593-655E-41B5-B155-86F88B53946D}" name="COST_CAT" dataDxfId="22"/>
    <tableColumn id="2" xr3:uid="{33F9C454-EDB2-4DA7-BF7A-64CBC12EBC9B}" name="P1" dataDxfId="21"/>
    <tableColumn id="3" xr3:uid="{25FB11D0-082D-4DE3-9821-1367939D8742}" name="P2" dataDxfId="20"/>
    <tableColumn id="4" xr3:uid="{19CDF402-C641-4217-A953-2A851DF85ADB}" name="P3" dataDxfId="19"/>
    <tableColumn id="5" xr3:uid="{1EF59E2C-32FF-4712-AD89-CBF77E507832}" name="P4" dataDxfId="18"/>
    <tableColumn id="6" xr3:uid="{04250F90-183D-4392-BE27-C420F795E1DC}" name="P5" dataDxfId="17"/>
    <tableColumn id="7" xr3:uid="{F7062C4F-5B57-4110-A21E-BDC8820130D9}" name="P6" dataDxfId="16"/>
    <tableColumn id="8" xr3:uid="{B47621AA-9D6F-4396-B3D9-BD8CF656F30E}" name="P7" dataDxfId="15"/>
    <tableColumn id="9" xr3:uid="{7055539E-C4C8-407D-91F5-6CB021EDE84F}" name="R1" dataDxfId="14"/>
    <tableColumn id="10" xr3:uid="{D17981EB-EB8A-4630-958C-3792D72CD53F}" name="R2" dataDxfId="13"/>
    <tableColumn id="11" xr3:uid="{85EDD15A-812B-4C42-B03A-D558B807622E}" name="R3" dataDxfId="12"/>
    <tableColumn id="12" xr3:uid="{61A73E38-33EC-41D1-B899-56F15EDBDD59}" name="R4" dataDxfId="11"/>
    <tableColumn id="13" xr3:uid="{7A83ADCF-C18F-402F-81A8-0F935E928ED9}" name="R5" dataDxfId="10"/>
    <tableColumn id="14" xr3:uid="{1140F6C7-9C3D-4800-9F3B-DC6E6EBE9541}" name="R6" dataDxfId="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5" Type="http://schemas.openxmlformats.org/officeDocument/2006/relationships/table" Target="../tables/table15.xml"/><Relationship Id="rId4" Type="http://schemas.openxmlformats.org/officeDocument/2006/relationships/table" Target="../tables/table1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789"/>
  <sheetViews>
    <sheetView workbookViewId="0">
      <selection activeCell="D1" sqref="D1"/>
    </sheetView>
  </sheetViews>
  <sheetFormatPr defaultRowHeight="14.6"/>
  <cols>
    <col min="1" max="1" width="50.765625" bestFit="1" customWidth="1"/>
    <col min="2" max="2" width="45" bestFit="1" customWidth="1"/>
    <col min="3" max="3" width="23.61328125" bestFit="1" customWidth="1"/>
    <col min="4" max="6" width="23.61328125" customWidth="1"/>
    <col min="7" max="7" width="22.765625" style="2" bestFit="1" customWidth="1"/>
    <col min="8" max="8" width="55.3046875" customWidth="1"/>
    <col min="9" max="9" width="53.84375" customWidth="1"/>
  </cols>
  <sheetData>
    <row r="1" spans="1:16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8239</v>
      </c>
      <c r="G1" s="22" t="s">
        <v>932</v>
      </c>
      <c r="H1" s="8" t="s">
        <v>692</v>
      </c>
      <c r="I1" s="8" t="s">
        <v>693</v>
      </c>
      <c r="J1" s="7" t="s">
        <v>8233</v>
      </c>
      <c r="K1" s="7" t="s">
        <v>8235</v>
      </c>
      <c r="L1" s="7" t="s">
        <v>8238</v>
      </c>
      <c r="M1" s="7" t="s">
        <v>8236</v>
      </c>
      <c r="N1" s="7" t="s">
        <v>8237</v>
      </c>
      <c r="O1" s="7" t="s">
        <v>8234</v>
      </c>
      <c r="P1" s="7" t="s">
        <v>8242</v>
      </c>
    </row>
    <row r="2" spans="1:16">
      <c r="A2" s="2" t="s">
        <v>751</v>
      </c>
      <c r="B2" t="str">
        <f>_xlfn.TEXTAFTER(TRACK_TYPES[[#This Row],[VEHIDCODE]],"_")</f>
        <v>Maglev_Wagon_Powered</v>
      </c>
      <c r="C2" t="s">
        <v>909</v>
      </c>
      <c r="D2" t="s">
        <v>981</v>
      </c>
      <c r="E2">
        <v>13005</v>
      </c>
      <c r="F2" t="b">
        <f>AND(CONTROL[[#This Row],[IS_WAGON_OR_COACH]]=TRUE,OR(RIGHT(CONTROL[[#This Row],[VEHIDCODE]],7)="Powered",RIGHT(CONTROL[[#This Row],[VEHIDCODE]],9)="Unpowered"))</f>
        <v>1</v>
      </c>
      <c r="G2" s="2" t="b">
        <f>OR(ISNUMBER(SEARCH("wagon_",CONTROL[[#This Row],[VEHIDCODE]])),ISNUMBER(SEARCH("coach_",CONTROL[[#This Row],[VEHIDCODE]])))</f>
        <v>1</v>
      </c>
      <c r="H2" t="str">
        <f>"item_"&amp;CONTROL[[#This Row],[VEHIDCODE]]</f>
        <v>item_mglv_Maglev_Wagon_Powered</v>
      </c>
      <c r="I2" t="str">
        <f>"str_"&amp;CONTROL[[#This Row],[VEHIDCODE]]</f>
        <v>str_mglv_Maglev_Wagon_Powered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t="b">
        <f>ISNUMBER(_xlfn.XMATCH(CONTROL[[#This Row],[VEHIDCODE]],ENGLISH_ITEMS[VEHIDCODE],0))</f>
        <v>1</v>
      </c>
    </row>
    <row r="3" spans="1:16">
      <c r="A3" s="2" t="s">
        <v>752</v>
      </c>
      <c r="B3" t="str">
        <f>_xlfn.TEXTAFTER(TRACK_TYPES[[#This Row],[VEHIDCODE]],"_")</f>
        <v>Maglev_Wagon_Unpowered</v>
      </c>
      <c r="C3" t="s">
        <v>909</v>
      </c>
      <c r="D3" t="s">
        <v>981</v>
      </c>
      <c r="E3">
        <v>13004</v>
      </c>
      <c r="F3" t="b">
        <f>AND(CONTROL[[#This Row],[IS_WAGON_OR_COACH]]=TRUE,OR(RIGHT(CONTROL[[#This Row],[VEHIDCODE]],7)="Powered",RIGHT(CONTROL[[#This Row],[VEHIDCODE]],9)="Unpowered"))</f>
        <v>1</v>
      </c>
      <c r="G3" s="2" t="b">
        <f>OR(ISNUMBER(SEARCH("wagon_",CONTROL[[#This Row],[VEHIDCODE]])),ISNUMBER(SEARCH("coach_",CONTROL[[#This Row],[VEHIDCODE]])))</f>
        <v>1</v>
      </c>
      <c r="H3" t="str">
        <f>"item_"&amp;CONTROL[[#This Row],[VEHIDCODE]]</f>
        <v>item_mglv_Maglev_Wagon_Unpowered</v>
      </c>
      <c r="I3" t="str">
        <f>"str_"&amp;CONTROL[[#This Row],[VEHIDCODE]]</f>
        <v>str_mglv_Maglev_Wagon_Unpowered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t="b">
        <f>ISNUMBER(_xlfn.XMATCH(CONTROL[[#This Row],[VEHIDCODE]],ENGLISH_ITEMS[VEHIDCODE],0))</f>
        <v>1</v>
      </c>
    </row>
    <row r="4" spans="1:16">
      <c r="A4" s="2" t="s">
        <v>22</v>
      </c>
      <c r="B4" t="str">
        <f>_xlfn.TEXTAFTER(TRACK_TYPES[[#This Row],[VEHIDCODE]],"_")</f>
        <v>Austria_NOLB_1</v>
      </c>
      <c r="C4" t="s">
        <v>726</v>
      </c>
      <c r="D4" t="s">
        <v>941</v>
      </c>
      <c r="E4">
        <v>1000</v>
      </c>
      <c r="F4" t="b">
        <f>AND(CONTROL[[#This Row],[IS_WAGON_OR_COACH]]=TRUE,OR(RIGHT(CONTROL[[#This Row],[VEHIDCODE]],7)="Powered",RIGHT(CONTROL[[#This Row],[VEHIDCODE]],9)="Unpowered"))</f>
        <v>0</v>
      </c>
      <c r="G4" s="2" t="b">
        <f>OR(ISNUMBER(SEARCH("wagon_",CONTROL[[#This Row],[VEHIDCODE]])),ISNUMBER(SEARCH("coach_",CONTROL[[#This Row],[VEHIDCODE]])))</f>
        <v>0</v>
      </c>
      <c r="H4" t="str">
        <f>"item_"&amp;CONTROL[[#This Row],[VEHIDCODE]]</f>
        <v>item_rbs_Austria_NOLB_1</v>
      </c>
      <c r="I4" t="str">
        <f>"str_"&amp;CONTROL[[#This Row],[VEHIDCODE]]</f>
        <v>str_rbs_Austria_NOLB_1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t="b">
        <f>ISNUMBER(_xlfn.XMATCH(CONTROL[[#This Row],[VEHIDCODE]],ENGLISH_ITEMS[VEHIDCODE],0))</f>
        <v>1</v>
      </c>
    </row>
    <row r="5" spans="1:16">
      <c r="A5" s="2" t="s">
        <v>25</v>
      </c>
      <c r="B5" t="str">
        <f>_xlfn.TEXTAFTER(TRACK_TYPES[[#This Row],[VEHIDCODE]],"_")</f>
        <v>Italy_FS_86</v>
      </c>
      <c r="C5" t="s">
        <v>726</v>
      </c>
      <c r="D5" t="s">
        <v>941</v>
      </c>
      <c r="E5">
        <v>1001</v>
      </c>
      <c r="F5" t="b">
        <f>AND(CONTROL[[#This Row],[IS_WAGON_OR_COACH]]=TRUE,OR(RIGHT(CONTROL[[#This Row],[VEHIDCODE]],7)="Powered",RIGHT(CONTROL[[#This Row],[VEHIDCODE]],9)="Unpowered"))</f>
        <v>0</v>
      </c>
      <c r="G5" s="2" t="b">
        <f>OR(ISNUMBER(SEARCH("wagon_",CONTROL[[#This Row],[VEHIDCODE]])),ISNUMBER(SEARCH("coach_",CONTROL[[#This Row],[VEHIDCODE]])))</f>
        <v>0</v>
      </c>
      <c r="H5" t="str">
        <f>"item_"&amp;CONTROL[[#This Row],[VEHIDCODE]]</f>
        <v>item_rbs_Italy_FS_86</v>
      </c>
      <c r="I5" t="str">
        <f>"str_"&amp;CONTROL[[#This Row],[VEHIDCODE]]</f>
        <v>str_rbs_Italy_FS_86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t="b">
        <f>ISNUMBER(_xlfn.XMATCH(CONTROL[[#This Row],[VEHIDCODE]],ENGLISH_ITEMS[VEHIDCODE],0))</f>
        <v>1</v>
      </c>
    </row>
    <row r="6" spans="1:16">
      <c r="A6" s="2" t="s">
        <v>26</v>
      </c>
      <c r="B6" t="str">
        <f>_xlfn.TEXTAFTER(TRACK_TYPES[[#This Row],[VEHIDCODE]],"_")</f>
        <v>Australia_Victorian_Railways_Rowan_Railmotor</v>
      </c>
      <c r="C6" t="s">
        <v>726</v>
      </c>
      <c r="D6" t="s">
        <v>941</v>
      </c>
      <c r="E6">
        <v>1002</v>
      </c>
      <c r="F6" t="b">
        <f>AND(CONTROL[[#This Row],[IS_WAGON_OR_COACH]]=TRUE,OR(RIGHT(CONTROL[[#This Row],[VEHIDCODE]],7)="Powered",RIGHT(CONTROL[[#This Row],[VEHIDCODE]],9)="Unpowered"))</f>
        <v>0</v>
      </c>
      <c r="G6" s="2" t="b">
        <f>OR(ISNUMBER(SEARCH("wagon_",CONTROL[[#This Row],[VEHIDCODE]])),ISNUMBER(SEARCH("coach_",CONTROL[[#This Row],[VEHIDCODE]])))</f>
        <v>0</v>
      </c>
      <c r="H6" t="str">
        <f>"item_"&amp;CONTROL[[#This Row],[VEHIDCODE]]</f>
        <v>item_rbs_Australia_Victorian_Railways_Rowan_Railmotor</v>
      </c>
      <c r="I6" t="str">
        <f>"str_"&amp;CONTROL[[#This Row],[VEHIDCODE]]</f>
        <v>str_rbs_Australia_Victorian_Railways_Rowan_Railmotor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t="b">
        <f>ISNUMBER(_xlfn.XMATCH(CONTROL[[#This Row],[VEHIDCODE]],ENGLISH_ITEMS[VEHIDCODE],0))</f>
        <v>1</v>
      </c>
    </row>
    <row r="7" spans="1:16">
      <c r="A7" s="2" t="s">
        <v>27</v>
      </c>
      <c r="B7" t="str">
        <f>_xlfn.TEXTAFTER(TRACK_TYPES[[#This Row],[VEHIDCODE]],"_")</f>
        <v>Switzerland_UeBB_Czm_1_2</v>
      </c>
      <c r="C7" t="s">
        <v>726</v>
      </c>
      <c r="D7" t="s">
        <v>941</v>
      </c>
      <c r="E7">
        <v>1003</v>
      </c>
      <c r="F7" t="b">
        <f>AND(CONTROL[[#This Row],[IS_WAGON_OR_COACH]]=TRUE,OR(RIGHT(CONTROL[[#This Row],[VEHIDCODE]],7)="Powered",RIGHT(CONTROL[[#This Row],[VEHIDCODE]],9)="Unpowered"))</f>
        <v>0</v>
      </c>
      <c r="G7" s="2" t="b">
        <f>OR(ISNUMBER(SEARCH("wagon_",CONTROL[[#This Row],[VEHIDCODE]])),ISNUMBER(SEARCH("coach_",CONTROL[[#This Row],[VEHIDCODE]])))</f>
        <v>0</v>
      </c>
      <c r="H7" t="str">
        <f>"item_"&amp;CONTROL[[#This Row],[VEHIDCODE]]</f>
        <v>item_rbs_Switzerland_UeBB_Czm_1_2</v>
      </c>
      <c r="I7" t="str">
        <f>"str_"&amp;CONTROL[[#This Row],[VEHIDCODE]]</f>
        <v>str_rbs_Switzerland_UeBB_Czm_1_2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t="b">
        <f>ISNUMBER(_xlfn.XMATCH(CONTROL[[#This Row],[VEHIDCODE]],ENGLISH_ITEMS[VEHIDCODE],0))</f>
        <v>1</v>
      </c>
    </row>
    <row r="8" spans="1:16">
      <c r="A8" s="2" t="s">
        <v>28</v>
      </c>
      <c r="B8" t="str">
        <f>_xlfn.TEXTAFTER(TRACK_TYPES[[#This Row],[VEHIDCODE]],"_")</f>
        <v>Germany_Bavarian_MCCi</v>
      </c>
      <c r="C8" t="s">
        <v>726</v>
      </c>
      <c r="D8" t="s">
        <v>941</v>
      </c>
      <c r="E8">
        <v>1004</v>
      </c>
      <c r="F8" t="b">
        <f>AND(CONTROL[[#This Row],[IS_WAGON_OR_COACH]]=TRUE,OR(RIGHT(CONTROL[[#This Row],[VEHIDCODE]],7)="Powered",RIGHT(CONTROL[[#This Row],[VEHIDCODE]],9)="Unpowered"))</f>
        <v>0</v>
      </c>
      <c r="G8" s="2" t="b">
        <f>OR(ISNUMBER(SEARCH("wagon_",CONTROL[[#This Row],[VEHIDCODE]])),ISNUMBER(SEARCH("coach_",CONTROL[[#This Row],[VEHIDCODE]])))</f>
        <v>0</v>
      </c>
      <c r="H8" t="str">
        <f>"item_"&amp;CONTROL[[#This Row],[VEHIDCODE]]</f>
        <v>item_rbs_Germany_Bavarian_MCCi</v>
      </c>
      <c r="I8" t="str">
        <f>"str_"&amp;CONTROL[[#This Row],[VEHIDCODE]]</f>
        <v>str_rbs_Germany_Bavarian_MCCi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t="b">
        <f>ISNUMBER(_xlfn.XMATCH(CONTROL[[#This Row],[VEHIDCODE]],ENGLISH_ITEMS[VEHIDCODE],0))</f>
        <v>1</v>
      </c>
    </row>
    <row r="9" spans="1:16">
      <c r="A9" s="2" t="s">
        <v>29</v>
      </c>
      <c r="B9" t="str">
        <f>_xlfn.TEXTAFTER(TRACK_TYPES[[#This Row],[VEHIDCODE]],"_")</f>
        <v>South_Africa_CSAR_Railmotor</v>
      </c>
      <c r="C9" t="s">
        <v>726</v>
      </c>
      <c r="D9" t="s">
        <v>941</v>
      </c>
      <c r="E9">
        <v>1005</v>
      </c>
      <c r="F9" t="b">
        <f>AND(CONTROL[[#This Row],[IS_WAGON_OR_COACH]]=TRUE,OR(RIGHT(CONTROL[[#This Row],[VEHIDCODE]],7)="Powered",RIGHT(CONTROL[[#This Row],[VEHIDCODE]],9)="Unpowered"))</f>
        <v>0</v>
      </c>
      <c r="G9" s="2" t="b">
        <f>OR(ISNUMBER(SEARCH("wagon_",CONTROL[[#This Row],[VEHIDCODE]])),ISNUMBER(SEARCH("coach_",CONTROL[[#This Row],[VEHIDCODE]])))</f>
        <v>0</v>
      </c>
      <c r="H9" t="str">
        <f>"item_"&amp;CONTROL[[#This Row],[VEHIDCODE]]</f>
        <v>item_rbs_South_Africa_CSAR_Railmotor</v>
      </c>
      <c r="I9" t="str">
        <f>"str_"&amp;CONTROL[[#This Row],[VEHIDCODE]]</f>
        <v>str_rbs_South_Africa_CSAR_Railmotor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t="b">
        <f>ISNUMBER(_xlfn.XMATCH(CONTROL[[#This Row],[VEHIDCODE]],ENGLISH_ITEMS[VEHIDCODE],0))</f>
        <v>1</v>
      </c>
    </row>
    <row r="10" spans="1:16">
      <c r="A10" s="2" t="s">
        <v>30</v>
      </c>
      <c r="B10" t="str">
        <f>_xlfn.TEXTAFTER(TRACK_TYPES[[#This Row],[VEHIDCODE]],"_")</f>
        <v>Australia_Victorian_Railways_Motor_Car_3</v>
      </c>
      <c r="C10" t="s">
        <v>726</v>
      </c>
      <c r="D10" t="s">
        <v>941</v>
      </c>
      <c r="E10">
        <v>1006</v>
      </c>
      <c r="F10" t="b">
        <f>AND(CONTROL[[#This Row],[IS_WAGON_OR_COACH]]=TRUE,OR(RIGHT(CONTROL[[#This Row],[VEHIDCODE]],7)="Powered",RIGHT(CONTROL[[#This Row],[VEHIDCODE]],9)="Unpowered"))</f>
        <v>0</v>
      </c>
      <c r="G10" s="2" t="b">
        <f>OR(ISNUMBER(SEARCH("wagon_",CONTROL[[#This Row],[VEHIDCODE]])),ISNUMBER(SEARCH("coach_",CONTROL[[#This Row],[VEHIDCODE]])))</f>
        <v>0</v>
      </c>
      <c r="H10" t="str">
        <f>"item_"&amp;CONTROL[[#This Row],[VEHIDCODE]]</f>
        <v>item_rbs_Australia_Victorian_Railways_Motor_Car_3</v>
      </c>
      <c r="I10" t="str">
        <f>"str_"&amp;CONTROL[[#This Row],[VEHIDCODE]]</f>
        <v>str_rbs_Australia_Victorian_Railways_Motor_Car_3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t="b">
        <f>ISNUMBER(_xlfn.XMATCH(CONTROL[[#This Row],[VEHIDCODE]],ENGLISH_ITEMS[VEHIDCODE],0))</f>
        <v>1</v>
      </c>
    </row>
    <row r="11" spans="1:16">
      <c r="A11" s="2" t="s">
        <v>31</v>
      </c>
      <c r="B11" t="str">
        <f>_xlfn.TEXTAFTER(TRACK_TYPES[[#This Row],[VEHIDCODE]],"_")</f>
        <v>Austria_kkStB_4_0</v>
      </c>
      <c r="C11" t="s">
        <v>726</v>
      </c>
      <c r="D11" t="s">
        <v>941</v>
      </c>
      <c r="E11">
        <v>1007</v>
      </c>
      <c r="F11" t="b">
        <f>AND(CONTROL[[#This Row],[IS_WAGON_OR_COACH]]=TRUE,OR(RIGHT(CONTROL[[#This Row],[VEHIDCODE]],7)="Powered",RIGHT(CONTROL[[#This Row],[VEHIDCODE]],9)="Unpowered"))</f>
        <v>0</v>
      </c>
      <c r="G11" s="2" t="b">
        <f>OR(ISNUMBER(SEARCH("wagon_",CONTROL[[#This Row],[VEHIDCODE]])),ISNUMBER(SEARCH("coach_",CONTROL[[#This Row],[VEHIDCODE]])))</f>
        <v>0</v>
      </c>
      <c r="H11" t="str">
        <f>"item_"&amp;CONTROL[[#This Row],[VEHIDCODE]]</f>
        <v>item_rbs_Austria_kkStB_4_0</v>
      </c>
      <c r="I11" t="str">
        <f>"str_"&amp;CONTROL[[#This Row],[VEHIDCODE]]</f>
        <v>str_rbs_Austria_kkStB_4_0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t="b">
        <f>ISNUMBER(_xlfn.XMATCH(CONTROL[[#This Row],[VEHIDCODE]],ENGLISH_ITEMS[VEHIDCODE],0))</f>
        <v>1</v>
      </c>
    </row>
    <row r="12" spans="1:16">
      <c r="A12" s="2" t="s">
        <v>34</v>
      </c>
      <c r="B12" t="str">
        <f>_xlfn.TEXTAFTER(TRACK_TYPES[[#This Row],[VEHIDCODE]],"_")</f>
        <v>Australia_Victorian_Railways_AEC_RM1</v>
      </c>
      <c r="C12" t="s">
        <v>727</v>
      </c>
      <c r="D12" t="s">
        <v>944</v>
      </c>
      <c r="E12">
        <v>2000</v>
      </c>
      <c r="F12" t="b">
        <f>AND(CONTROL[[#This Row],[IS_WAGON_OR_COACH]]=TRUE,OR(RIGHT(CONTROL[[#This Row],[VEHIDCODE]],7)="Powered",RIGHT(CONTROL[[#This Row],[VEHIDCODE]],9)="Unpowered"))</f>
        <v>0</v>
      </c>
      <c r="G12" s="2" t="b">
        <f>OR(ISNUMBER(SEARCH("wagon_",CONTROL[[#This Row],[VEHIDCODE]])),ISNUMBER(SEARCH("coach_",CONTROL[[#This Row],[VEHIDCODE]])))</f>
        <v>0</v>
      </c>
      <c r="H12" t="str">
        <f>"item_"&amp;CONTROL[[#This Row],[VEHIDCODE]]</f>
        <v>item_rbd_Australia_Victorian_Railways_AEC_RM1</v>
      </c>
      <c r="I12" t="str">
        <f>"str_"&amp;CONTROL[[#This Row],[VEHIDCODE]]</f>
        <v>str_rbd_Australia_Victorian_Railways_AEC_RM1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t="b">
        <f>ISNUMBER(_xlfn.XMATCH(CONTROL[[#This Row],[VEHIDCODE]],ENGLISH_ITEMS[VEHIDCODE],0))</f>
        <v>1</v>
      </c>
    </row>
    <row r="13" spans="1:16">
      <c r="A13" s="2" t="s">
        <v>36</v>
      </c>
      <c r="B13" t="str">
        <f>_xlfn.TEXTAFTER(TRACK_TYPES[[#This Row],[VEHIDCODE]],"_")</f>
        <v>Germany_DB_VT_133</v>
      </c>
      <c r="C13" t="s">
        <v>727</v>
      </c>
      <c r="D13" t="s">
        <v>944</v>
      </c>
      <c r="E13">
        <v>2001</v>
      </c>
      <c r="F13" t="b">
        <f>AND(CONTROL[[#This Row],[IS_WAGON_OR_COACH]]=TRUE,OR(RIGHT(CONTROL[[#This Row],[VEHIDCODE]],7)="Powered",RIGHT(CONTROL[[#This Row],[VEHIDCODE]],9)="Unpowered"))</f>
        <v>0</v>
      </c>
      <c r="G13" s="2" t="b">
        <f>OR(ISNUMBER(SEARCH("wagon_",CONTROL[[#This Row],[VEHIDCODE]])),ISNUMBER(SEARCH("coach_",CONTROL[[#This Row],[VEHIDCODE]])))</f>
        <v>0</v>
      </c>
      <c r="H13" t="str">
        <f>"item_"&amp;CONTROL[[#This Row],[VEHIDCODE]]</f>
        <v>item_rbd_Germany_DB_VT_133</v>
      </c>
      <c r="I13" t="str">
        <f>"str_"&amp;CONTROL[[#This Row],[VEHIDCODE]]</f>
        <v>str_rbd_Germany_DB_VT_133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t="b">
        <f>ISNUMBER(_xlfn.XMATCH(CONTROL[[#This Row],[VEHIDCODE]],ENGLISH_ITEMS[VEHIDCODE],0))</f>
        <v>1</v>
      </c>
    </row>
    <row r="14" spans="1:16">
      <c r="A14" s="2" t="s">
        <v>37</v>
      </c>
      <c r="B14" t="str">
        <f>_xlfn.TEXTAFTER(TRACK_TYPES[[#This Row],[VEHIDCODE]],"_")</f>
        <v>United_Kingdom_GWR_AEC_Railcar</v>
      </c>
      <c r="C14" t="s">
        <v>727</v>
      </c>
      <c r="D14" t="s">
        <v>944</v>
      </c>
      <c r="E14">
        <v>2002</v>
      </c>
      <c r="F14" t="b">
        <f>AND(CONTROL[[#This Row],[IS_WAGON_OR_COACH]]=TRUE,OR(RIGHT(CONTROL[[#This Row],[VEHIDCODE]],7)="Powered",RIGHT(CONTROL[[#This Row],[VEHIDCODE]],9)="Unpowered"))</f>
        <v>0</v>
      </c>
      <c r="G14" s="2" t="b">
        <f>OR(ISNUMBER(SEARCH("wagon_",CONTROL[[#This Row],[VEHIDCODE]])),ISNUMBER(SEARCH("coach_",CONTROL[[#This Row],[VEHIDCODE]])))</f>
        <v>0</v>
      </c>
      <c r="H14" t="str">
        <f>"item_"&amp;CONTROL[[#This Row],[VEHIDCODE]]</f>
        <v>item_rbd_United_Kingdom_GWR_AEC_Railcar</v>
      </c>
      <c r="I14" t="str">
        <f>"str_"&amp;CONTROL[[#This Row],[VEHIDCODE]]</f>
        <v>str_rbd_United_Kingdom_GWR_AEC_Railcar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t="b">
        <f>ISNUMBER(_xlfn.XMATCH(CONTROL[[#This Row],[VEHIDCODE]],ENGLISH_ITEMS[VEHIDCODE],0))</f>
        <v>1</v>
      </c>
    </row>
    <row r="15" spans="1:16">
      <c r="A15" s="2" t="s">
        <v>38</v>
      </c>
      <c r="B15" t="str">
        <f>_xlfn.TEXTAFTER(TRACK_TYPES[[#This Row],[VEHIDCODE]],"_")</f>
        <v>Austria_OBB_5042</v>
      </c>
      <c r="C15" t="s">
        <v>727</v>
      </c>
      <c r="D15" t="s">
        <v>944</v>
      </c>
      <c r="E15">
        <v>2003</v>
      </c>
      <c r="F15" t="b">
        <f>AND(CONTROL[[#This Row],[IS_WAGON_OR_COACH]]=TRUE,OR(RIGHT(CONTROL[[#This Row],[VEHIDCODE]],7)="Powered",RIGHT(CONTROL[[#This Row],[VEHIDCODE]],9)="Unpowered"))</f>
        <v>0</v>
      </c>
      <c r="G15" s="2" t="b">
        <f>OR(ISNUMBER(SEARCH("wagon_",CONTROL[[#This Row],[VEHIDCODE]])),ISNUMBER(SEARCH("coach_",CONTROL[[#This Row],[VEHIDCODE]])))</f>
        <v>0</v>
      </c>
      <c r="H15" t="str">
        <f>"item_"&amp;CONTROL[[#This Row],[VEHIDCODE]]</f>
        <v>item_rbd_Austria_OBB_5042</v>
      </c>
      <c r="I15" t="str">
        <f>"str_"&amp;CONTROL[[#This Row],[VEHIDCODE]]</f>
        <v>str_rbd_Austria_OBB_5042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t="b">
        <f>ISNUMBER(_xlfn.XMATCH(CONTROL[[#This Row],[VEHIDCODE]],ENGLISH_ITEMS[VEHIDCODE],0))</f>
        <v>1</v>
      </c>
    </row>
    <row r="16" spans="1:16">
      <c r="A16" s="2" t="s">
        <v>39</v>
      </c>
      <c r="B16" t="str">
        <f>_xlfn.TEXTAFTER(TRACK_TYPES[[#This Row],[VEHIDCODE]],"_")</f>
        <v>New_Zealand_NZR_RM31</v>
      </c>
      <c r="C16" t="s">
        <v>727</v>
      </c>
      <c r="D16" t="s">
        <v>944</v>
      </c>
      <c r="E16">
        <v>2004</v>
      </c>
      <c r="F16" t="b">
        <f>AND(CONTROL[[#This Row],[IS_WAGON_OR_COACH]]=TRUE,OR(RIGHT(CONTROL[[#This Row],[VEHIDCODE]],7)="Powered",RIGHT(CONTROL[[#This Row],[VEHIDCODE]],9)="Unpowered"))</f>
        <v>0</v>
      </c>
      <c r="G16" s="2" t="b">
        <f>OR(ISNUMBER(SEARCH("wagon_",CONTROL[[#This Row],[VEHIDCODE]])),ISNUMBER(SEARCH("coach_",CONTROL[[#This Row],[VEHIDCODE]])))</f>
        <v>0</v>
      </c>
      <c r="H16" t="str">
        <f>"item_"&amp;CONTROL[[#This Row],[VEHIDCODE]]</f>
        <v>item_rbd_New_Zealand_NZR_RM31</v>
      </c>
      <c r="I16" t="str">
        <f>"str_"&amp;CONTROL[[#This Row],[VEHIDCODE]]</f>
        <v>str_rbd_New_Zealand_NZR_RM31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t="b">
        <f>ISNUMBER(_xlfn.XMATCH(CONTROL[[#This Row],[VEHIDCODE]],ENGLISH_ITEMS[VEHIDCODE],0))</f>
        <v>1</v>
      </c>
    </row>
    <row r="17" spans="1:16">
      <c r="A17" s="2" t="s">
        <v>40</v>
      </c>
      <c r="B17" t="str">
        <f>_xlfn.TEXTAFTER(TRACK_TYPES[[#This Row],[VEHIDCODE]],"_")</f>
        <v>Portugal_CP_0100</v>
      </c>
      <c r="C17" t="s">
        <v>727</v>
      </c>
      <c r="D17" t="s">
        <v>944</v>
      </c>
      <c r="E17">
        <v>2005</v>
      </c>
      <c r="F17" t="b">
        <f>AND(CONTROL[[#This Row],[IS_WAGON_OR_COACH]]=TRUE,OR(RIGHT(CONTROL[[#This Row],[VEHIDCODE]],7)="Powered",RIGHT(CONTROL[[#This Row],[VEHIDCODE]],9)="Unpowered"))</f>
        <v>0</v>
      </c>
      <c r="G17" s="2" t="b">
        <f>OR(ISNUMBER(SEARCH("wagon_",CONTROL[[#This Row],[VEHIDCODE]])),ISNUMBER(SEARCH("coach_",CONTROL[[#This Row],[VEHIDCODE]])))</f>
        <v>0</v>
      </c>
      <c r="H17" t="str">
        <f>"item_"&amp;CONTROL[[#This Row],[VEHIDCODE]]</f>
        <v>item_rbd_Portugal_CP_0100</v>
      </c>
      <c r="I17" t="str">
        <f>"str_"&amp;CONTROL[[#This Row],[VEHIDCODE]]</f>
        <v>str_rbd_Portugal_CP_0100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t="b">
        <f>ISNUMBER(_xlfn.XMATCH(CONTROL[[#This Row],[VEHIDCODE]],ENGLISH_ITEMS[VEHIDCODE],0))</f>
        <v>1</v>
      </c>
    </row>
    <row r="18" spans="1:16">
      <c r="A18" s="2" t="s">
        <v>41</v>
      </c>
      <c r="B18" t="str">
        <f>_xlfn.TEXTAFTER(TRACK_TYPES[[#This Row],[VEHIDCODE]],"_")</f>
        <v>USA_Amtrak_Budd_RDC</v>
      </c>
      <c r="C18" t="s">
        <v>727</v>
      </c>
      <c r="D18" t="s">
        <v>944</v>
      </c>
      <c r="E18">
        <v>2006</v>
      </c>
      <c r="F18" t="b">
        <f>AND(CONTROL[[#This Row],[IS_WAGON_OR_COACH]]=TRUE,OR(RIGHT(CONTROL[[#This Row],[VEHIDCODE]],7)="Powered",RIGHT(CONTROL[[#This Row],[VEHIDCODE]],9)="Unpowered"))</f>
        <v>0</v>
      </c>
      <c r="G18" s="2" t="b">
        <f>OR(ISNUMBER(SEARCH("wagon_",CONTROL[[#This Row],[VEHIDCODE]])),ISNUMBER(SEARCH("coach_",CONTROL[[#This Row],[VEHIDCODE]])))</f>
        <v>0</v>
      </c>
      <c r="H18" t="str">
        <f>"item_"&amp;CONTROL[[#This Row],[VEHIDCODE]]</f>
        <v>item_rbd_USA_Amtrak_Budd_RDC</v>
      </c>
      <c r="I18" t="str">
        <f>"str_"&amp;CONTROL[[#This Row],[VEHIDCODE]]</f>
        <v>str_rbd_USA_Amtrak_Budd_RDC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t="b">
        <f>ISNUMBER(_xlfn.XMATCH(CONTROL[[#This Row],[VEHIDCODE]],ENGLISH_ITEMS[VEHIDCODE],0))</f>
        <v>1</v>
      </c>
    </row>
    <row r="19" spans="1:16">
      <c r="A19" s="2" t="s">
        <v>42</v>
      </c>
      <c r="B19" t="str">
        <f>_xlfn.TEXTAFTER(TRACK_TYPES[[#This Row],[VEHIDCODE]],"_")</f>
        <v>Germany_DB_VT_989</v>
      </c>
      <c r="C19" t="s">
        <v>727</v>
      </c>
      <c r="D19" t="s">
        <v>944</v>
      </c>
      <c r="E19">
        <v>2044</v>
      </c>
      <c r="F19" t="b">
        <f>AND(CONTROL[[#This Row],[IS_WAGON_OR_COACH]]=TRUE,OR(RIGHT(CONTROL[[#This Row],[VEHIDCODE]],7)="Powered",RIGHT(CONTROL[[#This Row],[VEHIDCODE]],9)="Unpowered"))</f>
        <v>0</v>
      </c>
      <c r="G19" s="2" t="b">
        <f>OR(ISNUMBER(SEARCH("wagon_",CONTROL[[#This Row],[VEHIDCODE]])),ISNUMBER(SEARCH("coach_",CONTROL[[#This Row],[VEHIDCODE]])))</f>
        <v>0</v>
      </c>
      <c r="H19" t="str">
        <f>"item_"&amp;CONTROL[[#This Row],[VEHIDCODE]]</f>
        <v>item_rbd_Germany_DB_VT_989</v>
      </c>
      <c r="I19" t="str">
        <f>"str_"&amp;CONTROL[[#This Row],[VEHIDCODE]]</f>
        <v>str_rbd_Germany_DB_VT_989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t="b">
        <f>ISNUMBER(_xlfn.XMATCH(CONTROL[[#This Row],[VEHIDCODE]],ENGLISH_ITEMS[VEHIDCODE],0))</f>
        <v>1</v>
      </c>
    </row>
    <row r="20" spans="1:16">
      <c r="A20" s="2" t="s">
        <v>43</v>
      </c>
      <c r="B20" t="str">
        <f>_xlfn.TEXTAFTER(TRACK_TYPES[[#This Row],[VEHIDCODE]],"_")</f>
        <v>Germany_OHE_520_GDT</v>
      </c>
      <c r="C20" t="s">
        <v>727</v>
      </c>
      <c r="D20" t="s">
        <v>944</v>
      </c>
      <c r="E20">
        <v>2008</v>
      </c>
      <c r="F20" t="b">
        <f>AND(CONTROL[[#This Row],[IS_WAGON_OR_COACH]]=TRUE,OR(RIGHT(CONTROL[[#This Row],[VEHIDCODE]],7)="Powered",RIGHT(CONTROL[[#This Row],[VEHIDCODE]],9)="Unpowered"))</f>
        <v>0</v>
      </c>
      <c r="G20" s="2" t="b">
        <f>OR(ISNUMBER(SEARCH("wagon_",CONTROL[[#This Row],[VEHIDCODE]])),ISNUMBER(SEARCH("coach_",CONTROL[[#This Row],[VEHIDCODE]])))</f>
        <v>0</v>
      </c>
      <c r="H20" t="str">
        <f>"item_"&amp;CONTROL[[#This Row],[VEHIDCODE]]</f>
        <v>item_rbd_Germany_OHE_520_GDT</v>
      </c>
      <c r="I20" t="str">
        <f>"str_"&amp;CONTROL[[#This Row],[VEHIDCODE]]</f>
        <v>str_rbd_Germany_OHE_520_GDT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t="b">
        <f>ISNUMBER(_xlfn.XMATCH(CONTROL[[#This Row],[VEHIDCODE]],ENGLISH_ITEMS[VEHIDCODE],0))</f>
        <v>1</v>
      </c>
    </row>
    <row r="21" spans="1:16">
      <c r="A21" s="2" t="s">
        <v>44</v>
      </c>
      <c r="B21" t="str">
        <f>_xlfn.TEXTAFTER(TRACK_TYPES[[#This Row],[VEHIDCODE]],"_")</f>
        <v>Netherlands_NS_20_Kameel</v>
      </c>
      <c r="C21" t="s">
        <v>727</v>
      </c>
      <c r="D21" t="s">
        <v>944</v>
      </c>
      <c r="E21">
        <v>2009</v>
      </c>
      <c r="F21" t="b">
        <f>AND(CONTROL[[#This Row],[IS_WAGON_OR_COACH]]=TRUE,OR(RIGHT(CONTROL[[#This Row],[VEHIDCODE]],7)="Powered",RIGHT(CONTROL[[#This Row],[VEHIDCODE]],9)="Unpowered"))</f>
        <v>0</v>
      </c>
      <c r="G21" s="2" t="b">
        <f>OR(ISNUMBER(SEARCH("wagon_",CONTROL[[#This Row],[VEHIDCODE]])),ISNUMBER(SEARCH("coach_",CONTROL[[#This Row],[VEHIDCODE]])))</f>
        <v>0</v>
      </c>
      <c r="H21" t="str">
        <f>"item_"&amp;CONTROL[[#This Row],[VEHIDCODE]]</f>
        <v>item_rbd_Netherlands_NS_20_Kameel</v>
      </c>
      <c r="I21" t="str">
        <f>"str_"&amp;CONTROL[[#This Row],[VEHIDCODE]]</f>
        <v>str_rbd_Netherlands_NS_20_Kameel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t="b">
        <f>ISNUMBER(_xlfn.XMATCH(CONTROL[[#This Row],[VEHIDCODE]],ENGLISH_ITEMS[VEHIDCODE],0))</f>
        <v>1</v>
      </c>
    </row>
    <row r="22" spans="1:16">
      <c r="A22" s="2" t="s">
        <v>45</v>
      </c>
      <c r="B22" t="str">
        <f>_xlfn.TEXTAFTER(TRACK_TYPES[[#This Row],[VEHIDCODE]],"_")</f>
        <v>Netherlands_NS_DH1</v>
      </c>
      <c r="C22" t="s">
        <v>727</v>
      </c>
      <c r="D22" t="s">
        <v>944</v>
      </c>
      <c r="E22">
        <v>2012</v>
      </c>
      <c r="F22" t="b">
        <f>AND(CONTROL[[#This Row],[IS_WAGON_OR_COACH]]=TRUE,OR(RIGHT(CONTROL[[#This Row],[VEHIDCODE]],7)="Powered",RIGHT(CONTROL[[#This Row],[VEHIDCODE]],9)="Unpowered"))</f>
        <v>0</v>
      </c>
      <c r="G22" s="2" t="b">
        <f>OR(ISNUMBER(SEARCH("wagon_",CONTROL[[#This Row],[VEHIDCODE]])),ISNUMBER(SEARCH("coach_",CONTROL[[#This Row],[VEHIDCODE]])))</f>
        <v>0</v>
      </c>
      <c r="H22" t="str">
        <f>"item_"&amp;CONTROL[[#This Row],[VEHIDCODE]]</f>
        <v>item_rbd_Netherlands_NS_DH1</v>
      </c>
      <c r="I22" t="str">
        <f>"str_"&amp;CONTROL[[#This Row],[VEHIDCODE]]</f>
        <v>str_rbd_Netherlands_NS_DH1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t="b">
        <f>ISNUMBER(_xlfn.XMATCH(CONTROL[[#This Row],[VEHIDCODE]],ENGLISH_ITEMS[VEHIDCODE],0))</f>
        <v>1</v>
      </c>
    </row>
    <row r="23" spans="1:16">
      <c r="A23" s="2" t="s">
        <v>46</v>
      </c>
      <c r="B23" t="str">
        <f>_xlfn.TEXTAFTER(TRACK_TYPES[[#This Row],[VEHIDCODE]],"_")</f>
        <v>Austria_OBB_5047</v>
      </c>
      <c r="C23" t="s">
        <v>727</v>
      </c>
      <c r="D23" t="s">
        <v>944</v>
      </c>
      <c r="E23">
        <v>2013</v>
      </c>
      <c r="F23" t="b">
        <f>AND(CONTROL[[#This Row],[IS_WAGON_OR_COACH]]=TRUE,OR(RIGHT(CONTROL[[#This Row],[VEHIDCODE]],7)="Powered",RIGHT(CONTROL[[#This Row],[VEHIDCODE]],9)="Unpowered"))</f>
        <v>0</v>
      </c>
      <c r="G23" s="2" t="b">
        <f>OR(ISNUMBER(SEARCH("wagon_",CONTROL[[#This Row],[VEHIDCODE]])),ISNUMBER(SEARCH("coach_",CONTROL[[#This Row],[VEHIDCODE]])))</f>
        <v>0</v>
      </c>
      <c r="H23" t="str">
        <f>"item_"&amp;CONTROL[[#This Row],[VEHIDCODE]]</f>
        <v>item_rbd_Austria_OBB_5047</v>
      </c>
      <c r="I23" t="str">
        <f>"str_"&amp;CONTROL[[#This Row],[VEHIDCODE]]</f>
        <v>str_rbd_Austria_OBB_5047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t="b">
        <f>ISNUMBER(_xlfn.XMATCH(CONTROL[[#This Row],[VEHIDCODE]],ENGLISH_ITEMS[VEHIDCODE],0))</f>
        <v>1</v>
      </c>
    </row>
    <row r="24" spans="1:16">
      <c r="A24" s="2" t="s">
        <v>47</v>
      </c>
      <c r="B24" t="str">
        <f>_xlfn.TEXTAFTER(TRACK_TYPES[[#This Row],[VEHIDCODE]],"_")</f>
        <v>United_Kingdom_BR_153_Super_Sprinter</v>
      </c>
      <c r="C24" t="s">
        <v>727</v>
      </c>
      <c r="D24" t="s">
        <v>944</v>
      </c>
      <c r="E24">
        <v>2014</v>
      </c>
      <c r="F24" t="b">
        <f>AND(CONTROL[[#This Row],[IS_WAGON_OR_COACH]]=TRUE,OR(RIGHT(CONTROL[[#This Row],[VEHIDCODE]],7)="Powered",RIGHT(CONTROL[[#This Row],[VEHIDCODE]],9)="Unpowered"))</f>
        <v>0</v>
      </c>
      <c r="G24" s="2" t="b">
        <f>OR(ISNUMBER(SEARCH("wagon_",CONTROL[[#This Row],[VEHIDCODE]])),ISNUMBER(SEARCH("coach_",CONTROL[[#This Row],[VEHIDCODE]])))</f>
        <v>0</v>
      </c>
      <c r="H24" t="str">
        <f>"item_"&amp;CONTROL[[#This Row],[VEHIDCODE]]</f>
        <v>item_rbd_United_Kingdom_BR_153_Super_Sprinter</v>
      </c>
      <c r="I24" t="str">
        <f>"str_"&amp;CONTROL[[#This Row],[VEHIDCODE]]</f>
        <v>str_rbd_United_Kingdom_BR_153_Super_Sprinter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t="b">
        <f>ISNUMBER(_xlfn.XMATCH(CONTROL[[#This Row],[VEHIDCODE]],ENGLISH_ITEMS[VEHIDCODE],0))</f>
        <v>1</v>
      </c>
    </row>
    <row r="25" spans="1:16">
      <c r="A25" s="2" t="s">
        <v>48</v>
      </c>
      <c r="B25" t="str">
        <f>_xlfn.TEXTAFTER(TRACK_TYPES[[#This Row],[VEHIDCODE]],"_")</f>
        <v>Czech_Republic_CD_809</v>
      </c>
      <c r="C25" t="s">
        <v>727</v>
      </c>
      <c r="D25" t="s">
        <v>944</v>
      </c>
      <c r="E25">
        <v>2015</v>
      </c>
      <c r="F25" t="b">
        <f>AND(CONTROL[[#This Row],[IS_WAGON_OR_COACH]]=TRUE,OR(RIGHT(CONTROL[[#This Row],[VEHIDCODE]],7)="Powered",RIGHT(CONTROL[[#This Row],[VEHIDCODE]],9)="Unpowered"))</f>
        <v>0</v>
      </c>
      <c r="G25" s="2" t="b">
        <f>OR(ISNUMBER(SEARCH("wagon_",CONTROL[[#This Row],[VEHIDCODE]])),ISNUMBER(SEARCH("coach_",CONTROL[[#This Row],[VEHIDCODE]])))</f>
        <v>0</v>
      </c>
      <c r="H25" t="str">
        <f>"item_"&amp;CONTROL[[#This Row],[VEHIDCODE]]</f>
        <v>item_rbd_Czech_Republic_CD_809</v>
      </c>
      <c r="I25" t="str">
        <f>"str_"&amp;CONTROL[[#This Row],[VEHIDCODE]]</f>
        <v>str_rbd_Czech_Republic_CD_809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t="b">
        <f>ISNUMBER(_xlfn.XMATCH(CONTROL[[#This Row],[VEHIDCODE]],ENGLISH_ITEMS[VEHIDCODE],0))</f>
        <v>1</v>
      </c>
    </row>
    <row r="26" spans="1:16">
      <c r="A26" s="2" t="s">
        <v>49</v>
      </c>
      <c r="B26" t="str">
        <f>_xlfn.TEXTAFTER(TRACK_TYPES[[#This Row],[VEHIDCODE]],"_")</f>
        <v>Germany_DB_670</v>
      </c>
      <c r="C26" t="s">
        <v>727</v>
      </c>
      <c r="D26" t="s">
        <v>944</v>
      </c>
      <c r="E26">
        <v>2017</v>
      </c>
      <c r="F26" t="b">
        <f>AND(CONTROL[[#This Row],[IS_WAGON_OR_COACH]]=TRUE,OR(RIGHT(CONTROL[[#This Row],[VEHIDCODE]],7)="Powered",RIGHT(CONTROL[[#This Row],[VEHIDCODE]],9)="Unpowered"))</f>
        <v>0</v>
      </c>
      <c r="G26" s="2" t="b">
        <f>OR(ISNUMBER(SEARCH("wagon_",CONTROL[[#This Row],[VEHIDCODE]])),ISNUMBER(SEARCH("coach_",CONTROL[[#This Row],[VEHIDCODE]])))</f>
        <v>0</v>
      </c>
      <c r="H26" t="str">
        <f>"item_"&amp;CONTROL[[#This Row],[VEHIDCODE]]</f>
        <v>item_rbd_Germany_DB_670</v>
      </c>
      <c r="I26" t="str">
        <f>"str_"&amp;CONTROL[[#This Row],[VEHIDCODE]]</f>
        <v>str_rbd_Germany_DB_670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t="b">
        <f>ISNUMBER(_xlfn.XMATCH(CONTROL[[#This Row],[VEHIDCODE]],ENGLISH_ITEMS[VEHIDCODE],0))</f>
        <v>1</v>
      </c>
    </row>
    <row r="27" spans="1:16">
      <c r="A27" s="2" t="s">
        <v>50</v>
      </c>
      <c r="B27" t="str">
        <f>_xlfn.TEXTAFTER(TRACK_TYPES[[#This Row],[VEHIDCODE]],"_")</f>
        <v>Lithuania_Lithuanian_Railways_AR2</v>
      </c>
      <c r="C27" t="s">
        <v>727</v>
      </c>
      <c r="D27" t="s">
        <v>944</v>
      </c>
      <c r="E27">
        <v>2018</v>
      </c>
      <c r="F27" t="b">
        <f>AND(CONTROL[[#This Row],[IS_WAGON_OR_COACH]]=TRUE,OR(RIGHT(CONTROL[[#This Row],[VEHIDCODE]],7)="Powered",RIGHT(CONTROL[[#This Row],[VEHIDCODE]],9)="Unpowered"))</f>
        <v>0</v>
      </c>
      <c r="G27" s="2" t="b">
        <f>OR(ISNUMBER(SEARCH("wagon_",CONTROL[[#This Row],[VEHIDCODE]])),ISNUMBER(SEARCH("coach_",CONTROL[[#This Row],[VEHIDCODE]])))</f>
        <v>0</v>
      </c>
      <c r="H27" t="str">
        <f>"item_"&amp;CONTROL[[#This Row],[VEHIDCODE]]</f>
        <v>item_rbd_Lithuania_Lithuanian_Railways_AR2</v>
      </c>
      <c r="I27" t="str">
        <f>"str_"&amp;CONTROL[[#This Row],[VEHIDCODE]]</f>
        <v>str_rbd_Lithuania_Lithuanian_Railways_AR2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t="b">
        <f>ISNUMBER(_xlfn.XMATCH(CONTROL[[#This Row],[VEHIDCODE]],ENGLISH_ITEMS[VEHIDCODE],0))</f>
        <v>1</v>
      </c>
    </row>
    <row r="28" spans="1:16">
      <c r="A28" s="2" t="s">
        <v>51</v>
      </c>
      <c r="B28" t="str">
        <f>_xlfn.TEXTAFTER(TRACK_TYPES[[#This Row],[VEHIDCODE]],"_")</f>
        <v>Austria_kkStB_19</v>
      </c>
      <c r="C28" t="s">
        <v>727</v>
      </c>
      <c r="D28" t="s">
        <v>944</v>
      </c>
      <c r="E28">
        <v>2019</v>
      </c>
      <c r="F28" t="b">
        <f>AND(CONTROL[[#This Row],[IS_WAGON_OR_COACH]]=TRUE,OR(RIGHT(CONTROL[[#This Row],[VEHIDCODE]],7)="Powered",RIGHT(CONTROL[[#This Row],[VEHIDCODE]],9)="Unpowered"))</f>
        <v>0</v>
      </c>
      <c r="G28" s="2" t="b">
        <f>OR(ISNUMBER(SEARCH("wagon_",CONTROL[[#This Row],[VEHIDCODE]])),ISNUMBER(SEARCH("coach_",CONTROL[[#This Row],[VEHIDCODE]])))</f>
        <v>0</v>
      </c>
      <c r="H28" t="str">
        <f>"item_"&amp;CONTROL[[#This Row],[VEHIDCODE]]</f>
        <v>item_rbd_Austria_kkStB_19</v>
      </c>
      <c r="I28" t="str">
        <f>"str_"&amp;CONTROL[[#This Row],[VEHIDCODE]]</f>
        <v>str_rbd_Austria_kkStB_19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t="b">
        <f>ISNUMBER(_xlfn.XMATCH(CONTROL[[#This Row],[VEHIDCODE]],ENGLISH_ITEMS[VEHIDCODE],0))</f>
        <v>1</v>
      </c>
    </row>
    <row r="29" spans="1:16">
      <c r="A29" s="2" t="s">
        <v>52</v>
      </c>
      <c r="B29" t="str">
        <f>_xlfn.TEXTAFTER(TRACK_TYPES[[#This Row],[VEHIDCODE]],"_")</f>
        <v>USA_Virginia_Truckee_Motor_Car_22</v>
      </c>
      <c r="C29" t="s">
        <v>727</v>
      </c>
      <c r="D29" t="s">
        <v>944</v>
      </c>
      <c r="E29">
        <v>2020</v>
      </c>
      <c r="F29" t="b">
        <f>AND(CONTROL[[#This Row],[IS_WAGON_OR_COACH]]=TRUE,OR(RIGHT(CONTROL[[#This Row],[VEHIDCODE]],7)="Powered",RIGHT(CONTROL[[#This Row],[VEHIDCODE]],9)="Unpowered"))</f>
        <v>0</v>
      </c>
      <c r="G29" s="2" t="b">
        <f>OR(ISNUMBER(SEARCH("wagon_",CONTROL[[#This Row],[VEHIDCODE]])),ISNUMBER(SEARCH("coach_",CONTROL[[#This Row],[VEHIDCODE]])))</f>
        <v>0</v>
      </c>
      <c r="H29" t="str">
        <f>"item_"&amp;CONTROL[[#This Row],[VEHIDCODE]]</f>
        <v>item_rbd_USA_Virginia_Truckee_Motor_Car_22</v>
      </c>
      <c r="I29" t="str">
        <f>"str_"&amp;CONTROL[[#This Row],[VEHIDCODE]]</f>
        <v>str_rbd_USA_Virginia_Truckee_Motor_Car_22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t="b">
        <f>ISNUMBER(_xlfn.XMATCH(CONTROL[[#This Row],[VEHIDCODE]],ENGLISH_ITEMS[VEHIDCODE],0))</f>
        <v>1</v>
      </c>
    </row>
    <row r="30" spans="1:16">
      <c r="A30" s="2" t="s">
        <v>53</v>
      </c>
      <c r="B30" t="str">
        <f>_xlfn.TEXTAFTER(TRACK_TYPES[[#This Row],[VEHIDCODE]],"_")</f>
        <v>Germany_Saxon_DET_1_2</v>
      </c>
      <c r="C30" t="s">
        <v>727</v>
      </c>
      <c r="D30" t="s">
        <v>944</v>
      </c>
      <c r="E30">
        <v>2021</v>
      </c>
      <c r="F30" t="b">
        <f>AND(CONTROL[[#This Row],[IS_WAGON_OR_COACH]]=TRUE,OR(RIGHT(CONTROL[[#This Row],[VEHIDCODE]],7)="Powered",RIGHT(CONTROL[[#This Row],[VEHIDCODE]],9)="Unpowered"))</f>
        <v>0</v>
      </c>
      <c r="G30" s="2" t="b">
        <f>OR(ISNUMBER(SEARCH("wagon_",CONTROL[[#This Row],[VEHIDCODE]])),ISNUMBER(SEARCH("coach_",CONTROL[[#This Row],[VEHIDCODE]])))</f>
        <v>0</v>
      </c>
      <c r="H30" t="str">
        <f>"item_"&amp;CONTROL[[#This Row],[VEHIDCODE]]</f>
        <v>item_rbd_Germany_Saxon_DET_1_2</v>
      </c>
      <c r="I30" t="str">
        <f>"str_"&amp;CONTROL[[#This Row],[VEHIDCODE]]</f>
        <v>str_rbd_Germany_Saxon_DET_1_2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t="b">
        <f>ISNUMBER(_xlfn.XMATCH(CONTROL[[#This Row],[VEHIDCODE]],ENGLISH_ITEMS[VEHIDCODE],0))</f>
        <v>1</v>
      </c>
    </row>
    <row r="31" spans="1:16">
      <c r="A31" s="2" t="s">
        <v>54</v>
      </c>
      <c r="B31" t="str">
        <f>_xlfn.TEXTAFTER(TRACK_TYPES[[#This Row],[VEHIDCODE]],"_")</f>
        <v>UK_WC_PR_Drewry_Railcar</v>
      </c>
      <c r="C31" t="s">
        <v>727</v>
      </c>
      <c r="D31" t="s">
        <v>944</v>
      </c>
      <c r="E31">
        <v>2022</v>
      </c>
      <c r="F31" t="b">
        <f>AND(CONTROL[[#This Row],[IS_WAGON_OR_COACH]]=TRUE,OR(RIGHT(CONTROL[[#This Row],[VEHIDCODE]],7)="Powered",RIGHT(CONTROL[[#This Row],[VEHIDCODE]],9)="Unpowered"))</f>
        <v>0</v>
      </c>
      <c r="G31" s="2" t="b">
        <f>OR(ISNUMBER(SEARCH("wagon_",CONTROL[[#This Row],[VEHIDCODE]])),ISNUMBER(SEARCH("coach_",CONTROL[[#This Row],[VEHIDCODE]])))</f>
        <v>0</v>
      </c>
      <c r="H31" t="str">
        <f>"item_"&amp;CONTROL[[#This Row],[VEHIDCODE]]</f>
        <v>item_rbd_UK_WC_PR_Drewry_Railcar</v>
      </c>
      <c r="I31" t="str">
        <f>"str_"&amp;CONTROL[[#This Row],[VEHIDCODE]]</f>
        <v>str_rbd_UK_WC_PR_Drewry_Railcar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t="b">
        <f>ISNUMBER(_xlfn.XMATCH(CONTROL[[#This Row],[VEHIDCODE]],ENGLISH_ITEMS[VEHIDCODE],0))</f>
        <v>1</v>
      </c>
    </row>
    <row r="32" spans="1:16">
      <c r="A32" s="2" t="s">
        <v>55</v>
      </c>
      <c r="B32" t="str">
        <f>_xlfn.TEXTAFTER(TRACK_TYPES[[#This Row],[VEHIDCODE]],"_")</f>
        <v>Germany_BSt_6001</v>
      </c>
      <c r="C32" t="s">
        <v>727</v>
      </c>
      <c r="D32" t="s">
        <v>944</v>
      </c>
      <c r="E32">
        <v>2023</v>
      </c>
      <c r="F32" t="b">
        <f>AND(CONTROL[[#This Row],[IS_WAGON_OR_COACH]]=TRUE,OR(RIGHT(CONTROL[[#This Row],[VEHIDCODE]],7)="Powered",RIGHT(CONTROL[[#This Row],[VEHIDCODE]],9)="Unpowered"))</f>
        <v>0</v>
      </c>
      <c r="G32" s="2" t="b">
        <f>OR(ISNUMBER(SEARCH("wagon_",CONTROL[[#This Row],[VEHIDCODE]])),ISNUMBER(SEARCH("coach_",CONTROL[[#This Row],[VEHIDCODE]])))</f>
        <v>0</v>
      </c>
      <c r="H32" t="str">
        <f>"item_"&amp;CONTROL[[#This Row],[VEHIDCODE]]</f>
        <v>item_rbd_Germany_BSt_6001</v>
      </c>
      <c r="I32" t="str">
        <f>"str_"&amp;CONTROL[[#This Row],[VEHIDCODE]]</f>
        <v>str_rbd_Germany_BSt_6001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t="b">
        <f>ISNUMBER(_xlfn.XMATCH(CONTROL[[#This Row],[VEHIDCODE]],ENGLISH_ITEMS[VEHIDCODE],0))</f>
        <v>1</v>
      </c>
    </row>
    <row r="33" spans="1:16">
      <c r="A33" s="2" t="s">
        <v>56</v>
      </c>
      <c r="B33" t="str">
        <f>_xlfn.TEXTAFTER(TRACK_TYPES[[#This Row],[VEHIDCODE]],"_")</f>
        <v>Australia_Victorian_Railways_DERM</v>
      </c>
      <c r="C33" t="s">
        <v>727</v>
      </c>
      <c r="D33" t="s">
        <v>944</v>
      </c>
      <c r="E33">
        <v>2024</v>
      </c>
      <c r="F33" t="b">
        <f>AND(CONTROL[[#This Row],[IS_WAGON_OR_COACH]]=TRUE,OR(RIGHT(CONTROL[[#This Row],[VEHIDCODE]],7)="Powered",RIGHT(CONTROL[[#This Row],[VEHIDCODE]],9)="Unpowered"))</f>
        <v>0</v>
      </c>
      <c r="G33" s="2" t="b">
        <f>OR(ISNUMBER(SEARCH("wagon_",CONTROL[[#This Row],[VEHIDCODE]])),ISNUMBER(SEARCH("coach_",CONTROL[[#This Row],[VEHIDCODE]])))</f>
        <v>0</v>
      </c>
      <c r="H33" t="str">
        <f>"item_"&amp;CONTROL[[#This Row],[VEHIDCODE]]</f>
        <v>item_rbd_Australia_Victorian_Railways_DERM</v>
      </c>
      <c r="I33" t="str">
        <f>"str_"&amp;CONTROL[[#This Row],[VEHIDCODE]]</f>
        <v>str_rbd_Australia_Victorian_Railways_DERM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t="b">
        <f>ISNUMBER(_xlfn.XMATCH(CONTROL[[#This Row],[VEHIDCODE]],ENGLISH_ITEMS[VEHIDCODE],0))</f>
        <v>1</v>
      </c>
    </row>
    <row r="34" spans="1:16">
      <c r="A34" s="2" t="s">
        <v>57</v>
      </c>
      <c r="B34" t="str">
        <f>_xlfn.TEXTAFTER(TRACK_TYPES[[#This Row],[VEHIDCODE]],"_")</f>
        <v>Czech_Republic_CD_M120</v>
      </c>
      <c r="C34" t="s">
        <v>727</v>
      </c>
      <c r="D34" t="s">
        <v>944</v>
      </c>
      <c r="E34">
        <v>2025</v>
      </c>
      <c r="F34" t="b">
        <f>AND(CONTROL[[#This Row],[IS_WAGON_OR_COACH]]=TRUE,OR(RIGHT(CONTROL[[#This Row],[VEHIDCODE]],7)="Powered",RIGHT(CONTROL[[#This Row],[VEHIDCODE]],9)="Unpowered"))</f>
        <v>0</v>
      </c>
      <c r="G34" s="2" t="b">
        <f>OR(ISNUMBER(SEARCH("wagon_",CONTROL[[#This Row],[VEHIDCODE]])),ISNUMBER(SEARCH("coach_",CONTROL[[#This Row],[VEHIDCODE]])))</f>
        <v>0</v>
      </c>
      <c r="H34" t="str">
        <f>"item_"&amp;CONTROL[[#This Row],[VEHIDCODE]]</f>
        <v>item_rbd_Czech_Republic_CD_M120</v>
      </c>
      <c r="I34" t="str">
        <f>"str_"&amp;CONTROL[[#This Row],[VEHIDCODE]]</f>
        <v>str_rbd_Czech_Republic_CD_M120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t="b">
        <f>ISNUMBER(_xlfn.XMATCH(CONTROL[[#This Row],[VEHIDCODE]],ENGLISH_ITEMS[VEHIDCODE],0))</f>
        <v>1</v>
      </c>
    </row>
    <row r="35" spans="1:16">
      <c r="A35" s="2" t="s">
        <v>58</v>
      </c>
      <c r="B35" t="str">
        <f>_xlfn.TEXTAFTER(TRACK_TYPES[[#This Row],[VEHIDCODE]],"_")</f>
        <v>Germany_Schienenzeppelin</v>
      </c>
      <c r="C35" t="s">
        <v>727</v>
      </c>
      <c r="D35" t="s">
        <v>944</v>
      </c>
      <c r="E35">
        <v>2026</v>
      </c>
      <c r="F35" t="b">
        <f>AND(CONTROL[[#This Row],[IS_WAGON_OR_COACH]]=TRUE,OR(RIGHT(CONTROL[[#This Row],[VEHIDCODE]],7)="Powered",RIGHT(CONTROL[[#This Row],[VEHIDCODE]],9)="Unpowered"))</f>
        <v>0</v>
      </c>
      <c r="G35" s="2" t="b">
        <f>OR(ISNUMBER(SEARCH("wagon_",CONTROL[[#This Row],[VEHIDCODE]])),ISNUMBER(SEARCH("coach_",CONTROL[[#This Row],[VEHIDCODE]])))</f>
        <v>0</v>
      </c>
      <c r="H35" t="str">
        <f>"item_"&amp;CONTROL[[#This Row],[VEHIDCODE]]</f>
        <v>item_rbd_Germany_Schienenzeppelin</v>
      </c>
      <c r="I35" t="str">
        <f>"str_"&amp;CONTROL[[#This Row],[VEHIDCODE]]</f>
        <v>str_rbd_Germany_Schienenzeppelin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t="b">
        <f>ISNUMBER(_xlfn.XMATCH(CONTROL[[#This Row],[VEHIDCODE]],ENGLISH_ITEMS[VEHIDCODE],0))</f>
        <v>1</v>
      </c>
    </row>
    <row r="36" spans="1:16">
      <c r="A36" s="2" t="s">
        <v>59</v>
      </c>
      <c r="B36" t="str">
        <f>_xlfn.TEXTAFTER(TRACK_TYPES[[#This Row],[VEHIDCODE]],"_")</f>
        <v>Denmark_DSB_MO</v>
      </c>
      <c r="C36" t="s">
        <v>727</v>
      </c>
      <c r="D36" t="s">
        <v>944</v>
      </c>
      <c r="E36">
        <v>2027</v>
      </c>
      <c r="F36" t="b">
        <f>AND(CONTROL[[#This Row],[IS_WAGON_OR_COACH]]=TRUE,OR(RIGHT(CONTROL[[#This Row],[VEHIDCODE]],7)="Powered",RIGHT(CONTROL[[#This Row],[VEHIDCODE]],9)="Unpowered"))</f>
        <v>0</v>
      </c>
      <c r="G36" s="2" t="b">
        <f>OR(ISNUMBER(SEARCH("wagon_",CONTROL[[#This Row],[VEHIDCODE]])),ISNUMBER(SEARCH("coach_",CONTROL[[#This Row],[VEHIDCODE]])))</f>
        <v>0</v>
      </c>
      <c r="H36" t="str">
        <f>"item_"&amp;CONTROL[[#This Row],[VEHIDCODE]]</f>
        <v>item_rbd_Denmark_DSB_MO</v>
      </c>
      <c r="I36" t="str">
        <f>"str_"&amp;CONTROL[[#This Row],[VEHIDCODE]]</f>
        <v>str_rbd_Denmark_DSB_MO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t="b">
        <f>ISNUMBER(_xlfn.XMATCH(CONTROL[[#This Row],[VEHIDCODE]],ENGLISH_ITEMS[VEHIDCODE],0))</f>
        <v>1</v>
      </c>
    </row>
    <row r="37" spans="1:16">
      <c r="A37" s="2" t="s">
        <v>60</v>
      </c>
      <c r="B37" t="str">
        <f>_xlfn.TEXTAFTER(TRACK_TYPES[[#This Row],[VEHIDCODE]],"_")</f>
        <v>Norway_NSB_Cmb_17</v>
      </c>
      <c r="C37" t="s">
        <v>727</v>
      </c>
      <c r="D37" t="s">
        <v>944</v>
      </c>
      <c r="E37">
        <v>2028</v>
      </c>
      <c r="F37" t="b">
        <f>AND(CONTROL[[#This Row],[IS_WAGON_OR_COACH]]=TRUE,OR(RIGHT(CONTROL[[#This Row],[VEHIDCODE]],7)="Powered",RIGHT(CONTROL[[#This Row],[VEHIDCODE]],9)="Unpowered"))</f>
        <v>0</v>
      </c>
      <c r="G37" s="2" t="b">
        <f>OR(ISNUMBER(SEARCH("wagon_",CONTROL[[#This Row],[VEHIDCODE]])),ISNUMBER(SEARCH("coach_",CONTROL[[#This Row],[VEHIDCODE]])))</f>
        <v>0</v>
      </c>
      <c r="H37" t="str">
        <f>"item_"&amp;CONTROL[[#This Row],[VEHIDCODE]]</f>
        <v>item_rbd_Norway_NSB_Cmb_17</v>
      </c>
      <c r="I37" t="str">
        <f>"str_"&amp;CONTROL[[#This Row],[VEHIDCODE]]</f>
        <v>str_rbd_Norway_NSB_Cmb_17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t="b">
        <f>ISNUMBER(_xlfn.XMATCH(CONTROL[[#This Row],[VEHIDCODE]],ENGLISH_ITEMS[VEHIDCODE],0))</f>
        <v>1</v>
      </c>
    </row>
    <row r="38" spans="1:16">
      <c r="A38" s="2" t="s">
        <v>61</v>
      </c>
      <c r="B38" t="str">
        <f>_xlfn.TEXTAFTER(TRACK_TYPES[[#This Row],[VEHIDCODE]],"_")</f>
        <v>Czech_Republic_CD_M290</v>
      </c>
      <c r="C38" t="s">
        <v>727</v>
      </c>
      <c r="D38" t="s">
        <v>944</v>
      </c>
      <c r="E38">
        <v>2029</v>
      </c>
      <c r="F38" t="b">
        <f>AND(CONTROL[[#This Row],[IS_WAGON_OR_COACH]]=TRUE,OR(RIGHT(CONTROL[[#This Row],[VEHIDCODE]],7)="Powered",RIGHT(CONTROL[[#This Row],[VEHIDCODE]],9)="Unpowered"))</f>
        <v>0</v>
      </c>
      <c r="G38" s="2" t="b">
        <f>OR(ISNUMBER(SEARCH("wagon_",CONTROL[[#This Row],[VEHIDCODE]])),ISNUMBER(SEARCH("coach_",CONTROL[[#This Row],[VEHIDCODE]])))</f>
        <v>0</v>
      </c>
      <c r="H38" t="str">
        <f>"item_"&amp;CONTROL[[#This Row],[VEHIDCODE]]</f>
        <v>item_rbd_Czech_Republic_CD_M290</v>
      </c>
      <c r="I38" t="str">
        <f>"str_"&amp;CONTROL[[#This Row],[VEHIDCODE]]</f>
        <v>str_rbd_Czech_Republic_CD_M290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t="b">
        <f>ISNUMBER(_xlfn.XMATCH(CONTROL[[#This Row],[VEHIDCODE]],ENGLISH_ITEMS[VEHIDCODE],0))</f>
        <v>1</v>
      </c>
    </row>
    <row r="39" spans="1:16">
      <c r="A39" s="2" t="s">
        <v>62</v>
      </c>
      <c r="B39" t="str">
        <f>_xlfn.TEXTAFTER(TRACK_TYPES[[#This Row],[VEHIDCODE]],"_")</f>
        <v>Netherlands_NS_omBC</v>
      </c>
      <c r="C39" t="s">
        <v>727</v>
      </c>
      <c r="D39" t="s">
        <v>944</v>
      </c>
      <c r="E39">
        <v>2030</v>
      </c>
      <c r="F39" t="b">
        <f>AND(CONTROL[[#This Row],[IS_WAGON_OR_COACH]]=TRUE,OR(RIGHT(CONTROL[[#This Row],[VEHIDCODE]],7)="Powered",RIGHT(CONTROL[[#This Row],[VEHIDCODE]],9)="Unpowered"))</f>
        <v>0</v>
      </c>
      <c r="G39" s="2" t="b">
        <f>OR(ISNUMBER(SEARCH("wagon_",CONTROL[[#This Row],[VEHIDCODE]])),ISNUMBER(SEARCH("coach_",CONTROL[[#This Row],[VEHIDCODE]])))</f>
        <v>0</v>
      </c>
      <c r="H39" t="str">
        <f>"item_"&amp;CONTROL[[#This Row],[VEHIDCODE]]</f>
        <v>item_rbd_Netherlands_NS_omBC</v>
      </c>
      <c r="I39" t="str">
        <f>"str_"&amp;CONTROL[[#This Row],[VEHIDCODE]]</f>
        <v>str_rbd_Netherlands_NS_omBC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t="b">
        <f>ISNUMBER(_xlfn.XMATCH(CONTROL[[#This Row],[VEHIDCODE]],ENGLISH_ITEMS[VEHIDCODE],0))</f>
        <v>1</v>
      </c>
    </row>
    <row r="40" spans="1:16">
      <c r="A40" s="2" t="s">
        <v>63</v>
      </c>
      <c r="B40" t="str">
        <f>_xlfn.TEXTAFTER(TRACK_TYPES[[#This Row],[VEHIDCODE]],"_")</f>
        <v>Australia_NSWGR_Class_400</v>
      </c>
      <c r="C40" t="s">
        <v>727</v>
      </c>
      <c r="D40" t="s">
        <v>944</v>
      </c>
      <c r="E40">
        <v>2031</v>
      </c>
      <c r="F40" t="b">
        <f>AND(CONTROL[[#This Row],[IS_WAGON_OR_COACH]]=TRUE,OR(RIGHT(CONTROL[[#This Row],[VEHIDCODE]],7)="Powered",RIGHT(CONTROL[[#This Row],[VEHIDCODE]],9)="Unpowered"))</f>
        <v>0</v>
      </c>
      <c r="G40" s="2" t="b">
        <f>OR(ISNUMBER(SEARCH("wagon_",CONTROL[[#This Row],[VEHIDCODE]])),ISNUMBER(SEARCH("coach_",CONTROL[[#This Row],[VEHIDCODE]])))</f>
        <v>0</v>
      </c>
      <c r="H40" t="str">
        <f>"item_"&amp;CONTROL[[#This Row],[VEHIDCODE]]</f>
        <v>item_rbd_Australia_NSWGR_Class_400</v>
      </c>
      <c r="I40" t="str">
        <f>"str_"&amp;CONTROL[[#This Row],[VEHIDCODE]]</f>
        <v>str_rbd_Australia_NSWGR_Class_400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t="b">
        <f>ISNUMBER(_xlfn.XMATCH(CONTROL[[#This Row],[VEHIDCODE]],ENGLISH_ITEMS[VEHIDCODE],0))</f>
        <v>1</v>
      </c>
    </row>
    <row r="41" spans="1:16">
      <c r="A41" s="2" t="s">
        <v>64</v>
      </c>
      <c r="B41" t="str">
        <f>_xlfn.TEXTAFTER(TRACK_TYPES[[#This Row],[VEHIDCODE]],"_")</f>
        <v>Portugal_CP_USD_9050</v>
      </c>
      <c r="C41" t="s">
        <v>727</v>
      </c>
      <c r="D41" t="s">
        <v>944</v>
      </c>
      <c r="E41">
        <v>2032</v>
      </c>
      <c r="F41" t="b">
        <f>AND(CONTROL[[#This Row],[IS_WAGON_OR_COACH]]=TRUE,OR(RIGHT(CONTROL[[#This Row],[VEHIDCODE]],7)="Powered",RIGHT(CONTROL[[#This Row],[VEHIDCODE]],9)="Unpowered"))</f>
        <v>0</v>
      </c>
      <c r="G41" s="2" t="b">
        <f>OR(ISNUMBER(SEARCH("wagon_",CONTROL[[#This Row],[VEHIDCODE]])),ISNUMBER(SEARCH("coach_",CONTROL[[#This Row],[VEHIDCODE]])))</f>
        <v>0</v>
      </c>
      <c r="H41" t="str">
        <f>"item_"&amp;CONTROL[[#This Row],[VEHIDCODE]]</f>
        <v>item_rbd_Portugal_CP_USD_9050</v>
      </c>
      <c r="I41" t="str">
        <f>"str_"&amp;CONTROL[[#This Row],[VEHIDCODE]]</f>
        <v>str_rbd_Portugal_CP_USD_9050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t="b">
        <f>ISNUMBER(_xlfn.XMATCH(CONTROL[[#This Row],[VEHIDCODE]],ENGLISH_ITEMS[VEHIDCODE],0))</f>
        <v>1</v>
      </c>
    </row>
    <row r="42" spans="1:16">
      <c r="A42" s="2" t="s">
        <v>65</v>
      </c>
      <c r="B42" t="str">
        <f>_xlfn.TEXTAFTER(TRACK_TYPES[[#This Row],[VEHIDCODE]],"_")</f>
        <v>Belgium_SNCB_Class_42</v>
      </c>
      <c r="C42" t="s">
        <v>727</v>
      </c>
      <c r="D42" t="s">
        <v>944</v>
      </c>
      <c r="E42">
        <v>2033</v>
      </c>
      <c r="F42" t="b">
        <f>AND(CONTROL[[#This Row],[IS_WAGON_OR_COACH]]=TRUE,OR(RIGHT(CONTROL[[#This Row],[VEHIDCODE]],7)="Powered",RIGHT(CONTROL[[#This Row],[VEHIDCODE]],9)="Unpowered"))</f>
        <v>0</v>
      </c>
      <c r="G42" s="2" t="b">
        <f>OR(ISNUMBER(SEARCH("wagon_",CONTROL[[#This Row],[VEHIDCODE]])),ISNUMBER(SEARCH("coach_",CONTROL[[#This Row],[VEHIDCODE]])))</f>
        <v>0</v>
      </c>
      <c r="H42" t="str">
        <f>"item_"&amp;CONTROL[[#This Row],[VEHIDCODE]]</f>
        <v>item_rbd_Belgium_SNCB_Class_42</v>
      </c>
      <c r="I42" t="str">
        <f>"str_"&amp;CONTROL[[#This Row],[VEHIDCODE]]</f>
        <v>str_rbd_Belgium_SNCB_Class_42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t="b">
        <f>ISNUMBER(_xlfn.XMATCH(CONTROL[[#This Row],[VEHIDCODE]],ENGLISH_ITEMS[VEHIDCODE],0))</f>
        <v>1</v>
      </c>
    </row>
    <row r="43" spans="1:16">
      <c r="A43" s="2" t="s">
        <v>66</v>
      </c>
      <c r="B43" t="str">
        <f>_xlfn.TEXTAFTER(TRACK_TYPES[[#This Row],[VEHIDCODE]],"_")</f>
        <v>Bulgaria_BDZ_19</v>
      </c>
      <c r="C43" t="s">
        <v>727</v>
      </c>
      <c r="D43" t="s">
        <v>944</v>
      </c>
      <c r="E43">
        <v>2034</v>
      </c>
      <c r="F43" t="b">
        <f>AND(CONTROL[[#This Row],[IS_WAGON_OR_COACH]]=TRUE,OR(RIGHT(CONTROL[[#This Row],[VEHIDCODE]],7)="Powered",RIGHT(CONTROL[[#This Row],[VEHIDCODE]],9)="Unpowered"))</f>
        <v>0</v>
      </c>
      <c r="G43" s="2" t="b">
        <f>OR(ISNUMBER(SEARCH("wagon_",CONTROL[[#This Row],[VEHIDCODE]])),ISNUMBER(SEARCH("coach_",CONTROL[[#This Row],[VEHIDCODE]])))</f>
        <v>0</v>
      </c>
      <c r="H43" t="str">
        <f>"item_"&amp;CONTROL[[#This Row],[VEHIDCODE]]</f>
        <v>item_rbd_Bulgaria_BDZ_19</v>
      </c>
      <c r="I43" t="str">
        <f>"str_"&amp;CONTROL[[#This Row],[VEHIDCODE]]</f>
        <v>str_rbd_Bulgaria_BDZ_19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t="b">
        <f>ISNUMBER(_xlfn.XMATCH(CONTROL[[#This Row],[VEHIDCODE]],ENGLISH_ITEMS[VEHIDCODE],0))</f>
        <v>1</v>
      </c>
    </row>
    <row r="44" spans="1:16">
      <c r="A44" s="2" t="s">
        <v>67</v>
      </c>
      <c r="B44" t="str">
        <f>_xlfn.TEXTAFTER(TRACK_TYPES[[#This Row],[VEHIDCODE]],"_")</f>
        <v>Greece_OSE_AA71</v>
      </c>
      <c r="C44" t="s">
        <v>727</v>
      </c>
      <c r="D44" t="s">
        <v>944</v>
      </c>
      <c r="E44">
        <v>2035</v>
      </c>
      <c r="F44" t="b">
        <f>AND(CONTROL[[#This Row],[IS_WAGON_OR_COACH]]=TRUE,OR(RIGHT(CONTROL[[#This Row],[VEHIDCODE]],7)="Powered",RIGHT(CONTROL[[#This Row],[VEHIDCODE]],9)="Unpowered"))</f>
        <v>0</v>
      </c>
      <c r="G44" s="2" t="b">
        <f>OR(ISNUMBER(SEARCH("wagon_",CONTROL[[#This Row],[VEHIDCODE]])),ISNUMBER(SEARCH("coach_",CONTROL[[#This Row],[VEHIDCODE]])))</f>
        <v>0</v>
      </c>
      <c r="H44" t="str">
        <f>"item_"&amp;CONTROL[[#This Row],[VEHIDCODE]]</f>
        <v>item_rbd_Greece_OSE_AA71</v>
      </c>
      <c r="I44" t="str">
        <f>"str_"&amp;CONTROL[[#This Row],[VEHIDCODE]]</f>
        <v>str_rbd_Greece_OSE_AA71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t="b">
        <f>ISNUMBER(_xlfn.XMATCH(CONTROL[[#This Row],[VEHIDCODE]],ENGLISH_ITEMS[VEHIDCODE],0))</f>
        <v>1</v>
      </c>
    </row>
    <row r="45" spans="1:16">
      <c r="A45" s="2" t="s">
        <v>68</v>
      </c>
      <c r="B45" t="str">
        <f>_xlfn.TEXTAFTER(TRACK_TYPES[[#This Row],[VEHIDCODE]],"_")</f>
        <v>Tunisia_SNCFT_Z431</v>
      </c>
      <c r="C45" t="s">
        <v>727</v>
      </c>
      <c r="D45" t="s">
        <v>944</v>
      </c>
      <c r="E45">
        <v>2036</v>
      </c>
      <c r="F45" t="b">
        <f>AND(CONTROL[[#This Row],[IS_WAGON_OR_COACH]]=TRUE,OR(RIGHT(CONTROL[[#This Row],[VEHIDCODE]],7)="Powered",RIGHT(CONTROL[[#This Row],[VEHIDCODE]],9)="Unpowered"))</f>
        <v>0</v>
      </c>
      <c r="G45" s="2" t="b">
        <f>OR(ISNUMBER(SEARCH("wagon_",CONTROL[[#This Row],[VEHIDCODE]])),ISNUMBER(SEARCH("coach_",CONTROL[[#This Row],[VEHIDCODE]])))</f>
        <v>0</v>
      </c>
      <c r="H45" t="str">
        <f>"item_"&amp;CONTROL[[#This Row],[VEHIDCODE]]</f>
        <v>item_rbd_Tunisia_SNCFT_Z431</v>
      </c>
      <c r="I45" t="str">
        <f>"str_"&amp;CONTROL[[#This Row],[VEHIDCODE]]</f>
        <v>str_rbd_Tunisia_SNCFT_Z431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t="b">
        <f>ISNUMBER(_xlfn.XMATCH(CONTROL[[#This Row],[VEHIDCODE]],ENGLISH_ITEMS[VEHIDCODE],0))</f>
        <v>1</v>
      </c>
    </row>
    <row r="46" spans="1:16">
      <c r="A46" s="2" t="s">
        <v>69</v>
      </c>
      <c r="B46" t="str">
        <f>_xlfn.TEXTAFTER(TRACK_TYPES[[#This Row],[VEHIDCODE]],"_")</f>
        <v>USA_Amtrak_SPV_200</v>
      </c>
      <c r="C46" t="s">
        <v>727</v>
      </c>
      <c r="D46" t="s">
        <v>944</v>
      </c>
      <c r="E46">
        <v>2037</v>
      </c>
      <c r="F46" t="b">
        <f>AND(CONTROL[[#This Row],[IS_WAGON_OR_COACH]]=TRUE,OR(RIGHT(CONTROL[[#This Row],[VEHIDCODE]],7)="Powered",RIGHT(CONTROL[[#This Row],[VEHIDCODE]],9)="Unpowered"))</f>
        <v>0</v>
      </c>
      <c r="G46" s="2" t="b">
        <f>OR(ISNUMBER(SEARCH("wagon_",CONTROL[[#This Row],[VEHIDCODE]])),ISNUMBER(SEARCH("coach_",CONTROL[[#This Row],[VEHIDCODE]])))</f>
        <v>0</v>
      </c>
      <c r="H46" t="str">
        <f>"item_"&amp;CONTROL[[#This Row],[VEHIDCODE]]</f>
        <v>item_rbd_USA_Amtrak_SPV_200</v>
      </c>
      <c r="I46" t="str">
        <f>"str_"&amp;CONTROL[[#This Row],[VEHIDCODE]]</f>
        <v>str_rbd_USA_Amtrak_SPV_200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t="b">
        <f>ISNUMBER(_xlfn.XMATCH(CONTROL[[#This Row],[VEHIDCODE]],ENGLISH_ITEMS[VEHIDCODE],0))</f>
        <v>1</v>
      </c>
    </row>
    <row r="47" spans="1:16">
      <c r="A47" s="2" t="s">
        <v>70</v>
      </c>
      <c r="B47" t="str">
        <f>_xlfn.TEXTAFTER(TRACK_TYPES[[#This Row],[VEHIDCODE]],"_")</f>
        <v>Finland_VR_Dm12</v>
      </c>
      <c r="C47" t="s">
        <v>727</v>
      </c>
      <c r="D47" t="s">
        <v>944</v>
      </c>
      <c r="E47">
        <v>2039</v>
      </c>
      <c r="F47" t="b">
        <f>AND(CONTROL[[#This Row],[IS_WAGON_OR_COACH]]=TRUE,OR(RIGHT(CONTROL[[#This Row],[VEHIDCODE]],7)="Powered",RIGHT(CONTROL[[#This Row],[VEHIDCODE]],9)="Unpowered"))</f>
        <v>0</v>
      </c>
      <c r="G47" s="2" t="b">
        <f>OR(ISNUMBER(SEARCH("wagon_",CONTROL[[#This Row],[VEHIDCODE]])),ISNUMBER(SEARCH("coach_",CONTROL[[#This Row],[VEHIDCODE]])))</f>
        <v>0</v>
      </c>
      <c r="H47" t="str">
        <f>"item_"&amp;CONTROL[[#This Row],[VEHIDCODE]]</f>
        <v>item_rbd_Finland_VR_Dm12</v>
      </c>
      <c r="I47" t="str">
        <f>"str_"&amp;CONTROL[[#This Row],[VEHIDCODE]]</f>
        <v>str_rbd_Finland_VR_Dm12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t="b">
        <f>ISNUMBER(_xlfn.XMATCH(CONTROL[[#This Row],[VEHIDCODE]],ENGLISH_ITEMS[VEHIDCODE],0))</f>
        <v>1</v>
      </c>
    </row>
    <row r="48" spans="1:16">
      <c r="A48" s="2" t="s">
        <v>71</v>
      </c>
      <c r="B48" t="str">
        <f>_xlfn.TEXTAFTER(TRACK_TYPES[[#This Row],[VEHIDCODE]],"_")</f>
        <v>Czech_Republic_CD_840</v>
      </c>
      <c r="C48" t="s">
        <v>727</v>
      </c>
      <c r="D48" t="s">
        <v>944</v>
      </c>
      <c r="E48">
        <v>2041</v>
      </c>
      <c r="F48" t="b">
        <f>AND(CONTROL[[#This Row],[IS_WAGON_OR_COACH]]=TRUE,OR(RIGHT(CONTROL[[#This Row],[VEHIDCODE]],7)="Powered",RIGHT(CONTROL[[#This Row],[VEHIDCODE]],9)="Unpowered"))</f>
        <v>0</v>
      </c>
      <c r="G48" s="2" t="b">
        <f>OR(ISNUMBER(SEARCH("wagon_",CONTROL[[#This Row],[VEHIDCODE]])),ISNUMBER(SEARCH("coach_",CONTROL[[#This Row],[VEHIDCODE]])))</f>
        <v>0</v>
      </c>
      <c r="H48" t="str">
        <f>"item_"&amp;CONTROL[[#This Row],[VEHIDCODE]]</f>
        <v>item_rbd_Czech_Republic_CD_840</v>
      </c>
      <c r="I48" t="str">
        <f>"str_"&amp;CONTROL[[#This Row],[VEHIDCODE]]</f>
        <v>str_rbd_Czech_Republic_CD_840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t="b">
        <f>ISNUMBER(_xlfn.XMATCH(CONTROL[[#This Row],[VEHIDCODE]],ENGLISH_ITEMS[VEHIDCODE],0))</f>
        <v>1</v>
      </c>
    </row>
    <row r="49" spans="1:16">
      <c r="A49" s="2" t="s">
        <v>72</v>
      </c>
      <c r="B49" t="str">
        <f>_xlfn.TEXTAFTER(TRACK_TYPES[[#This Row],[VEHIDCODE]],"_")</f>
        <v>Italy_FS_ALn_668</v>
      </c>
      <c r="C49" t="s">
        <v>727</v>
      </c>
      <c r="D49" t="s">
        <v>944</v>
      </c>
      <c r="E49">
        <v>2046</v>
      </c>
      <c r="F49" t="b">
        <f>AND(CONTROL[[#This Row],[IS_WAGON_OR_COACH]]=TRUE,OR(RIGHT(CONTROL[[#This Row],[VEHIDCODE]],7)="Powered",RIGHT(CONTROL[[#This Row],[VEHIDCODE]],9)="Unpowered"))</f>
        <v>0</v>
      </c>
      <c r="G49" s="2" t="b">
        <f>OR(ISNUMBER(SEARCH("wagon_",CONTROL[[#This Row],[VEHIDCODE]])),ISNUMBER(SEARCH("coach_",CONTROL[[#This Row],[VEHIDCODE]])))</f>
        <v>0</v>
      </c>
      <c r="H49" t="str">
        <f>"item_"&amp;CONTROL[[#This Row],[VEHIDCODE]]</f>
        <v>item_rbd_Italy_FS_ALn_668</v>
      </c>
      <c r="I49" t="str">
        <f>"str_"&amp;CONTROL[[#This Row],[VEHIDCODE]]</f>
        <v>str_rbd_Italy_FS_ALn_668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t="b">
        <f>ISNUMBER(_xlfn.XMATCH(CONTROL[[#This Row],[VEHIDCODE]],ENGLISH_ITEMS[VEHIDCODE],0))</f>
        <v>1</v>
      </c>
    </row>
    <row r="50" spans="1:16">
      <c r="A50" s="2" t="s">
        <v>73</v>
      </c>
      <c r="B50" t="str">
        <f>_xlfn.TEXTAFTER(TRACK_TYPES[[#This Row],[VEHIDCODE]],"_")</f>
        <v>Czech_Republic_CD_M400</v>
      </c>
      <c r="C50" t="s">
        <v>728</v>
      </c>
      <c r="D50" t="s">
        <v>945</v>
      </c>
      <c r="E50">
        <v>3005</v>
      </c>
      <c r="F50" t="b">
        <f>AND(CONTROL[[#This Row],[IS_WAGON_OR_COACH]]=TRUE,OR(RIGHT(CONTROL[[#This Row],[VEHIDCODE]],7)="Powered",RIGHT(CONTROL[[#This Row],[VEHIDCODE]],9)="Unpowered"))</f>
        <v>0</v>
      </c>
      <c r="G50" s="2" t="b">
        <f>OR(ISNUMBER(SEARCH("wagon_",CONTROL[[#This Row],[VEHIDCODE]])),ISNUMBER(SEARCH("coach_",CONTROL[[#This Row],[VEHIDCODE]])))</f>
        <v>0</v>
      </c>
      <c r="H50" t="str">
        <f>"item_"&amp;CONTROL[[#This Row],[VEHIDCODE]]</f>
        <v>item_rbe_Czech_Republic_CD_M400</v>
      </c>
      <c r="I50" t="str">
        <f>"str_"&amp;CONTROL[[#This Row],[VEHIDCODE]]</f>
        <v>str_rbe_Czech_Republic_CD_M400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t="b">
        <f>ISNUMBER(_xlfn.XMATCH(CONTROL[[#This Row],[VEHIDCODE]],ENGLISH_ITEMS[VEHIDCODE],0))</f>
        <v>1</v>
      </c>
    </row>
    <row r="51" spans="1:16">
      <c r="A51" s="2" t="s">
        <v>75</v>
      </c>
      <c r="B51" t="str">
        <f>_xlfn.TEXTAFTER(TRACK_TYPES[[#This Row],[VEHIDCODE]],"_")</f>
        <v>France_SNCF_Z_7100</v>
      </c>
      <c r="C51" t="s">
        <v>728</v>
      </c>
      <c r="D51" t="s">
        <v>945</v>
      </c>
      <c r="E51">
        <v>3012</v>
      </c>
      <c r="F51" t="b">
        <f>AND(CONTROL[[#This Row],[IS_WAGON_OR_COACH]]=TRUE,OR(RIGHT(CONTROL[[#This Row],[VEHIDCODE]],7)="Powered",RIGHT(CONTROL[[#This Row],[VEHIDCODE]],9)="Unpowered"))</f>
        <v>0</v>
      </c>
      <c r="G51" s="2" t="b">
        <f>OR(ISNUMBER(SEARCH("wagon_",CONTROL[[#This Row],[VEHIDCODE]])),ISNUMBER(SEARCH("coach_",CONTROL[[#This Row],[VEHIDCODE]])))</f>
        <v>0</v>
      </c>
      <c r="H51" t="str">
        <f>"item_"&amp;CONTROL[[#This Row],[VEHIDCODE]]</f>
        <v>item_rbe_France_SNCF_Z_7100</v>
      </c>
      <c r="I51" t="str">
        <f>"str_"&amp;CONTROL[[#This Row],[VEHIDCODE]]</f>
        <v>str_rbe_France_SNCF_Z_7100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t="b">
        <f>ISNUMBER(_xlfn.XMATCH(CONTROL[[#This Row],[VEHIDCODE]],ENGLISH_ITEMS[VEHIDCODE],0))</f>
        <v>1</v>
      </c>
    </row>
    <row r="52" spans="1:16">
      <c r="A52" s="2" t="s">
        <v>76</v>
      </c>
      <c r="B52" t="str">
        <f>_xlfn.TEXTAFTER(TRACK_TYPES[[#This Row],[VEHIDCODE]],"_")</f>
        <v>Germany_Buckower_Kleinbahn_Nr_1_3</v>
      </c>
      <c r="C52" t="s">
        <v>728</v>
      </c>
      <c r="D52" t="s">
        <v>945</v>
      </c>
      <c r="E52">
        <v>3021</v>
      </c>
      <c r="F52" t="b">
        <f>AND(CONTROL[[#This Row],[IS_WAGON_OR_COACH]]=TRUE,OR(RIGHT(CONTROL[[#This Row],[VEHIDCODE]],7)="Powered",RIGHT(CONTROL[[#This Row],[VEHIDCODE]],9)="Unpowered"))</f>
        <v>0</v>
      </c>
      <c r="G52" s="2" t="b">
        <f>OR(ISNUMBER(SEARCH("wagon_",CONTROL[[#This Row],[VEHIDCODE]])),ISNUMBER(SEARCH("coach_",CONTROL[[#This Row],[VEHIDCODE]])))</f>
        <v>0</v>
      </c>
      <c r="H52" t="str">
        <f>"item_"&amp;CONTROL[[#This Row],[VEHIDCODE]]</f>
        <v>item_rbe_Germany_Buckower_Kleinbahn_Nr_1_3</v>
      </c>
      <c r="I52" t="str">
        <f>"str_"&amp;CONTROL[[#This Row],[VEHIDCODE]]</f>
        <v>str_rbe_Germany_Buckower_Kleinbahn_Nr_1_3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t="b">
        <f>ISNUMBER(_xlfn.XMATCH(CONTROL[[#This Row],[VEHIDCODE]],ENGLISH_ITEMS[VEHIDCODE],0))</f>
        <v>1</v>
      </c>
    </row>
    <row r="53" spans="1:16">
      <c r="A53" s="2" t="s">
        <v>77</v>
      </c>
      <c r="B53" t="str">
        <f>_xlfn.TEXTAFTER(TRACK_TYPES[[#This Row],[VEHIDCODE]],"_")</f>
        <v>Germany_DB_4792</v>
      </c>
      <c r="C53" t="s">
        <v>728</v>
      </c>
      <c r="D53" t="s">
        <v>945</v>
      </c>
      <c r="E53">
        <v>3020</v>
      </c>
      <c r="F53" t="b">
        <f>AND(CONTROL[[#This Row],[IS_WAGON_OR_COACH]]=TRUE,OR(RIGHT(CONTROL[[#This Row],[VEHIDCODE]],7)="Powered",RIGHT(CONTROL[[#This Row],[VEHIDCODE]],9)="Unpowered"))</f>
        <v>0</v>
      </c>
      <c r="G53" s="2" t="b">
        <f>OR(ISNUMBER(SEARCH("wagon_",CONTROL[[#This Row],[VEHIDCODE]])),ISNUMBER(SEARCH("coach_",CONTROL[[#This Row],[VEHIDCODE]])))</f>
        <v>0</v>
      </c>
      <c r="H53" t="str">
        <f>"item_"&amp;CONTROL[[#This Row],[VEHIDCODE]]</f>
        <v>item_rbe_Germany_DB_4792</v>
      </c>
      <c r="I53" t="str">
        <f>"str_"&amp;CONTROL[[#This Row],[VEHIDCODE]]</f>
        <v>str_rbe_Germany_DB_4792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t="b">
        <f>ISNUMBER(_xlfn.XMATCH(CONTROL[[#This Row],[VEHIDCODE]],ENGLISH_ITEMS[VEHIDCODE],0))</f>
        <v>1</v>
      </c>
    </row>
    <row r="54" spans="1:16">
      <c r="A54" s="2" t="s">
        <v>78</v>
      </c>
      <c r="B54" t="str">
        <f>_xlfn.TEXTAFTER(TRACK_TYPES[[#This Row],[VEHIDCODE]],"_")</f>
        <v>Slovakia_ZSSK_490</v>
      </c>
      <c r="C54" t="s">
        <v>728</v>
      </c>
      <c r="D54" t="s">
        <v>945</v>
      </c>
      <c r="E54">
        <v>3008</v>
      </c>
      <c r="F54" t="b">
        <f>AND(CONTROL[[#This Row],[IS_WAGON_OR_COACH]]=TRUE,OR(RIGHT(CONTROL[[#This Row],[VEHIDCODE]],7)="Powered",RIGHT(CONTROL[[#This Row],[VEHIDCODE]],9)="Unpowered"))</f>
        <v>0</v>
      </c>
      <c r="G54" s="2" t="b">
        <f>OR(ISNUMBER(SEARCH("wagon_",CONTROL[[#This Row],[VEHIDCODE]])),ISNUMBER(SEARCH("coach_",CONTROL[[#This Row],[VEHIDCODE]])))</f>
        <v>0</v>
      </c>
      <c r="H54" t="str">
        <f>"item_"&amp;CONTROL[[#This Row],[VEHIDCODE]]</f>
        <v>item_rbe_Slovakia_ZSSK_490</v>
      </c>
      <c r="I54" t="str">
        <f>"str_"&amp;CONTROL[[#This Row],[VEHIDCODE]]</f>
        <v>str_rbe_Slovakia_ZSSK_490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t="b">
        <f>ISNUMBER(_xlfn.XMATCH(CONTROL[[#This Row],[VEHIDCODE]],ENGLISH_ITEMS[VEHIDCODE],0))</f>
        <v>1</v>
      </c>
    </row>
    <row r="55" spans="1:16">
      <c r="A55" s="2" t="s">
        <v>79</v>
      </c>
      <c r="B55" t="str">
        <f>_xlfn.TEXTAFTER(TRACK_TYPES[[#This Row],[VEHIDCODE]],"_")</f>
        <v>Italy_FS_ALe_840</v>
      </c>
      <c r="C55" t="s">
        <v>728</v>
      </c>
      <c r="D55" t="s">
        <v>945</v>
      </c>
      <c r="E55">
        <v>3004</v>
      </c>
      <c r="F55" t="b">
        <f>AND(CONTROL[[#This Row],[IS_WAGON_OR_COACH]]=TRUE,OR(RIGHT(CONTROL[[#This Row],[VEHIDCODE]],7)="Powered",RIGHT(CONTROL[[#This Row],[VEHIDCODE]],9)="Unpowered"))</f>
        <v>0</v>
      </c>
      <c r="G55" s="2" t="b">
        <f>OR(ISNUMBER(SEARCH("wagon_",CONTROL[[#This Row],[VEHIDCODE]])),ISNUMBER(SEARCH("coach_",CONTROL[[#This Row],[VEHIDCODE]])))</f>
        <v>0</v>
      </c>
      <c r="H55" t="str">
        <f>"item_"&amp;CONTROL[[#This Row],[VEHIDCODE]]</f>
        <v>item_rbe_Italy_FS_ALe_840</v>
      </c>
      <c r="I55" t="str">
        <f>"str_"&amp;CONTROL[[#This Row],[VEHIDCODE]]</f>
        <v>str_rbe_Italy_FS_ALe_840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t="b">
        <f>ISNUMBER(_xlfn.XMATCH(CONTROL[[#This Row],[VEHIDCODE]],ENGLISH_ITEMS[VEHIDCODE],0))</f>
        <v>1</v>
      </c>
    </row>
    <row r="56" spans="1:16">
      <c r="A56" s="2" t="s">
        <v>80</v>
      </c>
      <c r="B56" t="str">
        <f>_xlfn.TEXTAFTER(TRACK_TYPES[[#This Row],[VEHIDCODE]],"_")</f>
        <v>Italy_FG_ALe_80</v>
      </c>
      <c r="C56" t="s">
        <v>728</v>
      </c>
      <c r="D56" t="s">
        <v>945</v>
      </c>
      <c r="E56">
        <v>3014</v>
      </c>
      <c r="F56" t="b">
        <f>AND(CONTROL[[#This Row],[IS_WAGON_OR_COACH]]=TRUE,OR(RIGHT(CONTROL[[#This Row],[VEHIDCODE]],7)="Powered",RIGHT(CONTROL[[#This Row],[VEHIDCODE]],9)="Unpowered"))</f>
        <v>0</v>
      </c>
      <c r="G56" s="2" t="b">
        <f>OR(ISNUMBER(SEARCH("wagon_",CONTROL[[#This Row],[VEHIDCODE]])),ISNUMBER(SEARCH("coach_",CONTROL[[#This Row],[VEHIDCODE]])))</f>
        <v>0</v>
      </c>
      <c r="H56" t="str">
        <f>"item_"&amp;CONTROL[[#This Row],[VEHIDCODE]]</f>
        <v>item_rbe_Italy_FG_ALe_80</v>
      </c>
      <c r="I56" t="str">
        <f>"str_"&amp;CONTROL[[#This Row],[VEHIDCODE]]</f>
        <v>str_rbe_Italy_FG_ALe_80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t="b">
        <f>ISNUMBER(_xlfn.XMATCH(CONTROL[[#This Row],[VEHIDCODE]],ENGLISH_ITEMS[VEHIDCODE],0))</f>
        <v>1</v>
      </c>
    </row>
    <row r="57" spans="1:16">
      <c r="A57" s="2" t="s">
        <v>81</v>
      </c>
      <c r="B57" t="str">
        <f>_xlfn.TEXTAFTER(TRACK_TYPES[[#This Row],[VEHIDCODE]],"_")</f>
        <v>Italy_FS_E623</v>
      </c>
      <c r="C57" t="s">
        <v>728</v>
      </c>
      <c r="D57" t="s">
        <v>945</v>
      </c>
      <c r="E57">
        <v>3009</v>
      </c>
      <c r="F57" t="b">
        <f>AND(CONTROL[[#This Row],[IS_WAGON_OR_COACH]]=TRUE,OR(RIGHT(CONTROL[[#This Row],[VEHIDCODE]],7)="Powered",RIGHT(CONTROL[[#This Row],[VEHIDCODE]],9)="Unpowered"))</f>
        <v>0</v>
      </c>
      <c r="G57" s="2" t="b">
        <f>OR(ISNUMBER(SEARCH("wagon_",CONTROL[[#This Row],[VEHIDCODE]])),ISNUMBER(SEARCH("coach_",CONTROL[[#This Row],[VEHIDCODE]])))</f>
        <v>0</v>
      </c>
      <c r="H57" t="str">
        <f>"item_"&amp;CONTROL[[#This Row],[VEHIDCODE]]</f>
        <v>item_rbe_Italy_FS_E623</v>
      </c>
      <c r="I57" t="str">
        <f>"str_"&amp;CONTROL[[#This Row],[VEHIDCODE]]</f>
        <v>str_rbe_Italy_FS_E623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t="b">
        <f>ISNUMBER(_xlfn.XMATCH(CONTROL[[#This Row],[VEHIDCODE]],ENGLISH_ITEMS[VEHIDCODE],0))</f>
        <v>1</v>
      </c>
    </row>
    <row r="58" spans="1:16">
      <c r="A58" s="2" t="s">
        <v>82</v>
      </c>
      <c r="B58" t="str">
        <f>_xlfn.TEXTAFTER(TRACK_TYPES[[#This Row],[VEHIDCODE]],"_")</f>
        <v>Morocco_ONCFM_ZAB1000</v>
      </c>
      <c r="C58" t="s">
        <v>728</v>
      </c>
      <c r="D58" t="s">
        <v>945</v>
      </c>
      <c r="E58">
        <v>3001</v>
      </c>
      <c r="F58" t="b">
        <f>AND(CONTROL[[#This Row],[IS_WAGON_OR_COACH]]=TRUE,OR(RIGHT(CONTROL[[#This Row],[VEHIDCODE]],7)="Powered",RIGHT(CONTROL[[#This Row],[VEHIDCODE]],9)="Unpowered"))</f>
        <v>0</v>
      </c>
      <c r="G58" s="2" t="b">
        <f>OR(ISNUMBER(SEARCH("wagon_",CONTROL[[#This Row],[VEHIDCODE]])),ISNUMBER(SEARCH("coach_",CONTROL[[#This Row],[VEHIDCODE]])))</f>
        <v>0</v>
      </c>
      <c r="H58" t="str">
        <f>"item_"&amp;CONTROL[[#This Row],[VEHIDCODE]]</f>
        <v>item_rbe_Morocco_ONCFM_ZAB1000</v>
      </c>
      <c r="I58" t="str">
        <f>"str_"&amp;CONTROL[[#This Row],[VEHIDCODE]]</f>
        <v>str_rbe_Morocco_ONCFM_ZAB1000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t="b">
        <f>ISNUMBER(_xlfn.XMATCH(CONTROL[[#This Row],[VEHIDCODE]],ENGLISH_ITEMS[VEHIDCODE],0))</f>
        <v>1</v>
      </c>
    </row>
    <row r="59" spans="1:16">
      <c r="A59" s="2" t="s">
        <v>83</v>
      </c>
      <c r="B59" t="str">
        <f>_xlfn.TEXTAFTER(TRACK_TYPES[[#This Row],[VEHIDCODE]],"_")</f>
        <v>Poland_PKP_EN81</v>
      </c>
      <c r="C59" t="s">
        <v>728</v>
      </c>
      <c r="D59" t="s">
        <v>945</v>
      </c>
      <c r="E59">
        <v>3018</v>
      </c>
      <c r="F59" t="b">
        <f>AND(CONTROL[[#This Row],[IS_WAGON_OR_COACH]]=TRUE,OR(RIGHT(CONTROL[[#This Row],[VEHIDCODE]],7)="Powered",RIGHT(CONTROL[[#This Row],[VEHIDCODE]],9)="Unpowered"))</f>
        <v>0</v>
      </c>
      <c r="G59" s="2" t="b">
        <f>OR(ISNUMBER(SEARCH("wagon_",CONTROL[[#This Row],[VEHIDCODE]])),ISNUMBER(SEARCH("coach_",CONTROL[[#This Row],[VEHIDCODE]])))</f>
        <v>0</v>
      </c>
      <c r="H59" t="str">
        <f>"item_"&amp;CONTROL[[#This Row],[VEHIDCODE]]</f>
        <v>item_rbe_Poland_PKP_EN81</v>
      </c>
      <c r="I59" t="str">
        <f>"str_"&amp;CONTROL[[#This Row],[VEHIDCODE]]</f>
        <v>str_rbe_Poland_PKP_EN81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t="b">
        <f>ISNUMBER(_xlfn.XMATCH(CONTROL[[#This Row],[VEHIDCODE]],ENGLISH_ITEMS[VEHIDCODE],0))</f>
        <v>1</v>
      </c>
    </row>
    <row r="60" spans="1:16">
      <c r="A60" s="2" t="s">
        <v>84</v>
      </c>
      <c r="B60" t="str">
        <f>_xlfn.TEXTAFTER(TRACK_TYPES[[#This Row],[VEHIDCODE]],"_")</f>
        <v>Austria_OBB_4855</v>
      </c>
      <c r="C60" t="s">
        <v>728</v>
      </c>
      <c r="D60" t="s">
        <v>945</v>
      </c>
      <c r="E60">
        <v>3015</v>
      </c>
      <c r="F60" t="b">
        <f>AND(CONTROL[[#This Row],[IS_WAGON_OR_COACH]]=TRUE,OR(RIGHT(CONTROL[[#This Row],[VEHIDCODE]],7)="Powered",RIGHT(CONTROL[[#This Row],[VEHIDCODE]],9)="Unpowered"))</f>
        <v>0</v>
      </c>
      <c r="G60" s="2" t="b">
        <f>OR(ISNUMBER(SEARCH("wagon_",CONTROL[[#This Row],[VEHIDCODE]])),ISNUMBER(SEARCH("coach_",CONTROL[[#This Row],[VEHIDCODE]])))</f>
        <v>0</v>
      </c>
      <c r="H60" t="str">
        <f>"item_"&amp;CONTROL[[#This Row],[VEHIDCODE]]</f>
        <v>item_rbe_Austria_OBB_4855</v>
      </c>
      <c r="I60" t="str">
        <f>"str_"&amp;CONTROL[[#This Row],[VEHIDCODE]]</f>
        <v>str_rbe_Austria_OBB_4855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t="b">
        <f>ISNUMBER(_xlfn.XMATCH(CONTROL[[#This Row],[VEHIDCODE]],ENGLISH_ITEMS[VEHIDCODE],0))</f>
        <v>1</v>
      </c>
    </row>
    <row r="61" spans="1:16">
      <c r="A61" s="2" t="s">
        <v>85</v>
      </c>
      <c r="B61" t="str">
        <f>_xlfn.TEXTAFTER(TRACK_TYPES[[#This Row],[VEHIDCODE]],"_")</f>
        <v>Austria_MBS_ET_10109</v>
      </c>
      <c r="C61" t="s">
        <v>728</v>
      </c>
      <c r="D61" t="s">
        <v>945</v>
      </c>
      <c r="E61">
        <v>3017</v>
      </c>
      <c r="F61" t="b">
        <f>AND(CONTROL[[#This Row],[IS_WAGON_OR_COACH]]=TRUE,OR(RIGHT(CONTROL[[#This Row],[VEHIDCODE]],7)="Powered",RIGHT(CONTROL[[#This Row],[VEHIDCODE]],9)="Unpowered"))</f>
        <v>0</v>
      </c>
      <c r="G61" s="2" t="b">
        <f>OR(ISNUMBER(SEARCH("wagon_",CONTROL[[#This Row],[VEHIDCODE]])),ISNUMBER(SEARCH("coach_",CONTROL[[#This Row],[VEHIDCODE]])))</f>
        <v>0</v>
      </c>
      <c r="H61" t="str">
        <f>"item_"&amp;CONTROL[[#This Row],[VEHIDCODE]]</f>
        <v>item_rbe_Austria_MBS_ET_10109</v>
      </c>
      <c r="I61" t="str">
        <f>"str_"&amp;CONTROL[[#This Row],[VEHIDCODE]]</f>
        <v>str_rbe_Austria_MBS_ET_10109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t="b">
        <f>ISNUMBER(_xlfn.XMATCH(CONTROL[[#This Row],[VEHIDCODE]],ENGLISH_ITEMS[VEHIDCODE],0))</f>
        <v>1</v>
      </c>
    </row>
    <row r="62" spans="1:16">
      <c r="A62" s="2" t="s">
        <v>86</v>
      </c>
      <c r="B62" t="str">
        <f>_xlfn.TEXTAFTER(TRACK_TYPES[[#This Row],[VEHIDCODE]],"_")</f>
        <v>Germany_DB_ET_85</v>
      </c>
      <c r="C62" t="s">
        <v>728</v>
      </c>
      <c r="D62" t="s">
        <v>945</v>
      </c>
      <c r="E62">
        <v>3002</v>
      </c>
      <c r="F62" t="b">
        <f>AND(CONTROL[[#This Row],[IS_WAGON_OR_COACH]]=TRUE,OR(RIGHT(CONTROL[[#This Row],[VEHIDCODE]],7)="Powered",RIGHT(CONTROL[[#This Row],[VEHIDCODE]],9)="Unpowered"))</f>
        <v>0</v>
      </c>
      <c r="G62" s="2" t="b">
        <f>OR(ISNUMBER(SEARCH("wagon_",CONTROL[[#This Row],[VEHIDCODE]])),ISNUMBER(SEARCH("coach_",CONTROL[[#This Row],[VEHIDCODE]])))</f>
        <v>0</v>
      </c>
      <c r="H62" t="str">
        <f>"item_"&amp;CONTROL[[#This Row],[VEHIDCODE]]</f>
        <v>item_rbe_Germany_DB_ET_85</v>
      </c>
      <c r="I62" t="str">
        <f>"str_"&amp;CONTROL[[#This Row],[VEHIDCODE]]</f>
        <v>str_rbe_Germany_DB_ET_85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t="b">
        <f>ISNUMBER(_xlfn.XMATCH(CONTROL[[#This Row],[VEHIDCODE]],ENGLISH_ITEMS[VEHIDCODE],0))</f>
        <v>1</v>
      </c>
    </row>
    <row r="63" spans="1:16">
      <c r="A63" s="2" t="s">
        <v>87</v>
      </c>
      <c r="B63" t="str">
        <f>_xlfn.TEXTAFTER(TRACK_TYPES[[#This Row],[VEHIDCODE]],"_")</f>
        <v>Sweden_SJ_X16</v>
      </c>
      <c r="C63" t="s">
        <v>728</v>
      </c>
      <c r="D63" t="s">
        <v>945</v>
      </c>
      <c r="E63">
        <v>3010</v>
      </c>
      <c r="F63" t="b">
        <f>AND(CONTROL[[#This Row],[IS_WAGON_OR_COACH]]=TRUE,OR(RIGHT(CONTROL[[#This Row],[VEHIDCODE]],7)="Powered",RIGHT(CONTROL[[#This Row],[VEHIDCODE]],9)="Unpowered"))</f>
        <v>0</v>
      </c>
      <c r="G63" s="2" t="b">
        <f>OR(ISNUMBER(SEARCH("wagon_",CONTROL[[#This Row],[VEHIDCODE]])),ISNUMBER(SEARCH("coach_",CONTROL[[#This Row],[VEHIDCODE]])))</f>
        <v>0</v>
      </c>
      <c r="H63" t="str">
        <f>"item_"&amp;CONTROL[[#This Row],[VEHIDCODE]]</f>
        <v>item_rbe_Sweden_SJ_X16</v>
      </c>
      <c r="I63" t="str">
        <f>"str_"&amp;CONTROL[[#This Row],[VEHIDCODE]]</f>
        <v>str_rbe_Sweden_SJ_X16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t="b">
        <f>ISNUMBER(_xlfn.XMATCH(CONTROL[[#This Row],[VEHIDCODE]],ENGLISH_ITEMS[VEHIDCODE],0))</f>
        <v>1</v>
      </c>
    </row>
    <row r="64" spans="1:16">
      <c r="A64" s="2" t="s">
        <v>88</v>
      </c>
      <c r="B64" t="str">
        <f>_xlfn.TEXTAFTER(TRACK_TYPES[[#This Row],[VEHIDCODE]],"_")</f>
        <v>USA_Pennsylvania_Railroad_Silverliner_II</v>
      </c>
      <c r="C64" t="s">
        <v>728</v>
      </c>
      <c r="D64" t="s">
        <v>945</v>
      </c>
      <c r="E64">
        <v>3013</v>
      </c>
      <c r="F64" t="b">
        <f>AND(CONTROL[[#This Row],[IS_WAGON_OR_COACH]]=TRUE,OR(RIGHT(CONTROL[[#This Row],[VEHIDCODE]],7)="Powered",RIGHT(CONTROL[[#This Row],[VEHIDCODE]],9)="Unpowered"))</f>
        <v>0</v>
      </c>
      <c r="G64" s="2" t="b">
        <f>OR(ISNUMBER(SEARCH("wagon_",CONTROL[[#This Row],[VEHIDCODE]])),ISNUMBER(SEARCH("coach_",CONTROL[[#This Row],[VEHIDCODE]])))</f>
        <v>0</v>
      </c>
      <c r="H64" t="str">
        <f>"item_"&amp;CONTROL[[#This Row],[VEHIDCODE]]</f>
        <v>item_rbe_USA_Pennsylvania_Railroad_Silverliner_II</v>
      </c>
      <c r="I64" t="str">
        <f>"str_"&amp;CONTROL[[#This Row],[VEHIDCODE]]</f>
        <v>str_rbe_USA_Pennsylvania_Railroad_Silverliner_II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t="b">
        <f>ISNUMBER(_xlfn.XMATCH(CONTROL[[#This Row],[VEHIDCODE]],ENGLISH_ITEMS[VEHIDCODE],0))</f>
        <v>1</v>
      </c>
    </row>
    <row r="65" spans="1:16">
      <c r="A65" s="2" t="s">
        <v>89</v>
      </c>
      <c r="B65" t="str">
        <f>_xlfn.TEXTAFTER(TRACK_TYPES[[#This Row],[VEHIDCODE]],"_")</f>
        <v>USA_SEPTA_Silverliner_V</v>
      </c>
      <c r="C65" t="s">
        <v>728</v>
      </c>
      <c r="D65" t="s">
        <v>945</v>
      </c>
      <c r="E65">
        <v>3019</v>
      </c>
      <c r="F65" t="b">
        <f>AND(CONTROL[[#This Row],[IS_WAGON_OR_COACH]]=TRUE,OR(RIGHT(CONTROL[[#This Row],[VEHIDCODE]],7)="Powered",RIGHT(CONTROL[[#This Row],[VEHIDCODE]],9)="Unpowered"))</f>
        <v>0</v>
      </c>
      <c r="G65" s="2" t="b">
        <f>OR(ISNUMBER(SEARCH("wagon_",CONTROL[[#This Row],[VEHIDCODE]])),ISNUMBER(SEARCH("coach_",CONTROL[[#This Row],[VEHIDCODE]])))</f>
        <v>0</v>
      </c>
      <c r="H65" t="str">
        <f>"item_"&amp;CONTROL[[#This Row],[VEHIDCODE]]</f>
        <v>item_rbe_USA_SEPTA_Silverliner_V</v>
      </c>
      <c r="I65" t="str">
        <f>"str_"&amp;CONTROL[[#This Row],[VEHIDCODE]]</f>
        <v>str_rbe_USA_SEPTA_Silverliner_V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t="b">
        <f>ISNUMBER(_xlfn.XMATCH(CONTROL[[#This Row],[VEHIDCODE]],ENGLISH_ITEMS[VEHIDCODE],0))</f>
        <v>1</v>
      </c>
    </row>
    <row r="66" spans="1:16">
      <c r="A66" s="2" t="s">
        <v>90</v>
      </c>
      <c r="B66" t="str">
        <f>_xlfn.TEXTAFTER(TRACK_TYPES[[#This Row],[VEHIDCODE]],"_")</f>
        <v>Belgium_Le_Belge</v>
      </c>
      <c r="C66" t="s">
        <v>729</v>
      </c>
      <c r="D66" t="s">
        <v>947</v>
      </c>
      <c r="E66">
        <v>4000</v>
      </c>
      <c r="F66" t="b">
        <f>AND(CONTROL[[#This Row],[IS_WAGON_OR_COACH]]=TRUE,OR(RIGHT(CONTROL[[#This Row],[VEHIDCODE]],7)="Powered",RIGHT(CONTROL[[#This Row],[VEHIDCODE]],9)="Unpowered"))</f>
        <v>0</v>
      </c>
      <c r="G66" s="2" t="b">
        <f>OR(ISNUMBER(SEARCH("wagon_",CONTROL[[#This Row],[VEHIDCODE]])),ISNUMBER(SEARCH("coach_",CONTROL[[#This Row],[VEHIDCODE]])))</f>
        <v>0</v>
      </c>
      <c r="H66" t="str">
        <f>"item_"&amp;CONTROL[[#This Row],[VEHIDCODE]]</f>
        <v>item_steam_Belgium_Le_Belge</v>
      </c>
      <c r="I66" t="str">
        <f>"str_"&amp;CONTROL[[#This Row],[VEHIDCODE]]</f>
        <v>str_steam_Belgium_Le_Belge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t="b">
        <f>ISNUMBER(_xlfn.XMATCH(CONTROL[[#This Row],[VEHIDCODE]],ENGLISH_ITEMS[VEHIDCODE],0))</f>
        <v>1</v>
      </c>
    </row>
    <row r="67" spans="1:16">
      <c r="A67" s="2" t="s">
        <v>91</v>
      </c>
      <c r="B67" t="str">
        <f>_xlfn.TEXTAFTER(TRACK_TYPES[[#This Row],[VEHIDCODE]],"_")</f>
        <v>USA_4_4_0_American</v>
      </c>
      <c r="C67" t="s">
        <v>729</v>
      </c>
      <c r="D67" t="s">
        <v>947</v>
      </c>
      <c r="E67">
        <v>4036</v>
      </c>
      <c r="F67" t="b">
        <f>AND(CONTROL[[#This Row],[IS_WAGON_OR_COACH]]=TRUE,OR(RIGHT(CONTROL[[#This Row],[VEHIDCODE]],7)="Powered",RIGHT(CONTROL[[#This Row],[VEHIDCODE]],9)="Unpowered"))</f>
        <v>0</v>
      </c>
      <c r="G67" s="2" t="b">
        <f>OR(ISNUMBER(SEARCH("wagon_",CONTROL[[#This Row],[VEHIDCODE]])),ISNUMBER(SEARCH("coach_",CONTROL[[#This Row],[VEHIDCODE]])))</f>
        <v>0</v>
      </c>
      <c r="H67" t="str">
        <f>"item_"&amp;CONTROL[[#This Row],[VEHIDCODE]]</f>
        <v>item_steam_USA_4_4_0_American</v>
      </c>
      <c r="I67" t="str">
        <f>"str_"&amp;CONTROL[[#This Row],[VEHIDCODE]]</f>
        <v>str_steam_USA_4_4_0_American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t="b">
        <f>ISNUMBER(_xlfn.XMATCH(CONTROL[[#This Row],[VEHIDCODE]],ENGLISH_ITEMS[VEHIDCODE],0))</f>
        <v>1</v>
      </c>
    </row>
    <row r="68" spans="1:16">
      <c r="A68" s="2" t="s">
        <v>92</v>
      </c>
      <c r="B68" t="str">
        <f>_xlfn.TEXTAFTER(TRACK_TYPES[[#This Row],[VEHIDCODE]],"_")</f>
        <v>Switzerland_SBB_Ec_2_5</v>
      </c>
      <c r="C68" t="s">
        <v>729</v>
      </c>
      <c r="D68" t="s">
        <v>947</v>
      </c>
      <c r="E68">
        <v>4002</v>
      </c>
      <c r="F68" t="b">
        <f>AND(CONTROL[[#This Row],[IS_WAGON_OR_COACH]]=TRUE,OR(RIGHT(CONTROL[[#This Row],[VEHIDCODE]],7)="Powered",RIGHT(CONTROL[[#This Row],[VEHIDCODE]],9)="Unpowered"))</f>
        <v>0</v>
      </c>
      <c r="G68" s="2" t="b">
        <f>OR(ISNUMBER(SEARCH("wagon_",CONTROL[[#This Row],[VEHIDCODE]])),ISNUMBER(SEARCH("coach_",CONTROL[[#This Row],[VEHIDCODE]])))</f>
        <v>0</v>
      </c>
      <c r="H68" t="str">
        <f>"item_"&amp;CONTROL[[#This Row],[VEHIDCODE]]</f>
        <v>item_steam_Switzerland_SBB_Ec_2_5</v>
      </c>
      <c r="I68" t="str">
        <f>"str_"&amp;CONTROL[[#This Row],[VEHIDCODE]]</f>
        <v>str_steam_Switzerland_SBB_Ec_2_5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t="b">
        <f>ISNUMBER(_xlfn.XMATCH(CONTROL[[#This Row],[VEHIDCODE]],ENGLISH_ITEMS[VEHIDCODE],0))</f>
        <v>1</v>
      </c>
    </row>
    <row r="69" spans="1:16">
      <c r="A69" s="2" t="s">
        <v>93</v>
      </c>
      <c r="B69" t="str">
        <f>_xlfn.TEXTAFTER(TRACK_TYPES[[#This Row],[VEHIDCODE]],"_")</f>
        <v>USA_4_6_0_Ten_wheeler</v>
      </c>
      <c r="C69" t="s">
        <v>729</v>
      </c>
      <c r="D69" t="s">
        <v>947</v>
      </c>
      <c r="E69">
        <v>4037</v>
      </c>
      <c r="F69" t="b">
        <f>AND(CONTROL[[#This Row],[IS_WAGON_OR_COACH]]=TRUE,OR(RIGHT(CONTROL[[#This Row],[VEHIDCODE]],7)="Powered",RIGHT(CONTROL[[#This Row],[VEHIDCODE]],9)="Unpowered"))</f>
        <v>0</v>
      </c>
      <c r="G69" s="2" t="b">
        <f>OR(ISNUMBER(SEARCH("wagon_",CONTROL[[#This Row],[VEHIDCODE]])),ISNUMBER(SEARCH("coach_",CONTROL[[#This Row],[VEHIDCODE]])))</f>
        <v>0</v>
      </c>
      <c r="H69" t="str">
        <f>"item_"&amp;CONTROL[[#This Row],[VEHIDCODE]]</f>
        <v>item_steam_USA_4_6_0_Ten_wheeler</v>
      </c>
      <c r="I69" t="str">
        <f>"str_"&amp;CONTROL[[#This Row],[VEHIDCODE]]</f>
        <v>str_steam_USA_4_6_0_Ten_wheeler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t="b">
        <f>ISNUMBER(_xlfn.XMATCH(CONTROL[[#This Row],[VEHIDCODE]],ENGLISH_ITEMS[VEHIDCODE],0))</f>
        <v>1</v>
      </c>
    </row>
    <row r="70" spans="1:16">
      <c r="A70" s="2" t="s">
        <v>94</v>
      </c>
      <c r="B70" t="str">
        <f>_xlfn.TEXTAFTER(TRACK_TYPES[[#This Row],[VEHIDCODE]],"_")</f>
        <v>USA_2_8_0_Consolidation</v>
      </c>
      <c r="C70" t="s">
        <v>729</v>
      </c>
      <c r="D70" t="s">
        <v>947</v>
      </c>
      <c r="E70">
        <v>4004</v>
      </c>
      <c r="F70" t="b">
        <f>AND(CONTROL[[#This Row],[IS_WAGON_OR_COACH]]=TRUE,OR(RIGHT(CONTROL[[#This Row],[VEHIDCODE]],7)="Powered",RIGHT(CONTROL[[#This Row],[VEHIDCODE]],9)="Unpowered"))</f>
        <v>0</v>
      </c>
      <c r="G70" s="2" t="b">
        <f>OR(ISNUMBER(SEARCH("wagon_",CONTROL[[#This Row],[VEHIDCODE]])),ISNUMBER(SEARCH("coach_",CONTROL[[#This Row],[VEHIDCODE]])))</f>
        <v>0</v>
      </c>
      <c r="H70" t="str">
        <f>"item_"&amp;CONTROL[[#This Row],[VEHIDCODE]]</f>
        <v>item_steam_USA_2_8_0_Consolidation</v>
      </c>
      <c r="I70" t="str">
        <f>"str_"&amp;CONTROL[[#This Row],[VEHIDCODE]]</f>
        <v>str_steam_USA_2_8_0_Consolidation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t="b">
        <f>ISNUMBER(_xlfn.XMATCH(CONTROL[[#This Row],[VEHIDCODE]],ENGLISH_ITEMS[VEHIDCODE],0))</f>
        <v>1</v>
      </c>
    </row>
    <row r="71" spans="1:16">
      <c r="A71" s="2" t="s">
        <v>95</v>
      </c>
      <c r="B71" t="str">
        <f>_xlfn.TEXTAFTER(TRACK_TYPES[[#This Row],[VEHIDCODE]],"_")</f>
        <v>Hungary_MAV_377</v>
      </c>
      <c r="C71" t="s">
        <v>729</v>
      </c>
      <c r="D71" t="s">
        <v>947</v>
      </c>
      <c r="E71">
        <v>4005</v>
      </c>
      <c r="F71" t="b">
        <f>AND(CONTROL[[#This Row],[IS_WAGON_OR_COACH]]=TRUE,OR(RIGHT(CONTROL[[#This Row],[VEHIDCODE]],7)="Powered",RIGHT(CONTROL[[#This Row],[VEHIDCODE]],9)="Unpowered"))</f>
        <v>0</v>
      </c>
      <c r="G71" s="2" t="b">
        <f>OR(ISNUMBER(SEARCH("wagon_",CONTROL[[#This Row],[VEHIDCODE]])),ISNUMBER(SEARCH("coach_",CONTROL[[#This Row],[VEHIDCODE]])))</f>
        <v>0</v>
      </c>
      <c r="H71" t="str">
        <f>"item_"&amp;CONTROL[[#This Row],[VEHIDCODE]]</f>
        <v>item_steam_Hungary_MAV_377</v>
      </c>
      <c r="I71" t="str">
        <f>"str_"&amp;CONTROL[[#This Row],[VEHIDCODE]]</f>
        <v>str_steam_Hungary_MAV_377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t="b">
        <f>ISNUMBER(_xlfn.XMATCH(CONTROL[[#This Row],[VEHIDCODE]],ENGLISH_ITEMS[VEHIDCODE],0))</f>
        <v>1</v>
      </c>
    </row>
    <row r="72" spans="1:16">
      <c r="A72" s="2" t="s">
        <v>96</v>
      </c>
      <c r="B72" t="str">
        <f>_xlfn.TEXTAFTER(TRACK_TYPES[[#This Row],[VEHIDCODE]],"_")</f>
        <v>Austria_KkStB_99</v>
      </c>
      <c r="C72" t="s">
        <v>729</v>
      </c>
      <c r="D72" t="s">
        <v>947</v>
      </c>
      <c r="E72">
        <v>4006</v>
      </c>
      <c r="F72" t="b">
        <f>AND(CONTROL[[#This Row],[IS_WAGON_OR_COACH]]=TRUE,OR(RIGHT(CONTROL[[#This Row],[VEHIDCODE]],7)="Powered",RIGHT(CONTROL[[#This Row],[VEHIDCODE]],9)="Unpowered"))</f>
        <v>0</v>
      </c>
      <c r="G72" s="2" t="b">
        <f>OR(ISNUMBER(SEARCH("wagon_",CONTROL[[#This Row],[VEHIDCODE]])),ISNUMBER(SEARCH("coach_",CONTROL[[#This Row],[VEHIDCODE]])))</f>
        <v>0</v>
      </c>
      <c r="H72" t="str">
        <f>"item_"&amp;CONTROL[[#This Row],[VEHIDCODE]]</f>
        <v>item_steam_Austria_KkStB_99</v>
      </c>
      <c r="I72" t="str">
        <f>"str_"&amp;CONTROL[[#This Row],[VEHIDCODE]]</f>
        <v>str_steam_Austria_KkStB_99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t="b">
        <f>ISNUMBER(_xlfn.XMATCH(CONTROL[[#This Row],[VEHIDCODE]],ENGLISH_ITEMS[VEHIDCODE],0))</f>
        <v>1</v>
      </c>
    </row>
    <row r="73" spans="1:16">
      <c r="A73" s="2" t="s">
        <v>97</v>
      </c>
      <c r="B73" t="str">
        <f>_xlfn.TEXTAFTER(TRACK_TYPES[[#This Row],[VEHIDCODE]],"_")</f>
        <v>UK_Caledonian_Railway_439</v>
      </c>
      <c r="C73" t="s">
        <v>729</v>
      </c>
      <c r="D73" t="s">
        <v>947</v>
      </c>
      <c r="E73">
        <v>4007</v>
      </c>
      <c r="F73" t="b">
        <f>AND(CONTROL[[#This Row],[IS_WAGON_OR_COACH]]=TRUE,OR(RIGHT(CONTROL[[#This Row],[VEHIDCODE]],7)="Powered",RIGHT(CONTROL[[#This Row],[VEHIDCODE]],9)="Unpowered"))</f>
        <v>0</v>
      </c>
      <c r="G73" s="2" t="b">
        <f>OR(ISNUMBER(SEARCH("wagon_",CONTROL[[#This Row],[VEHIDCODE]])),ISNUMBER(SEARCH("coach_",CONTROL[[#This Row],[VEHIDCODE]])))</f>
        <v>0</v>
      </c>
      <c r="H73" t="str">
        <f>"item_"&amp;CONTROL[[#This Row],[VEHIDCODE]]</f>
        <v>item_steam_UK_Caledonian_Railway_439</v>
      </c>
      <c r="I73" t="str">
        <f>"str_"&amp;CONTROL[[#This Row],[VEHIDCODE]]</f>
        <v>str_steam_UK_Caledonian_Railway_439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t="b">
        <f>ISNUMBER(_xlfn.XMATCH(CONTROL[[#This Row],[VEHIDCODE]],ENGLISH_ITEMS[VEHIDCODE],0))</f>
        <v>1</v>
      </c>
    </row>
    <row r="74" spans="1:16">
      <c r="A74" s="2" t="s">
        <v>98</v>
      </c>
      <c r="B74" t="str">
        <f>_xlfn.TEXTAFTER(TRACK_TYPES[[#This Row],[VEHIDCODE]],"_")</f>
        <v>Switzerland_SBB_A_3_5</v>
      </c>
      <c r="C74" t="s">
        <v>729</v>
      </c>
      <c r="D74" t="s">
        <v>947</v>
      </c>
      <c r="E74">
        <v>4008</v>
      </c>
      <c r="F74" t="b">
        <f>AND(CONTROL[[#This Row],[IS_WAGON_OR_COACH]]=TRUE,OR(RIGHT(CONTROL[[#This Row],[VEHIDCODE]],7)="Powered",RIGHT(CONTROL[[#This Row],[VEHIDCODE]],9)="Unpowered"))</f>
        <v>0</v>
      </c>
      <c r="G74" s="2" t="b">
        <f>OR(ISNUMBER(SEARCH("wagon_",CONTROL[[#This Row],[VEHIDCODE]])),ISNUMBER(SEARCH("coach_",CONTROL[[#This Row],[VEHIDCODE]])))</f>
        <v>0</v>
      </c>
      <c r="H74" t="str">
        <f>"item_"&amp;CONTROL[[#This Row],[VEHIDCODE]]</f>
        <v>item_steam_Switzerland_SBB_A_3_5</v>
      </c>
      <c r="I74" t="str">
        <f>"str_"&amp;CONTROL[[#This Row],[VEHIDCODE]]</f>
        <v>str_steam_Switzerland_SBB_A_3_5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t="b">
        <f>ISNUMBER(_xlfn.XMATCH(CONTROL[[#This Row],[VEHIDCODE]],ENGLISH_ITEMS[VEHIDCODE],0))</f>
        <v>1</v>
      </c>
    </row>
    <row r="75" spans="1:16">
      <c r="A75" s="2" t="s">
        <v>99</v>
      </c>
      <c r="B75" t="str">
        <f>_xlfn.TEXTAFTER(TRACK_TYPES[[#This Row],[VEHIDCODE]],"_")</f>
        <v>Switzerland_SBB_E_3_3</v>
      </c>
      <c r="C75" t="s">
        <v>729</v>
      </c>
      <c r="D75" t="s">
        <v>947</v>
      </c>
      <c r="E75">
        <v>4009</v>
      </c>
      <c r="F75" t="b">
        <f>AND(CONTROL[[#This Row],[IS_WAGON_OR_COACH]]=TRUE,OR(RIGHT(CONTROL[[#This Row],[VEHIDCODE]],7)="Powered",RIGHT(CONTROL[[#This Row],[VEHIDCODE]],9)="Unpowered"))</f>
        <v>0</v>
      </c>
      <c r="G75" s="2" t="b">
        <f>OR(ISNUMBER(SEARCH("wagon_",CONTROL[[#This Row],[VEHIDCODE]])),ISNUMBER(SEARCH("coach_",CONTROL[[#This Row],[VEHIDCODE]])))</f>
        <v>0</v>
      </c>
      <c r="H75" t="str">
        <f>"item_"&amp;CONTROL[[#This Row],[VEHIDCODE]]</f>
        <v>item_steam_Switzerland_SBB_E_3_3</v>
      </c>
      <c r="I75" t="str">
        <f>"str_"&amp;CONTROL[[#This Row],[VEHIDCODE]]</f>
        <v>str_steam_Switzerland_SBB_E_3_3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t="b">
        <f>ISNUMBER(_xlfn.XMATCH(CONTROL[[#This Row],[VEHIDCODE]],ENGLISH_ITEMS[VEHIDCODE],0))</f>
        <v>1</v>
      </c>
    </row>
    <row r="76" spans="1:16">
      <c r="A76" s="2" t="s">
        <v>100</v>
      </c>
      <c r="B76" t="str">
        <f>_xlfn.TEXTAFTER(TRACK_TYPES[[#This Row],[VEHIDCODE]],"_")</f>
        <v>Austria_KkStB_299</v>
      </c>
      <c r="C76" t="s">
        <v>729</v>
      </c>
      <c r="D76" t="s">
        <v>947</v>
      </c>
      <c r="E76">
        <v>4010</v>
      </c>
      <c r="F76" t="b">
        <f>AND(CONTROL[[#This Row],[IS_WAGON_OR_COACH]]=TRUE,OR(RIGHT(CONTROL[[#This Row],[VEHIDCODE]],7)="Powered",RIGHT(CONTROL[[#This Row],[VEHIDCODE]],9)="Unpowered"))</f>
        <v>0</v>
      </c>
      <c r="G76" s="2" t="b">
        <f>OR(ISNUMBER(SEARCH("wagon_",CONTROL[[#This Row],[VEHIDCODE]])),ISNUMBER(SEARCH("coach_",CONTROL[[#This Row],[VEHIDCODE]])))</f>
        <v>0</v>
      </c>
      <c r="H76" t="str">
        <f>"item_"&amp;CONTROL[[#This Row],[VEHIDCODE]]</f>
        <v>item_steam_Austria_KkStB_299</v>
      </c>
      <c r="I76" t="str">
        <f>"str_"&amp;CONTROL[[#This Row],[VEHIDCODE]]</f>
        <v>str_steam_Austria_KkStB_299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t="b">
        <f>ISNUMBER(_xlfn.XMATCH(CONTROL[[#This Row],[VEHIDCODE]],ENGLISH_ITEMS[VEHIDCODE],0))</f>
        <v>1</v>
      </c>
    </row>
    <row r="77" spans="1:16">
      <c r="A77" s="2" t="s">
        <v>101</v>
      </c>
      <c r="B77" t="str">
        <f>_xlfn.TEXTAFTER(TRACK_TYPES[[#This Row],[VEHIDCODE]],"_")</f>
        <v>New_Zealand_NZR_X_Class</v>
      </c>
      <c r="C77" t="s">
        <v>729</v>
      </c>
      <c r="D77" t="s">
        <v>947</v>
      </c>
      <c r="E77">
        <v>4011</v>
      </c>
      <c r="F77" t="b">
        <f>AND(CONTROL[[#This Row],[IS_WAGON_OR_COACH]]=TRUE,OR(RIGHT(CONTROL[[#This Row],[VEHIDCODE]],7)="Powered",RIGHT(CONTROL[[#This Row],[VEHIDCODE]],9)="Unpowered"))</f>
        <v>0</v>
      </c>
      <c r="G77" s="2" t="b">
        <f>OR(ISNUMBER(SEARCH("wagon_",CONTROL[[#This Row],[VEHIDCODE]])),ISNUMBER(SEARCH("coach_",CONTROL[[#This Row],[VEHIDCODE]])))</f>
        <v>0</v>
      </c>
      <c r="H77" t="str">
        <f>"item_"&amp;CONTROL[[#This Row],[VEHIDCODE]]</f>
        <v>item_steam_New_Zealand_NZR_X_Class</v>
      </c>
      <c r="I77" t="str">
        <f>"str_"&amp;CONTROL[[#This Row],[VEHIDCODE]]</f>
        <v>str_steam_New_Zealand_NZR_X_Class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t="b">
        <f>ISNUMBER(_xlfn.XMATCH(CONTROL[[#This Row],[VEHIDCODE]],ENGLISH_ITEMS[VEHIDCODE],0))</f>
        <v>1</v>
      </c>
    </row>
    <row r="78" spans="1:16">
      <c r="A78" s="2" t="s">
        <v>102</v>
      </c>
      <c r="B78" t="str">
        <f>_xlfn.TEXTAFTER(TRACK_TYPES[[#This Row],[VEHIDCODE]],"_")</f>
        <v>Croatia_HZ_51</v>
      </c>
      <c r="C78" t="s">
        <v>729</v>
      </c>
      <c r="D78" t="s">
        <v>947</v>
      </c>
      <c r="E78">
        <v>4014</v>
      </c>
      <c r="F78" t="b">
        <f>AND(CONTROL[[#This Row],[IS_WAGON_OR_COACH]]=TRUE,OR(RIGHT(CONTROL[[#This Row],[VEHIDCODE]],7)="Powered",RIGHT(CONTROL[[#This Row],[VEHIDCODE]],9)="Unpowered"))</f>
        <v>0</v>
      </c>
      <c r="G78" s="2" t="b">
        <f>OR(ISNUMBER(SEARCH("wagon_",CONTROL[[#This Row],[VEHIDCODE]])),ISNUMBER(SEARCH("coach_",CONTROL[[#This Row],[VEHIDCODE]])))</f>
        <v>0</v>
      </c>
      <c r="H78" t="str">
        <f>"item_"&amp;CONTROL[[#This Row],[VEHIDCODE]]</f>
        <v>item_steam_Croatia_HZ_51</v>
      </c>
      <c r="I78" t="str">
        <f>"str_"&amp;CONTROL[[#This Row],[VEHIDCODE]]</f>
        <v>str_steam_Croatia_HZ_51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t="b">
        <f>ISNUMBER(_xlfn.XMATCH(CONTROL[[#This Row],[VEHIDCODE]],ENGLISH_ITEMS[VEHIDCODE],0))</f>
        <v>1</v>
      </c>
    </row>
    <row r="79" spans="1:16">
      <c r="A79" s="2" t="s">
        <v>103</v>
      </c>
      <c r="B79" t="str">
        <f>_xlfn.TEXTAFTER(TRACK_TYPES[[#This Row],[VEHIDCODE]],"_")</f>
        <v>Italy_FS_880</v>
      </c>
      <c r="C79" t="s">
        <v>729</v>
      </c>
      <c r="D79" t="s">
        <v>947</v>
      </c>
      <c r="E79">
        <v>4015</v>
      </c>
      <c r="F79" t="b">
        <f>AND(CONTROL[[#This Row],[IS_WAGON_OR_COACH]]=TRUE,OR(RIGHT(CONTROL[[#This Row],[VEHIDCODE]],7)="Powered",RIGHT(CONTROL[[#This Row],[VEHIDCODE]],9)="Unpowered"))</f>
        <v>0</v>
      </c>
      <c r="G79" s="2" t="b">
        <f>OR(ISNUMBER(SEARCH("wagon_",CONTROL[[#This Row],[VEHIDCODE]])),ISNUMBER(SEARCH("coach_",CONTROL[[#This Row],[VEHIDCODE]])))</f>
        <v>0</v>
      </c>
      <c r="H79" t="str">
        <f>"item_"&amp;CONTROL[[#This Row],[VEHIDCODE]]</f>
        <v>item_steam_Italy_FS_880</v>
      </c>
      <c r="I79" t="str">
        <f>"str_"&amp;CONTROL[[#This Row],[VEHIDCODE]]</f>
        <v>str_steam_Italy_FS_880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t="b">
        <f>ISNUMBER(_xlfn.XMATCH(CONTROL[[#This Row],[VEHIDCODE]],ENGLISH_ITEMS[VEHIDCODE],0))</f>
        <v>1</v>
      </c>
    </row>
    <row r="80" spans="1:16">
      <c r="A80" s="2" t="s">
        <v>104</v>
      </c>
      <c r="B80" t="str">
        <f>_xlfn.TEXTAFTER(TRACK_TYPES[[#This Row],[VEHIDCODE]],"_")</f>
        <v>Argentina_FCNEA_11B_2_8_0</v>
      </c>
      <c r="C80" t="s">
        <v>729</v>
      </c>
      <c r="D80" t="s">
        <v>947</v>
      </c>
      <c r="E80">
        <v>4016</v>
      </c>
      <c r="F80" t="b">
        <f>AND(CONTROL[[#This Row],[IS_WAGON_OR_COACH]]=TRUE,OR(RIGHT(CONTROL[[#This Row],[VEHIDCODE]],7)="Powered",RIGHT(CONTROL[[#This Row],[VEHIDCODE]],9)="Unpowered"))</f>
        <v>0</v>
      </c>
      <c r="G80" s="2" t="b">
        <f>OR(ISNUMBER(SEARCH("wagon_",CONTROL[[#This Row],[VEHIDCODE]])),ISNUMBER(SEARCH("coach_",CONTROL[[#This Row],[VEHIDCODE]])))</f>
        <v>0</v>
      </c>
      <c r="H80" t="str">
        <f>"item_"&amp;CONTROL[[#This Row],[VEHIDCODE]]</f>
        <v>item_steam_Argentina_FCNEA_11B_2_8_0</v>
      </c>
      <c r="I80" t="str">
        <f>"str_"&amp;CONTROL[[#This Row],[VEHIDCODE]]</f>
        <v>str_steam_Argentina_FCNEA_11B_2_8_0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t="b">
        <f>ISNUMBER(_xlfn.XMATCH(CONTROL[[#This Row],[VEHIDCODE]],ENGLISH_ITEMS[VEHIDCODE],0))</f>
        <v>1</v>
      </c>
    </row>
    <row r="81" spans="1:16">
      <c r="A81" s="2" t="s">
        <v>105</v>
      </c>
      <c r="B81" t="str">
        <f>_xlfn.TEXTAFTER(TRACK_TYPES[[#This Row],[VEHIDCODE]],"_")</f>
        <v>France_SNCF_140C</v>
      </c>
      <c r="C81" t="s">
        <v>729</v>
      </c>
      <c r="D81" t="s">
        <v>947</v>
      </c>
      <c r="E81">
        <v>4017</v>
      </c>
      <c r="F81" t="b">
        <f>AND(CONTROL[[#This Row],[IS_WAGON_OR_COACH]]=TRUE,OR(RIGHT(CONTROL[[#This Row],[VEHIDCODE]],7)="Powered",RIGHT(CONTROL[[#This Row],[VEHIDCODE]],9)="Unpowered"))</f>
        <v>0</v>
      </c>
      <c r="G81" s="2" t="b">
        <f>OR(ISNUMBER(SEARCH("wagon_",CONTROL[[#This Row],[VEHIDCODE]])),ISNUMBER(SEARCH("coach_",CONTROL[[#This Row],[VEHIDCODE]])))</f>
        <v>0</v>
      </c>
      <c r="H81" t="str">
        <f>"item_"&amp;CONTROL[[#This Row],[VEHIDCODE]]</f>
        <v>item_steam_France_SNCF_140C</v>
      </c>
      <c r="I81" t="str">
        <f>"str_"&amp;CONTROL[[#This Row],[VEHIDCODE]]</f>
        <v>str_steam_France_SNCF_140C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t="b">
        <f>ISNUMBER(_xlfn.XMATCH(CONTROL[[#This Row],[VEHIDCODE]],ENGLISH_ITEMS[VEHIDCODE],0))</f>
        <v>1</v>
      </c>
    </row>
    <row r="82" spans="1:16">
      <c r="A82" s="2" t="s">
        <v>106</v>
      </c>
      <c r="B82" t="str">
        <f>_xlfn.TEXTAFTER(TRACK_TYPES[[#This Row],[VEHIDCODE]],"_")</f>
        <v>France_SNCF_141TA</v>
      </c>
      <c r="C82" t="s">
        <v>729</v>
      </c>
      <c r="D82" t="s">
        <v>947</v>
      </c>
      <c r="E82">
        <v>4018</v>
      </c>
      <c r="F82" t="b">
        <f>AND(CONTROL[[#This Row],[IS_WAGON_OR_COACH]]=TRUE,OR(RIGHT(CONTROL[[#This Row],[VEHIDCODE]],7)="Powered",RIGHT(CONTROL[[#This Row],[VEHIDCODE]],9)="Unpowered"))</f>
        <v>0</v>
      </c>
      <c r="G82" s="2" t="b">
        <f>OR(ISNUMBER(SEARCH("wagon_",CONTROL[[#This Row],[VEHIDCODE]])),ISNUMBER(SEARCH("coach_",CONTROL[[#This Row],[VEHIDCODE]])))</f>
        <v>0</v>
      </c>
      <c r="H82" t="str">
        <f>"item_"&amp;CONTROL[[#This Row],[VEHIDCODE]]</f>
        <v>item_steam_France_SNCF_141TA</v>
      </c>
      <c r="I82" t="str">
        <f>"str_"&amp;CONTROL[[#This Row],[VEHIDCODE]]</f>
        <v>str_steam_France_SNCF_141TA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t="b">
        <f>ISNUMBER(_xlfn.XMATCH(CONTROL[[#This Row],[VEHIDCODE]],ENGLISH_ITEMS[VEHIDCODE],0))</f>
        <v>1</v>
      </c>
    </row>
    <row r="83" spans="1:16">
      <c r="A83" s="2" t="s">
        <v>107</v>
      </c>
      <c r="B83" t="str">
        <f>_xlfn.TEXTAFTER(TRACK_TYPES[[#This Row],[VEHIDCODE]],"_")</f>
        <v>UK_GWR_4900</v>
      </c>
      <c r="C83" t="s">
        <v>729</v>
      </c>
      <c r="D83" t="s">
        <v>947</v>
      </c>
      <c r="E83">
        <v>4019</v>
      </c>
      <c r="F83" t="b">
        <f>AND(CONTROL[[#This Row],[IS_WAGON_OR_COACH]]=TRUE,OR(RIGHT(CONTROL[[#This Row],[VEHIDCODE]],7)="Powered",RIGHT(CONTROL[[#This Row],[VEHIDCODE]],9)="Unpowered"))</f>
        <v>0</v>
      </c>
      <c r="G83" s="2" t="b">
        <f>OR(ISNUMBER(SEARCH("wagon_",CONTROL[[#This Row],[VEHIDCODE]])),ISNUMBER(SEARCH("coach_",CONTROL[[#This Row],[VEHIDCODE]])))</f>
        <v>0</v>
      </c>
      <c r="H83" t="str">
        <f>"item_"&amp;CONTROL[[#This Row],[VEHIDCODE]]</f>
        <v>item_steam_UK_GWR_4900</v>
      </c>
      <c r="I83" t="str">
        <f>"str_"&amp;CONTROL[[#This Row],[VEHIDCODE]]</f>
        <v>str_steam_UK_GWR_4900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t="b">
        <f>ISNUMBER(_xlfn.XMATCH(CONTROL[[#This Row],[VEHIDCODE]],ENGLISH_ITEMS[VEHIDCODE],0))</f>
        <v>1</v>
      </c>
    </row>
    <row r="84" spans="1:16">
      <c r="A84" s="2" t="s">
        <v>108</v>
      </c>
      <c r="B84" t="str">
        <f>_xlfn.TEXTAFTER(TRACK_TYPES[[#This Row],[VEHIDCODE]],"_")</f>
        <v>UK_GWR_5700</v>
      </c>
      <c r="C84" t="s">
        <v>729</v>
      </c>
      <c r="D84" t="s">
        <v>947</v>
      </c>
      <c r="E84">
        <v>4020</v>
      </c>
      <c r="F84" t="b">
        <f>AND(CONTROL[[#This Row],[IS_WAGON_OR_COACH]]=TRUE,OR(RIGHT(CONTROL[[#This Row],[VEHIDCODE]],7)="Powered",RIGHT(CONTROL[[#This Row],[VEHIDCODE]],9)="Unpowered"))</f>
        <v>0</v>
      </c>
      <c r="G84" s="2" t="b">
        <f>OR(ISNUMBER(SEARCH("wagon_",CONTROL[[#This Row],[VEHIDCODE]])),ISNUMBER(SEARCH("coach_",CONTROL[[#This Row],[VEHIDCODE]])))</f>
        <v>0</v>
      </c>
      <c r="H84" t="str">
        <f>"item_"&amp;CONTROL[[#This Row],[VEHIDCODE]]</f>
        <v>item_steam_UK_GWR_5700</v>
      </c>
      <c r="I84" t="str">
        <f>"str_"&amp;CONTROL[[#This Row],[VEHIDCODE]]</f>
        <v>str_steam_UK_GWR_5700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t="b">
        <f>ISNUMBER(_xlfn.XMATCH(CONTROL[[#This Row],[VEHIDCODE]],ENGLISH_ITEMS[VEHIDCODE],0))</f>
        <v>1</v>
      </c>
    </row>
    <row r="85" spans="1:16">
      <c r="A85" s="2" t="s">
        <v>109</v>
      </c>
      <c r="B85" t="str">
        <f>_xlfn.TEXTAFTER(TRACK_TYPES[[#This Row],[VEHIDCODE]],"_")</f>
        <v>Netherlands_NS_6300</v>
      </c>
      <c r="C85" t="s">
        <v>729</v>
      </c>
      <c r="D85" t="s">
        <v>947</v>
      </c>
      <c r="E85">
        <v>4021</v>
      </c>
      <c r="F85" t="b">
        <f>AND(CONTROL[[#This Row],[IS_WAGON_OR_COACH]]=TRUE,OR(RIGHT(CONTROL[[#This Row],[VEHIDCODE]],7)="Powered",RIGHT(CONTROL[[#This Row],[VEHIDCODE]],9)="Unpowered"))</f>
        <v>0</v>
      </c>
      <c r="G85" s="2" t="b">
        <f>OR(ISNUMBER(SEARCH("wagon_",CONTROL[[#This Row],[VEHIDCODE]])),ISNUMBER(SEARCH("coach_",CONTROL[[#This Row],[VEHIDCODE]])))</f>
        <v>0</v>
      </c>
      <c r="H85" t="str">
        <f>"item_"&amp;CONTROL[[#This Row],[VEHIDCODE]]</f>
        <v>item_steam_Netherlands_NS_6300</v>
      </c>
      <c r="I85" t="str">
        <f>"str_"&amp;CONTROL[[#This Row],[VEHIDCODE]]</f>
        <v>str_steam_Netherlands_NS_6300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t="b">
        <f>ISNUMBER(_xlfn.XMATCH(CONTROL[[#This Row],[VEHIDCODE]],ENGLISH_ITEMS[VEHIDCODE],0))</f>
        <v>1</v>
      </c>
    </row>
    <row r="86" spans="1:16">
      <c r="A86" s="2" t="s">
        <v>110</v>
      </c>
      <c r="B86" t="str">
        <f>_xlfn.TEXTAFTER(TRACK_TYPES[[#This Row],[VEHIDCODE]],"_")</f>
        <v>USA_AT_SF_5000</v>
      </c>
      <c r="C86" t="s">
        <v>729</v>
      </c>
      <c r="D86" t="s">
        <v>947</v>
      </c>
      <c r="E86">
        <v>4022</v>
      </c>
      <c r="F86" t="b">
        <f>AND(CONTROL[[#This Row],[IS_WAGON_OR_COACH]]=TRUE,OR(RIGHT(CONTROL[[#This Row],[VEHIDCODE]],7)="Powered",RIGHT(CONTROL[[#This Row],[VEHIDCODE]],9)="Unpowered"))</f>
        <v>0</v>
      </c>
      <c r="G86" s="2" t="b">
        <f>OR(ISNUMBER(SEARCH("wagon_",CONTROL[[#This Row],[VEHIDCODE]])),ISNUMBER(SEARCH("coach_",CONTROL[[#This Row],[VEHIDCODE]])))</f>
        <v>0</v>
      </c>
      <c r="H86" t="str">
        <f>"item_"&amp;CONTROL[[#This Row],[VEHIDCODE]]</f>
        <v>item_steam_USA_AT_SF_5000</v>
      </c>
      <c r="I86" t="str">
        <f>"str_"&amp;CONTROL[[#This Row],[VEHIDCODE]]</f>
        <v>str_steam_USA_AT_SF_5000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t="b">
        <f>ISNUMBER(_xlfn.XMATCH(CONTROL[[#This Row],[VEHIDCODE]],ENGLISH_ITEMS[VEHIDCODE],0))</f>
        <v>1</v>
      </c>
    </row>
    <row r="87" spans="1:16">
      <c r="A87" s="2" t="s">
        <v>111</v>
      </c>
      <c r="B87" t="str">
        <f>_xlfn.TEXTAFTER(TRACK_TYPES[[#This Row],[VEHIDCODE]],"_")</f>
        <v>Germany_Prussian_S10</v>
      </c>
      <c r="C87" t="s">
        <v>729</v>
      </c>
      <c r="D87" t="s">
        <v>947</v>
      </c>
      <c r="E87">
        <v>4024</v>
      </c>
      <c r="F87" t="b">
        <f>AND(CONTROL[[#This Row],[IS_WAGON_OR_COACH]]=TRUE,OR(RIGHT(CONTROL[[#This Row],[VEHIDCODE]],7)="Powered",RIGHT(CONTROL[[#This Row],[VEHIDCODE]],9)="Unpowered"))</f>
        <v>0</v>
      </c>
      <c r="G87" s="2" t="b">
        <f>OR(ISNUMBER(SEARCH("wagon_",CONTROL[[#This Row],[VEHIDCODE]])),ISNUMBER(SEARCH("coach_",CONTROL[[#This Row],[VEHIDCODE]])))</f>
        <v>0</v>
      </c>
      <c r="H87" t="str">
        <f>"item_"&amp;CONTROL[[#This Row],[VEHIDCODE]]</f>
        <v>item_steam_Germany_Prussian_S10</v>
      </c>
      <c r="I87" t="str">
        <f>"str_"&amp;CONTROL[[#This Row],[VEHIDCODE]]</f>
        <v>str_steam_Germany_Prussian_S10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t="b">
        <f>ISNUMBER(_xlfn.XMATCH(CONTROL[[#This Row],[VEHIDCODE]],ENGLISH_ITEMS[VEHIDCODE],0))</f>
        <v>1</v>
      </c>
    </row>
    <row r="88" spans="1:16">
      <c r="A88" s="2" t="s">
        <v>112</v>
      </c>
      <c r="B88" t="str">
        <f>_xlfn.TEXTAFTER(TRACK_TYPES[[#This Row],[VEHIDCODE]],"_")</f>
        <v>UK_LMS_5MT_Black_Five</v>
      </c>
      <c r="C88" t="s">
        <v>729</v>
      </c>
      <c r="D88" t="s">
        <v>947</v>
      </c>
      <c r="E88">
        <v>4025</v>
      </c>
      <c r="F88" t="b">
        <f>AND(CONTROL[[#This Row],[IS_WAGON_OR_COACH]]=TRUE,OR(RIGHT(CONTROL[[#This Row],[VEHIDCODE]],7)="Powered",RIGHT(CONTROL[[#This Row],[VEHIDCODE]],9)="Unpowered"))</f>
        <v>0</v>
      </c>
      <c r="G88" s="2" t="b">
        <f>OR(ISNUMBER(SEARCH("wagon_",CONTROL[[#This Row],[VEHIDCODE]])),ISNUMBER(SEARCH("coach_",CONTROL[[#This Row],[VEHIDCODE]])))</f>
        <v>0</v>
      </c>
      <c r="H88" t="str">
        <f>"item_"&amp;CONTROL[[#This Row],[VEHIDCODE]]</f>
        <v>item_steam_UK_LMS_5MT_Black_Five</v>
      </c>
      <c r="I88" t="str">
        <f>"str_"&amp;CONTROL[[#This Row],[VEHIDCODE]]</f>
        <v>str_steam_UK_LMS_5MT_Black_Five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t="b">
        <f>ISNUMBER(_xlfn.XMATCH(CONTROL[[#This Row],[VEHIDCODE]],ENGLISH_ITEMS[VEHIDCODE],0))</f>
        <v>1</v>
      </c>
    </row>
    <row r="89" spans="1:16">
      <c r="A89" s="2" t="s">
        <v>113</v>
      </c>
      <c r="B89" t="str">
        <f>_xlfn.TEXTAFTER(TRACK_TYPES[[#This Row],[VEHIDCODE]],"_")</f>
        <v>Russia_RZD_9P</v>
      </c>
      <c r="C89" t="s">
        <v>729</v>
      </c>
      <c r="D89" t="s">
        <v>947</v>
      </c>
      <c r="E89">
        <v>4026</v>
      </c>
      <c r="F89" t="b">
        <f>AND(CONTROL[[#This Row],[IS_WAGON_OR_COACH]]=TRUE,OR(RIGHT(CONTROL[[#This Row],[VEHIDCODE]],7)="Powered",RIGHT(CONTROL[[#This Row],[VEHIDCODE]],9)="Unpowered"))</f>
        <v>0</v>
      </c>
      <c r="G89" s="2" t="b">
        <f>OR(ISNUMBER(SEARCH("wagon_",CONTROL[[#This Row],[VEHIDCODE]])),ISNUMBER(SEARCH("coach_",CONTROL[[#This Row],[VEHIDCODE]])))</f>
        <v>0</v>
      </c>
      <c r="H89" t="str">
        <f>"item_"&amp;CONTROL[[#This Row],[VEHIDCODE]]</f>
        <v>item_steam_Russia_RZD_9P</v>
      </c>
      <c r="I89" t="str">
        <f>"str_"&amp;CONTROL[[#This Row],[VEHIDCODE]]</f>
        <v>str_steam_Russia_RZD_9P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t="b">
        <f>ISNUMBER(_xlfn.XMATCH(CONTROL[[#This Row],[VEHIDCODE]],ENGLISH_ITEMS[VEHIDCODE],0))</f>
        <v>1</v>
      </c>
    </row>
    <row r="90" spans="1:16">
      <c r="A90" s="2" t="s">
        <v>114</v>
      </c>
      <c r="B90" t="str">
        <f>_xlfn.TEXTAFTER(TRACK_TYPES[[#This Row],[VEHIDCODE]],"_")</f>
        <v>UK_LNER_A4_Gresley</v>
      </c>
      <c r="C90" t="s">
        <v>729</v>
      </c>
      <c r="D90" t="s">
        <v>947</v>
      </c>
      <c r="E90">
        <v>4028</v>
      </c>
      <c r="F90" t="b">
        <f>AND(CONTROL[[#This Row],[IS_WAGON_OR_COACH]]=TRUE,OR(RIGHT(CONTROL[[#This Row],[VEHIDCODE]],7)="Powered",RIGHT(CONTROL[[#This Row],[VEHIDCODE]],9)="Unpowered"))</f>
        <v>0</v>
      </c>
      <c r="G90" s="2" t="b">
        <f>OR(ISNUMBER(SEARCH("wagon_",CONTROL[[#This Row],[VEHIDCODE]])),ISNUMBER(SEARCH("coach_",CONTROL[[#This Row],[VEHIDCODE]])))</f>
        <v>0</v>
      </c>
      <c r="H90" t="str">
        <f>"item_"&amp;CONTROL[[#This Row],[VEHIDCODE]]</f>
        <v>item_steam_UK_LNER_A4_Gresley</v>
      </c>
      <c r="I90" t="str">
        <f>"str_"&amp;CONTROL[[#This Row],[VEHIDCODE]]</f>
        <v>str_steam_UK_LNER_A4_Gresley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t="b">
        <f>ISNUMBER(_xlfn.XMATCH(CONTROL[[#This Row],[VEHIDCODE]],ENGLISH_ITEMS[VEHIDCODE],0))</f>
        <v>1</v>
      </c>
    </row>
    <row r="91" spans="1:16">
      <c r="A91" s="2" t="s">
        <v>115</v>
      </c>
      <c r="B91" t="str">
        <f>_xlfn.TEXTAFTER(TRACK_TYPES[[#This Row],[VEHIDCODE]],"_")</f>
        <v>Canada_CPR_Royal_Hudson</v>
      </c>
      <c r="C91" t="s">
        <v>729</v>
      </c>
      <c r="D91" t="s">
        <v>947</v>
      </c>
      <c r="E91">
        <v>4029</v>
      </c>
      <c r="F91" t="b">
        <f>AND(CONTROL[[#This Row],[IS_WAGON_OR_COACH]]=TRUE,OR(RIGHT(CONTROL[[#This Row],[VEHIDCODE]],7)="Powered",RIGHT(CONTROL[[#This Row],[VEHIDCODE]],9)="Unpowered"))</f>
        <v>0</v>
      </c>
      <c r="G91" s="2" t="b">
        <f>OR(ISNUMBER(SEARCH("wagon_",CONTROL[[#This Row],[VEHIDCODE]])),ISNUMBER(SEARCH("coach_",CONTROL[[#This Row],[VEHIDCODE]])))</f>
        <v>0</v>
      </c>
      <c r="H91" t="str">
        <f>"item_"&amp;CONTROL[[#This Row],[VEHIDCODE]]</f>
        <v>item_steam_Canada_CPR_Royal_Hudson</v>
      </c>
      <c r="I91" t="str">
        <f>"str_"&amp;CONTROL[[#This Row],[VEHIDCODE]]</f>
        <v>str_steam_Canada_CPR_Royal_Hudson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t="b">
        <f>ISNUMBER(_xlfn.XMATCH(CONTROL[[#This Row],[VEHIDCODE]],ENGLISH_ITEMS[VEHIDCODE],0))</f>
        <v>1</v>
      </c>
    </row>
    <row r="92" spans="1:16">
      <c r="A92" s="2" t="s">
        <v>116</v>
      </c>
      <c r="B92" t="str">
        <f>_xlfn.TEXTAFTER(TRACK_TYPES[[#This Row],[VEHIDCODE]],"_")</f>
        <v>Denmark_DSB_E</v>
      </c>
      <c r="C92" t="s">
        <v>729</v>
      </c>
      <c r="D92" t="s">
        <v>947</v>
      </c>
      <c r="E92">
        <v>4038</v>
      </c>
      <c r="F92" t="b">
        <f>AND(CONTROL[[#This Row],[IS_WAGON_OR_COACH]]=TRUE,OR(RIGHT(CONTROL[[#This Row],[VEHIDCODE]],7)="Powered",RIGHT(CONTROL[[#This Row],[VEHIDCODE]],9)="Unpowered"))</f>
        <v>0</v>
      </c>
      <c r="G92" s="2" t="b">
        <f>OR(ISNUMBER(SEARCH("wagon_",CONTROL[[#This Row],[VEHIDCODE]])),ISNUMBER(SEARCH("coach_",CONTROL[[#This Row],[VEHIDCODE]])))</f>
        <v>0</v>
      </c>
      <c r="H92" t="str">
        <f>"item_"&amp;CONTROL[[#This Row],[VEHIDCODE]]</f>
        <v>item_steam_Denmark_DSB_E</v>
      </c>
      <c r="I92" t="str">
        <f>"str_"&amp;CONTROL[[#This Row],[VEHIDCODE]]</f>
        <v>str_steam_Denmark_DSB_E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t="b">
        <f>ISNUMBER(_xlfn.XMATCH(CONTROL[[#This Row],[VEHIDCODE]],ENGLISH_ITEMS[VEHIDCODE],0))</f>
        <v>1</v>
      </c>
    </row>
    <row r="93" spans="1:16">
      <c r="A93" s="2" t="s">
        <v>117</v>
      </c>
      <c r="B93" t="str">
        <f>_xlfn.TEXTAFTER(TRACK_TYPES[[#This Row],[VEHIDCODE]],"_")</f>
        <v>Germany_DB_52</v>
      </c>
      <c r="C93" t="s">
        <v>729</v>
      </c>
      <c r="D93" t="s">
        <v>947</v>
      </c>
      <c r="E93">
        <v>4031</v>
      </c>
      <c r="F93" t="b">
        <f>AND(CONTROL[[#This Row],[IS_WAGON_OR_COACH]]=TRUE,OR(RIGHT(CONTROL[[#This Row],[VEHIDCODE]],7)="Powered",RIGHT(CONTROL[[#This Row],[VEHIDCODE]],9)="Unpowered"))</f>
        <v>0</v>
      </c>
      <c r="G93" s="2" t="b">
        <f>OR(ISNUMBER(SEARCH("wagon_",CONTROL[[#This Row],[VEHIDCODE]])),ISNUMBER(SEARCH("coach_",CONTROL[[#This Row],[VEHIDCODE]])))</f>
        <v>0</v>
      </c>
      <c r="H93" t="str">
        <f>"item_"&amp;CONTROL[[#This Row],[VEHIDCODE]]</f>
        <v>item_steam_Germany_DB_52</v>
      </c>
      <c r="I93" t="str">
        <f>"str_"&amp;CONTROL[[#This Row],[VEHIDCODE]]</f>
        <v>str_steam_Germany_DB_52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t="b">
        <f>ISNUMBER(_xlfn.XMATCH(CONTROL[[#This Row],[VEHIDCODE]],ENGLISH_ITEMS[VEHIDCODE],0))</f>
        <v>1</v>
      </c>
    </row>
    <row r="94" spans="1:16">
      <c r="A94" s="2" t="s">
        <v>118</v>
      </c>
      <c r="B94" t="str">
        <f>_xlfn.TEXTAFTER(TRACK_TYPES[[#This Row],[VEHIDCODE]],"_")</f>
        <v>UK_LNER_A1_Peppercorn</v>
      </c>
      <c r="C94" t="s">
        <v>729</v>
      </c>
      <c r="D94" t="s">
        <v>947</v>
      </c>
      <c r="E94">
        <v>4033</v>
      </c>
      <c r="F94" t="b">
        <f>AND(CONTROL[[#This Row],[IS_WAGON_OR_COACH]]=TRUE,OR(RIGHT(CONTROL[[#This Row],[VEHIDCODE]],7)="Powered",RIGHT(CONTROL[[#This Row],[VEHIDCODE]],9)="Unpowered"))</f>
        <v>0</v>
      </c>
      <c r="G94" s="2" t="b">
        <f>OR(ISNUMBER(SEARCH("wagon_",CONTROL[[#This Row],[VEHIDCODE]])),ISNUMBER(SEARCH("coach_",CONTROL[[#This Row],[VEHIDCODE]])))</f>
        <v>0</v>
      </c>
      <c r="H94" t="str">
        <f>"item_"&amp;CONTROL[[#This Row],[VEHIDCODE]]</f>
        <v>item_steam_UK_LNER_A1_Peppercorn</v>
      </c>
      <c r="I94" t="str">
        <f>"str_"&amp;CONTROL[[#This Row],[VEHIDCODE]]</f>
        <v>str_steam_UK_LNER_A1_Peppercorn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t="b">
        <f>ISNUMBER(_xlfn.XMATCH(CONTROL[[#This Row],[VEHIDCODE]],ENGLISH_ITEMS[VEHIDCODE],0))</f>
        <v>1</v>
      </c>
    </row>
    <row r="95" spans="1:16">
      <c r="A95" s="2" t="s">
        <v>119</v>
      </c>
      <c r="B95" t="str">
        <f>_xlfn.TEXTAFTER(TRACK_TYPES[[#This Row],[VEHIDCODE]],"_")</f>
        <v>South_Africa_SAR_25</v>
      </c>
      <c r="C95" t="s">
        <v>729</v>
      </c>
      <c r="D95" t="s">
        <v>947</v>
      </c>
      <c r="E95">
        <v>4034</v>
      </c>
      <c r="F95" t="b">
        <f>AND(CONTROL[[#This Row],[IS_WAGON_OR_COACH]]=TRUE,OR(RIGHT(CONTROL[[#This Row],[VEHIDCODE]],7)="Powered",RIGHT(CONTROL[[#This Row],[VEHIDCODE]],9)="Unpowered"))</f>
        <v>0</v>
      </c>
      <c r="G95" s="2" t="b">
        <f>OR(ISNUMBER(SEARCH("wagon_",CONTROL[[#This Row],[VEHIDCODE]])),ISNUMBER(SEARCH("coach_",CONTROL[[#This Row],[VEHIDCODE]])))</f>
        <v>0</v>
      </c>
      <c r="H95" t="str">
        <f>"item_"&amp;CONTROL[[#This Row],[VEHIDCODE]]</f>
        <v>item_steam_South_Africa_SAR_25</v>
      </c>
      <c r="I95" t="str">
        <f>"str_"&amp;CONTROL[[#This Row],[VEHIDCODE]]</f>
        <v>str_steam_South_Africa_SAR_25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t="b">
        <f>ISNUMBER(_xlfn.XMATCH(CONTROL[[#This Row],[VEHIDCODE]],ENGLISH_ITEMS[VEHIDCODE],0))</f>
        <v>1</v>
      </c>
    </row>
    <row r="96" spans="1:16">
      <c r="A96" s="2" t="s">
        <v>120</v>
      </c>
      <c r="B96" t="str">
        <f>_xlfn.TEXTAFTER(TRACK_TYPES[[#This Row],[VEHIDCODE]],"_")</f>
        <v>Russia_RZD_P36</v>
      </c>
      <c r="C96" t="s">
        <v>729</v>
      </c>
      <c r="D96" t="s">
        <v>947</v>
      </c>
      <c r="E96">
        <v>4035</v>
      </c>
      <c r="F96" t="b">
        <f>AND(CONTROL[[#This Row],[IS_WAGON_OR_COACH]]=TRUE,OR(RIGHT(CONTROL[[#This Row],[VEHIDCODE]],7)="Powered",RIGHT(CONTROL[[#This Row],[VEHIDCODE]],9)="Unpowered"))</f>
        <v>0</v>
      </c>
      <c r="G96" s="2" t="b">
        <f>OR(ISNUMBER(SEARCH("wagon_",CONTROL[[#This Row],[VEHIDCODE]])),ISNUMBER(SEARCH("coach_",CONTROL[[#This Row],[VEHIDCODE]])))</f>
        <v>0</v>
      </c>
      <c r="H96" t="str">
        <f>"item_"&amp;CONTROL[[#This Row],[VEHIDCODE]]</f>
        <v>item_steam_Russia_RZD_P36</v>
      </c>
      <c r="I96" t="str">
        <f>"str_"&amp;CONTROL[[#This Row],[VEHIDCODE]]</f>
        <v>str_steam_Russia_RZD_P36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t="b">
        <f>ISNUMBER(_xlfn.XMATCH(CONTROL[[#This Row],[VEHIDCODE]],ENGLISH_ITEMS[VEHIDCODE],0))</f>
        <v>1</v>
      </c>
    </row>
    <row r="97" spans="1:16">
      <c r="A97" s="2" t="s">
        <v>121</v>
      </c>
      <c r="B97" t="str">
        <f>_xlfn.TEXTAFTER(TRACK_TYPES[[#This Row],[VEHIDCODE]],"_")</f>
        <v>France_SNCF_150B</v>
      </c>
      <c r="C97" t="s">
        <v>729</v>
      </c>
      <c r="D97" t="s">
        <v>947</v>
      </c>
      <c r="E97">
        <v>4023</v>
      </c>
      <c r="F97" t="b">
        <f>AND(CONTROL[[#This Row],[IS_WAGON_OR_COACH]]=TRUE,OR(RIGHT(CONTROL[[#This Row],[VEHIDCODE]],7)="Powered",RIGHT(CONTROL[[#This Row],[VEHIDCODE]],9)="Unpowered"))</f>
        <v>0</v>
      </c>
      <c r="G97" s="2" t="b">
        <f>OR(ISNUMBER(SEARCH("wagon_",CONTROL[[#This Row],[VEHIDCODE]])),ISNUMBER(SEARCH("coach_",CONTROL[[#This Row],[VEHIDCODE]])))</f>
        <v>0</v>
      </c>
      <c r="H97" t="str">
        <f>"item_"&amp;CONTROL[[#This Row],[VEHIDCODE]]</f>
        <v>item_steam_France_SNCF_150B</v>
      </c>
      <c r="I97" t="str">
        <f>"str_"&amp;CONTROL[[#This Row],[VEHIDCODE]]</f>
        <v>str_steam_France_SNCF_150B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t="b">
        <f>ISNUMBER(_xlfn.XMATCH(CONTROL[[#This Row],[VEHIDCODE]],ENGLISH_ITEMS[VEHIDCODE],0))</f>
        <v>1</v>
      </c>
    </row>
    <row r="98" spans="1:16">
      <c r="A98" s="2" t="s">
        <v>122</v>
      </c>
      <c r="B98" t="str">
        <f>_xlfn.TEXTAFTER(TRACK_TYPES[[#This Row],[VEHIDCODE]],"_")</f>
        <v>Italy_FS_895</v>
      </c>
      <c r="C98" t="s">
        <v>729</v>
      </c>
      <c r="D98" t="s">
        <v>947</v>
      </c>
      <c r="E98">
        <v>4012</v>
      </c>
      <c r="F98" t="b">
        <f>AND(CONTROL[[#This Row],[IS_WAGON_OR_COACH]]=TRUE,OR(RIGHT(CONTROL[[#This Row],[VEHIDCODE]],7)="Powered",RIGHT(CONTROL[[#This Row],[VEHIDCODE]],9)="Unpowered"))</f>
        <v>0</v>
      </c>
      <c r="G98" s="2" t="b">
        <f>OR(ISNUMBER(SEARCH("wagon_",CONTROL[[#This Row],[VEHIDCODE]])),ISNUMBER(SEARCH("coach_",CONTROL[[#This Row],[VEHIDCODE]])))</f>
        <v>0</v>
      </c>
      <c r="H98" t="str">
        <f>"item_"&amp;CONTROL[[#This Row],[VEHIDCODE]]</f>
        <v>item_steam_Italy_FS_895</v>
      </c>
      <c r="I98" t="str">
        <f>"str_"&amp;CONTROL[[#This Row],[VEHIDCODE]]</f>
        <v>str_steam_Italy_FS_895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t="b">
        <f>ISNUMBER(_xlfn.XMATCH(CONTROL[[#This Row],[VEHIDCODE]],ENGLISH_ITEMS[VEHIDCODE],0))</f>
        <v>1</v>
      </c>
    </row>
    <row r="99" spans="1:16">
      <c r="A99" s="2" t="s">
        <v>123</v>
      </c>
      <c r="B99" t="str">
        <f>_xlfn.TEXTAFTER(TRACK_TYPES[[#This Row],[VEHIDCODE]],"_")</f>
        <v>Poland_PKP_Okz32</v>
      </c>
      <c r="C99" t="s">
        <v>729</v>
      </c>
      <c r="D99" t="s">
        <v>947</v>
      </c>
      <c r="E99">
        <v>4027</v>
      </c>
      <c r="F99" t="b">
        <f>AND(CONTROL[[#This Row],[IS_WAGON_OR_COACH]]=TRUE,OR(RIGHT(CONTROL[[#This Row],[VEHIDCODE]],7)="Powered",RIGHT(CONTROL[[#This Row],[VEHIDCODE]],9)="Unpowered"))</f>
        <v>0</v>
      </c>
      <c r="G99" s="2" t="b">
        <f>OR(ISNUMBER(SEARCH("wagon_",CONTROL[[#This Row],[VEHIDCODE]])),ISNUMBER(SEARCH("coach_",CONTROL[[#This Row],[VEHIDCODE]])))</f>
        <v>0</v>
      </c>
      <c r="H99" t="str">
        <f>"item_"&amp;CONTROL[[#This Row],[VEHIDCODE]]</f>
        <v>item_steam_Poland_PKP_Okz32</v>
      </c>
      <c r="I99" t="str">
        <f>"str_"&amp;CONTROL[[#This Row],[VEHIDCODE]]</f>
        <v>str_steam_Poland_PKP_Okz32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t="b">
        <f>ISNUMBER(_xlfn.XMATCH(CONTROL[[#This Row],[VEHIDCODE]],ENGLISH_ITEMS[VEHIDCODE],0))</f>
        <v>1</v>
      </c>
    </row>
    <row r="100" spans="1:16">
      <c r="A100" s="2" t="s">
        <v>124</v>
      </c>
      <c r="B100" t="str">
        <f>_xlfn.TEXTAFTER(TRACK_TYPES[[#This Row],[VEHIDCODE]],"_")</f>
        <v>Switzerland_SBB_C_5_6</v>
      </c>
      <c r="C100" t="s">
        <v>729</v>
      </c>
      <c r="D100" t="s">
        <v>947</v>
      </c>
      <c r="E100">
        <v>4013</v>
      </c>
      <c r="F100" t="b">
        <f>AND(CONTROL[[#This Row],[IS_WAGON_OR_COACH]]=TRUE,OR(RIGHT(CONTROL[[#This Row],[VEHIDCODE]],7)="Powered",RIGHT(CONTROL[[#This Row],[VEHIDCODE]],9)="Unpowered"))</f>
        <v>0</v>
      </c>
      <c r="G100" s="2" t="b">
        <f>OR(ISNUMBER(SEARCH("wagon_",CONTROL[[#This Row],[VEHIDCODE]])),ISNUMBER(SEARCH("coach_",CONTROL[[#This Row],[VEHIDCODE]])))</f>
        <v>0</v>
      </c>
      <c r="H100" t="str">
        <f>"item_"&amp;CONTROL[[#This Row],[VEHIDCODE]]</f>
        <v>item_steam_Switzerland_SBB_C_5_6</v>
      </c>
      <c r="I100" t="str">
        <f>"str_"&amp;CONTROL[[#This Row],[VEHIDCODE]]</f>
        <v>str_steam_Switzerland_SBB_C_5_6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t="b">
        <f>ISNUMBER(_xlfn.XMATCH(CONTROL[[#This Row],[VEHIDCODE]],ENGLISH_ITEMS[VEHIDCODE],0))</f>
        <v>1</v>
      </c>
    </row>
    <row r="101" spans="1:16">
      <c r="A101" s="2" t="s">
        <v>125</v>
      </c>
      <c r="B101" t="str">
        <f>_xlfn.TEXTAFTER(TRACK_TYPES[[#This Row],[VEHIDCODE]],"_")</f>
        <v>USA_UP_4000_Big_Boy</v>
      </c>
      <c r="C101" t="s">
        <v>729</v>
      </c>
      <c r="D101" t="s">
        <v>947</v>
      </c>
      <c r="E101">
        <v>4039</v>
      </c>
      <c r="F101" t="b">
        <f>AND(CONTROL[[#This Row],[IS_WAGON_OR_COACH]]=TRUE,OR(RIGHT(CONTROL[[#This Row],[VEHIDCODE]],7)="Powered",RIGHT(CONTROL[[#This Row],[VEHIDCODE]],9)="Unpowered"))</f>
        <v>0</v>
      </c>
      <c r="G101" s="2" t="b">
        <f>OR(ISNUMBER(SEARCH("wagon_",CONTROL[[#This Row],[VEHIDCODE]])),ISNUMBER(SEARCH("coach_",CONTROL[[#This Row],[VEHIDCODE]])))</f>
        <v>0</v>
      </c>
      <c r="H101" t="str">
        <f>"item_"&amp;CONTROL[[#This Row],[VEHIDCODE]]</f>
        <v>item_steam_USA_UP_4000_Big_Boy</v>
      </c>
      <c r="I101" t="str">
        <f>"str_"&amp;CONTROL[[#This Row],[VEHIDCODE]]</f>
        <v>str_steam_USA_UP_4000_Big_Boy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t="b">
        <f>ISNUMBER(_xlfn.XMATCH(CONTROL[[#This Row],[VEHIDCODE]],ENGLISH_ITEMS[VEHIDCODE],0))</f>
        <v>1</v>
      </c>
    </row>
    <row r="102" spans="1:16">
      <c r="A102" s="2" t="s">
        <v>126</v>
      </c>
      <c r="B102" t="str">
        <f>_xlfn.TEXTAFTER(TRACK_TYPES[[#This Row],[VEHIDCODE]],"_")</f>
        <v>Netherlands_NRS_11</v>
      </c>
      <c r="C102" t="s">
        <v>729</v>
      </c>
      <c r="D102" t="s">
        <v>947</v>
      </c>
      <c r="E102">
        <v>4040</v>
      </c>
      <c r="F102" t="b">
        <f>AND(CONTROL[[#This Row],[IS_WAGON_OR_COACH]]=TRUE,OR(RIGHT(CONTROL[[#This Row],[VEHIDCODE]],7)="Powered",RIGHT(CONTROL[[#This Row],[VEHIDCODE]],9)="Unpowered"))</f>
        <v>0</v>
      </c>
      <c r="G102" s="2" t="b">
        <f>OR(ISNUMBER(SEARCH("wagon_",CONTROL[[#This Row],[VEHIDCODE]])),ISNUMBER(SEARCH("coach_",CONTROL[[#This Row],[VEHIDCODE]])))</f>
        <v>0</v>
      </c>
      <c r="H102" t="str">
        <f>"item_"&amp;CONTROL[[#This Row],[VEHIDCODE]]</f>
        <v>item_steam_Netherlands_NRS_11</v>
      </c>
      <c r="I102" t="str">
        <f>"str_"&amp;CONTROL[[#This Row],[VEHIDCODE]]</f>
        <v>str_steam_Netherlands_NRS_11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t="b">
        <f>ISNUMBER(_xlfn.XMATCH(CONTROL[[#This Row],[VEHIDCODE]],ENGLISH_ITEMS[VEHIDCODE],0))</f>
        <v>1</v>
      </c>
    </row>
    <row r="103" spans="1:16">
      <c r="A103" s="2" t="s">
        <v>127</v>
      </c>
      <c r="B103" t="str">
        <f>_xlfn.TEXTAFTER(TRACK_TYPES[[#This Row],[VEHIDCODE]],"_")</f>
        <v>UK_GWR_Iron_DUKe_Class</v>
      </c>
      <c r="C103" t="s">
        <v>729</v>
      </c>
      <c r="D103" t="s">
        <v>947</v>
      </c>
      <c r="E103">
        <v>4041</v>
      </c>
      <c r="F103" t="b">
        <f>AND(CONTROL[[#This Row],[IS_WAGON_OR_COACH]]=TRUE,OR(RIGHT(CONTROL[[#This Row],[VEHIDCODE]],7)="Powered",RIGHT(CONTROL[[#This Row],[VEHIDCODE]],9)="Unpowered"))</f>
        <v>0</v>
      </c>
      <c r="G103" s="2" t="b">
        <f>OR(ISNUMBER(SEARCH("wagon_",CONTROL[[#This Row],[VEHIDCODE]])),ISNUMBER(SEARCH("coach_",CONTROL[[#This Row],[VEHIDCODE]])))</f>
        <v>0</v>
      </c>
      <c r="H103" t="str">
        <f>"item_"&amp;CONTROL[[#This Row],[VEHIDCODE]]</f>
        <v>item_steam_UK_GWR_Iron_DUKe_Class</v>
      </c>
      <c r="I103" t="str">
        <f>"str_"&amp;CONTROL[[#This Row],[VEHIDCODE]]</f>
        <v>str_steam_UK_GWR_Iron_DUKe_Class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t="b">
        <f>ISNUMBER(_xlfn.XMATCH(CONTROL[[#This Row],[VEHIDCODE]],ENGLISH_ITEMS[VEHIDCODE],0))</f>
        <v>1</v>
      </c>
    </row>
    <row r="104" spans="1:16">
      <c r="A104" s="2" t="s">
        <v>128</v>
      </c>
      <c r="B104" t="str">
        <f>_xlfn.TEXTAFTER(TRACK_TYPES[[#This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b">
        <f>AND(CONTROL[[#This Row],[IS_WAGON_OR_COACH]]=TRUE,OR(RIGHT(CONTROL[[#This Row],[VEHIDCODE]],7)="Powered",RIGHT(CONTROL[[#This Row],[VEHIDCODE]],9)="Unpowered"))</f>
        <v>0</v>
      </c>
      <c r="G104" s="2" t="b">
        <f>OR(ISNUMBER(SEARCH("wagon_",CONTROL[[#This Row],[VEHIDCODE]])),ISNUMBER(SEARCH("coach_",CONTROL[[#This Row],[VEHIDCODE]])))</f>
        <v>0</v>
      </c>
      <c r="H104" t="str">
        <f>"item_"&amp;CONTROL[[#This Row],[VEHIDCODE]]</f>
        <v>item_steam_Australia_Sidney_Railway_Locomotive_No1</v>
      </c>
      <c r="I104" t="str">
        <f>"str_"&amp;CONTROL[[#This Row],[VEHIDCODE]]</f>
        <v>str_steam_Australia_Sidney_Railway_Locomotive_No1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t="b">
        <f>ISNUMBER(_xlfn.XMATCH(CONTROL[[#This Row],[VEHIDCODE]],ENGLISH_ITEMS[VEHIDCODE],0))</f>
        <v>1</v>
      </c>
    </row>
    <row r="105" spans="1:16">
      <c r="A105" s="2" t="s">
        <v>129</v>
      </c>
      <c r="B105" t="str">
        <f>_xlfn.TEXTAFTER(TRACK_TYPES[[#This Row],[VEHIDCODE]],"_")</f>
        <v>USA_Central_Pacific_4_2_2</v>
      </c>
      <c r="C105" t="s">
        <v>729</v>
      </c>
      <c r="D105" t="s">
        <v>947</v>
      </c>
      <c r="E105">
        <v>4043</v>
      </c>
      <c r="F105" t="b">
        <f>AND(CONTROL[[#This Row],[IS_WAGON_OR_COACH]]=TRUE,OR(RIGHT(CONTROL[[#This Row],[VEHIDCODE]],7)="Powered",RIGHT(CONTROL[[#This Row],[VEHIDCODE]],9)="Unpowered"))</f>
        <v>0</v>
      </c>
      <c r="G105" s="2" t="b">
        <f>OR(ISNUMBER(SEARCH("wagon_",CONTROL[[#This Row],[VEHIDCODE]])),ISNUMBER(SEARCH("coach_",CONTROL[[#This Row],[VEHIDCODE]])))</f>
        <v>0</v>
      </c>
      <c r="H105" t="str">
        <f>"item_"&amp;CONTROL[[#This Row],[VEHIDCODE]]</f>
        <v>item_steam_USA_Central_Pacific_4_2_2</v>
      </c>
      <c r="I105" t="str">
        <f>"str_"&amp;CONTROL[[#This Row],[VEHIDCODE]]</f>
        <v>str_steam_USA_Central_Pacific_4_2_2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t="b">
        <f>ISNUMBER(_xlfn.XMATCH(CONTROL[[#This Row],[VEHIDCODE]],ENGLISH_ITEMS[VEHIDCODE],0))</f>
        <v>1</v>
      </c>
    </row>
    <row r="106" spans="1:16">
      <c r="A106" s="2" t="s">
        <v>130</v>
      </c>
      <c r="B106" t="str">
        <f>_xlfn.TEXTAFTER(TRACK_TYPES[[#This Row],[VEHIDCODE]],"_")</f>
        <v>Netherlands_NS_700</v>
      </c>
      <c r="C106" t="s">
        <v>729</v>
      </c>
      <c r="D106" t="s">
        <v>947</v>
      </c>
      <c r="E106">
        <v>4044</v>
      </c>
      <c r="F106" t="b">
        <f>AND(CONTROL[[#This Row],[IS_WAGON_OR_COACH]]=TRUE,OR(RIGHT(CONTROL[[#This Row],[VEHIDCODE]],7)="Powered",RIGHT(CONTROL[[#This Row],[VEHIDCODE]],9)="Unpowered"))</f>
        <v>0</v>
      </c>
      <c r="G106" s="2" t="b">
        <f>OR(ISNUMBER(SEARCH("wagon_",CONTROL[[#This Row],[VEHIDCODE]])),ISNUMBER(SEARCH("coach_",CONTROL[[#This Row],[VEHIDCODE]])))</f>
        <v>0</v>
      </c>
      <c r="H106" t="str">
        <f>"item_"&amp;CONTROL[[#This Row],[VEHIDCODE]]</f>
        <v>item_steam_Netherlands_NS_700</v>
      </c>
      <c r="I106" t="str">
        <f>"str_"&amp;CONTROL[[#This Row],[VEHIDCODE]]</f>
        <v>str_steam_Netherlands_NS_700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t="b">
        <f>ISNUMBER(_xlfn.XMATCH(CONTROL[[#This Row],[VEHIDCODE]],ENGLISH_ITEMS[VEHIDCODE],0))</f>
        <v>1</v>
      </c>
    </row>
    <row r="107" spans="1:16">
      <c r="A107" s="2" t="s">
        <v>131</v>
      </c>
      <c r="B107" t="str">
        <f>_xlfn.TEXTAFTER(TRACK_TYPES[[#This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b">
        <f>AND(CONTROL[[#This Row],[IS_WAGON_OR_COACH]]=TRUE,OR(RIGHT(CONTROL[[#This Row],[VEHIDCODE]],7)="Powered",RIGHT(CONTROL[[#This Row],[VEHIDCODE]],9)="Unpowered"))</f>
        <v>0</v>
      </c>
      <c r="G107" s="2" t="b">
        <f>OR(ISNUMBER(SEARCH("wagon_",CONTROL[[#This Row],[VEHIDCODE]])),ISNUMBER(SEARCH("coach_",CONTROL[[#This Row],[VEHIDCODE]])))</f>
        <v>0</v>
      </c>
      <c r="H107" t="str">
        <f>"item_"&amp;CONTROL[[#This Row],[VEHIDCODE]]</f>
        <v>item_steam_South_Africa_Natal_Government_Railways_2_6_0T</v>
      </c>
      <c r="I107" t="str">
        <f>"str_"&amp;CONTROL[[#This Row],[VEHIDCODE]]</f>
        <v>str_steam_South_Africa_Natal_Government_Railways_2_6_0T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t="b">
        <f>ISNUMBER(_xlfn.XMATCH(CONTROL[[#This Row],[VEHIDCODE]],ENGLISH_ITEMS[VEHIDCODE],0))</f>
        <v>1</v>
      </c>
    </row>
    <row r="108" spans="1:16">
      <c r="A108" s="2" t="s">
        <v>132</v>
      </c>
      <c r="B108" t="str">
        <f>_xlfn.TEXTAFTER(TRACK_TYPES[[#This Row],[VEHIDCODE]],"_")</f>
        <v>Australia_NSWGR_Z25_Class</v>
      </c>
      <c r="C108" t="s">
        <v>729</v>
      </c>
      <c r="D108" t="s">
        <v>947</v>
      </c>
      <c r="E108">
        <v>4046</v>
      </c>
      <c r="F108" t="b">
        <f>AND(CONTROL[[#This Row],[IS_WAGON_OR_COACH]]=TRUE,OR(RIGHT(CONTROL[[#This Row],[VEHIDCODE]],7)="Powered",RIGHT(CONTROL[[#This Row],[VEHIDCODE]],9)="Unpowered"))</f>
        <v>0</v>
      </c>
      <c r="G108" s="2" t="b">
        <f>OR(ISNUMBER(SEARCH("wagon_",CONTROL[[#This Row],[VEHIDCODE]])),ISNUMBER(SEARCH("coach_",CONTROL[[#This Row],[VEHIDCODE]])))</f>
        <v>0</v>
      </c>
      <c r="H108" t="str">
        <f>"item_"&amp;CONTROL[[#This Row],[VEHIDCODE]]</f>
        <v>item_steam_Australia_NSWGR_Z25_Class</v>
      </c>
      <c r="I108" t="str">
        <f>"str_"&amp;CONTROL[[#This Row],[VEHIDCODE]]</f>
        <v>str_steam_Australia_NSWGR_Z25_Class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t="b">
        <f>ISNUMBER(_xlfn.XMATCH(CONTROL[[#This Row],[VEHIDCODE]],ENGLISH_ITEMS[VEHIDCODE],0))</f>
        <v>1</v>
      </c>
    </row>
    <row r="109" spans="1:16">
      <c r="A109" s="2" t="s">
        <v>133</v>
      </c>
      <c r="B109" t="str">
        <f>_xlfn.TEXTAFTER(TRACK_TYPES[[#This Row],[VEHIDCODE]],"_")</f>
        <v>Canada_Canadian_Pacific_374</v>
      </c>
      <c r="C109" t="s">
        <v>729</v>
      </c>
      <c r="D109" t="s">
        <v>947</v>
      </c>
      <c r="E109">
        <v>4047</v>
      </c>
      <c r="F109" t="b">
        <f>AND(CONTROL[[#This Row],[IS_WAGON_OR_COACH]]=TRUE,OR(RIGHT(CONTROL[[#This Row],[VEHIDCODE]],7)="Powered",RIGHT(CONTROL[[#This Row],[VEHIDCODE]],9)="Unpowered"))</f>
        <v>0</v>
      </c>
      <c r="G109" s="2" t="b">
        <f>OR(ISNUMBER(SEARCH("wagon_",CONTROL[[#This Row],[VEHIDCODE]])),ISNUMBER(SEARCH("coach_",CONTROL[[#This Row],[VEHIDCODE]])))</f>
        <v>0</v>
      </c>
      <c r="H109" t="str">
        <f>"item_"&amp;CONTROL[[#This Row],[VEHIDCODE]]</f>
        <v>item_steam_Canada_Canadian_Pacific_374</v>
      </c>
      <c r="I109" t="str">
        <f>"str_"&amp;CONTROL[[#This Row],[VEHIDCODE]]</f>
        <v>str_steam_Canada_Canadian_Pacific_374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t="b">
        <f>ISNUMBER(_xlfn.XMATCH(CONTROL[[#This Row],[VEHIDCODE]],ENGLISH_ITEMS[VEHIDCODE],0))</f>
        <v>1</v>
      </c>
    </row>
    <row r="110" spans="1:16">
      <c r="A110" s="2" t="s">
        <v>134</v>
      </c>
      <c r="B110" t="str">
        <f>_xlfn.TEXTAFTER(TRACK_TYPES[[#This Row],[VEHIDCODE]],"_")</f>
        <v>South_Africa_PPR_35_tonner_4_6_0T</v>
      </c>
      <c r="C110" t="s">
        <v>729</v>
      </c>
      <c r="D110" t="s">
        <v>947</v>
      </c>
      <c r="E110">
        <v>4072</v>
      </c>
      <c r="F110" t="b">
        <f>AND(CONTROL[[#This Row],[IS_WAGON_OR_COACH]]=TRUE,OR(RIGHT(CONTROL[[#This Row],[VEHIDCODE]],7)="Powered",RIGHT(CONTROL[[#This Row],[VEHIDCODE]],9)="Unpowered"))</f>
        <v>0</v>
      </c>
      <c r="G110" s="2" t="b">
        <f>OR(ISNUMBER(SEARCH("wagon_",CONTROL[[#This Row],[VEHIDCODE]])),ISNUMBER(SEARCH("coach_",CONTROL[[#This Row],[VEHIDCODE]])))</f>
        <v>0</v>
      </c>
      <c r="H110" t="str">
        <f>"item_"&amp;CONTROL[[#This Row],[VEHIDCODE]]</f>
        <v>item_steam_South_Africa_PPR_35_tonner_4_6_0T</v>
      </c>
      <c r="I110" t="str">
        <f>"str_"&amp;CONTROL[[#This Row],[VEHIDCODE]]</f>
        <v>str_steam_South_Africa_PPR_35_tonner_4_6_0T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t="b">
        <f>ISNUMBER(_xlfn.XMATCH(CONTROL[[#This Row],[VEHIDCODE]],ENGLISH_ITEMS[VEHIDCODE],0))</f>
        <v>1</v>
      </c>
    </row>
    <row r="111" spans="1:16">
      <c r="A111" s="2" t="s">
        <v>135</v>
      </c>
      <c r="B111" t="str">
        <f>_xlfn.TEXTAFTER(TRACK_TYPES[[#This Row],[VEHIDCODE]],"_")</f>
        <v>Spain_RENFE_Class_040</v>
      </c>
      <c r="C111" t="s">
        <v>729</v>
      </c>
      <c r="D111" t="s">
        <v>947</v>
      </c>
      <c r="E111">
        <v>4050</v>
      </c>
      <c r="F111" t="b">
        <f>AND(CONTROL[[#This Row],[IS_WAGON_OR_COACH]]=TRUE,OR(RIGHT(CONTROL[[#This Row],[VEHIDCODE]],7)="Powered",RIGHT(CONTROL[[#This Row],[VEHIDCODE]],9)="Unpowered"))</f>
        <v>0</v>
      </c>
      <c r="G111" s="2" t="b">
        <f>OR(ISNUMBER(SEARCH("wagon_",CONTROL[[#This Row],[VEHIDCODE]])),ISNUMBER(SEARCH("coach_",CONTROL[[#This Row],[VEHIDCODE]])))</f>
        <v>0</v>
      </c>
      <c r="H111" t="str">
        <f>"item_"&amp;CONTROL[[#This Row],[VEHIDCODE]]</f>
        <v>item_steam_Spain_RENFE_Class_040</v>
      </c>
      <c r="I111" t="str">
        <f>"str_"&amp;CONTROL[[#This Row],[VEHIDCODE]]</f>
        <v>str_steam_Spain_RENFE_Class_040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t="b">
        <f>ISNUMBER(_xlfn.XMATCH(CONTROL[[#This Row],[VEHIDCODE]],ENGLISH_ITEMS[VEHIDCODE],0))</f>
        <v>1</v>
      </c>
    </row>
    <row r="112" spans="1:16">
      <c r="A112" s="2" t="s">
        <v>136</v>
      </c>
      <c r="B112" t="str">
        <f>_xlfn.TEXTAFTER(TRACK_TYPES[[#This Row],[VEHIDCODE]],"_")</f>
        <v>Germany_Saxon_IV_K</v>
      </c>
      <c r="C112" t="s">
        <v>729</v>
      </c>
      <c r="D112" t="s">
        <v>947</v>
      </c>
      <c r="E112">
        <v>4051</v>
      </c>
      <c r="F112" t="b">
        <f>AND(CONTROL[[#This Row],[IS_WAGON_OR_COACH]]=TRUE,OR(RIGHT(CONTROL[[#This Row],[VEHIDCODE]],7)="Powered",RIGHT(CONTROL[[#This Row],[VEHIDCODE]],9)="Unpowered"))</f>
        <v>0</v>
      </c>
      <c r="G112" s="2" t="b">
        <f>OR(ISNUMBER(SEARCH("wagon_",CONTROL[[#This Row],[VEHIDCODE]])),ISNUMBER(SEARCH("coach_",CONTROL[[#This Row],[VEHIDCODE]])))</f>
        <v>0</v>
      </c>
      <c r="H112" t="str">
        <f>"item_"&amp;CONTROL[[#This Row],[VEHIDCODE]]</f>
        <v>item_steam_Germany_Saxon_IV_K</v>
      </c>
      <c r="I112" t="str">
        <f>"str_"&amp;CONTROL[[#This Row],[VEHIDCODE]]</f>
        <v>str_steam_Germany_Saxon_IV_K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t="b">
        <f>ISNUMBER(_xlfn.XMATCH(CONTROL[[#This Row],[VEHIDCODE]],ENGLISH_ITEMS[VEHIDCODE],0))</f>
        <v>1</v>
      </c>
    </row>
    <row r="113" spans="1:16">
      <c r="A113" s="2" t="s">
        <v>137</v>
      </c>
      <c r="B113" t="str">
        <f>_xlfn.TEXTAFTER(TRACK_TYPES[[#This Row],[VEHIDCODE]],"_")</f>
        <v>Germany_Prussian_S_3</v>
      </c>
      <c r="C113" t="s">
        <v>729</v>
      </c>
      <c r="D113" t="s">
        <v>947</v>
      </c>
      <c r="E113">
        <v>4052</v>
      </c>
      <c r="F113" t="b">
        <f>AND(CONTROL[[#This Row],[IS_WAGON_OR_COACH]]=TRUE,OR(RIGHT(CONTROL[[#This Row],[VEHIDCODE]],7)="Powered",RIGHT(CONTROL[[#This Row],[VEHIDCODE]],9)="Unpowered"))</f>
        <v>0</v>
      </c>
      <c r="G113" s="2" t="b">
        <f>OR(ISNUMBER(SEARCH("wagon_",CONTROL[[#This Row],[VEHIDCODE]])),ISNUMBER(SEARCH("coach_",CONTROL[[#This Row],[VEHIDCODE]])))</f>
        <v>0</v>
      </c>
      <c r="H113" t="str">
        <f>"item_"&amp;CONTROL[[#This Row],[VEHIDCODE]]</f>
        <v>item_steam_Germany_Prussian_S_3</v>
      </c>
      <c r="I113" t="str">
        <f>"str_"&amp;CONTROL[[#This Row],[VEHIDCODE]]</f>
        <v>str_steam_Germany_Prussian_S_3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t="b">
        <f>ISNUMBER(_xlfn.XMATCH(CONTROL[[#This Row],[VEHIDCODE]],ENGLISH_ITEMS[VEHIDCODE],0))</f>
        <v>1</v>
      </c>
    </row>
    <row r="114" spans="1:16">
      <c r="A114" s="2" t="s">
        <v>138</v>
      </c>
      <c r="B114" t="str">
        <f>_xlfn.TEXTAFTER(TRACK_TYPES[[#This Row],[VEHIDCODE]],"_")</f>
        <v>Norway_NSB_Class_XXI</v>
      </c>
      <c r="C114" t="s">
        <v>729</v>
      </c>
      <c r="D114" t="s">
        <v>947</v>
      </c>
      <c r="E114">
        <v>4053</v>
      </c>
      <c r="F114" t="b">
        <f>AND(CONTROL[[#This Row],[IS_WAGON_OR_COACH]]=TRUE,OR(RIGHT(CONTROL[[#This Row],[VEHIDCODE]],7)="Powered",RIGHT(CONTROL[[#This Row],[VEHIDCODE]],9)="Unpowered"))</f>
        <v>0</v>
      </c>
      <c r="G114" s="2" t="b">
        <f>OR(ISNUMBER(SEARCH("wagon_",CONTROL[[#This Row],[VEHIDCODE]])),ISNUMBER(SEARCH("coach_",CONTROL[[#This Row],[VEHIDCODE]])))</f>
        <v>0</v>
      </c>
      <c r="H114" t="str">
        <f>"item_"&amp;CONTROL[[#This Row],[VEHIDCODE]]</f>
        <v>item_steam_Norway_NSB_Class_XXI</v>
      </c>
      <c r="I114" t="str">
        <f>"str_"&amp;CONTROL[[#This Row],[VEHIDCODE]]</f>
        <v>str_steam_Norway_NSB_Class_XXI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t="b">
        <f>ISNUMBER(_xlfn.XMATCH(CONTROL[[#This Row],[VEHIDCODE]],ENGLISH_ITEMS[VEHIDCODE],0))</f>
        <v>1</v>
      </c>
    </row>
    <row r="115" spans="1:16">
      <c r="A115" s="2" t="s">
        <v>139</v>
      </c>
      <c r="B115" t="str">
        <f>_xlfn.TEXTAFTER(TRACK_TYPES[[#This Row],[VEHIDCODE]],"_")</f>
        <v>USA_PRR_D16</v>
      </c>
      <c r="C115" t="s">
        <v>729</v>
      </c>
      <c r="D115" t="s">
        <v>947</v>
      </c>
      <c r="E115">
        <v>4054</v>
      </c>
      <c r="F115" t="b">
        <f>AND(CONTROL[[#This Row],[IS_WAGON_OR_COACH]]=TRUE,OR(RIGHT(CONTROL[[#This Row],[VEHIDCODE]],7)="Powered",RIGHT(CONTROL[[#This Row],[VEHIDCODE]],9)="Unpowered"))</f>
        <v>0</v>
      </c>
      <c r="G115" s="2" t="b">
        <f>OR(ISNUMBER(SEARCH("wagon_",CONTROL[[#This Row],[VEHIDCODE]])),ISNUMBER(SEARCH("coach_",CONTROL[[#This Row],[VEHIDCODE]])))</f>
        <v>0</v>
      </c>
      <c r="H115" t="str">
        <f>"item_"&amp;CONTROL[[#This Row],[VEHIDCODE]]</f>
        <v>item_steam_USA_PRR_D16</v>
      </c>
      <c r="I115" t="str">
        <f>"str_"&amp;CONTROL[[#This Row],[VEHIDCODE]]</f>
        <v>str_steam_USA_PRR_D16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t="b">
        <f>ISNUMBER(_xlfn.XMATCH(CONTROL[[#This Row],[VEHIDCODE]],ENGLISH_ITEMS[VEHIDCODE],0))</f>
        <v>1</v>
      </c>
    </row>
    <row r="116" spans="1:16">
      <c r="A116" s="2" t="s">
        <v>140</v>
      </c>
      <c r="B116" t="str">
        <f>_xlfn.TEXTAFTER(TRACK_TYPES[[#This Row],[VEHIDCODE]],"_")</f>
        <v>Netherlands_NS_8100</v>
      </c>
      <c r="C116" t="s">
        <v>729</v>
      </c>
      <c r="D116" t="s">
        <v>947</v>
      </c>
      <c r="E116">
        <v>4055</v>
      </c>
      <c r="F116" t="b">
        <f>AND(CONTROL[[#This Row],[IS_WAGON_OR_COACH]]=TRUE,OR(RIGHT(CONTROL[[#This Row],[VEHIDCODE]],7)="Powered",RIGHT(CONTROL[[#This Row],[VEHIDCODE]],9)="Unpowered"))</f>
        <v>0</v>
      </c>
      <c r="G116" s="2" t="b">
        <f>OR(ISNUMBER(SEARCH("wagon_",CONTROL[[#This Row],[VEHIDCODE]])),ISNUMBER(SEARCH("coach_",CONTROL[[#This Row],[VEHIDCODE]])))</f>
        <v>0</v>
      </c>
      <c r="H116" t="str">
        <f>"item_"&amp;CONTROL[[#This Row],[VEHIDCODE]]</f>
        <v>item_steam_Netherlands_NS_8100</v>
      </c>
      <c r="I116" t="str">
        <f>"str_"&amp;CONTROL[[#This Row],[VEHIDCODE]]</f>
        <v>str_steam_Netherlands_NS_8100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t="b">
        <f>ISNUMBER(_xlfn.XMATCH(CONTROL[[#This Row],[VEHIDCODE]],ENGLISH_ITEMS[VEHIDCODE],0))</f>
        <v>1</v>
      </c>
    </row>
    <row r="117" spans="1:16">
      <c r="A117" s="2" t="s">
        <v>141</v>
      </c>
      <c r="B117" t="str">
        <f>_xlfn.TEXTAFTER(TRACK_TYPES[[#This Row],[VEHIDCODE]],"_")</f>
        <v>South_Africa_SAR_MD_Class</v>
      </c>
      <c r="C117" t="s">
        <v>729</v>
      </c>
      <c r="D117" t="s">
        <v>947</v>
      </c>
      <c r="E117">
        <v>4056</v>
      </c>
      <c r="F117" t="b">
        <f>AND(CONTROL[[#This Row],[IS_WAGON_OR_COACH]]=TRUE,OR(RIGHT(CONTROL[[#This Row],[VEHIDCODE]],7)="Powered",RIGHT(CONTROL[[#This Row],[VEHIDCODE]],9)="Unpowered"))</f>
        <v>0</v>
      </c>
      <c r="G117" s="2" t="b">
        <f>OR(ISNUMBER(SEARCH("wagon_",CONTROL[[#This Row],[VEHIDCODE]])),ISNUMBER(SEARCH("coach_",CONTROL[[#This Row],[VEHIDCODE]])))</f>
        <v>0</v>
      </c>
      <c r="H117" t="str">
        <f>"item_"&amp;CONTROL[[#This Row],[VEHIDCODE]]</f>
        <v>item_steam_South_Africa_SAR_MD_Class</v>
      </c>
      <c r="I117" t="str">
        <f>"str_"&amp;CONTROL[[#This Row],[VEHIDCODE]]</f>
        <v>str_steam_South_Africa_SAR_MD_Class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t="b">
        <f>ISNUMBER(_xlfn.XMATCH(CONTROL[[#This Row],[VEHIDCODE]],ENGLISH_ITEMS[VEHIDCODE],0))</f>
        <v>1</v>
      </c>
    </row>
    <row r="118" spans="1:16">
      <c r="A118" s="2" t="s">
        <v>142</v>
      </c>
      <c r="B118" t="str">
        <f>_xlfn.TEXTAFTER(TRACK_TYPES[[#This Row],[VEHIDCODE]],"_")</f>
        <v>Angola_South_West_African_2_8_0</v>
      </c>
      <c r="C118" t="s">
        <v>729</v>
      </c>
      <c r="D118" t="s">
        <v>947</v>
      </c>
      <c r="E118">
        <v>4057</v>
      </c>
      <c r="F118" t="b">
        <f>AND(CONTROL[[#This Row],[IS_WAGON_OR_COACH]]=TRUE,OR(RIGHT(CONTROL[[#This Row],[VEHIDCODE]],7)="Powered",RIGHT(CONTROL[[#This Row],[VEHIDCODE]],9)="Unpowered"))</f>
        <v>0</v>
      </c>
      <c r="G118" s="2" t="b">
        <f>OR(ISNUMBER(SEARCH("wagon_",CONTROL[[#This Row],[VEHIDCODE]])),ISNUMBER(SEARCH("coach_",CONTROL[[#This Row],[VEHIDCODE]])))</f>
        <v>0</v>
      </c>
      <c r="H118" t="str">
        <f>"item_"&amp;CONTROL[[#This Row],[VEHIDCODE]]</f>
        <v>item_steam_Angola_South_West_African_2_8_0</v>
      </c>
      <c r="I118" t="str">
        <f>"str_"&amp;CONTROL[[#This Row],[VEHIDCODE]]</f>
        <v>str_steam_Angola_South_West_African_2_8_0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t="b">
        <f>ISNUMBER(_xlfn.XMATCH(CONTROL[[#This Row],[VEHIDCODE]],ENGLISH_ITEMS[VEHIDCODE],0))</f>
        <v>1</v>
      </c>
    </row>
    <row r="119" spans="1:16">
      <c r="A119" s="2" t="s">
        <v>143</v>
      </c>
      <c r="B119" t="str">
        <f>_xlfn.TEXTAFTER(TRACK_TYPES[[#This Row],[VEHIDCODE]],"_")</f>
        <v>UK_LNER_N7</v>
      </c>
      <c r="C119" t="s">
        <v>729</v>
      </c>
      <c r="D119" t="s">
        <v>947</v>
      </c>
      <c r="E119">
        <v>4058</v>
      </c>
      <c r="F119" t="b">
        <f>AND(CONTROL[[#This Row],[IS_WAGON_OR_COACH]]=TRUE,OR(RIGHT(CONTROL[[#This Row],[VEHIDCODE]],7)="Powered",RIGHT(CONTROL[[#This Row],[VEHIDCODE]],9)="Unpowered"))</f>
        <v>0</v>
      </c>
      <c r="G119" s="2" t="b">
        <f>OR(ISNUMBER(SEARCH("wagon_",CONTROL[[#This Row],[VEHIDCODE]])),ISNUMBER(SEARCH("coach_",CONTROL[[#This Row],[VEHIDCODE]])))</f>
        <v>0</v>
      </c>
      <c r="H119" t="str">
        <f>"item_"&amp;CONTROL[[#This Row],[VEHIDCODE]]</f>
        <v>item_steam_UK_LNER_N7</v>
      </c>
      <c r="I119" t="str">
        <f>"str_"&amp;CONTROL[[#This Row],[VEHIDCODE]]</f>
        <v>str_steam_UK_LNER_N7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t="b">
        <f>ISNUMBER(_xlfn.XMATCH(CONTROL[[#This Row],[VEHIDCODE]],ENGLISH_ITEMS[VEHIDCODE],0))</f>
        <v>1</v>
      </c>
    </row>
    <row r="120" spans="1:16">
      <c r="A120" s="2" t="s">
        <v>144</v>
      </c>
      <c r="B120" t="str">
        <f>_xlfn.TEXTAFTER(TRACK_TYPES[[#This Row],[VEHIDCODE]],"_")</f>
        <v>Germany_Saxon_XX_HV</v>
      </c>
      <c r="C120" t="s">
        <v>729</v>
      </c>
      <c r="D120" t="s">
        <v>947</v>
      </c>
      <c r="E120">
        <v>4059</v>
      </c>
      <c r="F120" t="b">
        <f>AND(CONTROL[[#This Row],[IS_WAGON_OR_COACH]]=TRUE,OR(RIGHT(CONTROL[[#This Row],[VEHIDCODE]],7)="Powered",RIGHT(CONTROL[[#This Row],[VEHIDCODE]],9)="Unpowered"))</f>
        <v>0</v>
      </c>
      <c r="G120" s="2" t="b">
        <f>OR(ISNUMBER(SEARCH("wagon_",CONTROL[[#This Row],[VEHIDCODE]])),ISNUMBER(SEARCH("coach_",CONTROL[[#This Row],[VEHIDCODE]])))</f>
        <v>0</v>
      </c>
      <c r="H120" t="str">
        <f>"item_"&amp;CONTROL[[#This Row],[VEHIDCODE]]</f>
        <v>item_steam_Germany_Saxon_XX_HV</v>
      </c>
      <c r="I120" t="str">
        <f>"str_"&amp;CONTROL[[#This Row],[VEHIDCODE]]</f>
        <v>str_steam_Germany_Saxon_XX_HV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t="b">
        <f>ISNUMBER(_xlfn.XMATCH(CONTROL[[#This Row],[VEHIDCODE]],ENGLISH_ITEMS[VEHIDCODE],0))</f>
        <v>1</v>
      </c>
    </row>
    <row r="121" spans="1:16">
      <c r="A121" s="2" t="s">
        <v>145</v>
      </c>
      <c r="B121" t="str">
        <f>_xlfn.TEXTAFTER(TRACK_TYPES[[#This Row],[VEHIDCODE]],"_")</f>
        <v>Belgium_NMBS_Type_7</v>
      </c>
      <c r="C121" t="s">
        <v>729</v>
      </c>
      <c r="D121" t="s">
        <v>947</v>
      </c>
      <c r="E121">
        <v>4060</v>
      </c>
      <c r="F121" t="b">
        <f>AND(CONTROL[[#This Row],[IS_WAGON_OR_COACH]]=TRUE,OR(RIGHT(CONTROL[[#This Row],[VEHIDCODE]],7)="Powered",RIGHT(CONTROL[[#This Row],[VEHIDCODE]],9)="Unpowered"))</f>
        <v>0</v>
      </c>
      <c r="G121" s="2" t="b">
        <f>OR(ISNUMBER(SEARCH("wagon_",CONTROL[[#This Row],[VEHIDCODE]])),ISNUMBER(SEARCH("coach_",CONTROL[[#This Row],[VEHIDCODE]])))</f>
        <v>0</v>
      </c>
      <c r="H121" t="str">
        <f>"item_"&amp;CONTROL[[#This Row],[VEHIDCODE]]</f>
        <v>item_steam_Belgium_NMBS_Type_7</v>
      </c>
      <c r="I121" t="str">
        <f>"str_"&amp;CONTROL[[#This Row],[VEHIDCODE]]</f>
        <v>str_steam_Belgium_NMBS_Type_7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t="b">
        <f>ISNUMBER(_xlfn.XMATCH(CONTROL[[#This Row],[VEHIDCODE]],ENGLISH_ITEMS[VEHIDCODE],0))</f>
        <v>1</v>
      </c>
    </row>
    <row r="122" spans="1:16">
      <c r="A122" s="2" t="s">
        <v>146</v>
      </c>
      <c r="B122" t="str">
        <f>_xlfn.TEXTAFTER(TRACK_TYPES[[#This Row],[VEHIDCODE]],"_")</f>
        <v>Ireland_DSER_15</v>
      </c>
      <c r="C122" t="s">
        <v>729</v>
      </c>
      <c r="D122" t="s">
        <v>947</v>
      </c>
      <c r="E122">
        <v>4061</v>
      </c>
      <c r="F122" t="b">
        <f>AND(CONTROL[[#This Row],[IS_WAGON_OR_COACH]]=TRUE,OR(RIGHT(CONTROL[[#This Row],[VEHIDCODE]],7)="Powered",RIGHT(CONTROL[[#This Row],[VEHIDCODE]],9)="Unpowered"))</f>
        <v>0</v>
      </c>
      <c r="G122" s="2" t="b">
        <f>OR(ISNUMBER(SEARCH("wagon_",CONTROL[[#This Row],[VEHIDCODE]])),ISNUMBER(SEARCH("coach_",CONTROL[[#This Row],[VEHIDCODE]])))</f>
        <v>0</v>
      </c>
      <c r="H122" t="str">
        <f>"item_"&amp;CONTROL[[#This Row],[VEHIDCODE]]</f>
        <v>item_steam_Ireland_DSER_15</v>
      </c>
      <c r="I122" t="str">
        <f>"str_"&amp;CONTROL[[#This Row],[VEHIDCODE]]</f>
        <v>str_steam_Ireland_DSER_15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t="b">
        <f>ISNUMBER(_xlfn.XMATCH(CONTROL[[#This Row],[VEHIDCODE]],ENGLISH_ITEMS[VEHIDCODE],0))</f>
        <v>1</v>
      </c>
    </row>
    <row r="123" spans="1:16">
      <c r="A123" s="2" t="s">
        <v>147</v>
      </c>
      <c r="B123" t="str">
        <f>_xlfn.TEXTAFTER(TRACK_TYPES[[#This Row],[VEHIDCODE]],"_")</f>
        <v>USA_Sierra_Railroad_28</v>
      </c>
      <c r="C123" t="s">
        <v>729</v>
      </c>
      <c r="D123" t="s">
        <v>947</v>
      </c>
      <c r="E123">
        <v>4062</v>
      </c>
      <c r="F123" t="b">
        <f>AND(CONTROL[[#This Row],[IS_WAGON_OR_COACH]]=TRUE,OR(RIGHT(CONTROL[[#This Row],[VEHIDCODE]],7)="Powered",RIGHT(CONTROL[[#This Row],[VEHIDCODE]],9)="Unpowered"))</f>
        <v>0</v>
      </c>
      <c r="G123" s="2" t="b">
        <f>OR(ISNUMBER(SEARCH("wagon_",CONTROL[[#This Row],[VEHIDCODE]])),ISNUMBER(SEARCH("coach_",CONTROL[[#This Row],[VEHIDCODE]])))</f>
        <v>0</v>
      </c>
      <c r="H123" t="str">
        <f>"item_"&amp;CONTROL[[#This Row],[VEHIDCODE]]</f>
        <v>item_steam_USA_Sierra_Railroad_28</v>
      </c>
      <c r="I123" t="str">
        <f>"str_"&amp;CONTROL[[#This Row],[VEHIDCODE]]</f>
        <v>str_steam_USA_Sierra_Railroad_28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t="b">
        <f>ISNUMBER(_xlfn.XMATCH(CONTROL[[#This Row],[VEHIDCODE]],ENGLISH_ITEMS[VEHIDCODE],0))</f>
        <v>1</v>
      </c>
    </row>
    <row r="124" spans="1:16">
      <c r="A124" s="2" t="s">
        <v>148</v>
      </c>
      <c r="B124" t="str">
        <f>_xlfn.TEXTAFTER(TRACK_TYPES[[#This Row],[VEHIDCODE]],"_")</f>
        <v>Canada_CN_U_1_Class</v>
      </c>
      <c r="C124" t="s">
        <v>729</v>
      </c>
      <c r="D124" t="s">
        <v>947</v>
      </c>
      <c r="E124">
        <v>4063</v>
      </c>
      <c r="F124" t="b">
        <f>AND(CONTROL[[#This Row],[IS_WAGON_OR_COACH]]=TRUE,OR(RIGHT(CONTROL[[#This Row],[VEHIDCODE]],7)="Powered",RIGHT(CONTROL[[#This Row],[VEHIDCODE]],9)="Unpowered"))</f>
        <v>0</v>
      </c>
      <c r="G124" s="2" t="b">
        <f>OR(ISNUMBER(SEARCH("wagon_",CONTROL[[#This Row],[VEHIDCODE]])),ISNUMBER(SEARCH("coach_",CONTROL[[#This Row],[VEHIDCODE]])))</f>
        <v>0</v>
      </c>
      <c r="H124" t="str">
        <f>"item_"&amp;CONTROL[[#This Row],[VEHIDCODE]]</f>
        <v>item_steam_Canada_CN_U_1_Class</v>
      </c>
      <c r="I124" t="str">
        <f>"str_"&amp;CONTROL[[#This Row],[VEHIDCODE]]</f>
        <v>str_steam_Canada_CN_U_1_Class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t="b">
        <f>ISNUMBER(_xlfn.XMATCH(CONTROL[[#This Row],[VEHIDCODE]],ENGLISH_ITEMS[VEHIDCODE],0))</f>
        <v>1</v>
      </c>
    </row>
    <row r="125" spans="1:16">
      <c r="A125" s="2" t="s">
        <v>149</v>
      </c>
      <c r="B125" t="str">
        <f>_xlfn.TEXTAFTER(TRACK_TYPES[[#This Row],[VEHIDCODE]],"_")</f>
        <v>India_Indian_Railways_XB_Class</v>
      </c>
      <c r="C125" t="s">
        <v>729</v>
      </c>
      <c r="D125" t="s">
        <v>947</v>
      </c>
      <c r="E125">
        <v>4064</v>
      </c>
      <c r="F125" t="b">
        <f>AND(CONTROL[[#This Row],[IS_WAGON_OR_COACH]]=TRUE,OR(RIGHT(CONTROL[[#This Row],[VEHIDCODE]],7)="Powered",RIGHT(CONTROL[[#This Row],[VEHIDCODE]],9)="Unpowered"))</f>
        <v>0</v>
      </c>
      <c r="G125" s="2" t="b">
        <f>OR(ISNUMBER(SEARCH("wagon_",CONTROL[[#This Row],[VEHIDCODE]])),ISNUMBER(SEARCH("coach_",CONTROL[[#This Row],[VEHIDCODE]])))</f>
        <v>0</v>
      </c>
      <c r="H125" t="str">
        <f>"item_"&amp;CONTROL[[#This Row],[VEHIDCODE]]</f>
        <v>item_steam_India_Indian_Railways_XB_Class</v>
      </c>
      <c r="I125" t="str">
        <f>"str_"&amp;CONTROL[[#This Row],[VEHIDCODE]]</f>
        <v>str_steam_India_Indian_Railways_XB_Class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t="b">
        <f>ISNUMBER(_xlfn.XMATCH(CONTROL[[#This Row],[VEHIDCODE]],ENGLISH_ITEMS[VEHIDCODE],0))</f>
        <v>1</v>
      </c>
    </row>
    <row r="126" spans="1:16">
      <c r="A126" s="2" t="s">
        <v>150</v>
      </c>
      <c r="B126" t="str">
        <f>_xlfn.TEXTAFTER(TRACK_TYPES[[#This Row],[VEHIDCODE]],"_")</f>
        <v>Iraq_Iraqi_State_Railways_PC_Class</v>
      </c>
      <c r="C126" t="s">
        <v>729</v>
      </c>
      <c r="D126" t="s">
        <v>947</v>
      </c>
      <c r="E126">
        <v>4065</v>
      </c>
      <c r="F126" t="b">
        <f>AND(CONTROL[[#This Row],[IS_WAGON_OR_COACH]]=TRUE,OR(RIGHT(CONTROL[[#This Row],[VEHIDCODE]],7)="Powered",RIGHT(CONTROL[[#This Row],[VEHIDCODE]],9)="Unpowered"))</f>
        <v>0</v>
      </c>
      <c r="G126" s="2" t="b">
        <f>OR(ISNUMBER(SEARCH("wagon_",CONTROL[[#This Row],[VEHIDCODE]])),ISNUMBER(SEARCH("coach_",CONTROL[[#This Row],[VEHIDCODE]])))</f>
        <v>0</v>
      </c>
      <c r="H126" t="str">
        <f>"item_"&amp;CONTROL[[#This Row],[VEHIDCODE]]</f>
        <v>item_steam_Iraq_Iraqi_State_Railways_PC_Class</v>
      </c>
      <c r="I126" t="str">
        <f>"str_"&amp;CONTROL[[#This Row],[VEHIDCODE]]</f>
        <v>str_steam_Iraq_Iraqi_State_Railways_PC_Class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t="b">
        <f>ISNUMBER(_xlfn.XMATCH(CONTROL[[#This Row],[VEHIDCODE]],ENGLISH_ITEMS[VEHIDCODE],0))</f>
        <v>1</v>
      </c>
    </row>
    <row r="127" spans="1:16">
      <c r="A127" s="2" t="s">
        <v>151</v>
      </c>
      <c r="B127" t="str">
        <f>_xlfn.TEXTAFTER(TRACK_TYPES[[#This Row],[VEHIDCODE]],"_")</f>
        <v>Egypt_ENR_1100</v>
      </c>
      <c r="C127" t="s">
        <v>729</v>
      </c>
      <c r="D127" t="s">
        <v>947</v>
      </c>
      <c r="E127">
        <v>4066</v>
      </c>
      <c r="F127" t="b">
        <f>AND(CONTROL[[#This Row],[IS_WAGON_OR_COACH]]=TRUE,OR(RIGHT(CONTROL[[#This Row],[VEHIDCODE]],7)="Powered",RIGHT(CONTROL[[#This Row],[VEHIDCODE]],9)="Unpowered"))</f>
        <v>0</v>
      </c>
      <c r="G127" s="2" t="b">
        <f>OR(ISNUMBER(SEARCH("wagon_",CONTROL[[#This Row],[VEHIDCODE]])),ISNUMBER(SEARCH("coach_",CONTROL[[#This Row],[VEHIDCODE]])))</f>
        <v>0</v>
      </c>
      <c r="H127" t="str">
        <f>"item_"&amp;CONTROL[[#This Row],[VEHIDCODE]]</f>
        <v>item_steam_Egypt_ENR_1100</v>
      </c>
      <c r="I127" t="str">
        <f>"str_"&amp;CONTROL[[#This Row],[VEHIDCODE]]</f>
        <v>str_steam_Egypt_ENR_1100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t="b">
        <f>ISNUMBER(_xlfn.XMATCH(CONTROL[[#This Row],[VEHIDCODE]],ENGLISH_ITEMS[VEHIDCODE],0))</f>
        <v>1</v>
      </c>
    </row>
    <row r="128" spans="1:16">
      <c r="A128" s="2" t="s">
        <v>152</v>
      </c>
      <c r="B128" t="str">
        <f>_xlfn.TEXTAFTER(TRACK_TYPES[[#This Row],[VEHIDCODE]],"_")</f>
        <v>UK_GWR_1600_Class</v>
      </c>
      <c r="C128" t="s">
        <v>729</v>
      </c>
      <c r="D128" t="s">
        <v>947</v>
      </c>
      <c r="E128">
        <v>4068</v>
      </c>
      <c r="F128" t="b">
        <f>AND(CONTROL[[#This Row],[IS_WAGON_OR_COACH]]=TRUE,OR(RIGHT(CONTROL[[#This Row],[VEHIDCODE]],7)="Powered",RIGHT(CONTROL[[#This Row],[VEHIDCODE]],9)="Unpowered"))</f>
        <v>0</v>
      </c>
      <c r="G128" s="2" t="b">
        <f>OR(ISNUMBER(SEARCH("wagon_",CONTROL[[#This Row],[VEHIDCODE]])),ISNUMBER(SEARCH("coach_",CONTROL[[#This Row],[VEHIDCODE]])))</f>
        <v>0</v>
      </c>
      <c r="H128" t="str">
        <f>"item_"&amp;CONTROL[[#This Row],[VEHIDCODE]]</f>
        <v>item_steam_UK_GWR_1600_Class</v>
      </c>
      <c r="I128" t="str">
        <f>"str_"&amp;CONTROL[[#This Row],[VEHIDCODE]]</f>
        <v>str_steam_UK_GWR_1600_Class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t="b">
        <f>ISNUMBER(_xlfn.XMATCH(CONTROL[[#This Row],[VEHIDCODE]],ENGLISH_ITEMS[VEHIDCODE],0))</f>
        <v>1</v>
      </c>
    </row>
    <row r="129" spans="1:16">
      <c r="A129" s="2" t="s">
        <v>153</v>
      </c>
      <c r="B129" t="str">
        <f>_xlfn.TEXTAFTER(TRACK_TYPES[[#This Row],[VEHIDCODE]],"_")</f>
        <v>Australia_Victorian_Railways_R_Class</v>
      </c>
      <c r="C129" t="s">
        <v>729</v>
      </c>
      <c r="D129" t="s">
        <v>947</v>
      </c>
      <c r="E129">
        <v>4069</v>
      </c>
      <c r="F129" t="b">
        <f>AND(CONTROL[[#This Row],[IS_WAGON_OR_COACH]]=TRUE,OR(RIGHT(CONTROL[[#This Row],[VEHIDCODE]],7)="Powered",RIGHT(CONTROL[[#This Row],[VEHIDCODE]],9)="Unpowered"))</f>
        <v>0</v>
      </c>
      <c r="G129" s="2" t="b">
        <f>OR(ISNUMBER(SEARCH("wagon_",CONTROL[[#This Row],[VEHIDCODE]])),ISNUMBER(SEARCH("coach_",CONTROL[[#This Row],[VEHIDCODE]])))</f>
        <v>0</v>
      </c>
      <c r="H129" t="str">
        <f>"item_"&amp;CONTROL[[#This Row],[VEHIDCODE]]</f>
        <v>item_steam_Australia_Victorian_Railways_R_Class</v>
      </c>
      <c r="I129" t="str">
        <f>"str_"&amp;CONTROL[[#This Row],[VEHIDCODE]]</f>
        <v>str_steam_Australia_Victorian_Railways_R_Class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t="b">
        <f>ISNUMBER(_xlfn.XMATCH(CONTROL[[#This Row],[VEHIDCODE]],ENGLISH_ITEMS[VEHIDCODE],0))</f>
        <v>1</v>
      </c>
    </row>
    <row r="130" spans="1:16">
      <c r="A130" s="2" t="s">
        <v>154</v>
      </c>
      <c r="B130" t="str">
        <f>_xlfn.TEXTAFTER(TRACK_TYPES[[#This Row],[VEHIDCODE]],"_")</f>
        <v>Germany_DB_9977_79</v>
      </c>
      <c r="C130" t="s">
        <v>729</v>
      </c>
      <c r="D130" t="s">
        <v>947</v>
      </c>
      <c r="E130">
        <v>4070</v>
      </c>
      <c r="F130" t="b">
        <f>AND(CONTROL[[#This Row],[IS_WAGON_OR_COACH]]=TRUE,OR(RIGHT(CONTROL[[#This Row],[VEHIDCODE]],7)="Powered",RIGHT(CONTROL[[#This Row],[VEHIDCODE]],9)="Unpowered"))</f>
        <v>0</v>
      </c>
      <c r="G130" s="2" t="b">
        <f>OR(ISNUMBER(SEARCH("wagon_",CONTROL[[#This Row],[VEHIDCODE]])),ISNUMBER(SEARCH("coach_",CONTROL[[#This Row],[VEHIDCODE]])))</f>
        <v>0</v>
      </c>
      <c r="H130" t="str">
        <f>"item_"&amp;CONTROL[[#This Row],[VEHIDCODE]]</f>
        <v>item_steam_Germany_DB_9977_79</v>
      </c>
      <c r="I130" t="str">
        <f>"str_"&amp;CONTROL[[#This Row],[VEHIDCODE]]</f>
        <v>str_steam_Germany_DB_9977_79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t="b">
        <f>ISNUMBER(_xlfn.XMATCH(CONTROL[[#This Row],[VEHIDCODE]],ENGLISH_ITEMS[VEHIDCODE],0))</f>
        <v>1</v>
      </c>
    </row>
    <row r="131" spans="1:16">
      <c r="A131" s="2" t="s">
        <v>155</v>
      </c>
      <c r="B131" t="str">
        <f>_xlfn.TEXTAFTER(TRACK_TYPES[[#This Row],[VEHIDCODE]],"_")</f>
        <v>Germany_DB_18_201</v>
      </c>
      <c r="C131" t="s">
        <v>729</v>
      </c>
      <c r="D131" t="s">
        <v>947</v>
      </c>
      <c r="E131">
        <v>4071</v>
      </c>
      <c r="F131" t="b">
        <f>AND(CONTROL[[#This Row],[IS_WAGON_OR_COACH]]=TRUE,OR(RIGHT(CONTROL[[#This Row],[VEHIDCODE]],7)="Powered",RIGHT(CONTROL[[#This Row],[VEHIDCODE]],9)="Unpowered"))</f>
        <v>0</v>
      </c>
      <c r="G131" s="2" t="b">
        <f>OR(ISNUMBER(SEARCH("wagon_",CONTROL[[#This Row],[VEHIDCODE]])),ISNUMBER(SEARCH("coach_",CONTROL[[#This Row],[VEHIDCODE]])))</f>
        <v>0</v>
      </c>
      <c r="H131" t="str">
        <f>"item_"&amp;CONTROL[[#This Row],[VEHIDCODE]]</f>
        <v>item_steam_Germany_DB_18_201</v>
      </c>
      <c r="I131" t="str">
        <f>"str_"&amp;CONTROL[[#This Row],[VEHIDCODE]]</f>
        <v>str_steam_Germany_DB_18_201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t="b">
        <f>ISNUMBER(_xlfn.XMATCH(CONTROL[[#This Row],[VEHIDCODE]],ENGLISH_ITEMS[VEHIDCODE],0))</f>
        <v>1</v>
      </c>
    </row>
    <row r="132" spans="1:16">
      <c r="A132" s="2" t="s">
        <v>156</v>
      </c>
      <c r="B132" t="str">
        <f>_xlfn.TEXTAFTER(TRACK_TYPES[[#This Row],[VEHIDCODE]],"_")</f>
        <v>New_Zealand_NZR_WAB</v>
      </c>
      <c r="C132" t="s">
        <v>729</v>
      </c>
      <c r="D132" t="s">
        <v>947</v>
      </c>
      <c r="E132">
        <v>4090</v>
      </c>
      <c r="F132" t="b">
        <f>AND(CONTROL[[#This Row],[IS_WAGON_OR_COACH]]=TRUE,OR(RIGHT(CONTROL[[#This Row],[VEHIDCODE]],7)="Powered",RIGHT(CONTROL[[#This Row],[VEHIDCODE]],9)="Unpowered"))</f>
        <v>0</v>
      </c>
      <c r="G132" s="2" t="b">
        <f>OR(ISNUMBER(SEARCH("wagon_",CONTROL[[#This Row],[VEHIDCODE]])),ISNUMBER(SEARCH("coach_",CONTROL[[#This Row],[VEHIDCODE]])))</f>
        <v>0</v>
      </c>
      <c r="H132" t="str">
        <f>"item_"&amp;CONTROL[[#This Row],[VEHIDCODE]]</f>
        <v>item_steam_New_Zealand_NZR_WAB</v>
      </c>
      <c r="I132" t="str">
        <f>"str_"&amp;CONTROL[[#This Row],[VEHIDCODE]]</f>
        <v>str_steam_New_Zealand_NZR_WAB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t="b">
        <f>ISNUMBER(_xlfn.XMATCH(CONTROL[[#This Row],[VEHIDCODE]],ENGLISH_ITEMS[VEHIDCODE],0))</f>
        <v>1</v>
      </c>
    </row>
    <row r="133" spans="1:16">
      <c r="A133" s="2" t="s">
        <v>157</v>
      </c>
      <c r="B133" t="str">
        <f>_xlfn.TEXTAFTER(TRACK_TYPES[[#This Row],[VEHIDCODE]],"_")</f>
        <v>Australia_NSWGR_D57</v>
      </c>
      <c r="C133" t="s">
        <v>729</v>
      </c>
      <c r="D133" t="s">
        <v>947</v>
      </c>
      <c r="E133">
        <v>4095</v>
      </c>
      <c r="F133" t="b">
        <f>AND(CONTROL[[#This Row],[IS_WAGON_OR_COACH]]=TRUE,OR(RIGHT(CONTROL[[#This Row],[VEHIDCODE]],7)="Powered",RIGHT(CONTROL[[#This Row],[VEHIDCODE]],9)="Unpowered"))</f>
        <v>0</v>
      </c>
      <c r="G133" s="2" t="b">
        <f>OR(ISNUMBER(SEARCH("wagon_",CONTROL[[#This Row],[VEHIDCODE]])),ISNUMBER(SEARCH("coach_",CONTROL[[#This Row],[VEHIDCODE]])))</f>
        <v>0</v>
      </c>
      <c r="H133" t="str">
        <f>"item_"&amp;CONTROL[[#This Row],[VEHIDCODE]]</f>
        <v>item_steam_Australia_NSWGR_D57</v>
      </c>
      <c r="I133" t="str">
        <f>"str_"&amp;CONTROL[[#This Row],[VEHIDCODE]]</f>
        <v>str_steam_Australia_NSWGR_D57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t="b">
        <f>ISNUMBER(_xlfn.XMATCH(CONTROL[[#This Row],[VEHIDCODE]],ENGLISH_ITEMS[VEHIDCODE],0))</f>
        <v>1</v>
      </c>
    </row>
    <row r="134" spans="1:16">
      <c r="A134" s="2" t="s">
        <v>158</v>
      </c>
      <c r="B134" t="str">
        <f>_xlfn.TEXTAFTER(TRACK_TYPES[[#This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b">
        <f>AND(CONTROL[[#This Row],[IS_WAGON_OR_COACH]]=TRUE,OR(RIGHT(CONTROL[[#This Row],[VEHIDCODE]],7)="Powered",RIGHT(CONTROL[[#This Row],[VEHIDCODE]],9)="Unpowered"))</f>
        <v>0</v>
      </c>
      <c r="G134" s="2" t="b">
        <f>OR(ISNUMBER(SEARCH("wagon_",CONTROL[[#This Row],[VEHIDCODE]])),ISNUMBER(SEARCH("coach_",CONTROL[[#This Row],[VEHIDCODE]])))</f>
        <v>0</v>
      </c>
      <c r="H134" t="str">
        <f>"item_"&amp;CONTROL[[#This Row],[VEHIDCODE]]</f>
        <v>item_steam_Australia_South_Australian_Railways_520</v>
      </c>
      <c r="I134" t="str">
        <f>"str_"&amp;CONTROL[[#This Row],[VEHIDCODE]]</f>
        <v>str_steam_Australia_South_Australian_Railways_520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t="b">
        <f>ISNUMBER(_xlfn.XMATCH(CONTROL[[#This Row],[VEHIDCODE]],ENGLISH_ITEMS[VEHIDCODE],0))</f>
        <v>1</v>
      </c>
    </row>
    <row r="135" spans="1:16">
      <c r="A135" s="2" t="s">
        <v>159</v>
      </c>
      <c r="B135" t="str">
        <f>_xlfn.TEXTAFTER(TRACK_TYPES[[#This Row],[VEHIDCODE]],"_")</f>
        <v>Australia_NSWGR_AD60</v>
      </c>
      <c r="C135" t="s">
        <v>729</v>
      </c>
      <c r="D135" t="s">
        <v>947</v>
      </c>
      <c r="E135">
        <v>4105</v>
      </c>
      <c r="F135" t="b">
        <f>AND(CONTROL[[#This Row],[IS_WAGON_OR_COACH]]=TRUE,OR(RIGHT(CONTROL[[#This Row],[VEHIDCODE]],7)="Powered",RIGHT(CONTROL[[#This Row],[VEHIDCODE]],9)="Unpowered"))</f>
        <v>0</v>
      </c>
      <c r="G135" s="2" t="b">
        <f>OR(ISNUMBER(SEARCH("wagon_",CONTROL[[#This Row],[VEHIDCODE]])),ISNUMBER(SEARCH("coach_",CONTROL[[#This Row],[VEHIDCODE]])))</f>
        <v>0</v>
      </c>
      <c r="H135" t="str">
        <f>"item_"&amp;CONTROL[[#This Row],[VEHIDCODE]]</f>
        <v>item_steam_Australia_NSWGR_AD60</v>
      </c>
      <c r="I135" t="str">
        <f>"str_"&amp;CONTROL[[#This Row],[VEHIDCODE]]</f>
        <v>str_steam_Australia_NSWGR_AD60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t="b">
        <f>ISNUMBER(_xlfn.XMATCH(CONTROL[[#This Row],[VEHIDCODE]],ENGLISH_ITEMS[VEHIDCODE],0))</f>
        <v>1</v>
      </c>
    </row>
    <row r="136" spans="1:16">
      <c r="A136" s="2" t="s">
        <v>160</v>
      </c>
      <c r="B136" t="str">
        <f>_xlfn.TEXTAFTER(TRACK_TYPES[[#This Row],[VEHIDCODE]],"_")</f>
        <v>Uruguay_AFE_N1_2_6_0</v>
      </c>
      <c r="C136" t="s">
        <v>729</v>
      </c>
      <c r="D136" t="s">
        <v>947</v>
      </c>
      <c r="E136">
        <v>4081</v>
      </c>
      <c r="F136" t="b">
        <f>AND(CONTROL[[#This Row],[IS_WAGON_OR_COACH]]=TRUE,OR(RIGHT(CONTROL[[#This Row],[VEHIDCODE]],7)="Powered",RIGHT(CONTROL[[#This Row],[VEHIDCODE]],9)="Unpowered"))</f>
        <v>0</v>
      </c>
      <c r="G136" s="2" t="b">
        <f>OR(ISNUMBER(SEARCH("wagon_",CONTROL[[#This Row],[VEHIDCODE]])),ISNUMBER(SEARCH("coach_",CONTROL[[#This Row],[VEHIDCODE]])))</f>
        <v>0</v>
      </c>
      <c r="H136" t="str">
        <f>"item_"&amp;CONTROL[[#This Row],[VEHIDCODE]]</f>
        <v>item_steam_Uruguay_AFE_N1_2_6_0</v>
      </c>
      <c r="I136" t="str">
        <f>"str_"&amp;CONTROL[[#This Row],[VEHIDCODE]]</f>
        <v>str_steam_Uruguay_AFE_N1_2_6_0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t="b">
        <f>ISNUMBER(_xlfn.XMATCH(CONTROL[[#This Row],[VEHIDCODE]],ENGLISH_ITEMS[VEHIDCODE],0))</f>
        <v>1</v>
      </c>
    </row>
    <row r="137" spans="1:16">
      <c r="A137" s="2" t="s">
        <v>161</v>
      </c>
      <c r="B137" t="str">
        <f>_xlfn.TEXTAFTER(TRACK_TYPES[[#This Row],[VEHIDCODE]],"_")</f>
        <v>Argentina_FCCA_PS11</v>
      </c>
      <c r="C137" t="s">
        <v>729</v>
      </c>
      <c r="D137" t="s">
        <v>947</v>
      </c>
      <c r="E137">
        <v>4096</v>
      </c>
      <c r="F137" t="b">
        <f>AND(CONTROL[[#This Row],[IS_WAGON_OR_COACH]]=TRUE,OR(RIGHT(CONTROL[[#This Row],[VEHIDCODE]],7)="Powered",RIGHT(CONTROL[[#This Row],[VEHIDCODE]],9)="Unpowered"))</f>
        <v>0</v>
      </c>
      <c r="G137" s="2" t="b">
        <f>OR(ISNUMBER(SEARCH("wagon_",CONTROL[[#This Row],[VEHIDCODE]])),ISNUMBER(SEARCH("coach_",CONTROL[[#This Row],[VEHIDCODE]])))</f>
        <v>0</v>
      </c>
      <c r="H137" t="str">
        <f>"item_"&amp;CONTROL[[#This Row],[VEHIDCODE]]</f>
        <v>item_steam_Argentina_FCCA_PS11</v>
      </c>
      <c r="I137" t="str">
        <f>"str_"&amp;CONTROL[[#This Row],[VEHIDCODE]]</f>
        <v>str_steam_Argentina_FCCA_PS11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t="b">
        <f>ISNUMBER(_xlfn.XMATCH(CONTROL[[#This Row],[VEHIDCODE]],ENGLISH_ITEMS[VEHIDCODE],0))</f>
        <v>1</v>
      </c>
    </row>
    <row r="138" spans="1:16">
      <c r="A138" s="2" t="s">
        <v>162</v>
      </c>
      <c r="B138" t="str">
        <f>_xlfn.TEXTAFTER(TRACK_TYPES[[#This Row],[VEHIDCODE]],"_")</f>
        <v>South_Africa_Harbour_Board_EL_0_4_0</v>
      </c>
      <c r="C138" t="s">
        <v>729</v>
      </c>
      <c r="D138" t="s">
        <v>947</v>
      </c>
      <c r="E138">
        <v>4074</v>
      </c>
      <c r="F138" t="b">
        <f>AND(CONTROL[[#This Row],[IS_WAGON_OR_COACH]]=TRUE,OR(RIGHT(CONTROL[[#This Row],[VEHIDCODE]],7)="Powered",RIGHT(CONTROL[[#This Row],[VEHIDCODE]],9)="Unpowered"))</f>
        <v>0</v>
      </c>
      <c r="G138" s="2" t="b">
        <f>OR(ISNUMBER(SEARCH("wagon_",CONTROL[[#This Row],[VEHIDCODE]])),ISNUMBER(SEARCH("coach_",CONTROL[[#This Row],[VEHIDCODE]])))</f>
        <v>0</v>
      </c>
      <c r="H138" t="str">
        <f>"item_"&amp;CONTROL[[#This Row],[VEHIDCODE]]</f>
        <v>item_steam_South_Africa_Harbour_Board_EL_0_4_0</v>
      </c>
      <c r="I138" t="str">
        <f>"str_"&amp;CONTROL[[#This Row],[VEHIDCODE]]</f>
        <v>str_steam_South_Africa_Harbour_Board_EL_0_4_0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t="b">
        <f>ISNUMBER(_xlfn.XMATCH(CONTROL[[#This Row],[VEHIDCODE]],ENGLISH_ITEMS[VEHIDCODE],0))</f>
        <v>1</v>
      </c>
    </row>
    <row r="139" spans="1:16">
      <c r="A139" s="2" t="s">
        <v>163</v>
      </c>
      <c r="B139" t="str">
        <f>_xlfn.TEXTAFTER(TRACK_TYPES[[#This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b">
        <f>AND(CONTROL[[#This Row],[IS_WAGON_OR_COACH]]=TRUE,OR(RIGHT(CONTROL[[#This Row],[VEHIDCODE]],7)="Powered",RIGHT(CONTROL[[#This Row],[VEHIDCODE]],9)="Unpowered"))</f>
        <v>0</v>
      </c>
      <c r="G139" s="2" t="b">
        <f>OR(ISNUMBER(SEARCH("wagon_",CONTROL[[#This Row],[VEHIDCODE]])),ISNUMBER(SEARCH("coach_",CONTROL[[#This Row],[VEHIDCODE]])))</f>
        <v>0</v>
      </c>
      <c r="H139" t="str">
        <f>"item_"&amp;CONTROL[[#This Row],[VEHIDCODE]]</f>
        <v>item_steam_Mozambique_Beira_Railway_BR6_F2_Falcon</v>
      </c>
      <c r="I139" t="str">
        <f>"str_"&amp;CONTROL[[#This Row],[VEHIDCODE]]</f>
        <v>str_steam_Mozambique_Beira_Railway_BR6_F2_Falcon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t="b">
        <f>ISNUMBER(_xlfn.XMATCH(CONTROL[[#This Row],[VEHIDCODE]],ENGLISH_ITEMS[VEHIDCODE],0))</f>
        <v>1</v>
      </c>
    </row>
    <row r="140" spans="1:16">
      <c r="A140" s="2" t="s">
        <v>164</v>
      </c>
      <c r="B140" t="str">
        <f>_xlfn.TEXTAFTER(TRACK_TYPES[[#This Row],[VEHIDCODE]],"_")</f>
        <v>Eritrea_Eritrean_Railway_R440</v>
      </c>
      <c r="C140" t="s">
        <v>729</v>
      </c>
      <c r="D140" t="s">
        <v>947</v>
      </c>
      <c r="E140">
        <v>4083</v>
      </c>
      <c r="F140" t="b">
        <f>AND(CONTROL[[#This Row],[IS_WAGON_OR_COACH]]=TRUE,OR(RIGHT(CONTROL[[#This Row],[VEHIDCODE]],7)="Powered",RIGHT(CONTROL[[#This Row],[VEHIDCODE]],9)="Unpowered"))</f>
        <v>0</v>
      </c>
      <c r="G140" s="2" t="b">
        <f>OR(ISNUMBER(SEARCH("wagon_",CONTROL[[#This Row],[VEHIDCODE]])),ISNUMBER(SEARCH("coach_",CONTROL[[#This Row],[VEHIDCODE]])))</f>
        <v>0</v>
      </c>
      <c r="H140" t="str">
        <f>"item_"&amp;CONTROL[[#This Row],[VEHIDCODE]]</f>
        <v>item_steam_Eritrea_Eritrean_Railway_R440</v>
      </c>
      <c r="I140" t="str">
        <f>"str_"&amp;CONTROL[[#This Row],[VEHIDCODE]]</f>
        <v>str_steam_Eritrea_Eritrean_Railway_R440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t="b">
        <f>ISNUMBER(_xlfn.XMATCH(CONTROL[[#This Row],[VEHIDCODE]],ENGLISH_ITEMS[VEHIDCODE],0))</f>
        <v>1</v>
      </c>
    </row>
    <row r="141" spans="1:16">
      <c r="A141" s="2" t="s">
        <v>165</v>
      </c>
      <c r="B141" t="str">
        <f>_xlfn.TEXTAFTER(TRACK_TYPES[[#This Row],[VEHIDCODE]],"_")</f>
        <v>Kenya_East_African_Railway_23</v>
      </c>
      <c r="C141" t="s">
        <v>729</v>
      </c>
      <c r="D141" t="s">
        <v>947</v>
      </c>
      <c r="E141">
        <v>4088</v>
      </c>
      <c r="F141" t="b">
        <f>AND(CONTROL[[#This Row],[IS_WAGON_OR_COACH]]=TRUE,OR(RIGHT(CONTROL[[#This Row],[VEHIDCODE]],7)="Powered",RIGHT(CONTROL[[#This Row],[VEHIDCODE]],9)="Unpowered"))</f>
        <v>0</v>
      </c>
      <c r="G141" s="2" t="b">
        <f>OR(ISNUMBER(SEARCH("wagon_",CONTROL[[#This Row],[VEHIDCODE]])),ISNUMBER(SEARCH("coach_",CONTROL[[#This Row],[VEHIDCODE]])))</f>
        <v>0</v>
      </c>
      <c r="H141" t="str">
        <f>"item_"&amp;CONTROL[[#This Row],[VEHIDCODE]]</f>
        <v>item_steam_Kenya_East_African_Railway_23</v>
      </c>
      <c r="I141" t="str">
        <f>"str_"&amp;CONTROL[[#This Row],[VEHIDCODE]]</f>
        <v>str_steam_Kenya_East_African_Railway_23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t="b">
        <f>ISNUMBER(_xlfn.XMATCH(CONTROL[[#This Row],[VEHIDCODE]],ENGLISH_ITEMS[VEHIDCODE],0))</f>
        <v>1</v>
      </c>
    </row>
    <row r="142" spans="1:16">
      <c r="A142" s="2" t="s">
        <v>166</v>
      </c>
      <c r="B142" t="str">
        <f>_xlfn.TEXTAFTER(TRACK_TYPES[[#This Row],[VEHIDCODE]],"_")</f>
        <v>Kenya_East_African_Railway_21</v>
      </c>
      <c r="C142" t="s">
        <v>729</v>
      </c>
      <c r="D142" t="s">
        <v>947</v>
      </c>
      <c r="E142">
        <v>4093</v>
      </c>
      <c r="F142" t="b">
        <f>AND(CONTROL[[#This Row],[IS_WAGON_OR_COACH]]=TRUE,OR(RIGHT(CONTROL[[#This Row],[VEHIDCODE]],7)="Powered",RIGHT(CONTROL[[#This Row],[VEHIDCODE]],9)="Unpowered"))</f>
        <v>0</v>
      </c>
      <c r="G142" s="2" t="b">
        <f>OR(ISNUMBER(SEARCH("wagon_",CONTROL[[#This Row],[VEHIDCODE]])),ISNUMBER(SEARCH("coach_",CONTROL[[#This Row],[VEHIDCODE]])))</f>
        <v>0</v>
      </c>
      <c r="H142" t="str">
        <f>"item_"&amp;CONTROL[[#This Row],[VEHIDCODE]]</f>
        <v>item_steam_Kenya_East_African_Railway_21</v>
      </c>
      <c r="I142" t="str">
        <f>"str_"&amp;CONTROL[[#This Row],[VEHIDCODE]]</f>
        <v>str_steam_Kenya_East_African_Railway_21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t="b">
        <f>ISNUMBER(_xlfn.XMATCH(CONTROL[[#This Row],[VEHIDCODE]],ENGLISH_ITEMS[VEHIDCODE],0))</f>
        <v>1</v>
      </c>
    </row>
    <row r="143" spans="1:16">
      <c r="A143" s="2" t="s">
        <v>167</v>
      </c>
      <c r="B143" t="str">
        <f>_xlfn.TEXTAFTER(TRACK_TYPES[[#This Row],[VEHIDCODE]],"_")</f>
        <v>Zimbabwe_Zimbabwe_Railways_15</v>
      </c>
      <c r="C143" t="s">
        <v>729</v>
      </c>
      <c r="D143" t="s">
        <v>947</v>
      </c>
      <c r="E143">
        <v>4098</v>
      </c>
      <c r="F143" t="b">
        <f>AND(CONTROL[[#This Row],[IS_WAGON_OR_COACH]]=TRUE,OR(RIGHT(CONTROL[[#This Row],[VEHIDCODE]],7)="Powered",RIGHT(CONTROL[[#This Row],[VEHIDCODE]],9)="Unpowered"))</f>
        <v>0</v>
      </c>
      <c r="G143" s="2" t="b">
        <f>OR(ISNUMBER(SEARCH("wagon_",CONTROL[[#This Row],[VEHIDCODE]])),ISNUMBER(SEARCH("coach_",CONTROL[[#This Row],[VEHIDCODE]])))</f>
        <v>0</v>
      </c>
      <c r="H143" t="str">
        <f>"item_"&amp;CONTROL[[#This Row],[VEHIDCODE]]</f>
        <v>item_steam_Zimbabwe_Zimbabwe_Railways_15</v>
      </c>
      <c r="I143" t="str">
        <f>"str_"&amp;CONTROL[[#This Row],[VEHIDCODE]]</f>
        <v>str_steam_Zimbabwe_Zimbabwe_Railways_15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t="b">
        <f>ISNUMBER(_xlfn.XMATCH(CONTROL[[#This Row],[VEHIDCODE]],ENGLISH_ITEMS[VEHIDCODE],0))</f>
        <v>1</v>
      </c>
    </row>
    <row r="144" spans="1:16">
      <c r="A144" s="2" t="s">
        <v>168</v>
      </c>
      <c r="B144" t="str">
        <f>_xlfn.TEXTAFTER(TRACK_TYPES[[#This Row],[VEHIDCODE]],"_")</f>
        <v>South_Africa_SAR_GMA_4_8_2_2_8_4</v>
      </c>
      <c r="C144" t="s">
        <v>729</v>
      </c>
      <c r="D144" t="s">
        <v>947</v>
      </c>
      <c r="E144">
        <v>4106</v>
      </c>
      <c r="F144" t="b">
        <f>AND(CONTROL[[#This Row],[IS_WAGON_OR_COACH]]=TRUE,OR(RIGHT(CONTROL[[#This Row],[VEHIDCODE]],7)="Powered",RIGHT(CONTROL[[#This Row],[VEHIDCODE]],9)="Unpowered"))</f>
        <v>0</v>
      </c>
      <c r="G144" s="2" t="b">
        <f>OR(ISNUMBER(SEARCH("wagon_",CONTROL[[#This Row],[VEHIDCODE]])),ISNUMBER(SEARCH("coach_",CONTROL[[#This Row],[VEHIDCODE]])))</f>
        <v>0</v>
      </c>
      <c r="H144" t="str">
        <f>"item_"&amp;CONTROL[[#This Row],[VEHIDCODE]]</f>
        <v>item_steam_South_Africa_SAR_GMA_4_8_2_2_8_4</v>
      </c>
      <c r="I144" t="str">
        <f>"str_"&amp;CONTROL[[#This Row],[VEHIDCODE]]</f>
        <v>str_steam_South_Africa_SAR_GMA_4_8_2_2_8_4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t="b">
        <f>ISNUMBER(_xlfn.XMATCH(CONTROL[[#This Row],[VEHIDCODE]],ENGLISH_ITEMS[VEHIDCODE],0))</f>
        <v>1</v>
      </c>
    </row>
    <row r="145" spans="1:16">
      <c r="A145" s="2" t="s">
        <v>169</v>
      </c>
      <c r="B145" t="str">
        <f>_xlfn.TEXTAFTER(TRACK_TYPES[[#This Row],[VEHIDCODE]],"_")</f>
        <v>Kenya_East_African_Railway_31</v>
      </c>
      <c r="C145" t="s">
        <v>729</v>
      </c>
      <c r="D145" t="s">
        <v>947</v>
      </c>
      <c r="E145">
        <v>4107</v>
      </c>
      <c r="F145" t="b">
        <f>AND(CONTROL[[#This Row],[IS_WAGON_OR_COACH]]=TRUE,OR(RIGHT(CONTROL[[#This Row],[VEHIDCODE]],7)="Powered",RIGHT(CONTROL[[#This Row],[VEHIDCODE]],9)="Unpowered"))</f>
        <v>0</v>
      </c>
      <c r="G145" s="2" t="b">
        <f>OR(ISNUMBER(SEARCH("wagon_",CONTROL[[#This Row],[VEHIDCODE]])),ISNUMBER(SEARCH("coach_",CONTROL[[#This Row],[VEHIDCODE]])))</f>
        <v>0</v>
      </c>
      <c r="H145" t="str">
        <f>"item_"&amp;CONTROL[[#This Row],[VEHIDCODE]]</f>
        <v>item_steam_Kenya_East_African_Railway_31</v>
      </c>
      <c r="I145" t="str">
        <f>"str_"&amp;CONTROL[[#This Row],[VEHIDCODE]]</f>
        <v>str_steam_Kenya_East_African_Railway_31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t="b">
        <f>ISNUMBER(_xlfn.XMATCH(CONTROL[[#This Row],[VEHIDCODE]],ENGLISH_ITEMS[VEHIDCODE],0))</f>
        <v>1</v>
      </c>
    </row>
    <row r="146" spans="1:16">
      <c r="A146" s="2" t="s">
        <v>170</v>
      </c>
      <c r="B146" t="str">
        <f>_xlfn.TEXTAFTER(TRACK_TYPES[[#This Row],[VEHIDCODE]],"_")</f>
        <v>India_Fairy_Queen</v>
      </c>
      <c r="C146" t="s">
        <v>729</v>
      </c>
      <c r="D146" t="s">
        <v>947</v>
      </c>
      <c r="E146">
        <v>4073</v>
      </c>
      <c r="F146" t="b">
        <f>AND(CONTROL[[#This Row],[IS_WAGON_OR_COACH]]=TRUE,OR(RIGHT(CONTROL[[#This Row],[VEHIDCODE]],7)="Powered",RIGHT(CONTROL[[#This Row],[VEHIDCODE]],9)="Unpowered"))</f>
        <v>0</v>
      </c>
      <c r="G146" s="2" t="b">
        <f>OR(ISNUMBER(SEARCH("wagon_",CONTROL[[#This Row],[VEHIDCODE]])),ISNUMBER(SEARCH("coach_",CONTROL[[#This Row],[VEHIDCODE]])))</f>
        <v>0</v>
      </c>
      <c r="H146" t="str">
        <f>"item_"&amp;CONTROL[[#This Row],[VEHIDCODE]]</f>
        <v>item_steam_India_Fairy_Queen</v>
      </c>
      <c r="I146" t="str">
        <f>"str_"&amp;CONTROL[[#This Row],[VEHIDCODE]]</f>
        <v>str_steam_India_Fairy_Queen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t="b">
        <f>ISNUMBER(_xlfn.XMATCH(CONTROL[[#This Row],[VEHIDCODE]],ENGLISH_ITEMS[VEHIDCODE],0))</f>
        <v>1</v>
      </c>
    </row>
    <row r="147" spans="1:16">
      <c r="A147" s="2" t="s">
        <v>171</v>
      </c>
      <c r="B147" t="str">
        <f>_xlfn.TEXTAFTER(TRACK_TYPES[[#This Row],[VEHIDCODE]],"_")</f>
        <v>India_DHR_B</v>
      </c>
      <c r="C147" t="s">
        <v>729</v>
      </c>
      <c r="D147" t="s">
        <v>947</v>
      </c>
      <c r="E147">
        <v>4076</v>
      </c>
      <c r="F147" t="b">
        <f>AND(CONTROL[[#This Row],[IS_WAGON_OR_COACH]]=TRUE,OR(RIGHT(CONTROL[[#This Row],[VEHIDCODE]],7)="Powered",RIGHT(CONTROL[[#This Row],[VEHIDCODE]],9)="Unpowered"))</f>
        <v>0</v>
      </c>
      <c r="G147" s="2" t="b">
        <f>OR(ISNUMBER(SEARCH("wagon_",CONTROL[[#This Row],[VEHIDCODE]])),ISNUMBER(SEARCH("coach_",CONTROL[[#This Row],[VEHIDCODE]])))</f>
        <v>0</v>
      </c>
      <c r="H147" t="str">
        <f>"item_"&amp;CONTROL[[#This Row],[VEHIDCODE]]</f>
        <v>item_steam_India_DHR_B</v>
      </c>
      <c r="I147" t="str">
        <f>"str_"&amp;CONTROL[[#This Row],[VEHIDCODE]]</f>
        <v>str_steam_India_DHR_B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t="b">
        <f>ISNUMBER(_xlfn.XMATCH(CONTROL[[#This Row],[VEHIDCODE]],ENGLISH_ITEMS[VEHIDCODE],0))</f>
        <v>1</v>
      </c>
    </row>
    <row r="148" spans="1:16">
      <c r="A148" s="2" t="s">
        <v>172</v>
      </c>
      <c r="B148" t="str">
        <f>_xlfn.TEXTAFTER(TRACK_TYPES[[#This Row],[VEHIDCODE]],"_")</f>
        <v>China_China_Railways_H</v>
      </c>
      <c r="C148" t="s">
        <v>729</v>
      </c>
      <c r="D148" t="s">
        <v>947</v>
      </c>
      <c r="E148">
        <v>4079</v>
      </c>
      <c r="F148" t="b">
        <f>AND(CONTROL[[#This Row],[IS_WAGON_OR_COACH]]=TRUE,OR(RIGHT(CONTROL[[#This Row],[VEHIDCODE]],7)="Powered",RIGHT(CONTROL[[#This Row],[VEHIDCODE]],9)="Unpowered"))</f>
        <v>0</v>
      </c>
      <c r="G148" s="2" t="b">
        <f>OR(ISNUMBER(SEARCH("wagon_",CONTROL[[#This Row],[VEHIDCODE]])),ISNUMBER(SEARCH("coach_",CONTROL[[#This Row],[VEHIDCODE]])))</f>
        <v>0</v>
      </c>
      <c r="H148" t="str">
        <f>"item_"&amp;CONTROL[[#This Row],[VEHIDCODE]]</f>
        <v>item_steam_China_China_Railways_H</v>
      </c>
      <c r="I148" t="str">
        <f>"str_"&amp;CONTROL[[#This Row],[VEHIDCODE]]</f>
        <v>str_steam_China_China_Railways_H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t="b">
        <f>ISNUMBER(_xlfn.XMATCH(CONTROL[[#This Row],[VEHIDCODE]],ENGLISH_ITEMS[VEHIDCODE],0))</f>
        <v>1</v>
      </c>
    </row>
    <row r="149" spans="1:16">
      <c r="A149" s="2" t="s">
        <v>173</v>
      </c>
      <c r="B149" t="str">
        <f>_xlfn.TEXTAFTER(TRACK_TYPES[[#This Row],[VEHIDCODE]],"_")</f>
        <v>Russia_RZD_U</v>
      </c>
      <c r="C149" t="s">
        <v>729</v>
      </c>
      <c r="D149" t="s">
        <v>947</v>
      </c>
      <c r="E149">
        <v>4080</v>
      </c>
      <c r="F149" t="b">
        <f>AND(CONTROL[[#This Row],[IS_WAGON_OR_COACH]]=TRUE,OR(RIGHT(CONTROL[[#This Row],[VEHIDCODE]],7)="Powered",RIGHT(CONTROL[[#This Row],[VEHIDCODE]],9)="Unpowered"))</f>
        <v>0</v>
      </c>
      <c r="G149" s="2" t="b">
        <f>OR(ISNUMBER(SEARCH("wagon_",CONTROL[[#This Row],[VEHIDCODE]])),ISNUMBER(SEARCH("coach_",CONTROL[[#This Row],[VEHIDCODE]])))</f>
        <v>0</v>
      </c>
      <c r="H149" t="str">
        <f>"item_"&amp;CONTROL[[#This Row],[VEHIDCODE]]</f>
        <v>item_steam_Russia_RZD_U</v>
      </c>
      <c r="I149" t="str">
        <f>"str_"&amp;CONTROL[[#This Row],[VEHIDCODE]]</f>
        <v>str_steam_Russia_RZD_U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t="b">
        <f>ISNUMBER(_xlfn.XMATCH(CONTROL[[#This Row],[VEHIDCODE]],ENGLISH_ITEMS[VEHIDCODE],0))</f>
        <v>1</v>
      </c>
    </row>
    <row r="150" spans="1:16">
      <c r="A150" s="2" t="s">
        <v>174</v>
      </c>
      <c r="B150" t="str">
        <f>_xlfn.TEXTAFTER(TRACK_TYPES[[#This Row],[VEHIDCODE]],"_")</f>
        <v>Russia_RZD_E</v>
      </c>
      <c r="C150" t="s">
        <v>729</v>
      </c>
      <c r="D150" t="s">
        <v>947</v>
      </c>
      <c r="E150">
        <v>4085</v>
      </c>
      <c r="F150" t="b">
        <f>AND(CONTROL[[#This Row],[IS_WAGON_OR_COACH]]=TRUE,OR(RIGHT(CONTROL[[#This Row],[VEHIDCODE]],7)="Powered",RIGHT(CONTROL[[#This Row],[VEHIDCODE]],9)="Unpowered"))</f>
        <v>0</v>
      </c>
      <c r="G150" s="2" t="b">
        <f>OR(ISNUMBER(SEARCH("wagon_",CONTROL[[#This Row],[VEHIDCODE]])),ISNUMBER(SEARCH("coach_",CONTROL[[#This Row],[VEHIDCODE]])))</f>
        <v>0</v>
      </c>
      <c r="H150" t="str">
        <f>"item_"&amp;CONTROL[[#This Row],[VEHIDCODE]]</f>
        <v>item_steam_Russia_RZD_E</v>
      </c>
      <c r="I150" t="str">
        <f>"str_"&amp;CONTROL[[#This Row],[VEHIDCODE]]</f>
        <v>str_steam_Russia_RZD_E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t="b">
        <f>ISNUMBER(_xlfn.XMATCH(CONTROL[[#This Row],[VEHIDCODE]],ENGLISH_ITEMS[VEHIDCODE],0))</f>
        <v>1</v>
      </c>
    </row>
    <row r="151" spans="1:16">
      <c r="A151" s="2" t="s">
        <v>175</v>
      </c>
      <c r="B151" t="str">
        <f>_xlfn.TEXTAFTER(TRACK_TYPES[[#This Row],[VEHIDCODE]],"_")</f>
        <v>Israel_Israel_Railways_H</v>
      </c>
      <c r="C151" t="s">
        <v>729</v>
      </c>
      <c r="D151" t="s">
        <v>947</v>
      </c>
      <c r="E151">
        <v>4087</v>
      </c>
      <c r="F151" t="b">
        <f>AND(CONTROL[[#This Row],[IS_WAGON_OR_COACH]]=TRUE,OR(RIGHT(CONTROL[[#This Row],[VEHIDCODE]],7)="Powered",RIGHT(CONTROL[[#This Row],[VEHIDCODE]],9)="Unpowered"))</f>
        <v>0</v>
      </c>
      <c r="G151" s="2" t="b">
        <f>OR(ISNUMBER(SEARCH("wagon_",CONTROL[[#This Row],[VEHIDCODE]])),ISNUMBER(SEARCH("coach_",CONTROL[[#This Row],[VEHIDCODE]])))</f>
        <v>0</v>
      </c>
      <c r="H151" t="str">
        <f>"item_"&amp;CONTROL[[#This Row],[VEHIDCODE]]</f>
        <v>item_steam_Israel_Israel_Railways_H</v>
      </c>
      <c r="I151" t="str">
        <f>"str_"&amp;CONTROL[[#This Row],[VEHIDCODE]]</f>
        <v>str_steam_Israel_Israel_Railways_H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t="b">
        <f>ISNUMBER(_xlfn.XMATCH(CONTROL[[#This Row],[VEHIDCODE]],ENGLISH_ITEMS[VEHIDCODE],0))</f>
        <v>1</v>
      </c>
    </row>
    <row r="152" spans="1:16">
      <c r="A152" s="2" t="s">
        <v>176</v>
      </c>
      <c r="B152" t="str">
        <f>_xlfn.TEXTAFTER(TRACK_TYPES[[#This Row],[VEHIDCODE]],"_")</f>
        <v>Italy_FS_480</v>
      </c>
      <c r="C152" t="s">
        <v>729</v>
      </c>
      <c r="D152" t="s">
        <v>947</v>
      </c>
      <c r="E152">
        <v>4089</v>
      </c>
      <c r="F152" t="b">
        <f>AND(CONTROL[[#This Row],[IS_WAGON_OR_COACH]]=TRUE,OR(RIGHT(CONTROL[[#This Row],[VEHIDCODE]],7)="Powered",RIGHT(CONTROL[[#This Row],[VEHIDCODE]],9)="Unpowered"))</f>
        <v>0</v>
      </c>
      <c r="G152" s="2" t="b">
        <f>OR(ISNUMBER(SEARCH("wagon_",CONTROL[[#This Row],[VEHIDCODE]])),ISNUMBER(SEARCH("coach_",CONTROL[[#This Row],[VEHIDCODE]])))</f>
        <v>0</v>
      </c>
      <c r="H152" t="str">
        <f>"item_"&amp;CONTROL[[#This Row],[VEHIDCODE]]</f>
        <v>item_steam_Italy_FS_480</v>
      </c>
      <c r="I152" t="str">
        <f>"str_"&amp;CONTROL[[#This Row],[VEHIDCODE]]</f>
        <v>str_steam_Italy_FS_480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t="b">
        <f>ISNUMBER(_xlfn.XMATCH(CONTROL[[#This Row],[VEHIDCODE]],ENGLISH_ITEMS[VEHIDCODE],0))</f>
        <v>1</v>
      </c>
    </row>
    <row r="153" spans="1:16">
      <c r="A153" s="2" t="s">
        <v>177</v>
      </c>
      <c r="B153" t="str">
        <f>_xlfn.TEXTAFTER(TRACK_TYPES[[#This Row],[VEHIDCODE]],"_")</f>
        <v>Italy_FS_691</v>
      </c>
      <c r="C153" t="s">
        <v>729</v>
      </c>
      <c r="D153" t="s">
        <v>947</v>
      </c>
      <c r="E153">
        <v>4094</v>
      </c>
      <c r="F153" t="b">
        <f>AND(CONTROL[[#This Row],[IS_WAGON_OR_COACH]]=TRUE,OR(RIGHT(CONTROL[[#This Row],[VEHIDCODE]],7)="Powered",RIGHT(CONTROL[[#This Row],[VEHIDCODE]],9)="Unpowered"))</f>
        <v>0</v>
      </c>
      <c r="G153" s="2" t="b">
        <f>OR(ISNUMBER(SEARCH("wagon_",CONTROL[[#This Row],[VEHIDCODE]])),ISNUMBER(SEARCH("coach_",CONTROL[[#This Row],[VEHIDCODE]])))</f>
        <v>0</v>
      </c>
      <c r="H153" t="str">
        <f>"item_"&amp;CONTROL[[#This Row],[VEHIDCODE]]</f>
        <v>item_steam_Italy_FS_691</v>
      </c>
      <c r="I153" t="str">
        <f>"str_"&amp;CONTROL[[#This Row],[VEHIDCODE]]</f>
        <v>str_steam_Italy_FS_691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t="b">
        <f>ISNUMBER(_xlfn.XMATCH(CONTROL[[#This Row],[VEHIDCODE]],ENGLISH_ITEMS[VEHIDCODE],0))</f>
        <v>1</v>
      </c>
    </row>
    <row r="154" spans="1:16">
      <c r="A154" s="2" t="s">
        <v>178</v>
      </c>
      <c r="B154" t="str">
        <f>_xlfn.TEXTAFTER(TRACK_TYPES[[#This Row],[VEHIDCODE]],"_")</f>
        <v>Greece_SEK_Lb</v>
      </c>
      <c r="C154" t="s">
        <v>729</v>
      </c>
      <c r="D154" t="s">
        <v>947</v>
      </c>
      <c r="E154">
        <v>4100</v>
      </c>
      <c r="F154" t="b">
        <f>AND(CONTROL[[#This Row],[IS_WAGON_OR_COACH]]=TRUE,OR(RIGHT(CONTROL[[#This Row],[VEHIDCODE]],7)="Powered",RIGHT(CONTROL[[#This Row],[VEHIDCODE]],9)="Unpowered"))</f>
        <v>0</v>
      </c>
      <c r="G154" s="2" t="b">
        <f>OR(ISNUMBER(SEARCH("wagon_",CONTROL[[#This Row],[VEHIDCODE]])),ISNUMBER(SEARCH("coach_",CONTROL[[#This Row],[VEHIDCODE]])))</f>
        <v>0</v>
      </c>
      <c r="H154" t="str">
        <f>"item_"&amp;CONTROL[[#This Row],[VEHIDCODE]]</f>
        <v>item_steam_Greece_SEK_Lb</v>
      </c>
      <c r="I154" t="str">
        <f>"str_"&amp;CONTROL[[#This Row],[VEHIDCODE]]</f>
        <v>str_steam_Greece_SEK_Lb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t="b">
        <f>ISNUMBER(_xlfn.XMATCH(CONTROL[[#This Row],[VEHIDCODE]],ENGLISH_ITEMS[VEHIDCODE],0))</f>
        <v>1</v>
      </c>
    </row>
    <row r="155" spans="1:16">
      <c r="A155" s="2" t="s">
        <v>179</v>
      </c>
      <c r="B155" t="str">
        <f>_xlfn.TEXTAFTER(TRACK_TYPES[[#This Row],[VEHIDCODE]],"_")</f>
        <v>Albania_HSH_01</v>
      </c>
      <c r="C155" t="s">
        <v>729</v>
      </c>
      <c r="D155" t="s">
        <v>947</v>
      </c>
      <c r="E155">
        <v>4103</v>
      </c>
      <c r="F155" t="b">
        <f>AND(CONTROL[[#This Row],[IS_WAGON_OR_COACH]]=TRUE,OR(RIGHT(CONTROL[[#This Row],[VEHIDCODE]],7)="Powered",RIGHT(CONTROL[[#This Row],[VEHIDCODE]],9)="Unpowered"))</f>
        <v>0</v>
      </c>
      <c r="G155" s="2" t="b">
        <f>OR(ISNUMBER(SEARCH("wagon_",CONTROL[[#This Row],[VEHIDCODE]])),ISNUMBER(SEARCH("coach_",CONTROL[[#This Row],[VEHIDCODE]])))</f>
        <v>0</v>
      </c>
      <c r="H155" t="str">
        <f>"item_"&amp;CONTROL[[#This Row],[VEHIDCODE]]</f>
        <v>item_steam_Albania_HSH_01</v>
      </c>
      <c r="I155" t="str">
        <f>"str_"&amp;CONTROL[[#This Row],[VEHIDCODE]]</f>
        <v>str_steam_Albania_HSH_01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t="b">
        <f>ISNUMBER(_xlfn.XMATCH(CONTROL[[#This Row],[VEHIDCODE]],ENGLISH_ITEMS[VEHIDCODE],0))</f>
        <v>1</v>
      </c>
    </row>
    <row r="156" spans="1:16">
      <c r="A156" s="2" t="s">
        <v>180</v>
      </c>
      <c r="B156" t="str">
        <f>_xlfn.TEXTAFTER(TRACK_TYPES[[#This Row],[VEHIDCODE]],"_")</f>
        <v>Spain_RENFE_242F</v>
      </c>
      <c r="C156" t="s">
        <v>729</v>
      </c>
      <c r="D156" t="s">
        <v>947</v>
      </c>
      <c r="E156">
        <v>4108</v>
      </c>
      <c r="F156" t="b">
        <f>AND(CONTROL[[#This Row],[IS_WAGON_OR_COACH]]=TRUE,OR(RIGHT(CONTROL[[#This Row],[VEHIDCODE]],7)="Powered",RIGHT(CONTROL[[#This Row],[VEHIDCODE]],9)="Unpowered"))</f>
        <v>0</v>
      </c>
      <c r="G156" s="2" t="b">
        <f>OR(ISNUMBER(SEARCH("wagon_",CONTROL[[#This Row],[VEHIDCODE]])),ISNUMBER(SEARCH("coach_",CONTROL[[#This Row],[VEHIDCODE]])))</f>
        <v>0</v>
      </c>
      <c r="H156" t="str">
        <f>"item_"&amp;CONTROL[[#This Row],[VEHIDCODE]]</f>
        <v>item_steam_Spain_RENFE_242F</v>
      </c>
      <c r="I156" t="str">
        <f>"str_"&amp;CONTROL[[#This Row],[VEHIDCODE]]</f>
        <v>str_steam_Spain_RENFE_242F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t="b">
        <f>ISNUMBER(_xlfn.XMATCH(CONTROL[[#This Row],[VEHIDCODE]],ENGLISH_ITEMS[VEHIDCODE],0))</f>
        <v>1</v>
      </c>
    </row>
    <row r="157" spans="1:16">
      <c r="A157" s="2" t="s">
        <v>181</v>
      </c>
      <c r="B157" t="str">
        <f>_xlfn.TEXTAFTER(TRACK_TYPES[[#This Row],[VEHIDCODE]],"_")</f>
        <v>Czech_Republic_CD_5341</v>
      </c>
      <c r="C157" t="s">
        <v>729</v>
      </c>
      <c r="D157" t="s">
        <v>947</v>
      </c>
      <c r="E157">
        <v>4082</v>
      </c>
      <c r="F157" t="b">
        <f>AND(CONTROL[[#This Row],[IS_WAGON_OR_COACH]]=TRUE,OR(RIGHT(CONTROL[[#This Row],[VEHIDCODE]],7)="Powered",RIGHT(CONTROL[[#This Row],[VEHIDCODE]],9)="Unpowered"))</f>
        <v>0</v>
      </c>
      <c r="G157" s="2" t="b">
        <f>OR(ISNUMBER(SEARCH("wagon_",CONTROL[[#This Row],[VEHIDCODE]])),ISNUMBER(SEARCH("coach_",CONTROL[[#This Row],[VEHIDCODE]])))</f>
        <v>0</v>
      </c>
      <c r="H157" t="str">
        <f>"item_"&amp;CONTROL[[#This Row],[VEHIDCODE]]</f>
        <v>item_steam_Czech_Republic_CD_5341</v>
      </c>
      <c r="I157" t="str">
        <f>"str_"&amp;CONTROL[[#This Row],[VEHIDCODE]]</f>
        <v>str_steam_Czech_Republic_CD_5341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t="b">
        <f>ISNUMBER(_xlfn.XMATCH(CONTROL[[#This Row],[VEHIDCODE]],ENGLISH_ITEMS[VEHIDCODE],0))</f>
        <v>1</v>
      </c>
    </row>
    <row r="158" spans="1:16">
      <c r="A158" s="2" t="s">
        <v>182</v>
      </c>
      <c r="B158" t="str">
        <f>_xlfn.TEXTAFTER(TRACK_TYPES[[#This Row],[VEHIDCODE]],"_")</f>
        <v>Poland_PKP_Ok22</v>
      </c>
      <c r="C158" t="s">
        <v>729</v>
      </c>
      <c r="D158" t="s">
        <v>947</v>
      </c>
      <c r="E158">
        <v>4091</v>
      </c>
      <c r="F158" t="b">
        <f>AND(CONTROL[[#This Row],[IS_WAGON_OR_COACH]]=TRUE,OR(RIGHT(CONTROL[[#This Row],[VEHIDCODE]],7)="Powered",RIGHT(CONTROL[[#This Row],[VEHIDCODE]],9)="Unpowered"))</f>
        <v>0</v>
      </c>
      <c r="G158" s="2" t="b">
        <f>OR(ISNUMBER(SEARCH("wagon_",CONTROL[[#This Row],[VEHIDCODE]])),ISNUMBER(SEARCH("coach_",CONTROL[[#This Row],[VEHIDCODE]])))</f>
        <v>0</v>
      </c>
      <c r="H158" t="str">
        <f>"item_"&amp;CONTROL[[#This Row],[VEHIDCODE]]</f>
        <v>item_steam_Poland_PKP_Ok22</v>
      </c>
      <c r="I158" t="str">
        <f>"str_"&amp;CONTROL[[#This Row],[VEHIDCODE]]</f>
        <v>str_steam_Poland_PKP_Ok22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t="b">
        <f>ISNUMBER(_xlfn.XMATCH(CONTROL[[#This Row],[VEHIDCODE]],ENGLISH_ITEMS[VEHIDCODE],0))</f>
        <v>1</v>
      </c>
    </row>
    <row r="159" spans="1:16">
      <c r="A159" s="2" t="s">
        <v>183</v>
      </c>
      <c r="B159" t="str">
        <f>_xlfn.TEXTAFTER(TRACK_TYPES[[#This Row],[VEHIDCODE]],"_")</f>
        <v>Croatia_HZ_11</v>
      </c>
      <c r="C159" t="s">
        <v>729</v>
      </c>
      <c r="D159" t="s">
        <v>947</v>
      </c>
      <c r="E159">
        <v>4092</v>
      </c>
      <c r="F159" t="b">
        <f>AND(CONTROL[[#This Row],[IS_WAGON_OR_COACH]]=TRUE,OR(RIGHT(CONTROL[[#This Row],[VEHIDCODE]],7)="Powered",RIGHT(CONTROL[[#This Row],[VEHIDCODE]],9)="Unpowered"))</f>
        <v>0</v>
      </c>
      <c r="G159" s="2" t="b">
        <f>OR(ISNUMBER(SEARCH("wagon_",CONTROL[[#This Row],[VEHIDCODE]])),ISNUMBER(SEARCH("coach_",CONTROL[[#This Row],[VEHIDCODE]])))</f>
        <v>0</v>
      </c>
      <c r="H159" t="str">
        <f>"item_"&amp;CONTROL[[#This Row],[VEHIDCODE]]</f>
        <v>item_steam_Croatia_HZ_11</v>
      </c>
      <c r="I159" t="str">
        <f>"str_"&amp;CONTROL[[#This Row],[VEHIDCODE]]</f>
        <v>str_steam_Croatia_HZ_11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t="b">
        <f>ISNUMBER(_xlfn.XMATCH(CONTROL[[#This Row],[VEHIDCODE]],ENGLISH_ITEMS[VEHIDCODE],0))</f>
        <v>1</v>
      </c>
    </row>
    <row r="160" spans="1:16">
      <c r="A160" s="2" t="s">
        <v>184</v>
      </c>
      <c r="B160" t="str">
        <f>_xlfn.TEXTAFTER(TRACK_TYPES[[#This Row],[VEHIDCODE]],"_")</f>
        <v>Hungary_MAV_242</v>
      </c>
      <c r="C160" t="s">
        <v>729</v>
      </c>
      <c r="D160" t="s">
        <v>947</v>
      </c>
      <c r="E160">
        <v>4097</v>
      </c>
      <c r="F160" t="b">
        <f>AND(CONTROL[[#This Row],[IS_WAGON_OR_COACH]]=TRUE,OR(RIGHT(CONTROL[[#This Row],[VEHIDCODE]],7)="Powered",RIGHT(CONTROL[[#This Row],[VEHIDCODE]],9)="Unpowered"))</f>
        <v>0</v>
      </c>
      <c r="G160" s="2" t="b">
        <f>OR(ISNUMBER(SEARCH("wagon_",CONTROL[[#This Row],[VEHIDCODE]])),ISNUMBER(SEARCH("coach_",CONTROL[[#This Row],[VEHIDCODE]])))</f>
        <v>0</v>
      </c>
      <c r="H160" t="str">
        <f>"item_"&amp;CONTROL[[#This Row],[VEHIDCODE]]</f>
        <v>item_steam_Hungary_MAV_242</v>
      </c>
      <c r="I160" t="str">
        <f>"str_"&amp;CONTROL[[#This Row],[VEHIDCODE]]</f>
        <v>str_steam_Hungary_MAV_242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t="b">
        <f>ISNUMBER(_xlfn.XMATCH(CONTROL[[#This Row],[VEHIDCODE]],ENGLISH_ITEMS[VEHIDCODE],0))</f>
        <v>1</v>
      </c>
    </row>
    <row r="161" spans="1:16">
      <c r="A161" s="2" t="s">
        <v>185</v>
      </c>
      <c r="B161" t="str">
        <f>_xlfn.TEXTAFTER(TRACK_TYPES[[#This Row],[VEHIDCODE]],"_")</f>
        <v>Czech_Republic_CD_4590</v>
      </c>
      <c r="C161" t="s">
        <v>729</v>
      </c>
      <c r="D161" t="s">
        <v>947</v>
      </c>
      <c r="E161">
        <v>4102</v>
      </c>
      <c r="F161" t="b">
        <f>AND(CONTROL[[#This Row],[IS_WAGON_OR_COACH]]=TRUE,OR(RIGHT(CONTROL[[#This Row],[VEHIDCODE]],7)="Powered",RIGHT(CONTROL[[#This Row],[VEHIDCODE]],9)="Unpowered"))</f>
        <v>0</v>
      </c>
      <c r="G161" s="2" t="b">
        <f>OR(ISNUMBER(SEARCH("wagon_",CONTROL[[#This Row],[VEHIDCODE]])),ISNUMBER(SEARCH("coach_",CONTROL[[#This Row],[VEHIDCODE]])))</f>
        <v>0</v>
      </c>
      <c r="H161" t="str">
        <f>"item_"&amp;CONTROL[[#This Row],[VEHIDCODE]]</f>
        <v>item_steam_Czech_Republic_CD_4590</v>
      </c>
      <c r="I161" t="str">
        <f>"str_"&amp;CONTROL[[#This Row],[VEHIDCODE]]</f>
        <v>str_steam_Czech_Republic_CD_4590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t="b">
        <f>ISNUMBER(_xlfn.XMATCH(CONTROL[[#This Row],[VEHIDCODE]],ENGLISH_ITEMS[VEHIDCODE],0))</f>
        <v>1</v>
      </c>
    </row>
    <row r="162" spans="1:16">
      <c r="A162" s="2" t="s">
        <v>186</v>
      </c>
      <c r="B162" t="str">
        <f>_xlfn.TEXTAFTER(TRACK_TYPES[[#This Row],[VEHIDCODE]],"_")</f>
        <v>Poland_PKP_OI49</v>
      </c>
      <c r="C162" t="s">
        <v>729</v>
      </c>
      <c r="D162" t="s">
        <v>947</v>
      </c>
      <c r="E162">
        <v>4104</v>
      </c>
      <c r="F162" t="b">
        <f>AND(CONTROL[[#This Row],[IS_WAGON_OR_COACH]]=TRUE,OR(RIGHT(CONTROL[[#This Row],[VEHIDCODE]],7)="Powered",RIGHT(CONTROL[[#This Row],[VEHIDCODE]],9)="Unpowered"))</f>
        <v>0</v>
      </c>
      <c r="G162" s="2" t="b">
        <f>OR(ISNUMBER(SEARCH("wagon_",CONTROL[[#This Row],[VEHIDCODE]])),ISNUMBER(SEARCH("coach_",CONTROL[[#This Row],[VEHIDCODE]])))</f>
        <v>0</v>
      </c>
      <c r="H162" t="str">
        <f>"item_"&amp;CONTROL[[#This Row],[VEHIDCODE]]</f>
        <v>item_steam_Poland_PKP_OI49</v>
      </c>
      <c r="I162" t="str">
        <f>"str_"&amp;CONTROL[[#This Row],[VEHIDCODE]]</f>
        <v>str_steam_Poland_PKP_OI49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t="b">
        <f>ISNUMBER(_xlfn.XMATCH(CONTROL[[#This Row],[VEHIDCODE]],ENGLISH_ITEMS[VEHIDCODE],0))</f>
        <v>1</v>
      </c>
    </row>
    <row r="163" spans="1:16">
      <c r="A163" s="2" t="s">
        <v>187</v>
      </c>
      <c r="B163" t="str">
        <f>_xlfn.TEXTAFTER(TRACK_TYPES[[#This Row],[VEHIDCODE]],"_")</f>
        <v>Austria_KKStB_310</v>
      </c>
      <c r="C163" t="s">
        <v>729</v>
      </c>
      <c r="D163" t="s">
        <v>947</v>
      </c>
      <c r="E163">
        <v>4084</v>
      </c>
      <c r="F163" t="b">
        <f>AND(CONTROL[[#This Row],[IS_WAGON_OR_COACH]]=TRUE,OR(RIGHT(CONTROL[[#This Row],[VEHIDCODE]],7)="Powered",RIGHT(CONTROL[[#This Row],[VEHIDCODE]],9)="Unpowered"))</f>
        <v>0</v>
      </c>
      <c r="G163" s="2" t="b">
        <f>OR(ISNUMBER(SEARCH("wagon_",CONTROL[[#This Row],[VEHIDCODE]])),ISNUMBER(SEARCH("coach_",CONTROL[[#This Row],[VEHIDCODE]])))</f>
        <v>0</v>
      </c>
      <c r="H163" t="str">
        <f>"item_"&amp;CONTROL[[#This Row],[VEHIDCODE]]</f>
        <v>item_steam_Austria_KKStB_310</v>
      </c>
      <c r="I163" t="str">
        <f>"str_"&amp;CONTROL[[#This Row],[VEHIDCODE]]</f>
        <v>str_steam_Austria_KKStB_310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t="b">
        <f>ISNUMBER(_xlfn.XMATCH(CONTROL[[#This Row],[VEHIDCODE]],ENGLISH_ITEMS[VEHIDCODE],0))</f>
        <v>1</v>
      </c>
    </row>
    <row r="164" spans="1:16">
      <c r="A164" s="2" t="s">
        <v>188</v>
      </c>
      <c r="B164" t="str">
        <f>_xlfn.TEXTAFTER(TRACK_TYPES[[#This Row],[VEHIDCODE]],"_")</f>
        <v>USA_Southern_Pacific_GS_4_Daylight</v>
      </c>
      <c r="C164" t="s">
        <v>729</v>
      </c>
      <c r="D164" t="s">
        <v>947</v>
      </c>
      <c r="E164">
        <v>4099</v>
      </c>
      <c r="F164" t="b">
        <f>AND(CONTROL[[#This Row],[IS_WAGON_OR_COACH]]=TRUE,OR(RIGHT(CONTROL[[#This Row],[VEHIDCODE]],7)="Powered",RIGHT(CONTROL[[#This Row],[VEHIDCODE]],9)="Unpowered"))</f>
        <v>0</v>
      </c>
      <c r="G164" s="2" t="b">
        <f>OR(ISNUMBER(SEARCH("wagon_",CONTROL[[#This Row],[VEHIDCODE]])),ISNUMBER(SEARCH("coach_",CONTROL[[#This Row],[VEHIDCODE]])))</f>
        <v>0</v>
      </c>
      <c r="H164" t="str">
        <f>"item_"&amp;CONTROL[[#This Row],[VEHIDCODE]]</f>
        <v>item_steam_USA_Southern_Pacific_GS_4_Daylight</v>
      </c>
      <c r="I164" t="str">
        <f>"str_"&amp;CONTROL[[#This Row],[VEHIDCODE]]</f>
        <v>str_steam_USA_Southern_Pacific_GS_4_Daylight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t="b">
        <f>ISNUMBER(_xlfn.XMATCH(CONTROL[[#This Row],[VEHIDCODE]],ENGLISH_ITEMS[VEHIDCODE],0))</f>
        <v>1</v>
      </c>
    </row>
    <row r="165" spans="1:16">
      <c r="A165" s="2" t="s">
        <v>189</v>
      </c>
      <c r="B165" t="str">
        <f>_xlfn.TEXTAFTER(TRACK_TYPES[[#This Row],[VEHIDCODE]],"_")</f>
        <v>Ireland_GS_WR_101</v>
      </c>
      <c r="C165" t="s">
        <v>729</v>
      </c>
      <c r="D165" t="s">
        <v>947</v>
      </c>
      <c r="E165">
        <v>4109</v>
      </c>
      <c r="F165" t="b">
        <f>AND(CONTROL[[#This Row],[IS_WAGON_OR_COACH]]=TRUE,OR(RIGHT(CONTROL[[#This Row],[VEHIDCODE]],7)="Powered",RIGHT(CONTROL[[#This Row],[VEHIDCODE]],9)="Unpowered"))</f>
        <v>0</v>
      </c>
      <c r="G165" s="2" t="b">
        <f>OR(ISNUMBER(SEARCH("wagon_",CONTROL[[#This Row],[VEHIDCODE]])),ISNUMBER(SEARCH("coach_",CONTROL[[#This Row],[VEHIDCODE]])))</f>
        <v>0</v>
      </c>
      <c r="H165" t="str">
        <f>"item_"&amp;CONTROL[[#This Row],[VEHIDCODE]]</f>
        <v>item_steam_Ireland_GS_WR_101</v>
      </c>
      <c r="I165" t="str">
        <f>"str_"&amp;CONTROL[[#This Row],[VEHIDCODE]]</f>
        <v>str_steam_Ireland_GS_WR_101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t="b">
        <f>ISNUMBER(_xlfn.XMATCH(CONTROL[[#This Row],[VEHIDCODE]],ENGLISH_ITEMS[VEHIDCODE],0))</f>
        <v>1</v>
      </c>
    </row>
    <row r="166" spans="1:16">
      <c r="A166" s="2" t="s">
        <v>190</v>
      </c>
      <c r="B166" t="str">
        <f>_xlfn.TEXTAFTER(TRACK_TYPES[[#This Row],[VEHIDCODE]],"_")</f>
        <v>USA_NYC_H_6A_Light_Mikado</v>
      </c>
      <c r="C166" t="s">
        <v>729</v>
      </c>
      <c r="D166" t="s">
        <v>947</v>
      </c>
      <c r="E166">
        <v>4110</v>
      </c>
      <c r="F166" t="b">
        <f>AND(CONTROL[[#This Row],[IS_WAGON_OR_COACH]]=TRUE,OR(RIGHT(CONTROL[[#This Row],[VEHIDCODE]],7)="Powered",RIGHT(CONTROL[[#This Row],[VEHIDCODE]],9)="Unpowered"))</f>
        <v>0</v>
      </c>
      <c r="G166" s="2" t="b">
        <f>OR(ISNUMBER(SEARCH("wagon_",CONTROL[[#This Row],[VEHIDCODE]])),ISNUMBER(SEARCH("coach_",CONTROL[[#This Row],[VEHIDCODE]])))</f>
        <v>0</v>
      </c>
      <c r="H166" t="str">
        <f>"item_"&amp;CONTROL[[#This Row],[VEHIDCODE]]</f>
        <v>item_steam_USA_NYC_H_6A_Light_Mikado</v>
      </c>
      <c r="I166" t="str">
        <f>"str_"&amp;CONTROL[[#This Row],[VEHIDCODE]]</f>
        <v>str_steam_USA_NYC_H_6A_Light_Mikado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t="b">
        <f>ISNUMBER(_xlfn.XMATCH(CONTROL[[#This Row],[VEHIDCODE]],ENGLISH_ITEMS[VEHIDCODE],0))</f>
        <v>1</v>
      </c>
    </row>
    <row r="167" spans="1:16">
      <c r="A167" s="2" t="s">
        <v>191</v>
      </c>
      <c r="B167" t="str">
        <f>_xlfn.TEXTAFTER(TRACK_TYPES[[#This Row],[VEHIDCODE]],"_")</f>
        <v>Argentina_FCGR_315</v>
      </c>
      <c r="C167" t="s">
        <v>729</v>
      </c>
      <c r="D167" t="s">
        <v>947</v>
      </c>
      <c r="E167">
        <v>4112</v>
      </c>
      <c r="F167" t="b">
        <f>AND(CONTROL[[#This Row],[IS_WAGON_OR_COACH]]=TRUE,OR(RIGHT(CONTROL[[#This Row],[VEHIDCODE]],7)="Powered",RIGHT(CONTROL[[#This Row],[VEHIDCODE]],9)="Unpowered"))</f>
        <v>0</v>
      </c>
      <c r="G167" s="2" t="b">
        <f>OR(ISNUMBER(SEARCH("wagon_",CONTROL[[#This Row],[VEHIDCODE]])),ISNUMBER(SEARCH("coach_",CONTROL[[#This Row],[VEHIDCODE]])))</f>
        <v>0</v>
      </c>
      <c r="H167" t="str">
        <f>"item_"&amp;CONTROL[[#This Row],[VEHIDCODE]]</f>
        <v>item_steam_Argentina_FCGR_315</v>
      </c>
      <c r="I167" t="str">
        <f>"str_"&amp;CONTROL[[#This Row],[VEHIDCODE]]</f>
        <v>str_steam_Argentina_FCGR_315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t="b">
        <f>ISNUMBER(_xlfn.XMATCH(CONTROL[[#This Row],[VEHIDCODE]],ENGLISH_ITEMS[VEHIDCODE],0))</f>
        <v>1</v>
      </c>
    </row>
    <row r="168" spans="1:16">
      <c r="A168" s="2" t="s">
        <v>192</v>
      </c>
      <c r="B168" t="str">
        <f>_xlfn.TEXTAFTER(TRACK_TYPES[[#This Row],[VEHIDCODE]],"_")</f>
        <v>Australia_NSWGR_C35</v>
      </c>
      <c r="C168" t="s">
        <v>729</v>
      </c>
      <c r="D168" t="s">
        <v>947</v>
      </c>
      <c r="E168">
        <v>4113</v>
      </c>
      <c r="F168" t="b">
        <f>AND(CONTROL[[#This Row],[IS_WAGON_OR_COACH]]=TRUE,OR(RIGHT(CONTROL[[#This Row],[VEHIDCODE]],7)="Powered",RIGHT(CONTROL[[#This Row],[VEHIDCODE]],9)="Unpowered"))</f>
        <v>0</v>
      </c>
      <c r="G168" s="2" t="b">
        <f>OR(ISNUMBER(SEARCH("wagon_",CONTROL[[#This Row],[VEHIDCODE]])),ISNUMBER(SEARCH("coach_",CONTROL[[#This Row],[VEHIDCODE]])))</f>
        <v>0</v>
      </c>
      <c r="H168" t="str">
        <f>"item_"&amp;CONTROL[[#This Row],[VEHIDCODE]]</f>
        <v>item_steam_Australia_NSWGR_C35</v>
      </c>
      <c r="I168" t="str">
        <f>"str_"&amp;CONTROL[[#This Row],[VEHIDCODE]]</f>
        <v>str_steam_Australia_NSWGR_C35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t="b">
        <f>ISNUMBER(_xlfn.XMATCH(CONTROL[[#This Row],[VEHIDCODE]],ENGLISH_ITEMS[VEHIDCODE],0))</f>
        <v>1</v>
      </c>
    </row>
    <row r="169" spans="1:16">
      <c r="A169" s="2" t="s">
        <v>193</v>
      </c>
      <c r="B169" t="str">
        <f>_xlfn.TEXTAFTER(TRACK_TYPES[[#This Row],[VEHIDCODE]],"_")</f>
        <v>Belgium_NMBS_SNCB_Type_29</v>
      </c>
      <c r="C169" t="s">
        <v>729</v>
      </c>
      <c r="D169" t="s">
        <v>947</v>
      </c>
      <c r="E169">
        <v>4114</v>
      </c>
      <c r="F169" t="b">
        <f>AND(CONTROL[[#This Row],[IS_WAGON_OR_COACH]]=TRUE,OR(RIGHT(CONTROL[[#This Row],[VEHIDCODE]],7)="Powered",RIGHT(CONTROL[[#This Row],[VEHIDCODE]],9)="Unpowered"))</f>
        <v>0</v>
      </c>
      <c r="G169" s="2" t="b">
        <f>OR(ISNUMBER(SEARCH("wagon_",CONTROL[[#This Row],[VEHIDCODE]])),ISNUMBER(SEARCH("coach_",CONTROL[[#This Row],[VEHIDCODE]])))</f>
        <v>0</v>
      </c>
      <c r="H169" t="str">
        <f>"item_"&amp;CONTROL[[#This Row],[VEHIDCODE]]</f>
        <v>item_steam_Belgium_NMBS_SNCB_Type_29</v>
      </c>
      <c r="I169" t="str">
        <f>"str_"&amp;CONTROL[[#This Row],[VEHIDCODE]]</f>
        <v>str_steam_Belgium_NMBS_SNCB_Type_29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t="b">
        <f>ISNUMBER(_xlfn.XMATCH(CONTROL[[#This Row],[VEHIDCODE]],ENGLISH_ITEMS[VEHIDCODE],0))</f>
        <v>1</v>
      </c>
    </row>
    <row r="170" spans="1:16">
      <c r="A170" s="2" t="s">
        <v>194</v>
      </c>
      <c r="B170" t="str">
        <f>_xlfn.TEXTAFTER(TRACK_TYPES[[#This Row],[VEHIDCODE]],"_")</f>
        <v>Chile_FCAB_4_8_2</v>
      </c>
      <c r="C170" t="s">
        <v>729</v>
      </c>
      <c r="D170" t="s">
        <v>947</v>
      </c>
      <c r="E170">
        <v>4115</v>
      </c>
      <c r="F170" t="b">
        <f>AND(CONTROL[[#This Row],[IS_WAGON_OR_COACH]]=TRUE,OR(RIGHT(CONTROL[[#This Row],[VEHIDCODE]],7)="Powered",RIGHT(CONTROL[[#This Row],[VEHIDCODE]],9)="Unpowered"))</f>
        <v>0</v>
      </c>
      <c r="G170" s="2" t="b">
        <f>OR(ISNUMBER(SEARCH("wagon_",CONTROL[[#This Row],[VEHIDCODE]])),ISNUMBER(SEARCH("coach_",CONTROL[[#This Row],[VEHIDCODE]])))</f>
        <v>0</v>
      </c>
      <c r="H170" t="str">
        <f>"item_"&amp;CONTROL[[#This Row],[VEHIDCODE]]</f>
        <v>item_steam_Chile_FCAB_4_8_2</v>
      </c>
      <c r="I170" t="str">
        <f>"str_"&amp;CONTROL[[#This Row],[VEHIDCODE]]</f>
        <v>str_steam_Chile_FCAB_4_8_2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t="b">
        <f>ISNUMBER(_xlfn.XMATCH(CONTROL[[#This Row],[VEHIDCODE]],ENGLISH_ITEMS[VEHIDCODE],0))</f>
        <v>1</v>
      </c>
    </row>
    <row r="171" spans="1:16">
      <c r="A171" s="2" t="s">
        <v>195</v>
      </c>
      <c r="B171" t="str">
        <f>_xlfn.TEXTAFTER(TRACK_TYPES[[#This Row],[VEHIDCODE]],"_")</f>
        <v>China_Railways_QJ</v>
      </c>
      <c r="C171" t="s">
        <v>729</v>
      </c>
      <c r="D171" t="s">
        <v>947</v>
      </c>
      <c r="E171">
        <v>4116</v>
      </c>
      <c r="F171" t="b">
        <f>AND(CONTROL[[#This Row],[IS_WAGON_OR_COACH]]=TRUE,OR(RIGHT(CONTROL[[#This Row],[VEHIDCODE]],7)="Powered",RIGHT(CONTROL[[#This Row],[VEHIDCODE]],9)="Unpowered"))</f>
        <v>0</v>
      </c>
      <c r="G171" s="2" t="b">
        <f>OR(ISNUMBER(SEARCH("wagon_",CONTROL[[#This Row],[VEHIDCODE]])),ISNUMBER(SEARCH("coach_",CONTROL[[#This Row],[VEHIDCODE]])))</f>
        <v>0</v>
      </c>
      <c r="H171" t="str">
        <f>"item_"&amp;CONTROL[[#This Row],[VEHIDCODE]]</f>
        <v>item_steam_China_Railways_QJ</v>
      </c>
      <c r="I171" t="str">
        <f>"str_"&amp;CONTROL[[#This Row],[VEHIDCODE]]</f>
        <v>str_steam_China_Railways_QJ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t="b">
        <f>ISNUMBER(_xlfn.XMATCH(CONTROL[[#This Row],[VEHIDCODE]],ENGLISH_ITEMS[VEHIDCODE],0))</f>
        <v>1</v>
      </c>
    </row>
    <row r="172" spans="1:16">
      <c r="A172" s="2" t="s">
        <v>196</v>
      </c>
      <c r="B172" t="str">
        <f>_xlfn.TEXTAFTER(TRACK_TYPES[[#This Row],[VEHIDCODE]],"_")</f>
        <v>Germany_DB_Kof_II</v>
      </c>
      <c r="C172" t="s">
        <v>730</v>
      </c>
      <c r="D172" t="s">
        <v>949</v>
      </c>
      <c r="E172">
        <v>5000</v>
      </c>
      <c r="F172" t="b">
        <f>AND(CONTROL[[#This Row],[IS_WAGON_OR_COACH]]=TRUE,OR(RIGHT(CONTROL[[#This Row],[VEHIDCODE]],7)="Powered",RIGHT(CONTROL[[#This Row],[VEHIDCODE]],9)="Unpowered"))</f>
        <v>0</v>
      </c>
      <c r="G172" s="2" t="b">
        <f>OR(ISNUMBER(SEARCH("wagon_",CONTROL[[#This Row],[VEHIDCODE]])),ISNUMBER(SEARCH("coach_",CONTROL[[#This Row],[VEHIDCODE]])))</f>
        <v>0</v>
      </c>
      <c r="H172" t="str">
        <f>"item_"&amp;CONTROL[[#This Row],[VEHIDCODE]]</f>
        <v>item_diesel_Germany_DB_Kof_II</v>
      </c>
      <c r="I172" t="str">
        <f>"str_"&amp;CONTROL[[#This Row],[VEHIDCODE]]</f>
        <v>str_diesel_Germany_DB_Kof_II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t="b">
        <f>ISNUMBER(_xlfn.XMATCH(CONTROL[[#This Row],[VEHIDCODE]],ENGLISH_ITEMS[VEHIDCODE],0))</f>
        <v>1</v>
      </c>
    </row>
    <row r="173" spans="1:16">
      <c r="A173" s="2" t="s">
        <v>197</v>
      </c>
      <c r="B173" t="str">
        <f>_xlfn.TEXTAFTER(TRACK_TYPES[[#This Row],[VEHIDCODE]],"_")</f>
        <v>USA_CNJ_ALCo_GE_IR_Boxcab</v>
      </c>
      <c r="C173" t="s">
        <v>730</v>
      </c>
      <c r="D173" t="s">
        <v>949</v>
      </c>
      <c r="E173">
        <v>5001</v>
      </c>
      <c r="F173" t="b">
        <f>AND(CONTROL[[#This Row],[IS_WAGON_OR_COACH]]=TRUE,OR(RIGHT(CONTROL[[#This Row],[VEHIDCODE]],7)="Powered",RIGHT(CONTROL[[#This Row],[VEHIDCODE]],9)="Unpowered"))</f>
        <v>0</v>
      </c>
      <c r="G173" s="2" t="b">
        <f>OR(ISNUMBER(SEARCH("wagon_",CONTROL[[#This Row],[VEHIDCODE]])),ISNUMBER(SEARCH("coach_",CONTROL[[#This Row],[VEHIDCODE]])))</f>
        <v>0</v>
      </c>
      <c r="H173" t="str">
        <f>"item_"&amp;CONTROL[[#This Row],[VEHIDCODE]]</f>
        <v>item_diesel_USA_CNJ_ALCo_GE_IR_Boxcab</v>
      </c>
      <c r="I173" t="str">
        <f>"str_"&amp;CONTROL[[#This Row],[VEHIDCODE]]</f>
        <v>str_diesel_USA_CNJ_ALCo_GE_IR_Boxcab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t="b">
        <f>ISNUMBER(_xlfn.XMATCH(CONTROL[[#This Row],[VEHIDCODE]],ENGLISH_ITEMS[VEHIDCODE],0))</f>
        <v>1</v>
      </c>
    </row>
    <row r="174" spans="1:16">
      <c r="A174" s="2" t="s">
        <v>198</v>
      </c>
      <c r="B174" t="str">
        <f>_xlfn.TEXTAFTER(TRACK_TYPES[[#This Row],[VEHIDCODE]],"_")</f>
        <v>Netherlands_NS_200</v>
      </c>
      <c r="C174" t="s">
        <v>730</v>
      </c>
      <c r="D174" t="s">
        <v>949</v>
      </c>
      <c r="E174">
        <v>5002</v>
      </c>
      <c r="F174" t="b">
        <f>AND(CONTROL[[#This Row],[IS_WAGON_OR_COACH]]=TRUE,OR(RIGHT(CONTROL[[#This Row],[VEHIDCODE]],7)="Powered",RIGHT(CONTROL[[#This Row],[VEHIDCODE]],9)="Unpowered"))</f>
        <v>0</v>
      </c>
      <c r="G174" s="2" t="b">
        <f>OR(ISNUMBER(SEARCH("wagon_",CONTROL[[#This Row],[VEHIDCODE]])),ISNUMBER(SEARCH("coach_",CONTROL[[#This Row],[VEHIDCODE]])))</f>
        <v>0</v>
      </c>
      <c r="H174" t="str">
        <f>"item_"&amp;CONTROL[[#This Row],[VEHIDCODE]]</f>
        <v>item_diesel_Netherlands_NS_200</v>
      </c>
      <c r="I174" t="str">
        <f>"str_"&amp;CONTROL[[#This Row],[VEHIDCODE]]</f>
        <v>str_diesel_Netherlands_NS_200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t="b">
        <f>ISNUMBER(_xlfn.XMATCH(CONTROL[[#This Row],[VEHIDCODE]],ENGLISH_ITEMS[VEHIDCODE],0))</f>
        <v>1</v>
      </c>
    </row>
    <row r="175" spans="1:16">
      <c r="A175" s="2" t="s">
        <v>199</v>
      </c>
      <c r="B175" t="str">
        <f>_xlfn.TEXTAFTER(TRACK_TYPES[[#This Row],[VEHIDCODE]],"_")</f>
        <v>Germany_DB_270</v>
      </c>
      <c r="C175" t="s">
        <v>730</v>
      </c>
      <c r="D175" t="s">
        <v>949</v>
      </c>
      <c r="E175">
        <v>5003</v>
      </c>
      <c r="F175" t="b">
        <f>AND(CONTROL[[#This Row],[IS_WAGON_OR_COACH]]=TRUE,OR(RIGHT(CONTROL[[#This Row],[VEHIDCODE]],7)="Powered",RIGHT(CONTROL[[#This Row],[VEHIDCODE]],9)="Unpowered"))</f>
        <v>0</v>
      </c>
      <c r="G175" s="2" t="b">
        <f>OR(ISNUMBER(SEARCH("wagon_",CONTROL[[#This Row],[VEHIDCODE]])),ISNUMBER(SEARCH("coach_",CONTROL[[#This Row],[VEHIDCODE]])))</f>
        <v>0</v>
      </c>
      <c r="H175" t="str">
        <f>"item_"&amp;CONTROL[[#This Row],[VEHIDCODE]]</f>
        <v>item_diesel_Germany_DB_270</v>
      </c>
      <c r="I175" t="str">
        <f>"str_"&amp;CONTROL[[#This Row],[VEHIDCODE]]</f>
        <v>str_diesel_Germany_DB_270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t="b">
        <f>ISNUMBER(_xlfn.XMATCH(CONTROL[[#This Row],[VEHIDCODE]],ENGLISH_ITEMS[VEHIDCODE],0))</f>
        <v>1</v>
      </c>
    </row>
    <row r="176" spans="1:16">
      <c r="A176" s="2" t="s">
        <v>200</v>
      </c>
      <c r="B176" t="str">
        <f>_xlfn.TEXTAFTER(TRACK_TYPES[[#This Row],[VEHIDCODE]],"_")</f>
        <v>Switzerland_SBB_Am_4_6</v>
      </c>
      <c r="C176" t="s">
        <v>730</v>
      </c>
      <c r="D176" t="s">
        <v>949</v>
      </c>
      <c r="E176">
        <v>5004</v>
      </c>
      <c r="F176" t="b">
        <f>AND(CONTROL[[#This Row],[IS_WAGON_OR_COACH]]=TRUE,OR(RIGHT(CONTROL[[#This Row],[VEHIDCODE]],7)="Powered",RIGHT(CONTROL[[#This Row],[VEHIDCODE]],9)="Unpowered"))</f>
        <v>0</v>
      </c>
      <c r="G176" s="2" t="b">
        <f>OR(ISNUMBER(SEARCH("wagon_",CONTROL[[#This Row],[VEHIDCODE]])),ISNUMBER(SEARCH("coach_",CONTROL[[#This Row],[VEHIDCODE]])))</f>
        <v>0</v>
      </c>
      <c r="H176" t="str">
        <f>"item_"&amp;CONTROL[[#This Row],[VEHIDCODE]]</f>
        <v>item_diesel_Switzerland_SBB_Am_4_6</v>
      </c>
      <c r="I176" t="str">
        <f>"str_"&amp;CONTROL[[#This Row],[VEHIDCODE]]</f>
        <v>str_diesel_Switzerland_SBB_Am_4_6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t="b">
        <f>ISNUMBER(_xlfn.XMATCH(CONTROL[[#This Row],[VEHIDCODE]],ENGLISH_ITEMS[VEHIDCODE],0))</f>
        <v>1</v>
      </c>
    </row>
    <row r="177" spans="1:16">
      <c r="A177" s="2" t="s">
        <v>201</v>
      </c>
      <c r="B177" t="str">
        <f>_xlfn.TEXTAFTER(TRACK_TYPES[[#This Row],[VEHIDCODE]],"_")</f>
        <v>Australia_NSWGR_79</v>
      </c>
      <c r="C177" t="s">
        <v>730</v>
      </c>
      <c r="D177" t="s">
        <v>949</v>
      </c>
      <c r="E177">
        <v>5005</v>
      </c>
      <c r="F177" t="b">
        <f>AND(CONTROL[[#This Row],[IS_WAGON_OR_COACH]]=TRUE,OR(RIGHT(CONTROL[[#This Row],[VEHIDCODE]],7)="Powered",RIGHT(CONTROL[[#This Row],[VEHIDCODE]],9)="Unpowered"))</f>
        <v>0</v>
      </c>
      <c r="G177" s="2" t="b">
        <f>OR(ISNUMBER(SEARCH("wagon_",CONTROL[[#This Row],[VEHIDCODE]])),ISNUMBER(SEARCH("coach_",CONTROL[[#This Row],[VEHIDCODE]])))</f>
        <v>0</v>
      </c>
      <c r="H177" t="str">
        <f>"item_"&amp;CONTROL[[#This Row],[VEHIDCODE]]</f>
        <v>item_diesel_Australia_NSWGR_79</v>
      </c>
      <c r="I177" t="str">
        <f>"str_"&amp;CONTROL[[#This Row],[VEHIDCODE]]</f>
        <v>str_diesel_Australia_NSWGR_79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t="b">
        <f>ISNUMBER(_xlfn.XMATCH(CONTROL[[#This Row],[VEHIDCODE]],ENGLISH_ITEMS[VEHIDCODE],0))</f>
        <v>1</v>
      </c>
    </row>
    <row r="178" spans="1:16">
      <c r="A178" s="2" t="s">
        <v>202</v>
      </c>
      <c r="B178" t="str">
        <f>_xlfn.TEXTAFTER(TRACK_TYPES[[#This Row],[VEHIDCODE]],"_")</f>
        <v>USA_Western_Pacific_ALCO_S_2</v>
      </c>
      <c r="C178" t="s">
        <v>730</v>
      </c>
      <c r="D178" t="s">
        <v>949</v>
      </c>
      <c r="E178">
        <v>5006</v>
      </c>
      <c r="F178" t="b">
        <f>AND(CONTROL[[#This Row],[IS_WAGON_OR_COACH]]=TRUE,OR(RIGHT(CONTROL[[#This Row],[VEHIDCODE]],7)="Powered",RIGHT(CONTROL[[#This Row],[VEHIDCODE]],9)="Unpowered"))</f>
        <v>0</v>
      </c>
      <c r="G178" s="2" t="b">
        <f>OR(ISNUMBER(SEARCH("wagon_",CONTROL[[#This Row],[VEHIDCODE]])),ISNUMBER(SEARCH("coach_",CONTROL[[#This Row],[VEHIDCODE]])))</f>
        <v>0</v>
      </c>
      <c r="H178" t="str">
        <f>"item_"&amp;CONTROL[[#This Row],[VEHIDCODE]]</f>
        <v>item_diesel_USA_Western_Pacific_ALCO_S_2</v>
      </c>
      <c r="I178" t="str">
        <f>"str_"&amp;CONTROL[[#This Row],[VEHIDCODE]]</f>
        <v>str_diesel_USA_Western_Pacific_ALCO_S_2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t="b">
        <f>ISNUMBER(_xlfn.XMATCH(CONTROL[[#This Row],[VEHIDCODE]],ENGLISH_ITEMS[VEHIDCODE],0))</f>
        <v>1</v>
      </c>
    </row>
    <row r="179" spans="1:16">
      <c r="A179" s="2" t="s">
        <v>203</v>
      </c>
      <c r="B179" t="str">
        <f>_xlfn.TEXTAFTER(TRACK_TYPES[[#This Row],[VEHIDCODE]],"_")</f>
        <v>USA_AT_SF_EMD_F3</v>
      </c>
      <c r="C179" t="s">
        <v>730</v>
      </c>
      <c r="D179" t="s">
        <v>949</v>
      </c>
      <c r="E179">
        <v>5007</v>
      </c>
      <c r="F179" t="b">
        <f>AND(CONTROL[[#This Row],[IS_WAGON_OR_COACH]]=TRUE,OR(RIGHT(CONTROL[[#This Row],[VEHIDCODE]],7)="Powered",RIGHT(CONTROL[[#This Row],[VEHIDCODE]],9)="Unpowered"))</f>
        <v>0</v>
      </c>
      <c r="G179" s="2" t="b">
        <f>OR(ISNUMBER(SEARCH("wagon_",CONTROL[[#This Row],[VEHIDCODE]])),ISNUMBER(SEARCH("coach_",CONTROL[[#This Row],[VEHIDCODE]])))</f>
        <v>0</v>
      </c>
      <c r="H179" t="str">
        <f>"item_"&amp;CONTROL[[#This Row],[VEHIDCODE]]</f>
        <v>item_diesel_USA_AT_SF_EMD_F3</v>
      </c>
      <c r="I179" t="str">
        <f>"str_"&amp;CONTROL[[#This Row],[VEHIDCODE]]</f>
        <v>str_diesel_USA_AT_SF_EMD_F3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t="b">
        <f>ISNUMBER(_xlfn.XMATCH(CONTROL[[#This Row],[VEHIDCODE]],ENGLISH_ITEMS[VEHIDCODE],0))</f>
        <v>1</v>
      </c>
    </row>
    <row r="180" spans="1:16">
      <c r="A180" s="2" t="s">
        <v>204</v>
      </c>
      <c r="B180" t="str">
        <f>_xlfn.TEXTAFTER(TRACK_TYPES[[#This Row],[VEHIDCODE]],"_")</f>
        <v>USA_UP_EMD_E8</v>
      </c>
      <c r="C180" t="s">
        <v>730</v>
      </c>
      <c r="D180" t="s">
        <v>949</v>
      </c>
      <c r="E180">
        <v>5008</v>
      </c>
      <c r="F180" t="b">
        <f>AND(CONTROL[[#This Row],[IS_WAGON_OR_COACH]]=TRUE,OR(RIGHT(CONTROL[[#This Row],[VEHIDCODE]],7)="Powered",RIGHT(CONTROL[[#This Row],[VEHIDCODE]],9)="Unpowered"))</f>
        <v>0</v>
      </c>
      <c r="G180" s="2" t="b">
        <f>OR(ISNUMBER(SEARCH("wagon_",CONTROL[[#This Row],[VEHIDCODE]])),ISNUMBER(SEARCH("coach_",CONTROL[[#This Row],[VEHIDCODE]])))</f>
        <v>0</v>
      </c>
      <c r="H180" t="str">
        <f>"item_"&amp;CONTROL[[#This Row],[VEHIDCODE]]</f>
        <v>item_diesel_USA_UP_EMD_E8</v>
      </c>
      <c r="I180" t="str">
        <f>"str_"&amp;CONTROL[[#This Row],[VEHIDCODE]]</f>
        <v>str_diesel_USA_UP_EMD_E8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t="b">
        <f>ISNUMBER(_xlfn.XMATCH(CONTROL[[#This Row],[VEHIDCODE]],ENGLISH_ITEMS[VEHIDCODE],0))</f>
        <v>1</v>
      </c>
    </row>
    <row r="181" spans="1:16">
      <c r="A181" s="2" t="s">
        <v>205</v>
      </c>
      <c r="B181" t="str">
        <f>_xlfn.TEXTAFTER(TRACK_TYPES[[#This Row],[VEHIDCODE]],"_")</f>
        <v>Brazil_EFCB_ALCO_RS_3</v>
      </c>
      <c r="C181" t="s">
        <v>730</v>
      </c>
      <c r="D181" t="s">
        <v>949</v>
      </c>
      <c r="E181">
        <v>5009</v>
      </c>
      <c r="F181" t="b">
        <f>AND(CONTROL[[#This Row],[IS_WAGON_OR_COACH]]=TRUE,OR(RIGHT(CONTROL[[#This Row],[VEHIDCODE]],7)="Powered",RIGHT(CONTROL[[#This Row],[VEHIDCODE]],9)="Unpowered"))</f>
        <v>0</v>
      </c>
      <c r="G181" s="2" t="b">
        <f>OR(ISNUMBER(SEARCH("wagon_",CONTROL[[#This Row],[VEHIDCODE]])),ISNUMBER(SEARCH("coach_",CONTROL[[#This Row],[VEHIDCODE]])))</f>
        <v>0</v>
      </c>
      <c r="H181" t="str">
        <f>"item_"&amp;CONTROL[[#This Row],[VEHIDCODE]]</f>
        <v>item_diesel_Brazil_EFCB_ALCO_RS_3</v>
      </c>
      <c r="I181" t="str">
        <f>"str_"&amp;CONTROL[[#This Row],[VEHIDCODE]]</f>
        <v>str_diesel_Brazil_EFCB_ALCO_RS_3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t="b">
        <f>ISNUMBER(_xlfn.XMATCH(CONTROL[[#This Row],[VEHIDCODE]],ENGLISH_ITEMS[VEHIDCODE],0))</f>
        <v>1</v>
      </c>
    </row>
    <row r="182" spans="1:16">
      <c r="A182" s="2" t="s">
        <v>206</v>
      </c>
      <c r="B182" t="str">
        <f>_xlfn.TEXTAFTER(TRACK_TYPES[[#This Row],[VEHIDCODE]],"_")</f>
        <v>Netherlands_NS_600</v>
      </c>
      <c r="C182" t="s">
        <v>730</v>
      </c>
      <c r="D182" t="s">
        <v>949</v>
      </c>
      <c r="E182">
        <v>5010</v>
      </c>
      <c r="F182" t="b">
        <f>AND(CONTROL[[#This Row],[IS_WAGON_OR_COACH]]=TRUE,OR(RIGHT(CONTROL[[#This Row],[VEHIDCODE]],7)="Powered",RIGHT(CONTROL[[#This Row],[VEHIDCODE]],9)="Unpowered"))</f>
        <v>0</v>
      </c>
      <c r="G182" s="2" t="b">
        <f>OR(ISNUMBER(SEARCH("wagon_",CONTROL[[#This Row],[VEHIDCODE]])),ISNUMBER(SEARCH("coach_",CONTROL[[#This Row],[VEHIDCODE]])))</f>
        <v>0</v>
      </c>
      <c r="H182" t="str">
        <f>"item_"&amp;CONTROL[[#This Row],[VEHIDCODE]]</f>
        <v>item_diesel_Netherlands_NS_600</v>
      </c>
      <c r="I182" t="str">
        <f>"str_"&amp;CONTROL[[#This Row],[VEHIDCODE]]</f>
        <v>str_diesel_Netherlands_NS_600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t="b">
        <f>ISNUMBER(_xlfn.XMATCH(CONTROL[[#This Row],[VEHIDCODE]],ENGLISH_ITEMS[VEHIDCODE],0))</f>
        <v>1</v>
      </c>
    </row>
    <row r="183" spans="1:16">
      <c r="A183" s="2" t="s">
        <v>207</v>
      </c>
      <c r="B183" t="str">
        <f>_xlfn.TEXTAFTER(TRACK_TYPES[[#This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b">
        <f>AND(CONTROL[[#This Row],[IS_WAGON_OR_COACH]]=TRUE,OR(RIGHT(CONTROL[[#This Row],[VEHIDCODE]],7)="Powered",RIGHT(CONTROL[[#This Row],[VEHIDCODE]],9)="Unpowered"))</f>
        <v>0</v>
      </c>
      <c r="G183" s="2" t="b">
        <f>OR(ISNUMBER(SEARCH("wagon_",CONTROL[[#This Row],[VEHIDCODE]])),ISNUMBER(SEARCH("coach_",CONTROL[[#This Row],[VEHIDCODE]])))</f>
        <v>0</v>
      </c>
      <c r="H183" t="str">
        <f>"item_"&amp;CONTROL[[#This Row],[VEHIDCODE]]</f>
        <v>item_diesel_USA_Pennsylvania_Railroad_RF_16_Sharknose</v>
      </c>
      <c r="I183" t="str">
        <f>"str_"&amp;CONTROL[[#This Row],[VEHIDCODE]]</f>
        <v>str_diesel_USA_Pennsylvania_Railroad_RF_16_Sharknose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t="b">
        <f>ISNUMBER(_xlfn.XMATCH(CONTROL[[#This Row],[VEHIDCODE]],ENGLISH_ITEMS[VEHIDCODE],0))</f>
        <v>1</v>
      </c>
    </row>
    <row r="184" spans="1:16">
      <c r="A184" s="2" t="s">
        <v>208</v>
      </c>
      <c r="B184" t="str">
        <f>_xlfn.TEXTAFTER(TRACK_TYPES[[#This Row],[VEHIDCODE]],"_")</f>
        <v>Uruguay_AFE_1500</v>
      </c>
      <c r="C184" t="s">
        <v>730</v>
      </c>
      <c r="D184" t="s">
        <v>949</v>
      </c>
      <c r="E184">
        <v>5012</v>
      </c>
      <c r="F184" t="b">
        <f>AND(CONTROL[[#This Row],[IS_WAGON_OR_COACH]]=TRUE,OR(RIGHT(CONTROL[[#This Row],[VEHIDCODE]],7)="Powered",RIGHT(CONTROL[[#This Row],[VEHIDCODE]],9)="Unpowered"))</f>
        <v>0</v>
      </c>
      <c r="G184" s="2" t="b">
        <f>OR(ISNUMBER(SEARCH("wagon_",CONTROL[[#This Row],[VEHIDCODE]])),ISNUMBER(SEARCH("coach_",CONTROL[[#This Row],[VEHIDCODE]])))</f>
        <v>0</v>
      </c>
      <c r="H184" t="str">
        <f>"item_"&amp;CONTROL[[#This Row],[VEHIDCODE]]</f>
        <v>item_diesel_Uruguay_AFE_1500</v>
      </c>
      <c r="I184" t="str">
        <f>"str_"&amp;CONTROL[[#This Row],[VEHIDCODE]]</f>
        <v>str_diesel_Uruguay_AFE_1500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t="b">
        <f>ISNUMBER(_xlfn.XMATCH(CONTROL[[#This Row],[VEHIDCODE]],ENGLISH_ITEMS[VEHIDCODE],0))</f>
        <v>1</v>
      </c>
    </row>
    <row r="185" spans="1:16">
      <c r="A185" s="2" t="s">
        <v>209</v>
      </c>
      <c r="B185" t="str">
        <f>_xlfn.TEXTAFTER(TRACK_TYPES[[#This Row],[VEHIDCODE]],"_")</f>
        <v>Canada_CPR_Trainmaster</v>
      </c>
      <c r="C185" t="s">
        <v>730</v>
      </c>
      <c r="D185" t="s">
        <v>949</v>
      </c>
      <c r="E185">
        <v>5013</v>
      </c>
      <c r="F185" t="b">
        <f>AND(CONTROL[[#This Row],[IS_WAGON_OR_COACH]]=TRUE,OR(RIGHT(CONTROL[[#This Row],[VEHIDCODE]],7)="Powered",RIGHT(CONTROL[[#This Row],[VEHIDCODE]],9)="Unpowered"))</f>
        <v>0</v>
      </c>
      <c r="G185" s="2" t="b">
        <f>OR(ISNUMBER(SEARCH("wagon_",CONTROL[[#This Row],[VEHIDCODE]])),ISNUMBER(SEARCH("coach_",CONTROL[[#This Row],[VEHIDCODE]])))</f>
        <v>0</v>
      </c>
      <c r="H185" t="str">
        <f>"item_"&amp;CONTROL[[#This Row],[VEHIDCODE]]</f>
        <v>item_diesel_Canada_CPR_Trainmaster</v>
      </c>
      <c r="I185" t="str">
        <f>"str_"&amp;CONTROL[[#This Row],[VEHIDCODE]]</f>
        <v>str_diesel_Canada_CPR_Trainmaster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t="b">
        <f>ISNUMBER(_xlfn.XMATCH(CONTROL[[#This Row],[VEHIDCODE]],ENGLISH_ITEMS[VEHIDCODE],0))</f>
        <v>1</v>
      </c>
    </row>
    <row r="186" spans="1:16">
      <c r="A186" s="2" t="s">
        <v>210</v>
      </c>
      <c r="B186" t="str">
        <f>_xlfn.TEXTAFTER(TRACK_TYPES[[#This Row],[VEHIDCODE]],"_")</f>
        <v>Liberia_Liberia_Railways_Class_08</v>
      </c>
      <c r="C186" t="s">
        <v>730</v>
      </c>
      <c r="D186" t="s">
        <v>949</v>
      </c>
      <c r="E186">
        <v>5014</v>
      </c>
      <c r="F186" t="b">
        <f>AND(CONTROL[[#This Row],[IS_WAGON_OR_COACH]]=TRUE,OR(RIGHT(CONTROL[[#This Row],[VEHIDCODE]],7)="Powered",RIGHT(CONTROL[[#This Row],[VEHIDCODE]],9)="Unpowered"))</f>
        <v>0</v>
      </c>
      <c r="G186" s="2" t="b">
        <f>OR(ISNUMBER(SEARCH("wagon_",CONTROL[[#This Row],[VEHIDCODE]])),ISNUMBER(SEARCH("coach_",CONTROL[[#This Row],[VEHIDCODE]])))</f>
        <v>0</v>
      </c>
      <c r="H186" t="str">
        <f>"item_"&amp;CONTROL[[#This Row],[VEHIDCODE]]</f>
        <v>item_diesel_Liberia_Liberia_Railways_Class_08</v>
      </c>
      <c r="I186" t="str">
        <f>"str_"&amp;CONTROL[[#This Row],[VEHIDCODE]]</f>
        <v>str_diesel_Liberia_Liberia_Railways_Class_08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t="b">
        <f>ISNUMBER(_xlfn.XMATCH(CONTROL[[#This Row],[VEHIDCODE]],ENGLISH_ITEMS[VEHIDCODE],0))</f>
        <v>1</v>
      </c>
    </row>
    <row r="187" spans="1:16">
      <c r="A187" s="2" t="s">
        <v>211</v>
      </c>
      <c r="B187" t="str">
        <f>_xlfn.TEXTAFTER(TRACK_TYPES[[#This Row],[VEHIDCODE]],"_")</f>
        <v>Austria_OBB_2060</v>
      </c>
      <c r="C187" t="s">
        <v>730</v>
      </c>
      <c r="D187" t="s">
        <v>949</v>
      </c>
      <c r="E187">
        <v>5015</v>
      </c>
      <c r="F187" t="b">
        <f>AND(CONTROL[[#This Row],[IS_WAGON_OR_COACH]]=TRUE,OR(RIGHT(CONTROL[[#This Row],[VEHIDCODE]],7)="Powered",RIGHT(CONTROL[[#This Row],[VEHIDCODE]],9)="Unpowered"))</f>
        <v>0</v>
      </c>
      <c r="G187" s="2" t="b">
        <f>OR(ISNUMBER(SEARCH("wagon_",CONTROL[[#This Row],[VEHIDCODE]])),ISNUMBER(SEARCH("coach_",CONTROL[[#This Row],[VEHIDCODE]])))</f>
        <v>0</v>
      </c>
      <c r="H187" t="str">
        <f>"item_"&amp;CONTROL[[#This Row],[VEHIDCODE]]</f>
        <v>item_diesel_Austria_OBB_2060</v>
      </c>
      <c r="I187" t="str">
        <f>"str_"&amp;CONTROL[[#This Row],[VEHIDCODE]]</f>
        <v>str_diesel_Austria_OBB_2060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t="b">
        <f>ISNUMBER(_xlfn.XMATCH(CONTROL[[#This Row],[VEHIDCODE]],ENGLISH_ITEMS[VEHIDCODE],0))</f>
        <v>1</v>
      </c>
    </row>
    <row r="188" spans="1:16">
      <c r="A188" s="2" t="s">
        <v>212</v>
      </c>
      <c r="B188" t="str">
        <f>_xlfn.TEXTAFTER(TRACK_TYPES[[#This Row],[VEHIDCODE]],"_")</f>
        <v>Canada_CNR_SW1200</v>
      </c>
      <c r="C188" t="s">
        <v>730</v>
      </c>
      <c r="D188" t="s">
        <v>949</v>
      </c>
      <c r="E188">
        <v>5016</v>
      </c>
      <c r="F188" t="b">
        <f>AND(CONTROL[[#This Row],[IS_WAGON_OR_COACH]]=TRUE,OR(RIGHT(CONTROL[[#This Row],[VEHIDCODE]],7)="Powered",RIGHT(CONTROL[[#This Row],[VEHIDCODE]],9)="Unpowered"))</f>
        <v>0</v>
      </c>
      <c r="G188" s="2" t="b">
        <f>OR(ISNUMBER(SEARCH("wagon_",CONTROL[[#This Row],[VEHIDCODE]])),ISNUMBER(SEARCH("coach_",CONTROL[[#This Row],[VEHIDCODE]])))</f>
        <v>0</v>
      </c>
      <c r="H188" t="str">
        <f>"item_"&amp;CONTROL[[#This Row],[VEHIDCODE]]</f>
        <v>item_diesel_Canada_CNR_SW1200</v>
      </c>
      <c r="I188" t="str">
        <f>"str_"&amp;CONTROL[[#This Row],[VEHIDCODE]]</f>
        <v>str_diesel_Canada_CNR_SW1200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t="b">
        <f>ISNUMBER(_xlfn.XMATCH(CONTROL[[#This Row],[VEHIDCODE]],ENGLISH_ITEMS[VEHIDCODE],0))</f>
        <v>1</v>
      </c>
    </row>
    <row r="189" spans="1:16">
      <c r="A189" s="2" t="s">
        <v>213</v>
      </c>
      <c r="B189" t="str">
        <f>_xlfn.TEXTAFTER(TRACK_TYPES[[#This Row],[VEHIDCODE]],"_")</f>
        <v>Canada_VIA_Rail_FP9</v>
      </c>
      <c r="C189" t="s">
        <v>730</v>
      </c>
      <c r="D189" t="s">
        <v>949</v>
      </c>
      <c r="E189">
        <v>5017</v>
      </c>
      <c r="F189" t="b">
        <f>AND(CONTROL[[#This Row],[IS_WAGON_OR_COACH]]=TRUE,OR(RIGHT(CONTROL[[#This Row],[VEHIDCODE]],7)="Powered",RIGHT(CONTROL[[#This Row],[VEHIDCODE]],9)="Unpowered"))</f>
        <v>0</v>
      </c>
      <c r="G189" s="2" t="b">
        <f>OR(ISNUMBER(SEARCH("wagon_",CONTROL[[#This Row],[VEHIDCODE]])),ISNUMBER(SEARCH("coach_",CONTROL[[#This Row],[VEHIDCODE]])))</f>
        <v>0</v>
      </c>
      <c r="H189" t="str">
        <f>"item_"&amp;CONTROL[[#This Row],[VEHIDCODE]]</f>
        <v>item_diesel_Canada_VIA_Rail_FP9</v>
      </c>
      <c r="I189" t="str">
        <f>"str_"&amp;CONTROL[[#This Row],[VEHIDCODE]]</f>
        <v>str_diesel_Canada_VIA_Rail_FP9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t="b">
        <f>ISNUMBER(_xlfn.XMATCH(CONTROL[[#This Row],[VEHIDCODE]],ENGLISH_ITEMS[VEHIDCODE],0))</f>
        <v>1</v>
      </c>
    </row>
    <row r="190" spans="1:16">
      <c r="A190" s="2" t="s">
        <v>214</v>
      </c>
      <c r="B190" t="str">
        <f>_xlfn.TEXTAFTER(TRACK_TYPES[[#This Row],[VEHIDCODE]],"_")</f>
        <v>Hungary_MAV_M44</v>
      </c>
      <c r="C190" t="s">
        <v>730</v>
      </c>
      <c r="D190" t="s">
        <v>949</v>
      </c>
      <c r="E190">
        <v>5018</v>
      </c>
      <c r="F190" t="b">
        <f>AND(CONTROL[[#This Row],[IS_WAGON_OR_COACH]]=TRUE,OR(RIGHT(CONTROL[[#This Row],[VEHIDCODE]],7)="Powered",RIGHT(CONTROL[[#This Row],[VEHIDCODE]],9)="Unpowered"))</f>
        <v>0</v>
      </c>
      <c r="G190" s="2" t="b">
        <f>OR(ISNUMBER(SEARCH("wagon_",CONTROL[[#This Row],[VEHIDCODE]])),ISNUMBER(SEARCH("coach_",CONTROL[[#This Row],[VEHIDCODE]])))</f>
        <v>0</v>
      </c>
      <c r="H190" t="str">
        <f>"item_"&amp;CONTROL[[#This Row],[VEHIDCODE]]</f>
        <v>item_diesel_Hungary_MAV_M44</v>
      </c>
      <c r="I190" t="str">
        <f>"str_"&amp;CONTROL[[#This Row],[VEHIDCODE]]</f>
        <v>str_diesel_Hungary_MAV_M44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t="b">
        <f>ISNUMBER(_xlfn.XMATCH(CONTROL[[#This Row],[VEHIDCODE]],ENGLISH_ITEMS[VEHIDCODE],0))</f>
        <v>1</v>
      </c>
    </row>
    <row r="191" spans="1:16">
      <c r="A191" s="2" t="s">
        <v>215</v>
      </c>
      <c r="B191" t="str">
        <f>_xlfn.TEXTAFTER(TRACK_TYPES[[#This Row],[VEHIDCODE]],"_")</f>
        <v>Hungary_MAV_M28</v>
      </c>
      <c r="C191" t="s">
        <v>730</v>
      </c>
      <c r="D191" t="s">
        <v>949</v>
      </c>
      <c r="E191">
        <v>5019</v>
      </c>
      <c r="F191" t="b">
        <f>AND(CONTROL[[#This Row],[IS_WAGON_OR_COACH]]=TRUE,OR(RIGHT(CONTROL[[#This Row],[VEHIDCODE]],7)="Powered",RIGHT(CONTROL[[#This Row],[VEHIDCODE]],9)="Unpowered"))</f>
        <v>0</v>
      </c>
      <c r="G191" s="2" t="b">
        <f>OR(ISNUMBER(SEARCH("wagon_",CONTROL[[#This Row],[VEHIDCODE]])),ISNUMBER(SEARCH("coach_",CONTROL[[#This Row],[VEHIDCODE]])))</f>
        <v>0</v>
      </c>
      <c r="H191" t="str">
        <f>"item_"&amp;CONTROL[[#This Row],[VEHIDCODE]]</f>
        <v>item_diesel_Hungary_MAV_M28</v>
      </c>
      <c r="I191" t="str">
        <f>"str_"&amp;CONTROL[[#This Row],[VEHIDCODE]]</f>
        <v>str_diesel_Hungary_MAV_M28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t="b">
        <f>ISNUMBER(_xlfn.XMATCH(CONTROL[[#This Row],[VEHIDCODE]],ENGLISH_ITEMS[VEHIDCODE],0))</f>
        <v>1</v>
      </c>
    </row>
    <row r="192" spans="1:16">
      <c r="A192" s="2" t="s">
        <v>216</v>
      </c>
      <c r="B192" t="str">
        <f>_xlfn.TEXTAFTER(TRACK_TYPES[[#This Row],[VEHIDCODE]],"_")</f>
        <v>Belgium_NMBS_SNCB_83</v>
      </c>
      <c r="C192" t="s">
        <v>730</v>
      </c>
      <c r="D192" t="s">
        <v>949</v>
      </c>
      <c r="E192">
        <v>5020</v>
      </c>
      <c r="F192" t="b">
        <f>AND(CONTROL[[#This Row],[IS_WAGON_OR_COACH]]=TRUE,OR(RIGHT(CONTROL[[#This Row],[VEHIDCODE]],7)="Powered",RIGHT(CONTROL[[#This Row],[VEHIDCODE]],9)="Unpowered"))</f>
        <v>0</v>
      </c>
      <c r="G192" s="2" t="b">
        <f>OR(ISNUMBER(SEARCH("wagon_",CONTROL[[#This Row],[VEHIDCODE]])),ISNUMBER(SEARCH("coach_",CONTROL[[#This Row],[VEHIDCODE]])))</f>
        <v>0</v>
      </c>
      <c r="H192" t="str">
        <f>"item_"&amp;CONTROL[[#This Row],[VEHIDCODE]]</f>
        <v>item_diesel_Belgium_NMBS_SNCB_83</v>
      </c>
      <c r="I192" t="str">
        <f>"str_"&amp;CONTROL[[#This Row],[VEHIDCODE]]</f>
        <v>str_diesel_Belgium_NMBS_SNCB_83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t="b">
        <f>ISNUMBER(_xlfn.XMATCH(CONTROL[[#This Row],[VEHIDCODE]],ENGLISH_ITEMS[VEHIDCODE],0))</f>
        <v>1</v>
      </c>
    </row>
    <row r="193" spans="1:16">
      <c r="A193" s="2" t="s">
        <v>217</v>
      </c>
      <c r="B193" t="str">
        <f>_xlfn.TEXTAFTER(TRACK_TYPES[[#This Row],[VEHIDCODE]],"_")</f>
        <v>Germany_DB_220</v>
      </c>
      <c r="C193" t="s">
        <v>730</v>
      </c>
      <c r="D193" t="s">
        <v>949</v>
      </c>
      <c r="E193">
        <v>5021</v>
      </c>
      <c r="F193" t="b">
        <f>AND(CONTROL[[#This Row],[IS_WAGON_OR_COACH]]=TRUE,OR(RIGHT(CONTROL[[#This Row],[VEHIDCODE]],7)="Powered",RIGHT(CONTROL[[#This Row],[VEHIDCODE]],9)="Unpowered"))</f>
        <v>0</v>
      </c>
      <c r="G193" s="2" t="b">
        <f>OR(ISNUMBER(SEARCH("wagon_",CONTROL[[#This Row],[VEHIDCODE]])),ISNUMBER(SEARCH("coach_",CONTROL[[#This Row],[VEHIDCODE]])))</f>
        <v>0</v>
      </c>
      <c r="H193" t="str">
        <f>"item_"&amp;CONTROL[[#This Row],[VEHIDCODE]]</f>
        <v>item_diesel_Germany_DB_220</v>
      </c>
      <c r="I193" t="str">
        <f>"str_"&amp;CONTROL[[#This Row],[VEHIDCODE]]</f>
        <v>str_diesel_Germany_DB_220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t="b">
        <f>ISNUMBER(_xlfn.XMATCH(CONTROL[[#This Row],[VEHIDCODE]],ENGLISH_ITEMS[VEHIDCODE],0))</f>
        <v>1</v>
      </c>
    </row>
    <row r="194" spans="1:16">
      <c r="A194" s="2" t="s">
        <v>218</v>
      </c>
      <c r="B194" t="str">
        <f>_xlfn.TEXTAFTER(TRACK_TYPES[[#This Row],[VEHIDCODE]],"_")</f>
        <v>USA_Amtrak_FL9</v>
      </c>
      <c r="C194" t="s">
        <v>730</v>
      </c>
      <c r="D194" t="s">
        <v>949</v>
      </c>
      <c r="E194">
        <v>5022</v>
      </c>
      <c r="F194" t="b">
        <f>AND(CONTROL[[#This Row],[IS_WAGON_OR_COACH]]=TRUE,OR(RIGHT(CONTROL[[#This Row],[VEHIDCODE]],7)="Powered",RIGHT(CONTROL[[#This Row],[VEHIDCODE]],9)="Unpowered"))</f>
        <v>0</v>
      </c>
      <c r="G194" s="2" t="b">
        <f>OR(ISNUMBER(SEARCH("wagon_",CONTROL[[#This Row],[VEHIDCODE]])),ISNUMBER(SEARCH("coach_",CONTROL[[#This Row],[VEHIDCODE]])))</f>
        <v>0</v>
      </c>
      <c r="H194" t="str">
        <f>"item_"&amp;CONTROL[[#This Row],[VEHIDCODE]]</f>
        <v>item_diesel_USA_Amtrak_FL9</v>
      </c>
      <c r="I194" t="str">
        <f>"str_"&amp;CONTROL[[#This Row],[VEHIDCODE]]</f>
        <v>str_diesel_USA_Amtrak_FL9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t="b">
        <f>ISNUMBER(_xlfn.XMATCH(CONTROL[[#This Row],[VEHIDCODE]],ENGLISH_ITEMS[VEHIDCODE],0))</f>
        <v>1</v>
      </c>
    </row>
    <row r="195" spans="1:16">
      <c r="A195" s="2" t="s">
        <v>219</v>
      </c>
      <c r="B195" t="str">
        <f>_xlfn.TEXTAFTER(TRACK_TYPES[[#This Row],[VEHIDCODE]],"_")</f>
        <v>Czech_Republic_CD_720_ChME2</v>
      </c>
      <c r="C195" t="s">
        <v>730</v>
      </c>
      <c r="D195" t="s">
        <v>949</v>
      </c>
      <c r="E195">
        <v>5023</v>
      </c>
      <c r="F195" t="b">
        <f>AND(CONTROL[[#This Row],[IS_WAGON_OR_COACH]]=TRUE,OR(RIGHT(CONTROL[[#This Row],[VEHIDCODE]],7)="Powered",RIGHT(CONTROL[[#This Row],[VEHIDCODE]],9)="Unpowered"))</f>
        <v>0</v>
      </c>
      <c r="G195" s="2" t="b">
        <f>OR(ISNUMBER(SEARCH("wagon_",CONTROL[[#This Row],[VEHIDCODE]])),ISNUMBER(SEARCH("coach_",CONTROL[[#This Row],[VEHIDCODE]])))</f>
        <v>0</v>
      </c>
      <c r="H195" t="str">
        <f>"item_"&amp;CONTROL[[#This Row],[VEHIDCODE]]</f>
        <v>item_diesel_Czech_Republic_CD_720_ChME2</v>
      </c>
      <c r="I195" t="str">
        <f>"str_"&amp;CONTROL[[#This Row],[VEHIDCODE]]</f>
        <v>str_diesel_Czech_Republic_CD_720_ChME2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t="b">
        <f>ISNUMBER(_xlfn.XMATCH(CONTROL[[#This Row],[VEHIDCODE]],ENGLISH_ITEMS[VEHIDCODE],0))</f>
        <v>1</v>
      </c>
    </row>
    <row r="196" spans="1:16">
      <c r="A196" s="2" t="s">
        <v>220</v>
      </c>
      <c r="B196" t="str">
        <f>_xlfn.TEXTAFTER(TRACK_TYPES[[#This Row],[VEHIDCODE]],"_")</f>
        <v>Finland_VR_Dr12</v>
      </c>
      <c r="C196" t="s">
        <v>730</v>
      </c>
      <c r="D196" t="s">
        <v>949</v>
      </c>
      <c r="E196">
        <v>5024</v>
      </c>
      <c r="F196" t="b">
        <f>AND(CONTROL[[#This Row],[IS_WAGON_OR_COACH]]=TRUE,OR(RIGHT(CONTROL[[#This Row],[VEHIDCODE]],7)="Powered",RIGHT(CONTROL[[#This Row],[VEHIDCODE]],9)="Unpowered"))</f>
        <v>0</v>
      </c>
      <c r="G196" s="2" t="b">
        <f>OR(ISNUMBER(SEARCH("wagon_",CONTROL[[#This Row],[VEHIDCODE]])),ISNUMBER(SEARCH("coach_",CONTROL[[#This Row],[VEHIDCODE]])))</f>
        <v>0</v>
      </c>
      <c r="H196" t="str">
        <f>"item_"&amp;CONTROL[[#This Row],[VEHIDCODE]]</f>
        <v>item_diesel_Finland_VR_Dr12</v>
      </c>
      <c r="I196" t="str">
        <f>"str_"&amp;CONTROL[[#This Row],[VEHIDCODE]]</f>
        <v>str_diesel_Finland_VR_Dr12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t="b">
        <f>ISNUMBER(_xlfn.XMATCH(CONTROL[[#This Row],[VEHIDCODE]],ENGLISH_ITEMS[VEHIDCODE],0))</f>
        <v>1</v>
      </c>
    </row>
    <row r="197" spans="1:16">
      <c r="A197" s="2" t="s">
        <v>221</v>
      </c>
      <c r="B197" t="str">
        <f>_xlfn.TEXTAFTER(TRACK_TYPES[[#This Row],[VEHIDCODE]],"_")</f>
        <v>Romania_CFR_060_DA</v>
      </c>
      <c r="C197" t="s">
        <v>730</v>
      </c>
      <c r="D197" t="s">
        <v>949</v>
      </c>
      <c r="E197">
        <v>5025</v>
      </c>
      <c r="F197" t="b">
        <f>AND(CONTROL[[#This Row],[IS_WAGON_OR_COACH]]=TRUE,OR(RIGHT(CONTROL[[#This Row],[VEHIDCODE]],7)="Powered",RIGHT(CONTROL[[#This Row],[VEHIDCODE]],9)="Unpowered"))</f>
        <v>0</v>
      </c>
      <c r="G197" s="2" t="b">
        <f>OR(ISNUMBER(SEARCH("wagon_",CONTROL[[#This Row],[VEHIDCODE]])),ISNUMBER(SEARCH("coach_",CONTROL[[#This Row],[VEHIDCODE]])))</f>
        <v>0</v>
      </c>
      <c r="H197" t="str">
        <f>"item_"&amp;CONTROL[[#This Row],[VEHIDCODE]]</f>
        <v>item_diesel_Romania_CFR_060_DA</v>
      </c>
      <c r="I197" t="str">
        <f>"str_"&amp;CONTROL[[#This Row],[VEHIDCODE]]</f>
        <v>str_diesel_Romania_CFR_060_DA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t="b">
        <f>ISNUMBER(_xlfn.XMATCH(CONTROL[[#This Row],[VEHIDCODE]],ENGLISH_ITEMS[VEHIDCODE],0))</f>
        <v>1</v>
      </c>
    </row>
    <row r="198" spans="1:16">
      <c r="A198" s="2" t="s">
        <v>222</v>
      </c>
      <c r="B198" t="str">
        <f>_xlfn.TEXTAFTER(TRACK_TYPES[[#This Row],[VEHIDCODE]],"_")</f>
        <v>Brazil_BF_EMD_GL8</v>
      </c>
      <c r="C198" t="s">
        <v>730</v>
      </c>
      <c r="D198" t="s">
        <v>949</v>
      </c>
      <c r="E198">
        <v>5026</v>
      </c>
      <c r="F198" t="b">
        <f>AND(CONTROL[[#This Row],[IS_WAGON_OR_COACH]]=TRUE,OR(RIGHT(CONTROL[[#This Row],[VEHIDCODE]],7)="Powered",RIGHT(CONTROL[[#This Row],[VEHIDCODE]],9)="Unpowered"))</f>
        <v>0</v>
      </c>
      <c r="G198" s="2" t="b">
        <f>OR(ISNUMBER(SEARCH("wagon_",CONTROL[[#This Row],[VEHIDCODE]])),ISNUMBER(SEARCH("coach_",CONTROL[[#This Row],[VEHIDCODE]])))</f>
        <v>0</v>
      </c>
      <c r="H198" t="str">
        <f>"item_"&amp;CONTROL[[#This Row],[VEHIDCODE]]</f>
        <v>item_diesel_Brazil_BF_EMD_GL8</v>
      </c>
      <c r="I198" t="str">
        <f>"str_"&amp;CONTROL[[#This Row],[VEHIDCODE]]</f>
        <v>str_diesel_Brazil_BF_EMD_GL8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t="b">
        <f>ISNUMBER(_xlfn.XMATCH(CONTROL[[#This Row],[VEHIDCODE]],ENGLISH_ITEMS[VEHIDCODE],0))</f>
        <v>1</v>
      </c>
    </row>
    <row r="199" spans="1:16">
      <c r="A199" s="2" t="s">
        <v>223</v>
      </c>
      <c r="B199" t="str">
        <f>_xlfn.TEXTAFTER(TRACK_TYPES[[#This Row],[VEHIDCODE]],"_")</f>
        <v>Brazil_EFVM_ML4000</v>
      </c>
      <c r="C199" t="s">
        <v>730</v>
      </c>
      <c r="D199" t="s">
        <v>949</v>
      </c>
      <c r="E199">
        <v>5027</v>
      </c>
      <c r="F199" t="b">
        <f>AND(CONTROL[[#This Row],[IS_WAGON_OR_COACH]]=TRUE,OR(RIGHT(CONTROL[[#This Row],[VEHIDCODE]],7)="Powered",RIGHT(CONTROL[[#This Row],[VEHIDCODE]],9)="Unpowered"))</f>
        <v>0</v>
      </c>
      <c r="G199" s="2" t="b">
        <f>OR(ISNUMBER(SEARCH("wagon_",CONTROL[[#This Row],[VEHIDCODE]])),ISNUMBER(SEARCH("coach_",CONTROL[[#This Row],[VEHIDCODE]])))</f>
        <v>0</v>
      </c>
      <c r="H199" t="str">
        <f>"item_"&amp;CONTROL[[#This Row],[VEHIDCODE]]</f>
        <v>item_diesel_Brazil_EFVM_ML4000</v>
      </c>
      <c r="I199" t="str">
        <f>"str_"&amp;CONTROL[[#This Row],[VEHIDCODE]]</f>
        <v>str_diesel_Brazil_EFVM_ML4000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t="b">
        <f>ISNUMBER(_xlfn.XMATCH(CONTROL[[#This Row],[VEHIDCODE]],ENGLISH_ITEMS[VEHIDCODE],0))</f>
        <v>1</v>
      </c>
    </row>
    <row r="200" spans="1:16">
      <c r="A200" s="2" t="s">
        <v>224</v>
      </c>
      <c r="B200" t="str">
        <f>_xlfn.TEXTAFTER(TRACK_TYPES[[#This Row],[VEHIDCODE]],"_")</f>
        <v>Russia_RZD_TEP60</v>
      </c>
      <c r="C200" t="s">
        <v>730</v>
      </c>
      <c r="D200" t="s">
        <v>949</v>
      </c>
      <c r="E200">
        <v>5028</v>
      </c>
      <c r="F200" t="b">
        <f>AND(CONTROL[[#This Row],[IS_WAGON_OR_COACH]]=TRUE,OR(RIGHT(CONTROL[[#This Row],[VEHIDCODE]],7)="Powered",RIGHT(CONTROL[[#This Row],[VEHIDCODE]],9)="Unpowered"))</f>
        <v>0</v>
      </c>
      <c r="G200" s="2" t="b">
        <f>OR(ISNUMBER(SEARCH("wagon_",CONTROL[[#This Row],[VEHIDCODE]])),ISNUMBER(SEARCH("coach_",CONTROL[[#This Row],[VEHIDCODE]])))</f>
        <v>0</v>
      </c>
      <c r="H200" t="str">
        <f>"item_"&amp;CONTROL[[#This Row],[VEHIDCODE]]</f>
        <v>item_diesel_Russia_RZD_TEP60</v>
      </c>
      <c r="I200" t="str">
        <f>"str_"&amp;CONTROL[[#This Row],[VEHIDCODE]]</f>
        <v>str_diesel_Russia_RZD_TEP60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t="b">
        <f>ISNUMBER(_xlfn.XMATCH(CONTROL[[#This Row],[VEHIDCODE]],ENGLISH_ITEMS[VEHIDCODE],0))</f>
        <v>1</v>
      </c>
    </row>
    <row r="201" spans="1:16">
      <c r="A201" s="2" t="s">
        <v>225</v>
      </c>
      <c r="B201" t="str">
        <f>_xlfn.TEXTAFTER(TRACK_TYPES[[#This Row],[VEHIDCODE]],"_")</f>
        <v>Belgium_NMBS_SNCB_62</v>
      </c>
      <c r="C201" t="s">
        <v>730</v>
      </c>
      <c r="D201" t="s">
        <v>949</v>
      </c>
      <c r="E201">
        <v>5029</v>
      </c>
      <c r="F201" t="b">
        <f>AND(CONTROL[[#This Row],[IS_WAGON_OR_COACH]]=TRUE,OR(RIGHT(CONTROL[[#This Row],[VEHIDCODE]],7)="Powered",RIGHT(CONTROL[[#This Row],[VEHIDCODE]],9)="Unpowered"))</f>
        <v>0</v>
      </c>
      <c r="G201" s="2" t="b">
        <f>OR(ISNUMBER(SEARCH("wagon_",CONTROL[[#This Row],[VEHIDCODE]])),ISNUMBER(SEARCH("coach_",CONTROL[[#This Row],[VEHIDCODE]])))</f>
        <v>0</v>
      </c>
      <c r="H201" t="str">
        <f>"item_"&amp;CONTROL[[#This Row],[VEHIDCODE]]</f>
        <v>item_diesel_Belgium_NMBS_SNCB_62</v>
      </c>
      <c r="I201" t="str">
        <f>"str_"&amp;CONTROL[[#This Row],[VEHIDCODE]]</f>
        <v>str_diesel_Belgium_NMBS_SNCB_62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t="b">
        <f>ISNUMBER(_xlfn.XMATCH(CONTROL[[#This Row],[VEHIDCODE]],ENGLISH_ITEMS[VEHIDCODE],0))</f>
        <v>1</v>
      </c>
    </row>
    <row r="202" spans="1:16">
      <c r="A202" s="2" t="s">
        <v>226</v>
      </c>
      <c r="B202" t="str">
        <f>_xlfn.TEXTAFTER(TRACK_TYPES[[#This Row],[VEHIDCODE]],"_")</f>
        <v>Denmark_DSB_MaK_100</v>
      </c>
      <c r="C202" t="s">
        <v>730</v>
      </c>
      <c r="D202" t="s">
        <v>949</v>
      </c>
      <c r="E202">
        <v>5030</v>
      </c>
      <c r="F202" t="b">
        <f>AND(CONTROL[[#This Row],[IS_WAGON_OR_COACH]]=TRUE,OR(RIGHT(CONTROL[[#This Row],[VEHIDCODE]],7)="Powered",RIGHT(CONTROL[[#This Row],[VEHIDCODE]],9)="Unpowered"))</f>
        <v>0</v>
      </c>
      <c r="G202" s="2" t="b">
        <f>OR(ISNUMBER(SEARCH("wagon_",CONTROL[[#This Row],[VEHIDCODE]])),ISNUMBER(SEARCH("coach_",CONTROL[[#This Row],[VEHIDCODE]])))</f>
        <v>0</v>
      </c>
      <c r="H202" t="str">
        <f>"item_"&amp;CONTROL[[#This Row],[VEHIDCODE]]</f>
        <v>item_diesel_Denmark_DSB_MaK_100</v>
      </c>
      <c r="I202" t="str">
        <f>"str_"&amp;CONTROL[[#This Row],[VEHIDCODE]]</f>
        <v>str_diesel_Denmark_DSB_MaK_100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t="b">
        <f>ISNUMBER(_xlfn.XMATCH(CONTROL[[#This Row],[VEHIDCODE]],ENGLISH_ITEMS[VEHIDCODE],0))</f>
        <v>1</v>
      </c>
    </row>
    <row r="203" spans="1:16">
      <c r="A203" s="2" t="s">
        <v>227</v>
      </c>
      <c r="B203" t="str">
        <f>_xlfn.TEXTAFTER(TRACK_TYPES[[#This Row],[VEHIDCODE]],"_")</f>
        <v>India_Indian_Railways_WDM_2</v>
      </c>
      <c r="C203" t="s">
        <v>730</v>
      </c>
      <c r="D203" t="s">
        <v>949</v>
      </c>
      <c r="E203">
        <v>5031</v>
      </c>
      <c r="F203" t="b">
        <f>AND(CONTROL[[#This Row],[IS_WAGON_OR_COACH]]=TRUE,OR(RIGHT(CONTROL[[#This Row],[VEHIDCODE]],7)="Powered",RIGHT(CONTROL[[#This Row],[VEHIDCODE]],9)="Unpowered"))</f>
        <v>0</v>
      </c>
      <c r="G203" s="2" t="b">
        <f>OR(ISNUMBER(SEARCH("wagon_",CONTROL[[#This Row],[VEHIDCODE]])),ISNUMBER(SEARCH("coach_",CONTROL[[#This Row],[VEHIDCODE]])))</f>
        <v>0</v>
      </c>
      <c r="H203" t="str">
        <f>"item_"&amp;CONTROL[[#This Row],[VEHIDCODE]]</f>
        <v>item_diesel_India_Indian_Railways_WDM_2</v>
      </c>
      <c r="I203" t="str">
        <f>"str_"&amp;CONTROL[[#This Row],[VEHIDCODE]]</f>
        <v>str_diesel_India_Indian_Railways_WDM_2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t="b">
        <f>ISNUMBER(_xlfn.XMATCH(CONTROL[[#This Row],[VEHIDCODE]],ENGLISH_ITEMS[VEHIDCODE],0))</f>
        <v>1</v>
      </c>
    </row>
    <row r="204" spans="1:16">
      <c r="A204" s="2" t="s">
        <v>228</v>
      </c>
      <c r="B204" t="str">
        <f>_xlfn.TEXTAFTER(TRACK_TYPES[[#This Row],[VEHIDCODE]],"_")</f>
        <v>UK_BR_14</v>
      </c>
      <c r="C204" t="s">
        <v>730</v>
      </c>
      <c r="D204" t="s">
        <v>949</v>
      </c>
      <c r="E204">
        <v>5032</v>
      </c>
      <c r="F204" t="b">
        <f>AND(CONTROL[[#This Row],[IS_WAGON_OR_COACH]]=TRUE,OR(RIGHT(CONTROL[[#This Row],[VEHIDCODE]],7)="Powered",RIGHT(CONTROL[[#This Row],[VEHIDCODE]],9)="Unpowered"))</f>
        <v>0</v>
      </c>
      <c r="G204" s="2" t="b">
        <f>OR(ISNUMBER(SEARCH("wagon_",CONTROL[[#This Row],[VEHIDCODE]])),ISNUMBER(SEARCH("coach_",CONTROL[[#This Row],[VEHIDCODE]])))</f>
        <v>0</v>
      </c>
      <c r="H204" t="str">
        <f>"item_"&amp;CONTROL[[#This Row],[VEHIDCODE]]</f>
        <v>item_diesel_UK_BR_14</v>
      </c>
      <c r="I204" t="str">
        <f>"str_"&amp;CONTROL[[#This Row],[VEHIDCODE]]</f>
        <v>str_diesel_UK_BR_14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t="b">
        <f>ISNUMBER(_xlfn.XMATCH(CONTROL[[#This Row],[VEHIDCODE]],ENGLISH_ITEMS[VEHIDCODE],0))</f>
        <v>1</v>
      </c>
    </row>
    <row r="205" spans="1:16">
      <c r="A205" s="2" t="s">
        <v>229</v>
      </c>
      <c r="B205" t="str">
        <f>_xlfn.TEXTAFTER(TRACK_TYPES[[#This Row],[VEHIDCODE]],"_")</f>
        <v>Russia_RZD_ChME3</v>
      </c>
      <c r="C205" t="s">
        <v>730</v>
      </c>
      <c r="D205" t="s">
        <v>949</v>
      </c>
      <c r="E205">
        <v>5033</v>
      </c>
      <c r="F205" t="b">
        <f>AND(CONTROL[[#This Row],[IS_WAGON_OR_COACH]]=TRUE,OR(RIGHT(CONTROL[[#This Row],[VEHIDCODE]],7)="Powered",RIGHT(CONTROL[[#This Row],[VEHIDCODE]],9)="Unpowered"))</f>
        <v>0</v>
      </c>
      <c r="G205" s="2" t="b">
        <f>OR(ISNUMBER(SEARCH("wagon_",CONTROL[[#This Row],[VEHIDCODE]])),ISNUMBER(SEARCH("coach_",CONTROL[[#This Row],[VEHIDCODE]])))</f>
        <v>0</v>
      </c>
      <c r="H205" t="str">
        <f>"item_"&amp;CONTROL[[#This Row],[VEHIDCODE]]</f>
        <v>item_diesel_Russia_RZD_ChME3</v>
      </c>
      <c r="I205" t="str">
        <f>"str_"&amp;CONTROL[[#This Row],[VEHIDCODE]]</f>
        <v>str_diesel_Russia_RZD_ChME3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t="b">
        <f>ISNUMBER(_xlfn.XMATCH(CONTROL[[#This Row],[VEHIDCODE]],ENGLISH_ITEMS[VEHIDCODE],0))</f>
        <v>1</v>
      </c>
    </row>
    <row r="206" spans="1:16">
      <c r="A206" s="2" t="s">
        <v>230</v>
      </c>
      <c r="B206" t="str">
        <f>_xlfn.TEXTAFTER(TRACK_TYPES[[#This Row],[VEHIDCODE]],"_")</f>
        <v>Argentina_MF_GM_EMD_J16CW_AC</v>
      </c>
      <c r="C206" t="s">
        <v>730</v>
      </c>
      <c r="D206" t="s">
        <v>949</v>
      </c>
      <c r="E206">
        <v>5034</v>
      </c>
      <c r="F206" t="b">
        <f>AND(CONTROL[[#This Row],[IS_WAGON_OR_COACH]]=TRUE,OR(RIGHT(CONTROL[[#This Row],[VEHIDCODE]],7)="Powered",RIGHT(CONTROL[[#This Row],[VEHIDCODE]],9)="Unpowered"))</f>
        <v>0</v>
      </c>
      <c r="G206" s="2" t="b">
        <f>OR(ISNUMBER(SEARCH("wagon_",CONTROL[[#This Row],[VEHIDCODE]])),ISNUMBER(SEARCH("coach_",CONTROL[[#This Row],[VEHIDCODE]])))</f>
        <v>0</v>
      </c>
      <c r="H206" t="str">
        <f>"item_"&amp;CONTROL[[#This Row],[VEHIDCODE]]</f>
        <v>item_diesel_Argentina_MF_GM_EMD_J16CW_AC</v>
      </c>
      <c r="I206" t="str">
        <f>"str_"&amp;CONTROL[[#This Row],[VEHIDCODE]]</f>
        <v>str_diesel_Argentina_MF_GM_EMD_J16CW_AC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t="b">
        <f>ISNUMBER(_xlfn.XMATCH(CONTROL[[#This Row],[VEHIDCODE]],ENGLISH_ITEMS[VEHIDCODE],0))</f>
        <v>1</v>
      </c>
    </row>
    <row r="207" spans="1:16">
      <c r="A207" s="2" t="s">
        <v>231</v>
      </c>
      <c r="B207" t="str">
        <f>_xlfn.TEXTAFTER(TRACK_TYPES[[#This Row],[VEHIDCODE]],"_")</f>
        <v>Russia_RZD_M62</v>
      </c>
      <c r="C207" t="s">
        <v>730</v>
      </c>
      <c r="D207" t="s">
        <v>949</v>
      </c>
      <c r="E207">
        <v>5035</v>
      </c>
      <c r="F207" t="b">
        <f>AND(CONTROL[[#This Row],[IS_WAGON_OR_COACH]]=TRUE,OR(RIGHT(CONTROL[[#This Row],[VEHIDCODE]],7)="Powered",RIGHT(CONTROL[[#This Row],[VEHIDCODE]],9)="Unpowered"))</f>
        <v>0</v>
      </c>
      <c r="G207" s="2" t="b">
        <f>OR(ISNUMBER(SEARCH("wagon_",CONTROL[[#This Row],[VEHIDCODE]])),ISNUMBER(SEARCH("coach_",CONTROL[[#This Row],[VEHIDCODE]])))</f>
        <v>0</v>
      </c>
      <c r="H207" t="str">
        <f>"item_"&amp;CONTROL[[#This Row],[VEHIDCODE]]</f>
        <v>item_diesel_Russia_RZD_M62</v>
      </c>
      <c r="I207" t="str">
        <f>"str_"&amp;CONTROL[[#This Row],[VEHIDCODE]]</f>
        <v>str_diesel_Russia_RZD_M62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t="b">
        <f>ISNUMBER(_xlfn.XMATCH(CONTROL[[#This Row],[VEHIDCODE]],ENGLISH_ITEMS[VEHIDCODE],0))</f>
        <v>1</v>
      </c>
    </row>
    <row r="208" spans="1:16">
      <c r="A208" s="2" t="s">
        <v>232</v>
      </c>
      <c r="B208" t="str">
        <f>_xlfn.TEXTAFTER(TRACK_TYPES[[#This Row],[VEHIDCODE]],"_")</f>
        <v>Australia_NSWGR_422</v>
      </c>
      <c r="C208" t="s">
        <v>730</v>
      </c>
      <c r="D208" t="s">
        <v>949</v>
      </c>
      <c r="E208">
        <v>5036</v>
      </c>
      <c r="F208" t="b">
        <f>AND(CONTROL[[#This Row],[IS_WAGON_OR_COACH]]=TRUE,OR(RIGHT(CONTROL[[#This Row],[VEHIDCODE]],7)="Powered",RIGHT(CONTROL[[#This Row],[VEHIDCODE]],9)="Unpowered"))</f>
        <v>0</v>
      </c>
      <c r="G208" s="2" t="b">
        <f>OR(ISNUMBER(SEARCH("wagon_",CONTROL[[#This Row],[VEHIDCODE]])),ISNUMBER(SEARCH("coach_",CONTROL[[#This Row],[VEHIDCODE]])))</f>
        <v>0</v>
      </c>
      <c r="H208" t="str">
        <f>"item_"&amp;CONTROL[[#This Row],[VEHIDCODE]]</f>
        <v>item_diesel_Australia_NSWGR_422</v>
      </c>
      <c r="I208" t="str">
        <f>"str_"&amp;CONTROL[[#This Row],[VEHIDCODE]]</f>
        <v>str_diesel_Australia_NSWGR_422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t="b">
        <f>ISNUMBER(_xlfn.XMATCH(CONTROL[[#This Row],[VEHIDCODE]],ENGLISH_ITEMS[VEHIDCODE],0))</f>
        <v>1</v>
      </c>
    </row>
    <row r="209" spans="1:16">
      <c r="A209" s="2" t="s">
        <v>233</v>
      </c>
      <c r="B209" t="str">
        <f>_xlfn.TEXTAFTER(TRACK_TYPES[[#This Row],[VEHIDCODE]],"_")</f>
        <v>Egypt_ENR_G22W</v>
      </c>
      <c r="C209" t="s">
        <v>730</v>
      </c>
      <c r="D209" t="s">
        <v>949</v>
      </c>
      <c r="E209">
        <v>5037</v>
      </c>
      <c r="F209" t="b">
        <f>AND(CONTROL[[#This Row],[IS_WAGON_OR_COACH]]=TRUE,OR(RIGHT(CONTROL[[#This Row],[VEHIDCODE]],7)="Powered",RIGHT(CONTROL[[#This Row],[VEHIDCODE]],9)="Unpowered"))</f>
        <v>0</v>
      </c>
      <c r="G209" s="2" t="b">
        <f>OR(ISNUMBER(SEARCH("wagon_",CONTROL[[#This Row],[VEHIDCODE]])),ISNUMBER(SEARCH("coach_",CONTROL[[#This Row],[VEHIDCODE]])))</f>
        <v>0</v>
      </c>
      <c r="H209" t="str">
        <f>"item_"&amp;CONTROL[[#This Row],[VEHIDCODE]]</f>
        <v>item_diesel_Egypt_ENR_G22W</v>
      </c>
      <c r="I209" t="str">
        <f>"str_"&amp;CONTROL[[#This Row],[VEHIDCODE]]</f>
        <v>str_diesel_Egypt_ENR_G22W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t="b">
        <f>ISNUMBER(_xlfn.XMATCH(CONTROL[[#This Row],[VEHIDCODE]],ENGLISH_ITEMS[VEHIDCODE],0))</f>
        <v>1</v>
      </c>
    </row>
    <row r="210" spans="1:16">
      <c r="A210" s="2" t="s">
        <v>234</v>
      </c>
      <c r="B210" t="str">
        <f>_xlfn.TEXTAFTER(TRACK_TYPES[[#This Row],[VEHIDCODE]],"_")</f>
        <v>USA_UP_EMD_DDA40X</v>
      </c>
      <c r="C210" t="s">
        <v>730</v>
      </c>
      <c r="D210" t="s">
        <v>949</v>
      </c>
      <c r="E210">
        <v>5065</v>
      </c>
      <c r="F210" t="b">
        <f>AND(CONTROL[[#This Row],[IS_WAGON_OR_COACH]]=TRUE,OR(RIGHT(CONTROL[[#This Row],[VEHIDCODE]],7)="Powered",RIGHT(CONTROL[[#This Row],[VEHIDCODE]],9)="Unpowered"))</f>
        <v>0</v>
      </c>
      <c r="G210" s="2" t="b">
        <f>OR(ISNUMBER(SEARCH("wagon_",CONTROL[[#This Row],[VEHIDCODE]])),ISNUMBER(SEARCH("coach_",CONTROL[[#This Row],[VEHIDCODE]])))</f>
        <v>0</v>
      </c>
      <c r="H210" t="str">
        <f>"item_"&amp;CONTROL[[#This Row],[VEHIDCODE]]</f>
        <v>item_diesel_USA_UP_EMD_DDA40X</v>
      </c>
      <c r="I210" t="str">
        <f>"str_"&amp;CONTROL[[#This Row],[VEHIDCODE]]</f>
        <v>str_diesel_USA_UP_EMD_DDA40X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t="b">
        <f>ISNUMBER(_xlfn.XMATCH(CONTROL[[#This Row],[VEHIDCODE]],ENGLISH_ITEMS[VEHIDCODE],0))</f>
        <v>1</v>
      </c>
    </row>
    <row r="211" spans="1:16">
      <c r="A211" s="2" t="s">
        <v>235</v>
      </c>
      <c r="B211" t="str">
        <f>_xlfn.TEXTAFTER(TRACK_TYPES[[#This Row],[VEHIDCODE]],"_")</f>
        <v>Australia_Queensland_Rail_2100</v>
      </c>
      <c r="C211" t="s">
        <v>730</v>
      </c>
      <c r="D211" t="s">
        <v>949</v>
      </c>
      <c r="E211">
        <v>5039</v>
      </c>
      <c r="F211" t="b">
        <f>AND(CONTROL[[#This Row],[IS_WAGON_OR_COACH]]=TRUE,OR(RIGHT(CONTROL[[#This Row],[VEHIDCODE]],7)="Powered",RIGHT(CONTROL[[#This Row],[VEHIDCODE]],9)="Unpowered"))</f>
        <v>0</v>
      </c>
      <c r="G211" s="2" t="b">
        <f>OR(ISNUMBER(SEARCH("wagon_",CONTROL[[#This Row],[VEHIDCODE]])),ISNUMBER(SEARCH("coach_",CONTROL[[#This Row],[VEHIDCODE]])))</f>
        <v>0</v>
      </c>
      <c r="H211" t="str">
        <f>"item_"&amp;CONTROL[[#This Row],[VEHIDCODE]]</f>
        <v>item_diesel_Australia_Queensland_Rail_2100</v>
      </c>
      <c r="I211" t="str">
        <f>"str_"&amp;CONTROL[[#This Row],[VEHIDCODE]]</f>
        <v>str_diesel_Australia_Queensland_Rail_2100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t="b">
        <f>ISNUMBER(_xlfn.XMATCH(CONTROL[[#This Row],[VEHIDCODE]],ENGLISH_ITEMS[VEHIDCODE],0))</f>
        <v>1</v>
      </c>
    </row>
    <row r="212" spans="1:16">
      <c r="A212" s="2" t="s">
        <v>236</v>
      </c>
      <c r="B212" t="str">
        <f>_xlfn.TEXTAFTER(TRACK_TYPES[[#This Row],[VEHIDCODE]],"_")</f>
        <v>Croatia_HZ_2062</v>
      </c>
      <c r="C212" t="s">
        <v>730</v>
      </c>
      <c r="D212" t="s">
        <v>949</v>
      </c>
      <c r="E212">
        <v>5040</v>
      </c>
      <c r="F212" t="b">
        <f>AND(CONTROL[[#This Row],[IS_WAGON_OR_COACH]]=TRUE,OR(RIGHT(CONTROL[[#This Row],[VEHIDCODE]],7)="Powered",RIGHT(CONTROL[[#This Row],[VEHIDCODE]],9)="Unpowered"))</f>
        <v>0</v>
      </c>
      <c r="G212" s="2" t="b">
        <f>OR(ISNUMBER(SEARCH("wagon_",CONTROL[[#This Row],[VEHIDCODE]])),ISNUMBER(SEARCH("coach_",CONTROL[[#This Row],[VEHIDCODE]])))</f>
        <v>0</v>
      </c>
      <c r="H212" t="str">
        <f>"item_"&amp;CONTROL[[#This Row],[VEHIDCODE]]</f>
        <v>item_diesel_Croatia_HZ_2062</v>
      </c>
      <c r="I212" t="str">
        <f>"str_"&amp;CONTROL[[#This Row],[VEHIDCODE]]</f>
        <v>str_diesel_Croatia_HZ_2062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t="b">
        <f>ISNUMBER(_xlfn.XMATCH(CONTROL[[#This Row],[VEHIDCODE]],ENGLISH_ITEMS[VEHIDCODE],0))</f>
        <v>1</v>
      </c>
    </row>
    <row r="213" spans="1:16">
      <c r="A213" s="2" t="s">
        <v>237</v>
      </c>
      <c r="B213" t="str">
        <f>_xlfn.TEXTAFTER(TRACK_TYPES[[#This Row],[VEHIDCODE]],"_")</f>
        <v>Sweden_SJ_V4</v>
      </c>
      <c r="C213" t="s">
        <v>730</v>
      </c>
      <c r="D213" t="s">
        <v>949</v>
      </c>
      <c r="E213">
        <v>5041</v>
      </c>
      <c r="F213" t="b">
        <f>AND(CONTROL[[#This Row],[IS_WAGON_OR_COACH]]=TRUE,OR(RIGHT(CONTROL[[#This Row],[VEHIDCODE]],7)="Powered",RIGHT(CONTROL[[#This Row],[VEHIDCODE]],9)="Unpowered"))</f>
        <v>0</v>
      </c>
      <c r="G213" s="2" t="b">
        <f>OR(ISNUMBER(SEARCH("wagon_",CONTROL[[#This Row],[VEHIDCODE]])),ISNUMBER(SEARCH("coach_",CONTROL[[#This Row],[VEHIDCODE]])))</f>
        <v>0</v>
      </c>
      <c r="H213" t="str">
        <f>"item_"&amp;CONTROL[[#This Row],[VEHIDCODE]]</f>
        <v>item_diesel_Sweden_SJ_V4</v>
      </c>
      <c r="I213" t="str">
        <f>"str_"&amp;CONTROL[[#This Row],[VEHIDCODE]]</f>
        <v>str_diesel_Sweden_SJ_V4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t="b">
        <f>ISNUMBER(_xlfn.XMATCH(CONTROL[[#This Row],[VEHIDCODE]],ENGLISH_ITEMS[VEHIDCODE],0))</f>
        <v>1</v>
      </c>
    </row>
    <row r="214" spans="1:16">
      <c r="A214" s="2" t="s">
        <v>238</v>
      </c>
      <c r="B214" t="str">
        <f>_xlfn.TEXTAFTER(TRACK_TYPES[[#This Row],[VEHIDCODE]],"_")</f>
        <v>Canada_CNR_MLW_M420W</v>
      </c>
      <c r="C214" t="s">
        <v>730</v>
      </c>
      <c r="D214" t="s">
        <v>949</v>
      </c>
      <c r="E214">
        <v>5042</v>
      </c>
      <c r="F214" t="b">
        <f>AND(CONTROL[[#This Row],[IS_WAGON_OR_COACH]]=TRUE,OR(RIGHT(CONTROL[[#This Row],[VEHIDCODE]],7)="Powered",RIGHT(CONTROL[[#This Row],[VEHIDCODE]],9)="Unpowered"))</f>
        <v>0</v>
      </c>
      <c r="G214" s="2" t="b">
        <f>OR(ISNUMBER(SEARCH("wagon_",CONTROL[[#This Row],[VEHIDCODE]])),ISNUMBER(SEARCH("coach_",CONTROL[[#This Row],[VEHIDCODE]])))</f>
        <v>0</v>
      </c>
      <c r="H214" t="str">
        <f>"item_"&amp;CONTROL[[#This Row],[VEHIDCODE]]</f>
        <v>item_diesel_Canada_CNR_MLW_M420W</v>
      </c>
      <c r="I214" t="str">
        <f>"str_"&amp;CONTROL[[#This Row],[VEHIDCODE]]</f>
        <v>str_diesel_Canada_CNR_MLW_M420W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t="b">
        <f>ISNUMBER(_xlfn.XMATCH(CONTROL[[#This Row],[VEHIDCODE]],ENGLISH_ITEMS[VEHIDCODE],0))</f>
        <v>1</v>
      </c>
    </row>
    <row r="215" spans="1:16">
      <c r="A215" s="2" t="s">
        <v>936</v>
      </c>
      <c r="B215" t="str">
        <f>_xlfn.TEXTAFTER(TRACK_TYPES[[#This Row],[VEHIDCODE]],"_")</f>
        <v>USA_Amtrak_SDP_40F</v>
      </c>
      <c r="C215" t="s">
        <v>730</v>
      </c>
      <c r="D215" t="s">
        <v>949</v>
      </c>
      <c r="E215">
        <v>5043</v>
      </c>
      <c r="F215" t="b">
        <f>AND(CONTROL[[#This Row],[IS_WAGON_OR_COACH]]=TRUE,OR(RIGHT(CONTROL[[#This Row],[VEHIDCODE]],7)="Powered",RIGHT(CONTROL[[#This Row],[VEHIDCODE]],9)="Unpowered"))</f>
        <v>0</v>
      </c>
      <c r="G215" s="2" t="b">
        <f>OR(ISNUMBER(SEARCH("wagon_",CONTROL[[#This Row],[VEHIDCODE]])),ISNUMBER(SEARCH("coach_",CONTROL[[#This Row],[VEHIDCODE]])))</f>
        <v>0</v>
      </c>
      <c r="H215" t="str">
        <f>"item_"&amp;CONTROL[[#This Row],[VEHIDCODE]]</f>
        <v>item_diesel_USA_Amtrak_SDP_40F</v>
      </c>
      <c r="I215" t="str">
        <f>"str_"&amp;CONTROL[[#This Row],[VEHIDCODE]]</f>
        <v>str_diesel_USA_Amtrak_SDP_40F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t="b">
        <f>ISNUMBER(_xlfn.XMATCH(CONTROL[[#This Row],[VEHIDCODE]],ENGLISH_ITEMS[VEHIDCODE],0))</f>
        <v>1</v>
      </c>
    </row>
    <row r="216" spans="1:16">
      <c r="A216" s="2" t="s">
        <v>239</v>
      </c>
      <c r="B216" t="str">
        <f>_xlfn.TEXTAFTER(TRACK_TYPES[[#This Row],[VEHIDCODE]],"_")</f>
        <v>China_China_Railways_DFH3</v>
      </c>
      <c r="C216" t="s">
        <v>730</v>
      </c>
      <c r="D216" t="s">
        <v>949</v>
      </c>
      <c r="E216">
        <v>5044</v>
      </c>
      <c r="F216" t="b">
        <f>AND(CONTROL[[#This Row],[IS_WAGON_OR_COACH]]=TRUE,OR(RIGHT(CONTROL[[#This Row],[VEHIDCODE]],7)="Powered",RIGHT(CONTROL[[#This Row],[VEHIDCODE]],9)="Unpowered"))</f>
        <v>0</v>
      </c>
      <c r="G216" s="2" t="b">
        <f>OR(ISNUMBER(SEARCH("wagon_",CONTROL[[#This Row],[VEHIDCODE]])),ISNUMBER(SEARCH("coach_",CONTROL[[#This Row],[VEHIDCODE]])))</f>
        <v>0</v>
      </c>
      <c r="H216" t="str">
        <f>"item_"&amp;CONTROL[[#This Row],[VEHIDCODE]]</f>
        <v>item_diesel_China_China_Railways_DFH3</v>
      </c>
      <c r="I216" t="str">
        <f>"str_"&amp;CONTROL[[#This Row],[VEHIDCODE]]</f>
        <v>str_diesel_China_China_Railways_DFH3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t="b">
        <f>ISNUMBER(_xlfn.XMATCH(CONTROL[[#This Row],[VEHIDCODE]],ENGLISH_ITEMS[VEHIDCODE],0))</f>
        <v>1</v>
      </c>
    </row>
    <row r="217" spans="1:16">
      <c r="A217" s="2" t="s">
        <v>240</v>
      </c>
      <c r="B217" t="str">
        <f>_xlfn.TEXTAFTER(TRACK_TYPES[[#This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b">
        <f>AND(CONTROL[[#This Row],[IS_WAGON_OR_COACH]]=TRUE,OR(RIGHT(CONTROL[[#This Row],[VEHIDCODE]],7)="Powered",RIGHT(CONTROL[[#This Row],[VEHIDCODE]],9)="Unpowered"))</f>
        <v>0</v>
      </c>
      <c r="G217" s="2" t="b">
        <f>OR(ISNUMBER(SEARCH("wagon_",CONTROL[[#This Row],[VEHIDCODE]])),ISNUMBER(SEARCH("coach_",CONTROL[[#This Row],[VEHIDCODE]])))</f>
        <v>0</v>
      </c>
      <c r="H217" t="str">
        <f>"item_"&amp;CONTROL[[#This Row],[VEHIDCODE]]</f>
        <v>item_diesel_Panama_Panama_Canal_Railway_EMD_F40PH</v>
      </c>
      <c r="I217" t="str">
        <f>"str_"&amp;CONTROL[[#This Row],[VEHIDCODE]]</f>
        <v>str_diesel_Panama_Panama_Canal_Railway_EMD_F40PH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t="b">
        <f>ISNUMBER(_xlfn.XMATCH(CONTROL[[#This Row],[VEHIDCODE]],ENGLISH_ITEMS[VEHIDCODE],0))</f>
        <v>1</v>
      </c>
    </row>
    <row r="218" spans="1:16">
      <c r="A218" s="2" t="s">
        <v>241</v>
      </c>
      <c r="B218" t="str">
        <f>_xlfn.TEXTAFTER(TRACK_TYPES[[#This Row],[VEHIDCODE]],"_")</f>
        <v>Portugal_CP_1900</v>
      </c>
      <c r="C218" t="s">
        <v>730</v>
      </c>
      <c r="D218" t="s">
        <v>949</v>
      </c>
      <c r="E218">
        <v>5046</v>
      </c>
      <c r="F218" t="b">
        <f>AND(CONTROL[[#This Row],[IS_WAGON_OR_COACH]]=TRUE,OR(RIGHT(CONTROL[[#This Row],[VEHIDCODE]],7)="Powered",RIGHT(CONTROL[[#This Row],[VEHIDCODE]],9)="Unpowered"))</f>
        <v>0</v>
      </c>
      <c r="G218" s="2" t="b">
        <f>OR(ISNUMBER(SEARCH("wagon_",CONTROL[[#This Row],[VEHIDCODE]])),ISNUMBER(SEARCH("coach_",CONTROL[[#This Row],[VEHIDCODE]])))</f>
        <v>0</v>
      </c>
      <c r="H218" t="str">
        <f>"item_"&amp;CONTROL[[#This Row],[VEHIDCODE]]</f>
        <v>item_diesel_Portugal_CP_1900</v>
      </c>
      <c r="I218" t="str">
        <f>"str_"&amp;CONTROL[[#This Row],[VEHIDCODE]]</f>
        <v>str_diesel_Portugal_CP_1900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t="b">
        <f>ISNUMBER(_xlfn.XMATCH(CONTROL[[#This Row],[VEHIDCODE]],ENGLISH_ITEMS[VEHIDCODE],0))</f>
        <v>1</v>
      </c>
    </row>
    <row r="219" spans="1:16">
      <c r="A219" s="2" t="s">
        <v>242</v>
      </c>
      <c r="B219" t="str">
        <f>_xlfn.TEXTAFTER(TRACK_TYPES[[#This Row],[VEHIDCODE]],"_")</f>
        <v>Finland_VR_Dr16</v>
      </c>
      <c r="C219" t="s">
        <v>730</v>
      </c>
      <c r="D219" t="s">
        <v>949</v>
      </c>
      <c r="E219">
        <v>5047</v>
      </c>
      <c r="F219" t="b">
        <f>AND(CONTROL[[#This Row],[IS_WAGON_OR_COACH]]=TRUE,OR(RIGHT(CONTROL[[#This Row],[VEHIDCODE]],7)="Powered",RIGHT(CONTROL[[#This Row],[VEHIDCODE]],9)="Unpowered"))</f>
        <v>0</v>
      </c>
      <c r="G219" s="2" t="b">
        <f>OR(ISNUMBER(SEARCH("wagon_",CONTROL[[#This Row],[VEHIDCODE]])),ISNUMBER(SEARCH("coach_",CONTROL[[#This Row],[VEHIDCODE]])))</f>
        <v>0</v>
      </c>
      <c r="H219" t="str">
        <f>"item_"&amp;CONTROL[[#This Row],[VEHIDCODE]]</f>
        <v>item_diesel_Finland_VR_Dr16</v>
      </c>
      <c r="I219" t="str">
        <f>"str_"&amp;CONTROL[[#This Row],[VEHIDCODE]]</f>
        <v>str_diesel_Finland_VR_Dr16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t="b">
        <f>ISNUMBER(_xlfn.XMATCH(CONTROL[[#This Row],[VEHIDCODE]],ENGLISH_ITEMS[VEHIDCODE],0))</f>
        <v>1</v>
      </c>
    </row>
    <row r="220" spans="1:16">
      <c r="A220" s="2" t="s">
        <v>243</v>
      </c>
      <c r="B220" t="str">
        <f>_xlfn.TEXTAFTER(TRACK_TYPES[[#This Row],[VEHIDCODE]],"_")</f>
        <v>Russia_RZD_TEP80</v>
      </c>
      <c r="C220" t="s">
        <v>730</v>
      </c>
      <c r="D220" t="s">
        <v>949</v>
      </c>
      <c r="E220">
        <v>5048</v>
      </c>
      <c r="F220" t="b">
        <f>AND(CONTROL[[#This Row],[IS_WAGON_OR_COACH]]=TRUE,OR(RIGHT(CONTROL[[#This Row],[VEHIDCODE]],7)="Powered",RIGHT(CONTROL[[#This Row],[VEHIDCODE]],9)="Unpowered"))</f>
        <v>0</v>
      </c>
      <c r="G220" s="2" t="b">
        <f>OR(ISNUMBER(SEARCH("wagon_",CONTROL[[#This Row],[VEHIDCODE]])),ISNUMBER(SEARCH("coach_",CONTROL[[#This Row],[VEHIDCODE]])))</f>
        <v>0</v>
      </c>
      <c r="H220" t="str">
        <f>"item_"&amp;CONTROL[[#This Row],[VEHIDCODE]]</f>
        <v>item_diesel_Russia_RZD_TEP80</v>
      </c>
      <c r="I220" t="str">
        <f>"str_"&amp;CONTROL[[#This Row],[VEHIDCODE]]</f>
        <v>str_diesel_Russia_RZD_TEP80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t="b">
        <f>ISNUMBER(_xlfn.XMATCH(CONTROL[[#This Row],[VEHIDCODE]],ENGLISH_ITEMS[VEHIDCODE],0))</f>
        <v>1</v>
      </c>
    </row>
    <row r="221" spans="1:16">
      <c r="A221" s="2" t="s">
        <v>244</v>
      </c>
      <c r="B221" t="str">
        <f>_xlfn.TEXTAFTER(TRACK_TYPES[[#This Row],[VEHIDCODE]],"_")</f>
        <v>Australia_Australian_National_AN</v>
      </c>
      <c r="C221" t="s">
        <v>730</v>
      </c>
      <c r="D221" t="s">
        <v>949</v>
      </c>
      <c r="E221">
        <v>5049</v>
      </c>
      <c r="F221" t="b">
        <f>AND(CONTROL[[#This Row],[IS_WAGON_OR_COACH]]=TRUE,OR(RIGHT(CONTROL[[#This Row],[VEHIDCODE]],7)="Powered",RIGHT(CONTROL[[#This Row],[VEHIDCODE]],9)="Unpowered"))</f>
        <v>0</v>
      </c>
      <c r="G221" s="2" t="b">
        <f>OR(ISNUMBER(SEARCH("wagon_",CONTROL[[#This Row],[VEHIDCODE]])),ISNUMBER(SEARCH("coach_",CONTROL[[#This Row],[VEHIDCODE]])))</f>
        <v>0</v>
      </c>
      <c r="H221" t="str">
        <f>"item_"&amp;CONTROL[[#This Row],[VEHIDCODE]]</f>
        <v>item_diesel_Australia_Australian_National_AN</v>
      </c>
      <c r="I221" t="str">
        <f>"str_"&amp;CONTROL[[#This Row],[VEHIDCODE]]</f>
        <v>str_diesel_Australia_Australian_National_AN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t="b">
        <f>ISNUMBER(_xlfn.XMATCH(CONTROL[[#This Row],[VEHIDCODE]],ENGLISH_ITEMS[VEHIDCODE],0))</f>
        <v>1</v>
      </c>
    </row>
    <row r="222" spans="1:16">
      <c r="A222" s="2" t="s">
        <v>245</v>
      </c>
      <c r="B222" t="str">
        <f>_xlfn.TEXTAFTER(TRACK_TYPES[[#This Row],[VEHIDCODE]],"_")</f>
        <v>USA_Amtrak_P42DC_Genesis</v>
      </c>
      <c r="C222" t="s">
        <v>730</v>
      </c>
      <c r="D222" t="s">
        <v>949</v>
      </c>
      <c r="E222">
        <v>5050</v>
      </c>
      <c r="F222" t="b">
        <f>AND(CONTROL[[#This Row],[IS_WAGON_OR_COACH]]=TRUE,OR(RIGHT(CONTROL[[#This Row],[VEHIDCODE]],7)="Powered",RIGHT(CONTROL[[#This Row],[VEHIDCODE]],9)="Unpowered"))</f>
        <v>0</v>
      </c>
      <c r="G222" s="2" t="b">
        <f>OR(ISNUMBER(SEARCH("wagon_",CONTROL[[#This Row],[VEHIDCODE]])),ISNUMBER(SEARCH("coach_",CONTROL[[#This Row],[VEHIDCODE]])))</f>
        <v>0</v>
      </c>
      <c r="H222" t="str">
        <f>"item_"&amp;CONTROL[[#This Row],[VEHIDCODE]]</f>
        <v>item_diesel_USA_Amtrak_P42DC_Genesis</v>
      </c>
      <c r="I222" t="str">
        <f>"str_"&amp;CONTROL[[#This Row],[VEHIDCODE]]</f>
        <v>str_diesel_USA_Amtrak_P42DC_Genesis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t="b">
        <f>ISNUMBER(_xlfn.XMATCH(CONTROL[[#This Row],[VEHIDCODE]],ENGLISH_ITEMS[VEHIDCODE],0))</f>
        <v>1</v>
      </c>
    </row>
    <row r="223" spans="1:16">
      <c r="A223" s="2" t="s">
        <v>246</v>
      </c>
      <c r="B223" t="str">
        <f>_xlfn.TEXTAFTER(TRACK_TYPES[[#This Row],[VEHIDCODE]],"_")</f>
        <v>Turkey_TCDD_DH7000</v>
      </c>
      <c r="C223" t="s">
        <v>730</v>
      </c>
      <c r="D223" t="s">
        <v>949</v>
      </c>
      <c r="E223">
        <v>5051</v>
      </c>
      <c r="F223" t="b">
        <f>AND(CONTROL[[#This Row],[IS_WAGON_OR_COACH]]=TRUE,OR(RIGHT(CONTROL[[#This Row],[VEHIDCODE]],7)="Powered",RIGHT(CONTROL[[#This Row],[VEHIDCODE]],9)="Unpowered"))</f>
        <v>0</v>
      </c>
      <c r="G223" s="2" t="b">
        <f>OR(ISNUMBER(SEARCH("wagon_",CONTROL[[#This Row],[VEHIDCODE]])),ISNUMBER(SEARCH("coach_",CONTROL[[#This Row],[VEHIDCODE]])))</f>
        <v>0</v>
      </c>
      <c r="H223" t="str">
        <f>"item_"&amp;CONTROL[[#This Row],[VEHIDCODE]]</f>
        <v>item_diesel_Turkey_TCDD_DH7000</v>
      </c>
      <c r="I223" t="str">
        <f>"str_"&amp;CONTROL[[#This Row],[VEHIDCODE]]</f>
        <v>str_diesel_Turkey_TCDD_DH7000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t="b">
        <f>ISNUMBER(_xlfn.XMATCH(CONTROL[[#This Row],[VEHIDCODE]],ENGLISH_ITEMS[VEHIDCODE],0))</f>
        <v>1</v>
      </c>
    </row>
    <row r="224" spans="1:16">
      <c r="A224" s="2" t="s">
        <v>247</v>
      </c>
      <c r="B224" t="str">
        <f>_xlfn.TEXTAFTER(TRACK_TYPES[[#This Row],[VEHIDCODE]],"_")</f>
        <v>Argentina_MF_GE_U20C</v>
      </c>
      <c r="C224" t="s">
        <v>730</v>
      </c>
      <c r="D224" t="s">
        <v>949</v>
      </c>
      <c r="E224">
        <v>5052</v>
      </c>
      <c r="F224" t="b">
        <f>AND(CONTROL[[#This Row],[IS_WAGON_OR_COACH]]=TRUE,OR(RIGHT(CONTROL[[#This Row],[VEHIDCODE]],7)="Powered",RIGHT(CONTROL[[#This Row],[VEHIDCODE]],9)="Unpowered"))</f>
        <v>0</v>
      </c>
      <c r="G224" s="2" t="b">
        <f>OR(ISNUMBER(SEARCH("wagon_",CONTROL[[#This Row],[VEHIDCODE]])),ISNUMBER(SEARCH("coach_",CONTROL[[#This Row],[VEHIDCODE]])))</f>
        <v>0</v>
      </c>
      <c r="H224" t="str">
        <f>"item_"&amp;CONTROL[[#This Row],[VEHIDCODE]]</f>
        <v>item_diesel_Argentina_MF_GE_U20C</v>
      </c>
      <c r="I224" t="str">
        <f>"str_"&amp;CONTROL[[#This Row],[VEHIDCODE]]</f>
        <v>str_diesel_Argentina_MF_GE_U20C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t="b">
        <f>ISNUMBER(_xlfn.XMATCH(CONTROL[[#This Row],[VEHIDCODE]],ENGLISH_ITEMS[VEHIDCODE],0))</f>
        <v>1</v>
      </c>
    </row>
    <row r="225" spans="1:16">
      <c r="A225" s="2" t="s">
        <v>248</v>
      </c>
      <c r="B225" t="str">
        <f>_xlfn.TEXTAFTER(TRACK_TYPES[[#This Row],[VEHIDCODE]],"_")</f>
        <v>Belgium_NMBS_SNCB_7800</v>
      </c>
      <c r="C225" t="s">
        <v>730</v>
      </c>
      <c r="D225" t="s">
        <v>949</v>
      </c>
      <c r="E225">
        <v>5053</v>
      </c>
      <c r="F225" t="b">
        <f>AND(CONTROL[[#This Row],[IS_WAGON_OR_COACH]]=TRUE,OR(RIGHT(CONTROL[[#This Row],[VEHIDCODE]],7)="Powered",RIGHT(CONTROL[[#This Row],[VEHIDCODE]],9)="Unpowered"))</f>
        <v>0</v>
      </c>
      <c r="G225" s="2" t="b">
        <f>OR(ISNUMBER(SEARCH("wagon_",CONTROL[[#This Row],[VEHIDCODE]])),ISNUMBER(SEARCH("coach_",CONTROL[[#This Row],[VEHIDCODE]])))</f>
        <v>0</v>
      </c>
      <c r="H225" t="str">
        <f>"item_"&amp;CONTROL[[#This Row],[VEHIDCODE]]</f>
        <v>item_diesel_Belgium_NMBS_SNCB_7800</v>
      </c>
      <c r="I225" t="str">
        <f>"str_"&amp;CONTROL[[#This Row],[VEHIDCODE]]</f>
        <v>str_diesel_Belgium_NMBS_SNCB_7800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t="b">
        <f>ISNUMBER(_xlfn.XMATCH(CONTROL[[#This Row],[VEHIDCODE]],ENGLISH_ITEMS[VEHIDCODE],0))</f>
        <v>1</v>
      </c>
    </row>
    <row r="226" spans="1:16">
      <c r="A226" s="2" t="s">
        <v>249</v>
      </c>
      <c r="B226" t="str">
        <f>_xlfn.TEXTAFTER(TRACK_TYPES[[#This Row],[VEHIDCODE]],"_")</f>
        <v>UK_BR_66</v>
      </c>
      <c r="C226" t="s">
        <v>730</v>
      </c>
      <c r="D226" t="s">
        <v>949</v>
      </c>
      <c r="E226">
        <v>5054</v>
      </c>
      <c r="F226" t="b">
        <f>AND(CONTROL[[#This Row],[IS_WAGON_OR_COACH]]=TRUE,OR(RIGHT(CONTROL[[#This Row],[VEHIDCODE]],7)="Powered",RIGHT(CONTROL[[#This Row],[VEHIDCODE]],9)="Unpowered"))</f>
        <v>0</v>
      </c>
      <c r="G226" s="2" t="b">
        <f>OR(ISNUMBER(SEARCH("wagon_",CONTROL[[#This Row],[VEHIDCODE]])),ISNUMBER(SEARCH("coach_",CONTROL[[#This Row],[VEHIDCODE]])))</f>
        <v>0</v>
      </c>
      <c r="H226" t="str">
        <f>"item_"&amp;CONTROL[[#This Row],[VEHIDCODE]]</f>
        <v>item_diesel_UK_BR_66</v>
      </c>
      <c r="I226" t="str">
        <f>"str_"&amp;CONTROL[[#This Row],[VEHIDCODE]]</f>
        <v>str_diesel_UK_BR_66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t="b">
        <f>ISNUMBER(_xlfn.XMATCH(CONTROL[[#This Row],[VEHIDCODE]],ENGLISH_ITEMS[VEHIDCODE],0))</f>
        <v>1</v>
      </c>
    </row>
    <row r="227" spans="1:16">
      <c r="A227" s="2" t="s">
        <v>250</v>
      </c>
      <c r="B227" t="str">
        <f>_xlfn.TEXTAFTER(TRACK_TYPES[[#This Row],[VEHIDCODE]],"_")</f>
        <v>UK_BR_67</v>
      </c>
      <c r="C227" t="s">
        <v>730</v>
      </c>
      <c r="D227" t="s">
        <v>949</v>
      </c>
      <c r="E227">
        <v>5055</v>
      </c>
      <c r="F227" t="b">
        <f>AND(CONTROL[[#This Row],[IS_WAGON_OR_COACH]]=TRUE,OR(RIGHT(CONTROL[[#This Row],[VEHIDCODE]],7)="Powered",RIGHT(CONTROL[[#This Row],[VEHIDCODE]],9)="Unpowered"))</f>
        <v>0</v>
      </c>
      <c r="G227" s="2" t="b">
        <f>OR(ISNUMBER(SEARCH("wagon_",CONTROL[[#This Row],[VEHIDCODE]])),ISNUMBER(SEARCH("coach_",CONTROL[[#This Row],[VEHIDCODE]])))</f>
        <v>0</v>
      </c>
      <c r="H227" t="str">
        <f>"item_"&amp;CONTROL[[#This Row],[VEHIDCODE]]</f>
        <v>item_diesel_UK_BR_67</v>
      </c>
      <c r="I227" t="str">
        <f>"str_"&amp;CONTROL[[#This Row],[VEHIDCODE]]</f>
        <v>str_diesel_UK_BR_67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t="b">
        <f>ISNUMBER(_xlfn.XMATCH(CONTROL[[#This Row],[VEHIDCODE]],ENGLISH_ITEMS[VEHIDCODE],0))</f>
        <v>1</v>
      </c>
    </row>
    <row r="228" spans="1:16">
      <c r="A228" s="2" t="s">
        <v>251</v>
      </c>
      <c r="B228" t="str">
        <f>_xlfn.TEXTAFTER(TRACK_TYPES[[#This Row],[VEHIDCODE]],"_")</f>
        <v>Iran_RAI_DE43CA_Prima</v>
      </c>
      <c r="C228" t="s">
        <v>730</v>
      </c>
      <c r="D228" t="s">
        <v>949</v>
      </c>
      <c r="E228">
        <v>5056</v>
      </c>
      <c r="F228" t="b">
        <f>AND(CONTROL[[#This Row],[IS_WAGON_OR_COACH]]=TRUE,OR(RIGHT(CONTROL[[#This Row],[VEHIDCODE]],7)="Powered",RIGHT(CONTROL[[#This Row],[VEHIDCODE]],9)="Unpowered"))</f>
        <v>0</v>
      </c>
      <c r="G228" s="2" t="b">
        <f>OR(ISNUMBER(SEARCH("wagon_",CONTROL[[#This Row],[VEHIDCODE]])),ISNUMBER(SEARCH("coach_",CONTROL[[#This Row],[VEHIDCODE]])))</f>
        <v>0</v>
      </c>
      <c r="H228" t="str">
        <f>"item_"&amp;CONTROL[[#This Row],[VEHIDCODE]]</f>
        <v>item_diesel_Iran_RAI_DE43CA_Prima</v>
      </c>
      <c r="I228" t="str">
        <f>"str_"&amp;CONTROL[[#This Row],[VEHIDCODE]]</f>
        <v>str_diesel_Iran_RAI_DE43CA_Prima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t="b">
        <f>ISNUMBER(_xlfn.XMATCH(CONTROL[[#This Row],[VEHIDCODE]],ENGLISH_ITEMS[VEHIDCODE],0))</f>
        <v>1</v>
      </c>
    </row>
    <row r="229" spans="1:16">
      <c r="A229" s="2" t="s">
        <v>252</v>
      </c>
      <c r="B229" t="str">
        <f>_xlfn.TEXTAFTER(TRACK_TYPES[[#This Row],[VEHIDCODE]],"_")</f>
        <v>Ukraine_UZ_TEP150</v>
      </c>
      <c r="C229" t="s">
        <v>730</v>
      </c>
      <c r="D229" t="s">
        <v>949</v>
      </c>
      <c r="E229">
        <v>5059</v>
      </c>
      <c r="F229" t="b">
        <f>AND(CONTROL[[#This Row],[IS_WAGON_OR_COACH]]=TRUE,OR(RIGHT(CONTROL[[#This Row],[VEHIDCODE]],7)="Powered",RIGHT(CONTROL[[#This Row],[VEHIDCODE]],9)="Unpowered"))</f>
        <v>0</v>
      </c>
      <c r="G229" s="2" t="b">
        <f>OR(ISNUMBER(SEARCH("wagon_",CONTROL[[#This Row],[VEHIDCODE]])),ISNUMBER(SEARCH("coach_",CONTROL[[#This Row],[VEHIDCODE]])))</f>
        <v>0</v>
      </c>
      <c r="H229" t="str">
        <f>"item_"&amp;CONTROL[[#This Row],[VEHIDCODE]]</f>
        <v>item_diesel_Ukraine_UZ_TEP150</v>
      </c>
      <c r="I229" t="str">
        <f>"str_"&amp;CONTROL[[#This Row],[VEHIDCODE]]</f>
        <v>str_diesel_Ukraine_UZ_TEP150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t="b">
        <f>ISNUMBER(_xlfn.XMATCH(CONTROL[[#This Row],[VEHIDCODE]],ENGLISH_ITEMS[VEHIDCODE],0))</f>
        <v>1</v>
      </c>
    </row>
    <row r="230" spans="1:16">
      <c r="A230" s="2" t="s">
        <v>253</v>
      </c>
      <c r="B230" t="str">
        <f>_xlfn.TEXTAFTER(TRACK_TYPES[[#This Row],[VEHIDCODE]],"_")</f>
        <v>China_China_Railways_HXN5</v>
      </c>
      <c r="C230" t="s">
        <v>730</v>
      </c>
      <c r="D230" t="s">
        <v>949</v>
      </c>
      <c r="E230">
        <v>5060</v>
      </c>
      <c r="F230" t="b">
        <f>AND(CONTROL[[#This Row],[IS_WAGON_OR_COACH]]=TRUE,OR(RIGHT(CONTROL[[#This Row],[VEHIDCODE]],7)="Powered",RIGHT(CONTROL[[#This Row],[VEHIDCODE]],9)="Unpowered"))</f>
        <v>0</v>
      </c>
      <c r="G230" s="2" t="b">
        <f>OR(ISNUMBER(SEARCH("wagon_",CONTROL[[#This Row],[VEHIDCODE]])),ISNUMBER(SEARCH("coach_",CONTROL[[#This Row],[VEHIDCODE]])))</f>
        <v>0</v>
      </c>
      <c r="H230" t="str">
        <f>"item_"&amp;CONTROL[[#This Row],[VEHIDCODE]]</f>
        <v>item_diesel_China_China_Railways_HXN5</v>
      </c>
      <c r="I230" t="str">
        <f>"str_"&amp;CONTROL[[#This Row],[VEHIDCODE]]</f>
        <v>str_diesel_China_China_Railways_HXN5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t="b">
        <f>ISNUMBER(_xlfn.XMATCH(CONTROL[[#This Row],[VEHIDCODE]],ENGLISH_ITEMS[VEHIDCODE],0))</f>
        <v>1</v>
      </c>
    </row>
    <row r="231" spans="1:16">
      <c r="A231" s="2" t="s">
        <v>254</v>
      </c>
      <c r="B231" t="str">
        <f>_xlfn.TEXTAFTER(TRACK_TYPES[[#This Row],[VEHIDCODE]],"_")</f>
        <v>Germany_DB_261_Gravita_10BB</v>
      </c>
      <c r="C231" t="s">
        <v>730</v>
      </c>
      <c r="D231" t="s">
        <v>949</v>
      </c>
      <c r="E231">
        <v>5061</v>
      </c>
      <c r="F231" t="b">
        <f>AND(CONTROL[[#This Row],[IS_WAGON_OR_COACH]]=TRUE,OR(RIGHT(CONTROL[[#This Row],[VEHIDCODE]],7)="Powered",RIGHT(CONTROL[[#This Row],[VEHIDCODE]],9)="Unpowered"))</f>
        <v>0</v>
      </c>
      <c r="G231" s="2" t="b">
        <f>OR(ISNUMBER(SEARCH("wagon_",CONTROL[[#This Row],[VEHIDCODE]])),ISNUMBER(SEARCH("coach_",CONTROL[[#This Row],[VEHIDCODE]])))</f>
        <v>0</v>
      </c>
      <c r="H231" t="str">
        <f>"item_"&amp;CONTROL[[#This Row],[VEHIDCODE]]</f>
        <v>item_diesel_Germany_DB_261_Gravita_10BB</v>
      </c>
      <c r="I231" t="str">
        <f>"str_"&amp;CONTROL[[#This Row],[VEHIDCODE]]</f>
        <v>str_diesel_Germany_DB_261_Gravita_10BB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t="b">
        <f>ISNUMBER(_xlfn.XMATCH(CONTROL[[#This Row],[VEHIDCODE]],ENGLISH_ITEMS[VEHIDCODE],0))</f>
        <v>1</v>
      </c>
    </row>
    <row r="232" spans="1:16">
      <c r="A232" s="2" t="s">
        <v>255</v>
      </c>
      <c r="B232" t="str">
        <f>_xlfn.TEXTAFTER(TRACK_TYPES[[#This Row],[VEHIDCODE]],"_")</f>
        <v>Russia_RZD_GT1</v>
      </c>
      <c r="C232" t="s">
        <v>730</v>
      </c>
      <c r="D232" t="s">
        <v>949</v>
      </c>
      <c r="E232">
        <v>5063</v>
      </c>
      <c r="F232" t="b">
        <f>AND(CONTROL[[#This Row],[IS_WAGON_OR_COACH]]=TRUE,OR(RIGHT(CONTROL[[#This Row],[VEHIDCODE]],7)="Powered",RIGHT(CONTROL[[#This Row],[VEHIDCODE]],9)="Unpowered"))</f>
        <v>0</v>
      </c>
      <c r="G232" s="2" t="b">
        <f>OR(ISNUMBER(SEARCH("wagon_",CONTROL[[#This Row],[VEHIDCODE]])),ISNUMBER(SEARCH("coach_",CONTROL[[#This Row],[VEHIDCODE]])))</f>
        <v>0</v>
      </c>
      <c r="H232" t="str">
        <f>"item_"&amp;CONTROL[[#This Row],[VEHIDCODE]]</f>
        <v>item_diesel_Russia_RZD_GT1</v>
      </c>
      <c r="I232" t="str">
        <f>"str_"&amp;CONTROL[[#This Row],[VEHIDCODE]]</f>
        <v>str_diesel_Russia_RZD_GT1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t="b">
        <f>ISNUMBER(_xlfn.XMATCH(CONTROL[[#This Row],[VEHIDCODE]],ENGLISH_ITEMS[VEHIDCODE],0))</f>
        <v>1</v>
      </c>
    </row>
    <row r="233" spans="1:16">
      <c r="A233" s="2" t="s">
        <v>256</v>
      </c>
      <c r="B233" t="str">
        <f>_xlfn.TEXTAFTER(TRACK_TYPES[[#This Row],[VEHIDCODE]],"_")</f>
        <v>China_MTR_8000</v>
      </c>
      <c r="C233" t="s">
        <v>730</v>
      </c>
      <c r="D233" t="s">
        <v>949</v>
      </c>
      <c r="E233">
        <v>5058</v>
      </c>
      <c r="F233" t="b">
        <f>AND(CONTROL[[#This Row],[IS_WAGON_OR_COACH]]=TRUE,OR(RIGHT(CONTROL[[#This Row],[VEHIDCODE]],7)="Powered",RIGHT(CONTROL[[#This Row],[VEHIDCODE]],9)="Unpowered"))</f>
        <v>0</v>
      </c>
      <c r="G233" s="2" t="b">
        <f>OR(ISNUMBER(SEARCH("wagon_",CONTROL[[#This Row],[VEHIDCODE]])),ISNUMBER(SEARCH("coach_",CONTROL[[#This Row],[VEHIDCODE]])))</f>
        <v>0</v>
      </c>
      <c r="H233" t="str">
        <f>"item_"&amp;CONTROL[[#This Row],[VEHIDCODE]]</f>
        <v>item_diesel_China_MTR_8000</v>
      </c>
      <c r="I233" t="str">
        <f>"str_"&amp;CONTROL[[#This Row],[VEHIDCODE]]</f>
        <v>str_diesel_China_MTR_8000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t="b">
        <f>ISNUMBER(_xlfn.XMATCH(CONTROL[[#This Row],[VEHIDCODE]],ENGLISH_ITEMS[VEHIDCODE],0))</f>
        <v>1</v>
      </c>
    </row>
    <row r="234" spans="1:16">
      <c r="A234" s="2" t="s">
        <v>257</v>
      </c>
      <c r="B234" t="str">
        <f>_xlfn.TEXTAFTER(TRACK_TYPES[[#This Row],[VEHIDCODE]],"_")</f>
        <v>Germany_HVLE_V490</v>
      </c>
      <c r="C234" t="s">
        <v>730</v>
      </c>
      <c r="D234" t="s">
        <v>949</v>
      </c>
      <c r="E234">
        <v>5062</v>
      </c>
      <c r="F234" t="b">
        <f>AND(CONTROL[[#This Row],[IS_WAGON_OR_COACH]]=TRUE,OR(RIGHT(CONTROL[[#This Row],[VEHIDCODE]],7)="Powered",RIGHT(CONTROL[[#This Row],[VEHIDCODE]],9)="Unpowered"))</f>
        <v>0</v>
      </c>
      <c r="G234" s="2" t="b">
        <f>OR(ISNUMBER(SEARCH("wagon_",CONTROL[[#This Row],[VEHIDCODE]])),ISNUMBER(SEARCH("coach_",CONTROL[[#This Row],[VEHIDCODE]])))</f>
        <v>0</v>
      </c>
      <c r="H234" t="str">
        <f>"item_"&amp;CONTROL[[#This Row],[VEHIDCODE]]</f>
        <v>item_diesel_Germany_HVLE_V490</v>
      </c>
      <c r="I234" t="str">
        <f>"str_"&amp;CONTROL[[#This Row],[VEHIDCODE]]</f>
        <v>str_diesel_Germany_HVLE_V490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t="b">
        <f>ISNUMBER(_xlfn.XMATCH(CONTROL[[#This Row],[VEHIDCODE]],ENGLISH_ITEMS[VEHIDCODE],0))</f>
        <v>1</v>
      </c>
    </row>
    <row r="235" spans="1:16">
      <c r="A235" s="2" t="s">
        <v>258</v>
      </c>
      <c r="B235" t="str">
        <f>_xlfn.TEXTAFTER(TRACK_TYPES[[#This Row],[VEHIDCODE]],"_")</f>
        <v>Russia_RZD_Emch_3</v>
      </c>
      <c r="C235" t="s">
        <v>730</v>
      </c>
      <c r="D235" t="s">
        <v>949</v>
      </c>
      <c r="E235">
        <v>5066</v>
      </c>
      <c r="F235" t="b">
        <f>AND(CONTROL[[#This Row],[IS_WAGON_OR_COACH]]=TRUE,OR(RIGHT(CONTROL[[#This Row],[VEHIDCODE]],7)="Powered",RIGHT(CONTROL[[#This Row],[VEHIDCODE]],9)="Unpowered"))</f>
        <v>0</v>
      </c>
      <c r="G235" s="2" t="b">
        <f>OR(ISNUMBER(SEARCH("wagon_",CONTROL[[#This Row],[VEHIDCODE]])),ISNUMBER(SEARCH("coach_",CONTROL[[#This Row],[VEHIDCODE]])))</f>
        <v>0</v>
      </c>
      <c r="H235" t="str">
        <f>"item_"&amp;CONTROL[[#This Row],[VEHIDCODE]]</f>
        <v>item_diesel_Russia_RZD_Emch_3</v>
      </c>
      <c r="I235" t="str">
        <f>"str_"&amp;CONTROL[[#This Row],[VEHIDCODE]]</f>
        <v>str_diesel_Russia_RZD_Emch_3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t="b">
        <f>ISNUMBER(_xlfn.XMATCH(CONTROL[[#This Row],[VEHIDCODE]],ENGLISH_ITEMS[VEHIDCODE],0))</f>
        <v>1</v>
      </c>
    </row>
    <row r="236" spans="1:16">
      <c r="A236" s="2" t="s">
        <v>259</v>
      </c>
      <c r="B236" t="str">
        <f>_xlfn.TEXTAFTER(TRACK_TYPES[[#This Row],[VEHIDCODE]],"_")</f>
        <v>Canada_CNR_9000</v>
      </c>
      <c r="C236" t="s">
        <v>730</v>
      </c>
      <c r="D236" t="s">
        <v>949</v>
      </c>
      <c r="E236">
        <v>5067</v>
      </c>
      <c r="F236" t="b">
        <f>AND(CONTROL[[#This Row],[IS_WAGON_OR_COACH]]=TRUE,OR(RIGHT(CONTROL[[#This Row],[VEHIDCODE]],7)="Powered",RIGHT(CONTROL[[#This Row],[VEHIDCODE]],9)="Unpowered"))</f>
        <v>0</v>
      </c>
      <c r="G236" s="2" t="b">
        <f>OR(ISNUMBER(SEARCH("wagon_",CONTROL[[#This Row],[VEHIDCODE]])),ISNUMBER(SEARCH("coach_",CONTROL[[#This Row],[VEHIDCODE]])))</f>
        <v>0</v>
      </c>
      <c r="H236" t="str">
        <f>"item_"&amp;CONTROL[[#This Row],[VEHIDCODE]]</f>
        <v>item_diesel_Canada_CNR_9000</v>
      </c>
      <c r="I236" t="str">
        <f>"str_"&amp;CONTROL[[#This Row],[VEHIDCODE]]</f>
        <v>str_diesel_Canada_CNR_9000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t="b">
        <f>ISNUMBER(_xlfn.XMATCH(CONTROL[[#This Row],[VEHIDCODE]],ENGLISH_ITEMS[VEHIDCODE],0))</f>
        <v>1</v>
      </c>
    </row>
    <row r="237" spans="1:16">
      <c r="A237" s="2" t="s">
        <v>260</v>
      </c>
      <c r="B237" t="str">
        <f>_xlfn.TEXTAFTER(TRACK_TYPES[[#This Row],[VEHIDCODE]],"_")</f>
        <v>UK_LMS_7051_Diesel_Shunter</v>
      </c>
      <c r="C237" t="s">
        <v>730</v>
      </c>
      <c r="D237" t="s">
        <v>949</v>
      </c>
      <c r="E237">
        <v>5068</v>
      </c>
      <c r="F237" t="b">
        <f>AND(CONTROL[[#This Row],[IS_WAGON_OR_COACH]]=TRUE,OR(RIGHT(CONTROL[[#This Row],[VEHIDCODE]],7)="Powered",RIGHT(CONTROL[[#This Row],[VEHIDCODE]],9)="Unpowered"))</f>
        <v>0</v>
      </c>
      <c r="G237" s="2" t="b">
        <f>OR(ISNUMBER(SEARCH("wagon_",CONTROL[[#This Row],[VEHIDCODE]])),ISNUMBER(SEARCH("coach_",CONTROL[[#This Row],[VEHIDCODE]])))</f>
        <v>0</v>
      </c>
      <c r="H237" t="str">
        <f>"item_"&amp;CONTROL[[#This Row],[VEHIDCODE]]</f>
        <v>item_diesel_UK_LMS_7051_Diesel_Shunter</v>
      </c>
      <c r="I237" t="str">
        <f>"str_"&amp;CONTROL[[#This Row],[VEHIDCODE]]</f>
        <v>str_diesel_UK_LMS_7051_Diesel_Shunter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t="b">
        <f>ISNUMBER(_xlfn.XMATCH(CONTROL[[#This Row],[VEHIDCODE]],ENGLISH_ITEMS[VEHIDCODE],0))</f>
        <v>1</v>
      </c>
    </row>
    <row r="238" spans="1:16">
      <c r="A238" s="2" t="s">
        <v>261</v>
      </c>
      <c r="B238" t="str">
        <f>_xlfn.TEXTAFTER(TRACK_TYPES[[#This Row],[VEHIDCODE]],"_")</f>
        <v>USA_Rock_Island_EMC_TA</v>
      </c>
      <c r="C238" t="s">
        <v>730</v>
      </c>
      <c r="D238" t="s">
        <v>949</v>
      </c>
      <c r="E238">
        <v>5069</v>
      </c>
      <c r="F238" t="b">
        <f>AND(CONTROL[[#This Row],[IS_WAGON_OR_COACH]]=TRUE,OR(RIGHT(CONTROL[[#This Row],[VEHIDCODE]],7)="Powered",RIGHT(CONTROL[[#This Row],[VEHIDCODE]],9)="Unpowered"))</f>
        <v>0</v>
      </c>
      <c r="G238" s="2" t="b">
        <f>OR(ISNUMBER(SEARCH("wagon_",CONTROL[[#This Row],[VEHIDCODE]])),ISNUMBER(SEARCH("coach_",CONTROL[[#This Row],[VEHIDCODE]])))</f>
        <v>0</v>
      </c>
      <c r="H238" t="str">
        <f>"item_"&amp;CONTROL[[#This Row],[VEHIDCODE]]</f>
        <v>item_diesel_USA_Rock_Island_EMC_TA</v>
      </c>
      <c r="I238" t="str">
        <f>"str_"&amp;CONTROL[[#This Row],[VEHIDCODE]]</f>
        <v>str_diesel_USA_Rock_Island_EMC_TA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t="b">
        <f>ISNUMBER(_xlfn.XMATCH(CONTROL[[#This Row],[VEHIDCODE]],ENGLISH_ITEMS[VEHIDCODE],0))</f>
        <v>1</v>
      </c>
    </row>
    <row r="239" spans="1:16">
      <c r="A239" s="2" t="s">
        <v>262</v>
      </c>
      <c r="B239" t="str">
        <f>_xlfn.TEXTAFTER(TRACK_TYPES[[#This Row],[VEHIDCODE]],"_")</f>
        <v>USA_NYC_Baldwin_VO_660</v>
      </c>
      <c r="C239" t="s">
        <v>730</v>
      </c>
      <c r="D239" t="s">
        <v>949</v>
      </c>
      <c r="E239">
        <v>5070</v>
      </c>
      <c r="F239" t="b">
        <f>AND(CONTROL[[#This Row],[IS_WAGON_OR_COACH]]=TRUE,OR(RIGHT(CONTROL[[#This Row],[VEHIDCODE]],7)="Powered",RIGHT(CONTROL[[#This Row],[VEHIDCODE]],9)="Unpowered"))</f>
        <v>0</v>
      </c>
      <c r="G239" s="2" t="b">
        <f>OR(ISNUMBER(SEARCH("wagon_",CONTROL[[#This Row],[VEHIDCODE]])),ISNUMBER(SEARCH("coach_",CONTROL[[#This Row],[VEHIDCODE]])))</f>
        <v>0</v>
      </c>
      <c r="H239" t="str">
        <f>"item_"&amp;CONTROL[[#This Row],[VEHIDCODE]]</f>
        <v>item_diesel_USA_NYC_Baldwin_VO_660</v>
      </c>
      <c r="I239" t="str">
        <f>"str_"&amp;CONTROL[[#This Row],[VEHIDCODE]]</f>
        <v>str_diesel_USA_NYC_Baldwin_VO_660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t="b">
        <f>ISNUMBER(_xlfn.XMATCH(CONTROL[[#This Row],[VEHIDCODE]],ENGLISH_ITEMS[VEHIDCODE],0))</f>
        <v>1</v>
      </c>
    </row>
    <row r="240" spans="1:16">
      <c r="A240" s="2" t="s">
        <v>263</v>
      </c>
      <c r="B240" t="str">
        <f>_xlfn.TEXTAFTER(TRACK_TYPES[[#This Row],[VEHIDCODE]],"_")</f>
        <v>UK_BR_Class_D3_7</v>
      </c>
      <c r="C240" t="s">
        <v>730</v>
      </c>
      <c r="D240" t="s">
        <v>949</v>
      </c>
      <c r="E240">
        <v>5071</v>
      </c>
      <c r="F240" t="b">
        <f>AND(CONTROL[[#This Row],[IS_WAGON_OR_COACH]]=TRUE,OR(RIGHT(CONTROL[[#This Row],[VEHIDCODE]],7)="Powered",RIGHT(CONTROL[[#This Row],[VEHIDCODE]],9)="Unpowered"))</f>
        <v>0</v>
      </c>
      <c r="G240" s="2" t="b">
        <f>OR(ISNUMBER(SEARCH("wagon_",CONTROL[[#This Row],[VEHIDCODE]])),ISNUMBER(SEARCH("coach_",CONTROL[[#This Row],[VEHIDCODE]])))</f>
        <v>0</v>
      </c>
      <c r="H240" t="str">
        <f>"item_"&amp;CONTROL[[#This Row],[VEHIDCODE]]</f>
        <v>item_diesel_UK_BR_Class_D3_7</v>
      </c>
      <c r="I240" t="str">
        <f>"str_"&amp;CONTROL[[#This Row],[VEHIDCODE]]</f>
        <v>str_diesel_UK_BR_Class_D3_7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t="b">
        <f>ISNUMBER(_xlfn.XMATCH(CONTROL[[#This Row],[VEHIDCODE]],ENGLISH_ITEMS[VEHIDCODE],0))</f>
        <v>1</v>
      </c>
    </row>
    <row r="241" spans="1:16">
      <c r="A241" s="2" t="s">
        <v>264</v>
      </c>
      <c r="B241" t="str">
        <f>_xlfn.TEXTAFTER(TRACK_TYPES[[#This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b">
        <f>AND(CONTROL[[#This Row],[IS_WAGON_OR_COACH]]=TRUE,OR(RIGHT(CONTROL[[#This Row],[VEHIDCODE]],7)="Powered",RIGHT(CONTROL[[#This Row],[VEHIDCODE]],9)="Unpowered"))</f>
        <v>0</v>
      </c>
      <c r="G241" s="2" t="b">
        <f>OR(ISNUMBER(SEARCH("wagon_",CONTROL[[#This Row],[VEHIDCODE]])),ISNUMBER(SEARCH("coach_",CONTROL[[#This Row],[VEHIDCODE]])))</f>
        <v>0</v>
      </c>
      <c r="H241" t="str">
        <f>"item_"&amp;CONTROL[[#This Row],[VEHIDCODE]]</f>
        <v>item_diesel_Australia_Queensland_Railways_DL_Class</v>
      </c>
      <c r="I241" t="str">
        <f>"str_"&amp;CONTROL[[#This Row],[VEHIDCODE]]</f>
        <v>str_diesel_Australia_Queensland_Railways_DL_Class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t="b">
        <f>ISNUMBER(_xlfn.XMATCH(CONTROL[[#This Row],[VEHIDCODE]],ENGLISH_ITEMS[VEHIDCODE],0))</f>
        <v>1</v>
      </c>
    </row>
    <row r="242" spans="1:16">
      <c r="A242" s="2" t="s">
        <v>265</v>
      </c>
      <c r="B242" t="str">
        <f>_xlfn.TEXTAFTER(TRACK_TYPES[[#This Row],[VEHIDCODE]],"_")</f>
        <v>USA_PRR_FM_H_10_44</v>
      </c>
      <c r="C242" t="s">
        <v>730</v>
      </c>
      <c r="D242" t="s">
        <v>949</v>
      </c>
      <c r="E242">
        <v>5073</v>
      </c>
      <c r="F242" t="b">
        <f>AND(CONTROL[[#This Row],[IS_WAGON_OR_COACH]]=TRUE,OR(RIGHT(CONTROL[[#This Row],[VEHIDCODE]],7)="Powered",RIGHT(CONTROL[[#This Row],[VEHIDCODE]],9)="Unpowered"))</f>
        <v>0</v>
      </c>
      <c r="G242" s="2" t="b">
        <f>OR(ISNUMBER(SEARCH("wagon_",CONTROL[[#This Row],[VEHIDCODE]])),ISNUMBER(SEARCH("coach_",CONTROL[[#This Row],[VEHIDCODE]])))</f>
        <v>0</v>
      </c>
      <c r="H242" t="str">
        <f>"item_"&amp;CONTROL[[#This Row],[VEHIDCODE]]</f>
        <v>item_diesel_USA_PRR_FM_H_10_44</v>
      </c>
      <c r="I242" t="str">
        <f>"str_"&amp;CONTROL[[#This Row],[VEHIDCODE]]</f>
        <v>str_diesel_USA_PRR_FM_H_10_44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t="b">
        <f>ISNUMBER(_xlfn.XMATCH(CONTROL[[#This Row],[VEHIDCODE]],ENGLISH_ITEMS[VEHIDCODE],0))</f>
        <v>1</v>
      </c>
    </row>
    <row r="243" spans="1:16">
      <c r="A243" s="2" t="s">
        <v>266</v>
      </c>
      <c r="B243" t="str">
        <f>_xlfn.TEXTAFTER(TRACK_TYPES[[#This Row],[VEHIDCODE]],"_")</f>
        <v>Algeria_SNTF_Baldwin_DRS6_4_1000</v>
      </c>
      <c r="C243" t="s">
        <v>730</v>
      </c>
      <c r="D243" t="s">
        <v>949</v>
      </c>
      <c r="E243">
        <v>5074</v>
      </c>
      <c r="F243" t="b">
        <f>AND(CONTROL[[#This Row],[IS_WAGON_OR_COACH]]=TRUE,OR(RIGHT(CONTROL[[#This Row],[VEHIDCODE]],7)="Powered",RIGHT(CONTROL[[#This Row],[VEHIDCODE]],9)="Unpowered"))</f>
        <v>0</v>
      </c>
      <c r="G243" s="2" t="b">
        <f>OR(ISNUMBER(SEARCH("wagon_",CONTROL[[#This Row],[VEHIDCODE]])),ISNUMBER(SEARCH("coach_",CONTROL[[#This Row],[VEHIDCODE]])))</f>
        <v>0</v>
      </c>
      <c r="H243" t="str">
        <f>"item_"&amp;CONTROL[[#This Row],[VEHIDCODE]]</f>
        <v>item_diesel_Algeria_SNTF_Baldwin_DRS6_4_1000</v>
      </c>
      <c r="I243" t="str">
        <f>"str_"&amp;CONTROL[[#This Row],[VEHIDCODE]]</f>
        <v>str_diesel_Algeria_SNTF_Baldwin_DRS6_4_1000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t="b">
        <f>ISNUMBER(_xlfn.XMATCH(CONTROL[[#This Row],[VEHIDCODE]],ENGLISH_ITEMS[VEHIDCODE],0))</f>
        <v>1</v>
      </c>
    </row>
    <row r="244" spans="1:16">
      <c r="A244" s="2" t="s">
        <v>267</v>
      </c>
      <c r="B244" t="str">
        <f>_xlfn.TEXTAFTER(TRACK_TYPES[[#This Row],[VEHIDCODE]],"_")</f>
        <v>Ireland_CIE_113</v>
      </c>
      <c r="C244" t="s">
        <v>730</v>
      </c>
      <c r="D244" t="s">
        <v>949</v>
      </c>
      <c r="E244">
        <v>5075</v>
      </c>
      <c r="F244" t="b">
        <f>AND(CONTROL[[#This Row],[IS_WAGON_OR_COACH]]=TRUE,OR(RIGHT(CONTROL[[#This Row],[VEHIDCODE]],7)="Powered",RIGHT(CONTROL[[#This Row],[VEHIDCODE]],9)="Unpowered"))</f>
        <v>0</v>
      </c>
      <c r="G244" s="2" t="b">
        <f>OR(ISNUMBER(SEARCH("wagon_",CONTROL[[#This Row],[VEHIDCODE]])),ISNUMBER(SEARCH("coach_",CONTROL[[#This Row],[VEHIDCODE]])))</f>
        <v>0</v>
      </c>
      <c r="H244" t="str">
        <f>"item_"&amp;CONTROL[[#This Row],[VEHIDCODE]]</f>
        <v>item_diesel_Ireland_CIE_113</v>
      </c>
      <c r="I244" t="str">
        <f>"str_"&amp;CONTROL[[#This Row],[VEHIDCODE]]</f>
        <v>str_diesel_Ireland_CIE_113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t="b">
        <f>ISNUMBER(_xlfn.XMATCH(CONTROL[[#This Row],[VEHIDCODE]],ENGLISH_ITEMS[VEHIDCODE],0))</f>
        <v>1</v>
      </c>
    </row>
    <row r="245" spans="1:16">
      <c r="A245" s="2" t="s">
        <v>268</v>
      </c>
      <c r="B245" t="str">
        <f>_xlfn.TEXTAFTER(TRACK_TYPES[[#This Row],[VEHIDCODE]],"_")</f>
        <v>Brazil_EFC_3300_Baldwin_AS_616</v>
      </c>
      <c r="C245" t="s">
        <v>730</v>
      </c>
      <c r="D245" t="s">
        <v>949</v>
      </c>
      <c r="E245">
        <v>5076</v>
      </c>
      <c r="F245" t="b">
        <f>AND(CONTROL[[#This Row],[IS_WAGON_OR_COACH]]=TRUE,OR(RIGHT(CONTROL[[#This Row],[VEHIDCODE]],7)="Powered",RIGHT(CONTROL[[#This Row],[VEHIDCODE]],9)="Unpowered"))</f>
        <v>0</v>
      </c>
      <c r="G245" s="2" t="b">
        <f>OR(ISNUMBER(SEARCH("wagon_",CONTROL[[#This Row],[VEHIDCODE]])),ISNUMBER(SEARCH("coach_",CONTROL[[#This Row],[VEHIDCODE]])))</f>
        <v>0</v>
      </c>
      <c r="H245" t="str">
        <f>"item_"&amp;CONTROL[[#This Row],[VEHIDCODE]]</f>
        <v>item_diesel_Brazil_EFC_3300_Baldwin_AS_616</v>
      </c>
      <c r="I245" t="str">
        <f>"str_"&amp;CONTROL[[#This Row],[VEHIDCODE]]</f>
        <v>str_diesel_Brazil_EFC_3300_Baldwin_AS_616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t="b">
        <f>ISNUMBER(_xlfn.XMATCH(CONTROL[[#This Row],[VEHIDCODE]],ENGLISH_ITEMS[VEHIDCODE],0))</f>
        <v>1</v>
      </c>
    </row>
    <row r="246" spans="1:16">
      <c r="A246" s="2" t="s">
        <v>269</v>
      </c>
      <c r="B246" t="str">
        <f>_xlfn.TEXTAFTER(TRACK_TYPES[[#This Row],[VEHIDCODE]],"_")</f>
        <v>Mexico_CHP_500_FM_H_16_44</v>
      </c>
      <c r="C246" t="s">
        <v>730</v>
      </c>
      <c r="D246" t="s">
        <v>949</v>
      </c>
      <c r="E246">
        <v>5077</v>
      </c>
      <c r="F246" t="b">
        <f>AND(CONTROL[[#This Row],[IS_WAGON_OR_COACH]]=TRUE,OR(RIGHT(CONTROL[[#This Row],[VEHIDCODE]],7)="Powered",RIGHT(CONTROL[[#This Row],[VEHIDCODE]],9)="Unpowered"))</f>
        <v>0</v>
      </c>
      <c r="G246" s="2" t="b">
        <f>OR(ISNUMBER(SEARCH("wagon_",CONTROL[[#This Row],[VEHIDCODE]])),ISNUMBER(SEARCH("coach_",CONTROL[[#This Row],[VEHIDCODE]])))</f>
        <v>0</v>
      </c>
      <c r="H246" t="str">
        <f>"item_"&amp;CONTROL[[#This Row],[VEHIDCODE]]</f>
        <v>item_diesel_Mexico_CHP_500_FM_H_16_44</v>
      </c>
      <c r="I246" t="str">
        <f>"str_"&amp;CONTROL[[#This Row],[VEHIDCODE]]</f>
        <v>str_diesel_Mexico_CHP_500_FM_H_16_44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t="b">
        <f>ISNUMBER(_xlfn.XMATCH(CONTROL[[#This Row],[VEHIDCODE]],ENGLISH_ITEMS[VEHIDCODE],0))</f>
        <v>1</v>
      </c>
    </row>
    <row r="247" spans="1:16">
      <c r="A247" s="2" t="s">
        <v>270</v>
      </c>
      <c r="B247" t="str">
        <f>_xlfn.TEXTAFTER(TRACK_TYPES[[#This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b">
        <f>AND(CONTROL[[#This Row],[IS_WAGON_OR_COACH]]=TRUE,OR(RIGHT(CONTROL[[#This Row],[VEHIDCODE]],7)="Powered",RIGHT(CONTROL[[#This Row],[VEHIDCODE]],9)="Unpowered"))</f>
        <v>0</v>
      </c>
      <c r="G247" s="2" t="b">
        <f>OR(ISNUMBER(SEARCH("wagon_",CONTROL[[#This Row],[VEHIDCODE]])),ISNUMBER(SEARCH("coach_",CONTROL[[#This Row],[VEHIDCODE]])))</f>
        <v>0</v>
      </c>
      <c r="H247" t="str">
        <f>"item_"&amp;CONTROL[[#This Row],[VEHIDCODE]]</f>
        <v>item_diesel_Australia_South_Australian_Railways_900</v>
      </c>
      <c r="I247" t="str">
        <f>"str_"&amp;CONTROL[[#This Row],[VEHIDCODE]]</f>
        <v>str_diesel_Australia_South_Australian_Railways_900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t="b">
        <f>ISNUMBER(_xlfn.XMATCH(CONTROL[[#This Row],[VEHIDCODE]],ENGLISH_ITEMS[VEHIDCODE],0))</f>
        <v>1</v>
      </c>
    </row>
    <row r="248" spans="1:16">
      <c r="A248" s="2" t="s">
        <v>271</v>
      </c>
      <c r="B248" t="str">
        <f>_xlfn.TEXTAFTER(TRACK_TYPES[[#This Row],[VEHIDCODE]],"_")</f>
        <v>Sri_Lanka_Sri_Lanka_Railways_M2</v>
      </c>
      <c r="C248" t="s">
        <v>730</v>
      </c>
      <c r="D248" t="s">
        <v>949</v>
      </c>
      <c r="E248">
        <v>5079</v>
      </c>
      <c r="F248" t="b">
        <f>AND(CONTROL[[#This Row],[IS_WAGON_OR_COACH]]=TRUE,OR(RIGHT(CONTROL[[#This Row],[VEHIDCODE]],7)="Powered",RIGHT(CONTROL[[#This Row],[VEHIDCODE]],9)="Unpowered"))</f>
        <v>0</v>
      </c>
      <c r="G248" s="2" t="b">
        <f>OR(ISNUMBER(SEARCH("wagon_",CONTROL[[#This Row],[VEHIDCODE]])),ISNUMBER(SEARCH("coach_",CONTROL[[#This Row],[VEHIDCODE]])))</f>
        <v>0</v>
      </c>
      <c r="H248" t="str">
        <f>"item_"&amp;CONTROL[[#This Row],[VEHIDCODE]]</f>
        <v>item_diesel_Sri_Lanka_Sri_Lanka_Railways_M2</v>
      </c>
      <c r="I248" t="str">
        <f>"str_"&amp;CONTROL[[#This Row],[VEHIDCODE]]</f>
        <v>str_diesel_Sri_Lanka_Sri_Lanka_Railways_M2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t="b">
        <f>ISNUMBER(_xlfn.XMATCH(CONTROL[[#This Row],[VEHIDCODE]],ENGLISH_ITEMS[VEHIDCODE],0))</f>
        <v>1</v>
      </c>
    </row>
    <row r="249" spans="1:16">
      <c r="A249" s="2" t="s">
        <v>272</v>
      </c>
      <c r="B249" t="str">
        <f>_xlfn.TEXTAFTER(TRACK_TYPES[[#This Row],[VEHIDCODE]],"_")</f>
        <v>Ireland_CIE_001</v>
      </c>
      <c r="C249" t="s">
        <v>730</v>
      </c>
      <c r="D249" t="s">
        <v>949</v>
      </c>
      <c r="E249">
        <v>5080</v>
      </c>
      <c r="F249" t="b">
        <f>AND(CONTROL[[#This Row],[IS_WAGON_OR_COACH]]=TRUE,OR(RIGHT(CONTROL[[#This Row],[VEHIDCODE]],7)="Powered",RIGHT(CONTROL[[#This Row],[VEHIDCODE]],9)="Unpowered"))</f>
        <v>0</v>
      </c>
      <c r="G249" s="2" t="b">
        <f>OR(ISNUMBER(SEARCH("wagon_",CONTROL[[#This Row],[VEHIDCODE]])),ISNUMBER(SEARCH("coach_",CONTROL[[#This Row],[VEHIDCODE]])))</f>
        <v>0</v>
      </c>
      <c r="H249" t="str">
        <f>"item_"&amp;CONTROL[[#This Row],[VEHIDCODE]]</f>
        <v>item_diesel_Ireland_CIE_001</v>
      </c>
      <c r="I249" t="str">
        <f>"str_"&amp;CONTROL[[#This Row],[VEHIDCODE]]</f>
        <v>str_diesel_Ireland_CIE_001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t="b">
        <f>ISNUMBER(_xlfn.XMATCH(CONTROL[[#This Row],[VEHIDCODE]],ENGLISH_ITEMS[VEHIDCODE],0))</f>
        <v>1</v>
      </c>
    </row>
    <row r="250" spans="1:16">
      <c r="A250" s="2" t="s">
        <v>273</v>
      </c>
      <c r="B250" t="str">
        <f>_xlfn.TEXTAFTER(TRACK_TYPES[[#This Row],[VEHIDCODE]],"_")</f>
        <v>Italy_FS_D341</v>
      </c>
      <c r="C250" t="s">
        <v>730</v>
      </c>
      <c r="D250" t="s">
        <v>949</v>
      </c>
      <c r="E250">
        <v>5081</v>
      </c>
      <c r="F250" t="b">
        <f>AND(CONTROL[[#This Row],[IS_WAGON_OR_COACH]]=TRUE,OR(RIGHT(CONTROL[[#This Row],[VEHIDCODE]],7)="Powered",RIGHT(CONTROL[[#This Row],[VEHIDCODE]],9)="Unpowered"))</f>
        <v>0</v>
      </c>
      <c r="G250" s="2" t="b">
        <f>OR(ISNUMBER(SEARCH("wagon_",CONTROL[[#This Row],[VEHIDCODE]])),ISNUMBER(SEARCH("coach_",CONTROL[[#This Row],[VEHIDCODE]])))</f>
        <v>0</v>
      </c>
      <c r="H250" t="str">
        <f>"item_"&amp;CONTROL[[#This Row],[VEHIDCODE]]</f>
        <v>item_diesel_Italy_FS_D341</v>
      </c>
      <c r="I250" t="str">
        <f>"str_"&amp;CONTROL[[#This Row],[VEHIDCODE]]</f>
        <v>str_diesel_Italy_FS_D341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t="b">
        <f>ISNUMBER(_xlfn.XMATCH(CONTROL[[#This Row],[VEHIDCODE]],ENGLISH_ITEMS[VEHIDCODE],0))</f>
        <v>1</v>
      </c>
    </row>
    <row r="251" spans="1:16">
      <c r="A251" s="2" t="s">
        <v>274</v>
      </c>
      <c r="B251" t="str">
        <f>_xlfn.TEXTAFTER(TRACK_TYPES[[#This Row],[VEHIDCODE]],"_")</f>
        <v>Australia_NSWGR_44</v>
      </c>
      <c r="C251" t="s">
        <v>730</v>
      </c>
      <c r="D251" t="s">
        <v>949</v>
      </c>
      <c r="E251">
        <v>5083</v>
      </c>
      <c r="F251" t="b">
        <f>AND(CONTROL[[#This Row],[IS_WAGON_OR_COACH]]=TRUE,OR(RIGHT(CONTROL[[#This Row],[VEHIDCODE]],7)="Powered",RIGHT(CONTROL[[#This Row],[VEHIDCODE]],9)="Unpowered"))</f>
        <v>0</v>
      </c>
      <c r="G251" s="2" t="b">
        <f>OR(ISNUMBER(SEARCH("wagon_",CONTROL[[#This Row],[VEHIDCODE]])),ISNUMBER(SEARCH("coach_",CONTROL[[#This Row],[VEHIDCODE]])))</f>
        <v>0</v>
      </c>
      <c r="H251" t="str">
        <f>"item_"&amp;CONTROL[[#This Row],[VEHIDCODE]]</f>
        <v>item_diesel_Australia_NSWGR_44</v>
      </c>
      <c r="I251" t="str">
        <f>"str_"&amp;CONTROL[[#This Row],[VEHIDCODE]]</f>
        <v>str_diesel_Australia_NSWGR_44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t="b">
        <f>ISNUMBER(_xlfn.XMATCH(CONTROL[[#This Row],[VEHIDCODE]],ENGLISH_ITEMS[VEHIDCODE],0))</f>
        <v>1</v>
      </c>
    </row>
    <row r="252" spans="1:16">
      <c r="A252" s="2" t="s">
        <v>275</v>
      </c>
      <c r="B252" t="str">
        <f>_xlfn.TEXTAFTER(TRACK_TYPES[[#This Row],[VEHIDCODE]],"_")</f>
        <v>Zimbabwe_Zimbabwe_Railways_DH_1</v>
      </c>
      <c r="C252" t="s">
        <v>730</v>
      </c>
      <c r="D252" t="s">
        <v>949</v>
      </c>
      <c r="E252">
        <v>5084</v>
      </c>
      <c r="F252" t="b">
        <f>AND(CONTROL[[#This Row],[IS_WAGON_OR_COACH]]=TRUE,OR(RIGHT(CONTROL[[#This Row],[VEHIDCODE]],7)="Powered",RIGHT(CONTROL[[#This Row],[VEHIDCODE]],9)="Unpowered"))</f>
        <v>0</v>
      </c>
      <c r="G252" s="2" t="b">
        <f>OR(ISNUMBER(SEARCH("wagon_",CONTROL[[#This Row],[VEHIDCODE]])),ISNUMBER(SEARCH("coach_",CONTROL[[#This Row],[VEHIDCODE]])))</f>
        <v>0</v>
      </c>
      <c r="H252" t="str">
        <f>"item_"&amp;CONTROL[[#This Row],[VEHIDCODE]]</f>
        <v>item_diesel_Zimbabwe_Zimbabwe_Railways_DH_1</v>
      </c>
      <c r="I252" t="str">
        <f>"str_"&amp;CONTROL[[#This Row],[VEHIDCODE]]</f>
        <v>str_diesel_Zimbabwe_Zimbabwe_Railways_DH_1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t="b">
        <f>ISNUMBER(_xlfn.XMATCH(CONTROL[[#This Row],[VEHIDCODE]],ENGLISH_ITEMS[VEHIDCODE],0))</f>
        <v>1</v>
      </c>
    </row>
    <row r="253" spans="1:16">
      <c r="A253" s="2" t="s">
        <v>276</v>
      </c>
      <c r="B253" t="str">
        <f>_xlfn.TEXTAFTER(TRACK_TYPES[[#This Row],[VEHIDCODE]],"_")</f>
        <v>South_Korea_Korail_6000_EMD_SD18</v>
      </c>
      <c r="C253" t="s">
        <v>730</v>
      </c>
      <c r="D253" t="s">
        <v>949</v>
      </c>
      <c r="E253">
        <v>5085</v>
      </c>
      <c r="F253" t="b">
        <f>AND(CONTROL[[#This Row],[IS_WAGON_OR_COACH]]=TRUE,OR(RIGHT(CONTROL[[#This Row],[VEHIDCODE]],7)="Powered",RIGHT(CONTROL[[#This Row],[VEHIDCODE]],9)="Unpowered"))</f>
        <v>0</v>
      </c>
      <c r="G253" s="2" t="b">
        <f>OR(ISNUMBER(SEARCH("wagon_",CONTROL[[#This Row],[VEHIDCODE]])),ISNUMBER(SEARCH("coach_",CONTROL[[#This Row],[VEHIDCODE]])))</f>
        <v>0</v>
      </c>
      <c r="H253" t="str">
        <f>"item_"&amp;CONTROL[[#This Row],[VEHIDCODE]]</f>
        <v>item_diesel_South_Korea_Korail_6000_EMD_SD18</v>
      </c>
      <c r="I253" t="str">
        <f>"str_"&amp;CONTROL[[#This Row],[VEHIDCODE]]</f>
        <v>str_diesel_South_Korea_Korail_6000_EMD_SD18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t="b">
        <f>ISNUMBER(_xlfn.XMATCH(CONTROL[[#This Row],[VEHIDCODE]],ENGLISH_ITEMS[VEHIDCODE],0))</f>
        <v>1</v>
      </c>
    </row>
    <row r="254" spans="1:16">
      <c r="A254" s="2" t="s">
        <v>277</v>
      </c>
      <c r="B254" t="str">
        <f>_xlfn.TEXTAFTER(TRACK_TYPES[[#This Row],[VEHIDCODE]],"_")</f>
        <v>Italy_FS_D345</v>
      </c>
      <c r="C254" t="s">
        <v>730</v>
      </c>
      <c r="D254" t="s">
        <v>949</v>
      </c>
      <c r="E254">
        <v>5086</v>
      </c>
      <c r="F254" t="b">
        <f>AND(CONTROL[[#This Row],[IS_WAGON_OR_COACH]]=TRUE,OR(RIGHT(CONTROL[[#This Row],[VEHIDCODE]],7)="Powered",RIGHT(CONTROL[[#This Row],[VEHIDCODE]],9)="Unpowered"))</f>
        <v>0</v>
      </c>
      <c r="G254" s="2" t="b">
        <f>OR(ISNUMBER(SEARCH("wagon_",CONTROL[[#This Row],[VEHIDCODE]])),ISNUMBER(SEARCH("coach_",CONTROL[[#This Row],[VEHIDCODE]])))</f>
        <v>0</v>
      </c>
      <c r="H254" t="str">
        <f>"item_"&amp;CONTROL[[#This Row],[VEHIDCODE]]</f>
        <v>item_diesel_Italy_FS_D345</v>
      </c>
      <c r="I254" t="str">
        <f>"str_"&amp;CONTROL[[#This Row],[VEHIDCODE]]</f>
        <v>str_diesel_Italy_FS_D345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t="b">
        <f>ISNUMBER(_xlfn.XMATCH(CONTROL[[#This Row],[VEHIDCODE]],ENGLISH_ITEMS[VEHIDCODE],0))</f>
        <v>1</v>
      </c>
    </row>
    <row r="255" spans="1:16">
      <c r="A255" s="2" t="s">
        <v>278</v>
      </c>
      <c r="B255" t="str">
        <f>_xlfn.TEXTAFTER(TRACK_TYPES[[#This Row],[VEHIDCODE]],"_")</f>
        <v>Norway_NSB_Di4</v>
      </c>
      <c r="C255" t="s">
        <v>730</v>
      </c>
      <c r="D255" t="s">
        <v>949</v>
      </c>
      <c r="E255">
        <v>5087</v>
      </c>
      <c r="F255" t="b">
        <f>AND(CONTROL[[#This Row],[IS_WAGON_OR_COACH]]=TRUE,OR(RIGHT(CONTROL[[#This Row],[VEHIDCODE]],7)="Powered",RIGHT(CONTROL[[#This Row],[VEHIDCODE]],9)="Unpowered"))</f>
        <v>0</v>
      </c>
      <c r="G255" s="2" t="b">
        <f>OR(ISNUMBER(SEARCH("wagon_",CONTROL[[#This Row],[VEHIDCODE]])),ISNUMBER(SEARCH("coach_",CONTROL[[#This Row],[VEHIDCODE]])))</f>
        <v>0</v>
      </c>
      <c r="H255" t="str">
        <f>"item_"&amp;CONTROL[[#This Row],[VEHIDCODE]]</f>
        <v>item_diesel_Norway_NSB_Di4</v>
      </c>
      <c r="I255" t="str">
        <f>"str_"&amp;CONTROL[[#This Row],[VEHIDCODE]]</f>
        <v>str_diesel_Norway_NSB_Di4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t="b">
        <f>ISNUMBER(_xlfn.XMATCH(CONTROL[[#This Row],[VEHIDCODE]],ENGLISH_ITEMS[VEHIDCODE],0))</f>
        <v>1</v>
      </c>
    </row>
    <row r="256" spans="1:16">
      <c r="A256" s="2" t="s">
        <v>279</v>
      </c>
      <c r="B256" t="str">
        <f>_xlfn.TEXTAFTER(TRACK_TYPES[[#This Row],[VEHIDCODE]],"_")</f>
        <v>China_China_Railways_DF8</v>
      </c>
      <c r="C256" t="s">
        <v>730</v>
      </c>
      <c r="D256" t="s">
        <v>949</v>
      </c>
      <c r="E256">
        <v>5088</v>
      </c>
      <c r="F256" t="b">
        <f>AND(CONTROL[[#This Row],[IS_WAGON_OR_COACH]]=TRUE,OR(RIGHT(CONTROL[[#This Row],[VEHIDCODE]],7)="Powered",RIGHT(CONTROL[[#This Row],[VEHIDCODE]],9)="Unpowered"))</f>
        <v>0</v>
      </c>
      <c r="G256" s="2" t="b">
        <f>OR(ISNUMBER(SEARCH("wagon_",CONTROL[[#This Row],[VEHIDCODE]])),ISNUMBER(SEARCH("coach_",CONTROL[[#This Row],[VEHIDCODE]])))</f>
        <v>0</v>
      </c>
      <c r="H256" t="str">
        <f>"item_"&amp;CONTROL[[#This Row],[VEHIDCODE]]</f>
        <v>item_diesel_China_China_Railways_DF8</v>
      </c>
      <c r="I256" t="str">
        <f>"str_"&amp;CONTROL[[#This Row],[VEHIDCODE]]</f>
        <v>str_diesel_China_China_Railways_DF8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t="b">
        <f>ISNUMBER(_xlfn.XMATCH(CONTROL[[#This Row],[VEHIDCODE]],ENGLISH_ITEMS[VEHIDCODE],0))</f>
        <v>1</v>
      </c>
    </row>
    <row r="257" spans="1:16">
      <c r="A257" s="2" t="s">
        <v>280</v>
      </c>
      <c r="B257" t="str">
        <f>_xlfn.TEXTAFTER(TRACK_TYPES[[#This Row],[VEHIDCODE]],"_")</f>
        <v>Australia_Pacific_National_G_Class</v>
      </c>
      <c r="C257" t="s">
        <v>730</v>
      </c>
      <c r="D257" t="s">
        <v>949</v>
      </c>
      <c r="E257">
        <v>5089</v>
      </c>
      <c r="F257" t="b">
        <f>AND(CONTROL[[#This Row],[IS_WAGON_OR_COACH]]=TRUE,OR(RIGHT(CONTROL[[#This Row],[VEHIDCODE]],7)="Powered",RIGHT(CONTROL[[#This Row],[VEHIDCODE]],9)="Unpowered"))</f>
        <v>0</v>
      </c>
      <c r="G257" s="2" t="b">
        <f>OR(ISNUMBER(SEARCH("wagon_",CONTROL[[#This Row],[VEHIDCODE]])),ISNUMBER(SEARCH("coach_",CONTROL[[#This Row],[VEHIDCODE]])))</f>
        <v>0</v>
      </c>
      <c r="H257" t="str">
        <f>"item_"&amp;CONTROL[[#This Row],[VEHIDCODE]]</f>
        <v>item_diesel_Australia_Pacific_National_G_Class</v>
      </c>
      <c r="I257" t="str">
        <f>"str_"&amp;CONTROL[[#This Row],[VEHIDCODE]]</f>
        <v>str_diesel_Australia_Pacific_National_G_Class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t="b">
        <f>ISNUMBER(_xlfn.XMATCH(CONTROL[[#This Row],[VEHIDCODE]],ENGLISH_ITEMS[VEHIDCODE],0))</f>
        <v>1</v>
      </c>
    </row>
    <row r="258" spans="1:16">
      <c r="A258" s="2" t="s">
        <v>281</v>
      </c>
      <c r="B258" t="str">
        <f>_xlfn.TEXTAFTER(TRACK_TYPES[[#This Row],[VEHIDCODE]],"_")</f>
        <v>UK_BR_60</v>
      </c>
      <c r="C258" t="s">
        <v>730</v>
      </c>
      <c r="D258" t="s">
        <v>949</v>
      </c>
      <c r="E258">
        <v>5090</v>
      </c>
      <c r="F258" t="b">
        <f>AND(CONTROL[[#This Row],[IS_WAGON_OR_COACH]]=TRUE,OR(RIGHT(CONTROL[[#This Row],[VEHIDCODE]],7)="Powered",RIGHT(CONTROL[[#This Row],[VEHIDCODE]],9)="Unpowered"))</f>
        <v>0</v>
      </c>
      <c r="G258" s="2" t="b">
        <f>OR(ISNUMBER(SEARCH("wagon_",CONTROL[[#This Row],[VEHIDCODE]])),ISNUMBER(SEARCH("coach_",CONTROL[[#This Row],[VEHIDCODE]])))</f>
        <v>0</v>
      </c>
      <c r="H258" t="str">
        <f>"item_"&amp;CONTROL[[#This Row],[VEHIDCODE]]</f>
        <v>item_diesel_UK_BR_60</v>
      </c>
      <c r="I258" t="str">
        <f>"str_"&amp;CONTROL[[#This Row],[VEHIDCODE]]</f>
        <v>str_diesel_UK_BR_60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t="b">
        <f>ISNUMBER(_xlfn.XMATCH(CONTROL[[#This Row],[VEHIDCODE]],ENGLISH_ITEMS[VEHIDCODE],0))</f>
        <v>1</v>
      </c>
    </row>
    <row r="259" spans="1:16">
      <c r="A259" s="2" t="s">
        <v>282</v>
      </c>
      <c r="B259" t="str">
        <f>_xlfn.TEXTAFTER(TRACK_TYPES[[#This Row],[VEHIDCODE]],"_")</f>
        <v>Australia_Westrail_P_Class</v>
      </c>
      <c r="C259" t="s">
        <v>730</v>
      </c>
      <c r="D259" t="s">
        <v>949</v>
      </c>
      <c r="E259">
        <v>5091</v>
      </c>
      <c r="F259" t="b">
        <f>AND(CONTROL[[#This Row],[IS_WAGON_OR_COACH]]=TRUE,OR(RIGHT(CONTROL[[#This Row],[VEHIDCODE]],7)="Powered",RIGHT(CONTROL[[#This Row],[VEHIDCODE]],9)="Unpowered"))</f>
        <v>0</v>
      </c>
      <c r="G259" s="2" t="b">
        <f>OR(ISNUMBER(SEARCH("wagon_",CONTROL[[#This Row],[VEHIDCODE]])),ISNUMBER(SEARCH("coach_",CONTROL[[#This Row],[VEHIDCODE]])))</f>
        <v>0</v>
      </c>
      <c r="H259" t="str">
        <f>"item_"&amp;CONTROL[[#This Row],[VEHIDCODE]]</f>
        <v>item_diesel_Australia_Westrail_P_Class</v>
      </c>
      <c r="I259" t="str">
        <f>"str_"&amp;CONTROL[[#This Row],[VEHIDCODE]]</f>
        <v>str_diesel_Australia_Westrail_P_Class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t="b">
        <f>ISNUMBER(_xlfn.XMATCH(CONTROL[[#This Row],[VEHIDCODE]],ENGLISH_ITEMS[VEHIDCODE],0))</f>
        <v>1</v>
      </c>
    </row>
    <row r="260" spans="1:16">
      <c r="A260" s="2" t="s">
        <v>283</v>
      </c>
      <c r="B260" t="str">
        <f>_xlfn.TEXTAFTER(TRACK_TYPES[[#This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b">
        <f>AND(CONTROL[[#This Row],[IS_WAGON_OR_COACH]]=TRUE,OR(RIGHT(CONTROL[[#This Row],[VEHIDCODE]],7)="Powered",RIGHT(CONTROL[[#This Row],[VEHIDCODE]],9)="Unpowered"))</f>
        <v>0</v>
      </c>
      <c r="G260" s="2" t="b">
        <f>OR(ISNUMBER(SEARCH("wagon_",CONTROL[[#This Row],[VEHIDCODE]])),ISNUMBER(SEARCH("coach_",CONTROL[[#This Row],[VEHIDCODE]])))</f>
        <v>0</v>
      </c>
      <c r="H260" t="str">
        <f>"item_"&amp;CONTROL[[#This Row],[VEHIDCODE]]</f>
        <v>item_diesel_Saudi_Arabia_Saudi_Railways_4000_EMD_SD70ACS</v>
      </c>
      <c r="I260" t="str">
        <f>"str_"&amp;CONTROL[[#This Row],[VEHIDCODE]]</f>
        <v>str_diesel_Saudi_Arabia_Saudi_Railways_4000_EMD_SD70ACS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t="b">
        <f>ISNUMBER(_xlfn.XMATCH(CONTROL[[#This Row],[VEHIDCODE]],ENGLISH_ITEMS[VEHIDCODE],0))</f>
        <v>1</v>
      </c>
    </row>
    <row r="261" spans="1:16">
      <c r="A261" s="2" t="s">
        <v>284</v>
      </c>
      <c r="B261" t="str">
        <f>_xlfn.TEXTAFTER(TRACK_TYPES[[#This Row],[VEHIDCODE]],"_")</f>
        <v>Ireland_IE_201</v>
      </c>
      <c r="C261" t="s">
        <v>730</v>
      </c>
      <c r="D261" t="s">
        <v>949</v>
      </c>
      <c r="E261">
        <v>5093</v>
      </c>
      <c r="F261" t="b">
        <f>AND(CONTROL[[#This Row],[IS_WAGON_OR_COACH]]=TRUE,OR(RIGHT(CONTROL[[#This Row],[VEHIDCODE]],7)="Powered",RIGHT(CONTROL[[#This Row],[VEHIDCODE]],9)="Unpowered"))</f>
        <v>0</v>
      </c>
      <c r="G261" s="2" t="b">
        <f>OR(ISNUMBER(SEARCH("wagon_",CONTROL[[#This Row],[VEHIDCODE]])),ISNUMBER(SEARCH("coach_",CONTROL[[#This Row],[VEHIDCODE]])))</f>
        <v>0</v>
      </c>
      <c r="H261" t="str">
        <f>"item_"&amp;CONTROL[[#This Row],[VEHIDCODE]]</f>
        <v>item_diesel_Ireland_IE_201</v>
      </c>
      <c r="I261" t="str">
        <f>"str_"&amp;CONTROL[[#This Row],[VEHIDCODE]]</f>
        <v>str_diesel_Ireland_IE_201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t="b">
        <f>ISNUMBER(_xlfn.XMATCH(CONTROL[[#This Row],[VEHIDCODE]],ENGLISH_ITEMS[VEHIDCODE],0))</f>
        <v>1</v>
      </c>
    </row>
    <row r="262" spans="1:16">
      <c r="A262" s="2" t="s">
        <v>285</v>
      </c>
      <c r="B262" t="str">
        <f>_xlfn.TEXTAFTER(TRACK_TYPES[[#This Row],[VEHIDCODE]],"_")</f>
        <v>USA_Metrolink_EMD_F59PH</v>
      </c>
      <c r="C262" t="s">
        <v>730</v>
      </c>
      <c r="D262" t="s">
        <v>949</v>
      </c>
      <c r="E262">
        <v>5094</v>
      </c>
      <c r="F262" t="b">
        <f>AND(CONTROL[[#This Row],[IS_WAGON_OR_COACH]]=TRUE,OR(RIGHT(CONTROL[[#This Row],[VEHIDCODE]],7)="Powered",RIGHT(CONTROL[[#This Row],[VEHIDCODE]],9)="Unpowered"))</f>
        <v>0</v>
      </c>
      <c r="G262" s="2" t="b">
        <f>OR(ISNUMBER(SEARCH("wagon_",CONTROL[[#This Row],[VEHIDCODE]])),ISNUMBER(SEARCH("coach_",CONTROL[[#This Row],[VEHIDCODE]])))</f>
        <v>0</v>
      </c>
      <c r="H262" t="str">
        <f>"item_"&amp;CONTROL[[#This Row],[VEHIDCODE]]</f>
        <v>item_diesel_USA_Metrolink_EMD_F59PH</v>
      </c>
      <c r="I262" t="str">
        <f>"str_"&amp;CONTROL[[#This Row],[VEHIDCODE]]</f>
        <v>str_diesel_USA_Metrolink_EMD_F59PH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t="b">
        <f>ISNUMBER(_xlfn.XMATCH(CONTROL[[#This Row],[VEHIDCODE]],ENGLISH_ITEMS[VEHIDCODE],0))</f>
        <v>1</v>
      </c>
    </row>
    <row r="263" spans="1:16">
      <c r="A263" s="2" t="s">
        <v>286</v>
      </c>
      <c r="B263" t="str">
        <f>_xlfn.TEXTAFTER(TRACK_TYPES[[#This Row],[VEHIDCODE]],"_")</f>
        <v>France_SNCF_461000</v>
      </c>
      <c r="C263" t="s">
        <v>730</v>
      </c>
      <c r="D263" t="s">
        <v>949</v>
      </c>
      <c r="E263">
        <v>5095</v>
      </c>
      <c r="F263" t="b">
        <f>AND(CONTROL[[#This Row],[IS_WAGON_OR_COACH]]=TRUE,OR(RIGHT(CONTROL[[#This Row],[VEHIDCODE]],7)="Powered",RIGHT(CONTROL[[#This Row],[VEHIDCODE]],9)="Unpowered"))</f>
        <v>0</v>
      </c>
      <c r="G263" s="2" t="b">
        <f>OR(ISNUMBER(SEARCH("wagon_",CONTROL[[#This Row],[VEHIDCODE]])),ISNUMBER(SEARCH("coach_",CONTROL[[#This Row],[VEHIDCODE]])))</f>
        <v>0</v>
      </c>
      <c r="H263" t="str">
        <f>"item_"&amp;CONTROL[[#This Row],[VEHIDCODE]]</f>
        <v>item_diesel_France_SNCF_461000</v>
      </c>
      <c r="I263" t="str">
        <f>"str_"&amp;CONTROL[[#This Row],[VEHIDCODE]]</f>
        <v>str_diesel_France_SNCF_461000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t="b">
        <f>ISNUMBER(_xlfn.XMATCH(CONTROL[[#This Row],[VEHIDCODE]],ENGLISH_ITEMS[VEHIDCODE],0))</f>
        <v>1</v>
      </c>
    </row>
    <row r="264" spans="1:16">
      <c r="A264" s="2" t="s">
        <v>287</v>
      </c>
      <c r="B264" t="str">
        <f>_xlfn.TEXTAFTER(TRACK_TYPES[[#This Row],[VEHIDCODE]],"_")</f>
        <v>Italy_ACT_D_200</v>
      </c>
      <c r="C264" t="s">
        <v>730</v>
      </c>
      <c r="D264" t="s">
        <v>949</v>
      </c>
      <c r="E264">
        <v>5096</v>
      </c>
      <c r="F264" t="b">
        <f>AND(CONTROL[[#This Row],[IS_WAGON_OR_COACH]]=TRUE,OR(RIGHT(CONTROL[[#This Row],[VEHIDCODE]],7)="Powered",RIGHT(CONTROL[[#This Row],[VEHIDCODE]],9)="Unpowered"))</f>
        <v>0</v>
      </c>
      <c r="G264" s="2" t="b">
        <f>OR(ISNUMBER(SEARCH("wagon_",CONTROL[[#This Row],[VEHIDCODE]])),ISNUMBER(SEARCH("coach_",CONTROL[[#This Row],[VEHIDCODE]])))</f>
        <v>0</v>
      </c>
      <c r="H264" t="str">
        <f>"item_"&amp;CONTROL[[#This Row],[VEHIDCODE]]</f>
        <v>item_diesel_Italy_ACT_D_200</v>
      </c>
      <c r="I264" t="str">
        <f>"str_"&amp;CONTROL[[#This Row],[VEHIDCODE]]</f>
        <v>str_diesel_Italy_ACT_D_200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t="b">
        <f>ISNUMBER(_xlfn.XMATCH(CONTROL[[#This Row],[VEHIDCODE]],ENGLISH_ITEMS[VEHIDCODE],0))</f>
        <v>1</v>
      </c>
    </row>
    <row r="265" spans="1:16">
      <c r="A265" s="2" t="s">
        <v>288</v>
      </c>
      <c r="B265" t="str">
        <f>_xlfn.TEXTAFTER(TRACK_TYPES[[#This Row],[VEHIDCODE]],"_")</f>
        <v>Canada_GO_Transit_MP40PH_3C</v>
      </c>
      <c r="C265" t="s">
        <v>730</v>
      </c>
      <c r="D265" t="s">
        <v>949</v>
      </c>
      <c r="E265">
        <v>5097</v>
      </c>
      <c r="F265" t="b">
        <f>AND(CONTROL[[#This Row],[IS_WAGON_OR_COACH]]=TRUE,OR(RIGHT(CONTROL[[#This Row],[VEHIDCODE]],7)="Powered",RIGHT(CONTROL[[#This Row],[VEHIDCODE]],9)="Unpowered"))</f>
        <v>0</v>
      </c>
      <c r="G265" s="2" t="b">
        <f>OR(ISNUMBER(SEARCH("wagon_",CONTROL[[#This Row],[VEHIDCODE]])),ISNUMBER(SEARCH("coach_",CONTROL[[#This Row],[VEHIDCODE]])))</f>
        <v>0</v>
      </c>
      <c r="H265" t="str">
        <f>"item_"&amp;CONTROL[[#This Row],[VEHIDCODE]]</f>
        <v>item_diesel_Canada_GO_Transit_MP40PH_3C</v>
      </c>
      <c r="I265" t="str">
        <f>"str_"&amp;CONTROL[[#This Row],[VEHIDCODE]]</f>
        <v>str_diesel_Canada_GO_Transit_MP40PH_3C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t="b">
        <f>ISNUMBER(_xlfn.XMATCH(CONTROL[[#This Row],[VEHIDCODE]],ENGLISH_ITEMS[VEHIDCODE],0))</f>
        <v>1</v>
      </c>
    </row>
    <row r="266" spans="1:16">
      <c r="A266" s="2" t="s">
        <v>289</v>
      </c>
      <c r="B266" t="str">
        <f>_xlfn.TEXTAFTER(TRACK_TYPES[[#This Row],[VEHIDCODE]],"_")</f>
        <v>Spain_RENFE_Class_334</v>
      </c>
      <c r="C266" t="s">
        <v>730</v>
      </c>
      <c r="D266" t="s">
        <v>949</v>
      </c>
      <c r="E266">
        <v>5098</v>
      </c>
      <c r="F266" t="b">
        <f>AND(CONTROL[[#This Row],[IS_WAGON_OR_COACH]]=TRUE,OR(RIGHT(CONTROL[[#This Row],[VEHIDCODE]],7)="Powered",RIGHT(CONTROL[[#This Row],[VEHIDCODE]],9)="Unpowered"))</f>
        <v>0</v>
      </c>
      <c r="G266" s="2" t="b">
        <f>OR(ISNUMBER(SEARCH("wagon_",CONTROL[[#This Row],[VEHIDCODE]])),ISNUMBER(SEARCH("coach_",CONTROL[[#This Row],[VEHIDCODE]])))</f>
        <v>0</v>
      </c>
      <c r="H266" t="str">
        <f>"item_"&amp;CONTROL[[#This Row],[VEHIDCODE]]</f>
        <v>item_diesel_Spain_RENFE_Class_334</v>
      </c>
      <c r="I266" t="str">
        <f>"str_"&amp;CONTROL[[#This Row],[VEHIDCODE]]</f>
        <v>str_diesel_Spain_RENFE_Class_334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t="b">
        <f>ISNUMBER(_xlfn.XMATCH(CONTROL[[#This Row],[VEHIDCODE]],ENGLISH_ITEMS[VEHIDCODE],0))</f>
        <v>1</v>
      </c>
    </row>
    <row r="267" spans="1:16">
      <c r="A267" s="2" t="s">
        <v>290</v>
      </c>
      <c r="B267" t="str">
        <f>_xlfn.TEXTAFTER(TRACK_TYPES[[#This Row],[VEHIDCODE]],"_")</f>
        <v>Indonesia_Indonesia_Railways_CC300</v>
      </c>
      <c r="C267" t="s">
        <v>730</v>
      </c>
      <c r="D267" t="s">
        <v>949</v>
      </c>
      <c r="E267">
        <v>5099</v>
      </c>
      <c r="F267" t="b">
        <f>AND(CONTROL[[#This Row],[IS_WAGON_OR_COACH]]=TRUE,OR(RIGHT(CONTROL[[#This Row],[VEHIDCODE]],7)="Powered",RIGHT(CONTROL[[#This Row],[VEHIDCODE]],9)="Unpowered"))</f>
        <v>0</v>
      </c>
      <c r="G267" s="2" t="b">
        <f>OR(ISNUMBER(SEARCH("wagon_",CONTROL[[#This Row],[VEHIDCODE]])),ISNUMBER(SEARCH("coach_",CONTROL[[#This Row],[VEHIDCODE]])))</f>
        <v>0</v>
      </c>
      <c r="H267" t="str">
        <f>"item_"&amp;CONTROL[[#This Row],[VEHIDCODE]]</f>
        <v>item_diesel_Indonesia_Indonesia_Railways_CC300</v>
      </c>
      <c r="I267" t="str">
        <f>"str_"&amp;CONTROL[[#This Row],[VEHIDCODE]]</f>
        <v>str_diesel_Indonesia_Indonesia_Railways_CC300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t="b">
        <f>ISNUMBER(_xlfn.XMATCH(CONTROL[[#This Row],[VEHIDCODE]],ENGLISH_ITEMS[VEHIDCODE],0))</f>
        <v>1</v>
      </c>
    </row>
    <row r="268" spans="1:16">
      <c r="A268" s="2" t="s">
        <v>291</v>
      </c>
      <c r="B268" t="str">
        <f>_xlfn.TEXTAFTER(TRACK_TYPES[[#This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b">
        <f>AND(CONTROL[[#This Row],[IS_WAGON_OR_COACH]]=TRUE,OR(RIGHT(CONTROL[[#This Row],[VEHIDCODE]],7)="Powered",RIGHT(CONTROL[[#This Row],[VEHIDCODE]],9)="Unpowered"))</f>
        <v>0</v>
      </c>
      <c r="G268" s="2" t="b">
        <f>OR(ISNUMBER(SEARCH("wagon_",CONTROL[[#This Row],[VEHIDCODE]])),ISNUMBER(SEARCH("coach_",CONTROL[[#This Row],[VEHIDCODE]])))</f>
        <v>0</v>
      </c>
      <c r="H268" t="str">
        <f>"item_"&amp;CONTROL[[#This Row],[VEHIDCODE]]</f>
        <v>item_diesel_Argentina_Great_Southern_Railway_DH501</v>
      </c>
      <c r="I268" t="str">
        <f>"str_"&amp;CONTROL[[#This Row],[VEHIDCODE]]</f>
        <v>str_diesel_Argentina_Great_Southern_Railway_DH501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t="b">
        <f>ISNUMBER(_xlfn.XMATCH(CONTROL[[#This Row],[VEHIDCODE]],ENGLISH_ITEMS[VEHIDCODE],0))</f>
        <v>1</v>
      </c>
    </row>
    <row r="269" spans="1:16">
      <c r="A269" s="2" t="s">
        <v>292</v>
      </c>
      <c r="B269" t="str">
        <f>_xlfn.TEXTAFTER(TRACK_TYPES[[#This Row],[VEHIDCODE]],"_")</f>
        <v>Brazil_EE_VFFLB</v>
      </c>
      <c r="C269" t="s">
        <v>730</v>
      </c>
      <c r="D269" t="s">
        <v>949</v>
      </c>
      <c r="E269">
        <v>5102</v>
      </c>
      <c r="F269" t="b">
        <f>AND(CONTROL[[#This Row],[IS_WAGON_OR_COACH]]=TRUE,OR(RIGHT(CONTROL[[#This Row],[VEHIDCODE]],7)="Powered",RIGHT(CONTROL[[#This Row],[VEHIDCODE]],9)="Unpowered"))</f>
        <v>0</v>
      </c>
      <c r="G269" s="2" t="b">
        <f>OR(ISNUMBER(SEARCH("wagon_",CONTROL[[#This Row],[VEHIDCODE]])),ISNUMBER(SEARCH("coach_",CONTROL[[#This Row],[VEHIDCODE]])))</f>
        <v>0</v>
      </c>
      <c r="H269" t="str">
        <f>"item_"&amp;CONTROL[[#This Row],[VEHIDCODE]]</f>
        <v>item_diesel_Brazil_EE_VFFLB</v>
      </c>
      <c r="I269" t="str">
        <f>"str_"&amp;CONTROL[[#This Row],[VEHIDCODE]]</f>
        <v>str_diesel_Brazil_EE_VFFLB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t="b">
        <f>ISNUMBER(_xlfn.XMATCH(CONTROL[[#This Row],[VEHIDCODE]],ENGLISH_ITEMS[VEHIDCODE],0))</f>
        <v>1</v>
      </c>
    </row>
    <row r="270" spans="1:16">
      <c r="A270" s="2" t="s">
        <v>293</v>
      </c>
      <c r="B270" t="str">
        <f>_xlfn.TEXTAFTER(TRACK_TYPES[[#This Row],[VEHIDCODE]],"_")</f>
        <v>Chile_EFE_GE_U5B</v>
      </c>
      <c r="C270" t="s">
        <v>730</v>
      </c>
      <c r="D270" t="s">
        <v>949</v>
      </c>
      <c r="E270">
        <v>5106</v>
      </c>
      <c r="F270" t="b">
        <f>AND(CONTROL[[#This Row],[IS_WAGON_OR_COACH]]=TRUE,OR(RIGHT(CONTROL[[#This Row],[VEHIDCODE]],7)="Powered",RIGHT(CONTROL[[#This Row],[VEHIDCODE]],9)="Unpowered"))</f>
        <v>0</v>
      </c>
      <c r="G270" s="2" t="b">
        <f>OR(ISNUMBER(SEARCH("wagon_",CONTROL[[#This Row],[VEHIDCODE]])),ISNUMBER(SEARCH("coach_",CONTROL[[#This Row],[VEHIDCODE]])))</f>
        <v>0</v>
      </c>
      <c r="H270" t="str">
        <f>"item_"&amp;CONTROL[[#This Row],[VEHIDCODE]]</f>
        <v>item_diesel_Chile_EFE_GE_U5B</v>
      </c>
      <c r="I270" t="str">
        <f>"str_"&amp;CONTROL[[#This Row],[VEHIDCODE]]</f>
        <v>str_diesel_Chile_EFE_GE_U5B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t="b">
        <f>ISNUMBER(_xlfn.XMATCH(CONTROL[[#This Row],[VEHIDCODE]],ENGLISH_ITEMS[VEHIDCODE],0))</f>
        <v>1</v>
      </c>
    </row>
    <row r="271" spans="1:16">
      <c r="A271" s="2" t="s">
        <v>294</v>
      </c>
      <c r="B271" t="str">
        <f>_xlfn.TEXTAFTER(TRACK_TYPES[[#This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b">
        <f>AND(CONTROL[[#This Row],[IS_WAGON_OR_COACH]]=TRUE,OR(RIGHT(CONTROL[[#This Row],[VEHIDCODE]],7)="Powered",RIGHT(CONTROL[[#This Row],[VEHIDCODE]],9)="Unpowered"))</f>
        <v>0</v>
      </c>
      <c r="G271" s="2" t="b">
        <f>OR(ISNUMBER(SEARCH("wagon_",CONTROL[[#This Row],[VEHIDCODE]])),ISNUMBER(SEARCH("coach_",CONTROL[[#This Row],[VEHIDCODE]])))</f>
        <v>0</v>
      </c>
      <c r="H271" t="str">
        <f>"item_"&amp;CONTROL[[#This Row],[VEHIDCODE]]</f>
        <v>item_diesel_Peru_Ferrocarril_Central_Andino_Alco_RSD_39</v>
      </c>
      <c r="I271" t="str">
        <f>"str_"&amp;CONTROL[[#This Row],[VEHIDCODE]]</f>
        <v>str_diesel_Peru_Ferrocarril_Central_Andino_Alco_RSD_39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t="b">
        <f>ISNUMBER(_xlfn.XMATCH(CONTROL[[#This Row],[VEHIDCODE]],ENGLISH_ITEMS[VEHIDCODE],0))</f>
        <v>1</v>
      </c>
    </row>
    <row r="272" spans="1:16">
      <c r="A272" s="2" t="s">
        <v>295</v>
      </c>
      <c r="B272" t="str">
        <f>_xlfn.TEXTAFTER(TRACK_TYPES[[#This Row],[VEHIDCODE]],"_")</f>
        <v>Brazil_EFVM_EMD_DDM45</v>
      </c>
      <c r="C272" t="s">
        <v>730</v>
      </c>
      <c r="D272" t="s">
        <v>949</v>
      </c>
      <c r="E272">
        <v>5109</v>
      </c>
      <c r="F272" t="b">
        <f>AND(CONTROL[[#This Row],[IS_WAGON_OR_COACH]]=TRUE,OR(RIGHT(CONTROL[[#This Row],[VEHIDCODE]],7)="Powered",RIGHT(CONTROL[[#This Row],[VEHIDCODE]],9)="Unpowered"))</f>
        <v>0</v>
      </c>
      <c r="G272" s="2" t="b">
        <f>OR(ISNUMBER(SEARCH("wagon_",CONTROL[[#This Row],[VEHIDCODE]])),ISNUMBER(SEARCH("coach_",CONTROL[[#This Row],[VEHIDCODE]])))</f>
        <v>0</v>
      </c>
      <c r="H272" t="str">
        <f>"item_"&amp;CONTROL[[#This Row],[VEHIDCODE]]</f>
        <v>item_diesel_Brazil_EFVM_EMD_DDM45</v>
      </c>
      <c r="I272" t="str">
        <f>"str_"&amp;CONTROL[[#This Row],[VEHIDCODE]]</f>
        <v>str_diesel_Brazil_EFVM_EMD_DDM45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t="b">
        <f>ISNUMBER(_xlfn.XMATCH(CONTROL[[#This Row],[VEHIDCODE]],ENGLISH_ITEMS[VEHIDCODE],0))</f>
        <v>1</v>
      </c>
    </row>
    <row r="273" spans="1:16">
      <c r="A273" s="2" t="s">
        <v>296</v>
      </c>
      <c r="B273" t="str">
        <f>_xlfn.TEXTAFTER(TRACK_TYPES[[#This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b">
        <f>AND(CONTROL[[#This Row],[IS_WAGON_OR_COACH]]=TRUE,OR(RIGHT(CONTROL[[#This Row],[VEHIDCODE]],7)="Powered",RIGHT(CONTROL[[#This Row],[VEHIDCODE]],9)="Unpowered"))</f>
        <v>0</v>
      </c>
      <c r="G273" s="2" t="b">
        <f>OR(ISNUMBER(SEARCH("wagon_",CONTROL[[#This Row],[VEHIDCODE]])),ISNUMBER(SEARCH("coach_",CONTROL[[#This Row],[VEHIDCODE]])))</f>
        <v>0</v>
      </c>
      <c r="H273" t="str">
        <f>"item_"&amp;CONTROL[[#This Row],[VEHIDCODE]]</f>
        <v>item_diesel_Peru_Ferrocarril_Central_Andino_GE_C39_8</v>
      </c>
      <c r="I273" t="str">
        <f>"str_"&amp;CONTROL[[#This Row],[VEHIDCODE]]</f>
        <v>str_diesel_Peru_Ferrocarril_Central_Andino_GE_C39_8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t="b">
        <f>ISNUMBER(_xlfn.XMATCH(CONTROL[[#This Row],[VEHIDCODE]],ENGLISH_ITEMS[VEHIDCODE],0))</f>
        <v>1</v>
      </c>
    </row>
    <row r="274" spans="1:16">
      <c r="A274" s="2" t="s">
        <v>297</v>
      </c>
      <c r="B274" t="str">
        <f>_xlfn.TEXTAFTER(TRACK_TYPES[[#This Row],[VEHIDCODE]],"_")</f>
        <v>Argentina_SOFSE_3193</v>
      </c>
      <c r="C274" t="s">
        <v>730</v>
      </c>
      <c r="D274" t="s">
        <v>949</v>
      </c>
      <c r="E274">
        <v>5118</v>
      </c>
      <c r="F274" t="b">
        <f>AND(CONTROL[[#This Row],[IS_WAGON_OR_COACH]]=TRUE,OR(RIGHT(CONTROL[[#This Row],[VEHIDCODE]],7)="Powered",RIGHT(CONTROL[[#This Row],[VEHIDCODE]],9)="Unpowered"))</f>
        <v>0</v>
      </c>
      <c r="G274" s="2" t="b">
        <f>OR(ISNUMBER(SEARCH("wagon_",CONTROL[[#This Row],[VEHIDCODE]])),ISNUMBER(SEARCH("coach_",CONTROL[[#This Row],[VEHIDCODE]])))</f>
        <v>0</v>
      </c>
      <c r="H274" t="str">
        <f>"item_"&amp;CONTROL[[#This Row],[VEHIDCODE]]</f>
        <v>item_diesel_Argentina_SOFSE_3193</v>
      </c>
      <c r="I274" t="str">
        <f>"str_"&amp;CONTROL[[#This Row],[VEHIDCODE]]</f>
        <v>str_diesel_Argentina_SOFSE_3193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t="b">
        <f>ISNUMBER(_xlfn.XMATCH(CONTROL[[#This Row],[VEHIDCODE]],ENGLISH_ITEMS[VEHIDCODE],0))</f>
        <v>1</v>
      </c>
    </row>
    <row r="275" spans="1:16">
      <c r="A275" s="2" t="s">
        <v>298</v>
      </c>
      <c r="B275" t="str">
        <f>_xlfn.TEXTAFTER(TRACK_TYPES[[#This Row],[VEHIDCODE]],"_")</f>
        <v>Argentina_SOFSE_CNR_CKD8</v>
      </c>
      <c r="C275" t="s">
        <v>730</v>
      </c>
      <c r="D275" t="s">
        <v>949</v>
      </c>
      <c r="E275">
        <v>5120</v>
      </c>
      <c r="F275" t="b">
        <f>AND(CONTROL[[#This Row],[IS_WAGON_OR_COACH]]=TRUE,OR(RIGHT(CONTROL[[#This Row],[VEHIDCODE]],7)="Powered",RIGHT(CONTROL[[#This Row],[VEHIDCODE]],9)="Unpowered"))</f>
        <v>0</v>
      </c>
      <c r="G275" s="2" t="b">
        <f>OR(ISNUMBER(SEARCH("wagon_",CONTROL[[#This Row],[VEHIDCODE]])),ISNUMBER(SEARCH("coach_",CONTROL[[#This Row],[VEHIDCODE]])))</f>
        <v>0</v>
      </c>
      <c r="H275" t="str">
        <f>"item_"&amp;CONTROL[[#This Row],[VEHIDCODE]]</f>
        <v>item_diesel_Argentina_SOFSE_CNR_CKD8</v>
      </c>
      <c r="I275" t="str">
        <f>"str_"&amp;CONTROL[[#This Row],[VEHIDCODE]]</f>
        <v>str_diesel_Argentina_SOFSE_CNR_CKD8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t="b">
        <f>ISNUMBER(_xlfn.XMATCH(CONTROL[[#This Row],[VEHIDCODE]],ENGLISH_ITEMS[VEHIDCODE],0))</f>
        <v>1</v>
      </c>
    </row>
    <row r="276" spans="1:16">
      <c r="A276" s="2" t="s">
        <v>299</v>
      </c>
      <c r="B276" t="str">
        <f>_xlfn.TEXTAFTER(TRACK_TYPES[[#This Row],[VEHIDCODE]],"_")</f>
        <v>South_Africa_SAR_DS</v>
      </c>
      <c r="C276" t="s">
        <v>730</v>
      </c>
      <c r="D276" t="s">
        <v>949</v>
      </c>
      <c r="E276">
        <v>5103</v>
      </c>
      <c r="F276" t="b">
        <f>AND(CONTROL[[#This Row],[IS_WAGON_OR_COACH]]=TRUE,OR(RIGHT(CONTROL[[#This Row],[VEHIDCODE]],7)="Powered",RIGHT(CONTROL[[#This Row],[VEHIDCODE]],9)="Unpowered"))</f>
        <v>0</v>
      </c>
      <c r="G276" s="2" t="b">
        <f>OR(ISNUMBER(SEARCH("wagon_",CONTROL[[#This Row],[VEHIDCODE]])),ISNUMBER(SEARCH("coach_",CONTROL[[#This Row],[VEHIDCODE]])))</f>
        <v>0</v>
      </c>
      <c r="H276" t="str">
        <f>"item_"&amp;CONTROL[[#This Row],[VEHIDCODE]]</f>
        <v>item_diesel_South_Africa_SAR_DS</v>
      </c>
      <c r="I276" t="str">
        <f>"str_"&amp;CONTROL[[#This Row],[VEHIDCODE]]</f>
        <v>str_diesel_South_Africa_SAR_DS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t="b">
        <f>ISNUMBER(_xlfn.XMATCH(CONTROL[[#This Row],[VEHIDCODE]],ENGLISH_ITEMS[VEHIDCODE],0))</f>
        <v>1</v>
      </c>
    </row>
    <row r="277" spans="1:16">
      <c r="A277" s="2" t="s">
        <v>300</v>
      </c>
      <c r="B277" t="str">
        <f>_xlfn.TEXTAFTER(TRACK_TYPES[[#This Row],[VEHIDCODE]],"_")</f>
        <v>Algeria_SNTF_040_DG</v>
      </c>
      <c r="C277" t="s">
        <v>730</v>
      </c>
      <c r="D277" t="s">
        <v>949</v>
      </c>
      <c r="E277">
        <v>5104</v>
      </c>
      <c r="F277" t="b">
        <f>AND(CONTROL[[#This Row],[IS_WAGON_OR_COACH]]=TRUE,OR(RIGHT(CONTROL[[#This Row],[VEHIDCODE]],7)="Powered",RIGHT(CONTROL[[#This Row],[VEHIDCODE]],9)="Unpowered"))</f>
        <v>0</v>
      </c>
      <c r="G277" s="2" t="b">
        <f>OR(ISNUMBER(SEARCH("wagon_",CONTROL[[#This Row],[VEHIDCODE]])),ISNUMBER(SEARCH("coach_",CONTROL[[#This Row],[VEHIDCODE]])))</f>
        <v>0</v>
      </c>
      <c r="H277" t="str">
        <f>"item_"&amp;CONTROL[[#This Row],[VEHIDCODE]]</f>
        <v>item_diesel_Algeria_SNTF_040_DG</v>
      </c>
      <c r="I277" t="str">
        <f>"str_"&amp;CONTROL[[#This Row],[VEHIDCODE]]</f>
        <v>str_diesel_Algeria_SNTF_040_DG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t="b">
        <f>ISNUMBER(_xlfn.XMATCH(CONTROL[[#This Row],[VEHIDCODE]],ENGLISH_ITEMS[VEHIDCODE],0))</f>
        <v>1</v>
      </c>
    </row>
    <row r="278" spans="1:16">
      <c r="A278" s="2" t="s">
        <v>301</v>
      </c>
      <c r="B278" t="str">
        <f>_xlfn.TEXTAFTER(TRACK_TYPES[[#This Row],[VEHIDCODE]],"_")</f>
        <v>Tunisia_SNCFT_040_DF</v>
      </c>
      <c r="C278" t="s">
        <v>730</v>
      </c>
      <c r="D278" t="s">
        <v>949</v>
      </c>
      <c r="E278">
        <v>5105</v>
      </c>
      <c r="F278" t="b">
        <f>AND(CONTROL[[#This Row],[IS_WAGON_OR_COACH]]=TRUE,OR(RIGHT(CONTROL[[#This Row],[VEHIDCODE]],7)="Powered",RIGHT(CONTROL[[#This Row],[VEHIDCODE]],9)="Unpowered"))</f>
        <v>0</v>
      </c>
      <c r="G278" s="2" t="b">
        <f>OR(ISNUMBER(SEARCH("wagon_",CONTROL[[#This Row],[VEHIDCODE]])),ISNUMBER(SEARCH("coach_",CONTROL[[#This Row],[VEHIDCODE]])))</f>
        <v>0</v>
      </c>
      <c r="H278" t="str">
        <f>"item_"&amp;CONTROL[[#This Row],[VEHIDCODE]]</f>
        <v>item_diesel_Tunisia_SNCFT_040_DF</v>
      </c>
      <c r="I278" t="str">
        <f>"str_"&amp;CONTROL[[#This Row],[VEHIDCODE]]</f>
        <v>str_diesel_Tunisia_SNCFT_040_DF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t="b">
        <f>ISNUMBER(_xlfn.XMATCH(CONTROL[[#This Row],[VEHIDCODE]],ENGLISH_ITEMS[VEHIDCODE],0))</f>
        <v>1</v>
      </c>
    </row>
    <row r="279" spans="1:16">
      <c r="A279" s="2" t="s">
        <v>302</v>
      </c>
      <c r="B279" t="str">
        <f>_xlfn.TEXTAFTER(TRACK_TYPES[[#This Row],[VEHIDCODE]],"_")</f>
        <v>Egypt_ENR_TE114E</v>
      </c>
      <c r="C279" t="s">
        <v>730</v>
      </c>
      <c r="D279" t="s">
        <v>949</v>
      </c>
      <c r="E279">
        <v>5110</v>
      </c>
      <c r="F279" t="b">
        <f>AND(CONTROL[[#This Row],[IS_WAGON_OR_COACH]]=TRUE,OR(RIGHT(CONTROL[[#This Row],[VEHIDCODE]],7)="Powered",RIGHT(CONTROL[[#This Row],[VEHIDCODE]],9)="Unpowered"))</f>
        <v>0</v>
      </c>
      <c r="G279" s="2" t="b">
        <f>OR(ISNUMBER(SEARCH("wagon_",CONTROL[[#This Row],[VEHIDCODE]])),ISNUMBER(SEARCH("coach_",CONTROL[[#This Row],[VEHIDCODE]])))</f>
        <v>0</v>
      </c>
      <c r="H279" t="str">
        <f>"item_"&amp;CONTROL[[#This Row],[VEHIDCODE]]</f>
        <v>item_diesel_Egypt_ENR_TE114E</v>
      </c>
      <c r="I279" t="str">
        <f>"str_"&amp;CONTROL[[#This Row],[VEHIDCODE]]</f>
        <v>str_diesel_Egypt_ENR_TE114E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t="b">
        <f>ISNUMBER(_xlfn.XMATCH(CONTROL[[#This Row],[VEHIDCODE]],ENGLISH_ITEMS[VEHIDCODE],0))</f>
        <v>1</v>
      </c>
    </row>
    <row r="280" spans="1:16">
      <c r="A280" s="2" t="s">
        <v>303</v>
      </c>
      <c r="B280" t="str">
        <f>_xlfn.TEXTAFTER(TRACK_TYPES[[#This Row],[VEHIDCODE]],"_")</f>
        <v>Tunisia_SNCFT_040_DJ</v>
      </c>
      <c r="C280" t="s">
        <v>730</v>
      </c>
      <c r="D280" t="s">
        <v>949</v>
      </c>
      <c r="E280">
        <v>5111</v>
      </c>
      <c r="F280" t="b">
        <f>AND(CONTROL[[#This Row],[IS_WAGON_OR_COACH]]=TRUE,OR(RIGHT(CONTROL[[#This Row],[VEHIDCODE]],7)="Powered",RIGHT(CONTROL[[#This Row],[VEHIDCODE]],9)="Unpowered"))</f>
        <v>0</v>
      </c>
      <c r="G280" s="2" t="b">
        <f>OR(ISNUMBER(SEARCH("wagon_",CONTROL[[#This Row],[VEHIDCODE]])),ISNUMBER(SEARCH("coach_",CONTROL[[#This Row],[VEHIDCODE]])))</f>
        <v>0</v>
      </c>
      <c r="H280" t="str">
        <f>"item_"&amp;CONTROL[[#This Row],[VEHIDCODE]]</f>
        <v>item_diesel_Tunisia_SNCFT_040_DJ</v>
      </c>
      <c r="I280" t="str">
        <f>"str_"&amp;CONTROL[[#This Row],[VEHIDCODE]]</f>
        <v>str_diesel_Tunisia_SNCFT_040_DJ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t="b">
        <f>ISNUMBER(_xlfn.XMATCH(CONTROL[[#This Row],[VEHIDCODE]],ENGLISH_ITEMS[VEHIDCODE],0))</f>
        <v>1</v>
      </c>
    </row>
    <row r="281" spans="1:16">
      <c r="A281" s="2" t="s">
        <v>304</v>
      </c>
      <c r="B281" t="str">
        <f>_xlfn.TEXTAFTER(TRACK_TYPES[[#This Row],[VEHIDCODE]],"_")</f>
        <v>Morocco_ONCF_DF_100</v>
      </c>
      <c r="C281" t="s">
        <v>730</v>
      </c>
      <c r="D281" t="s">
        <v>949</v>
      </c>
      <c r="E281">
        <v>5116</v>
      </c>
      <c r="F281" t="b">
        <f>AND(CONTROL[[#This Row],[IS_WAGON_OR_COACH]]=TRUE,OR(RIGHT(CONTROL[[#This Row],[VEHIDCODE]],7)="Powered",RIGHT(CONTROL[[#This Row],[VEHIDCODE]],9)="Unpowered"))</f>
        <v>0</v>
      </c>
      <c r="G281" s="2" t="b">
        <f>OR(ISNUMBER(SEARCH("wagon_",CONTROL[[#This Row],[VEHIDCODE]])),ISNUMBER(SEARCH("coach_",CONTROL[[#This Row],[VEHIDCODE]])))</f>
        <v>0</v>
      </c>
      <c r="H281" t="str">
        <f>"item_"&amp;CONTROL[[#This Row],[VEHIDCODE]]</f>
        <v>item_diesel_Morocco_ONCF_DF_100</v>
      </c>
      <c r="I281" t="str">
        <f>"str_"&amp;CONTROL[[#This Row],[VEHIDCODE]]</f>
        <v>str_diesel_Morocco_ONCF_DF_100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t="b">
        <f>ISNUMBER(_xlfn.XMATCH(CONTROL[[#This Row],[VEHIDCODE]],ENGLISH_ITEMS[VEHIDCODE],0))</f>
        <v>1</v>
      </c>
    </row>
    <row r="282" spans="1:16">
      <c r="A282" s="2" t="s">
        <v>305</v>
      </c>
      <c r="B282" t="str">
        <f>_xlfn.TEXTAFTER(TRACK_TYPES[[#This Row],[VEHIDCODE]],"_")</f>
        <v>Ukraine_UZ_TEP10L</v>
      </c>
      <c r="C282" t="s">
        <v>730</v>
      </c>
      <c r="D282" t="s">
        <v>949</v>
      </c>
      <c r="E282">
        <v>5107</v>
      </c>
      <c r="F282" t="b">
        <f>AND(CONTROL[[#This Row],[IS_WAGON_OR_COACH]]=TRUE,OR(RIGHT(CONTROL[[#This Row],[VEHIDCODE]],7)="Powered",RIGHT(CONTROL[[#This Row],[VEHIDCODE]],9)="Unpowered"))</f>
        <v>0</v>
      </c>
      <c r="G282" s="2" t="b">
        <f>OR(ISNUMBER(SEARCH("wagon_",CONTROL[[#This Row],[VEHIDCODE]])),ISNUMBER(SEARCH("coach_",CONTROL[[#This Row],[VEHIDCODE]])))</f>
        <v>0</v>
      </c>
      <c r="H282" t="str">
        <f>"item_"&amp;CONTROL[[#This Row],[VEHIDCODE]]</f>
        <v>item_diesel_Ukraine_UZ_TEP10L</v>
      </c>
      <c r="I282" t="str">
        <f>"str_"&amp;CONTROL[[#This Row],[VEHIDCODE]]</f>
        <v>str_diesel_Ukraine_UZ_TEP10L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t="b">
        <f>ISNUMBER(_xlfn.XMATCH(CONTROL[[#This Row],[VEHIDCODE]],ENGLISH_ITEMS[VEHIDCODE],0))</f>
        <v>1</v>
      </c>
    </row>
    <row r="283" spans="1:16">
      <c r="A283" s="2" t="s">
        <v>306</v>
      </c>
      <c r="B283" t="str">
        <f>_xlfn.TEXTAFTER(TRACK_TYPES[[#This Row],[VEHIDCODE]],"_")</f>
        <v>Belarus_BCh_2TE10M</v>
      </c>
      <c r="C283" t="s">
        <v>730</v>
      </c>
      <c r="D283" t="s">
        <v>949</v>
      </c>
      <c r="E283">
        <v>5112</v>
      </c>
      <c r="F283" t="b">
        <f>AND(CONTROL[[#This Row],[IS_WAGON_OR_COACH]]=TRUE,OR(RIGHT(CONTROL[[#This Row],[VEHIDCODE]],7)="Powered",RIGHT(CONTROL[[#This Row],[VEHIDCODE]],9)="Unpowered"))</f>
        <v>0</v>
      </c>
      <c r="G283" s="2" t="b">
        <f>OR(ISNUMBER(SEARCH("wagon_",CONTROL[[#This Row],[VEHIDCODE]])),ISNUMBER(SEARCH("coach_",CONTROL[[#This Row],[VEHIDCODE]])))</f>
        <v>0</v>
      </c>
      <c r="H283" t="str">
        <f>"item_"&amp;CONTROL[[#This Row],[VEHIDCODE]]</f>
        <v>item_diesel_Belarus_BCh_2TE10M</v>
      </c>
      <c r="I283" t="str">
        <f>"str_"&amp;CONTROL[[#This Row],[VEHIDCODE]]</f>
        <v>str_diesel_Belarus_BCh_2TE10M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t="b">
        <f>ISNUMBER(_xlfn.XMATCH(CONTROL[[#This Row],[VEHIDCODE]],ENGLISH_ITEMS[VEHIDCODE],0))</f>
        <v>1</v>
      </c>
    </row>
    <row r="284" spans="1:16">
      <c r="A284" s="2" t="s">
        <v>307</v>
      </c>
      <c r="B284" t="str">
        <f>_xlfn.TEXTAFTER(TRACK_TYPES[[#This Row],[VEHIDCODE]],"_")</f>
        <v>Poland_PKP_SP32</v>
      </c>
      <c r="C284" t="s">
        <v>730</v>
      </c>
      <c r="D284" t="s">
        <v>949</v>
      </c>
      <c r="E284">
        <v>5114</v>
      </c>
      <c r="F284" t="b">
        <f>AND(CONTROL[[#This Row],[IS_WAGON_OR_COACH]]=TRUE,OR(RIGHT(CONTROL[[#This Row],[VEHIDCODE]],7)="Powered",RIGHT(CONTROL[[#This Row],[VEHIDCODE]],9)="Unpowered"))</f>
        <v>0</v>
      </c>
      <c r="G284" s="2" t="b">
        <f>OR(ISNUMBER(SEARCH("wagon_",CONTROL[[#This Row],[VEHIDCODE]])),ISNUMBER(SEARCH("coach_",CONTROL[[#This Row],[VEHIDCODE]])))</f>
        <v>0</v>
      </c>
      <c r="H284" t="str">
        <f>"item_"&amp;CONTROL[[#This Row],[VEHIDCODE]]</f>
        <v>item_diesel_Poland_PKP_SP32</v>
      </c>
      <c r="I284" t="str">
        <f>"str_"&amp;CONTROL[[#This Row],[VEHIDCODE]]</f>
        <v>str_diesel_Poland_PKP_SP32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t="b">
        <f>ISNUMBER(_xlfn.XMATCH(CONTROL[[#This Row],[VEHIDCODE]],ENGLISH_ITEMS[VEHIDCODE],0))</f>
        <v>1</v>
      </c>
    </row>
    <row r="285" spans="1:16">
      <c r="A285" s="2" t="s">
        <v>308</v>
      </c>
      <c r="B285" t="str">
        <f>_xlfn.TEXTAFTER(TRACK_TYPES[[#This Row],[VEHIDCODE]],"_")</f>
        <v>Ukraine_UZ_2TE126</v>
      </c>
      <c r="C285" t="s">
        <v>730</v>
      </c>
      <c r="D285" t="s">
        <v>949</v>
      </c>
      <c r="E285">
        <v>5115</v>
      </c>
      <c r="F285" t="b">
        <f>AND(CONTROL[[#This Row],[IS_WAGON_OR_COACH]]=TRUE,OR(RIGHT(CONTROL[[#This Row],[VEHIDCODE]],7)="Powered",RIGHT(CONTROL[[#This Row],[VEHIDCODE]],9)="Unpowered"))</f>
        <v>0</v>
      </c>
      <c r="G285" s="2" t="b">
        <f>OR(ISNUMBER(SEARCH("wagon_",CONTROL[[#This Row],[VEHIDCODE]])),ISNUMBER(SEARCH("coach_",CONTROL[[#This Row],[VEHIDCODE]])))</f>
        <v>0</v>
      </c>
      <c r="H285" t="str">
        <f>"item_"&amp;CONTROL[[#This Row],[VEHIDCODE]]</f>
        <v>item_diesel_Ukraine_UZ_2TE126</v>
      </c>
      <c r="I285" t="str">
        <f>"str_"&amp;CONTROL[[#This Row],[VEHIDCODE]]</f>
        <v>str_diesel_Ukraine_UZ_2TE126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t="b">
        <f>ISNUMBER(_xlfn.XMATCH(CONTROL[[#This Row],[VEHIDCODE]],ENGLISH_ITEMS[VEHIDCODE],0))</f>
        <v>1</v>
      </c>
    </row>
    <row r="286" spans="1:16">
      <c r="A286" s="2" t="s">
        <v>309</v>
      </c>
      <c r="B286" t="str">
        <f>_xlfn.TEXTAFTER(TRACK_TYPES[[#This Row],[VEHIDCODE]],"_")</f>
        <v>Ukraine_UZ_2TE10Ut</v>
      </c>
      <c r="C286" t="s">
        <v>730</v>
      </c>
      <c r="D286" t="s">
        <v>949</v>
      </c>
      <c r="E286">
        <v>5117</v>
      </c>
      <c r="F286" t="b">
        <f>AND(CONTROL[[#This Row],[IS_WAGON_OR_COACH]]=TRUE,OR(RIGHT(CONTROL[[#This Row],[VEHIDCODE]],7)="Powered",RIGHT(CONTROL[[#This Row],[VEHIDCODE]],9)="Unpowered"))</f>
        <v>0</v>
      </c>
      <c r="G286" s="2" t="b">
        <f>OR(ISNUMBER(SEARCH("wagon_",CONTROL[[#This Row],[VEHIDCODE]])),ISNUMBER(SEARCH("coach_",CONTROL[[#This Row],[VEHIDCODE]])))</f>
        <v>0</v>
      </c>
      <c r="H286" t="str">
        <f>"item_"&amp;CONTROL[[#This Row],[VEHIDCODE]]</f>
        <v>item_diesel_Ukraine_UZ_2TE10Ut</v>
      </c>
      <c r="I286" t="str">
        <f>"str_"&amp;CONTROL[[#This Row],[VEHIDCODE]]</f>
        <v>str_diesel_Ukraine_UZ_2TE10Ut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t="b">
        <f>ISNUMBER(_xlfn.XMATCH(CONTROL[[#This Row],[VEHIDCODE]],ENGLISH_ITEMS[VEHIDCODE],0))</f>
        <v>1</v>
      </c>
    </row>
    <row r="287" spans="1:16">
      <c r="A287" s="2" t="s">
        <v>310</v>
      </c>
      <c r="B287" t="str">
        <f>_xlfn.TEXTAFTER(TRACK_TYPES[[#This Row],[VEHIDCODE]],"_")</f>
        <v>Serbia_ZS_621</v>
      </c>
      <c r="C287" t="s">
        <v>730</v>
      </c>
      <c r="D287" t="s">
        <v>949</v>
      </c>
      <c r="E287">
        <v>5119</v>
      </c>
      <c r="F287" t="b">
        <f>AND(CONTROL[[#This Row],[IS_WAGON_OR_COACH]]=TRUE,OR(RIGHT(CONTROL[[#This Row],[VEHIDCODE]],7)="Powered",RIGHT(CONTROL[[#This Row],[VEHIDCODE]],9)="Unpowered"))</f>
        <v>0</v>
      </c>
      <c r="G287" s="2" t="b">
        <f>OR(ISNUMBER(SEARCH("wagon_",CONTROL[[#This Row],[VEHIDCODE]])),ISNUMBER(SEARCH("coach_",CONTROL[[#This Row],[VEHIDCODE]])))</f>
        <v>0</v>
      </c>
      <c r="H287" t="str">
        <f>"item_"&amp;CONTROL[[#This Row],[VEHIDCODE]]</f>
        <v>item_diesel_Serbia_ZS_621</v>
      </c>
      <c r="I287" t="str">
        <f>"str_"&amp;CONTROL[[#This Row],[VEHIDCODE]]</f>
        <v>str_diesel_Serbia_ZS_621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t="b">
        <f>ISNUMBER(_xlfn.XMATCH(CONTROL[[#This Row],[VEHIDCODE]],ENGLISH_ITEMS[VEHIDCODE],0))</f>
        <v>1</v>
      </c>
    </row>
    <row r="288" spans="1:16">
      <c r="A288" s="2" t="s">
        <v>311</v>
      </c>
      <c r="B288" t="str">
        <f>_xlfn.TEXTAFTER(TRACK_TYPES[[#This Row],[VEHIDCODE]],"_")</f>
        <v>Italy_FS_207</v>
      </c>
      <c r="C288" t="s">
        <v>730</v>
      </c>
      <c r="D288" t="s">
        <v>949</v>
      </c>
      <c r="E288">
        <v>5121</v>
      </c>
      <c r="F288" t="b">
        <f>AND(CONTROL[[#This Row],[IS_WAGON_OR_COACH]]=TRUE,OR(RIGHT(CONTROL[[#This Row],[VEHIDCODE]],7)="Powered",RIGHT(CONTROL[[#This Row],[VEHIDCODE]],9)="Unpowered"))</f>
        <v>0</v>
      </c>
      <c r="G288" s="2" t="b">
        <f>OR(ISNUMBER(SEARCH("wagon_",CONTROL[[#This Row],[VEHIDCODE]])),ISNUMBER(SEARCH("coach_",CONTROL[[#This Row],[VEHIDCODE]])))</f>
        <v>0</v>
      </c>
      <c r="H288" t="str">
        <f>"item_"&amp;CONTROL[[#This Row],[VEHIDCODE]]</f>
        <v>item_diesel_Italy_FS_207</v>
      </c>
      <c r="I288" t="str">
        <f>"str_"&amp;CONTROL[[#This Row],[VEHIDCODE]]</f>
        <v>str_diesel_Italy_FS_207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t="b">
        <f>ISNUMBER(_xlfn.XMATCH(CONTROL[[#This Row],[VEHIDCODE]],ENGLISH_ITEMS[VEHIDCODE],0))</f>
        <v>1</v>
      </c>
    </row>
    <row r="289" spans="1:16">
      <c r="A289" s="2" t="s">
        <v>312</v>
      </c>
      <c r="B289" t="str">
        <f>_xlfn.TEXTAFTER(TRACK_TYPES[[#This Row],[VEHIDCODE]],"_")</f>
        <v>Russia_RZD_Db</v>
      </c>
      <c r="C289" t="s">
        <v>730</v>
      </c>
      <c r="D289" t="s">
        <v>949</v>
      </c>
      <c r="E289">
        <v>5122</v>
      </c>
      <c r="F289" t="b">
        <f>AND(CONTROL[[#This Row],[IS_WAGON_OR_COACH]]=TRUE,OR(RIGHT(CONTROL[[#This Row],[VEHIDCODE]],7)="Powered",RIGHT(CONTROL[[#This Row],[VEHIDCODE]],9)="Unpowered"))</f>
        <v>0</v>
      </c>
      <c r="G289" s="2" t="b">
        <f>OR(ISNUMBER(SEARCH("wagon_",CONTROL[[#This Row],[VEHIDCODE]])),ISNUMBER(SEARCH("coach_",CONTROL[[#This Row],[VEHIDCODE]])))</f>
        <v>0</v>
      </c>
      <c r="H289" t="str">
        <f>"item_"&amp;CONTROL[[#This Row],[VEHIDCODE]]</f>
        <v>item_diesel_Russia_RZD_Db</v>
      </c>
      <c r="I289" t="str">
        <f>"str_"&amp;CONTROL[[#This Row],[VEHIDCODE]]</f>
        <v>str_diesel_Russia_RZD_Db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t="b">
        <f>ISNUMBER(_xlfn.XMATCH(CONTROL[[#This Row],[VEHIDCODE]],ENGLISH_ITEMS[VEHIDCODE],0))</f>
        <v>1</v>
      </c>
    </row>
    <row r="290" spans="1:16">
      <c r="A290" s="2" t="s">
        <v>313</v>
      </c>
      <c r="B290" t="str">
        <f>_xlfn.TEXTAFTER(TRACK_TYPES[[#This Row],[VEHIDCODE]],"_")</f>
        <v>Portugal_CP_1500</v>
      </c>
      <c r="C290" t="s">
        <v>730</v>
      </c>
      <c r="D290" t="s">
        <v>949</v>
      </c>
      <c r="E290">
        <v>5123</v>
      </c>
      <c r="F290" t="b">
        <f>AND(CONTROL[[#This Row],[IS_WAGON_OR_COACH]]=TRUE,OR(RIGHT(CONTROL[[#This Row],[VEHIDCODE]],7)="Powered",RIGHT(CONTROL[[#This Row],[VEHIDCODE]],9)="Unpowered"))</f>
        <v>0</v>
      </c>
      <c r="G290" s="2" t="b">
        <f>OR(ISNUMBER(SEARCH("wagon_",CONTROL[[#This Row],[VEHIDCODE]])),ISNUMBER(SEARCH("coach_",CONTROL[[#This Row],[VEHIDCODE]])))</f>
        <v>0</v>
      </c>
      <c r="H290" t="str">
        <f>"item_"&amp;CONTROL[[#This Row],[VEHIDCODE]]</f>
        <v>item_diesel_Portugal_CP_1500</v>
      </c>
      <c r="I290" t="str">
        <f>"str_"&amp;CONTROL[[#This Row],[VEHIDCODE]]</f>
        <v>str_diesel_Portugal_CP_1500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t="b">
        <f>ISNUMBER(_xlfn.XMATCH(CONTROL[[#This Row],[VEHIDCODE]],ENGLISH_ITEMS[VEHIDCODE],0))</f>
        <v>1</v>
      </c>
    </row>
    <row r="291" spans="1:16">
      <c r="A291" s="2" t="s">
        <v>314</v>
      </c>
      <c r="B291" t="str">
        <f>_xlfn.TEXTAFTER(TRACK_TYPES[[#This Row],[VEHIDCODE]],"_")</f>
        <v>France_SNCF_BB_67400</v>
      </c>
      <c r="C291" t="s">
        <v>730</v>
      </c>
      <c r="D291" t="s">
        <v>949</v>
      </c>
      <c r="E291">
        <v>5125</v>
      </c>
      <c r="F291" t="b">
        <f>AND(CONTROL[[#This Row],[IS_WAGON_OR_COACH]]=TRUE,OR(RIGHT(CONTROL[[#This Row],[VEHIDCODE]],7)="Powered",RIGHT(CONTROL[[#This Row],[VEHIDCODE]],9)="Unpowered"))</f>
        <v>0</v>
      </c>
      <c r="G291" s="2" t="b">
        <f>OR(ISNUMBER(SEARCH("wagon_",CONTROL[[#This Row],[VEHIDCODE]])),ISNUMBER(SEARCH("coach_",CONTROL[[#This Row],[VEHIDCODE]])))</f>
        <v>0</v>
      </c>
      <c r="H291" t="str">
        <f>"item_"&amp;CONTROL[[#This Row],[VEHIDCODE]]</f>
        <v>item_diesel_France_SNCF_BB_67400</v>
      </c>
      <c r="I291" t="str">
        <f>"str_"&amp;CONTROL[[#This Row],[VEHIDCODE]]</f>
        <v>str_diesel_France_SNCF_BB_67400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t="b">
        <f>ISNUMBER(_xlfn.XMATCH(CONTROL[[#This Row],[VEHIDCODE]],ENGLISH_ITEMS[VEHIDCODE],0))</f>
        <v>1</v>
      </c>
    </row>
    <row r="292" spans="1:16">
      <c r="A292" s="2" t="s">
        <v>315</v>
      </c>
      <c r="B292" t="str">
        <f>_xlfn.TEXTAFTER(TRACK_TYPES[[#This Row],[VEHIDCODE]],"_")</f>
        <v>Netherlands_NS_6400</v>
      </c>
      <c r="C292" t="s">
        <v>730</v>
      </c>
      <c r="D292" t="s">
        <v>949</v>
      </c>
      <c r="E292">
        <v>5126</v>
      </c>
      <c r="F292" t="b">
        <f>AND(CONTROL[[#This Row],[IS_WAGON_OR_COACH]]=TRUE,OR(RIGHT(CONTROL[[#This Row],[VEHIDCODE]],7)="Powered",RIGHT(CONTROL[[#This Row],[VEHIDCODE]],9)="Unpowered"))</f>
        <v>0</v>
      </c>
      <c r="G292" s="2" t="b">
        <f>OR(ISNUMBER(SEARCH("wagon_",CONTROL[[#This Row],[VEHIDCODE]])),ISNUMBER(SEARCH("coach_",CONTROL[[#This Row],[VEHIDCODE]])))</f>
        <v>0</v>
      </c>
      <c r="H292" t="str">
        <f>"item_"&amp;CONTROL[[#This Row],[VEHIDCODE]]</f>
        <v>item_diesel_Netherlands_NS_6400</v>
      </c>
      <c r="I292" t="str">
        <f>"str_"&amp;CONTROL[[#This Row],[VEHIDCODE]]</f>
        <v>str_diesel_Netherlands_NS_6400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t="b">
        <f>ISNUMBER(_xlfn.XMATCH(CONTROL[[#This Row],[VEHIDCODE]],ENGLISH_ITEMS[VEHIDCODE],0))</f>
        <v>1</v>
      </c>
    </row>
    <row r="293" spans="1:16">
      <c r="A293" s="2" t="s">
        <v>316</v>
      </c>
      <c r="B293" t="str">
        <f>_xlfn.TEXTAFTER(TRACK_TYPES[[#This Row],[VEHIDCODE]],"_")</f>
        <v>Egypt_ENR_2400_GE_ES40ACi</v>
      </c>
      <c r="C293" t="s">
        <v>730</v>
      </c>
      <c r="D293" t="s">
        <v>949</v>
      </c>
      <c r="E293">
        <v>5130</v>
      </c>
      <c r="F293" t="b">
        <f>AND(CONTROL[[#This Row],[IS_WAGON_OR_COACH]]=TRUE,OR(RIGHT(CONTROL[[#This Row],[VEHIDCODE]],7)="Powered",RIGHT(CONTROL[[#This Row],[VEHIDCODE]],9)="Unpowered"))</f>
        <v>0</v>
      </c>
      <c r="G293" s="2" t="b">
        <f>OR(ISNUMBER(SEARCH("wagon_",CONTROL[[#This Row],[VEHIDCODE]])),ISNUMBER(SEARCH("coach_",CONTROL[[#This Row],[VEHIDCODE]])))</f>
        <v>0</v>
      </c>
      <c r="H293" t="str">
        <f>"item_"&amp;CONTROL[[#This Row],[VEHIDCODE]]</f>
        <v>item_diesel_Egypt_ENR_2400_GE_ES40ACi</v>
      </c>
      <c r="I293" t="str">
        <f>"str_"&amp;CONTROL[[#This Row],[VEHIDCODE]]</f>
        <v>str_diesel_Egypt_ENR_2400_GE_ES40ACi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t="b">
        <f>ISNUMBER(_xlfn.XMATCH(CONTROL[[#This Row],[VEHIDCODE]],ENGLISH_ITEMS[VEHIDCODE],0))</f>
        <v>1</v>
      </c>
    </row>
    <row r="294" spans="1:16">
      <c r="A294" s="2" t="s">
        <v>317</v>
      </c>
      <c r="B294" t="str">
        <f>_xlfn.TEXTAFTER(TRACK_TYPES[[#This Row],[VEHIDCODE]],"_")</f>
        <v>South_Africa_SAR_Afro_4000</v>
      </c>
      <c r="C294" t="s">
        <v>730</v>
      </c>
      <c r="D294" t="s">
        <v>949</v>
      </c>
      <c r="E294">
        <v>5132</v>
      </c>
      <c r="F294" t="b">
        <f>AND(CONTROL[[#This Row],[IS_WAGON_OR_COACH]]=TRUE,OR(RIGHT(CONTROL[[#This Row],[VEHIDCODE]],7)="Powered",RIGHT(CONTROL[[#This Row],[VEHIDCODE]],9)="Unpowered"))</f>
        <v>0</v>
      </c>
      <c r="G294" s="2" t="b">
        <f>OR(ISNUMBER(SEARCH("wagon_",CONTROL[[#This Row],[VEHIDCODE]])),ISNUMBER(SEARCH("coach_",CONTROL[[#This Row],[VEHIDCODE]])))</f>
        <v>0</v>
      </c>
      <c r="H294" t="str">
        <f>"item_"&amp;CONTROL[[#This Row],[VEHIDCODE]]</f>
        <v>item_diesel_South_Africa_SAR_Afro_4000</v>
      </c>
      <c r="I294" t="str">
        <f>"str_"&amp;CONTROL[[#This Row],[VEHIDCODE]]</f>
        <v>str_diesel_South_Africa_SAR_Afro_4000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t="b">
        <f>ISNUMBER(_xlfn.XMATCH(CONTROL[[#This Row],[VEHIDCODE]],ENGLISH_ITEMS[VEHIDCODE],0))</f>
        <v>1</v>
      </c>
    </row>
    <row r="295" spans="1:16">
      <c r="A295" s="2" t="s">
        <v>318</v>
      </c>
      <c r="B295" t="str">
        <f>_xlfn.TEXTAFTER(TRACK_TYPES[[#This Row],[VEHIDCODE]],"_")</f>
        <v>Spain_RENFE_308</v>
      </c>
      <c r="C295" t="s">
        <v>730</v>
      </c>
      <c r="D295" t="s">
        <v>949</v>
      </c>
      <c r="E295">
        <v>5124</v>
      </c>
      <c r="F295" t="b">
        <f>AND(CONTROL[[#This Row],[IS_WAGON_OR_COACH]]=TRUE,OR(RIGHT(CONTROL[[#This Row],[VEHIDCODE]],7)="Powered",RIGHT(CONTROL[[#This Row],[VEHIDCODE]],9)="Unpowered"))</f>
        <v>0</v>
      </c>
      <c r="G295" s="2" t="b">
        <f>OR(ISNUMBER(SEARCH("wagon_",CONTROL[[#This Row],[VEHIDCODE]])),ISNUMBER(SEARCH("coach_",CONTROL[[#This Row],[VEHIDCODE]])))</f>
        <v>0</v>
      </c>
      <c r="H295" t="str">
        <f>"item_"&amp;CONTROL[[#This Row],[VEHIDCODE]]</f>
        <v>item_diesel_Spain_RENFE_308</v>
      </c>
      <c r="I295" t="str">
        <f>"str_"&amp;CONTROL[[#This Row],[VEHIDCODE]]</f>
        <v>str_diesel_Spain_RENFE_308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t="b">
        <f>ISNUMBER(_xlfn.XMATCH(CONTROL[[#This Row],[VEHIDCODE]],ENGLISH_ITEMS[VEHIDCODE],0))</f>
        <v>1</v>
      </c>
    </row>
    <row r="296" spans="1:16">
      <c r="A296" s="2" t="s">
        <v>319</v>
      </c>
      <c r="B296" t="str">
        <f>_xlfn.TEXTAFTER(TRACK_TYPES[[#This Row],[VEHIDCODE]],"_")</f>
        <v>Australia_Pacific_National_XR_XRB</v>
      </c>
      <c r="C296" t="s">
        <v>730</v>
      </c>
      <c r="D296" t="s">
        <v>949</v>
      </c>
      <c r="E296">
        <v>5127</v>
      </c>
      <c r="F296" t="b">
        <f>AND(CONTROL[[#This Row],[IS_WAGON_OR_COACH]]=TRUE,OR(RIGHT(CONTROL[[#This Row],[VEHIDCODE]],7)="Powered",RIGHT(CONTROL[[#This Row],[VEHIDCODE]],9)="Unpowered"))</f>
        <v>0</v>
      </c>
      <c r="G296" s="2" t="b">
        <f>OR(ISNUMBER(SEARCH("wagon_",CONTROL[[#This Row],[VEHIDCODE]])),ISNUMBER(SEARCH("coach_",CONTROL[[#This Row],[VEHIDCODE]])))</f>
        <v>0</v>
      </c>
      <c r="H296" t="str">
        <f>"item_"&amp;CONTROL[[#This Row],[VEHIDCODE]]</f>
        <v>item_diesel_Australia_Pacific_National_XR_XRB</v>
      </c>
      <c r="I296" t="str">
        <f>"str_"&amp;CONTROL[[#This Row],[VEHIDCODE]]</f>
        <v>str_diesel_Australia_Pacific_National_XR_XRB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t="b">
        <f>ISNUMBER(_xlfn.XMATCH(CONTROL[[#This Row],[VEHIDCODE]],ENGLISH_ITEMS[VEHIDCODE],0))</f>
        <v>1</v>
      </c>
    </row>
    <row r="297" spans="1:16">
      <c r="A297" s="2" t="s">
        <v>320</v>
      </c>
      <c r="B297" t="str">
        <f>_xlfn.TEXTAFTER(TRACK_TYPES[[#This Row],[VEHIDCODE]],"_")</f>
        <v>Norway_CargoNet_312</v>
      </c>
      <c r="C297" t="s">
        <v>730</v>
      </c>
      <c r="D297" t="s">
        <v>949</v>
      </c>
      <c r="E297">
        <v>5128</v>
      </c>
      <c r="F297" t="b">
        <f>AND(CONTROL[[#This Row],[IS_WAGON_OR_COACH]]=TRUE,OR(RIGHT(CONTROL[[#This Row],[VEHIDCODE]],7)="Powered",RIGHT(CONTROL[[#This Row],[VEHIDCODE]],9)="Unpowered"))</f>
        <v>0</v>
      </c>
      <c r="G297" s="2" t="b">
        <f>OR(ISNUMBER(SEARCH("wagon_",CONTROL[[#This Row],[VEHIDCODE]])),ISNUMBER(SEARCH("coach_",CONTROL[[#This Row],[VEHIDCODE]])))</f>
        <v>0</v>
      </c>
      <c r="H297" t="str">
        <f>"item_"&amp;CONTROL[[#This Row],[VEHIDCODE]]</f>
        <v>item_diesel_Norway_CargoNet_312</v>
      </c>
      <c r="I297" t="str">
        <f>"str_"&amp;CONTROL[[#This Row],[VEHIDCODE]]</f>
        <v>str_diesel_Norway_CargoNet_312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t="b">
        <f>ISNUMBER(_xlfn.XMATCH(CONTROL[[#This Row],[VEHIDCODE]],ENGLISH_ITEMS[VEHIDCODE],0))</f>
        <v>1</v>
      </c>
    </row>
    <row r="298" spans="1:16">
      <c r="A298" s="2" t="s">
        <v>321</v>
      </c>
      <c r="B298" t="str">
        <f>_xlfn.TEXTAFTER(TRACK_TYPES[[#This Row],[VEHIDCODE]],"_")</f>
        <v>Australia_Pacific_National_92</v>
      </c>
      <c r="C298" t="s">
        <v>730</v>
      </c>
      <c r="D298" t="s">
        <v>949</v>
      </c>
      <c r="E298">
        <v>5129</v>
      </c>
      <c r="F298" t="b">
        <f>AND(CONTROL[[#This Row],[IS_WAGON_OR_COACH]]=TRUE,OR(RIGHT(CONTROL[[#This Row],[VEHIDCODE]],7)="Powered",RIGHT(CONTROL[[#This Row],[VEHIDCODE]],9)="Unpowered"))</f>
        <v>0</v>
      </c>
      <c r="G298" s="2" t="b">
        <f>OR(ISNUMBER(SEARCH("wagon_",CONTROL[[#This Row],[VEHIDCODE]])),ISNUMBER(SEARCH("coach_",CONTROL[[#This Row],[VEHIDCODE]])))</f>
        <v>0</v>
      </c>
      <c r="H298" t="str">
        <f>"item_"&amp;CONTROL[[#This Row],[VEHIDCODE]]</f>
        <v>item_diesel_Australia_Pacific_National_92</v>
      </c>
      <c r="I298" t="str">
        <f>"str_"&amp;CONTROL[[#This Row],[VEHIDCODE]]</f>
        <v>str_diesel_Australia_Pacific_National_92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t="b">
        <f>ISNUMBER(_xlfn.XMATCH(CONTROL[[#This Row],[VEHIDCODE]],ENGLISH_ITEMS[VEHIDCODE],0))</f>
        <v>1</v>
      </c>
    </row>
    <row r="299" spans="1:16">
      <c r="A299" s="2" t="s">
        <v>322</v>
      </c>
      <c r="B299" t="str">
        <f>_xlfn.TEXTAFTER(TRACK_TYPES[[#This Row],[VEHIDCODE]],"_")</f>
        <v>UK_BR_68</v>
      </c>
      <c r="C299" t="s">
        <v>730</v>
      </c>
      <c r="D299" t="s">
        <v>949</v>
      </c>
      <c r="E299">
        <v>5131</v>
      </c>
      <c r="F299" t="b">
        <f>AND(CONTROL[[#This Row],[IS_WAGON_OR_COACH]]=TRUE,OR(RIGHT(CONTROL[[#This Row],[VEHIDCODE]],7)="Powered",RIGHT(CONTROL[[#This Row],[VEHIDCODE]],9)="Unpowered"))</f>
        <v>0</v>
      </c>
      <c r="G299" s="2" t="b">
        <f>OR(ISNUMBER(SEARCH("wagon_",CONTROL[[#This Row],[VEHIDCODE]])),ISNUMBER(SEARCH("coach_",CONTROL[[#This Row],[VEHIDCODE]])))</f>
        <v>0</v>
      </c>
      <c r="H299" t="str">
        <f>"item_"&amp;CONTROL[[#This Row],[VEHIDCODE]]</f>
        <v>item_diesel_UK_BR_68</v>
      </c>
      <c r="I299" t="str">
        <f>"str_"&amp;CONTROL[[#This Row],[VEHIDCODE]]</f>
        <v>str_diesel_UK_BR_68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t="b">
        <f>ISNUMBER(_xlfn.XMATCH(CONTROL[[#This Row],[VEHIDCODE]],ENGLISH_ITEMS[VEHIDCODE],0))</f>
        <v>1</v>
      </c>
    </row>
    <row r="300" spans="1:16">
      <c r="A300" s="2" t="s">
        <v>323</v>
      </c>
      <c r="B300" t="str">
        <f>_xlfn.TEXTAFTER(TRACK_TYPES[[#This Row],[VEHIDCODE]],"_")</f>
        <v>USA_Amtrak_Charger</v>
      </c>
      <c r="C300" t="s">
        <v>730</v>
      </c>
      <c r="D300" t="s">
        <v>949</v>
      </c>
      <c r="E300">
        <v>5133</v>
      </c>
      <c r="F300" t="b">
        <f>AND(CONTROL[[#This Row],[IS_WAGON_OR_COACH]]=TRUE,OR(RIGHT(CONTROL[[#This Row],[VEHIDCODE]],7)="Powered",RIGHT(CONTROL[[#This Row],[VEHIDCODE]],9)="Unpowered"))</f>
        <v>0</v>
      </c>
      <c r="G300" s="2" t="b">
        <f>OR(ISNUMBER(SEARCH("wagon_",CONTROL[[#This Row],[VEHIDCODE]])),ISNUMBER(SEARCH("coach_",CONTROL[[#This Row],[VEHIDCODE]])))</f>
        <v>0</v>
      </c>
      <c r="H300" t="str">
        <f>"item_"&amp;CONTROL[[#This Row],[VEHIDCODE]]</f>
        <v>item_diesel_USA_Amtrak_Charger</v>
      </c>
      <c r="I300" t="str">
        <f>"str_"&amp;CONTROL[[#This Row],[VEHIDCODE]]</f>
        <v>str_diesel_USA_Amtrak_Charger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t="b">
        <f>ISNUMBER(_xlfn.XMATCH(CONTROL[[#This Row],[VEHIDCODE]],ENGLISH_ITEMS[VEHIDCODE],0))</f>
        <v>1</v>
      </c>
    </row>
    <row r="301" spans="1:16">
      <c r="A301" s="2" t="s">
        <v>324</v>
      </c>
      <c r="B301" t="str">
        <f>_xlfn.TEXTAFTER(TRACK_TYPES[[#This Row],[VEHIDCODE]],"_")</f>
        <v>Argentina_Le_Brugeoise</v>
      </c>
      <c r="C301" t="s">
        <v>731</v>
      </c>
      <c r="D301" t="s">
        <v>957</v>
      </c>
      <c r="E301">
        <v>9004</v>
      </c>
      <c r="F301" t="b">
        <f>AND(CONTROL[[#This Row],[IS_WAGON_OR_COACH]]=TRUE,OR(RIGHT(CONTROL[[#This Row],[VEHIDCODE]],7)="Powered",RIGHT(CONTROL[[#This Row],[VEHIDCODE]],9)="Unpowered"))</f>
        <v>0</v>
      </c>
      <c r="G301" s="2" t="b">
        <f>OR(ISNUMBER(SEARCH("wagon_",CONTROL[[#This Row],[VEHIDCODE]])),ISNUMBER(SEARCH("coach_",CONTROL[[#This Row],[VEHIDCODE]])))</f>
        <v>0</v>
      </c>
      <c r="H301" t="str">
        <f>"item_"&amp;CONTROL[[#This Row],[VEHIDCODE]]</f>
        <v>item_mtro_Argentina_Le_Brugeoise</v>
      </c>
      <c r="I301" t="str">
        <f>"str_"&amp;CONTROL[[#This Row],[VEHIDCODE]]</f>
        <v>str_mtro_Argentina_Le_Brugeoise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t="b">
        <f>ISNUMBER(_xlfn.XMATCH(CONTROL[[#This Row],[VEHIDCODE]],ENGLISH_ITEMS[VEHIDCODE],0))</f>
        <v>1</v>
      </c>
    </row>
    <row r="302" spans="1:16">
      <c r="A302" s="2" t="s">
        <v>327</v>
      </c>
      <c r="B302" t="str">
        <f>_xlfn.TEXTAFTER(TRACK_TYPES[[#This Row],[VEHIDCODE]],"_")</f>
        <v>USA_NY_R1</v>
      </c>
      <c r="C302" t="s">
        <v>731</v>
      </c>
      <c r="D302" t="s">
        <v>957</v>
      </c>
      <c r="E302">
        <v>9006</v>
      </c>
      <c r="F302" t="b">
        <f>AND(CONTROL[[#This Row],[IS_WAGON_OR_COACH]]=TRUE,OR(RIGHT(CONTROL[[#This Row],[VEHIDCODE]],7)="Powered",RIGHT(CONTROL[[#This Row],[VEHIDCODE]],9)="Unpowered"))</f>
        <v>0</v>
      </c>
      <c r="G302" s="2" t="b">
        <f>OR(ISNUMBER(SEARCH("wagon_",CONTROL[[#This Row],[VEHIDCODE]])),ISNUMBER(SEARCH("coach_",CONTROL[[#This Row],[VEHIDCODE]])))</f>
        <v>0</v>
      </c>
      <c r="H302" t="str">
        <f>"item_"&amp;CONTROL[[#This Row],[VEHIDCODE]]</f>
        <v>item_mtro_USA_NY_R1</v>
      </c>
      <c r="I302" t="str">
        <f>"str_"&amp;CONTROL[[#This Row],[VEHIDCODE]]</f>
        <v>str_mtro_USA_NY_R1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t="b">
        <f>ISNUMBER(_xlfn.XMATCH(CONTROL[[#This Row],[VEHIDCODE]],ENGLISH_ITEMS[VEHIDCODE],0))</f>
        <v>1</v>
      </c>
    </row>
    <row r="303" spans="1:16">
      <c r="A303" s="2" t="s">
        <v>328</v>
      </c>
      <c r="B303" t="str">
        <f>_xlfn.TEXTAFTER(TRACK_TYPES[[#This Row],[VEHIDCODE]],"_")</f>
        <v>Germany_DB_ET_171</v>
      </c>
      <c r="C303" t="s">
        <v>731</v>
      </c>
      <c r="D303" t="s">
        <v>957</v>
      </c>
      <c r="E303">
        <v>9008</v>
      </c>
      <c r="F303" t="b">
        <f>AND(CONTROL[[#This Row],[IS_WAGON_OR_COACH]]=TRUE,OR(RIGHT(CONTROL[[#This Row],[VEHIDCODE]],7)="Powered",RIGHT(CONTROL[[#This Row],[VEHIDCODE]],9)="Unpowered"))</f>
        <v>0</v>
      </c>
      <c r="G303" s="2" t="b">
        <f>OR(ISNUMBER(SEARCH("wagon_",CONTROL[[#This Row],[VEHIDCODE]])),ISNUMBER(SEARCH("coach_",CONTROL[[#This Row],[VEHIDCODE]])))</f>
        <v>0</v>
      </c>
      <c r="H303" t="str">
        <f>"item_"&amp;CONTROL[[#This Row],[VEHIDCODE]]</f>
        <v>item_mtro_Germany_DB_ET_171</v>
      </c>
      <c r="I303" t="str">
        <f>"str_"&amp;CONTROL[[#This Row],[VEHIDCODE]]</f>
        <v>str_mtro_Germany_DB_ET_171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t="b">
        <f>ISNUMBER(_xlfn.XMATCH(CONTROL[[#This Row],[VEHIDCODE]],ENGLISH_ITEMS[VEHIDCODE],0))</f>
        <v>1</v>
      </c>
    </row>
    <row r="304" spans="1:16">
      <c r="A304" s="2" t="s">
        <v>329</v>
      </c>
      <c r="B304" t="str">
        <f>_xlfn.TEXTAFTER(TRACK_TYPES[[#This Row],[VEHIDCODE]],"_")</f>
        <v>France_Paris_M2_840</v>
      </c>
      <c r="C304" t="s">
        <v>731</v>
      </c>
      <c r="D304" t="s">
        <v>957</v>
      </c>
      <c r="E304">
        <v>9009</v>
      </c>
      <c r="F304" t="b">
        <f>AND(CONTROL[[#This Row],[IS_WAGON_OR_COACH]]=TRUE,OR(RIGHT(CONTROL[[#This Row],[VEHIDCODE]],7)="Powered",RIGHT(CONTROL[[#This Row],[VEHIDCODE]],9)="Unpowered"))</f>
        <v>0</v>
      </c>
      <c r="G304" s="2" t="b">
        <f>OR(ISNUMBER(SEARCH("wagon_",CONTROL[[#This Row],[VEHIDCODE]])),ISNUMBER(SEARCH("coach_",CONTROL[[#This Row],[VEHIDCODE]])))</f>
        <v>0</v>
      </c>
      <c r="H304" t="str">
        <f>"item_"&amp;CONTROL[[#This Row],[VEHIDCODE]]</f>
        <v>item_mtro_France_Paris_M2_840</v>
      </c>
      <c r="I304" t="str">
        <f>"str_"&amp;CONTROL[[#This Row],[VEHIDCODE]]</f>
        <v>str_mtro_France_Paris_M2_840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t="b">
        <f>ISNUMBER(_xlfn.XMATCH(CONTROL[[#This Row],[VEHIDCODE]],ENGLISH_ITEMS[VEHIDCODE],0))</f>
        <v>1</v>
      </c>
    </row>
    <row r="305" spans="1:16">
      <c r="A305" s="2" t="s">
        <v>330</v>
      </c>
      <c r="B305" t="str">
        <f>_xlfn.TEXTAFTER(TRACK_TYPES[[#This Row],[VEHIDCODE]],"_")</f>
        <v>Portugal_Lisbon_ML7</v>
      </c>
      <c r="C305" t="s">
        <v>731</v>
      </c>
      <c r="D305" t="s">
        <v>957</v>
      </c>
      <c r="E305">
        <v>9010</v>
      </c>
      <c r="F305" t="b">
        <f>AND(CONTROL[[#This Row],[IS_WAGON_OR_COACH]]=TRUE,OR(RIGHT(CONTROL[[#This Row],[VEHIDCODE]],7)="Powered",RIGHT(CONTROL[[#This Row],[VEHIDCODE]],9)="Unpowered"))</f>
        <v>0</v>
      </c>
      <c r="G305" s="2" t="b">
        <f>OR(ISNUMBER(SEARCH("wagon_",CONTROL[[#This Row],[VEHIDCODE]])),ISNUMBER(SEARCH("coach_",CONTROL[[#This Row],[VEHIDCODE]])))</f>
        <v>0</v>
      </c>
      <c r="H305" t="str">
        <f>"item_"&amp;CONTROL[[#This Row],[VEHIDCODE]]</f>
        <v>item_mtro_Portugal_Lisbon_ML7</v>
      </c>
      <c r="I305" t="str">
        <f>"str_"&amp;CONTROL[[#This Row],[VEHIDCODE]]</f>
        <v>str_mtro_Portugal_Lisbon_ML7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t="b">
        <f>ISNUMBER(_xlfn.XMATCH(CONTROL[[#This Row],[VEHIDCODE]],ENGLISH_ITEMS[VEHIDCODE],0))</f>
        <v>1</v>
      </c>
    </row>
    <row r="306" spans="1:16">
      <c r="A306" s="2" t="s">
        <v>331</v>
      </c>
      <c r="B306" t="str">
        <f>_xlfn.TEXTAFTER(TRACK_TYPES[[#This Row],[VEHIDCODE]],"_")</f>
        <v>Hungary_Budapest_Ev3_200</v>
      </c>
      <c r="C306" t="s">
        <v>731</v>
      </c>
      <c r="D306" t="s">
        <v>957</v>
      </c>
      <c r="E306">
        <v>9011</v>
      </c>
      <c r="F306" t="b">
        <f>AND(CONTROL[[#This Row],[IS_WAGON_OR_COACH]]=TRUE,OR(RIGHT(CONTROL[[#This Row],[VEHIDCODE]],7)="Powered",RIGHT(CONTROL[[#This Row],[VEHIDCODE]],9)="Unpowered"))</f>
        <v>0</v>
      </c>
      <c r="G306" s="2" t="b">
        <f>OR(ISNUMBER(SEARCH("wagon_",CONTROL[[#This Row],[VEHIDCODE]])),ISNUMBER(SEARCH("coach_",CONTROL[[#This Row],[VEHIDCODE]])))</f>
        <v>0</v>
      </c>
      <c r="H306" t="str">
        <f>"item_"&amp;CONTROL[[#This Row],[VEHIDCODE]]</f>
        <v>item_mtro_Hungary_Budapest_Ev3_200</v>
      </c>
      <c r="I306" t="str">
        <f>"str_"&amp;CONTROL[[#This Row],[VEHIDCODE]]</f>
        <v>str_mtro_Hungary_Budapest_Ev3_200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t="b">
        <f>ISNUMBER(_xlfn.XMATCH(CONTROL[[#This Row],[VEHIDCODE]],ENGLISH_ITEMS[VEHIDCODE],0))</f>
        <v>1</v>
      </c>
    </row>
    <row r="307" spans="1:16">
      <c r="A307" s="2" t="s">
        <v>332</v>
      </c>
      <c r="B307" t="str">
        <f>_xlfn.TEXTAFTER(TRACK_TYPES[[#This Row],[VEHIDCODE]],"_")</f>
        <v>Norway_Oslo_T1000</v>
      </c>
      <c r="C307" t="s">
        <v>731</v>
      </c>
      <c r="D307" t="s">
        <v>957</v>
      </c>
      <c r="E307">
        <v>9012</v>
      </c>
      <c r="F307" t="b">
        <f>AND(CONTROL[[#This Row],[IS_WAGON_OR_COACH]]=TRUE,OR(RIGHT(CONTROL[[#This Row],[VEHIDCODE]],7)="Powered",RIGHT(CONTROL[[#This Row],[VEHIDCODE]],9)="Unpowered"))</f>
        <v>0</v>
      </c>
      <c r="G307" s="2" t="b">
        <f>OR(ISNUMBER(SEARCH("wagon_",CONTROL[[#This Row],[VEHIDCODE]])),ISNUMBER(SEARCH("coach_",CONTROL[[#This Row],[VEHIDCODE]])))</f>
        <v>0</v>
      </c>
      <c r="H307" t="str">
        <f>"item_"&amp;CONTROL[[#This Row],[VEHIDCODE]]</f>
        <v>item_mtro_Norway_Oslo_T1000</v>
      </c>
      <c r="I307" t="str">
        <f>"str_"&amp;CONTROL[[#This Row],[VEHIDCODE]]</f>
        <v>str_mtro_Norway_Oslo_T1000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t="b">
        <f>ISNUMBER(_xlfn.XMATCH(CONTROL[[#This Row],[VEHIDCODE]],ENGLISH_ITEMS[VEHIDCODE],0))</f>
        <v>1</v>
      </c>
    </row>
    <row r="308" spans="1:16">
      <c r="A308" s="2" t="s">
        <v>333</v>
      </c>
      <c r="B308" t="str">
        <f>_xlfn.TEXTAFTER(TRACK_TYPES[[#This Row],[VEHIDCODE]],"_")</f>
        <v>Canada_Toronto_H_series</v>
      </c>
      <c r="C308" t="s">
        <v>731</v>
      </c>
      <c r="D308" t="s">
        <v>957</v>
      </c>
      <c r="E308">
        <v>9013</v>
      </c>
      <c r="F308" t="b">
        <f>AND(CONTROL[[#This Row],[IS_WAGON_OR_COACH]]=TRUE,OR(RIGHT(CONTROL[[#This Row],[VEHIDCODE]],7)="Powered",RIGHT(CONTROL[[#This Row],[VEHIDCODE]],9)="Unpowered"))</f>
        <v>0</v>
      </c>
      <c r="G308" s="2" t="b">
        <f>OR(ISNUMBER(SEARCH("wagon_",CONTROL[[#This Row],[VEHIDCODE]])),ISNUMBER(SEARCH("coach_",CONTROL[[#This Row],[VEHIDCODE]])))</f>
        <v>0</v>
      </c>
      <c r="H308" t="str">
        <f>"item_"&amp;CONTROL[[#This Row],[VEHIDCODE]]</f>
        <v>item_mtro_Canada_Toronto_H_series</v>
      </c>
      <c r="I308" t="str">
        <f>"str_"&amp;CONTROL[[#This Row],[VEHIDCODE]]</f>
        <v>str_mtro_Canada_Toronto_H_series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t="b">
        <f>ISNUMBER(_xlfn.XMATCH(CONTROL[[#This Row],[VEHIDCODE]],ENGLISH_ITEMS[VEHIDCODE],0))</f>
        <v>1</v>
      </c>
    </row>
    <row r="309" spans="1:16">
      <c r="A309" s="2" t="s">
        <v>334</v>
      </c>
      <c r="B309" t="str">
        <f>_xlfn.TEXTAFTER(TRACK_TYPES[[#This Row],[VEHIDCODE]],"_")</f>
        <v>Germany_Munchen_MVG_A2</v>
      </c>
      <c r="C309" t="s">
        <v>731</v>
      </c>
      <c r="D309" t="s">
        <v>957</v>
      </c>
      <c r="E309">
        <v>9014</v>
      </c>
      <c r="F309" t="b">
        <f>AND(CONTROL[[#This Row],[IS_WAGON_OR_COACH]]=TRUE,OR(RIGHT(CONTROL[[#This Row],[VEHIDCODE]],7)="Powered",RIGHT(CONTROL[[#This Row],[VEHIDCODE]],9)="Unpowered"))</f>
        <v>0</v>
      </c>
      <c r="G309" s="2" t="b">
        <f>OR(ISNUMBER(SEARCH("wagon_",CONTROL[[#This Row],[VEHIDCODE]])),ISNUMBER(SEARCH("coach_",CONTROL[[#This Row],[VEHIDCODE]])))</f>
        <v>0</v>
      </c>
      <c r="H309" t="str">
        <f>"item_"&amp;CONTROL[[#This Row],[VEHIDCODE]]</f>
        <v>item_mtro_Germany_Munchen_MVG_A2</v>
      </c>
      <c r="I309" t="str">
        <f>"str_"&amp;CONTROL[[#This Row],[VEHIDCODE]]</f>
        <v>str_mtro_Germany_Munchen_MVG_A2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t="b">
        <f>ISNUMBER(_xlfn.XMATCH(CONTROL[[#This Row],[VEHIDCODE]],ENGLISH_ITEMS[VEHIDCODE],0))</f>
        <v>1</v>
      </c>
    </row>
    <row r="310" spans="1:16">
      <c r="A310" s="2" t="s">
        <v>335</v>
      </c>
      <c r="B310" t="str">
        <f>_xlfn.TEXTAFTER(TRACK_TYPES[[#This Row],[VEHIDCODE]],"_")</f>
        <v>USA_NY_R44</v>
      </c>
      <c r="C310" t="s">
        <v>731</v>
      </c>
      <c r="D310" t="s">
        <v>957</v>
      </c>
      <c r="E310">
        <v>9015</v>
      </c>
      <c r="F310" t="b">
        <f>AND(CONTROL[[#This Row],[IS_WAGON_OR_COACH]]=TRUE,OR(RIGHT(CONTROL[[#This Row],[VEHIDCODE]],7)="Powered",RIGHT(CONTROL[[#This Row],[VEHIDCODE]],9)="Unpowered"))</f>
        <v>0</v>
      </c>
      <c r="G310" s="2" t="b">
        <f>OR(ISNUMBER(SEARCH("wagon_",CONTROL[[#This Row],[VEHIDCODE]])),ISNUMBER(SEARCH("coach_",CONTROL[[#This Row],[VEHIDCODE]])))</f>
        <v>0</v>
      </c>
      <c r="H310" t="str">
        <f>"item_"&amp;CONTROL[[#This Row],[VEHIDCODE]]</f>
        <v>item_mtro_USA_NY_R44</v>
      </c>
      <c r="I310" t="str">
        <f>"str_"&amp;CONTROL[[#This Row],[VEHIDCODE]]</f>
        <v>str_mtro_USA_NY_R44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t="b">
        <f>ISNUMBER(_xlfn.XMATCH(CONTROL[[#This Row],[VEHIDCODE]],ENGLISH_ITEMS[VEHIDCODE],0))</f>
        <v>1</v>
      </c>
    </row>
    <row r="311" spans="1:16">
      <c r="A311" s="2" t="s">
        <v>336</v>
      </c>
      <c r="B311" t="str">
        <f>_xlfn.TEXTAFTER(TRACK_TYPES[[#This Row],[VEHIDCODE]],"_")</f>
        <v>Netherlands_Amsterdam_Type_M1</v>
      </c>
      <c r="C311" t="s">
        <v>731</v>
      </c>
      <c r="D311" t="s">
        <v>957</v>
      </c>
      <c r="E311">
        <v>9016</v>
      </c>
      <c r="F311" t="b">
        <f>AND(CONTROL[[#This Row],[IS_WAGON_OR_COACH]]=TRUE,OR(RIGHT(CONTROL[[#This Row],[VEHIDCODE]],7)="Powered",RIGHT(CONTROL[[#This Row],[VEHIDCODE]],9)="Unpowered"))</f>
        <v>0</v>
      </c>
      <c r="G311" s="2" t="b">
        <f>OR(ISNUMBER(SEARCH("wagon_",CONTROL[[#This Row],[VEHIDCODE]])),ISNUMBER(SEARCH("coach_",CONTROL[[#This Row],[VEHIDCODE]])))</f>
        <v>0</v>
      </c>
      <c r="H311" t="str">
        <f>"item_"&amp;CONTROL[[#This Row],[VEHIDCODE]]</f>
        <v>item_mtro_Netherlands_Amsterdam_Type_M1</v>
      </c>
      <c r="I311" t="str">
        <f>"str_"&amp;CONTROL[[#This Row],[VEHIDCODE]]</f>
        <v>str_mtro_Netherlands_Amsterdam_Type_M1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t="b">
        <f>ISNUMBER(_xlfn.XMATCH(CONTROL[[#This Row],[VEHIDCODE]],ENGLISH_ITEMS[VEHIDCODE],0))</f>
        <v>1</v>
      </c>
    </row>
    <row r="312" spans="1:16">
      <c r="A312" s="2" t="s">
        <v>337</v>
      </c>
      <c r="B312" t="str">
        <f>_xlfn.TEXTAFTER(TRACK_TYPES[[#This Row],[VEHIDCODE]],"_")</f>
        <v>Sweden_Stockholm_C8</v>
      </c>
      <c r="C312" t="s">
        <v>731</v>
      </c>
      <c r="D312" t="s">
        <v>957</v>
      </c>
      <c r="E312">
        <v>9017</v>
      </c>
      <c r="F312" t="b">
        <f>AND(CONTROL[[#This Row],[IS_WAGON_OR_COACH]]=TRUE,OR(RIGHT(CONTROL[[#This Row],[VEHIDCODE]],7)="Powered",RIGHT(CONTROL[[#This Row],[VEHIDCODE]],9)="Unpowered"))</f>
        <v>0</v>
      </c>
      <c r="G312" s="2" t="b">
        <f>OR(ISNUMBER(SEARCH("wagon_",CONTROL[[#This Row],[VEHIDCODE]])),ISNUMBER(SEARCH("coach_",CONTROL[[#This Row],[VEHIDCODE]])))</f>
        <v>0</v>
      </c>
      <c r="H312" t="str">
        <f>"item_"&amp;CONTROL[[#This Row],[VEHIDCODE]]</f>
        <v>item_mtro_Sweden_Stockholm_C8</v>
      </c>
      <c r="I312" t="str">
        <f>"str_"&amp;CONTROL[[#This Row],[VEHIDCODE]]</f>
        <v>str_mtro_Sweden_Stockholm_C8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t="b">
        <f>ISNUMBER(_xlfn.XMATCH(CONTROL[[#This Row],[VEHIDCODE]],ENGLISH_ITEMS[VEHIDCODE],0))</f>
        <v>1</v>
      </c>
    </row>
    <row r="313" spans="1:16">
      <c r="A313" s="2" t="s">
        <v>338</v>
      </c>
      <c r="B313" t="str">
        <f>_xlfn.TEXTAFTER(TRACK_TYPES[[#This Row],[VEHIDCODE]],"_")</f>
        <v>North_Korea_Pyongyang_D_stock</v>
      </c>
      <c r="C313" t="s">
        <v>731</v>
      </c>
      <c r="D313" t="s">
        <v>957</v>
      </c>
      <c r="E313">
        <v>9018</v>
      </c>
      <c r="F313" t="b">
        <f>AND(CONTROL[[#This Row],[IS_WAGON_OR_COACH]]=TRUE,OR(RIGHT(CONTROL[[#This Row],[VEHIDCODE]],7)="Powered",RIGHT(CONTROL[[#This Row],[VEHIDCODE]],9)="Unpowered"))</f>
        <v>0</v>
      </c>
      <c r="G313" s="2" t="b">
        <f>OR(ISNUMBER(SEARCH("wagon_",CONTROL[[#This Row],[VEHIDCODE]])),ISNUMBER(SEARCH("coach_",CONTROL[[#This Row],[VEHIDCODE]])))</f>
        <v>0</v>
      </c>
      <c r="H313" t="str">
        <f>"item_"&amp;CONTROL[[#This Row],[VEHIDCODE]]</f>
        <v>item_mtro_North_Korea_Pyongyang_D_stock</v>
      </c>
      <c r="I313" t="str">
        <f>"str_"&amp;CONTROL[[#This Row],[VEHIDCODE]]</f>
        <v>str_mtro_North_Korea_Pyongyang_D_stock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t="b">
        <f>ISNUMBER(_xlfn.XMATCH(CONTROL[[#This Row],[VEHIDCODE]],ENGLISH_ITEMS[VEHIDCODE],0))</f>
        <v>1</v>
      </c>
    </row>
    <row r="314" spans="1:16">
      <c r="A314" s="2" t="s">
        <v>339</v>
      </c>
      <c r="B314" t="str">
        <f>_xlfn.TEXTAFTER(TRACK_TYPES[[#This Row],[VEHIDCODE]],"_")</f>
        <v>Finland_Helsinki_M100</v>
      </c>
      <c r="C314" t="s">
        <v>731</v>
      </c>
      <c r="D314" t="s">
        <v>957</v>
      </c>
      <c r="E314">
        <v>9019</v>
      </c>
      <c r="F314" t="b">
        <f>AND(CONTROL[[#This Row],[IS_WAGON_OR_COACH]]=TRUE,OR(RIGHT(CONTROL[[#This Row],[VEHIDCODE]],7)="Powered",RIGHT(CONTROL[[#This Row],[VEHIDCODE]],9)="Unpowered"))</f>
        <v>0</v>
      </c>
      <c r="G314" s="2" t="b">
        <f>OR(ISNUMBER(SEARCH("wagon_",CONTROL[[#This Row],[VEHIDCODE]])),ISNUMBER(SEARCH("coach_",CONTROL[[#This Row],[VEHIDCODE]])))</f>
        <v>0</v>
      </c>
      <c r="H314" t="str">
        <f>"item_"&amp;CONTROL[[#This Row],[VEHIDCODE]]</f>
        <v>item_mtro_Finland_Helsinki_M100</v>
      </c>
      <c r="I314" t="str">
        <f>"str_"&amp;CONTROL[[#This Row],[VEHIDCODE]]</f>
        <v>str_mtro_Finland_Helsinki_M100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t="b">
        <f>ISNUMBER(_xlfn.XMATCH(CONTROL[[#This Row],[VEHIDCODE]],ENGLISH_ITEMS[VEHIDCODE],0))</f>
        <v>1</v>
      </c>
    </row>
    <row r="315" spans="1:16">
      <c r="A315" s="2" t="s">
        <v>340</v>
      </c>
      <c r="B315" t="str">
        <f>_xlfn.TEXTAFTER(TRACK_TYPES[[#This Row],[VEHIDCODE]],"_")</f>
        <v>Brazil_Sao_Paulo_Serie_5500</v>
      </c>
      <c r="C315" t="s">
        <v>731</v>
      </c>
      <c r="D315" t="s">
        <v>957</v>
      </c>
      <c r="E315">
        <v>9020</v>
      </c>
      <c r="F315" t="b">
        <f>AND(CONTROL[[#This Row],[IS_WAGON_OR_COACH]]=TRUE,OR(RIGHT(CONTROL[[#This Row],[VEHIDCODE]],7)="Powered",RIGHT(CONTROL[[#This Row],[VEHIDCODE]],9)="Unpowered"))</f>
        <v>0</v>
      </c>
      <c r="G315" s="2" t="b">
        <f>OR(ISNUMBER(SEARCH("wagon_",CONTROL[[#This Row],[VEHIDCODE]])),ISNUMBER(SEARCH("coach_",CONTROL[[#This Row],[VEHIDCODE]])))</f>
        <v>0</v>
      </c>
      <c r="H315" t="str">
        <f>"item_"&amp;CONTROL[[#This Row],[VEHIDCODE]]</f>
        <v>item_mtro_Brazil_Sao_Paulo_Serie_5500</v>
      </c>
      <c r="I315" t="str">
        <f>"str_"&amp;CONTROL[[#This Row],[VEHIDCODE]]</f>
        <v>str_mtro_Brazil_Sao_Paulo_Serie_5500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t="b">
        <f>ISNUMBER(_xlfn.XMATCH(CONTROL[[#This Row],[VEHIDCODE]],ENGLISH_ITEMS[VEHIDCODE],0))</f>
        <v>1</v>
      </c>
    </row>
    <row r="316" spans="1:16">
      <c r="A316" s="2" t="s">
        <v>341</v>
      </c>
      <c r="B316" t="str">
        <f>_xlfn.TEXTAFTER(TRACK_TYPES[[#This Row],[VEHIDCODE]],"_")</f>
        <v>Russia_Moscow_81_720</v>
      </c>
      <c r="C316" t="s">
        <v>731</v>
      </c>
      <c r="D316" t="s">
        <v>957</v>
      </c>
      <c r="E316">
        <v>9021</v>
      </c>
      <c r="F316" t="b">
        <f>AND(CONTROL[[#This Row],[IS_WAGON_OR_COACH]]=TRUE,OR(RIGHT(CONTROL[[#This Row],[VEHIDCODE]],7)="Powered",RIGHT(CONTROL[[#This Row],[VEHIDCODE]],9)="Unpowered"))</f>
        <v>0</v>
      </c>
      <c r="G316" s="2" t="b">
        <f>OR(ISNUMBER(SEARCH("wagon_",CONTROL[[#This Row],[VEHIDCODE]])),ISNUMBER(SEARCH("coach_",CONTROL[[#This Row],[VEHIDCODE]])))</f>
        <v>0</v>
      </c>
      <c r="H316" t="str">
        <f>"item_"&amp;CONTROL[[#This Row],[VEHIDCODE]]</f>
        <v>item_mtro_Russia_Moscow_81_720</v>
      </c>
      <c r="I316" t="str">
        <f>"str_"&amp;CONTROL[[#This Row],[VEHIDCODE]]</f>
        <v>str_mtro_Russia_Moscow_81_720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t="b">
        <f>ISNUMBER(_xlfn.XMATCH(CONTROL[[#This Row],[VEHIDCODE]],ENGLISH_ITEMS[VEHIDCODE],0))</f>
        <v>1</v>
      </c>
    </row>
    <row r="317" spans="1:16">
      <c r="A317" s="2" t="s">
        <v>342</v>
      </c>
      <c r="B317" t="str">
        <f>_xlfn.TEXTAFTER(TRACK_TYPES[[#This Row],[VEHIDCODE]],"_")</f>
        <v>Japan_Tokyo_S01</v>
      </c>
      <c r="C317" t="s">
        <v>731</v>
      </c>
      <c r="D317" t="s">
        <v>957</v>
      </c>
      <c r="E317">
        <v>9022</v>
      </c>
      <c r="F317" t="b">
        <f>AND(CONTROL[[#This Row],[IS_WAGON_OR_COACH]]=TRUE,OR(RIGHT(CONTROL[[#This Row],[VEHIDCODE]],7)="Powered",RIGHT(CONTROL[[#This Row],[VEHIDCODE]],9)="Unpowered"))</f>
        <v>0</v>
      </c>
      <c r="G317" s="2" t="b">
        <f>OR(ISNUMBER(SEARCH("wagon_",CONTROL[[#This Row],[VEHIDCODE]])),ISNUMBER(SEARCH("coach_",CONTROL[[#This Row],[VEHIDCODE]])))</f>
        <v>0</v>
      </c>
      <c r="H317" t="str">
        <f>"item_"&amp;CONTROL[[#This Row],[VEHIDCODE]]</f>
        <v>item_mtro_Japan_Tokyo_S01</v>
      </c>
      <c r="I317" t="str">
        <f>"str_"&amp;CONTROL[[#This Row],[VEHIDCODE]]</f>
        <v>str_mtro_Japan_Tokyo_S01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t="b">
        <f>ISNUMBER(_xlfn.XMATCH(CONTROL[[#This Row],[VEHIDCODE]],ENGLISH_ITEMS[VEHIDCODE],0))</f>
        <v>1</v>
      </c>
    </row>
    <row r="318" spans="1:16">
      <c r="A318" s="2" t="s">
        <v>343</v>
      </c>
      <c r="B318" t="str">
        <f>_xlfn.TEXTAFTER(TRACK_TYPES[[#This Row],[VEHIDCODE]],"_")</f>
        <v>Egypt_Cairo_1987_Stock</v>
      </c>
      <c r="C318" t="s">
        <v>731</v>
      </c>
      <c r="D318" t="s">
        <v>957</v>
      </c>
      <c r="E318">
        <v>9023</v>
      </c>
      <c r="F318" t="b">
        <f>AND(CONTROL[[#This Row],[IS_WAGON_OR_COACH]]=TRUE,OR(RIGHT(CONTROL[[#This Row],[VEHIDCODE]],7)="Powered",RIGHT(CONTROL[[#This Row],[VEHIDCODE]],9)="Unpowered"))</f>
        <v>0</v>
      </c>
      <c r="G318" s="2" t="b">
        <f>OR(ISNUMBER(SEARCH("wagon_",CONTROL[[#This Row],[VEHIDCODE]])),ISNUMBER(SEARCH("coach_",CONTROL[[#This Row],[VEHIDCODE]])))</f>
        <v>0</v>
      </c>
      <c r="H318" t="str">
        <f>"item_"&amp;CONTROL[[#This Row],[VEHIDCODE]]</f>
        <v>item_mtro_Egypt_Cairo_1987_Stock</v>
      </c>
      <c r="I318" t="str">
        <f>"str_"&amp;CONTROL[[#This Row],[VEHIDCODE]]</f>
        <v>str_mtro_Egypt_Cairo_1987_Stock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t="b">
        <f>ISNUMBER(_xlfn.XMATCH(CONTROL[[#This Row],[VEHIDCODE]],ENGLISH_ITEMS[VEHIDCODE],0))</f>
        <v>1</v>
      </c>
    </row>
    <row r="319" spans="1:16">
      <c r="A319" s="2" t="s">
        <v>344</v>
      </c>
      <c r="B319" t="str">
        <f>_xlfn.TEXTAFTER(TRACK_TYPES[[#This Row],[VEHIDCODE]],"_")</f>
        <v>UK_DLR_P86</v>
      </c>
      <c r="C319" t="s">
        <v>731</v>
      </c>
      <c r="D319" t="s">
        <v>957</v>
      </c>
      <c r="E319">
        <v>9024</v>
      </c>
      <c r="F319" t="b">
        <f>AND(CONTROL[[#This Row],[IS_WAGON_OR_COACH]]=TRUE,OR(RIGHT(CONTROL[[#This Row],[VEHIDCODE]],7)="Powered",RIGHT(CONTROL[[#This Row],[VEHIDCODE]],9)="Unpowered"))</f>
        <v>0</v>
      </c>
      <c r="G319" s="2" t="b">
        <f>OR(ISNUMBER(SEARCH("wagon_",CONTROL[[#This Row],[VEHIDCODE]])),ISNUMBER(SEARCH("coach_",CONTROL[[#This Row],[VEHIDCODE]])))</f>
        <v>0</v>
      </c>
      <c r="H319" t="str">
        <f>"item_"&amp;CONTROL[[#This Row],[VEHIDCODE]]</f>
        <v>item_mtro_UK_DLR_P86</v>
      </c>
      <c r="I319" t="str">
        <f>"str_"&amp;CONTROL[[#This Row],[VEHIDCODE]]</f>
        <v>str_mtro_UK_DLR_P86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t="b">
        <f>ISNUMBER(_xlfn.XMATCH(CONTROL[[#This Row],[VEHIDCODE]],ENGLISH_ITEMS[VEHIDCODE],0))</f>
        <v>1</v>
      </c>
    </row>
    <row r="320" spans="1:16">
      <c r="A320" s="2" t="s">
        <v>345</v>
      </c>
      <c r="B320" t="str">
        <f>_xlfn.TEXTAFTER(TRACK_TYPES[[#This Row],[VEHIDCODE]],"_")</f>
        <v>Russia_Moscow_81_7175M</v>
      </c>
      <c r="C320" t="s">
        <v>731</v>
      </c>
      <c r="D320" t="s">
        <v>957</v>
      </c>
      <c r="E320">
        <v>9025</v>
      </c>
      <c r="F320" t="b">
        <f>AND(CONTROL[[#This Row],[IS_WAGON_OR_COACH]]=TRUE,OR(RIGHT(CONTROL[[#This Row],[VEHIDCODE]],7)="Powered",RIGHT(CONTROL[[#This Row],[VEHIDCODE]],9)="Unpowered"))</f>
        <v>0</v>
      </c>
      <c r="G320" s="2" t="b">
        <f>OR(ISNUMBER(SEARCH("wagon_",CONTROL[[#This Row],[VEHIDCODE]])),ISNUMBER(SEARCH("coach_",CONTROL[[#This Row],[VEHIDCODE]])))</f>
        <v>0</v>
      </c>
      <c r="H320" t="str">
        <f>"item_"&amp;CONTROL[[#This Row],[VEHIDCODE]]</f>
        <v>item_mtro_Russia_Moscow_81_7175M</v>
      </c>
      <c r="I320" t="str">
        <f>"str_"&amp;CONTROL[[#This Row],[VEHIDCODE]]</f>
        <v>str_mtro_Russia_Moscow_81_7175M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t="b">
        <f>ISNUMBER(_xlfn.XMATCH(CONTROL[[#This Row],[VEHIDCODE]],ENGLISH_ITEMS[VEHIDCODE],0))</f>
        <v>1</v>
      </c>
    </row>
    <row r="321" spans="1:16">
      <c r="A321" s="2" t="s">
        <v>346</v>
      </c>
      <c r="B321" t="str">
        <f>_xlfn.TEXTAFTER(TRACK_TYPES[[#This Row],[VEHIDCODE]],"_")</f>
        <v>USA_Boston_01800</v>
      </c>
      <c r="C321" t="s">
        <v>731</v>
      </c>
      <c r="D321" t="s">
        <v>957</v>
      </c>
      <c r="E321">
        <v>9026</v>
      </c>
      <c r="F321" t="b">
        <f>AND(CONTROL[[#This Row],[IS_WAGON_OR_COACH]]=TRUE,OR(RIGHT(CONTROL[[#This Row],[VEHIDCODE]],7)="Powered",RIGHT(CONTROL[[#This Row],[VEHIDCODE]],9)="Unpowered"))</f>
        <v>0</v>
      </c>
      <c r="G321" s="2" t="b">
        <f>OR(ISNUMBER(SEARCH("wagon_",CONTROL[[#This Row],[VEHIDCODE]])),ISNUMBER(SEARCH("coach_",CONTROL[[#This Row],[VEHIDCODE]])))</f>
        <v>0</v>
      </c>
      <c r="H321" t="str">
        <f>"item_"&amp;CONTROL[[#This Row],[VEHIDCODE]]</f>
        <v>item_mtro_USA_Boston_01800</v>
      </c>
      <c r="I321" t="str">
        <f>"str_"&amp;CONTROL[[#This Row],[VEHIDCODE]]</f>
        <v>str_mtro_USA_Boston_01800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t="b">
        <f>ISNUMBER(_xlfn.XMATCH(CONTROL[[#This Row],[VEHIDCODE]],ENGLISH_ITEMS[VEHIDCODE],0))</f>
        <v>1</v>
      </c>
    </row>
    <row r="322" spans="1:16">
      <c r="A322" s="2" t="s">
        <v>347</v>
      </c>
      <c r="B322" t="str">
        <f>_xlfn.TEXTAFTER(TRACK_TYPES[[#This Row],[VEHIDCODE]],"_")</f>
        <v>USA_LA_A650</v>
      </c>
      <c r="C322" t="s">
        <v>731</v>
      </c>
      <c r="D322" t="s">
        <v>957</v>
      </c>
      <c r="E322">
        <v>9027</v>
      </c>
      <c r="F322" t="b">
        <f>AND(CONTROL[[#This Row],[IS_WAGON_OR_COACH]]=TRUE,OR(RIGHT(CONTROL[[#This Row],[VEHIDCODE]],7)="Powered",RIGHT(CONTROL[[#This Row],[VEHIDCODE]],9)="Unpowered"))</f>
        <v>0</v>
      </c>
      <c r="G322" s="2" t="b">
        <f>OR(ISNUMBER(SEARCH("wagon_",CONTROL[[#This Row],[VEHIDCODE]])),ISNUMBER(SEARCH("coach_",CONTROL[[#This Row],[VEHIDCODE]])))</f>
        <v>0</v>
      </c>
      <c r="H322" t="str">
        <f>"item_"&amp;CONTROL[[#This Row],[VEHIDCODE]]</f>
        <v>item_mtro_USA_LA_A650</v>
      </c>
      <c r="I322" t="str">
        <f>"str_"&amp;CONTROL[[#This Row],[VEHIDCODE]]</f>
        <v>str_mtro_USA_LA_A650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t="b">
        <f>ISNUMBER(_xlfn.XMATCH(CONTROL[[#This Row],[VEHIDCODE]],ENGLISH_ITEMS[VEHIDCODE],0))</f>
        <v>1</v>
      </c>
    </row>
    <row r="323" spans="1:16">
      <c r="A323" s="2" t="s">
        <v>348</v>
      </c>
      <c r="B323" t="str">
        <f>_xlfn.TEXTAFTER(TRACK_TYPES[[#This Row],[VEHIDCODE]],"_")</f>
        <v>Taiwan_Taipei_C301</v>
      </c>
      <c r="C323" t="s">
        <v>731</v>
      </c>
      <c r="D323" t="s">
        <v>957</v>
      </c>
      <c r="E323">
        <v>9028</v>
      </c>
      <c r="F323" t="b">
        <f>AND(CONTROL[[#This Row],[IS_WAGON_OR_COACH]]=TRUE,OR(RIGHT(CONTROL[[#This Row],[VEHIDCODE]],7)="Powered",RIGHT(CONTROL[[#This Row],[VEHIDCODE]],9)="Unpowered"))</f>
        <v>0</v>
      </c>
      <c r="G323" s="2" t="b">
        <f>OR(ISNUMBER(SEARCH("wagon_",CONTROL[[#This Row],[VEHIDCODE]])),ISNUMBER(SEARCH("coach_",CONTROL[[#This Row],[VEHIDCODE]])))</f>
        <v>0</v>
      </c>
      <c r="H323" t="str">
        <f>"item_"&amp;CONTROL[[#This Row],[VEHIDCODE]]</f>
        <v>item_mtro_Taiwan_Taipei_C301</v>
      </c>
      <c r="I323" t="str">
        <f>"str_"&amp;CONTROL[[#This Row],[VEHIDCODE]]</f>
        <v>str_mtro_Taiwan_Taipei_C301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t="b">
        <f>ISNUMBER(_xlfn.XMATCH(CONTROL[[#This Row],[VEHIDCODE]],ENGLISH_ITEMS[VEHIDCODE],0))</f>
        <v>1</v>
      </c>
    </row>
    <row r="324" spans="1:16">
      <c r="A324" s="2" t="s">
        <v>349</v>
      </c>
      <c r="B324" t="str">
        <f>_xlfn.TEXTAFTER(TRACK_TYPES[[#This Row],[VEHIDCODE]],"_")</f>
        <v>Netherlands_Amsterdam_CAF_90</v>
      </c>
      <c r="C324" t="s">
        <v>731</v>
      </c>
      <c r="D324" t="s">
        <v>957</v>
      </c>
      <c r="E324">
        <v>9030</v>
      </c>
      <c r="F324" t="b">
        <f>AND(CONTROL[[#This Row],[IS_WAGON_OR_COACH]]=TRUE,OR(RIGHT(CONTROL[[#This Row],[VEHIDCODE]],7)="Powered",RIGHT(CONTROL[[#This Row],[VEHIDCODE]],9)="Unpowered"))</f>
        <v>0</v>
      </c>
      <c r="G324" s="2" t="b">
        <f>OR(ISNUMBER(SEARCH("wagon_",CONTROL[[#This Row],[VEHIDCODE]])),ISNUMBER(SEARCH("coach_",CONTROL[[#This Row],[VEHIDCODE]])))</f>
        <v>0</v>
      </c>
      <c r="H324" t="str">
        <f>"item_"&amp;CONTROL[[#This Row],[VEHIDCODE]]</f>
        <v>item_mtro_Netherlands_Amsterdam_CAF_90</v>
      </c>
      <c r="I324" t="str">
        <f>"str_"&amp;CONTROL[[#This Row],[VEHIDCODE]]</f>
        <v>str_mtro_Netherlands_Amsterdam_CAF_90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t="b">
        <f>ISNUMBER(_xlfn.XMATCH(CONTROL[[#This Row],[VEHIDCODE]],ENGLISH_ITEMS[VEHIDCODE],0))</f>
        <v>1</v>
      </c>
    </row>
    <row r="325" spans="1:16">
      <c r="A325" s="2" t="s">
        <v>350</v>
      </c>
      <c r="B325" t="str">
        <f>_xlfn.TEXTAFTER(TRACK_TYPES[[#This Row],[VEHIDCODE]],"_")</f>
        <v>France_Paris_MP89</v>
      </c>
      <c r="C325" t="s">
        <v>731</v>
      </c>
      <c r="D325" t="s">
        <v>957</v>
      </c>
      <c r="E325">
        <v>9029</v>
      </c>
      <c r="F325" t="b">
        <f>AND(CONTROL[[#This Row],[IS_WAGON_OR_COACH]]=TRUE,OR(RIGHT(CONTROL[[#This Row],[VEHIDCODE]],7)="Powered",RIGHT(CONTROL[[#This Row],[VEHIDCODE]],9)="Unpowered"))</f>
        <v>0</v>
      </c>
      <c r="G325" s="2" t="b">
        <f>OR(ISNUMBER(SEARCH("wagon_",CONTROL[[#This Row],[VEHIDCODE]])),ISNUMBER(SEARCH("coach_",CONTROL[[#This Row],[VEHIDCODE]])))</f>
        <v>0</v>
      </c>
      <c r="H325" t="str">
        <f>"item_"&amp;CONTROL[[#This Row],[VEHIDCODE]]</f>
        <v>item_mtro_France_Paris_MP89</v>
      </c>
      <c r="I325" t="str">
        <f>"str_"&amp;CONTROL[[#This Row],[VEHIDCODE]]</f>
        <v>str_mtro_France_Paris_MP89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t="b">
        <f>ISNUMBER(_xlfn.XMATCH(CONTROL[[#This Row],[VEHIDCODE]],ENGLISH_ITEMS[VEHIDCODE],0))</f>
        <v>1</v>
      </c>
    </row>
    <row r="326" spans="1:16">
      <c r="A326" s="2" t="s">
        <v>351</v>
      </c>
      <c r="B326" t="str">
        <f>_xlfn.TEXTAFTER(TRACK_TYPES[[#This Row],[VEHIDCODE]],"_")</f>
        <v>Russia_Moscow_81_740</v>
      </c>
      <c r="C326" t="s">
        <v>731</v>
      </c>
      <c r="D326" t="s">
        <v>957</v>
      </c>
      <c r="E326">
        <v>9031</v>
      </c>
      <c r="F326" t="b">
        <f>AND(CONTROL[[#This Row],[IS_WAGON_OR_COACH]]=TRUE,OR(RIGHT(CONTROL[[#This Row],[VEHIDCODE]],7)="Powered",RIGHT(CONTROL[[#This Row],[VEHIDCODE]],9)="Unpowered"))</f>
        <v>0</v>
      </c>
      <c r="G326" s="2" t="b">
        <f>OR(ISNUMBER(SEARCH("wagon_",CONTROL[[#This Row],[VEHIDCODE]])),ISNUMBER(SEARCH("coach_",CONTROL[[#This Row],[VEHIDCODE]])))</f>
        <v>0</v>
      </c>
      <c r="H326" t="str">
        <f>"item_"&amp;CONTROL[[#This Row],[VEHIDCODE]]</f>
        <v>item_mtro_Russia_Moscow_81_740</v>
      </c>
      <c r="I326" t="str">
        <f>"str_"&amp;CONTROL[[#This Row],[VEHIDCODE]]</f>
        <v>str_mtro_Russia_Moscow_81_740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t="b">
        <f>ISNUMBER(_xlfn.XMATCH(CONTROL[[#This Row],[VEHIDCODE]],ENGLISH_ITEMS[VEHIDCODE],0))</f>
        <v>1</v>
      </c>
    </row>
    <row r="327" spans="1:16">
      <c r="A327" s="2" t="s">
        <v>352</v>
      </c>
      <c r="B327" t="str">
        <f>_xlfn.TEXTAFTER(TRACK_TYPES[[#This Row],[VEHIDCODE]],"_")</f>
        <v>Singapore_Singapore_C830_Metropolis</v>
      </c>
      <c r="C327" t="s">
        <v>731</v>
      </c>
      <c r="D327" t="s">
        <v>957</v>
      </c>
      <c r="E327">
        <v>9032</v>
      </c>
      <c r="F327" t="b">
        <f>AND(CONTROL[[#This Row],[IS_WAGON_OR_COACH]]=TRUE,OR(RIGHT(CONTROL[[#This Row],[VEHIDCODE]],7)="Powered",RIGHT(CONTROL[[#This Row],[VEHIDCODE]],9)="Unpowered"))</f>
        <v>0</v>
      </c>
      <c r="G327" s="2" t="b">
        <f>OR(ISNUMBER(SEARCH("wagon_",CONTROL[[#This Row],[VEHIDCODE]])),ISNUMBER(SEARCH("coach_",CONTROL[[#This Row],[VEHIDCODE]])))</f>
        <v>0</v>
      </c>
      <c r="H327" t="str">
        <f>"item_"&amp;CONTROL[[#This Row],[VEHIDCODE]]</f>
        <v>item_mtro_Singapore_Singapore_C830_Metropolis</v>
      </c>
      <c r="I327" t="str">
        <f>"str_"&amp;CONTROL[[#This Row],[VEHIDCODE]]</f>
        <v>str_mtro_Singapore_Singapore_C830_Metropolis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t="b">
        <f>ISNUMBER(_xlfn.XMATCH(CONTROL[[#This Row],[VEHIDCODE]],ENGLISH_ITEMS[VEHIDCODE],0))</f>
        <v>1</v>
      </c>
    </row>
    <row r="328" spans="1:16">
      <c r="A328" s="2" t="s">
        <v>353</v>
      </c>
      <c r="B328" t="str">
        <f>_xlfn.TEXTAFTER(TRACK_TYPES[[#This Row],[VEHIDCODE]],"_")</f>
        <v>Norway_Oslo_MX3000</v>
      </c>
      <c r="C328" t="s">
        <v>731</v>
      </c>
      <c r="D328" t="s">
        <v>957</v>
      </c>
      <c r="E328">
        <v>9033</v>
      </c>
      <c r="F328" t="b">
        <f>AND(CONTROL[[#This Row],[IS_WAGON_OR_COACH]]=TRUE,OR(RIGHT(CONTROL[[#This Row],[VEHIDCODE]],7)="Powered",RIGHT(CONTROL[[#This Row],[VEHIDCODE]],9)="Unpowered"))</f>
        <v>0</v>
      </c>
      <c r="G328" s="2" t="b">
        <f>OR(ISNUMBER(SEARCH("wagon_",CONTROL[[#This Row],[VEHIDCODE]])),ISNUMBER(SEARCH("coach_",CONTROL[[#This Row],[VEHIDCODE]])))</f>
        <v>0</v>
      </c>
      <c r="H328" t="str">
        <f>"item_"&amp;CONTROL[[#This Row],[VEHIDCODE]]</f>
        <v>item_mtro_Norway_Oslo_MX3000</v>
      </c>
      <c r="I328" t="str">
        <f>"str_"&amp;CONTROL[[#This Row],[VEHIDCODE]]</f>
        <v>str_mtro_Norway_Oslo_MX3000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t="b">
        <f>ISNUMBER(_xlfn.XMATCH(CONTROL[[#This Row],[VEHIDCODE]],ENGLISH_ITEMS[VEHIDCODE],0))</f>
        <v>1</v>
      </c>
    </row>
    <row r="329" spans="1:16">
      <c r="A329" s="2" t="s">
        <v>354</v>
      </c>
      <c r="B329" t="str">
        <f>_xlfn.TEXTAFTER(TRACK_TYPES[[#This Row],[VEHIDCODE]],"_")</f>
        <v>Japan_Osaka_30000</v>
      </c>
      <c r="C329" t="s">
        <v>731</v>
      </c>
      <c r="D329" t="s">
        <v>957</v>
      </c>
      <c r="E329">
        <v>9034</v>
      </c>
      <c r="F329" t="b">
        <f>AND(CONTROL[[#This Row],[IS_WAGON_OR_COACH]]=TRUE,OR(RIGHT(CONTROL[[#This Row],[VEHIDCODE]],7)="Powered",RIGHT(CONTROL[[#This Row],[VEHIDCODE]],9)="Unpowered"))</f>
        <v>0</v>
      </c>
      <c r="G329" s="2" t="b">
        <f>OR(ISNUMBER(SEARCH("wagon_",CONTROL[[#This Row],[VEHIDCODE]])),ISNUMBER(SEARCH("coach_",CONTROL[[#This Row],[VEHIDCODE]])))</f>
        <v>0</v>
      </c>
      <c r="H329" t="str">
        <f>"item_"&amp;CONTROL[[#This Row],[VEHIDCODE]]</f>
        <v>item_mtro_Japan_Osaka_30000</v>
      </c>
      <c r="I329" t="str">
        <f>"str_"&amp;CONTROL[[#This Row],[VEHIDCODE]]</f>
        <v>str_mtro_Japan_Osaka_30000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t="b">
        <f>ISNUMBER(_xlfn.XMATCH(CONTROL[[#This Row],[VEHIDCODE]],ENGLISH_ITEMS[VEHIDCODE],0))</f>
        <v>1</v>
      </c>
    </row>
    <row r="330" spans="1:16">
      <c r="A330" s="2" t="s">
        <v>355</v>
      </c>
      <c r="B330" t="str">
        <f>_xlfn.TEXTAFTER(TRACK_TYPES[[#This Row],[VEHIDCODE]],"_")</f>
        <v>Singapore_Singapore_C151A</v>
      </c>
      <c r="C330" t="s">
        <v>731</v>
      </c>
      <c r="D330" t="s">
        <v>957</v>
      </c>
      <c r="E330">
        <v>9035</v>
      </c>
      <c r="F330" t="b">
        <f>AND(CONTROL[[#This Row],[IS_WAGON_OR_COACH]]=TRUE,OR(RIGHT(CONTROL[[#This Row],[VEHIDCODE]],7)="Powered",RIGHT(CONTROL[[#This Row],[VEHIDCODE]],9)="Unpowered"))</f>
        <v>0</v>
      </c>
      <c r="G330" s="2" t="b">
        <f>OR(ISNUMBER(SEARCH("wagon_",CONTROL[[#This Row],[VEHIDCODE]])),ISNUMBER(SEARCH("coach_",CONTROL[[#This Row],[VEHIDCODE]])))</f>
        <v>0</v>
      </c>
      <c r="H330" t="str">
        <f>"item_"&amp;CONTROL[[#This Row],[VEHIDCODE]]</f>
        <v>item_mtro_Singapore_Singapore_C151A</v>
      </c>
      <c r="I330" t="str">
        <f>"str_"&amp;CONTROL[[#This Row],[VEHIDCODE]]</f>
        <v>str_mtro_Singapore_Singapore_C151A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t="b">
        <f>ISNUMBER(_xlfn.XMATCH(CONTROL[[#This Row],[VEHIDCODE]],ENGLISH_ITEMS[VEHIDCODE],0))</f>
        <v>1</v>
      </c>
    </row>
    <row r="331" spans="1:16">
      <c r="A331" s="2" t="s">
        <v>356</v>
      </c>
      <c r="B331" t="str">
        <f>_xlfn.TEXTAFTER(TRACK_TYPES[[#This Row],[VEHIDCODE]],"_")</f>
        <v>USA_Washington_7000</v>
      </c>
      <c r="C331" t="s">
        <v>731</v>
      </c>
      <c r="D331" t="s">
        <v>957</v>
      </c>
      <c r="E331">
        <v>9036</v>
      </c>
      <c r="F331" t="b">
        <f>AND(CONTROL[[#This Row],[IS_WAGON_OR_COACH]]=TRUE,OR(RIGHT(CONTROL[[#This Row],[VEHIDCODE]],7)="Powered",RIGHT(CONTROL[[#This Row],[VEHIDCODE]],9)="Unpowered"))</f>
        <v>0</v>
      </c>
      <c r="G331" s="2" t="b">
        <f>OR(ISNUMBER(SEARCH("wagon_",CONTROL[[#This Row],[VEHIDCODE]])),ISNUMBER(SEARCH("coach_",CONTROL[[#This Row],[VEHIDCODE]])))</f>
        <v>0</v>
      </c>
      <c r="H331" t="str">
        <f>"item_"&amp;CONTROL[[#This Row],[VEHIDCODE]]</f>
        <v>item_mtro_USA_Washington_7000</v>
      </c>
      <c r="I331" t="str">
        <f>"str_"&amp;CONTROL[[#This Row],[VEHIDCODE]]</f>
        <v>str_mtro_USA_Washington_7000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t="b">
        <f>ISNUMBER(_xlfn.XMATCH(CONTROL[[#This Row],[VEHIDCODE]],ENGLISH_ITEMS[VEHIDCODE],0))</f>
        <v>1</v>
      </c>
    </row>
    <row r="332" spans="1:16">
      <c r="A332" s="2" t="s">
        <v>357</v>
      </c>
      <c r="B332" t="str">
        <f>_xlfn.TEXTAFTER(TRACK_TYPES[[#This Row],[VEHIDCODE]],"_")</f>
        <v>Greece_Thessaloniki_2014</v>
      </c>
      <c r="C332" t="s">
        <v>731</v>
      </c>
      <c r="D332" t="s">
        <v>957</v>
      </c>
      <c r="E332">
        <v>9037</v>
      </c>
      <c r="F332" t="b">
        <f>AND(CONTROL[[#This Row],[IS_WAGON_OR_COACH]]=TRUE,OR(RIGHT(CONTROL[[#This Row],[VEHIDCODE]],7)="Powered",RIGHT(CONTROL[[#This Row],[VEHIDCODE]],9)="Unpowered"))</f>
        <v>0</v>
      </c>
      <c r="G332" s="2" t="b">
        <f>OR(ISNUMBER(SEARCH("wagon_",CONTROL[[#This Row],[VEHIDCODE]])),ISNUMBER(SEARCH("coach_",CONTROL[[#This Row],[VEHIDCODE]])))</f>
        <v>0</v>
      </c>
      <c r="H332" t="str">
        <f>"item_"&amp;CONTROL[[#This Row],[VEHIDCODE]]</f>
        <v>item_mtro_Greece_Thessaloniki_2014</v>
      </c>
      <c r="I332" t="str">
        <f>"str_"&amp;CONTROL[[#This Row],[VEHIDCODE]]</f>
        <v>str_mtro_Greece_Thessaloniki_2014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t="b">
        <f>ISNUMBER(_xlfn.XMATCH(CONTROL[[#This Row],[VEHIDCODE]],ENGLISH_ITEMS[VEHIDCODE],0))</f>
        <v>1</v>
      </c>
    </row>
    <row r="333" spans="1:16">
      <c r="A333" s="2" t="s">
        <v>358</v>
      </c>
      <c r="B333" t="str">
        <f>_xlfn.TEXTAFTER(TRACK_TYPES[[#This Row],[VEHIDCODE]],"_")</f>
        <v>Germany_Berlin_U_Bahn_A_I</v>
      </c>
      <c r="C333" t="s">
        <v>731</v>
      </c>
      <c r="D333" t="s">
        <v>957</v>
      </c>
      <c r="E333">
        <v>9038</v>
      </c>
      <c r="F333" t="b">
        <f>AND(CONTROL[[#This Row],[IS_WAGON_OR_COACH]]=TRUE,OR(RIGHT(CONTROL[[#This Row],[VEHIDCODE]],7)="Powered",RIGHT(CONTROL[[#This Row],[VEHIDCODE]],9)="Unpowered"))</f>
        <v>0</v>
      </c>
      <c r="G333" s="2" t="b">
        <f>OR(ISNUMBER(SEARCH("wagon_",CONTROL[[#This Row],[VEHIDCODE]])),ISNUMBER(SEARCH("coach_",CONTROL[[#This Row],[VEHIDCODE]])))</f>
        <v>0</v>
      </c>
      <c r="H333" t="str">
        <f>"item_"&amp;CONTROL[[#This Row],[VEHIDCODE]]</f>
        <v>item_mtro_Germany_Berlin_U_Bahn_A_I</v>
      </c>
      <c r="I333" t="str">
        <f>"str_"&amp;CONTROL[[#This Row],[VEHIDCODE]]</f>
        <v>str_mtro_Germany_Berlin_U_Bahn_A_I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t="b">
        <f>ISNUMBER(_xlfn.XMATCH(CONTROL[[#This Row],[VEHIDCODE]],ENGLISH_ITEMS[VEHIDCODE],0))</f>
        <v>1</v>
      </c>
    </row>
    <row r="334" spans="1:16">
      <c r="A334" s="2" t="s">
        <v>359</v>
      </c>
      <c r="B334" t="str">
        <f>_xlfn.TEXTAFTER(TRACK_TYPES[[#This Row],[VEHIDCODE]],"_")</f>
        <v>USA_NY_Hedley_Hi_V</v>
      </c>
      <c r="C334" t="s">
        <v>731</v>
      </c>
      <c r="D334" t="s">
        <v>957</v>
      </c>
      <c r="E334">
        <v>9039</v>
      </c>
      <c r="F334" t="b">
        <f>AND(CONTROL[[#This Row],[IS_WAGON_OR_COACH]]=TRUE,OR(RIGHT(CONTROL[[#This Row],[VEHIDCODE]],7)="Powered",RIGHT(CONTROL[[#This Row],[VEHIDCODE]],9)="Unpowered"))</f>
        <v>0</v>
      </c>
      <c r="G334" s="2" t="b">
        <f>OR(ISNUMBER(SEARCH("wagon_",CONTROL[[#This Row],[VEHIDCODE]])),ISNUMBER(SEARCH("coach_",CONTROL[[#This Row],[VEHIDCODE]])))</f>
        <v>0</v>
      </c>
      <c r="H334" t="str">
        <f>"item_"&amp;CONTROL[[#This Row],[VEHIDCODE]]</f>
        <v>item_mtro_USA_NY_Hedley_Hi_V</v>
      </c>
      <c r="I334" t="str">
        <f>"str_"&amp;CONTROL[[#This Row],[VEHIDCODE]]</f>
        <v>str_mtro_USA_NY_Hedley_Hi_V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t="b">
        <f>ISNUMBER(_xlfn.XMATCH(CONTROL[[#This Row],[VEHIDCODE]],ENGLISH_ITEMS[VEHIDCODE],0))</f>
        <v>1</v>
      </c>
    </row>
    <row r="335" spans="1:16">
      <c r="A335" s="2" t="s">
        <v>360</v>
      </c>
      <c r="B335" t="str">
        <f>_xlfn.TEXTAFTER(TRACK_TYPES[[#This Row],[VEHIDCODE]],"_")</f>
        <v>Japan_Osaka_1000</v>
      </c>
      <c r="C335" t="s">
        <v>731</v>
      </c>
      <c r="D335" t="s">
        <v>957</v>
      </c>
      <c r="E335">
        <v>9040</v>
      </c>
      <c r="F335" t="b">
        <f>AND(CONTROL[[#This Row],[IS_WAGON_OR_COACH]]=TRUE,OR(RIGHT(CONTROL[[#This Row],[VEHIDCODE]],7)="Powered",RIGHT(CONTROL[[#This Row],[VEHIDCODE]],9)="Unpowered"))</f>
        <v>0</v>
      </c>
      <c r="G335" s="2" t="b">
        <f>OR(ISNUMBER(SEARCH("wagon_",CONTROL[[#This Row],[VEHIDCODE]])),ISNUMBER(SEARCH("coach_",CONTROL[[#This Row],[VEHIDCODE]])))</f>
        <v>0</v>
      </c>
      <c r="H335" t="str">
        <f>"item_"&amp;CONTROL[[#This Row],[VEHIDCODE]]</f>
        <v>item_mtro_Japan_Osaka_1000</v>
      </c>
      <c r="I335" t="str">
        <f>"str_"&amp;CONTROL[[#This Row],[VEHIDCODE]]</f>
        <v>str_mtro_Japan_Osaka_1000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t="b">
        <f>ISNUMBER(_xlfn.XMATCH(CONTROL[[#This Row],[VEHIDCODE]],ENGLISH_ITEMS[VEHIDCODE],0))</f>
        <v>1</v>
      </c>
    </row>
    <row r="336" spans="1:16">
      <c r="A336" s="2" t="s">
        <v>361</v>
      </c>
      <c r="B336" t="str">
        <f>_xlfn.TEXTAFTER(TRACK_TYPES[[#This Row],[VEHIDCODE]],"_")</f>
        <v>Russia_Moscow_Type_A</v>
      </c>
      <c r="C336" t="s">
        <v>731</v>
      </c>
      <c r="D336" t="s">
        <v>957</v>
      </c>
      <c r="E336">
        <v>9041</v>
      </c>
      <c r="F336" t="b">
        <f>AND(CONTROL[[#This Row],[IS_WAGON_OR_COACH]]=TRUE,OR(RIGHT(CONTROL[[#This Row],[VEHIDCODE]],7)="Powered",RIGHT(CONTROL[[#This Row],[VEHIDCODE]],9)="Unpowered"))</f>
        <v>0</v>
      </c>
      <c r="G336" s="2" t="b">
        <f>OR(ISNUMBER(SEARCH("wagon_",CONTROL[[#This Row],[VEHIDCODE]])),ISNUMBER(SEARCH("coach_",CONTROL[[#This Row],[VEHIDCODE]])))</f>
        <v>0</v>
      </c>
      <c r="H336" t="str">
        <f>"item_"&amp;CONTROL[[#This Row],[VEHIDCODE]]</f>
        <v>item_mtro_Russia_Moscow_Type_A</v>
      </c>
      <c r="I336" t="str">
        <f>"str_"&amp;CONTROL[[#This Row],[VEHIDCODE]]</f>
        <v>str_mtro_Russia_Moscow_Type_A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t="b">
        <f>ISNUMBER(_xlfn.XMATCH(CONTROL[[#This Row],[VEHIDCODE]],ENGLISH_ITEMS[VEHIDCODE],0))</f>
        <v>1</v>
      </c>
    </row>
    <row r="337" spans="1:16">
      <c r="A337" s="2" t="s">
        <v>362</v>
      </c>
      <c r="B337" t="str">
        <f>_xlfn.TEXTAFTER(TRACK_TYPES[[#This Row],[VEHIDCODE]],"_")</f>
        <v>USA_NY_R10</v>
      </c>
      <c r="C337" t="s">
        <v>731</v>
      </c>
      <c r="D337" t="s">
        <v>957</v>
      </c>
      <c r="E337">
        <v>9042</v>
      </c>
      <c r="F337" t="b">
        <f>AND(CONTROL[[#This Row],[IS_WAGON_OR_COACH]]=TRUE,OR(RIGHT(CONTROL[[#This Row],[VEHIDCODE]],7)="Powered",RIGHT(CONTROL[[#This Row],[VEHIDCODE]],9)="Unpowered"))</f>
        <v>0</v>
      </c>
      <c r="G337" s="2" t="b">
        <f>OR(ISNUMBER(SEARCH("wagon_",CONTROL[[#This Row],[VEHIDCODE]])),ISNUMBER(SEARCH("coach_",CONTROL[[#This Row],[VEHIDCODE]])))</f>
        <v>0</v>
      </c>
      <c r="H337" t="str">
        <f>"item_"&amp;CONTROL[[#This Row],[VEHIDCODE]]</f>
        <v>item_mtro_USA_NY_R10</v>
      </c>
      <c r="I337" t="str">
        <f>"str_"&amp;CONTROL[[#This Row],[VEHIDCODE]]</f>
        <v>str_mtro_USA_NY_R10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t="b">
        <f>ISNUMBER(_xlfn.XMATCH(CONTROL[[#This Row],[VEHIDCODE]],ENGLISH_ITEMS[VEHIDCODE],0))</f>
        <v>1</v>
      </c>
    </row>
    <row r="338" spans="1:16">
      <c r="A338" s="2" t="s">
        <v>363</v>
      </c>
      <c r="B338" t="str">
        <f>_xlfn.TEXTAFTER(TRACK_TYPES[[#This Row],[VEHIDCODE]],"_")</f>
        <v>Italy_Rome_MR_100</v>
      </c>
      <c r="C338" t="s">
        <v>731</v>
      </c>
      <c r="D338" t="s">
        <v>957</v>
      </c>
      <c r="E338">
        <v>9043</v>
      </c>
      <c r="F338" t="b">
        <f>AND(CONTROL[[#This Row],[IS_WAGON_OR_COACH]]=TRUE,OR(RIGHT(CONTROL[[#This Row],[VEHIDCODE]],7)="Powered",RIGHT(CONTROL[[#This Row],[VEHIDCODE]],9)="Unpowered"))</f>
        <v>0</v>
      </c>
      <c r="G338" s="2" t="b">
        <f>OR(ISNUMBER(SEARCH("wagon_",CONTROL[[#This Row],[VEHIDCODE]])),ISNUMBER(SEARCH("coach_",CONTROL[[#This Row],[VEHIDCODE]])))</f>
        <v>0</v>
      </c>
      <c r="H338" t="str">
        <f>"item_"&amp;CONTROL[[#This Row],[VEHIDCODE]]</f>
        <v>item_mtro_Italy_Rome_MR_100</v>
      </c>
      <c r="I338" t="str">
        <f>"str_"&amp;CONTROL[[#This Row],[VEHIDCODE]]</f>
        <v>str_mtro_Italy_Rome_MR_100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t="b">
        <f>ISNUMBER(_xlfn.XMATCH(CONTROL[[#This Row],[VEHIDCODE]],ENGLISH_ITEMS[VEHIDCODE],0))</f>
        <v>1</v>
      </c>
    </row>
    <row r="339" spans="1:16">
      <c r="A339" s="2" t="s">
        <v>364</v>
      </c>
      <c r="B339" t="str">
        <f>_xlfn.TEXTAFTER(TRACK_TYPES[[#This Row],[VEHIDCODE]],"_")</f>
        <v>Russia_Moscow_Type_D</v>
      </c>
      <c r="C339" t="s">
        <v>731</v>
      </c>
      <c r="D339" t="s">
        <v>957</v>
      </c>
      <c r="E339">
        <v>9044</v>
      </c>
      <c r="F339" t="b">
        <f>AND(CONTROL[[#This Row],[IS_WAGON_OR_COACH]]=TRUE,OR(RIGHT(CONTROL[[#This Row],[VEHIDCODE]],7)="Powered",RIGHT(CONTROL[[#This Row],[VEHIDCODE]],9)="Unpowered"))</f>
        <v>0</v>
      </c>
      <c r="G339" s="2" t="b">
        <f>OR(ISNUMBER(SEARCH("wagon_",CONTROL[[#This Row],[VEHIDCODE]])),ISNUMBER(SEARCH("coach_",CONTROL[[#This Row],[VEHIDCODE]])))</f>
        <v>0</v>
      </c>
      <c r="H339" t="str">
        <f>"item_"&amp;CONTROL[[#This Row],[VEHIDCODE]]</f>
        <v>item_mtro_Russia_Moscow_Type_D</v>
      </c>
      <c r="I339" t="str">
        <f>"str_"&amp;CONTROL[[#This Row],[VEHIDCODE]]</f>
        <v>str_mtro_Russia_Moscow_Type_D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t="b">
        <f>ISNUMBER(_xlfn.XMATCH(CONTROL[[#This Row],[VEHIDCODE]],ENGLISH_ITEMS[VEHIDCODE],0))</f>
        <v>1</v>
      </c>
    </row>
    <row r="340" spans="1:16">
      <c r="A340" s="2" t="s">
        <v>365</v>
      </c>
      <c r="B340" t="str">
        <f>_xlfn.TEXTAFTER(TRACK_TYPES[[#This Row],[VEHIDCODE]],"_")</f>
        <v>Netherlands_Rotterdam_MG2_Type_M</v>
      </c>
      <c r="C340" t="s">
        <v>731</v>
      </c>
      <c r="D340" t="s">
        <v>957</v>
      </c>
      <c r="E340">
        <v>9045</v>
      </c>
      <c r="F340" t="b">
        <f>AND(CONTROL[[#This Row],[IS_WAGON_OR_COACH]]=TRUE,OR(RIGHT(CONTROL[[#This Row],[VEHIDCODE]],7)="Powered",RIGHT(CONTROL[[#This Row],[VEHIDCODE]],9)="Unpowered"))</f>
        <v>0</v>
      </c>
      <c r="G340" s="2" t="b">
        <f>OR(ISNUMBER(SEARCH("wagon_",CONTROL[[#This Row],[VEHIDCODE]])),ISNUMBER(SEARCH("coach_",CONTROL[[#This Row],[VEHIDCODE]])))</f>
        <v>0</v>
      </c>
      <c r="H340" t="str">
        <f>"item_"&amp;CONTROL[[#This Row],[VEHIDCODE]]</f>
        <v>item_mtro_Netherlands_Rotterdam_MG2_Type_M</v>
      </c>
      <c r="I340" t="str">
        <f>"str_"&amp;CONTROL[[#This Row],[VEHIDCODE]]</f>
        <v>str_mtro_Netherlands_Rotterdam_MG2_Type_M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t="b">
        <f>ISNUMBER(_xlfn.XMATCH(CONTROL[[#This Row],[VEHIDCODE]],ENGLISH_ITEMS[VEHIDCODE],0))</f>
        <v>1</v>
      </c>
    </row>
    <row r="341" spans="1:16">
      <c r="A341" s="2" t="s">
        <v>366</v>
      </c>
      <c r="B341" t="str">
        <f>_xlfn.TEXTAFTER(TRACK_TYPES[[#This Row],[VEHIDCODE]],"_")</f>
        <v>Czech_Republic_Prague_ECS_Set</v>
      </c>
      <c r="C341" t="s">
        <v>731</v>
      </c>
      <c r="D341" t="s">
        <v>957</v>
      </c>
      <c r="E341">
        <v>9046</v>
      </c>
      <c r="F341" t="b">
        <f>AND(CONTROL[[#This Row],[IS_WAGON_OR_COACH]]=TRUE,OR(RIGHT(CONTROL[[#This Row],[VEHIDCODE]],7)="Powered",RIGHT(CONTROL[[#This Row],[VEHIDCODE]],9)="Unpowered"))</f>
        <v>0</v>
      </c>
      <c r="G341" s="2" t="b">
        <f>OR(ISNUMBER(SEARCH("wagon_",CONTROL[[#This Row],[VEHIDCODE]])),ISNUMBER(SEARCH("coach_",CONTROL[[#This Row],[VEHIDCODE]])))</f>
        <v>0</v>
      </c>
      <c r="H341" t="str">
        <f>"item_"&amp;CONTROL[[#This Row],[VEHIDCODE]]</f>
        <v>item_mtro_Czech_Republic_Prague_ECS_Set</v>
      </c>
      <c r="I341" t="str">
        <f>"str_"&amp;CONTROL[[#This Row],[VEHIDCODE]]</f>
        <v>str_mtro_Czech_Republic_Prague_ECS_Set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t="b">
        <f>ISNUMBER(_xlfn.XMATCH(CONTROL[[#This Row],[VEHIDCODE]],ENGLISH_ITEMS[VEHIDCODE],0))</f>
        <v>1</v>
      </c>
    </row>
    <row r="342" spans="1:16">
      <c r="A342" s="2" t="s">
        <v>367</v>
      </c>
      <c r="B342" t="str">
        <f>_xlfn.TEXTAFTER(TRACK_TYPES[[#This Row],[VEHIDCODE]],"_")</f>
        <v>Argentina_Buenos_Aires_Serie_1200</v>
      </c>
      <c r="C342" t="s">
        <v>731</v>
      </c>
      <c r="D342" t="s">
        <v>957</v>
      </c>
      <c r="E342">
        <v>9047</v>
      </c>
      <c r="F342" t="b">
        <f>AND(CONTROL[[#This Row],[IS_WAGON_OR_COACH]]=TRUE,OR(RIGHT(CONTROL[[#This Row],[VEHIDCODE]],7)="Powered",RIGHT(CONTROL[[#This Row],[VEHIDCODE]],9)="Unpowered"))</f>
        <v>0</v>
      </c>
      <c r="G342" s="2" t="b">
        <f>OR(ISNUMBER(SEARCH("wagon_",CONTROL[[#This Row],[VEHIDCODE]])),ISNUMBER(SEARCH("coach_",CONTROL[[#This Row],[VEHIDCODE]])))</f>
        <v>0</v>
      </c>
      <c r="H342" t="str">
        <f>"item_"&amp;CONTROL[[#This Row],[VEHIDCODE]]</f>
        <v>item_mtro_Argentina_Buenos_Aires_Serie_1200</v>
      </c>
      <c r="I342" t="str">
        <f>"str_"&amp;CONTROL[[#This Row],[VEHIDCODE]]</f>
        <v>str_mtro_Argentina_Buenos_Aires_Serie_1200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t="b">
        <f>ISNUMBER(_xlfn.XMATCH(CONTROL[[#This Row],[VEHIDCODE]],ENGLISH_ITEMS[VEHIDCODE],0))</f>
        <v>1</v>
      </c>
    </row>
    <row r="343" spans="1:16">
      <c r="A343" s="2" t="s">
        <v>368</v>
      </c>
      <c r="B343" t="str">
        <f>_xlfn.TEXTAFTER(TRACK_TYPES[[#This Row],[VEHIDCODE]],"_")</f>
        <v>Chile_Santiago_NS_93</v>
      </c>
      <c r="C343" t="s">
        <v>731</v>
      </c>
      <c r="D343" t="s">
        <v>957</v>
      </c>
      <c r="E343">
        <v>9048</v>
      </c>
      <c r="F343" t="b">
        <f>AND(CONTROL[[#This Row],[IS_WAGON_OR_COACH]]=TRUE,OR(RIGHT(CONTROL[[#This Row],[VEHIDCODE]],7)="Powered",RIGHT(CONTROL[[#This Row],[VEHIDCODE]],9)="Unpowered"))</f>
        <v>0</v>
      </c>
      <c r="G343" s="2" t="b">
        <f>OR(ISNUMBER(SEARCH("wagon_",CONTROL[[#This Row],[VEHIDCODE]])),ISNUMBER(SEARCH("coach_",CONTROL[[#This Row],[VEHIDCODE]])))</f>
        <v>0</v>
      </c>
      <c r="H343" t="str">
        <f>"item_"&amp;CONTROL[[#This Row],[VEHIDCODE]]</f>
        <v>item_mtro_Chile_Santiago_NS_93</v>
      </c>
      <c r="I343" t="str">
        <f>"str_"&amp;CONTROL[[#This Row],[VEHIDCODE]]</f>
        <v>str_mtro_Chile_Santiago_NS_93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t="b">
        <f>ISNUMBER(_xlfn.XMATCH(CONTROL[[#This Row],[VEHIDCODE]],ENGLISH_ITEMS[VEHIDCODE],0))</f>
        <v>1</v>
      </c>
    </row>
    <row r="344" spans="1:16">
      <c r="A344" s="2" t="s">
        <v>369</v>
      </c>
      <c r="B344" t="str">
        <f>_xlfn.TEXTAFTER(TRACK_TYPES[[#This Row],[VEHIDCODE]],"_")</f>
        <v>Chile_Santiago_AS_2002</v>
      </c>
      <c r="C344" t="s">
        <v>731</v>
      </c>
      <c r="D344" t="s">
        <v>957</v>
      </c>
      <c r="E344">
        <v>9049</v>
      </c>
      <c r="F344" t="b">
        <f>AND(CONTROL[[#This Row],[IS_WAGON_OR_COACH]]=TRUE,OR(RIGHT(CONTROL[[#This Row],[VEHIDCODE]],7)="Powered",RIGHT(CONTROL[[#This Row],[VEHIDCODE]],9)="Unpowered"))</f>
        <v>0</v>
      </c>
      <c r="G344" s="2" t="b">
        <f>OR(ISNUMBER(SEARCH("wagon_",CONTROL[[#This Row],[VEHIDCODE]])),ISNUMBER(SEARCH("coach_",CONTROL[[#This Row],[VEHIDCODE]])))</f>
        <v>0</v>
      </c>
      <c r="H344" t="str">
        <f>"item_"&amp;CONTROL[[#This Row],[VEHIDCODE]]</f>
        <v>item_mtro_Chile_Santiago_AS_2002</v>
      </c>
      <c r="I344" t="str">
        <f>"str_"&amp;CONTROL[[#This Row],[VEHIDCODE]]</f>
        <v>str_mtro_Chile_Santiago_AS_2002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t="b">
        <f>ISNUMBER(_xlfn.XMATCH(CONTROL[[#This Row],[VEHIDCODE]],ENGLISH_ITEMS[VEHIDCODE],0))</f>
        <v>1</v>
      </c>
    </row>
    <row r="345" spans="1:16">
      <c r="A345" s="2" t="s">
        <v>370</v>
      </c>
      <c r="B345" t="str">
        <f>_xlfn.TEXTAFTER(TRACK_TYPES[[#This Row],[VEHIDCODE]],"_")</f>
        <v>Brazil_Recife_VLT_Mobile_3</v>
      </c>
      <c r="C345" t="s">
        <v>731</v>
      </c>
      <c r="D345" t="s">
        <v>957</v>
      </c>
      <c r="E345">
        <v>9050</v>
      </c>
      <c r="F345" t="b">
        <f>AND(CONTROL[[#This Row],[IS_WAGON_OR_COACH]]=TRUE,OR(RIGHT(CONTROL[[#This Row],[VEHIDCODE]],7)="Powered",RIGHT(CONTROL[[#This Row],[VEHIDCODE]],9)="Unpowered"))</f>
        <v>0</v>
      </c>
      <c r="G345" s="2" t="b">
        <f>OR(ISNUMBER(SEARCH("wagon_",CONTROL[[#This Row],[VEHIDCODE]])),ISNUMBER(SEARCH("coach_",CONTROL[[#This Row],[VEHIDCODE]])))</f>
        <v>0</v>
      </c>
      <c r="H345" t="str">
        <f>"item_"&amp;CONTROL[[#This Row],[VEHIDCODE]]</f>
        <v>item_mtro_Brazil_Recife_VLT_Mobile_3</v>
      </c>
      <c r="I345" t="str">
        <f>"str_"&amp;CONTROL[[#This Row],[VEHIDCODE]]</f>
        <v>str_mtro_Brazil_Recife_VLT_Mobile_3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t="b">
        <f>ISNUMBER(_xlfn.XMATCH(CONTROL[[#This Row],[VEHIDCODE]],ENGLISH_ITEMS[VEHIDCODE],0))</f>
        <v>1</v>
      </c>
    </row>
    <row r="346" spans="1:16">
      <c r="A346" s="2" t="s">
        <v>371</v>
      </c>
      <c r="B346" t="str">
        <f>_xlfn.TEXTAFTER(TRACK_TYPES[[#This Row],[VEHIDCODE]],"_")</f>
        <v>Spain_Madrid_Series_5000</v>
      </c>
      <c r="C346" t="s">
        <v>731</v>
      </c>
      <c r="D346" t="s">
        <v>957</v>
      </c>
      <c r="E346">
        <v>9051</v>
      </c>
      <c r="F346" t="b">
        <f>AND(CONTROL[[#This Row],[IS_WAGON_OR_COACH]]=TRUE,OR(RIGHT(CONTROL[[#This Row],[VEHIDCODE]],7)="Powered",RIGHT(CONTROL[[#This Row],[VEHIDCODE]],9)="Unpowered"))</f>
        <v>0</v>
      </c>
      <c r="G346" s="2" t="b">
        <f>OR(ISNUMBER(SEARCH("wagon_",CONTROL[[#This Row],[VEHIDCODE]])),ISNUMBER(SEARCH("coach_",CONTROL[[#This Row],[VEHIDCODE]])))</f>
        <v>0</v>
      </c>
      <c r="H346" t="str">
        <f>"item_"&amp;CONTROL[[#This Row],[VEHIDCODE]]</f>
        <v>item_mtro_Spain_Madrid_Series_5000</v>
      </c>
      <c r="I346" t="str">
        <f>"str_"&amp;CONTROL[[#This Row],[VEHIDCODE]]</f>
        <v>str_mtro_Spain_Madrid_Series_5000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t="b">
        <f>ISNUMBER(_xlfn.XMATCH(CONTROL[[#This Row],[VEHIDCODE]],ENGLISH_ITEMS[VEHIDCODE],0))</f>
        <v>1</v>
      </c>
    </row>
    <row r="347" spans="1:16">
      <c r="A347" s="2" t="s">
        <v>372</v>
      </c>
      <c r="B347" t="str">
        <f>_xlfn.TEXTAFTER(TRACK_TYPES[[#This Row],[VEHIDCODE]],"_")</f>
        <v>Italy_Rome_S_300</v>
      </c>
      <c r="C347" t="s">
        <v>731</v>
      </c>
      <c r="D347" t="s">
        <v>957</v>
      </c>
      <c r="E347">
        <v>9052</v>
      </c>
      <c r="F347" t="b">
        <f>AND(CONTROL[[#This Row],[IS_WAGON_OR_COACH]]=TRUE,OR(RIGHT(CONTROL[[#This Row],[VEHIDCODE]],7)="Powered",RIGHT(CONTROL[[#This Row],[VEHIDCODE]],9)="Unpowered"))</f>
        <v>0</v>
      </c>
      <c r="G347" s="2" t="b">
        <f>OR(ISNUMBER(SEARCH("wagon_",CONTROL[[#This Row],[VEHIDCODE]])),ISNUMBER(SEARCH("coach_",CONTROL[[#This Row],[VEHIDCODE]])))</f>
        <v>0</v>
      </c>
      <c r="H347" t="str">
        <f>"item_"&amp;CONTROL[[#This Row],[VEHIDCODE]]</f>
        <v>item_mtro_Italy_Rome_S_300</v>
      </c>
      <c r="I347" t="str">
        <f>"str_"&amp;CONTROL[[#This Row],[VEHIDCODE]]</f>
        <v>str_mtro_Italy_Rome_S_300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t="b">
        <f>ISNUMBER(_xlfn.XMATCH(CONTROL[[#This Row],[VEHIDCODE]],ENGLISH_ITEMS[VEHIDCODE],0))</f>
        <v>1</v>
      </c>
    </row>
    <row r="348" spans="1:16">
      <c r="A348" s="2" t="s">
        <v>373</v>
      </c>
      <c r="B348" t="str">
        <f>_xlfn.TEXTAFTER(TRACK_TYPES[[#This Row],[VEHIDCODE]],"_")</f>
        <v>Algeria_Algiers_CAF_2011_Stock</v>
      </c>
      <c r="C348" t="s">
        <v>731</v>
      </c>
      <c r="D348" t="s">
        <v>957</v>
      </c>
      <c r="E348">
        <v>9053</v>
      </c>
      <c r="F348" t="b">
        <f>AND(CONTROL[[#This Row],[IS_WAGON_OR_COACH]]=TRUE,OR(RIGHT(CONTROL[[#This Row],[VEHIDCODE]],7)="Powered",RIGHT(CONTROL[[#This Row],[VEHIDCODE]],9)="Unpowered"))</f>
        <v>0</v>
      </c>
      <c r="G348" s="2" t="b">
        <f>OR(ISNUMBER(SEARCH("wagon_",CONTROL[[#This Row],[VEHIDCODE]])),ISNUMBER(SEARCH("coach_",CONTROL[[#This Row],[VEHIDCODE]])))</f>
        <v>0</v>
      </c>
      <c r="H348" t="str">
        <f>"item_"&amp;CONTROL[[#This Row],[VEHIDCODE]]</f>
        <v>item_mtro_Algeria_Algiers_CAF_2011_Stock</v>
      </c>
      <c r="I348" t="str">
        <f>"str_"&amp;CONTROL[[#This Row],[VEHIDCODE]]</f>
        <v>str_mtro_Algeria_Algiers_CAF_2011_Stock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t="b">
        <f>ISNUMBER(_xlfn.XMATCH(CONTROL[[#This Row],[VEHIDCODE]],ENGLISH_ITEMS[VEHIDCODE],0))</f>
        <v>1</v>
      </c>
    </row>
    <row r="349" spans="1:16">
      <c r="A349" s="2" t="s">
        <v>374</v>
      </c>
      <c r="B349" t="str">
        <f>_xlfn.TEXTAFTER(TRACK_TYPES[[#This Row],[VEHIDCODE]],"_")</f>
        <v>Germany_Berlin_U_Bahn_IK</v>
      </c>
      <c r="C349" t="s">
        <v>731</v>
      </c>
      <c r="D349" t="s">
        <v>957</v>
      </c>
      <c r="E349">
        <v>9054</v>
      </c>
      <c r="F349" t="b">
        <f>AND(CONTROL[[#This Row],[IS_WAGON_OR_COACH]]=TRUE,OR(RIGHT(CONTROL[[#This Row],[VEHIDCODE]],7)="Powered",RIGHT(CONTROL[[#This Row],[VEHIDCODE]],9)="Unpowered"))</f>
        <v>0</v>
      </c>
      <c r="G349" s="2" t="b">
        <f>OR(ISNUMBER(SEARCH("wagon_",CONTROL[[#This Row],[VEHIDCODE]])),ISNUMBER(SEARCH("coach_",CONTROL[[#This Row],[VEHIDCODE]])))</f>
        <v>0</v>
      </c>
      <c r="H349" t="str">
        <f>"item_"&amp;CONTROL[[#This Row],[VEHIDCODE]]</f>
        <v>item_mtro_Germany_Berlin_U_Bahn_IK</v>
      </c>
      <c r="I349" t="str">
        <f>"str_"&amp;CONTROL[[#This Row],[VEHIDCODE]]</f>
        <v>str_mtro_Germany_Berlin_U_Bahn_IK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t="b">
        <f>ISNUMBER(_xlfn.XMATCH(CONTROL[[#This Row],[VEHIDCODE]],ENGLISH_ITEMS[VEHIDCODE],0))</f>
        <v>1</v>
      </c>
    </row>
    <row r="350" spans="1:16">
      <c r="A350" s="2" t="s">
        <v>375</v>
      </c>
      <c r="B350" t="str">
        <f>_xlfn.TEXTAFTER(TRACK_TYPES[[#This Row],[VEHIDCODE]],"_")</f>
        <v>USA_Chicago_L_6000</v>
      </c>
      <c r="C350" t="s">
        <v>731</v>
      </c>
      <c r="D350" t="s">
        <v>957</v>
      </c>
      <c r="E350">
        <v>9055</v>
      </c>
      <c r="F350" t="b">
        <f>AND(CONTROL[[#This Row],[IS_WAGON_OR_COACH]]=TRUE,OR(RIGHT(CONTROL[[#This Row],[VEHIDCODE]],7)="Powered",RIGHT(CONTROL[[#This Row],[VEHIDCODE]],9)="Unpowered"))</f>
        <v>0</v>
      </c>
      <c r="G350" s="2" t="b">
        <f>OR(ISNUMBER(SEARCH("wagon_",CONTROL[[#This Row],[VEHIDCODE]])),ISNUMBER(SEARCH("coach_",CONTROL[[#This Row],[VEHIDCODE]])))</f>
        <v>0</v>
      </c>
      <c r="H350" t="str">
        <f>"item_"&amp;CONTROL[[#This Row],[VEHIDCODE]]</f>
        <v>item_mtro_USA_Chicago_L_6000</v>
      </c>
      <c r="I350" t="str">
        <f>"str_"&amp;CONTROL[[#This Row],[VEHIDCODE]]</f>
        <v>str_mtro_USA_Chicago_L_6000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t="b">
        <f>ISNUMBER(_xlfn.XMATCH(CONTROL[[#This Row],[VEHIDCODE]],ENGLISH_ITEMS[VEHIDCODE],0))</f>
        <v>1</v>
      </c>
    </row>
    <row r="351" spans="1:16">
      <c r="A351" s="2" t="s">
        <v>376</v>
      </c>
      <c r="B351" t="str">
        <f>_xlfn.TEXTAFTER(TRACK_TYPES[[#This Row],[VEHIDCODE]],"_")</f>
        <v>UK_London_1903_Stock</v>
      </c>
      <c r="C351" t="s">
        <v>731</v>
      </c>
      <c r="D351" t="s">
        <v>957</v>
      </c>
      <c r="E351">
        <v>9002</v>
      </c>
      <c r="F351" t="b">
        <f>AND(CONTROL[[#This Row],[IS_WAGON_OR_COACH]]=TRUE,OR(RIGHT(CONTROL[[#This Row],[VEHIDCODE]],7)="Powered",RIGHT(CONTROL[[#This Row],[VEHIDCODE]],9)="Unpowered"))</f>
        <v>0</v>
      </c>
      <c r="G351" s="2" t="b">
        <f>OR(ISNUMBER(SEARCH("wagon_",CONTROL[[#This Row],[VEHIDCODE]])),ISNUMBER(SEARCH("coach_",CONTROL[[#This Row],[VEHIDCODE]])))</f>
        <v>0</v>
      </c>
      <c r="H351" t="str">
        <f>"item_"&amp;CONTROL[[#This Row],[VEHIDCODE]]</f>
        <v>item_mtro_UK_London_1903_Stock</v>
      </c>
      <c r="I351" t="str">
        <f>"str_"&amp;CONTROL[[#This Row],[VEHIDCODE]]</f>
        <v>str_mtro_UK_London_1903_Stock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t="b">
        <f>ISNUMBER(_xlfn.XMATCH(CONTROL[[#This Row],[VEHIDCODE]],ENGLISH_ITEMS[VEHIDCODE],0))</f>
        <v>1</v>
      </c>
    </row>
    <row r="352" spans="1:16">
      <c r="A352" s="2" t="s">
        <v>377</v>
      </c>
      <c r="B352" t="str">
        <f>_xlfn.TEXTAFTER(TRACK_TYPES[[#This Row],[VEHIDCODE]],"_")</f>
        <v>UK_London_1938_Stock</v>
      </c>
      <c r="C352" t="s">
        <v>731</v>
      </c>
      <c r="D352" t="s">
        <v>957</v>
      </c>
      <c r="E352">
        <v>9007</v>
      </c>
      <c r="F352" t="b">
        <f>AND(CONTROL[[#This Row],[IS_WAGON_OR_COACH]]=TRUE,OR(RIGHT(CONTROL[[#This Row],[VEHIDCODE]],7)="Powered",RIGHT(CONTROL[[#This Row],[VEHIDCODE]],9)="Unpowered"))</f>
        <v>0</v>
      </c>
      <c r="G352" s="2" t="b">
        <f>OR(ISNUMBER(SEARCH("wagon_",CONTROL[[#This Row],[VEHIDCODE]])),ISNUMBER(SEARCH("coach_",CONTROL[[#This Row],[VEHIDCODE]])))</f>
        <v>0</v>
      </c>
      <c r="H352" t="str">
        <f>"item_"&amp;CONTROL[[#This Row],[VEHIDCODE]]</f>
        <v>item_mtro_UK_London_1938_Stock</v>
      </c>
      <c r="I352" t="str">
        <f>"str_"&amp;CONTROL[[#This Row],[VEHIDCODE]]</f>
        <v>str_mtro_UK_London_1938_Stock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t="b">
        <f>ISNUMBER(_xlfn.XMATCH(CONTROL[[#This Row],[VEHIDCODE]],ENGLISH_ITEMS[VEHIDCODE],0))</f>
        <v>1</v>
      </c>
    </row>
    <row r="353" spans="1:16">
      <c r="A353" s="2" t="s">
        <v>378</v>
      </c>
      <c r="B353" t="str">
        <f>_xlfn.TEXTAFTER(TRACK_TYPES[[#This Row],[VEHIDCODE]],"_")</f>
        <v>UK_NER_EF1</v>
      </c>
      <c r="C353" t="s">
        <v>731</v>
      </c>
      <c r="D353" t="s">
        <v>951</v>
      </c>
      <c r="E353">
        <v>6002</v>
      </c>
      <c r="F353" t="b">
        <f>AND(CONTROL[[#This Row],[IS_WAGON_OR_COACH]]=TRUE,OR(RIGHT(CONTROL[[#This Row],[VEHIDCODE]],7)="Powered",RIGHT(CONTROL[[#This Row],[VEHIDCODE]],9)="Unpowered"))</f>
        <v>0</v>
      </c>
      <c r="G353" s="2" t="b">
        <f>OR(ISNUMBER(SEARCH("wagon_",CONTROL[[#This Row],[VEHIDCODE]])),ISNUMBER(SEARCH("coach_",CONTROL[[#This Row],[VEHIDCODE]])))</f>
        <v>0</v>
      </c>
      <c r="H353" t="str">
        <f>"item_"&amp;CONTROL[[#This Row],[VEHIDCODE]]</f>
        <v>item_electric_UK_NER_EF1</v>
      </c>
      <c r="I353" t="str">
        <f>"str_"&amp;CONTROL[[#This Row],[VEHIDCODE]]</f>
        <v>str_electric_UK_NER_EF1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t="b">
        <f>ISNUMBER(_xlfn.XMATCH(CONTROL[[#This Row],[VEHIDCODE]],ENGLISH_ITEMS[VEHIDCODE],0))</f>
        <v>1</v>
      </c>
    </row>
    <row r="354" spans="1:16">
      <c r="A354" s="2" t="s">
        <v>379</v>
      </c>
      <c r="B354" t="str">
        <f>_xlfn.TEXTAFTER(TRACK_TYPES[[#This Row],[VEHIDCODE]],"_")</f>
        <v>Japan_JNR_EB10</v>
      </c>
      <c r="C354" t="s">
        <v>731</v>
      </c>
      <c r="D354" t="s">
        <v>951</v>
      </c>
      <c r="E354">
        <v>6010</v>
      </c>
      <c r="F354" t="b">
        <f>AND(CONTROL[[#This Row],[IS_WAGON_OR_COACH]]=TRUE,OR(RIGHT(CONTROL[[#This Row],[VEHIDCODE]],7)="Powered",RIGHT(CONTROL[[#This Row],[VEHIDCODE]],9)="Unpowered"))</f>
        <v>0</v>
      </c>
      <c r="G354" s="2" t="b">
        <f>OR(ISNUMBER(SEARCH("wagon_",CONTROL[[#This Row],[VEHIDCODE]])),ISNUMBER(SEARCH("coach_",CONTROL[[#This Row],[VEHIDCODE]])))</f>
        <v>0</v>
      </c>
      <c r="H354" t="str">
        <f>"item_"&amp;CONTROL[[#This Row],[VEHIDCODE]]</f>
        <v>item_electric_Japan_JNR_EB10</v>
      </c>
      <c r="I354" t="str">
        <f>"str_"&amp;CONTROL[[#This Row],[VEHIDCODE]]</f>
        <v>str_electric_Japan_JNR_EB10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t="b">
        <f>ISNUMBER(_xlfn.XMATCH(CONTROL[[#This Row],[VEHIDCODE]],ENGLISH_ITEMS[VEHIDCODE],0))</f>
        <v>1</v>
      </c>
    </row>
    <row r="355" spans="1:16">
      <c r="A355" s="2" t="s">
        <v>380</v>
      </c>
      <c r="B355" t="str">
        <f>_xlfn.TEXTAFTER(TRACK_TYPES[[#This Row],[VEHIDCODE]],"_")</f>
        <v>Japan_JNR_EF55</v>
      </c>
      <c r="C355" t="s">
        <v>731</v>
      </c>
      <c r="D355" t="s">
        <v>951</v>
      </c>
      <c r="E355">
        <v>6015</v>
      </c>
      <c r="F355" t="b">
        <f>AND(CONTROL[[#This Row],[IS_WAGON_OR_COACH]]=TRUE,OR(RIGHT(CONTROL[[#This Row],[VEHIDCODE]],7)="Powered",RIGHT(CONTROL[[#This Row],[VEHIDCODE]],9)="Unpowered"))</f>
        <v>0</v>
      </c>
      <c r="G355" s="2" t="b">
        <f>OR(ISNUMBER(SEARCH("wagon_",CONTROL[[#This Row],[VEHIDCODE]])),ISNUMBER(SEARCH("coach_",CONTROL[[#This Row],[VEHIDCODE]])))</f>
        <v>0</v>
      </c>
      <c r="H355" t="str">
        <f>"item_"&amp;CONTROL[[#This Row],[VEHIDCODE]]</f>
        <v>item_electric_Japan_JNR_EF55</v>
      </c>
      <c r="I355" t="str">
        <f>"str_"&amp;CONTROL[[#This Row],[VEHIDCODE]]</f>
        <v>str_electric_Japan_JNR_EF55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t="b">
        <f>ISNUMBER(_xlfn.XMATCH(CONTROL[[#This Row],[VEHIDCODE]],ENGLISH_ITEMS[VEHIDCODE],0))</f>
        <v>1</v>
      </c>
    </row>
    <row r="356" spans="1:16">
      <c r="A356" s="2" t="s">
        <v>381</v>
      </c>
      <c r="B356" t="str">
        <f>_xlfn.TEXTAFTER(TRACK_TYPES[[#This Row],[VEHIDCODE]],"_")</f>
        <v>Netherlands_NS_1000</v>
      </c>
      <c r="C356" t="s">
        <v>731</v>
      </c>
      <c r="D356" t="s">
        <v>951</v>
      </c>
      <c r="E356">
        <v>6019</v>
      </c>
      <c r="F356" t="b">
        <f>AND(CONTROL[[#This Row],[IS_WAGON_OR_COACH]]=TRUE,OR(RIGHT(CONTROL[[#This Row],[VEHIDCODE]],7)="Powered",RIGHT(CONTROL[[#This Row],[VEHIDCODE]],9)="Unpowered"))</f>
        <v>0</v>
      </c>
      <c r="G356" s="2" t="b">
        <f>OR(ISNUMBER(SEARCH("wagon_",CONTROL[[#This Row],[VEHIDCODE]])),ISNUMBER(SEARCH("coach_",CONTROL[[#This Row],[VEHIDCODE]])))</f>
        <v>0</v>
      </c>
      <c r="H356" t="str">
        <f>"item_"&amp;CONTROL[[#This Row],[VEHIDCODE]]</f>
        <v>item_electric_Netherlands_NS_1000</v>
      </c>
      <c r="I356" t="str">
        <f>"str_"&amp;CONTROL[[#This Row],[VEHIDCODE]]</f>
        <v>str_electric_Netherlands_NS_1000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t="b">
        <f>ISNUMBER(_xlfn.XMATCH(CONTROL[[#This Row],[VEHIDCODE]],ENGLISH_ITEMS[VEHIDCODE],0))</f>
        <v>1</v>
      </c>
    </row>
    <row r="357" spans="1:16">
      <c r="A357" s="2" t="s">
        <v>382</v>
      </c>
      <c r="B357" t="str">
        <f>_xlfn.TEXTAFTER(TRACK_TYPES[[#This Row],[VEHIDCODE]],"_")</f>
        <v>Netherlands_NS_1600</v>
      </c>
      <c r="C357" t="s">
        <v>731</v>
      </c>
      <c r="D357" t="s">
        <v>951</v>
      </c>
      <c r="E357">
        <v>6038</v>
      </c>
      <c r="F357" t="b">
        <f>AND(CONTROL[[#This Row],[IS_WAGON_OR_COACH]]=TRUE,OR(RIGHT(CONTROL[[#This Row],[VEHIDCODE]],7)="Powered",RIGHT(CONTROL[[#This Row],[VEHIDCODE]],9)="Unpowered"))</f>
        <v>0</v>
      </c>
      <c r="G357" s="2" t="b">
        <f>OR(ISNUMBER(SEARCH("wagon_",CONTROL[[#This Row],[VEHIDCODE]])),ISNUMBER(SEARCH("coach_",CONTROL[[#This Row],[VEHIDCODE]])))</f>
        <v>0</v>
      </c>
      <c r="H357" t="str">
        <f>"item_"&amp;CONTROL[[#This Row],[VEHIDCODE]]</f>
        <v>item_electric_Netherlands_NS_1600</v>
      </c>
      <c r="I357" t="str">
        <f>"str_"&amp;CONTROL[[#This Row],[VEHIDCODE]]</f>
        <v>str_electric_Netherlands_NS_1600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t="b">
        <f>ISNUMBER(_xlfn.XMATCH(CONTROL[[#This Row],[VEHIDCODE]],ENGLISH_ITEMS[VEHIDCODE],0))</f>
        <v>1</v>
      </c>
    </row>
    <row r="358" spans="1:16">
      <c r="A358" s="2" t="s">
        <v>383</v>
      </c>
      <c r="B358" t="str">
        <f>_xlfn.TEXTAFTER(TRACK_TYPES[[#This Row],[VEHIDCODE]],"_")</f>
        <v>Australia_Victorian_Railways_E_Class</v>
      </c>
      <c r="C358" t="s">
        <v>731</v>
      </c>
      <c r="D358" t="s">
        <v>951</v>
      </c>
      <c r="E358">
        <v>6072</v>
      </c>
      <c r="F358" t="b">
        <f>AND(CONTROL[[#This Row],[IS_WAGON_OR_COACH]]=TRUE,OR(RIGHT(CONTROL[[#This Row],[VEHIDCODE]],7)="Powered",RIGHT(CONTROL[[#This Row],[VEHIDCODE]],9)="Unpowered"))</f>
        <v>0</v>
      </c>
      <c r="G358" s="2" t="b">
        <f>OR(ISNUMBER(SEARCH("wagon_",CONTROL[[#This Row],[VEHIDCODE]])),ISNUMBER(SEARCH("coach_",CONTROL[[#This Row],[VEHIDCODE]])))</f>
        <v>0</v>
      </c>
      <c r="H358" t="str">
        <f>"item_"&amp;CONTROL[[#This Row],[VEHIDCODE]]</f>
        <v>item_electric_Australia_Victorian_Railways_E_Class</v>
      </c>
      <c r="I358" t="str">
        <f>"str_"&amp;CONTROL[[#This Row],[VEHIDCODE]]</f>
        <v>str_electric_Australia_Victorian_Railways_E_Class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t="b">
        <f>ISNUMBER(_xlfn.XMATCH(CONTROL[[#This Row],[VEHIDCODE]],ENGLISH_ITEMS[VEHIDCODE],0))</f>
        <v>1</v>
      </c>
    </row>
    <row r="359" spans="1:16">
      <c r="A359" s="2" t="s">
        <v>384</v>
      </c>
      <c r="B359" t="str">
        <f>_xlfn.TEXTAFTER(TRACK_TYPES[[#This Row],[VEHIDCODE]],"_")</f>
        <v>UK_NER_ES1</v>
      </c>
      <c r="C359" t="s">
        <v>731</v>
      </c>
      <c r="D359" t="s">
        <v>951</v>
      </c>
      <c r="E359">
        <v>6067</v>
      </c>
      <c r="F359" t="b">
        <f>AND(CONTROL[[#This Row],[IS_WAGON_OR_COACH]]=TRUE,OR(RIGHT(CONTROL[[#This Row],[VEHIDCODE]],7)="Powered",RIGHT(CONTROL[[#This Row],[VEHIDCODE]],9)="Unpowered"))</f>
        <v>0</v>
      </c>
      <c r="G359" s="2" t="b">
        <f>OR(ISNUMBER(SEARCH("wagon_",CONTROL[[#This Row],[VEHIDCODE]])),ISNUMBER(SEARCH("coach_",CONTROL[[#This Row],[VEHIDCODE]])))</f>
        <v>0</v>
      </c>
      <c r="H359" t="str">
        <f>"item_"&amp;CONTROL[[#This Row],[VEHIDCODE]]</f>
        <v>item_electric_UK_NER_ES1</v>
      </c>
      <c r="I359" t="str">
        <f>"str_"&amp;CONTROL[[#This Row],[VEHIDCODE]]</f>
        <v>str_electric_UK_NER_ES1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t="b">
        <f>ISNUMBER(_xlfn.XMATCH(CONTROL[[#This Row],[VEHIDCODE]],ENGLISH_ITEMS[VEHIDCODE],0))</f>
        <v>1</v>
      </c>
    </row>
    <row r="360" spans="1:16">
      <c r="A360" s="2" t="s">
        <v>385</v>
      </c>
      <c r="B360" t="str">
        <f>_xlfn.TEXTAFTER(TRACK_TYPES[[#This Row],[VEHIDCODE]],"_")</f>
        <v>USA_NYC_S_motor</v>
      </c>
      <c r="C360" t="s">
        <v>731</v>
      </c>
      <c r="D360" t="s">
        <v>951</v>
      </c>
      <c r="E360">
        <v>6066</v>
      </c>
      <c r="F360" t="b">
        <f>AND(CONTROL[[#This Row],[IS_WAGON_OR_COACH]]=TRUE,OR(RIGHT(CONTROL[[#This Row],[VEHIDCODE]],7)="Powered",RIGHT(CONTROL[[#This Row],[VEHIDCODE]],9)="Unpowered"))</f>
        <v>0</v>
      </c>
      <c r="G360" s="2" t="b">
        <f>OR(ISNUMBER(SEARCH("wagon_",CONTROL[[#This Row],[VEHIDCODE]])),ISNUMBER(SEARCH("coach_",CONTROL[[#This Row],[VEHIDCODE]])))</f>
        <v>0</v>
      </c>
      <c r="H360" t="str">
        <f>"item_"&amp;CONTROL[[#This Row],[VEHIDCODE]]</f>
        <v>item_electric_USA_NYC_S_motor</v>
      </c>
      <c r="I360" t="str">
        <f>"str_"&amp;CONTROL[[#This Row],[VEHIDCODE]]</f>
        <v>str_electric_USA_NYC_S_motor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t="b">
        <f>ISNUMBER(_xlfn.XMATCH(CONTROL[[#This Row],[VEHIDCODE]],ENGLISH_ITEMS[VEHIDCODE],0))</f>
        <v>1</v>
      </c>
    </row>
    <row r="361" spans="1:16">
      <c r="A361" s="2" t="s">
        <v>386</v>
      </c>
      <c r="B361" t="str">
        <f>_xlfn.TEXTAFTER(TRACK_TYPES[[#This Row],[VEHIDCODE]],"_")</f>
        <v>Japan_Aichi_Railroad_DeKi_400</v>
      </c>
      <c r="C361" t="s">
        <v>731</v>
      </c>
      <c r="D361" t="s">
        <v>951</v>
      </c>
      <c r="E361">
        <v>6075</v>
      </c>
      <c r="F361" t="b">
        <f>AND(CONTROL[[#This Row],[IS_WAGON_OR_COACH]]=TRUE,OR(RIGHT(CONTROL[[#This Row],[VEHIDCODE]],7)="Powered",RIGHT(CONTROL[[#This Row],[VEHIDCODE]],9)="Unpowered"))</f>
        <v>0</v>
      </c>
      <c r="G361" s="2" t="b">
        <f>OR(ISNUMBER(SEARCH("wagon_",CONTROL[[#This Row],[VEHIDCODE]])),ISNUMBER(SEARCH("coach_",CONTROL[[#This Row],[VEHIDCODE]])))</f>
        <v>0</v>
      </c>
      <c r="H361" t="str">
        <f>"item_"&amp;CONTROL[[#This Row],[VEHIDCODE]]</f>
        <v>item_electric_Japan_Aichi_Railroad_DeKi_400</v>
      </c>
      <c r="I361" t="str">
        <f>"str_"&amp;CONTROL[[#This Row],[VEHIDCODE]]</f>
        <v>str_electric_Japan_Aichi_Railroad_DeKi_400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t="b">
        <f>ISNUMBER(_xlfn.XMATCH(CONTROL[[#This Row],[VEHIDCODE]],ENGLISH_ITEMS[VEHIDCODE],0))</f>
        <v>1</v>
      </c>
    </row>
    <row r="362" spans="1:16">
      <c r="A362" s="2" t="s">
        <v>387</v>
      </c>
      <c r="B362" t="str">
        <f>_xlfn.TEXTAFTER(TRACK_TYPES[[#This Row],[VEHIDCODE]],"_")</f>
        <v>India_Indian_Railways_WCG_1</v>
      </c>
      <c r="C362" t="s">
        <v>731</v>
      </c>
      <c r="D362" t="s">
        <v>951</v>
      </c>
      <c r="E362">
        <v>6008</v>
      </c>
      <c r="F362" t="b">
        <f>AND(CONTROL[[#This Row],[IS_WAGON_OR_COACH]]=TRUE,OR(RIGHT(CONTROL[[#This Row],[VEHIDCODE]],7)="Powered",RIGHT(CONTROL[[#This Row],[VEHIDCODE]],9)="Unpowered"))</f>
        <v>0</v>
      </c>
      <c r="G362" s="2" t="b">
        <f>OR(ISNUMBER(SEARCH("wagon_",CONTROL[[#This Row],[VEHIDCODE]])),ISNUMBER(SEARCH("coach_",CONTROL[[#This Row],[VEHIDCODE]])))</f>
        <v>0</v>
      </c>
      <c r="H362" t="str">
        <f>"item_"&amp;CONTROL[[#This Row],[VEHIDCODE]]</f>
        <v>item_electric_India_Indian_Railways_WCG_1</v>
      </c>
      <c r="I362" t="str">
        <f>"str_"&amp;CONTROL[[#This Row],[VEHIDCODE]]</f>
        <v>str_electric_India_Indian_Railways_WCG_1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t="b">
        <f>ISNUMBER(_xlfn.XMATCH(CONTROL[[#This Row],[VEHIDCODE]],ENGLISH_ITEMS[VEHIDCODE],0))</f>
        <v>1</v>
      </c>
    </row>
    <row r="363" spans="1:16">
      <c r="A363" s="2" t="s">
        <v>388</v>
      </c>
      <c r="B363" t="str">
        <f>_xlfn.TEXTAFTER(TRACK_TYPES[[#This Row],[VEHIDCODE]],"_")</f>
        <v>France_SNCF_BB_9004</v>
      </c>
      <c r="C363" t="s">
        <v>731</v>
      </c>
      <c r="D363" t="s">
        <v>951</v>
      </c>
      <c r="E363">
        <v>6022</v>
      </c>
      <c r="F363" t="b">
        <f>AND(CONTROL[[#This Row],[IS_WAGON_OR_COACH]]=TRUE,OR(RIGHT(CONTROL[[#This Row],[VEHIDCODE]],7)="Powered",RIGHT(CONTROL[[#This Row],[VEHIDCODE]],9)="Unpowered"))</f>
        <v>0</v>
      </c>
      <c r="G363" s="2" t="b">
        <f>OR(ISNUMBER(SEARCH("wagon_",CONTROL[[#This Row],[VEHIDCODE]])),ISNUMBER(SEARCH("coach_",CONTROL[[#This Row],[VEHIDCODE]])))</f>
        <v>0</v>
      </c>
      <c r="H363" t="str">
        <f>"item_"&amp;CONTROL[[#This Row],[VEHIDCODE]]</f>
        <v>item_electric_France_SNCF_BB_9004</v>
      </c>
      <c r="I363" t="str">
        <f>"str_"&amp;CONTROL[[#This Row],[VEHIDCODE]]</f>
        <v>str_electric_France_SNCF_BB_9004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t="b">
        <f>ISNUMBER(_xlfn.XMATCH(CONTROL[[#This Row],[VEHIDCODE]],ENGLISH_ITEMS[VEHIDCODE],0))</f>
        <v>1</v>
      </c>
    </row>
    <row r="364" spans="1:16">
      <c r="A364" s="2" t="s">
        <v>389</v>
      </c>
      <c r="B364" t="str">
        <f>_xlfn.TEXTAFTER(TRACK_TYPES[[#This Row],[VEHIDCODE]],"_")</f>
        <v>Indonesia_ESS_3200</v>
      </c>
      <c r="C364" t="s">
        <v>731</v>
      </c>
      <c r="D364" t="s">
        <v>951</v>
      </c>
      <c r="E364">
        <v>6096</v>
      </c>
      <c r="F364" t="b">
        <f>AND(CONTROL[[#This Row],[IS_WAGON_OR_COACH]]=TRUE,OR(RIGHT(CONTROL[[#This Row],[VEHIDCODE]],7)="Powered",RIGHT(CONTROL[[#This Row],[VEHIDCODE]],9)="Unpowered"))</f>
        <v>0</v>
      </c>
      <c r="G364" s="2" t="b">
        <f>OR(ISNUMBER(SEARCH("wagon_",CONTROL[[#This Row],[VEHIDCODE]])),ISNUMBER(SEARCH("coach_",CONTROL[[#This Row],[VEHIDCODE]])))</f>
        <v>0</v>
      </c>
      <c r="H364" t="str">
        <f>"item_"&amp;CONTROL[[#This Row],[VEHIDCODE]]</f>
        <v>item_electric_Indonesia_ESS_3200</v>
      </c>
      <c r="I364" t="str">
        <f>"str_"&amp;CONTROL[[#This Row],[VEHIDCODE]]</f>
        <v>str_electric_Indonesia_ESS_3200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t="b">
        <f>ISNUMBER(_xlfn.XMATCH(CONTROL[[#This Row],[VEHIDCODE]],ENGLISH_ITEMS[VEHIDCODE],0))</f>
        <v>1</v>
      </c>
    </row>
    <row r="365" spans="1:16">
      <c r="A365" s="2" t="s">
        <v>390</v>
      </c>
      <c r="B365" t="str">
        <f>_xlfn.TEXTAFTER(TRACK_TYPES[[#This Row],[VEHIDCODE]],"_")</f>
        <v>UK_BR_77_Metrovic</v>
      </c>
      <c r="C365" t="s">
        <v>731</v>
      </c>
      <c r="D365" t="s">
        <v>951</v>
      </c>
      <c r="E365">
        <v>6021</v>
      </c>
      <c r="F365" t="b">
        <f>AND(CONTROL[[#This Row],[IS_WAGON_OR_COACH]]=TRUE,OR(RIGHT(CONTROL[[#This Row],[VEHIDCODE]],7)="Powered",RIGHT(CONTROL[[#This Row],[VEHIDCODE]],9)="Unpowered"))</f>
        <v>0</v>
      </c>
      <c r="G365" s="2" t="b">
        <f>OR(ISNUMBER(SEARCH("wagon_",CONTROL[[#This Row],[VEHIDCODE]])),ISNUMBER(SEARCH("coach_",CONTROL[[#This Row],[VEHIDCODE]])))</f>
        <v>0</v>
      </c>
      <c r="H365" t="str">
        <f>"item_"&amp;CONTROL[[#This Row],[VEHIDCODE]]</f>
        <v>item_electric_UK_BR_77_Metrovic</v>
      </c>
      <c r="I365" t="str">
        <f>"str_"&amp;CONTROL[[#This Row],[VEHIDCODE]]</f>
        <v>str_electric_UK_BR_77_Metrovic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t="b">
        <f>ISNUMBER(_xlfn.XMATCH(CONTROL[[#This Row],[VEHIDCODE]],ENGLISH_ITEMS[VEHIDCODE],0))</f>
        <v>1</v>
      </c>
    </row>
    <row r="366" spans="1:16">
      <c r="A366" s="2" t="s">
        <v>391</v>
      </c>
      <c r="B366" t="str">
        <f>_xlfn.TEXTAFTER(TRACK_TYPES[[#This Row],[VEHIDCODE]],"_")</f>
        <v>UK_NER_EE1</v>
      </c>
      <c r="C366" t="s">
        <v>731</v>
      </c>
      <c r="D366" t="s">
        <v>951</v>
      </c>
      <c r="E366">
        <v>6071</v>
      </c>
      <c r="F366" t="b">
        <f>AND(CONTROL[[#This Row],[IS_WAGON_OR_COACH]]=TRUE,OR(RIGHT(CONTROL[[#This Row],[VEHIDCODE]],7)="Powered",RIGHT(CONTROL[[#This Row],[VEHIDCODE]],9)="Unpowered"))</f>
        <v>0</v>
      </c>
      <c r="G366" s="2" t="b">
        <f>OR(ISNUMBER(SEARCH("wagon_",CONTROL[[#This Row],[VEHIDCODE]])),ISNUMBER(SEARCH("coach_",CONTROL[[#This Row],[VEHIDCODE]])))</f>
        <v>0</v>
      </c>
      <c r="H366" t="str">
        <f>"item_"&amp;CONTROL[[#This Row],[VEHIDCODE]]</f>
        <v>item_electric_UK_NER_EE1</v>
      </c>
      <c r="I366" t="str">
        <f>"str_"&amp;CONTROL[[#This Row],[VEHIDCODE]]</f>
        <v>str_electric_UK_NER_EE1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t="b">
        <f>ISNUMBER(_xlfn.XMATCH(CONTROL[[#This Row],[VEHIDCODE]],ENGLISH_ITEMS[VEHIDCODE],0))</f>
        <v>1</v>
      </c>
    </row>
    <row r="367" spans="1:16">
      <c r="A367" s="2" t="s">
        <v>392</v>
      </c>
      <c r="B367" t="str">
        <f>_xlfn.TEXTAFTER(TRACK_TYPES[[#This Row],[VEHIDCODE]],"_")</f>
        <v>USA_Milwaukee_Road_ES_2</v>
      </c>
      <c r="C367" t="s">
        <v>731</v>
      </c>
      <c r="D367" t="s">
        <v>951</v>
      </c>
      <c r="E367">
        <v>6003</v>
      </c>
      <c r="F367" t="b">
        <f>AND(CONTROL[[#This Row],[IS_WAGON_OR_COACH]]=TRUE,OR(RIGHT(CONTROL[[#This Row],[VEHIDCODE]],7)="Powered",RIGHT(CONTROL[[#This Row],[VEHIDCODE]],9)="Unpowered"))</f>
        <v>0</v>
      </c>
      <c r="G367" s="2" t="b">
        <f>OR(ISNUMBER(SEARCH("wagon_",CONTROL[[#This Row],[VEHIDCODE]])),ISNUMBER(SEARCH("coach_",CONTROL[[#This Row],[VEHIDCODE]])))</f>
        <v>0</v>
      </c>
      <c r="H367" t="str">
        <f>"item_"&amp;CONTROL[[#This Row],[VEHIDCODE]]</f>
        <v>item_electric_USA_Milwaukee_Road_ES_2</v>
      </c>
      <c r="I367" t="str">
        <f>"str_"&amp;CONTROL[[#This Row],[VEHIDCODE]]</f>
        <v>str_electric_USA_Milwaukee_Road_ES_2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t="b">
        <f>ISNUMBER(_xlfn.XMATCH(CONTROL[[#This Row],[VEHIDCODE]],ENGLISH_ITEMS[VEHIDCODE],0))</f>
        <v>1</v>
      </c>
    </row>
    <row r="368" spans="1:16">
      <c r="A368" s="2" t="s">
        <v>393</v>
      </c>
      <c r="B368" t="str">
        <f>_xlfn.TEXTAFTER(TRACK_TYPES[[#This Row],[VEHIDCODE]],"_")</f>
        <v>USA_Milwaukee_Road_EP_2_Bipolar</v>
      </c>
      <c r="C368" t="s">
        <v>731</v>
      </c>
      <c r="D368" t="s">
        <v>951</v>
      </c>
      <c r="E368">
        <v>6064</v>
      </c>
      <c r="F368" t="b">
        <f>AND(CONTROL[[#This Row],[IS_WAGON_OR_COACH]]=TRUE,OR(RIGHT(CONTROL[[#This Row],[VEHIDCODE]],7)="Powered",RIGHT(CONTROL[[#This Row],[VEHIDCODE]],9)="Unpowered"))</f>
        <v>0</v>
      </c>
      <c r="G368" s="2" t="b">
        <f>OR(ISNUMBER(SEARCH("wagon_",CONTROL[[#This Row],[VEHIDCODE]])),ISNUMBER(SEARCH("coach_",CONTROL[[#This Row],[VEHIDCODE]])))</f>
        <v>0</v>
      </c>
      <c r="H368" t="str">
        <f>"item_"&amp;CONTROL[[#This Row],[VEHIDCODE]]</f>
        <v>item_electric_USA_Milwaukee_Road_EP_2_Bipolar</v>
      </c>
      <c r="I368" t="str">
        <f>"str_"&amp;CONTROL[[#This Row],[VEHIDCODE]]</f>
        <v>str_electric_USA_Milwaukee_Road_EP_2_Bipolar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t="b">
        <f>ISNUMBER(_xlfn.XMATCH(CONTROL[[#This Row],[VEHIDCODE]],ENGLISH_ITEMS[VEHIDCODE],0))</f>
        <v>1</v>
      </c>
    </row>
    <row r="369" spans="1:16">
      <c r="A369" s="2" t="s">
        <v>394</v>
      </c>
      <c r="B369" t="str">
        <f>_xlfn.TEXTAFTER(TRACK_TYPES[[#This Row],[VEHIDCODE]],"_")</f>
        <v>Chile_EFE_E_28</v>
      </c>
      <c r="C369" t="s">
        <v>731</v>
      </c>
      <c r="D369" t="s">
        <v>951</v>
      </c>
      <c r="E369">
        <v>6006</v>
      </c>
      <c r="F369" t="b">
        <f>AND(CONTROL[[#This Row],[IS_WAGON_OR_COACH]]=TRUE,OR(RIGHT(CONTROL[[#This Row],[VEHIDCODE]],7)="Powered",RIGHT(CONTROL[[#This Row],[VEHIDCODE]],9)="Unpowered"))</f>
        <v>0</v>
      </c>
      <c r="G369" s="2" t="b">
        <f>OR(ISNUMBER(SEARCH("wagon_",CONTROL[[#This Row],[VEHIDCODE]])),ISNUMBER(SEARCH("coach_",CONTROL[[#This Row],[VEHIDCODE]])))</f>
        <v>0</v>
      </c>
      <c r="H369" t="str">
        <f>"item_"&amp;CONTROL[[#This Row],[VEHIDCODE]]</f>
        <v>item_electric_Chile_EFE_E_28</v>
      </c>
      <c r="I369" t="str">
        <f>"str_"&amp;CONTROL[[#This Row],[VEHIDCODE]]</f>
        <v>str_electric_Chile_EFE_E_28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t="b">
        <f>ISNUMBER(_xlfn.XMATCH(CONTROL[[#This Row],[VEHIDCODE]],ENGLISH_ITEMS[VEHIDCODE],0))</f>
        <v>1</v>
      </c>
    </row>
    <row r="370" spans="1:16">
      <c r="A370" s="2" t="s">
        <v>395</v>
      </c>
      <c r="B370" t="str">
        <f>_xlfn.TEXTAFTER(TRACK_TYPES[[#This Row],[VEHIDCODE]],"_")</f>
        <v>Italy_FS_E428</v>
      </c>
      <c r="C370" t="s">
        <v>731</v>
      </c>
      <c r="D370" t="s">
        <v>951</v>
      </c>
      <c r="E370">
        <v>6013</v>
      </c>
      <c r="F370" t="b">
        <f>AND(CONTROL[[#This Row],[IS_WAGON_OR_COACH]]=TRUE,OR(RIGHT(CONTROL[[#This Row],[VEHIDCODE]],7)="Powered",RIGHT(CONTROL[[#This Row],[VEHIDCODE]],9)="Unpowered"))</f>
        <v>0</v>
      </c>
      <c r="G370" s="2" t="b">
        <f>OR(ISNUMBER(SEARCH("wagon_",CONTROL[[#This Row],[VEHIDCODE]])),ISNUMBER(SEARCH("coach_",CONTROL[[#This Row],[VEHIDCODE]])))</f>
        <v>0</v>
      </c>
      <c r="H370" t="str">
        <f>"item_"&amp;CONTROL[[#This Row],[VEHIDCODE]]</f>
        <v>item_electric_Italy_FS_E428</v>
      </c>
      <c r="I370" t="str">
        <f>"str_"&amp;CONTROL[[#This Row],[VEHIDCODE]]</f>
        <v>str_electric_Italy_FS_E428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t="b">
        <f>ISNUMBER(_xlfn.XMATCH(CONTROL[[#This Row],[VEHIDCODE]],ENGLISH_ITEMS[VEHIDCODE],0))</f>
        <v>1</v>
      </c>
    </row>
    <row r="371" spans="1:16">
      <c r="A371" s="2" t="s">
        <v>396</v>
      </c>
      <c r="B371" t="str">
        <f>_xlfn.TEXTAFTER(TRACK_TYPES[[#This Row],[VEHIDCODE]],"_")</f>
        <v>South_Africa_SAR_ES_Class</v>
      </c>
      <c r="C371" t="s">
        <v>731</v>
      </c>
      <c r="D371" t="s">
        <v>951</v>
      </c>
      <c r="E371">
        <v>6016</v>
      </c>
      <c r="F371" t="b">
        <f>AND(CONTROL[[#This Row],[IS_WAGON_OR_COACH]]=TRUE,OR(RIGHT(CONTROL[[#This Row],[VEHIDCODE]],7)="Powered",RIGHT(CONTROL[[#This Row],[VEHIDCODE]],9)="Unpowered"))</f>
        <v>0</v>
      </c>
      <c r="G371" s="2" t="b">
        <f>OR(ISNUMBER(SEARCH("wagon_",CONTROL[[#This Row],[VEHIDCODE]])),ISNUMBER(SEARCH("coach_",CONTROL[[#This Row],[VEHIDCODE]])))</f>
        <v>0</v>
      </c>
      <c r="H371" t="str">
        <f>"item_"&amp;CONTROL[[#This Row],[VEHIDCODE]]</f>
        <v>item_electric_South_Africa_SAR_ES_Class</v>
      </c>
      <c r="I371" t="str">
        <f>"str_"&amp;CONTROL[[#This Row],[VEHIDCODE]]</f>
        <v>str_electric_South_Africa_SAR_ES_Class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t="b">
        <f>ISNUMBER(_xlfn.XMATCH(CONTROL[[#This Row],[VEHIDCODE]],ENGLISH_ITEMS[VEHIDCODE],0))</f>
        <v>1</v>
      </c>
    </row>
    <row r="372" spans="1:16">
      <c r="A372" s="2" t="s">
        <v>397</v>
      </c>
      <c r="B372" t="str">
        <f>_xlfn.TEXTAFTER(TRACK_TYPES[[#This Row],[VEHIDCODE]],"_")</f>
        <v>Poland_PKP_EU06</v>
      </c>
      <c r="C372" t="s">
        <v>731</v>
      </c>
      <c r="D372" t="s">
        <v>951</v>
      </c>
      <c r="E372">
        <v>6084</v>
      </c>
      <c r="F372" t="b">
        <f>AND(CONTROL[[#This Row],[IS_WAGON_OR_COACH]]=TRUE,OR(RIGHT(CONTROL[[#This Row],[VEHIDCODE]],7)="Powered",RIGHT(CONTROL[[#This Row],[VEHIDCODE]],9)="Unpowered"))</f>
        <v>0</v>
      </c>
      <c r="G372" s="2" t="b">
        <f>OR(ISNUMBER(SEARCH("wagon_",CONTROL[[#This Row],[VEHIDCODE]])),ISNUMBER(SEARCH("coach_",CONTROL[[#This Row],[VEHIDCODE]])))</f>
        <v>0</v>
      </c>
      <c r="H372" t="str">
        <f>"item_"&amp;CONTROL[[#This Row],[VEHIDCODE]]</f>
        <v>item_electric_Poland_PKP_EU06</v>
      </c>
      <c r="I372" t="str">
        <f>"str_"&amp;CONTROL[[#This Row],[VEHIDCODE]]</f>
        <v>str_electric_Poland_PKP_EU06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t="b">
        <f>ISNUMBER(_xlfn.XMATCH(CONTROL[[#This Row],[VEHIDCODE]],ENGLISH_ITEMS[VEHIDCODE],0))</f>
        <v>1</v>
      </c>
    </row>
    <row r="373" spans="1:16">
      <c r="A373" s="2" t="s">
        <v>398</v>
      </c>
      <c r="B373" t="str">
        <f>_xlfn.TEXTAFTER(TRACK_TYPES[[#This Row],[VEHIDCODE]],"_")</f>
        <v>Poland_PKP_ET41</v>
      </c>
      <c r="C373" t="s">
        <v>731</v>
      </c>
      <c r="D373" t="s">
        <v>951</v>
      </c>
      <c r="E373">
        <v>6037</v>
      </c>
      <c r="F373" t="b">
        <f>AND(CONTROL[[#This Row],[IS_WAGON_OR_COACH]]=TRUE,OR(RIGHT(CONTROL[[#This Row],[VEHIDCODE]],7)="Powered",RIGHT(CONTROL[[#This Row],[VEHIDCODE]],9)="Unpowered"))</f>
        <v>0</v>
      </c>
      <c r="G373" s="2" t="b">
        <f>OR(ISNUMBER(SEARCH("wagon_",CONTROL[[#This Row],[VEHIDCODE]])),ISNUMBER(SEARCH("coach_",CONTROL[[#This Row],[VEHIDCODE]])))</f>
        <v>0</v>
      </c>
      <c r="H373" t="str">
        <f>"item_"&amp;CONTROL[[#This Row],[VEHIDCODE]]</f>
        <v>item_electric_Poland_PKP_ET41</v>
      </c>
      <c r="I373" t="str">
        <f>"str_"&amp;CONTROL[[#This Row],[VEHIDCODE]]</f>
        <v>str_electric_Poland_PKP_ET41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t="b">
        <f>ISNUMBER(_xlfn.XMATCH(CONTROL[[#This Row],[VEHIDCODE]],ENGLISH_ITEMS[VEHIDCODE],0))</f>
        <v>1</v>
      </c>
    </row>
    <row r="374" spans="1:16">
      <c r="A374" s="2" t="s">
        <v>399</v>
      </c>
      <c r="B374" t="str">
        <f>_xlfn.TEXTAFTER(TRACK_TYPES[[#This Row],[VEHIDCODE]],"_")</f>
        <v>Poland_PKP_EP09</v>
      </c>
      <c r="C374" t="s">
        <v>731</v>
      </c>
      <c r="D374" t="s">
        <v>951</v>
      </c>
      <c r="E374">
        <v>6114</v>
      </c>
      <c r="F374" t="b">
        <f>AND(CONTROL[[#This Row],[IS_WAGON_OR_COACH]]=TRUE,OR(RIGHT(CONTROL[[#This Row],[VEHIDCODE]],7)="Powered",RIGHT(CONTROL[[#This Row],[VEHIDCODE]],9)="Unpowered"))</f>
        <v>0</v>
      </c>
      <c r="G374" s="2" t="b">
        <f>OR(ISNUMBER(SEARCH("wagon_",CONTROL[[#This Row],[VEHIDCODE]])),ISNUMBER(SEARCH("coach_",CONTROL[[#This Row],[VEHIDCODE]])))</f>
        <v>0</v>
      </c>
      <c r="H374" t="str">
        <f>"item_"&amp;CONTROL[[#This Row],[VEHIDCODE]]</f>
        <v>item_electric_Poland_PKP_EP09</v>
      </c>
      <c r="I374" t="str">
        <f>"str_"&amp;CONTROL[[#This Row],[VEHIDCODE]]</f>
        <v>str_electric_Poland_PKP_EP09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t="b">
        <f>ISNUMBER(_xlfn.XMATCH(CONTROL[[#This Row],[VEHIDCODE]],ENGLISH_ITEMS[VEHIDCODE],0))</f>
        <v>1</v>
      </c>
    </row>
    <row r="375" spans="1:16">
      <c r="A375" s="2" t="s">
        <v>400</v>
      </c>
      <c r="B375" t="str">
        <f>_xlfn.TEXTAFTER(TRACK_TYPES[[#This Row],[VEHIDCODE]],"_")</f>
        <v>Slovakia_ZSSK_162</v>
      </c>
      <c r="C375" t="s">
        <v>731</v>
      </c>
      <c r="D375" t="s">
        <v>951</v>
      </c>
      <c r="E375">
        <v>6116</v>
      </c>
      <c r="F375" t="b">
        <f>AND(CONTROL[[#This Row],[IS_WAGON_OR_COACH]]=TRUE,OR(RIGHT(CONTROL[[#This Row],[VEHIDCODE]],7)="Powered",RIGHT(CONTROL[[#This Row],[VEHIDCODE]],9)="Unpowered"))</f>
        <v>0</v>
      </c>
      <c r="G375" s="2" t="b">
        <f>OR(ISNUMBER(SEARCH("wagon_",CONTROL[[#This Row],[VEHIDCODE]])),ISNUMBER(SEARCH("coach_",CONTROL[[#This Row],[VEHIDCODE]])))</f>
        <v>0</v>
      </c>
      <c r="H375" t="str">
        <f>"item_"&amp;CONTROL[[#This Row],[VEHIDCODE]]</f>
        <v>item_electric_Slovakia_ZSSK_162</v>
      </c>
      <c r="I375" t="str">
        <f>"str_"&amp;CONTROL[[#This Row],[VEHIDCODE]]</f>
        <v>str_electric_Slovakia_ZSSK_162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t="b">
        <f>ISNUMBER(_xlfn.XMATCH(CONTROL[[#This Row],[VEHIDCODE]],ENGLISH_ITEMS[VEHIDCODE],0))</f>
        <v>1</v>
      </c>
    </row>
    <row r="376" spans="1:16">
      <c r="A376" s="2" t="s">
        <v>401</v>
      </c>
      <c r="B376" t="str">
        <f>_xlfn.TEXTAFTER(TRACK_TYPES[[#This Row],[VEHIDCODE]],"_")</f>
        <v>Italy_FS_E646</v>
      </c>
      <c r="C376" t="s">
        <v>731</v>
      </c>
      <c r="D376" t="s">
        <v>951</v>
      </c>
      <c r="E376">
        <v>6027</v>
      </c>
      <c r="F376" t="b">
        <f>AND(CONTROL[[#This Row],[IS_WAGON_OR_COACH]]=TRUE,OR(RIGHT(CONTROL[[#This Row],[VEHIDCODE]],7)="Powered",RIGHT(CONTROL[[#This Row],[VEHIDCODE]],9)="Unpowered"))</f>
        <v>0</v>
      </c>
      <c r="G376" s="2" t="b">
        <f>OR(ISNUMBER(SEARCH("wagon_",CONTROL[[#This Row],[VEHIDCODE]])),ISNUMBER(SEARCH("coach_",CONTROL[[#This Row],[VEHIDCODE]])))</f>
        <v>0</v>
      </c>
      <c r="H376" t="str">
        <f>"item_"&amp;CONTROL[[#This Row],[VEHIDCODE]]</f>
        <v>item_electric_Italy_FS_E646</v>
      </c>
      <c r="I376" t="str">
        <f>"str_"&amp;CONTROL[[#This Row],[VEHIDCODE]]</f>
        <v>str_electric_Italy_FS_E646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t="b">
        <f>ISNUMBER(_xlfn.XMATCH(CONTROL[[#This Row],[VEHIDCODE]],ENGLISH_ITEMS[VEHIDCODE],0))</f>
        <v>1</v>
      </c>
    </row>
    <row r="377" spans="1:16">
      <c r="A377" s="2" t="s">
        <v>402</v>
      </c>
      <c r="B377" t="str">
        <f>_xlfn.TEXTAFTER(TRACK_TYPES[[#This Row],[VEHIDCODE]],"_")</f>
        <v>Italy_FS_E424</v>
      </c>
      <c r="C377" t="s">
        <v>731</v>
      </c>
      <c r="D377" t="s">
        <v>951</v>
      </c>
      <c r="E377">
        <v>6077</v>
      </c>
      <c r="F377" t="b">
        <f>AND(CONTROL[[#This Row],[IS_WAGON_OR_COACH]]=TRUE,OR(RIGHT(CONTROL[[#This Row],[VEHIDCODE]],7)="Powered",RIGHT(CONTROL[[#This Row],[VEHIDCODE]],9)="Unpowered"))</f>
        <v>0</v>
      </c>
      <c r="G377" s="2" t="b">
        <f>OR(ISNUMBER(SEARCH("wagon_",CONTROL[[#This Row],[VEHIDCODE]])),ISNUMBER(SEARCH("coach_",CONTROL[[#This Row],[VEHIDCODE]])))</f>
        <v>0</v>
      </c>
      <c r="H377" t="str">
        <f>"item_"&amp;CONTROL[[#This Row],[VEHIDCODE]]</f>
        <v>item_electric_Italy_FS_E424</v>
      </c>
      <c r="I377" t="str">
        <f>"str_"&amp;CONTROL[[#This Row],[VEHIDCODE]]</f>
        <v>str_electric_Italy_FS_E424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t="b">
        <f>ISNUMBER(_xlfn.XMATCH(CONTROL[[#This Row],[VEHIDCODE]],ENGLISH_ITEMS[VEHIDCODE],0))</f>
        <v>1</v>
      </c>
    </row>
    <row r="378" spans="1:16">
      <c r="A378" s="2" t="s">
        <v>403</v>
      </c>
      <c r="B378" t="str">
        <f>_xlfn.TEXTAFTER(TRACK_TYPES[[#This Row],[VEHIDCODE]],"_")</f>
        <v>Italy_FS_E444</v>
      </c>
      <c r="C378" t="s">
        <v>731</v>
      </c>
      <c r="D378" t="s">
        <v>951</v>
      </c>
      <c r="E378">
        <v>6090</v>
      </c>
      <c r="F378" t="b">
        <f>AND(CONTROL[[#This Row],[IS_WAGON_OR_COACH]]=TRUE,OR(RIGHT(CONTROL[[#This Row],[VEHIDCODE]],7)="Powered",RIGHT(CONTROL[[#This Row],[VEHIDCODE]],9)="Unpowered"))</f>
        <v>0</v>
      </c>
      <c r="G378" s="2" t="b">
        <f>OR(ISNUMBER(SEARCH("wagon_",CONTROL[[#This Row],[VEHIDCODE]])),ISNUMBER(SEARCH("coach_",CONTROL[[#This Row],[VEHIDCODE]])))</f>
        <v>0</v>
      </c>
      <c r="H378" t="str">
        <f>"item_"&amp;CONTROL[[#This Row],[VEHIDCODE]]</f>
        <v>item_electric_Italy_FS_E444</v>
      </c>
      <c r="I378" t="str">
        <f>"str_"&amp;CONTROL[[#This Row],[VEHIDCODE]]</f>
        <v>str_electric_Italy_FS_E444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t="b">
        <f>ISNUMBER(_xlfn.XMATCH(CONTROL[[#This Row],[VEHIDCODE]],ENGLISH_ITEMS[VEHIDCODE],0))</f>
        <v>1</v>
      </c>
    </row>
    <row r="379" spans="1:16">
      <c r="A379" s="2" t="s">
        <v>404</v>
      </c>
      <c r="B379" t="str">
        <f>_xlfn.TEXTAFTER(TRACK_TYPES[[#This Row],[VEHIDCODE]],"_")</f>
        <v>Italy_FS_E633</v>
      </c>
      <c r="C379" t="s">
        <v>731</v>
      </c>
      <c r="D379" t="s">
        <v>951</v>
      </c>
      <c r="E379">
        <v>6106</v>
      </c>
      <c r="F379" t="b">
        <f>AND(CONTROL[[#This Row],[IS_WAGON_OR_COACH]]=TRUE,OR(RIGHT(CONTROL[[#This Row],[VEHIDCODE]],7)="Powered",RIGHT(CONTROL[[#This Row],[VEHIDCODE]],9)="Unpowered"))</f>
        <v>0</v>
      </c>
      <c r="G379" s="2" t="b">
        <f>OR(ISNUMBER(SEARCH("wagon_",CONTROL[[#This Row],[VEHIDCODE]])),ISNUMBER(SEARCH("coach_",CONTROL[[#This Row],[VEHIDCODE]])))</f>
        <v>0</v>
      </c>
      <c r="H379" t="str">
        <f>"item_"&amp;CONTROL[[#This Row],[VEHIDCODE]]</f>
        <v>item_electric_Italy_FS_E633</v>
      </c>
      <c r="I379" t="str">
        <f>"str_"&amp;CONTROL[[#This Row],[VEHIDCODE]]</f>
        <v>str_electric_Italy_FS_E633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t="b">
        <f>ISNUMBER(_xlfn.XMATCH(CONTROL[[#This Row],[VEHIDCODE]],ENGLISH_ITEMS[VEHIDCODE],0))</f>
        <v>1</v>
      </c>
    </row>
    <row r="380" spans="1:16">
      <c r="A380" s="2" t="s">
        <v>405</v>
      </c>
      <c r="B380" t="str">
        <f>_xlfn.TEXTAFTER(TRACK_TYPES[[#This Row],[VEHIDCODE]],"_")</f>
        <v>Belgium_NMBS_Class_255</v>
      </c>
      <c r="C380" t="s">
        <v>731</v>
      </c>
      <c r="D380" t="s">
        <v>951</v>
      </c>
      <c r="E380">
        <v>6082</v>
      </c>
      <c r="F380" t="b">
        <f>AND(CONTROL[[#This Row],[IS_WAGON_OR_COACH]]=TRUE,OR(RIGHT(CONTROL[[#This Row],[VEHIDCODE]],7)="Powered",RIGHT(CONTROL[[#This Row],[VEHIDCODE]],9)="Unpowered"))</f>
        <v>0</v>
      </c>
      <c r="G380" s="2" t="b">
        <f>OR(ISNUMBER(SEARCH("wagon_",CONTROL[[#This Row],[VEHIDCODE]])),ISNUMBER(SEARCH("coach_",CONTROL[[#This Row],[VEHIDCODE]])))</f>
        <v>0</v>
      </c>
      <c r="H380" t="str">
        <f>"item_"&amp;CONTROL[[#This Row],[VEHIDCODE]]</f>
        <v>item_electric_Belgium_NMBS_Class_255</v>
      </c>
      <c r="I380" t="str">
        <f>"str_"&amp;CONTROL[[#This Row],[VEHIDCODE]]</f>
        <v>str_electric_Belgium_NMBS_Class_255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t="b">
        <f>ISNUMBER(_xlfn.XMATCH(CONTROL[[#This Row],[VEHIDCODE]],ENGLISH_ITEMS[VEHIDCODE],0))</f>
        <v>1</v>
      </c>
    </row>
    <row r="381" spans="1:16">
      <c r="A381" s="2" t="s">
        <v>406</v>
      </c>
      <c r="B381" t="str">
        <f>_xlfn.TEXTAFTER(TRACK_TYPES[[#This Row],[VEHIDCODE]],"_")</f>
        <v>Spain_RENFE_250</v>
      </c>
      <c r="C381" t="s">
        <v>731</v>
      </c>
      <c r="D381" t="s">
        <v>951</v>
      </c>
      <c r="E381">
        <v>6110</v>
      </c>
      <c r="F381" t="b">
        <f>AND(CONTROL[[#This Row],[IS_WAGON_OR_COACH]]=TRUE,OR(RIGHT(CONTROL[[#This Row],[VEHIDCODE]],7)="Powered",RIGHT(CONTROL[[#This Row],[VEHIDCODE]],9)="Unpowered"))</f>
        <v>0</v>
      </c>
      <c r="G381" s="2" t="b">
        <f>OR(ISNUMBER(SEARCH("wagon_",CONTROL[[#This Row],[VEHIDCODE]])),ISNUMBER(SEARCH("coach_",CONTROL[[#This Row],[VEHIDCODE]])))</f>
        <v>0</v>
      </c>
      <c r="H381" t="str">
        <f>"item_"&amp;CONTROL[[#This Row],[VEHIDCODE]]</f>
        <v>item_electric_Spain_RENFE_250</v>
      </c>
      <c r="I381" t="str">
        <f>"str_"&amp;CONTROL[[#This Row],[VEHIDCODE]]</f>
        <v>str_electric_Spain_RENFE_250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t="b">
        <f>ISNUMBER(_xlfn.XMATCH(CONTROL[[#This Row],[VEHIDCODE]],ENGLISH_ITEMS[VEHIDCODE],0))</f>
        <v>1</v>
      </c>
    </row>
    <row r="382" spans="1:16">
      <c r="A382" s="2" t="s">
        <v>407</v>
      </c>
      <c r="B382" t="str">
        <f>_xlfn.TEXTAFTER(TRACK_TYPES[[#This Row],[VEHIDCODE]],"_")</f>
        <v>Chile_EFE_E_29</v>
      </c>
      <c r="C382" t="s">
        <v>731</v>
      </c>
      <c r="D382" t="s">
        <v>951</v>
      </c>
      <c r="E382">
        <v>6100</v>
      </c>
      <c r="F382" t="b">
        <f>AND(CONTROL[[#This Row],[IS_WAGON_OR_COACH]]=TRUE,OR(RIGHT(CONTROL[[#This Row],[VEHIDCODE]],7)="Powered",RIGHT(CONTROL[[#This Row],[VEHIDCODE]],9)="Unpowered"))</f>
        <v>0</v>
      </c>
      <c r="G382" s="2" t="b">
        <f>OR(ISNUMBER(SEARCH("wagon_",CONTROL[[#This Row],[VEHIDCODE]])),ISNUMBER(SEARCH("coach_",CONTROL[[#This Row],[VEHIDCODE]])))</f>
        <v>0</v>
      </c>
      <c r="H382" t="str">
        <f>"item_"&amp;CONTROL[[#This Row],[VEHIDCODE]]</f>
        <v>item_electric_Chile_EFE_E_29</v>
      </c>
      <c r="I382" t="str">
        <f>"str_"&amp;CONTROL[[#This Row],[VEHIDCODE]]</f>
        <v>str_electric_Chile_EFE_E_29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t="b">
        <f>ISNUMBER(_xlfn.XMATCH(CONTROL[[#This Row],[VEHIDCODE]],ENGLISH_ITEMS[VEHIDCODE],0))</f>
        <v>1</v>
      </c>
    </row>
    <row r="383" spans="1:16">
      <c r="A383" s="2" t="s">
        <v>408</v>
      </c>
      <c r="B383" t="str">
        <f>_xlfn.TEXTAFTER(TRACK_TYPES[[#This Row],[VEHIDCODE]],"_")</f>
        <v>Chile_EFE_E_17</v>
      </c>
      <c r="C383" t="s">
        <v>731</v>
      </c>
      <c r="D383" t="s">
        <v>951</v>
      </c>
      <c r="E383">
        <v>6126</v>
      </c>
      <c r="F383" t="b">
        <f>AND(CONTROL[[#This Row],[IS_WAGON_OR_COACH]]=TRUE,OR(RIGHT(CONTROL[[#This Row],[VEHIDCODE]],7)="Powered",RIGHT(CONTROL[[#This Row],[VEHIDCODE]],9)="Unpowered"))</f>
        <v>0</v>
      </c>
      <c r="G383" s="2" t="b">
        <f>OR(ISNUMBER(SEARCH("wagon_",CONTROL[[#This Row],[VEHIDCODE]])),ISNUMBER(SEARCH("coach_",CONTROL[[#This Row],[VEHIDCODE]])))</f>
        <v>0</v>
      </c>
      <c r="H383" t="str">
        <f>"item_"&amp;CONTROL[[#This Row],[VEHIDCODE]]</f>
        <v>item_electric_Chile_EFE_E_17</v>
      </c>
      <c r="I383" t="str">
        <f>"str_"&amp;CONTROL[[#This Row],[VEHIDCODE]]</f>
        <v>str_electric_Chile_EFE_E_17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t="b">
        <f>ISNUMBER(_xlfn.XMATCH(CONTROL[[#This Row],[VEHIDCODE]],ENGLISH_ITEMS[VEHIDCODE],0))</f>
        <v>1</v>
      </c>
    </row>
    <row r="384" spans="1:16">
      <c r="A384" s="2" t="s">
        <v>409</v>
      </c>
      <c r="B384" t="str">
        <f>_xlfn.TEXTAFTER(TRACK_TYPES[[#This Row],[VEHIDCODE]],"_")</f>
        <v>Morocco_ONCF_E_700</v>
      </c>
      <c r="C384" t="s">
        <v>731</v>
      </c>
      <c r="D384" t="s">
        <v>951</v>
      </c>
      <c r="E384">
        <v>6099</v>
      </c>
      <c r="F384" t="b">
        <f>AND(CONTROL[[#This Row],[IS_WAGON_OR_COACH]]=TRUE,OR(RIGHT(CONTROL[[#This Row],[VEHIDCODE]],7)="Powered",RIGHT(CONTROL[[#This Row],[VEHIDCODE]],9)="Unpowered"))</f>
        <v>0</v>
      </c>
      <c r="G384" s="2" t="b">
        <f>OR(ISNUMBER(SEARCH("wagon_",CONTROL[[#This Row],[VEHIDCODE]])),ISNUMBER(SEARCH("coach_",CONTROL[[#This Row],[VEHIDCODE]])))</f>
        <v>0</v>
      </c>
      <c r="H384" t="str">
        <f>"item_"&amp;CONTROL[[#This Row],[VEHIDCODE]]</f>
        <v>item_electric_Morocco_ONCF_E_700</v>
      </c>
      <c r="I384" t="str">
        <f>"str_"&amp;CONTROL[[#This Row],[VEHIDCODE]]</f>
        <v>str_electric_Morocco_ONCF_E_700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t="b">
        <f>ISNUMBER(_xlfn.XMATCH(CONTROL[[#This Row],[VEHIDCODE]],ENGLISH_ITEMS[VEHIDCODE],0))</f>
        <v>1</v>
      </c>
    </row>
    <row r="385" spans="1:16">
      <c r="A385" s="2" t="s">
        <v>410</v>
      </c>
      <c r="B385" t="str">
        <f>_xlfn.TEXTAFTER(TRACK_TYPES[[#This Row],[VEHIDCODE]],"_")</f>
        <v>India_Indian_Railways_WCM_1</v>
      </c>
      <c r="C385" t="s">
        <v>731</v>
      </c>
      <c r="D385" t="s">
        <v>951</v>
      </c>
      <c r="E385">
        <v>6026</v>
      </c>
      <c r="F385" t="b">
        <f>AND(CONTROL[[#This Row],[IS_WAGON_OR_COACH]]=TRUE,OR(RIGHT(CONTROL[[#This Row],[VEHIDCODE]],7)="Powered",RIGHT(CONTROL[[#This Row],[VEHIDCODE]],9)="Unpowered"))</f>
        <v>0</v>
      </c>
      <c r="G385" s="2" t="b">
        <f>OR(ISNUMBER(SEARCH("wagon_",CONTROL[[#This Row],[VEHIDCODE]])),ISNUMBER(SEARCH("coach_",CONTROL[[#This Row],[VEHIDCODE]])))</f>
        <v>0</v>
      </c>
      <c r="H385" t="str">
        <f>"item_"&amp;CONTROL[[#This Row],[VEHIDCODE]]</f>
        <v>item_electric_India_Indian_Railways_WCM_1</v>
      </c>
      <c r="I385" t="str">
        <f>"str_"&amp;CONTROL[[#This Row],[VEHIDCODE]]</f>
        <v>str_electric_India_Indian_Railways_WCM_1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t="b">
        <f>ISNUMBER(_xlfn.XMATCH(CONTROL[[#This Row],[VEHIDCODE]],ENGLISH_ITEMS[VEHIDCODE],0))</f>
        <v>1</v>
      </c>
    </row>
    <row r="386" spans="1:16">
      <c r="A386" s="2" t="s">
        <v>411</v>
      </c>
      <c r="B386" t="str">
        <f>_xlfn.TEXTAFTER(TRACK_TYPES[[#This Row],[VEHIDCODE]],"_")</f>
        <v>South_Africa_SAR_E38</v>
      </c>
      <c r="C386" t="s">
        <v>731</v>
      </c>
      <c r="D386" t="s">
        <v>951</v>
      </c>
      <c r="E386">
        <v>6131</v>
      </c>
      <c r="F386" t="b">
        <f>AND(CONTROL[[#This Row],[IS_WAGON_OR_COACH]]=TRUE,OR(RIGHT(CONTROL[[#This Row],[VEHIDCODE]],7)="Powered",RIGHT(CONTROL[[#This Row],[VEHIDCODE]],9)="Unpowered"))</f>
        <v>0</v>
      </c>
      <c r="G386" s="2" t="b">
        <f>OR(ISNUMBER(SEARCH("wagon_",CONTROL[[#This Row],[VEHIDCODE]])),ISNUMBER(SEARCH("coach_",CONTROL[[#This Row],[VEHIDCODE]])))</f>
        <v>0</v>
      </c>
      <c r="H386" t="str">
        <f>"item_"&amp;CONTROL[[#This Row],[VEHIDCODE]]</f>
        <v>item_electric_South_Africa_SAR_E38</v>
      </c>
      <c r="I386" t="str">
        <f>"str_"&amp;CONTROL[[#This Row],[VEHIDCODE]]</f>
        <v>str_electric_South_Africa_SAR_E38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t="b">
        <f>ISNUMBER(_xlfn.XMATCH(CONTROL[[#This Row],[VEHIDCODE]],ENGLISH_ITEMS[VEHIDCODE],0))</f>
        <v>1</v>
      </c>
    </row>
    <row r="387" spans="1:16">
      <c r="A387" s="2" t="s">
        <v>412</v>
      </c>
      <c r="B387" t="str">
        <f>_xlfn.TEXTAFTER(TRACK_TYPES[[#This Row],[VEHIDCODE]],"_")</f>
        <v>Chile_EFE_E_269</v>
      </c>
      <c r="C387" t="s">
        <v>731</v>
      </c>
      <c r="D387" t="s">
        <v>951</v>
      </c>
      <c r="E387">
        <v>6107</v>
      </c>
      <c r="F387" t="b">
        <f>AND(CONTROL[[#This Row],[IS_WAGON_OR_COACH]]=TRUE,OR(RIGHT(CONTROL[[#This Row],[VEHIDCODE]],7)="Powered",RIGHT(CONTROL[[#This Row],[VEHIDCODE]],9)="Unpowered"))</f>
        <v>0</v>
      </c>
      <c r="G387" s="2" t="b">
        <f>OR(ISNUMBER(SEARCH("wagon_",CONTROL[[#This Row],[VEHIDCODE]])),ISNUMBER(SEARCH("coach_",CONTROL[[#This Row],[VEHIDCODE]])))</f>
        <v>0</v>
      </c>
      <c r="H387" t="str">
        <f>"item_"&amp;CONTROL[[#This Row],[VEHIDCODE]]</f>
        <v>item_electric_Chile_EFE_E_269</v>
      </c>
      <c r="I387" t="str">
        <f>"str_"&amp;CONTROL[[#This Row],[VEHIDCODE]]</f>
        <v>str_electric_Chile_EFE_E_269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t="b">
        <f>ISNUMBER(_xlfn.XMATCH(CONTROL[[#This Row],[VEHIDCODE]],ENGLISH_ITEMS[VEHIDCODE],0))</f>
        <v>1</v>
      </c>
    </row>
    <row r="388" spans="1:16">
      <c r="A388" s="2" t="s">
        <v>413</v>
      </c>
      <c r="B388" t="str">
        <f>_xlfn.TEXTAFTER(TRACK_TYPES[[#This Row],[VEHIDCODE]],"_")</f>
        <v>Czech_Republic_CD_363</v>
      </c>
      <c r="C388" t="s">
        <v>731</v>
      </c>
      <c r="D388" t="s">
        <v>951</v>
      </c>
      <c r="E388">
        <v>6108</v>
      </c>
      <c r="F388" t="b">
        <f>AND(CONTROL[[#This Row],[IS_WAGON_OR_COACH]]=TRUE,OR(RIGHT(CONTROL[[#This Row],[VEHIDCODE]],7)="Powered",RIGHT(CONTROL[[#This Row],[VEHIDCODE]],9)="Unpowered"))</f>
        <v>0</v>
      </c>
      <c r="G388" s="2" t="b">
        <f>OR(ISNUMBER(SEARCH("wagon_",CONTROL[[#This Row],[VEHIDCODE]])),ISNUMBER(SEARCH("coach_",CONTROL[[#This Row],[VEHIDCODE]])))</f>
        <v>0</v>
      </c>
      <c r="H388" t="str">
        <f>"item_"&amp;CONTROL[[#This Row],[VEHIDCODE]]</f>
        <v>item_electric_Czech_Republic_CD_363</v>
      </c>
      <c r="I388" t="str">
        <f>"str_"&amp;CONTROL[[#This Row],[VEHIDCODE]]</f>
        <v>str_electric_Czech_Republic_CD_363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t="b">
        <f>ISNUMBER(_xlfn.XMATCH(CONTROL[[#This Row],[VEHIDCODE]],ENGLISH_ITEMS[VEHIDCODE],0))</f>
        <v>1</v>
      </c>
    </row>
    <row r="389" spans="1:16">
      <c r="A389" s="2" t="s">
        <v>414</v>
      </c>
      <c r="B389" t="str">
        <f>_xlfn.TEXTAFTER(TRACK_TYPES[[#This Row],[VEHIDCODE]],"_")</f>
        <v>Norway_NSB_EL7</v>
      </c>
      <c r="C389" t="s">
        <v>731</v>
      </c>
      <c r="D389" t="s">
        <v>951</v>
      </c>
      <c r="E389">
        <v>6001</v>
      </c>
      <c r="F389" t="b">
        <f>AND(CONTROL[[#This Row],[IS_WAGON_OR_COACH]]=TRUE,OR(RIGHT(CONTROL[[#This Row],[VEHIDCODE]],7)="Powered",RIGHT(CONTROL[[#This Row],[VEHIDCODE]],9)="Unpowered"))</f>
        <v>0</v>
      </c>
      <c r="G389" s="2" t="b">
        <f>OR(ISNUMBER(SEARCH("wagon_",CONTROL[[#This Row],[VEHIDCODE]])),ISNUMBER(SEARCH("coach_",CONTROL[[#This Row],[VEHIDCODE]])))</f>
        <v>0</v>
      </c>
      <c r="H389" t="str">
        <f>"item_"&amp;CONTROL[[#This Row],[VEHIDCODE]]</f>
        <v>item_electric_Norway_NSB_EL7</v>
      </c>
      <c r="I389" t="str">
        <f>"str_"&amp;CONTROL[[#This Row],[VEHIDCODE]]</f>
        <v>str_electric_Norway_NSB_EL7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t="b">
        <f>ISNUMBER(_xlfn.XMATCH(CONTROL[[#This Row],[VEHIDCODE]],ENGLISH_ITEMS[VEHIDCODE],0))</f>
        <v>1</v>
      </c>
    </row>
    <row r="390" spans="1:16">
      <c r="A390" s="2" t="s">
        <v>415</v>
      </c>
      <c r="B390" t="str">
        <f>_xlfn.TEXTAFTER(TRACK_TYPES[[#This Row],[VEHIDCODE]],"_")</f>
        <v>USA_Pennsylvania_Railroad_FF_1</v>
      </c>
      <c r="C390" t="s">
        <v>731</v>
      </c>
      <c r="D390" t="s">
        <v>951</v>
      </c>
      <c r="E390">
        <v>6063</v>
      </c>
      <c r="F390" t="b">
        <f>AND(CONTROL[[#This Row],[IS_WAGON_OR_COACH]]=TRUE,OR(RIGHT(CONTROL[[#This Row],[VEHIDCODE]],7)="Powered",RIGHT(CONTROL[[#This Row],[VEHIDCODE]],9)="Unpowered"))</f>
        <v>0</v>
      </c>
      <c r="G390" s="2" t="b">
        <f>OR(ISNUMBER(SEARCH("wagon_",CONTROL[[#This Row],[VEHIDCODE]])),ISNUMBER(SEARCH("coach_",CONTROL[[#This Row],[VEHIDCODE]])))</f>
        <v>0</v>
      </c>
      <c r="H390" t="str">
        <f>"item_"&amp;CONTROL[[#This Row],[VEHIDCODE]]</f>
        <v>item_electric_USA_Pennsylvania_Railroad_FF_1</v>
      </c>
      <c r="I390" t="str">
        <f>"str_"&amp;CONTROL[[#This Row],[VEHIDCODE]]</f>
        <v>str_electric_USA_Pennsylvania_Railroad_FF_1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t="b">
        <f>ISNUMBER(_xlfn.XMATCH(CONTROL[[#This Row],[VEHIDCODE]],ENGLISH_ITEMS[VEHIDCODE],0))</f>
        <v>1</v>
      </c>
    </row>
    <row r="391" spans="1:16">
      <c r="A391" s="2" t="s">
        <v>416</v>
      </c>
      <c r="B391" t="str">
        <f>_xlfn.TEXTAFTER(TRACK_TYPES[[#This Row],[VEHIDCODE]],"_")</f>
        <v>Austria_OBB_1161</v>
      </c>
      <c r="C391" t="s">
        <v>731</v>
      </c>
      <c r="D391" t="s">
        <v>951</v>
      </c>
      <c r="E391">
        <v>6007</v>
      </c>
      <c r="F391" t="b">
        <f>AND(CONTROL[[#This Row],[IS_WAGON_OR_COACH]]=TRUE,OR(RIGHT(CONTROL[[#This Row],[VEHIDCODE]],7)="Powered",RIGHT(CONTROL[[#This Row],[VEHIDCODE]],9)="Unpowered"))</f>
        <v>0</v>
      </c>
      <c r="G391" s="2" t="b">
        <f>OR(ISNUMBER(SEARCH("wagon_",CONTROL[[#This Row],[VEHIDCODE]])),ISNUMBER(SEARCH("coach_",CONTROL[[#This Row],[VEHIDCODE]])))</f>
        <v>0</v>
      </c>
      <c r="H391" t="str">
        <f>"item_"&amp;CONTROL[[#This Row],[VEHIDCODE]]</f>
        <v>item_electric_Austria_OBB_1161</v>
      </c>
      <c r="I391" t="str">
        <f>"str_"&amp;CONTROL[[#This Row],[VEHIDCODE]]</f>
        <v>str_electric_Austria_OBB_1161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t="b">
        <f>ISNUMBER(_xlfn.XMATCH(CONTROL[[#This Row],[VEHIDCODE]],ENGLISH_ITEMS[VEHIDCODE],0))</f>
        <v>1</v>
      </c>
    </row>
    <row r="392" spans="1:16">
      <c r="A392" s="2" t="s">
        <v>417</v>
      </c>
      <c r="B392" t="str">
        <f>_xlfn.TEXTAFTER(TRACK_TYPES[[#This Row],[VEHIDCODE]],"_")</f>
        <v>Germany_DB_169</v>
      </c>
      <c r="C392" t="s">
        <v>731</v>
      </c>
      <c r="D392" t="s">
        <v>951</v>
      </c>
      <c r="E392">
        <v>6009</v>
      </c>
      <c r="F392" t="b">
        <f>AND(CONTROL[[#This Row],[IS_WAGON_OR_COACH]]=TRUE,OR(RIGHT(CONTROL[[#This Row],[VEHIDCODE]],7)="Powered",RIGHT(CONTROL[[#This Row],[VEHIDCODE]],9)="Unpowered"))</f>
        <v>0</v>
      </c>
      <c r="G392" s="2" t="b">
        <f>OR(ISNUMBER(SEARCH("wagon_",CONTROL[[#This Row],[VEHIDCODE]])),ISNUMBER(SEARCH("coach_",CONTROL[[#This Row],[VEHIDCODE]])))</f>
        <v>0</v>
      </c>
      <c r="H392" t="str">
        <f>"item_"&amp;CONTROL[[#This Row],[VEHIDCODE]]</f>
        <v>item_electric_Germany_DB_169</v>
      </c>
      <c r="I392" t="str">
        <f>"str_"&amp;CONTROL[[#This Row],[VEHIDCODE]]</f>
        <v>str_electric_Germany_DB_169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t="b">
        <f>ISNUMBER(_xlfn.XMATCH(CONTROL[[#This Row],[VEHIDCODE]],ENGLISH_ITEMS[VEHIDCODE],0))</f>
        <v>1</v>
      </c>
    </row>
    <row r="393" spans="1:16">
      <c r="A393" s="2" t="s">
        <v>418</v>
      </c>
      <c r="B393" t="str">
        <f>_xlfn.TEXTAFTER(TRACK_TYPES[[#This Row],[VEHIDCODE]],"_")</f>
        <v>Norway_NSB_EL10</v>
      </c>
      <c r="C393" t="s">
        <v>731</v>
      </c>
      <c r="D393" t="s">
        <v>951</v>
      </c>
      <c r="E393">
        <v>6011</v>
      </c>
      <c r="F393" t="b">
        <f>AND(CONTROL[[#This Row],[IS_WAGON_OR_COACH]]=TRUE,OR(RIGHT(CONTROL[[#This Row],[VEHIDCODE]],7)="Powered",RIGHT(CONTROL[[#This Row],[VEHIDCODE]],9)="Unpowered"))</f>
        <v>0</v>
      </c>
      <c r="G393" s="2" t="b">
        <f>OR(ISNUMBER(SEARCH("wagon_",CONTROL[[#This Row],[VEHIDCODE]])),ISNUMBER(SEARCH("coach_",CONTROL[[#This Row],[VEHIDCODE]])))</f>
        <v>0</v>
      </c>
      <c r="H393" t="str">
        <f>"item_"&amp;CONTROL[[#This Row],[VEHIDCODE]]</f>
        <v>item_electric_Norway_NSB_EL10</v>
      </c>
      <c r="I393" t="str">
        <f>"str_"&amp;CONTROL[[#This Row],[VEHIDCODE]]</f>
        <v>str_electric_Norway_NSB_EL10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t="b">
        <f>ISNUMBER(_xlfn.XMATCH(CONTROL[[#This Row],[VEHIDCODE]],ENGLISH_ITEMS[VEHIDCODE],0))</f>
        <v>1</v>
      </c>
    </row>
    <row r="394" spans="1:16">
      <c r="A394" s="2" t="s">
        <v>419</v>
      </c>
      <c r="B394" t="str">
        <f>_xlfn.TEXTAFTER(TRACK_TYPES[[#This Row],[VEHIDCODE]],"_")</f>
        <v>Germany_DB_104</v>
      </c>
      <c r="C394" t="s">
        <v>731</v>
      </c>
      <c r="D394" t="s">
        <v>951</v>
      </c>
      <c r="E394">
        <v>6012</v>
      </c>
      <c r="F394" t="b">
        <f>AND(CONTROL[[#This Row],[IS_WAGON_OR_COACH]]=TRUE,OR(RIGHT(CONTROL[[#This Row],[VEHIDCODE]],7)="Powered",RIGHT(CONTROL[[#This Row],[VEHIDCODE]],9)="Unpowered"))</f>
        <v>0</v>
      </c>
      <c r="G394" s="2" t="b">
        <f>OR(ISNUMBER(SEARCH("wagon_",CONTROL[[#This Row],[VEHIDCODE]])),ISNUMBER(SEARCH("coach_",CONTROL[[#This Row],[VEHIDCODE]])))</f>
        <v>0</v>
      </c>
      <c r="H394" t="str">
        <f>"item_"&amp;CONTROL[[#This Row],[VEHIDCODE]]</f>
        <v>item_electric_Germany_DB_104</v>
      </c>
      <c r="I394" t="str">
        <f>"str_"&amp;CONTROL[[#This Row],[VEHIDCODE]]</f>
        <v>str_electric_Germany_DB_104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t="b">
        <f>ISNUMBER(_xlfn.XMATCH(CONTROL[[#This Row],[VEHIDCODE]],ENGLISH_ITEMS[VEHIDCODE],0))</f>
        <v>1</v>
      </c>
    </row>
    <row r="395" spans="1:16">
      <c r="A395" s="2" t="s">
        <v>420</v>
      </c>
      <c r="B395" t="str">
        <f>_xlfn.TEXTAFTER(TRACK_TYPES[[#This Row],[VEHIDCODE]],"_")</f>
        <v>USA_Pennsylvania_Railroad_GG_1</v>
      </c>
      <c r="C395" t="s">
        <v>731</v>
      </c>
      <c r="D395" t="s">
        <v>951</v>
      </c>
      <c r="E395">
        <v>6065</v>
      </c>
      <c r="F395" t="b">
        <f>AND(CONTROL[[#This Row],[IS_WAGON_OR_COACH]]=TRUE,OR(RIGHT(CONTROL[[#This Row],[VEHIDCODE]],7)="Powered",RIGHT(CONTROL[[#This Row],[VEHIDCODE]],9)="Unpowered"))</f>
        <v>0</v>
      </c>
      <c r="G395" s="2" t="b">
        <f>OR(ISNUMBER(SEARCH("wagon_",CONTROL[[#This Row],[VEHIDCODE]])),ISNUMBER(SEARCH("coach_",CONTROL[[#This Row],[VEHIDCODE]])))</f>
        <v>0</v>
      </c>
      <c r="H395" t="str">
        <f>"item_"&amp;CONTROL[[#This Row],[VEHIDCODE]]</f>
        <v>item_electric_USA_Pennsylvania_Railroad_GG_1</v>
      </c>
      <c r="I395" t="str">
        <f>"str_"&amp;CONTROL[[#This Row],[VEHIDCODE]]</f>
        <v>str_electric_USA_Pennsylvania_Railroad_GG_1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t="b">
        <f>ISNUMBER(_xlfn.XMATCH(CONTROL[[#This Row],[VEHIDCODE]],ENGLISH_ITEMS[VEHIDCODE],0))</f>
        <v>1</v>
      </c>
    </row>
    <row r="396" spans="1:16">
      <c r="A396" s="2" t="s">
        <v>421</v>
      </c>
      <c r="B396" t="str">
        <f>_xlfn.TEXTAFTER(TRACK_TYPES[[#This Row],[VEHIDCODE]],"_")</f>
        <v>Austria_OBB_1020_Crocodile</v>
      </c>
      <c r="C396" t="s">
        <v>731</v>
      </c>
      <c r="D396" t="s">
        <v>951</v>
      </c>
      <c r="E396">
        <v>6017</v>
      </c>
      <c r="F396" t="b">
        <f>AND(CONTROL[[#This Row],[IS_WAGON_OR_COACH]]=TRUE,OR(RIGHT(CONTROL[[#This Row],[VEHIDCODE]],7)="Powered",RIGHT(CONTROL[[#This Row],[VEHIDCODE]],9)="Unpowered"))</f>
        <v>0</v>
      </c>
      <c r="G396" s="2" t="b">
        <f>OR(ISNUMBER(SEARCH("wagon_",CONTROL[[#This Row],[VEHIDCODE]])),ISNUMBER(SEARCH("coach_",CONTROL[[#This Row],[VEHIDCODE]])))</f>
        <v>0</v>
      </c>
      <c r="H396" t="str">
        <f>"item_"&amp;CONTROL[[#This Row],[VEHIDCODE]]</f>
        <v>item_electric_Austria_OBB_1020_Crocodile</v>
      </c>
      <c r="I396" t="str">
        <f>"str_"&amp;CONTROL[[#This Row],[VEHIDCODE]]</f>
        <v>str_electric_Austria_OBB_1020_Crocodile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t="b">
        <f>ISNUMBER(_xlfn.XMATCH(CONTROL[[#This Row],[VEHIDCODE]],ENGLISH_ITEMS[VEHIDCODE],0))</f>
        <v>1</v>
      </c>
    </row>
    <row r="397" spans="1:16">
      <c r="A397" s="2" t="s">
        <v>422</v>
      </c>
      <c r="B397" t="str">
        <f>_xlfn.TEXTAFTER(TRACK_TYPES[[#This Row],[VEHIDCODE]],"_")</f>
        <v>Germany_DB_1031</v>
      </c>
      <c r="C397" t="s">
        <v>731</v>
      </c>
      <c r="D397" t="s">
        <v>951</v>
      </c>
      <c r="E397">
        <v>6032</v>
      </c>
      <c r="F397" t="b">
        <f>AND(CONTROL[[#This Row],[IS_WAGON_OR_COACH]]=TRUE,OR(RIGHT(CONTROL[[#This Row],[VEHIDCODE]],7)="Powered",RIGHT(CONTROL[[#This Row],[VEHIDCODE]],9)="Unpowered"))</f>
        <v>0</v>
      </c>
      <c r="G397" s="2" t="b">
        <f>OR(ISNUMBER(SEARCH("wagon_",CONTROL[[#This Row],[VEHIDCODE]])),ISNUMBER(SEARCH("coach_",CONTROL[[#This Row],[VEHIDCODE]])))</f>
        <v>0</v>
      </c>
      <c r="H397" t="str">
        <f>"item_"&amp;CONTROL[[#This Row],[VEHIDCODE]]</f>
        <v>item_electric_Germany_DB_1031</v>
      </c>
      <c r="I397" t="str">
        <f>"str_"&amp;CONTROL[[#This Row],[VEHIDCODE]]</f>
        <v>str_electric_Germany_DB_1031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t="b">
        <f>ISNUMBER(_xlfn.XMATCH(CONTROL[[#This Row],[VEHIDCODE]],ENGLISH_ITEMS[VEHIDCODE],0))</f>
        <v>1</v>
      </c>
    </row>
    <row r="398" spans="1:16">
      <c r="A398" s="2" t="s">
        <v>423</v>
      </c>
      <c r="B398" t="str">
        <f>_xlfn.TEXTAFTER(TRACK_TYPES[[#This Row],[VEHIDCODE]],"_")</f>
        <v>Germany_DB_E_919</v>
      </c>
      <c r="C398" t="s">
        <v>731</v>
      </c>
      <c r="D398" t="s">
        <v>951</v>
      </c>
      <c r="E398">
        <v>6074</v>
      </c>
      <c r="F398" t="b">
        <f>AND(CONTROL[[#This Row],[IS_WAGON_OR_COACH]]=TRUE,OR(RIGHT(CONTROL[[#This Row],[VEHIDCODE]],7)="Powered",RIGHT(CONTROL[[#This Row],[VEHIDCODE]],9)="Unpowered"))</f>
        <v>0</v>
      </c>
      <c r="G398" s="2" t="b">
        <f>OR(ISNUMBER(SEARCH("wagon_",CONTROL[[#This Row],[VEHIDCODE]])),ISNUMBER(SEARCH("coach_",CONTROL[[#This Row],[VEHIDCODE]])))</f>
        <v>0</v>
      </c>
      <c r="H398" t="str">
        <f>"item_"&amp;CONTROL[[#This Row],[VEHIDCODE]]</f>
        <v>item_electric_Germany_DB_E_919</v>
      </c>
      <c r="I398" t="str">
        <f>"str_"&amp;CONTROL[[#This Row],[VEHIDCODE]]</f>
        <v>str_electric_Germany_DB_E_919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t="b">
        <f>ISNUMBER(_xlfn.XMATCH(CONTROL[[#This Row],[VEHIDCODE]],ENGLISH_ITEMS[VEHIDCODE],0))</f>
        <v>1</v>
      </c>
    </row>
    <row r="399" spans="1:16">
      <c r="A399" s="2" t="s">
        <v>424</v>
      </c>
      <c r="B399" t="str">
        <f>_xlfn.TEXTAFTER(TRACK_TYPES[[#This Row],[VEHIDCODE]],"_")</f>
        <v>Switzerland_BLS_Ce_4_4</v>
      </c>
      <c r="C399" t="s">
        <v>731</v>
      </c>
      <c r="D399" t="s">
        <v>951</v>
      </c>
      <c r="E399">
        <v>6023</v>
      </c>
      <c r="F399" t="b">
        <f>AND(CONTROL[[#This Row],[IS_WAGON_OR_COACH]]=TRUE,OR(RIGHT(CONTROL[[#This Row],[VEHIDCODE]],7)="Powered",RIGHT(CONTROL[[#This Row],[VEHIDCODE]],9)="Unpowered"))</f>
        <v>0</v>
      </c>
      <c r="G399" s="2" t="b">
        <f>OR(ISNUMBER(SEARCH("wagon_",CONTROL[[#This Row],[VEHIDCODE]])),ISNUMBER(SEARCH("coach_",CONTROL[[#This Row],[VEHIDCODE]])))</f>
        <v>0</v>
      </c>
      <c r="H399" t="str">
        <f>"item_"&amp;CONTROL[[#This Row],[VEHIDCODE]]</f>
        <v>item_electric_Switzerland_BLS_Ce_4_4</v>
      </c>
      <c r="I399" t="str">
        <f>"str_"&amp;CONTROL[[#This Row],[VEHIDCODE]]</f>
        <v>str_electric_Switzerland_BLS_Ce_4_4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t="b">
        <f>ISNUMBER(_xlfn.XMATCH(CONTROL[[#This Row],[VEHIDCODE]],ENGLISH_ITEMS[VEHIDCODE],0))</f>
        <v>1</v>
      </c>
    </row>
    <row r="400" spans="1:16">
      <c r="A400" s="2" t="s">
        <v>425</v>
      </c>
      <c r="B400" t="str">
        <f>_xlfn.TEXTAFTER(TRACK_TYPES[[#This Row],[VEHIDCODE]],"_")</f>
        <v>Switzerland_SBB_Ae_6_6</v>
      </c>
      <c r="C400" t="s">
        <v>731</v>
      </c>
      <c r="D400" t="s">
        <v>951</v>
      </c>
      <c r="E400">
        <v>6024</v>
      </c>
      <c r="F400" t="b">
        <f>AND(CONTROL[[#This Row],[IS_WAGON_OR_COACH]]=TRUE,OR(RIGHT(CONTROL[[#This Row],[VEHIDCODE]],7)="Powered",RIGHT(CONTROL[[#This Row],[VEHIDCODE]],9)="Unpowered"))</f>
        <v>0</v>
      </c>
      <c r="G400" s="2" t="b">
        <f>OR(ISNUMBER(SEARCH("wagon_",CONTROL[[#This Row],[VEHIDCODE]])),ISNUMBER(SEARCH("coach_",CONTROL[[#This Row],[VEHIDCODE]])))</f>
        <v>0</v>
      </c>
      <c r="H400" t="str">
        <f>"item_"&amp;CONTROL[[#This Row],[VEHIDCODE]]</f>
        <v>item_electric_Switzerland_SBB_Ae_6_6</v>
      </c>
      <c r="I400" t="str">
        <f>"str_"&amp;CONTROL[[#This Row],[VEHIDCODE]]</f>
        <v>str_electric_Switzerland_SBB_Ae_6_6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t="b">
        <f>ISNUMBER(_xlfn.XMATCH(CONTROL[[#This Row],[VEHIDCODE]],ENGLISH_ITEMS[VEHIDCODE],0))</f>
        <v>1</v>
      </c>
    </row>
    <row r="401" spans="1:16">
      <c r="A401" s="2" t="s">
        <v>426</v>
      </c>
      <c r="B401" t="str">
        <f>_xlfn.TEXTAFTER(TRACK_TYPES[[#This Row],[VEHIDCODE]],"_")</f>
        <v>Switzerland_SBB_Re460_Lok_2000</v>
      </c>
      <c r="C401" t="s">
        <v>731</v>
      </c>
      <c r="D401" t="s">
        <v>951</v>
      </c>
      <c r="E401">
        <v>6045</v>
      </c>
      <c r="F401" t="b">
        <f>AND(CONTROL[[#This Row],[IS_WAGON_OR_COACH]]=TRUE,OR(RIGHT(CONTROL[[#This Row],[VEHIDCODE]],7)="Powered",RIGHT(CONTROL[[#This Row],[VEHIDCODE]],9)="Unpowered"))</f>
        <v>0</v>
      </c>
      <c r="G401" s="2" t="b">
        <f>OR(ISNUMBER(SEARCH("wagon_",CONTROL[[#This Row],[VEHIDCODE]])),ISNUMBER(SEARCH("coach_",CONTROL[[#This Row],[VEHIDCODE]])))</f>
        <v>0</v>
      </c>
      <c r="H401" t="str">
        <f>"item_"&amp;CONTROL[[#This Row],[VEHIDCODE]]</f>
        <v>item_electric_Switzerland_SBB_Re460_Lok_2000</v>
      </c>
      <c r="I401" t="str">
        <f>"str_"&amp;CONTROL[[#This Row],[VEHIDCODE]]</f>
        <v>str_electric_Switzerland_SBB_Re460_Lok_2000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t="b">
        <f>ISNUMBER(_xlfn.XMATCH(CONTROL[[#This Row],[VEHIDCODE]],ENGLISH_ITEMS[VEHIDCODE],0))</f>
        <v>1</v>
      </c>
    </row>
    <row r="402" spans="1:16">
      <c r="A402" s="2" t="s">
        <v>427</v>
      </c>
      <c r="B402" t="str">
        <f>_xlfn.TEXTAFTER(TRACK_TYPES[[#This Row],[VEHIDCODE]],"_")</f>
        <v>Switzerland_SBB_Eem_923</v>
      </c>
      <c r="C402" t="s">
        <v>731</v>
      </c>
      <c r="D402" t="s">
        <v>951</v>
      </c>
      <c r="E402">
        <v>6059</v>
      </c>
      <c r="F402" t="b">
        <f>AND(CONTROL[[#This Row],[IS_WAGON_OR_COACH]]=TRUE,OR(RIGHT(CONTROL[[#This Row],[VEHIDCODE]],7)="Powered",RIGHT(CONTROL[[#This Row],[VEHIDCODE]],9)="Unpowered"))</f>
        <v>0</v>
      </c>
      <c r="G402" s="2" t="b">
        <f>OR(ISNUMBER(SEARCH("wagon_",CONTROL[[#This Row],[VEHIDCODE]])),ISNUMBER(SEARCH("coach_",CONTROL[[#This Row],[VEHIDCODE]])))</f>
        <v>0</v>
      </c>
      <c r="H402" t="str">
        <f>"item_"&amp;CONTROL[[#This Row],[VEHIDCODE]]</f>
        <v>item_electric_Switzerland_SBB_Eem_923</v>
      </c>
      <c r="I402" t="str">
        <f>"str_"&amp;CONTROL[[#This Row],[VEHIDCODE]]</f>
        <v>str_electric_Switzerland_SBB_Eem_923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t="b">
        <f>ISNUMBER(_xlfn.XMATCH(CONTROL[[#This Row],[VEHIDCODE]],ENGLISH_ITEMS[VEHIDCODE],0))</f>
        <v>1</v>
      </c>
    </row>
    <row r="403" spans="1:16">
      <c r="A403" s="2" t="s">
        <v>428</v>
      </c>
      <c r="B403" t="str">
        <f>_xlfn.TEXTAFTER(TRACK_TYPES[[#This Row],[VEHIDCODE]],"_")</f>
        <v>Austria_OBB_1044</v>
      </c>
      <c r="C403" t="s">
        <v>731</v>
      </c>
      <c r="D403" t="s">
        <v>951</v>
      </c>
      <c r="E403">
        <v>6035</v>
      </c>
      <c r="F403" t="b">
        <f>AND(CONTROL[[#This Row],[IS_WAGON_OR_COACH]]=TRUE,OR(RIGHT(CONTROL[[#This Row],[VEHIDCODE]],7)="Powered",RIGHT(CONTROL[[#This Row],[VEHIDCODE]],9)="Unpowered"))</f>
        <v>0</v>
      </c>
      <c r="G403" s="2" t="b">
        <f>OR(ISNUMBER(SEARCH("wagon_",CONTROL[[#This Row],[VEHIDCODE]])),ISNUMBER(SEARCH("coach_",CONTROL[[#This Row],[VEHIDCODE]])))</f>
        <v>0</v>
      </c>
      <c r="H403" t="str">
        <f>"item_"&amp;CONTROL[[#This Row],[VEHIDCODE]]</f>
        <v>item_electric_Austria_OBB_1044</v>
      </c>
      <c r="I403" t="str">
        <f>"str_"&amp;CONTROL[[#This Row],[VEHIDCODE]]</f>
        <v>str_electric_Austria_OBB_1044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t="b">
        <f>ISNUMBER(_xlfn.XMATCH(CONTROL[[#This Row],[VEHIDCODE]],ENGLISH_ITEMS[VEHIDCODE],0))</f>
        <v>1</v>
      </c>
    </row>
    <row r="404" spans="1:16">
      <c r="A404" s="2" t="s">
        <v>429</v>
      </c>
      <c r="B404" t="str">
        <f>_xlfn.TEXTAFTER(TRACK_TYPES[[#This Row],[VEHIDCODE]],"_")</f>
        <v>Austria_OBB_1063</v>
      </c>
      <c r="C404" t="s">
        <v>731</v>
      </c>
      <c r="D404" t="s">
        <v>951</v>
      </c>
      <c r="E404">
        <v>6039</v>
      </c>
      <c r="F404" t="b">
        <f>AND(CONTROL[[#This Row],[IS_WAGON_OR_COACH]]=TRUE,OR(RIGHT(CONTROL[[#This Row],[VEHIDCODE]],7)="Powered",RIGHT(CONTROL[[#This Row],[VEHIDCODE]],9)="Unpowered"))</f>
        <v>0</v>
      </c>
      <c r="G404" s="2" t="b">
        <f>OR(ISNUMBER(SEARCH("wagon_",CONTROL[[#This Row],[VEHIDCODE]])),ISNUMBER(SEARCH("coach_",CONTROL[[#This Row],[VEHIDCODE]])))</f>
        <v>0</v>
      </c>
      <c r="H404" t="str">
        <f>"item_"&amp;CONTROL[[#This Row],[VEHIDCODE]]</f>
        <v>item_electric_Austria_OBB_1063</v>
      </c>
      <c r="I404" t="str">
        <f>"str_"&amp;CONTROL[[#This Row],[VEHIDCODE]]</f>
        <v>str_electric_Austria_OBB_1063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t="b">
        <f>ISNUMBER(_xlfn.XMATCH(CONTROL[[#This Row],[VEHIDCODE]],ENGLISH_ITEMS[VEHIDCODE],0))</f>
        <v>1</v>
      </c>
    </row>
    <row r="405" spans="1:16">
      <c r="A405" s="2" t="s">
        <v>430</v>
      </c>
      <c r="B405" t="str">
        <f>_xlfn.TEXTAFTER(TRACK_TYPES[[#This Row],[VEHIDCODE]],"_")</f>
        <v>Sweden_MTAB_Dm3</v>
      </c>
      <c r="C405" t="s">
        <v>731</v>
      </c>
      <c r="D405" t="s">
        <v>951</v>
      </c>
      <c r="E405">
        <v>6020</v>
      </c>
      <c r="F405" t="b">
        <f>AND(CONTROL[[#This Row],[IS_WAGON_OR_COACH]]=TRUE,OR(RIGHT(CONTROL[[#This Row],[VEHIDCODE]],7)="Powered",RIGHT(CONTROL[[#This Row],[VEHIDCODE]],9)="Unpowered"))</f>
        <v>0</v>
      </c>
      <c r="G405" s="2" t="b">
        <f>OR(ISNUMBER(SEARCH("wagon_",CONTROL[[#This Row],[VEHIDCODE]])),ISNUMBER(SEARCH("coach_",CONTROL[[#This Row],[VEHIDCODE]])))</f>
        <v>0</v>
      </c>
      <c r="H405" t="str">
        <f>"item_"&amp;CONTROL[[#This Row],[VEHIDCODE]]</f>
        <v>item_electric_Sweden_MTAB_Dm3</v>
      </c>
      <c r="I405" t="str">
        <f>"str_"&amp;CONTROL[[#This Row],[VEHIDCODE]]</f>
        <v>str_electric_Sweden_MTAB_Dm3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t="b">
        <f>ISNUMBER(_xlfn.XMATCH(CONTROL[[#This Row],[VEHIDCODE]],ENGLISH_ITEMS[VEHIDCODE],0))</f>
        <v>1</v>
      </c>
    </row>
    <row r="406" spans="1:16">
      <c r="A406" s="2" t="s">
        <v>431</v>
      </c>
      <c r="B406" t="str">
        <f>_xlfn.TEXTAFTER(TRACK_TYPES[[#This Row],[VEHIDCODE]],"_")</f>
        <v>Sweden_MTAB_IORE</v>
      </c>
      <c r="C406" t="s">
        <v>731</v>
      </c>
      <c r="D406" t="s">
        <v>951</v>
      </c>
      <c r="E406">
        <v>6054</v>
      </c>
      <c r="F406" t="b">
        <f>AND(CONTROL[[#This Row],[IS_WAGON_OR_COACH]]=TRUE,OR(RIGHT(CONTROL[[#This Row],[VEHIDCODE]],7)="Powered",RIGHT(CONTROL[[#This Row],[VEHIDCODE]],9)="Unpowered"))</f>
        <v>0</v>
      </c>
      <c r="G406" s="2" t="b">
        <f>OR(ISNUMBER(SEARCH("wagon_",CONTROL[[#This Row],[VEHIDCODE]])),ISNUMBER(SEARCH("coach_",CONTROL[[#This Row],[VEHIDCODE]])))</f>
        <v>0</v>
      </c>
      <c r="H406" t="str">
        <f>"item_"&amp;CONTROL[[#This Row],[VEHIDCODE]]</f>
        <v>item_electric_Sweden_MTAB_IORE</v>
      </c>
      <c r="I406" t="str">
        <f>"str_"&amp;CONTROL[[#This Row],[VEHIDCODE]]</f>
        <v>str_electric_Sweden_MTAB_IORE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t="b">
        <f>ISNUMBER(_xlfn.XMATCH(CONTROL[[#This Row],[VEHIDCODE]],ENGLISH_ITEMS[VEHIDCODE],0))</f>
        <v>1</v>
      </c>
    </row>
    <row r="407" spans="1:16">
      <c r="A407" s="2" t="s">
        <v>432</v>
      </c>
      <c r="B407" t="str">
        <f>_xlfn.TEXTAFTER(TRACK_TYPES[[#This Row],[VEHIDCODE]],"_")</f>
        <v>Sweden_SJ_O_Class</v>
      </c>
      <c r="C407" t="s">
        <v>731</v>
      </c>
      <c r="D407" t="s">
        <v>951</v>
      </c>
      <c r="E407">
        <v>6069</v>
      </c>
      <c r="F407" t="b">
        <f>AND(CONTROL[[#This Row],[IS_WAGON_OR_COACH]]=TRUE,OR(RIGHT(CONTROL[[#This Row],[VEHIDCODE]],7)="Powered",RIGHT(CONTROL[[#This Row],[VEHIDCODE]],9)="Unpowered"))</f>
        <v>0</v>
      </c>
      <c r="G407" s="2" t="b">
        <f>OR(ISNUMBER(SEARCH("wagon_",CONTROL[[#This Row],[VEHIDCODE]])),ISNUMBER(SEARCH("coach_",CONTROL[[#This Row],[VEHIDCODE]])))</f>
        <v>0</v>
      </c>
      <c r="H407" t="str">
        <f>"item_"&amp;CONTROL[[#This Row],[VEHIDCODE]]</f>
        <v>item_electric_Sweden_SJ_O_Class</v>
      </c>
      <c r="I407" t="str">
        <f>"str_"&amp;CONTROL[[#This Row],[VEHIDCODE]]</f>
        <v>str_electric_Sweden_SJ_O_Class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t="b">
        <f>ISNUMBER(_xlfn.XMATCH(CONTROL[[#This Row],[VEHIDCODE]],ENGLISH_ITEMS[VEHIDCODE],0))</f>
        <v>1</v>
      </c>
    </row>
    <row r="408" spans="1:16">
      <c r="A408" s="2" t="s">
        <v>433</v>
      </c>
      <c r="B408" t="str">
        <f>_xlfn.TEXTAFTER(TRACK_TYPES[[#This Row],[VEHIDCODE]],"_")</f>
        <v>Sweden_SJ_F_Class</v>
      </c>
      <c r="C408" t="s">
        <v>731</v>
      </c>
      <c r="D408" t="s">
        <v>951</v>
      </c>
      <c r="E408">
        <v>6076</v>
      </c>
      <c r="F408" t="b">
        <f>AND(CONTROL[[#This Row],[IS_WAGON_OR_COACH]]=TRUE,OR(RIGHT(CONTROL[[#This Row],[VEHIDCODE]],7)="Powered",RIGHT(CONTROL[[#This Row],[VEHIDCODE]],9)="Unpowered"))</f>
        <v>0</v>
      </c>
      <c r="G408" s="2" t="b">
        <f>OR(ISNUMBER(SEARCH("wagon_",CONTROL[[#This Row],[VEHIDCODE]])),ISNUMBER(SEARCH("coach_",CONTROL[[#This Row],[VEHIDCODE]])))</f>
        <v>0</v>
      </c>
      <c r="H408" t="str">
        <f>"item_"&amp;CONTROL[[#This Row],[VEHIDCODE]]</f>
        <v>item_electric_Sweden_SJ_F_Class</v>
      </c>
      <c r="I408" t="str">
        <f>"str_"&amp;CONTROL[[#This Row],[VEHIDCODE]]</f>
        <v>str_electric_Sweden_SJ_F_Class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t="b">
        <f>ISNUMBER(_xlfn.XMATCH(CONTROL[[#This Row],[VEHIDCODE]],ENGLISH_ITEMS[VEHIDCODE],0))</f>
        <v>1</v>
      </c>
    </row>
    <row r="409" spans="1:16">
      <c r="A409" s="2" t="s">
        <v>434</v>
      </c>
      <c r="B409" t="str">
        <f>_xlfn.TEXTAFTER(TRACK_TYPES[[#This Row],[VEHIDCODE]],"_")</f>
        <v>Norway_NSB_EL17</v>
      </c>
      <c r="C409" t="s">
        <v>731</v>
      </c>
      <c r="D409" t="s">
        <v>951</v>
      </c>
      <c r="E409">
        <v>6129</v>
      </c>
      <c r="F409" t="b">
        <f>AND(CONTROL[[#This Row],[IS_WAGON_OR_COACH]]=TRUE,OR(RIGHT(CONTROL[[#This Row],[VEHIDCODE]],7)="Powered",RIGHT(CONTROL[[#This Row],[VEHIDCODE]],9)="Unpowered"))</f>
        <v>0</v>
      </c>
      <c r="G409" s="2" t="b">
        <f>OR(ISNUMBER(SEARCH("wagon_",CONTROL[[#This Row],[VEHIDCODE]])),ISNUMBER(SEARCH("coach_",CONTROL[[#This Row],[VEHIDCODE]])))</f>
        <v>0</v>
      </c>
      <c r="H409" t="str">
        <f>"item_"&amp;CONTROL[[#This Row],[VEHIDCODE]]</f>
        <v>item_electric_Norway_NSB_EL17</v>
      </c>
      <c r="I409" t="str">
        <f>"str_"&amp;CONTROL[[#This Row],[VEHIDCODE]]</f>
        <v>str_electric_Norway_NSB_EL17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t="b">
        <f>ISNUMBER(_xlfn.XMATCH(CONTROL[[#This Row],[VEHIDCODE]],ENGLISH_ITEMS[VEHIDCODE],0))</f>
        <v>1</v>
      </c>
    </row>
    <row r="410" spans="1:16">
      <c r="A410" s="2" t="s">
        <v>435</v>
      </c>
      <c r="B410" t="str">
        <f>_xlfn.TEXTAFTER(TRACK_TYPES[[#This Row],[VEHIDCODE]],"_")</f>
        <v>Germany_Prussian_ES_6</v>
      </c>
      <c r="C410" t="s">
        <v>731</v>
      </c>
      <c r="D410" t="s">
        <v>951</v>
      </c>
      <c r="E410">
        <v>6135</v>
      </c>
      <c r="F410" t="b">
        <f>AND(CONTROL[[#This Row],[IS_WAGON_OR_COACH]]=TRUE,OR(RIGHT(CONTROL[[#This Row],[VEHIDCODE]],7)="Powered",RIGHT(CONTROL[[#This Row],[VEHIDCODE]],9)="Unpowered"))</f>
        <v>0</v>
      </c>
      <c r="G410" s="2" t="b">
        <f>OR(ISNUMBER(SEARCH("wagon_",CONTROL[[#This Row],[VEHIDCODE]])),ISNUMBER(SEARCH("coach_",CONTROL[[#This Row],[VEHIDCODE]])))</f>
        <v>0</v>
      </c>
      <c r="H410" t="str">
        <f>"item_"&amp;CONTROL[[#This Row],[VEHIDCODE]]</f>
        <v>item_electric_Germany_Prussian_ES_6</v>
      </c>
      <c r="I410" t="str">
        <f>"str_"&amp;CONTROL[[#This Row],[VEHIDCODE]]</f>
        <v>str_electric_Germany_Prussian_ES_6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t="b">
        <f>ISNUMBER(_xlfn.XMATCH(CONTROL[[#This Row],[VEHIDCODE]],ENGLISH_ITEMS[VEHIDCODE],0))</f>
        <v>1</v>
      </c>
    </row>
    <row r="411" spans="1:16">
      <c r="A411" s="2" t="s">
        <v>436</v>
      </c>
      <c r="B411" t="str">
        <f>_xlfn.TEXTAFTER(TRACK_TYPES[[#This Row],[VEHIDCODE]],"_")</f>
        <v>USA_Virginian_Railway_EL_2B</v>
      </c>
      <c r="C411" t="s">
        <v>731</v>
      </c>
      <c r="D411" t="s">
        <v>951</v>
      </c>
      <c r="E411">
        <v>6098</v>
      </c>
      <c r="F411" t="b">
        <f>AND(CONTROL[[#This Row],[IS_WAGON_OR_COACH]]=TRUE,OR(RIGHT(CONTROL[[#This Row],[VEHIDCODE]],7)="Powered",RIGHT(CONTROL[[#This Row],[VEHIDCODE]],9)="Unpowered"))</f>
        <v>0</v>
      </c>
      <c r="G411" s="2" t="b">
        <f>OR(ISNUMBER(SEARCH("wagon_",CONTROL[[#This Row],[VEHIDCODE]])),ISNUMBER(SEARCH("coach_",CONTROL[[#This Row],[VEHIDCODE]])))</f>
        <v>0</v>
      </c>
      <c r="H411" t="str">
        <f>"item_"&amp;CONTROL[[#This Row],[VEHIDCODE]]</f>
        <v>item_electric_USA_Virginian_Railway_EL_2B</v>
      </c>
      <c r="I411" t="str">
        <f>"str_"&amp;CONTROL[[#This Row],[VEHIDCODE]]</f>
        <v>str_electric_USA_Virginian_Railway_EL_2B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t="b">
        <f>ISNUMBER(_xlfn.XMATCH(CONTROL[[#This Row],[VEHIDCODE]],ENGLISH_ITEMS[VEHIDCODE],0))</f>
        <v>1</v>
      </c>
    </row>
    <row r="412" spans="1:16">
      <c r="A412" s="2" t="s">
        <v>437</v>
      </c>
      <c r="B412" t="str">
        <f>_xlfn.TEXTAFTER(TRACK_TYPES[[#This Row],[VEHIDCODE]],"_")</f>
        <v>USA_GN_W_1</v>
      </c>
      <c r="C412" t="s">
        <v>731</v>
      </c>
      <c r="D412" t="s">
        <v>951</v>
      </c>
      <c r="E412">
        <v>6097</v>
      </c>
      <c r="F412" t="b">
        <f>AND(CONTROL[[#This Row],[IS_WAGON_OR_COACH]]=TRUE,OR(RIGHT(CONTROL[[#This Row],[VEHIDCODE]],7)="Powered",RIGHT(CONTROL[[#This Row],[VEHIDCODE]],9)="Unpowered"))</f>
        <v>0</v>
      </c>
      <c r="G412" s="2" t="b">
        <f>OR(ISNUMBER(SEARCH("wagon_",CONTROL[[#This Row],[VEHIDCODE]])),ISNUMBER(SEARCH("coach_",CONTROL[[#This Row],[VEHIDCODE]])))</f>
        <v>0</v>
      </c>
      <c r="H412" t="str">
        <f>"item_"&amp;CONTROL[[#This Row],[VEHIDCODE]]</f>
        <v>item_electric_USA_GN_W_1</v>
      </c>
      <c r="I412" t="str">
        <f>"str_"&amp;CONTROL[[#This Row],[VEHIDCODE]]</f>
        <v>str_electric_USA_GN_W_1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t="b">
        <f>ISNUMBER(_xlfn.XMATCH(CONTROL[[#This Row],[VEHIDCODE]],ENGLISH_ITEMS[VEHIDCODE],0))</f>
        <v>1</v>
      </c>
    </row>
    <row r="413" spans="1:16">
      <c r="A413" s="2" t="s">
        <v>438</v>
      </c>
      <c r="B413" t="str">
        <f>_xlfn.TEXTAFTER(TRACK_TYPES[[#This Row],[VEHIDCODE]],"_")</f>
        <v>USA_PRR_B1</v>
      </c>
      <c r="C413" t="s">
        <v>731</v>
      </c>
      <c r="D413" t="s">
        <v>951</v>
      </c>
      <c r="E413">
        <v>6121</v>
      </c>
      <c r="F413" t="b">
        <f>AND(CONTROL[[#This Row],[IS_WAGON_OR_COACH]]=TRUE,OR(RIGHT(CONTROL[[#This Row],[VEHIDCODE]],7)="Powered",RIGHT(CONTROL[[#This Row],[VEHIDCODE]],9)="Unpowered"))</f>
        <v>0</v>
      </c>
      <c r="G413" s="2" t="b">
        <f>OR(ISNUMBER(SEARCH("wagon_",CONTROL[[#This Row],[VEHIDCODE]])),ISNUMBER(SEARCH("coach_",CONTROL[[#This Row],[VEHIDCODE]])))</f>
        <v>0</v>
      </c>
      <c r="H413" t="str">
        <f>"item_"&amp;CONTROL[[#This Row],[VEHIDCODE]]</f>
        <v>item_electric_USA_PRR_B1</v>
      </c>
      <c r="I413" t="str">
        <f>"str_"&amp;CONTROL[[#This Row],[VEHIDCODE]]</f>
        <v>str_electric_USA_PRR_B1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t="b">
        <f>ISNUMBER(_xlfn.XMATCH(CONTROL[[#This Row],[VEHIDCODE]],ENGLISH_ITEMS[VEHIDCODE],0))</f>
        <v>1</v>
      </c>
    </row>
    <row r="414" spans="1:16">
      <c r="A414" s="2" t="s">
        <v>439</v>
      </c>
      <c r="B414" t="str">
        <f>_xlfn.TEXTAFTER(TRACK_TYPES[[#This Row],[VEHIDCODE]],"_")</f>
        <v>Australia_Aurizon_E40_AG_V1</v>
      </c>
      <c r="C414" t="s">
        <v>731</v>
      </c>
      <c r="D414" t="s">
        <v>951</v>
      </c>
      <c r="E414">
        <v>6118</v>
      </c>
      <c r="F414" t="b">
        <f>AND(CONTROL[[#This Row],[IS_WAGON_OR_COACH]]=TRUE,OR(RIGHT(CONTROL[[#This Row],[VEHIDCODE]],7)="Powered",RIGHT(CONTROL[[#This Row],[VEHIDCODE]],9)="Unpowered"))</f>
        <v>0</v>
      </c>
      <c r="G414" s="2" t="b">
        <f>OR(ISNUMBER(SEARCH("wagon_",CONTROL[[#This Row],[VEHIDCODE]])),ISNUMBER(SEARCH("coach_",CONTROL[[#This Row],[VEHIDCODE]])))</f>
        <v>0</v>
      </c>
      <c r="H414" t="str">
        <f>"item_"&amp;CONTROL[[#This Row],[VEHIDCODE]]</f>
        <v>item_electric_Australia_Aurizon_E40_AG_V1</v>
      </c>
      <c r="I414" t="str">
        <f>"str_"&amp;CONTROL[[#This Row],[VEHIDCODE]]</f>
        <v>str_electric_Australia_Aurizon_E40_AG_V1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t="b">
        <f>ISNUMBER(_xlfn.XMATCH(CONTROL[[#This Row],[VEHIDCODE]],ENGLISH_ITEMS[VEHIDCODE],0))</f>
        <v>1</v>
      </c>
    </row>
    <row r="415" spans="1:16">
      <c r="A415" s="2" t="s">
        <v>440</v>
      </c>
      <c r="B415" t="str">
        <f>_xlfn.TEXTAFTER(TRACK_TYPES[[#This Row],[VEHIDCODE]],"_")</f>
        <v>China_China_Railways_SS6</v>
      </c>
      <c r="C415" t="s">
        <v>731</v>
      </c>
      <c r="D415" t="s">
        <v>951</v>
      </c>
      <c r="E415">
        <v>6044</v>
      </c>
      <c r="F415" t="b">
        <f>AND(CONTROL[[#This Row],[IS_WAGON_OR_COACH]]=TRUE,OR(RIGHT(CONTROL[[#This Row],[VEHIDCODE]],7)="Powered",RIGHT(CONTROL[[#This Row],[VEHIDCODE]],9)="Unpowered"))</f>
        <v>0</v>
      </c>
      <c r="G415" s="2" t="b">
        <f>OR(ISNUMBER(SEARCH("wagon_",CONTROL[[#This Row],[VEHIDCODE]])),ISNUMBER(SEARCH("coach_",CONTROL[[#This Row],[VEHIDCODE]])))</f>
        <v>0</v>
      </c>
      <c r="H415" t="str">
        <f>"item_"&amp;CONTROL[[#This Row],[VEHIDCODE]]</f>
        <v>item_electric_China_China_Railways_SS6</v>
      </c>
      <c r="I415" t="str">
        <f>"str_"&amp;CONTROL[[#This Row],[VEHIDCODE]]</f>
        <v>str_electric_China_China_Railways_SS6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t="b">
        <f>ISNUMBER(_xlfn.XMATCH(CONTROL[[#This Row],[VEHIDCODE]],ENGLISH_ITEMS[VEHIDCODE],0))</f>
        <v>1</v>
      </c>
    </row>
    <row r="416" spans="1:16">
      <c r="A416" s="2" t="s">
        <v>441</v>
      </c>
      <c r="B416" t="str">
        <f>_xlfn.TEXTAFTER(TRACK_TYPES[[#This Row],[VEHIDCODE]],"_")</f>
        <v>China_China_Railways_SS3</v>
      </c>
      <c r="C416" t="s">
        <v>731</v>
      </c>
      <c r="D416" t="s">
        <v>951</v>
      </c>
      <c r="E416">
        <v>6127</v>
      </c>
      <c r="F416" t="b">
        <f>AND(CONTROL[[#This Row],[IS_WAGON_OR_COACH]]=TRUE,OR(RIGHT(CONTROL[[#This Row],[VEHIDCODE]],7)="Powered",RIGHT(CONTROL[[#This Row],[VEHIDCODE]],9)="Unpowered"))</f>
        <v>0</v>
      </c>
      <c r="G416" s="2" t="b">
        <f>OR(ISNUMBER(SEARCH("wagon_",CONTROL[[#This Row],[VEHIDCODE]])),ISNUMBER(SEARCH("coach_",CONTROL[[#This Row],[VEHIDCODE]])))</f>
        <v>0</v>
      </c>
      <c r="H416" t="str">
        <f>"item_"&amp;CONTROL[[#This Row],[VEHIDCODE]]</f>
        <v>item_electric_China_China_Railways_SS3</v>
      </c>
      <c r="I416" t="str">
        <f>"str_"&amp;CONTROL[[#This Row],[VEHIDCODE]]</f>
        <v>str_electric_China_China_Railways_SS3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t="b">
        <f>ISNUMBER(_xlfn.XMATCH(CONTROL[[#This Row],[VEHIDCODE]],ENGLISH_ITEMS[VEHIDCODE],0))</f>
        <v>1</v>
      </c>
    </row>
    <row r="417" spans="1:16">
      <c r="A417" s="2" t="s">
        <v>442</v>
      </c>
      <c r="B417" t="str">
        <f>_xlfn.TEXTAFTER(TRACK_TYPES[[#This Row],[VEHIDCODE]],"_")</f>
        <v>China_China_Railways_HXD3</v>
      </c>
      <c r="C417" t="s">
        <v>731</v>
      </c>
      <c r="D417" t="s">
        <v>951</v>
      </c>
      <c r="E417">
        <v>6058</v>
      </c>
      <c r="F417" t="b">
        <f>AND(CONTROL[[#This Row],[IS_WAGON_OR_COACH]]=TRUE,OR(RIGHT(CONTROL[[#This Row],[VEHIDCODE]],7)="Powered",RIGHT(CONTROL[[#This Row],[VEHIDCODE]],9)="Unpowered"))</f>
        <v>0</v>
      </c>
      <c r="G417" s="2" t="b">
        <f>OR(ISNUMBER(SEARCH("wagon_",CONTROL[[#This Row],[VEHIDCODE]])),ISNUMBER(SEARCH("coach_",CONTROL[[#This Row],[VEHIDCODE]])))</f>
        <v>0</v>
      </c>
      <c r="H417" t="str">
        <f>"item_"&amp;CONTROL[[#This Row],[VEHIDCODE]]</f>
        <v>item_electric_China_China_Railways_HXD3</v>
      </c>
      <c r="I417" t="str">
        <f>"str_"&amp;CONTROL[[#This Row],[VEHIDCODE]]</f>
        <v>str_electric_China_China_Railways_HXD3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t="b">
        <f>ISNUMBER(_xlfn.XMATCH(CONTROL[[#This Row],[VEHIDCODE]],ENGLISH_ITEMS[VEHIDCODE],0))</f>
        <v>1</v>
      </c>
    </row>
    <row r="418" spans="1:16">
      <c r="A418" s="2" t="s">
        <v>443</v>
      </c>
      <c r="B418" t="str">
        <f>_xlfn.TEXTAFTER(TRACK_TYPES[[#This Row],[VEHIDCODE]],"_")</f>
        <v>China_China_Railways_HXD1D</v>
      </c>
      <c r="C418" t="s">
        <v>731</v>
      </c>
      <c r="D418" t="s">
        <v>951</v>
      </c>
      <c r="E418">
        <v>6093</v>
      </c>
      <c r="F418" t="b">
        <f>AND(CONTROL[[#This Row],[IS_WAGON_OR_COACH]]=TRUE,OR(RIGHT(CONTROL[[#This Row],[VEHIDCODE]],7)="Powered",RIGHT(CONTROL[[#This Row],[VEHIDCODE]],9)="Unpowered"))</f>
        <v>0</v>
      </c>
      <c r="G418" s="2" t="b">
        <f>OR(ISNUMBER(SEARCH("wagon_",CONTROL[[#This Row],[VEHIDCODE]])),ISNUMBER(SEARCH("coach_",CONTROL[[#This Row],[VEHIDCODE]])))</f>
        <v>0</v>
      </c>
      <c r="H418" t="str">
        <f>"item_"&amp;CONTROL[[#This Row],[VEHIDCODE]]</f>
        <v>item_electric_China_China_Railways_HXD1D</v>
      </c>
      <c r="I418" t="str">
        <f>"str_"&amp;CONTROL[[#This Row],[VEHIDCODE]]</f>
        <v>str_electric_China_China_Railways_HXD1D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t="b">
        <f>ISNUMBER(_xlfn.XMATCH(CONTROL[[#This Row],[VEHIDCODE]],ENGLISH_ITEMS[VEHIDCODE],0))</f>
        <v>1</v>
      </c>
    </row>
    <row r="419" spans="1:16">
      <c r="A419" s="2" t="s">
        <v>444</v>
      </c>
      <c r="B419" t="str">
        <f>_xlfn.TEXTAFTER(TRACK_TYPES[[#This Row],[VEHIDCODE]],"_")</f>
        <v>China_China_Railways_6K</v>
      </c>
      <c r="C419" t="s">
        <v>731</v>
      </c>
      <c r="D419" t="s">
        <v>951</v>
      </c>
      <c r="E419">
        <v>6042</v>
      </c>
      <c r="F419" t="b">
        <f>AND(CONTROL[[#This Row],[IS_WAGON_OR_COACH]]=TRUE,OR(RIGHT(CONTROL[[#This Row],[VEHIDCODE]],7)="Powered",RIGHT(CONTROL[[#This Row],[VEHIDCODE]],9)="Unpowered"))</f>
        <v>0</v>
      </c>
      <c r="G419" s="2" t="b">
        <f>OR(ISNUMBER(SEARCH("wagon_",CONTROL[[#This Row],[VEHIDCODE]])),ISNUMBER(SEARCH("coach_",CONTROL[[#This Row],[VEHIDCODE]])))</f>
        <v>0</v>
      </c>
      <c r="H419" t="str">
        <f>"item_"&amp;CONTROL[[#This Row],[VEHIDCODE]]</f>
        <v>item_electric_China_China_Railways_6K</v>
      </c>
      <c r="I419" t="str">
        <f>"str_"&amp;CONTROL[[#This Row],[VEHIDCODE]]</f>
        <v>str_electric_China_China_Railways_6K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t="b">
        <f>ISNUMBER(_xlfn.XMATCH(CONTROL[[#This Row],[VEHIDCODE]],ENGLISH_ITEMS[VEHIDCODE],0))</f>
        <v>1</v>
      </c>
    </row>
    <row r="420" spans="1:16">
      <c r="A420" s="2" t="s">
        <v>445</v>
      </c>
      <c r="B420" t="str">
        <f>_xlfn.TEXTAFTER(TRACK_TYPES[[#This Row],[VEHIDCODE]],"_")</f>
        <v>USA_PRR_E44</v>
      </c>
      <c r="C420" t="s">
        <v>731</v>
      </c>
      <c r="D420" t="s">
        <v>951</v>
      </c>
      <c r="E420">
        <v>6101</v>
      </c>
      <c r="F420" t="b">
        <f>AND(CONTROL[[#This Row],[IS_WAGON_OR_COACH]]=TRUE,OR(RIGHT(CONTROL[[#This Row],[VEHIDCODE]],7)="Powered",RIGHT(CONTROL[[#This Row],[VEHIDCODE]],9)="Unpowered"))</f>
        <v>0</v>
      </c>
      <c r="G420" s="2" t="b">
        <f>OR(ISNUMBER(SEARCH("wagon_",CONTROL[[#This Row],[VEHIDCODE]])),ISNUMBER(SEARCH("coach_",CONTROL[[#This Row],[VEHIDCODE]])))</f>
        <v>0</v>
      </c>
      <c r="H420" t="str">
        <f>"item_"&amp;CONTROL[[#This Row],[VEHIDCODE]]</f>
        <v>item_electric_USA_PRR_E44</v>
      </c>
      <c r="I420" t="str">
        <f>"str_"&amp;CONTROL[[#This Row],[VEHIDCODE]]</f>
        <v>str_electric_USA_PRR_E44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t="b">
        <f>ISNUMBER(_xlfn.XMATCH(CONTROL[[#This Row],[VEHIDCODE]],ENGLISH_ITEMS[VEHIDCODE],0))</f>
        <v>1</v>
      </c>
    </row>
    <row r="421" spans="1:16">
      <c r="A421" s="2" t="s">
        <v>446</v>
      </c>
      <c r="B421" t="str">
        <f>_xlfn.TEXTAFTER(TRACK_TYPES[[#This Row],[VEHIDCODE]],"_")</f>
        <v>Croatia_HZ_1141</v>
      </c>
      <c r="C421" t="s">
        <v>731</v>
      </c>
      <c r="D421" t="s">
        <v>951</v>
      </c>
      <c r="E421">
        <v>6031</v>
      </c>
      <c r="F421" t="b">
        <f>AND(CONTROL[[#This Row],[IS_WAGON_OR_COACH]]=TRUE,OR(RIGHT(CONTROL[[#This Row],[VEHIDCODE]],7)="Powered",RIGHT(CONTROL[[#This Row],[VEHIDCODE]],9)="Unpowered"))</f>
        <v>0</v>
      </c>
      <c r="G421" s="2" t="b">
        <f>OR(ISNUMBER(SEARCH("wagon_",CONTROL[[#This Row],[VEHIDCODE]])),ISNUMBER(SEARCH("coach_",CONTROL[[#This Row],[VEHIDCODE]])))</f>
        <v>0</v>
      </c>
      <c r="H421" t="str">
        <f>"item_"&amp;CONTROL[[#This Row],[VEHIDCODE]]</f>
        <v>item_electric_Croatia_HZ_1141</v>
      </c>
      <c r="I421" t="str">
        <f>"str_"&amp;CONTROL[[#This Row],[VEHIDCODE]]</f>
        <v>str_electric_Croatia_HZ_1141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t="b">
        <f>ISNUMBER(_xlfn.XMATCH(CONTROL[[#This Row],[VEHIDCODE]],ENGLISH_ITEMS[VEHIDCODE],0))</f>
        <v>1</v>
      </c>
    </row>
    <row r="422" spans="1:16">
      <c r="A422" s="2" t="s">
        <v>447</v>
      </c>
      <c r="B422" t="str">
        <f>_xlfn.TEXTAFTER(TRACK_TYPES[[#This Row],[VEHIDCODE]],"_")</f>
        <v>Hungary_MAV_Class_V43</v>
      </c>
      <c r="C422" t="s">
        <v>731</v>
      </c>
      <c r="D422" t="s">
        <v>951</v>
      </c>
      <c r="E422">
        <v>6085</v>
      </c>
      <c r="F422" t="b">
        <f>AND(CONTROL[[#This Row],[IS_WAGON_OR_COACH]]=TRUE,OR(RIGHT(CONTROL[[#This Row],[VEHIDCODE]],7)="Powered",RIGHT(CONTROL[[#This Row],[VEHIDCODE]],9)="Unpowered"))</f>
        <v>0</v>
      </c>
      <c r="G422" s="2" t="b">
        <f>OR(ISNUMBER(SEARCH("wagon_",CONTROL[[#This Row],[VEHIDCODE]])),ISNUMBER(SEARCH("coach_",CONTROL[[#This Row],[VEHIDCODE]])))</f>
        <v>0</v>
      </c>
      <c r="H422" t="str">
        <f>"item_"&amp;CONTROL[[#This Row],[VEHIDCODE]]</f>
        <v>item_electric_Hungary_MAV_Class_V43</v>
      </c>
      <c r="I422" t="str">
        <f>"str_"&amp;CONTROL[[#This Row],[VEHIDCODE]]</f>
        <v>str_electric_Hungary_MAV_Class_V43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t="b">
        <f>ISNUMBER(_xlfn.XMATCH(CONTROL[[#This Row],[VEHIDCODE]],ENGLISH_ITEMS[VEHIDCODE],0))</f>
        <v>1</v>
      </c>
    </row>
    <row r="423" spans="1:16">
      <c r="A423" s="2" t="s">
        <v>448</v>
      </c>
      <c r="B423" t="str">
        <f>_xlfn.TEXTAFTER(TRACK_TYPES[[#This Row],[VEHIDCODE]],"_")</f>
        <v>Portugal_CP_2500</v>
      </c>
      <c r="C423" t="s">
        <v>731</v>
      </c>
      <c r="D423" t="s">
        <v>951</v>
      </c>
      <c r="E423">
        <v>6025</v>
      </c>
      <c r="F423" t="b">
        <f>AND(CONTROL[[#This Row],[IS_WAGON_OR_COACH]]=TRUE,OR(RIGHT(CONTROL[[#This Row],[VEHIDCODE]],7)="Powered",RIGHT(CONTROL[[#This Row],[VEHIDCODE]],9)="Unpowered"))</f>
        <v>0</v>
      </c>
      <c r="G423" s="2" t="b">
        <f>OR(ISNUMBER(SEARCH("wagon_",CONTROL[[#This Row],[VEHIDCODE]])),ISNUMBER(SEARCH("coach_",CONTROL[[#This Row],[VEHIDCODE]])))</f>
        <v>0</v>
      </c>
      <c r="H423" t="str">
        <f>"item_"&amp;CONTROL[[#This Row],[VEHIDCODE]]</f>
        <v>item_electric_Portugal_CP_2500</v>
      </c>
      <c r="I423" t="str">
        <f>"str_"&amp;CONTROL[[#This Row],[VEHIDCODE]]</f>
        <v>str_electric_Portugal_CP_2500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t="b">
        <f>ISNUMBER(_xlfn.XMATCH(CONTROL[[#This Row],[VEHIDCODE]],ENGLISH_ITEMS[VEHIDCODE],0))</f>
        <v>1</v>
      </c>
    </row>
    <row r="424" spans="1:16">
      <c r="A424" s="2" t="s">
        <v>449</v>
      </c>
      <c r="B424" t="str">
        <f>_xlfn.TEXTAFTER(TRACK_TYPES[[#This Row],[VEHIDCODE]],"_")</f>
        <v>Portugal_CP_2600</v>
      </c>
      <c r="C424" t="s">
        <v>731</v>
      </c>
      <c r="D424" t="s">
        <v>951</v>
      </c>
      <c r="E424">
        <v>6103</v>
      </c>
      <c r="F424" t="b">
        <f>AND(CONTROL[[#This Row],[IS_WAGON_OR_COACH]]=TRUE,OR(RIGHT(CONTROL[[#This Row],[VEHIDCODE]],7)="Powered",RIGHT(CONTROL[[#This Row],[VEHIDCODE]],9)="Unpowered"))</f>
        <v>0</v>
      </c>
      <c r="G424" s="2" t="b">
        <f>OR(ISNUMBER(SEARCH("wagon_",CONTROL[[#This Row],[VEHIDCODE]])),ISNUMBER(SEARCH("coach_",CONTROL[[#This Row],[VEHIDCODE]])))</f>
        <v>0</v>
      </c>
      <c r="H424" t="str">
        <f>"item_"&amp;CONTROL[[#This Row],[VEHIDCODE]]</f>
        <v>item_electric_Portugal_CP_2600</v>
      </c>
      <c r="I424" t="str">
        <f>"str_"&amp;CONTROL[[#This Row],[VEHIDCODE]]</f>
        <v>str_electric_Portugal_CP_2600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t="b">
        <f>ISNUMBER(_xlfn.XMATCH(CONTROL[[#This Row],[VEHIDCODE]],ENGLISH_ITEMS[VEHIDCODE],0))</f>
        <v>1</v>
      </c>
    </row>
    <row r="425" spans="1:16">
      <c r="A425" s="2" t="s">
        <v>450</v>
      </c>
      <c r="B425" t="str">
        <f>_xlfn.TEXTAFTER(TRACK_TYPES[[#This Row],[VEHIDCODE]],"_")</f>
        <v>South_Africa_SAR_20E</v>
      </c>
      <c r="C425" t="s">
        <v>731</v>
      </c>
      <c r="D425" t="s">
        <v>951</v>
      </c>
      <c r="E425">
        <v>6094</v>
      </c>
      <c r="F425" t="b">
        <f>AND(CONTROL[[#This Row],[IS_WAGON_OR_COACH]]=TRUE,OR(RIGHT(CONTROL[[#This Row],[VEHIDCODE]],7)="Powered",RIGHT(CONTROL[[#This Row],[VEHIDCODE]],9)="Unpowered"))</f>
        <v>0</v>
      </c>
      <c r="G425" s="2" t="b">
        <f>OR(ISNUMBER(SEARCH("wagon_",CONTROL[[#This Row],[VEHIDCODE]])),ISNUMBER(SEARCH("coach_",CONTROL[[#This Row],[VEHIDCODE]])))</f>
        <v>0</v>
      </c>
      <c r="H425" t="str">
        <f>"item_"&amp;CONTROL[[#This Row],[VEHIDCODE]]</f>
        <v>item_electric_South_Africa_SAR_20E</v>
      </c>
      <c r="I425" t="str">
        <f>"str_"&amp;CONTROL[[#This Row],[VEHIDCODE]]</f>
        <v>str_electric_South_Africa_SAR_20E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t="b">
        <f>ISNUMBER(_xlfn.XMATCH(CONTROL[[#This Row],[VEHIDCODE]],ENGLISH_ITEMS[VEHIDCODE],0))</f>
        <v>1</v>
      </c>
    </row>
    <row r="426" spans="1:16">
      <c r="A426" s="2" t="s">
        <v>451</v>
      </c>
      <c r="B426" t="str">
        <f>_xlfn.TEXTAFTER(TRACK_TYPES[[#This Row],[VEHIDCODE]],"_")</f>
        <v>South_Korea_Korail_8200</v>
      </c>
      <c r="C426" t="s">
        <v>731</v>
      </c>
      <c r="D426" t="s">
        <v>951</v>
      </c>
      <c r="E426">
        <v>6055</v>
      </c>
      <c r="F426" t="b">
        <f>AND(CONTROL[[#This Row],[IS_WAGON_OR_COACH]]=TRUE,OR(RIGHT(CONTROL[[#This Row],[VEHIDCODE]],7)="Powered",RIGHT(CONTROL[[#This Row],[VEHIDCODE]],9)="Unpowered"))</f>
        <v>0</v>
      </c>
      <c r="G426" s="2" t="b">
        <f>OR(ISNUMBER(SEARCH("wagon_",CONTROL[[#This Row],[VEHIDCODE]])),ISNUMBER(SEARCH("coach_",CONTROL[[#This Row],[VEHIDCODE]])))</f>
        <v>0</v>
      </c>
      <c r="H426" t="str">
        <f>"item_"&amp;CONTROL[[#This Row],[VEHIDCODE]]</f>
        <v>item_electric_South_Korea_Korail_8200</v>
      </c>
      <c r="I426" t="str">
        <f>"str_"&amp;CONTROL[[#This Row],[VEHIDCODE]]</f>
        <v>str_electric_South_Korea_Korail_8200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t="b">
        <f>ISNUMBER(_xlfn.XMATCH(CONTROL[[#This Row],[VEHIDCODE]],ENGLISH_ITEMS[VEHIDCODE],0))</f>
        <v>1</v>
      </c>
    </row>
    <row r="427" spans="1:16">
      <c r="A427" s="2" t="s">
        <v>452</v>
      </c>
      <c r="B427" t="str">
        <f>_xlfn.TEXTAFTER(TRACK_TYPES[[#This Row],[VEHIDCODE]],"_")</f>
        <v>Ukraine_UZ_DS3</v>
      </c>
      <c r="C427" t="s">
        <v>731</v>
      </c>
      <c r="D427" t="s">
        <v>951</v>
      </c>
      <c r="E427">
        <v>6056</v>
      </c>
      <c r="F427" t="b">
        <f>AND(CONTROL[[#This Row],[IS_WAGON_OR_COACH]]=TRUE,OR(RIGHT(CONTROL[[#This Row],[VEHIDCODE]],7)="Powered",RIGHT(CONTROL[[#This Row],[VEHIDCODE]],9)="Unpowered"))</f>
        <v>0</v>
      </c>
      <c r="G427" s="2" t="b">
        <f>OR(ISNUMBER(SEARCH("wagon_",CONTROL[[#This Row],[VEHIDCODE]])),ISNUMBER(SEARCH("coach_",CONTROL[[#This Row],[VEHIDCODE]])))</f>
        <v>0</v>
      </c>
      <c r="H427" t="str">
        <f>"item_"&amp;CONTROL[[#This Row],[VEHIDCODE]]</f>
        <v>item_electric_Ukraine_UZ_DS3</v>
      </c>
      <c r="I427" t="str">
        <f>"str_"&amp;CONTROL[[#This Row],[VEHIDCODE]]</f>
        <v>str_electric_Ukraine_UZ_DS3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t="b">
        <f>ISNUMBER(_xlfn.XMATCH(CONTROL[[#This Row],[VEHIDCODE]],ENGLISH_ITEMS[VEHIDCODE],0))</f>
        <v>1</v>
      </c>
    </row>
    <row r="428" spans="1:16">
      <c r="A428" s="2" t="s">
        <v>453</v>
      </c>
      <c r="B428" t="str">
        <f>_xlfn.TEXTAFTER(TRACK_TYPES[[#This Row],[VEHIDCODE]],"_")</f>
        <v>Czech_Republic_CD_S499</v>
      </c>
      <c r="C428" t="s">
        <v>731</v>
      </c>
      <c r="D428" t="s">
        <v>951</v>
      </c>
      <c r="E428">
        <v>6089</v>
      </c>
      <c r="F428" t="b">
        <f>AND(CONTROL[[#This Row],[IS_WAGON_OR_COACH]]=TRUE,OR(RIGHT(CONTROL[[#This Row],[VEHIDCODE]],7)="Powered",RIGHT(CONTROL[[#This Row],[VEHIDCODE]],9)="Unpowered"))</f>
        <v>0</v>
      </c>
      <c r="G428" s="2" t="b">
        <f>OR(ISNUMBER(SEARCH("wagon_",CONTROL[[#This Row],[VEHIDCODE]])),ISNUMBER(SEARCH("coach_",CONTROL[[#This Row],[VEHIDCODE]])))</f>
        <v>0</v>
      </c>
      <c r="H428" t="str">
        <f>"item_"&amp;CONTROL[[#This Row],[VEHIDCODE]]</f>
        <v>item_electric_Czech_Republic_CD_S499</v>
      </c>
      <c r="I428" t="str">
        <f>"str_"&amp;CONTROL[[#This Row],[VEHIDCODE]]</f>
        <v>str_electric_Czech_Republic_CD_S499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t="b">
        <f>ISNUMBER(_xlfn.XMATCH(CONTROL[[#This Row],[VEHIDCODE]],ENGLISH_ITEMS[VEHIDCODE],0))</f>
        <v>1</v>
      </c>
    </row>
    <row r="429" spans="1:16">
      <c r="A429" s="2" t="s">
        <v>454</v>
      </c>
      <c r="B429" t="str">
        <f>_xlfn.TEXTAFTER(TRACK_TYPES[[#This Row],[VEHIDCODE]],"_")</f>
        <v>Italy_FS_E491</v>
      </c>
      <c r="C429" t="s">
        <v>731</v>
      </c>
      <c r="D429" t="s">
        <v>951</v>
      </c>
      <c r="E429">
        <v>6115</v>
      </c>
      <c r="F429" t="b">
        <f>AND(CONTROL[[#This Row],[IS_WAGON_OR_COACH]]=TRUE,OR(RIGHT(CONTROL[[#This Row],[VEHIDCODE]],7)="Powered",RIGHT(CONTROL[[#This Row],[VEHIDCODE]],9)="Unpowered"))</f>
        <v>0</v>
      </c>
      <c r="G429" s="2" t="b">
        <f>OR(ISNUMBER(SEARCH("wagon_",CONTROL[[#This Row],[VEHIDCODE]])),ISNUMBER(SEARCH("coach_",CONTROL[[#This Row],[VEHIDCODE]])))</f>
        <v>0</v>
      </c>
      <c r="H429" t="str">
        <f>"item_"&amp;CONTROL[[#This Row],[VEHIDCODE]]</f>
        <v>item_electric_Italy_FS_E491</v>
      </c>
      <c r="I429" t="str">
        <f>"str_"&amp;CONTROL[[#This Row],[VEHIDCODE]]</f>
        <v>str_electric_Italy_FS_E491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t="b">
        <f>ISNUMBER(_xlfn.XMATCH(CONTROL[[#This Row],[VEHIDCODE]],ENGLISH_ITEMS[VEHIDCODE],0))</f>
        <v>1</v>
      </c>
    </row>
    <row r="430" spans="1:16">
      <c r="A430" s="2" t="s">
        <v>455</v>
      </c>
      <c r="B430" t="str">
        <f>_xlfn.TEXTAFTER(TRACK_TYPES[[#This Row],[VEHIDCODE]],"_")</f>
        <v>Macedonia_Macedonian_Railways_462</v>
      </c>
      <c r="C430" t="s">
        <v>731</v>
      </c>
      <c r="D430" t="s">
        <v>951</v>
      </c>
      <c r="E430">
        <v>6105</v>
      </c>
      <c r="F430" t="b">
        <f>AND(CONTROL[[#This Row],[IS_WAGON_OR_COACH]]=TRUE,OR(RIGHT(CONTROL[[#This Row],[VEHIDCODE]],7)="Powered",RIGHT(CONTROL[[#This Row],[VEHIDCODE]],9)="Unpowered"))</f>
        <v>0</v>
      </c>
      <c r="G430" s="2" t="b">
        <f>OR(ISNUMBER(SEARCH("wagon_",CONTROL[[#This Row],[VEHIDCODE]])),ISNUMBER(SEARCH("coach_",CONTROL[[#This Row],[VEHIDCODE]])))</f>
        <v>0</v>
      </c>
      <c r="H430" t="str">
        <f>"item_"&amp;CONTROL[[#This Row],[VEHIDCODE]]</f>
        <v>item_electric_Macedonia_Macedonian_Railways_462</v>
      </c>
      <c r="I430" t="str">
        <f>"str_"&amp;CONTROL[[#This Row],[VEHIDCODE]]</f>
        <v>str_electric_Macedonia_Macedonian_Railways_462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t="b">
        <f>ISNUMBER(_xlfn.XMATCH(CONTROL[[#This Row],[VEHIDCODE]],ENGLISH_ITEMS[VEHIDCODE],0))</f>
        <v>1</v>
      </c>
    </row>
    <row r="431" spans="1:16">
      <c r="A431" s="2" t="s">
        <v>456</v>
      </c>
      <c r="B431" t="str">
        <f>_xlfn.TEXTAFTER(TRACK_TYPES[[#This Row],[VEHIDCODE]],"_")</f>
        <v>Morocco_ONCFM_E_500</v>
      </c>
      <c r="C431" t="s">
        <v>731</v>
      </c>
      <c r="D431" t="s">
        <v>951</v>
      </c>
      <c r="E431">
        <v>6122</v>
      </c>
      <c r="F431" t="b">
        <f>AND(CONTROL[[#This Row],[IS_WAGON_OR_COACH]]=TRUE,OR(RIGHT(CONTROL[[#This Row],[VEHIDCODE]],7)="Powered",RIGHT(CONTROL[[#This Row],[VEHIDCODE]],9)="Unpowered"))</f>
        <v>0</v>
      </c>
      <c r="G431" s="2" t="b">
        <f>OR(ISNUMBER(SEARCH("wagon_",CONTROL[[#This Row],[VEHIDCODE]])),ISNUMBER(SEARCH("coach_",CONTROL[[#This Row],[VEHIDCODE]])))</f>
        <v>0</v>
      </c>
      <c r="H431" t="str">
        <f>"item_"&amp;CONTROL[[#This Row],[VEHIDCODE]]</f>
        <v>item_electric_Morocco_ONCFM_E_500</v>
      </c>
      <c r="I431" t="str">
        <f>"str_"&amp;CONTROL[[#This Row],[VEHIDCODE]]</f>
        <v>str_electric_Morocco_ONCFM_E_500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t="b">
        <f>ISNUMBER(_xlfn.XMATCH(CONTROL[[#This Row],[VEHIDCODE]],ENGLISH_ITEMS[VEHIDCODE],0))</f>
        <v>1</v>
      </c>
    </row>
    <row r="432" spans="1:16">
      <c r="A432" s="2" t="s">
        <v>457</v>
      </c>
      <c r="B432" t="str">
        <f>_xlfn.TEXTAFTER(TRACK_TYPES[[#This Row],[VEHIDCODE]],"_")</f>
        <v>UK_BR_85</v>
      </c>
      <c r="C432" t="s">
        <v>731</v>
      </c>
      <c r="D432" t="s">
        <v>951</v>
      </c>
      <c r="E432">
        <v>6123</v>
      </c>
      <c r="F432" t="b">
        <f>AND(CONTROL[[#This Row],[IS_WAGON_OR_COACH]]=TRUE,OR(RIGHT(CONTROL[[#This Row],[VEHIDCODE]],7)="Powered",RIGHT(CONTROL[[#This Row],[VEHIDCODE]],9)="Unpowered"))</f>
        <v>0</v>
      </c>
      <c r="G432" s="2" t="b">
        <f>OR(ISNUMBER(SEARCH("wagon_",CONTROL[[#This Row],[VEHIDCODE]])),ISNUMBER(SEARCH("coach_",CONTROL[[#This Row],[VEHIDCODE]])))</f>
        <v>0</v>
      </c>
      <c r="H432" t="str">
        <f>"item_"&amp;CONTROL[[#This Row],[VEHIDCODE]]</f>
        <v>item_electric_UK_BR_85</v>
      </c>
      <c r="I432" t="str">
        <f>"str_"&amp;CONTROL[[#This Row],[VEHIDCODE]]</f>
        <v>str_electric_UK_BR_85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t="b">
        <f>ISNUMBER(_xlfn.XMATCH(CONTROL[[#This Row],[VEHIDCODE]],ENGLISH_ITEMS[VEHIDCODE],0))</f>
        <v>1</v>
      </c>
    </row>
    <row r="433" spans="1:16">
      <c r="A433" s="2" t="s">
        <v>458</v>
      </c>
      <c r="B433" t="str">
        <f>_xlfn.TEXTAFTER(TRACK_TYPES[[#This Row],[VEHIDCODE]],"_")</f>
        <v>Mexico_FNM_GE_E60C_2</v>
      </c>
      <c r="C433" t="s">
        <v>731</v>
      </c>
      <c r="D433" t="s">
        <v>951</v>
      </c>
      <c r="E433">
        <v>6109</v>
      </c>
      <c r="F433" t="b">
        <f>AND(CONTROL[[#This Row],[IS_WAGON_OR_COACH]]=TRUE,OR(RIGHT(CONTROL[[#This Row],[VEHIDCODE]],7)="Powered",RIGHT(CONTROL[[#This Row],[VEHIDCODE]],9)="Unpowered"))</f>
        <v>0</v>
      </c>
      <c r="G433" s="2" t="b">
        <f>OR(ISNUMBER(SEARCH("wagon_",CONTROL[[#This Row],[VEHIDCODE]])),ISNUMBER(SEARCH("coach_",CONTROL[[#This Row],[VEHIDCODE]])))</f>
        <v>0</v>
      </c>
      <c r="H433" t="str">
        <f>"item_"&amp;CONTROL[[#This Row],[VEHIDCODE]]</f>
        <v>item_electric_Mexico_FNM_GE_E60C_2</v>
      </c>
      <c r="I433" t="str">
        <f>"str_"&amp;CONTROL[[#This Row],[VEHIDCODE]]</f>
        <v>str_electric_Mexico_FNM_GE_E60C_2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t="b">
        <f>ISNUMBER(_xlfn.XMATCH(CONTROL[[#This Row],[VEHIDCODE]],ENGLISH_ITEMS[VEHIDCODE],0))</f>
        <v>1</v>
      </c>
    </row>
    <row r="434" spans="1:16">
      <c r="A434" s="2" t="s">
        <v>459</v>
      </c>
      <c r="B434" t="str">
        <f>_xlfn.TEXTAFTER(TRACK_TYPES[[#This Row],[VEHIDCODE]],"_")</f>
        <v>Morocco_ONCF_E_1400_Prima_II</v>
      </c>
      <c r="C434" t="s">
        <v>731</v>
      </c>
      <c r="D434" t="s">
        <v>951</v>
      </c>
      <c r="E434">
        <v>6119</v>
      </c>
      <c r="F434" t="b">
        <f>AND(CONTROL[[#This Row],[IS_WAGON_OR_COACH]]=TRUE,OR(RIGHT(CONTROL[[#This Row],[VEHIDCODE]],7)="Powered",RIGHT(CONTROL[[#This Row],[VEHIDCODE]],9)="Unpowered"))</f>
        <v>0</v>
      </c>
      <c r="G434" s="2" t="b">
        <f>OR(ISNUMBER(SEARCH("wagon_",CONTROL[[#This Row],[VEHIDCODE]])),ISNUMBER(SEARCH("coach_",CONTROL[[#This Row],[VEHIDCODE]])))</f>
        <v>0</v>
      </c>
      <c r="H434" t="str">
        <f>"item_"&amp;CONTROL[[#This Row],[VEHIDCODE]]</f>
        <v>item_electric_Morocco_ONCF_E_1400_Prima_II</v>
      </c>
      <c r="I434" t="str">
        <f>"str_"&amp;CONTROL[[#This Row],[VEHIDCODE]]</f>
        <v>str_electric_Morocco_ONCF_E_1400_Prima_II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t="b">
        <f>ISNUMBER(_xlfn.XMATCH(CONTROL[[#This Row],[VEHIDCODE]],ENGLISH_ITEMS[VEHIDCODE],0))</f>
        <v>1</v>
      </c>
    </row>
    <row r="435" spans="1:16">
      <c r="A435" s="2" t="s">
        <v>460</v>
      </c>
      <c r="B435" t="str">
        <f>_xlfn.TEXTAFTER(TRACK_TYPES[[#This Row],[VEHIDCODE]],"_")</f>
        <v>New_Zealand_NZR_EA</v>
      </c>
      <c r="C435" t="s">
        <v>731</v>
      </c>
      <c r="D435" t="s">
        <v>951</v>
      </c>
      <c r="E435">
        <v>6102</v>
      </c>
      <c r="F435" t="b">
        <f>AND(CONTROL[[#This Row],[IS_WAGON_OR_COACH]]=TRUE,OR(RIGHT(CONTROL[[#This Row],[VEHIDCODE]],7)="Powered",RIGHT(CONTROL[[#This Row],[VEHIDCODE]],9)="Unpowered"))</f>
        <v>0</v>
      </c>
      <c r="G435" s="2" t="b">
        <f>OR(ISNUMBER(SEARCH("wagon_",CONTROL[[#This Row],[VEHIDCODE]])),ISNUMBER(SEARCH("coach_",CONTROL[[#This Row],[VEHIDCODE]])))</f>
        <v>0</v>
      </c>
      <c r="H435" t="str">
        <f>"item_"&amp;CONTROL[[#This Row],[VEHIDCODE]]</f>
        <v>item_electric_New_Zealand_NZR_EA</v>
      </c>
      <c r="I435" t="str">
        <f>"str_"&amp;CONTROL[[#This Row],[VEHIDCODE]]</f>
        <v>str_electric_New_Zealand_NZR_EA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t="b">
        <f>ISNUMBER(_xlfn.XMATCH(CONTROL[[#This Row],[VEHIDCODE]],ENGLISH_ITEMS[VEHIDCODE],0))</f>
        <v>1</v>
      </c>
    </row>
    <row r="436" spans="1:16">
      <c r="A436" s="2" t="s">
        <v>461</v>
      </c>
      <c r="B436" t="str">
        <f>_xlfn.TEXTAFTER(TRACK_TYPES[[#This Row],[VEHIDCODE]],"_")</f>
        <v>Canada_BC_Rail_GF6C</v>
      </c>
      <c r="C436" t="s">
        <v>731</v>
      </c>
      <c r="D436" t="s">
        <v>951</v>
      </c>
      <c r="E436">
        <v>6111</v>
      </c>
      <c r="F436" t="b">
        <f>AND(CONTROL[[#This Row],[IS_WAGON_OR_COACH]]=TRUE,OR(RIGHT(CONTROL[[#This Row],[VEHIDCODE]],7)="Powered",RIGHT(CONTROL[[#This Row],[VEHIDCODE]],9)="Unpowered"))</f>
        <v>0</v>
      </c>
      <c r="G436" s="2" t="b">
        <f>OR(ISNUMBER(SEARCH("wagon_",CONTROL[[#This Row],[VEHIDCODE]])),ISNUMBER(SEARCH("coach_",CONTROL[[#This Row],[VEHIDCODE]])))</f>
        <v>0</v>
      </c>
      <c r="H436" t="str">
        <f>"item_"&amp;CONTROL[[#This Row],[VEHIDCODE]]</f>
        <v>item_electric_Canada_BC_Rail_GF6C</v>
      </c>
      <c r="I436" t="str">
        <f>"str_"&amp;CONTROL[[#This Row],[VEHIDCODE]]</f>
        <v>str_electric_Canada_BC_Rail_GF6C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t="b">
        <f>ISNUMBER(_xlfn.XMATCH(CONTROL[[#This Row],[VEHIDCODE]],ENGLISH_ITEMS[VEHIDCODE],0))</f>
        <v>1</v>
      </c>
    </row>
    <row r="437" spans="1:16">
      <c r="A437" s="2" t="s">
        <v>462</v>
      </c>
      <c r="B437" t="str">
        <f>_xlfn.TEXTAFTER(TRACK_TYPES[[#This Row],[VEHIDCODE]],"_")</f>
        <v>France_SNCF_BB_22200</v>
      </c>
      <c r="C437" t="s">
        <v>731</v>
      </c>
      <c r="D437" t="s">
        <v>951</v>
      </c>
      <c r="E437">
        <v>6036</v>
      </c>
      <c r="F437" t="b">
        <f>AND(CONTROL[[#This Row],[IS_WAGON_OR_COACH]]=TRUE,OR(RIGHT(CONTROL[[#This Row],[VEHIDCODE]],7)="Powered",RIGHT(CONTROL[[#This Row],[VEHIDCODE]],9)="Unpowered"))</f>
        <v>0</v>
      </c>
      <c r="G437" s="2" t="b">
        <f>OR(ISNUMBER(SEARCH("wagon_",CONTROL[[#This Row],[VEHIDCODE]])),ISNUMBER(SEARCH("coach_",CONTROL[[#This Row],[VEHIDCODE]])))</f>
        <v>0</v>
      </c>
      <c r="H437" t="str">
        <f>"item_"&amp;CONTROL[[#This Row],[VEHIDCODE]]</f>
        <v>item_electric_France_SNCF_BB_22200</v>
      </c>
      <c r="I437" t="str">
        <f>"str_"&amp;CONTROL[[#This Row],[VEHIDCODE]]</f>
        <v>str_electric_France_SNCF_BB_22200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t="b">
        <f>ISNUMBER(_xlfn.XMATCH(CONTROL[[#This Row],[VEHIDCODE]],ENGLISH_ITEMS[VEHIDCODE],0))</f>
        <v>1</v>
      </c>
    </row>
    <row r="438" spans="1:16">
      <c r="A438" s="2" t="s">
        <v>463</v>
      </c>
      <c r="B438" t="str">
        <f>_xlfn.TEXTAFTER(TRACK_TYPES[[#This Row],[VEHIDCODE]],"_")</f>
        <v>France_SNCF_BB_26000</v>
      </c>
      <c r="C438" t="s">
        <v>731</v>
      </c>
      <c r="D438" t="s">
        <v>951</v>
      </c>
      <c r="E438">
        <v>6043</v>
      </c>
      <c r="F438" t="b">
        <f>AND(CONTROL[[#This Row],[IS_WAGON_OR_COACH]]=TRUE,OR(RIGHT(CONTROL[[#This Row],[VEHIDCODE]],7)="Powered",RIGHT(CONTROL[[#This Row],[VEHIDCODE]],9)="Unpowered"))</f>
        <v>0</v>
      </c>
      <c r="G438" s="2" t="b">
        <f>OR(ISNUMBER(SEARCH("wagon_",CONTROL[[#This Row],[VEHIDCODE]])),ISNUMBER(SEARCH("coach_",CONTROL[[#This Row],[VEHIDCODE]])))</f>
        <v>0</v>
      </c>
      <c r="H438" t="str">
        <f>"item_"&amp;CONTROL[[#This Row],[VEHIDCODE]]</f>
        <v>item_electric_France_SNCF_BB_26000</v>
      </c>
      <c r="I438" t="str">
        <f>"str_"&amp;CONTROL[[#This Row],[VEHIDCODE]]</f>
        <v>str_electric_France_SNCF_BB_26000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t="b">
        <f>ISNUMBER(_xlfn.XMATCH(CONTROL[[#This Row],[VEHIDCODE]],ENGLISH_ITEMS[VEHIDCODE],0))</f>
        <v>1</v>
      </c>
    </row>
    <row r="439" spans="1:16">
      <c r="A439" s="2" t="s">
        <v>464</v>
      </c>
      <c r="B439" t="str">
        <f>_xlfn.TEXTAFTER(TRACK_TYPES[[#This Row],[VEHIDCODE]],"_")</f>
        <v>France_SNCF_BB_25500</v>
      </c>
      <c r="C439" t="s">
        <v>731</v>
      </c>
      <c r="D439" t="s">
        <v>951</v>
      </c>
      <c r="E439">
        <v>6087</v>
      </c>
      <c r="F439" t="b">
        <f>AND(CONTROL[[#This Row],[IS_WAGON_OR_COACH]]=TRUE,OR(RIGHT(CONTROL[[#This Row],[VEHIDCODE]],7)="Powered",RIGHT(CONTROL[[#This Row],[VEHIDCODE]],9)="Unpowered"))</f>
        <v>0</v>
      </c>
      <c r="G439" s="2" t="b">
        <f>OR(ISNUMBER(SEARCH("wagon_",CONTROL[[#This Row],[VEHIDCODE]])),ISNUMBER(SEARCH("coach_",CONTROL[[#This Row],[VEHIDCODE]])))</f>
        <v>0</v>
      </c>
      <c r="H439" t="str">
        <f>"item_"&amp;CONTROL[[#This Row],[VEHIDCODE]]</f>
        <v>item_electric_France_SNCF_BB_25500</v>
      </c>
      <c r="I439" t="str">
        <f>"str_"&amp;CONTROL[[#This Row],[VEHIDCODE]]</f>
        <v>str_electric_France_SNCF_BB_25500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t="b">
        <f>ISNUMBER(_xlfn.XMATCH(CONTROL[[#This Row],[VEHIDCODE]],ENGLISH_ITEMS[VEHIDCODE],0))</f>
        <v>1</v>
      </c>
    </row>
    <row r="440" spans="1:16">
      <c r="A440" s="2" t="s">
        <v>465</v>
      </c>
      <c r="B440" t="str">
        <f>_xlfn.TEXTAFTER(TRACK_TYPES[[#This Row],[VEHIDCODE]],"_")</f>
        <v>Germany_DB_182_ES64U_Taurus</v>
      </c>
      <c r="C440" t="s">
        <v>731</v>
      </c>
      <c r="D440" t="s">
        <v>951</v>
      </c>
      <c r="E440">
        <v>6053</v>
      </c>
      <c r="F440" t="b">
        <f>AND(CONTROL[[#This Row],[IS_WAGON_OR_COACH]]=TRUE,OR(RIGHT(CONTROL[[#This Row],[VEHIDCODE]],7)="Powered",RIGHT(CONTROL[[#This Row],[VEHIDCODE]],9)="Unpowered"))</f>
        <v>0</v>
      </c>
      <c r="G440" s="2" t="b">
        <f>OR(ISNUMBER(SEARCH("wagon_",CONTROL[[#This Row],[VEHIDCODE]])),ISNUMBER(SEARCH("coach_",CONTROL[[#This Row],[VEHIDCODE]])))</f>
        <v>0</v>
      </c>
      <c r="H440" t="str">
        <f>"item_"&amp;CONTROL[[#This Row],[VEHIDCODE]]</f>
        <v>item_electric_Germany_DB_182_ES64U_Taurus</v>
      </c>
      <c r="I440" t="str">
        <f>"str_"&amp;CONTROL[[#This Row],[VEHIDCODE]]</f>
        <v>str_electric_Germany_DB_182_ES64U_Taurus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t="b">
        <f>ISNUMBER(_xlfn.XMATCH(CONTROL[[#This Row],[VEHIDCODE]],ENGLISH_ITEMS[VEHIDCODE],0))</f>
        <v>1</v>
      </c>
    </row>
    <row r="441" spans="1:16">
      <c r="A441" s="2" t="s">
        <v>466</v>
      </c>
      <c r="B441" t="str">
        <f>_xlfn.TEXTAFTER(TRACK_TYPES[[#This Row],[VEHIDCODE]],"_")</f>
        <v>Japan_JR_EH500</v>
      </c>
      <c r="C441" t="s">
        <v>731</v>
      </c>
      <c r="D441" t="s">
        <v>951</v>
      </c>
      <c r="E441">
        <v>6051</v>
      </c>
      <c r="F441" t="b">
        <f>AND(CONTROL[[#This Row],[IS_WAGON_OR_COACH]]=TRUE,OR(RIGHT(CONTROL[[#This Row],[VEHIDCODE]],7)="Powered",RIGHT(CONTROL[[#This Row],[VEHIDCODE]],9)="Unpowered"))</f>
        <v>0</v>
      </c>
      <c r="G441" s="2" t="b">
        <f>OR(ISNUMBER(SEARCH("wagon_",CONTROL[[#This Row],[VEHIDCODE]])),ISNUMBER(SEARCH("coach_",CONTROL[[#This Row],[VEHIDCODE]])))</f>
        <v>0</v>
      </c>
      <c r="H441" t="str">
        <f>"item_"&amp;CONTROL[[#This Row],[VEHIDCODE]]</f>
        <v>item_electric_Japan_JR_EH500</v>
      </c>
      <c r="I441" t="str">
        <f>"str_"&amp;CONTROL[[#This Row],[VEHIDCODE]]</f>
        <v>str_electric_Japan_JR_EH500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t="b">
        <f>ISNUMBER(_xlfn.XMATCH(CONTROL[[#This Row],[VEHIDCODE]],ENGLISH_ITEMS[VEHIDCODE],0))</f>
        <v>1</v>
      </c>
    </row>
    <row r="442" spans="1:16">
      <c r="A442" s="2" t="s">
        <v>467</v>
      </c>
      <c r="B442" t="str">
        <f>_xlfn.TEXTAFTER(TRACK_TYPES[[#This Row],[VEHIDCODE]],"_")</f>
        <v>USA_Amtrak_EMD_AEM_7</v>
      </c>
      <c r="C442" t="s">
        <v>731</v>
      </c>
      <c r="D442" t="s">
        <v>951</v>
      </c>
      <c r="E442">
        <v>6104</v>
      </c>
      <c r="F442" t="b">
        <f>AND(CONTROL[[#This Row],[IS_WAGON_OR_COACH]]=TRUE,OR(RIGHT(CONTROL[[#This Row],[VEHIDCODE]],7)="Powered",RIGHT(CONTROL[[#This Row],[VEHIDCODE]],9)="Unpowered"))</f>
        <v>0</v>
      </c>
      <c r="G442" s="2" t="b">
        <f>OR(ISNUMBER(SEARCH("wagon_",CONTROL[[#This Row],[VEHIDCODE]])),ISNUMBER(SEARCH("coach_",CONTROL[[#This Row],[VEHIDCODE]])))</f>
        <v>0</v>
      </c>
      <c r="H442" t="str">
        <f>"item_"&amp;CONTROL[[#This Row],[VEHIDCODE]]</f>
        <v>item_electric_USA_Amtrak_EMD_AEM_7</v>
      </c>
      <c r="I442" t="str">
        <f>"str_"&amp;CONTROL[[#This Row],[VEHIDCODE]]</f>
        <v>str_electric_USA_Amtrak_EMD_AEM_7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t="b">
        <f>ISNUMBER(_xlfn.XMATCH(CONTROL[[#This Row],[VEHIDCODE]],ENGLISH_ITEMS[VEHIDCODE],0))</f>
        <v>1</v>
      </c>
    </row>
    <row r="443" spans="1:16">
      <c r="A443" s="2" t="s">
        <v>468</v>
      </c>
      <c r="B443" t="str">
        <f>_xlfn.TEXTAFTER(TRACK_TYPES[[#This Row],[VEHIDCODE]],"_")</f>
        <v>USA_Amtrak_HHP_8</v>
      </c>
      <c r="C443" t="s">
        <v>731</v>
      </c>
      <c r="D443" t="s">
        <v>951</v>
      </c>
      <c r="E443">
        <v>6132</v>
      </c>
      <c r="F443" t="b">
        <f>AND(CONTROL[[#This Row],[IS_WAGON_OR_COACH]]=TRUE,OR(RIGHT(CONTROL[[#This Row],[VEHIDCODE]],7)="Powered",RIGHT(CONTROL[[#This Row],[VEHIDCODE]],9)="Unpowered"))</f>
        <v>0</v>
      </c>
      <c r="G443" s="2" t="b">
        <f>OR(ISNUMBER(SEARCH("wagon_",CONTROL[[#This Row],[VEHIDCODE]])),ISNUMBER(SEARCH("coach_",CONTROL[[#This Row],[VEHIDCODE]])))</f>
        <v>0</v>
      </c>
      <c r="H443" t="str">
        <f>"item_"&amp;CONTROL[[#This Row],[VEHIDCODE]]</f>
        <v>item_electric_USA_Amtrak_HHP_8</v>
      </c>
      <c r="I443" t="str">
        <f>"str_"&amp;CONTROL[[#This Row],[VEHIDCODE]]</f>
        <v>str_electric_USA_Amtrak_HHP_8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t="b">
        <f>ISNUMBER(_xlfn.XMATCH(CONTROL[[#This Row],[VEHIDCODE]],ENGLISH_ITEMS[VEHIDCODE],0))</f>
        <v>1</v>
      </c>
    </row>
    <row r="444" spans="1:16">
      <c r="A444" s="2" t="s">
        <v>469</v>
      </c>
      <c r="B444" t="str">
        <f>_xlfn.TEXTAFTER(TRACK_TYPES[[#This Row],[VEHIDCODE]],"_")</f>
        <v>Czech_Republic_CD_380</v>
      </c>
      <c r="C444" t="s">
        <v>731</v>
      </c>
      <c r="D444" t="s">
        <v>951</v>
      </c>
      <c r="E444">
        <v>6091</v>
      </c>
      <c r="F444" t="b">
        <f>AND(CONTROL[[#This Row],[IS_WAGON_OR_COACH]]=TRUE,OR(RIGHT(CONTROL[[#This Row],[VEHIDCODE]],7)="Powered",RIGHT(CONTROL[[#This Row],[VEHIDCODE]],9)="Unpowered"))</f>
        <v>0</v>
      </c>
      <c r="G444" s="2" t="b">
        <f>OR(ISNUMBER(SEARCH("wagon_",CONTROL[[#This Row],[VEHIDCODE]])),ISNUMBER(SEARCH("coach_",CONTROL[[#This Row],[VEHIDCODE]])))</f>
        <v>0</v>
      </c>
      <c r="H444" t="str">
        <f>"item_"&amp;CONTROL[[#This Row],[VEHIDCODE]]</f>
        <v>item_electric_Czech_Republic_CD_380</v>
      </c>
      <c r="I444" t="str">
        <f>"str_"&amp;CONTROL[[#This Row],[VEHIDCODE]]</f>
        <v>str_electric_Czech_Republic_CD_380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t="b">
        <f>ISNUMBER(_xlfn.XMATCH(CONTROL[[#This Row],[VEHIDCODE]],ENGLISH_ITEMS[VEHIDCODE],0))</f>
        <v>1</v>
      </c>
    </row>
    <row r="445" spans="1:16">
      <c r="A445" s="2" t="s">
        <v>470</v>
      </c>
      <c r="B445" t="str">
        <f>_xlfn.TEXTAFTER(TRACK_TYPES[[#This Row],[VEHIDCODE]],"_")</f>
        <v>Spain_RENFE_252</v>
      </c>
      <c r="C445" t="s">
        <v>731</v>
      </c>
      <c r="D445" t="s">
        <v>951</v>
      </c>
      <c r="E445">
        <v>6046</v>
      </c>
      <c r="F445" t="b">
        <f>AND(CONTROL[[#This Row],[IS_WAGON_OR_COACH]]=TRUE,OR(RIGHT(CONTROL[[#This Row],[VEHIDCODE]],7)="Powered",RIGHT(CONTROL[[#This Row],[VEHIDCODE]],9)="Unpowered"))</f>
        <v>0</v>
      </c>
      <c r="G445" s="2" t="b">
        <f>OR(ISNUMBER(SEARCH("wagon_",CONTROL[[#This Row],[VEHIDCODE]])),ISNUMBER(SEARCH("coach_",CONTROL[[#This Row],[VEHIDCODE]])))</f>
        <v>0</v>
      </c>
      <c r="H445" t="str">
        <f>"item_"&amp;CONTROL[[#This Row],[VEHIDCODE]]</f>
        <v>item_electric_Spain_RENFE_252</v>
      </c>
      <c r="I445" t="str">
        <f>"str_"&amp;CONTROL[[#This Row],[VEHIDCODE]]</f>
        <v>str_electric_Spain_RENFE_252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t="b">
        <f>ISNUMBER(_xlfn.XMATCH(CONTROL[[#This Row],[VEHIDCODE]],ENGLISH_ITEMS[VEHIDCODE],0))</f>
        <v>1</v>
      </c>
    </row>
    <row r="446" spans="1:16">
      <c r="A446" s="2" t="s">
        <v>471</v>
      </c>
      <c r="B446" t="str">
        <f>_xlfn.TEXTAFTER(TRACK_TYPES[[#This Row],[VEHIDCODE]],"_")</f>
        <v>Germany_DB_185_TRAXX_F140</v>
      </c>
      <c r="C446" t="s">
        <v>731</v>
      </c>
      <c r="D446" t="s">
        <v>951</v>
      </c>
      <c r="E446">
        <v>6049</v>
      </c>
      <c r="F446" t="b">
        <f>AND(CONTROL[[#This Row],[IS_WAGON_OR_COACH]]=TRUE,OR(RIGHT(CONTROL[[#This Row],[VEHIDCODE]],7)="Powered",RIGHT(CONTROL[[#This Row],[VEHIDCODE]],9)="Unpowered"))</f>
        <v>0</v>
      </c>
      <c r="G446" s="2" t="b">
        <f>OR(ISNUMBER(SEARCH("wagon_",CONTROL[[#This Row],[VEHIDCODE]])),ISNUMBER(SEARCH("coach_",CONTROL[[#This Row],[VEHIDCODE]])))</f>
        <v>0</v>
      </c>
      <c r="H446" t="str">
        <f>"item_"&amp;CONTROL[[#This Row],[VEHIDCODE]]</f>
        <v>item_electric_Germany_DB_185_TRAXX_F140</v>
      </c>
      <c r="I446" t="str">
        <f>"str_"&amp;CONTROL[[#This Row],[VEHIDCODE]]</f>
        <v>str_electric_Germany_DB_185_TRAXX_F140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t="b">
        <f>ISNUMBER(_xlfn.XMATCH(CONTROL[[#This Row],[VEHIDCODE]],ENGLISH_ITEMS[VEHIDCODE],0))</f>
        <v>1</v>
      </c>
    </row>
    <row r="447" spans="1:16">
      <c r="A447" s="2" t="s">
        <v>472</v>
      </c>
      <c r="B447" t="str">
        <f>_xlfn.TEXTAFTER(TRACK_TYPES[[#This Row],[VEHIDCODE]],"_")</f>
        <v>Italy_FS_E550</v>
      </c>
      <c r="C447" t="s">
        <v>731</v>
      </c>
      <c r="D447" t="s">
        <v>951</v>
      </c>
      <c r="E447">
        <v>6068</v>
      </c>
      <c r="F447" t="b">
        <f>AND(CONTROL[[#This Row],[IS_WAGON_OR_COACH]]=TRUE,OR(RIGHT(CONTROL[[#This Row],[VEHIDCODE]],7)="Powered",RIGHT(CONTROL[[#This Row],[VEHIDCODE]],9)="Unpowered"))</f>
        <v>0</v>
      </c>
      <c r="G447" s="2" t="b">
        <f>OR(ISNUMBER(SEARCH("wagon_",CONTROL[[#This Row],[VEHIDCODE]])),ISNUMBER(SEARCH("coach_",CONTROL[[#This Row],[VEHIDCODE]])))</f>
        <v>0</v>
      </c>
      <c r="H447" t="str">
        <f>"item_"&amp;CONTROL[[#This Row],[VEHIDCODE]]</f>
        <v>item_electric_Italy_FS_E550</v>
      </c>
      <c r="I447" t="str">
        <f>"str_"&amp;CONTROL[[#This Row],[VEHIDCODE]]</f>
        <v>str_electric_Italy_FS_E550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t="b">
        <f>ISNUMBER(_xlfn.XMATCH(CONTROL[[#This Row],[VEHIDCODE]],ENGLISH_ITEMS[VEHIDCODE],0))</f>
        <v>1</v>
      </c>
    </row>
    <row r="448" spans="1:16">
      <c r="A448" s="2" t="s">
        <v>473</v>
      </c>
      <c r="B448" t="str">
        <f>_xlfn.TEXTAFTER(TRACK_TYPES[[#This Row],[VEHIDCODE]],"_")</f>
        <v>Japan_JNR_EF81</v>
      </c>
      <c r="C448" t="s">
        <v>731</v>
      </c>
      <c r="D448" t="s">
        <v>951</v>
      </c>
      <c r="E448">
        <v>6125</v>
      </c>
      <c r="F448" t="b">
        <f>AND(CONTROL[[#This Row],[IS_WAGON_OR_COACH]]=TRUE,OR(RIGHT(CONTROL[[#This Row],[VEHIDCODE]],7)="Powered",RIGHT(CONTROL[[#This Row],[VEHIDCODE]],9)="Unpowered"))</f>
        <v>0</v>
      </c>
      <c r="G448" s="2" t="b">
        <f>OR(ISNUMBER(SEARCH("wagon_",CONTROL[[#This Row],[VEHIDCODE]])),ISNUMBER(SEARCH("coach_",CONTROL[[#This Row],[VEHIDCODE]])))</f>
        <v>0</v>
      </c>
      <c r="H448" t="str">
        <f>"item_"&amp;CONTROL[[#This Row],[VEHIDCODE]]</f>
        <v>item_electric_Japan_JNR_EF81</v>
      </c>
      <c r="I448" t="str">
        <f>"str_"&amp;CONTROL[[#This Row],[VEHIDCODE]]</f>
        <v>str_electric_Japan_JNR_EF81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t="b">
        <f>ISNUMBER(_xlfn.XMATCH(CONTROL[[#This Row],[VEHIDCODE]],ENGLISH_ITEMS[VEHIDCODE],0))</f>
        <v>1</v>
      </c>
    </row>
    <row r="449" spans="1:16">
      <c r="A449" s="2" t="s">
        <v>474</v>
      </c>
      <c r="B449" t="str">
        <f>_xlfn.TEXTAFTER(TRACK_TYPES[[#This Row],[VEHIDCODE]],"_")</f>
        <v>UK_BR_92</v>
      </c>
      <c r="C449" t="s">
        <v>731</v>
      </c>
      <c r="D449" t="s">
        <v>951</v>
      </c>
      <c r="E449">
        <v>6047</v>
      </c>
      <c r="F449" t="b">
        <f>AND(CONTROL[[#This Row],[IS_WAGON_OR_COACH]]=TRUE,OR(RIGHT(CONTROL[[#This Row],[VEHIDCODE]],7)="Powered",RIGHT(CONTROL[[#This Row],[VEHIDCODE]],9)="Unpowered"))</f>
        <v>0</v>
      </c>
      <c r="G449" s="2" t="b">
        <f>OR(ISNUMBER(SEARCH("wagon_",CONTROL[[#This Row],[VEHIDCODE]])),ISNUMBER(SEARCH("coach_",CONTROL[[#This Row],[VEHIDCODE]])))</f>
        <v>0</v>
      </c>
      <c r="H449" t="str">
        <f>"item_"&amp;CONTROL[[#This Row],[VEHIDCODE]]</f>
        <v>item_electric_UK_BR_92</v>
      </c>
      <c r="I449" t="str">
        <f>"str_"&amp;CONTROL[[#This Row],[VEHIDCODE]]</f>
        <v>str_electric_UK_BR_92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t="b">
        <f>ISNUMBER(_xlfn.XMATCH(CONTROL[[#This Row],[VEHIDCODE]],ENGLISH_ITEMS[VEHIDCODE],0))</f>
        <v>1</v>
      </c>
    </row>
    <row r="450" spans="1:16">
      <c r="A450" s="2" t="s">
        <v>475</v>
      </c>
      <c r="B450" t="str">
        <f>_xlfn.TEXTAFTER(TRACK_TYPES[[#This Row],[VEHIDCODE]],"_")</f>
        <v>USA_Amtrak_ACS_64</v>
      </c>
      <c r="C450" t="s">
        <v>731</v>
      </c>
      <c r="D450" t="s">
        <v>951</v>
      </c>
      <c r="E450">
        <v>6120</v>
      </c>
      <c r="F450" t="b">
        <f>AND(CONTROL[[#This Row],[IS_WAGON_OR_COACH]]=TRUE,OR(RIGHT(CONTROL[[#This Row],[VEHIDCODE]],7)="Powered",RIGHT(CONTROL[[#This Row],[VEHIDCODE]],9)="Unpowered"))</f>
        <v>0</v>
      </c>
      <c r="G450" s="2" t="b">
        <f>OR(ISNUMBER(SEARCH("wagon_",CONTROL[[#This Row],[VEHIDCODE]])),ISNUMBER(SEARCH("coach_",CONTROL[[#This Row],[VEHIDCODE]])))</f>
        <v>0</v>
      </c>
      <c r="H450" t="str">
        <f>"item_"&amp;CONTROL[[#This Row],[VEHIDCODE]]</f>
        <v>item_electric_USA_Amtrak_ACS_64</v>
      </c>
      <c r="I450" t="str">
        <f>"str_"&amp;CONTROL[[#This Row],[VEHIDCODE]]</f>
        <v>str_electric_USA_Amtrak_ACS_64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t="b">
        <f>ISNUMBER(_xlfn.XMATCH(CONTROL[[#This Row],[VEHIDCODE]],ENGLISH_ITEMS[VEHIDCODE],0))</f>
        <v>1</v>
      </c>
    </row>
    <row r="451" spans="1:16">
      <c r="A451" s="2" t="s">
        <v>476</v>
      </c>
      <c r="B451" t="str">
        <f>_xlfn.TEXTAFTER(TRACK_TYPES[[#This Row],[VEHIDCODE]],"_")</f>
        <v>France_SNCF_CC_40100</v>
      </c>
      <c r="C451" t="s">
        <v>731</v>
      </c>
      <c r="D451" t="s">
        <v>951</v>
      </c>
      <c r="E451">
        <v>6030</v>
      </c>
      <c r="F451" t="b">
        <f>AND(CONTROL[[#This Row],[IS_WAGON_OR_COACH]]=TRUE,OR(RIGHT(CONTROL[[#This Row],[VEHIDCODE]],7)="Powered",RIGHT(CONTROL[[#This Row],[VEHIDCODE]],9)="Unpowered"))</f>
        <v>0</v>
      </c>
      <c r="G451" s="2" t="b">
        <f>OR(ISNUMBER(SEARCH("wagon_",CONTROL[[#This Row],[VEHIDCODE]])),ISNUMBER(SEARCH("coach_",CONTROL[[#This Row],[VEHIDCODE]])))</f>
        <v>0</v>
      </c>
      <c r="H451" t="str">
        <f>"item_"&amp;CONTROL[[#This Row],[VEHIDCODE]]</f>
        <v>item_electric_France_SNCF_CC_40100</v>
      </c>
      <c r="I451" t="str">
        <f>"str_"&amp;CONTROL[[#This Row],[VEHIDCODE]]</f>
        <v>str_electric_France_SNCF_CC_40100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t="b">
        <f>ISNUMBER(_xlfn.XMATCH(CONTROL[[#This Row],[VEHIDCODE]],ENGLISH_ITEMS[VEHIDCODE],0))</f>
        <v>1</v>
      </c>
    </row>
    <row r="452" spans="1:16">
      <c r="A452" s="2" t="s">
        <v>477</v>
      </c>
      <c r="B452" t="str">
        <f>_xlfn.TEXTAFTER(TRACK_TYPES[[#This Row],[VEHIDCODE]],"_")</f>
        <v>Belgium_NMBS_SNCB_13_HLE</v>
      </c>
      <c r="C452" t="s">
        <v>731</v>
      </c>
      <c r="D452" t="s">
        <v>951</v>
      </c>
      <c r="E452">
        <v>6050</v>
      </c>
      <c r="F452" t="b">
        <f>AND(CONTROL[[#This Row],[IS_WAGON_OR_COACH]]=TRUE,OR(RIGHT(CONTROL[[#This Row],[VEHIDCODE]],7)="Powered",RIGHT(CONTROL[[#This Row],[VEHIDCODE]],9)="Unpowered"))</f>
        <v>0</v>
      </c>
      <c r="G452" s="2" t="b">
        <f>OR(ISNUMBER(SEARCH("wagon_",CONTROL[[#This Row],[VEHIDCODE]])),ISNUMBER(SEARCH("coach_",CONTROL[[#This Row],[VEHIDCODE]])))</f>
        <v>0</v>
      </c>
      <c r="H452" t="str">
        <f>"item_"&amp;CONTROL[[#This Row],[VEHIDCODE]]</f>
        <v>item_electric_Belgium_NMBS_SNCB_13_HLE</v>
      </c>
      <c r="I452" t="str">
        <f>"str_"&amp;CONTROL[[#This Row],[VEHIDCODE]]</f>
        <v>str_electric_Belgium_NMBS_SNCB_13_HLE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t="b">
        <f>ISNUMBER(_xlfn.XMATCH(CONTROL[[#This Row],[VEHIDCODE]],ENGLISH_ITEMS[VEHIDCODE],0))</f>
        <v>1</v>
      </c>
    </row>
    <row r="453" spans="1:16">
      <c r="A453" s="2" t="s">
        <v>478</v>
      </c>
      <c r="B453" t="str">
        <f>_xlfn.TEXTAFTER(TRACK_TYPES[[#This Row],[VEHIDCODE]],"_")</f>
        <v>Germany_DB_VT_040_Flying_Hamburger</v>
      </c>
      <c r="C453" t="s">
        <v>732</v>
      </c>
      <c r="D453" t="s">
        <v>953</v>
      </c>
      <c r="E453">
        <v>7002</v>
      </c>
      <c r="F453" t="b">
        <f>AND(CONTROL[[#This Row],[IS_WAGON_OR_COACH]]=TRUE,OR(RIGHT(CONTROL[[#This Row],[VEHIDCODE]],7)="Powered",RIGHT(CONTROL[[#This Row],[VEHIDCODE]],9)="Unpowered"))</f>
        <v>0</v>
      </c>
      <c r="G453" s="2" t="b">
        <f>OR(ISNUMBER(SEARCH("wagon_",CONTROL[[#This Row],[VEHIDCODE]])),ISNUMBER(SEARCH("coach_",CONTROL[[#This Row],[VEHIDCODE]])))</f>
        <v>0</v>
      </c>
      <c r="H453" t="str">
        <f>"item_"&amp;CONTROL[[#This Row],[VEHIDCODE]]</f>
        <v>item_dmu_Germany_DB_VT_040_Flying_Hamburger</v>
      </c>
      <c r="I453" t="str">
        <f>"str_"&amp;CONTROL[[#This Row],[VEHIDCODE]]</f>
        <v>str_dmu_Germany_DB_VT_040_Flying_Hamburger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t="b">
        <f>ISNUMBER(_xlfn.XMATCH(CONTROL[[#This Row],[VEHIDCODE]],ENGLISH_ITEMS[VEHIDCODE],0))</f>
        <v>1</v>
      </c>
    </row>
    <row r="454" spans="1:16">
      <c r="A454" s="2" t="s">
        <v>480</v>
      </c>
      <c r="B454" t="str">
        <f>_xlfn.TEXTAFTER(TRACK_TYPES[[#This Row],[VEHIDCODE]],"_")</f>
        <v>Australia_NSWGR_Silver_City_Comet</v>
      </c>
      <c r="C454" t="s">
        <v>732</v>
      </c>
      <c r="D454" t="s">
        <v>953</v>
      </c>
      <c r="E454">
        <v>7003</v>
      </c>
      <c r="F454" t="b">
        <f>AND(CONTROL[[#This Row],[IS_WAGON_OR_COACH]]=TRUE,OR(RIGHT(CONTROL[[#This Row],[VEHIDCODE]],7)="Powered",RIGHT(CONTROL[[#This Row],[VEHIDCODE]],9)="Unpowered"))</f>
        <v>0</v>
      </c>
      <c r="G454" s="2" t="b">
        <f>OR(ISNUMBER(SEARCH("wagon_",CONTROL[[#This Row],[VEHIDCODE]])),ISNUMBER(SEARCH("coach_",CONTROL[[#This Row],[VEHIDCODE]])))</f>
        <v>0</v>
      </c>
      <c r="H454" t="str">
        <f>"item_"&amp;CONTROL[[#This Row],[VEHIDCODE]]</f>
        <v>item_dmu_Australia_NSWGR_Silver_City_Comet</v>
      </c>
      <c r="I454" t="str">
        <f>"str_"&amp;CONTROL[[#This Row],[VEHIDCODE]]</f>
        <v>str_dmu_Australia_NSWGR_Silver_City_Comet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t="b">
        <f>ISNUMBER(_xlfn.XMATCH(CONTROL[[#This Row],[VEHIDCODE]],ENGLISH_ITEMS[VEHIDCODE],0))</f>
        <v>1</v>
      </c>
    </row>
    <row r="455" spans="1:16">
      <c r="A455" s="2" t="s">
        <v>481</v>
      </c>
      <c r="B455" t="str">
        <f>_xlfn.TEXTAFTER(TRACK_TYPES[[#This Row],[VEHIDCODE]],"_")</f>
        <v>Czech_Republic_CD_M131</v>
      </c>
      <c r="C455" t="s">
        <v>732</v>
      </c>
      <c r="D455" t="s">
        <v>953</v>
      </c>
      <c r="E455">
        <v>7004</v>
      </c>
      <c r="F455" t="b">
        <f>AND(CONTROL[[#This Row],[IS_WAGON_OR_COACH]]=TRUE,OR(RIGHT(CONTROL[[#This Row],[VEHIDCODE]],7)="Powered",RIGHT(CONTROL[[#This Row],[VEHIDCODE]],9)="Unpowered"))</f>
        <v>0</v>
      </c>
      <c r="G455" s="2" t="b">
        <f>OR(ISNUMBER(SEARCH("wagon_",CONTROL[[#This Row],[VEHIDCODE]])),ISNUMBER(SEARCH("coach_",CONTROL[[#This Row],[VEHIDCODE]])))</f>
        <v>0</v>
      </c>
      <c r="H455" t="str">
        <f>"item_"&amp;CONTROL[[#This Row],[VEHIDCODE]]</f>
        <v>item_dmu_Czech_Republic_CD_M131</v>
      </c>
      <c r="I455" t="str">
        <f>"str_"&amp;CONTROL[[#This Row],[VEHIDCODE]]</f>
        <v>str_dmu_Czech_Republic_CD_M131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t="b">
        <f>ISNUMBER(_xlfn.XMATCH(CONTROL[[#This Row],[VEHIDCODE]],ENGLISH_ITEMS[VEHIDCODE],0))</f>
        <v>1</v>
      </c>
    </row>
    <row r="456" spans="1:16">
      <c r="A456" s="2" t="s">
        <v>482</v>
      </c>
      <c r="B456" t="str">
        <f>_xlfn.TEXTAFTER(TRACK_TYPES[[#This Row],[VEHIDCODE]],"_")</f>
        <v>Germany_DB_VT_085</v>
      </c>
      <c r="C456" t="s">
        <v>732</v>
      </c>
      <c r="D456" t="s">
        <v>953</v>
      </c>
      <c r="E456">
        <v>7005</v>
      </c>
      <c r="F456" t="b">
        <f>AND(CONTROL[[#This Row],[IS_WAGON_OR_COACH]]=TRUE,OR(RIGHT(CONTROL[[#This Row],[VEHIDCODE]],7)="Powered",RIGHT(CONTROL[[#This Row],[VEHIDCODE]],9)="Unpowered"))</f>
        <v>0</v>
      </c>
      <c r="G456" s="2" t="b">
        <f>OR(ISNUMBER(SEARCH("wagon_",CONTROL[[#This Row],[VEHIDCODE]])),ISNUMBER(SEARCH("coach_",CONTROL[[#This Row],[VEHIDCODE]])))</f>
        <v>0</v>
      </c>
      <c r="H456" t="str">
        <f>"item_"&amp;CONTROL[[#This Row],[VEHIDCODE]]</f>
        <v>item_dmu_Germany_DB_VT_085</v>
      </c>
      <c r="I456" t="str">
        <f>"str_"&amp;CONTROL[[#This Row],[VEHIDCODE]]</f>
        <v>str_dmu_Germany_DB_VT_085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t="b">
        <f>ISNUMBER(_xlfn.XMATCH(CONTROL[[#This Row],[VEHIDCODE]],ENGLISH_ITEMS[VEHIDCODE],0))</f>
        <v>1</v>
      </c>
    </row>
    <row r="457" spans="1:16">
      <c r="A457" s="2" t="s">
        <v>483</v>
      </c>
      <c r="B457" t="str">
        <f>_xlfn.TEXTAFTER(TRACK_TYPES[[#This Row],[VEHIDCODE]],"_")</f>
        <v>Australia_Queensland_Rail_400</v>
      </c>
      <c r="C457" t="s">
        <v>732</v>
      </c>
      <c r="D457" t="s">
        <v>953</v>
      </c>
      <c r="E457">
        <v>7006</v>
      </c>
      <c r="F457" t="b">
        <f>AND(CONTROL[[#This Row],[IS_WAGON_OR_COACH]]=TRUE,OR(RIGHT(CONTROL[[#This Row],[VEHIDCODE]],7)="Powered",RIGHT(CONTROL[[#This Row],[VEHIDCODE]],9)="Unpowered"))</f>
        <v>0</v>
      </c>
      <c r="G457" s="2" t="b">
        <f>OR(ISNUMBER(SEARCH("wagon_",CONTROL[[#This Row],[VEHIDCODE]])),ISNUMBER(SEARCH("coach_",CONTROL[[#This Row],[VEHIDCODE]])))</f>
        <v>0</v>
      </c>
      <c r="H457" t="str">
        <f>"item_"&amp;CONTROL[[#This Row],[VEHIDCODE]]</f>
        <v>item_dmu_Australia_Queensland_Rail_400</v>
      </c>
      <c r="I457" t="str">
        <f>"str_"&amp;CONTROL[[#This Row],[VEHIDCODE]]</f>
        <v>str_dmu_Australia_Queensland_Rail_400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t="b">
        <f>ISNUMBER(_xlfn.XMATCH(CONTROL[[#This Row],[VEHIDCODE]],ENGLISH_ITEMS[VEHIDCODE],0))</f>
        <v>1</v>
      </c>
    </row>
    <row r="458" spans="1:16">
      <c r="A458" s="2" t="s">
        <v>484</v>
      </c>
      <c r="B458" t="str">
        <f>_xlfn.TEXTAFTER(TRACK_TYPES[[#This Row],[VEHIDCODE]],"_")</f>
        <v>Germany_DB_VT_115</v>
      </c>
      <c r="C458" t="s">
        <v>732</v>
      </c>
      <c r="D458" t="s">
        <v>953</v>
      </c>
      <c r="E458">
        <v>7008</v>
      </c>
      <c r="F458" t="b">
        <f>AND(CONTROL[[#This Row],[IS_WAGON_OR_COACH]]=TRUE,OR(RIGHT(CONTROL[[#This Row],[VEHIDCODE]],7)="Powered",RIGHT(CONTROL[[#This Row],[VEHIDCODE]],9)="Unpowered"))</f>
        <v>0</v>
      </c>
      <c r="G458" s="2" t="b">
        <f>OR(ISNUMBER(SEARCH("wagon_",CONTROL[[#This Row],[VEHIDCODE]])),ISNUMBER(SEARCH("coach_",CONTROL[[#This Row],[VEHIDCODE]])))</f>
        <v>0</v>
      </c>
      <c r="H458" t="str">
        <f>"item_"&amp;CONTROL[[#This Row],[VEHIDCODE]]</f>
        <v>item_dmu_Germany_DB_VT_115</v>
      </c>
      <c r="I458" t="str">
        <f>"str_"&amp;CONTROL[[#This Row],[VEHIDCODE]]</f>
        <v>str_dmu_Germany_DB_VT_115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t="b">
        <f>ISNUMBER(_xlfn.XMATCH(CONTROL[[#This Row],[VEHIDCODE]],ENGLISH_ITEMS[VEHIDCODE],0))</f>
        <v>1</v>
      </c>
    </row>
    <row r="459" spans="1:16">
      <c r="A459" s="2" t="s">
        <v>485</v>
      </c>
      <c r="B459" t="str">
        <f>_xlfn.TEXTAFTER(TRACK_TYPES[[#This Row],[VEHIDCODE]],"_")</f>
        <v>Netherlands_NS_Plan_U_DE_III</v>
      </c>
      <c r="C459" t="s">
        <v>732</v>
      </c>
      <c r="D459" t="s">
        <v>953</v>
      </c>
      <c r="E459">
        <v>7009</v>
      </c>
      <c r="F459" t="b">
        <f>AND(CONTROL[[#This Row],[IS_WAGON_OR_COACH]]=TRUE,OR(RIGHT(CONTROL[[#This Row],[VEHIDCODE]],7)="Powered",RIGHT(CONTROL[[#This Row],[VEHIDCODE]],9)="Unpowered"))</f>
        <v>0</v>
      </c>
      <c r="G459" s="2" t="b">
        <f>OR(ISNUMBER(SEARCH("wagon_",CONTROL[[#This Row],[VEHIDCODE]])),ISNUMBER(SEARCH("coach_",CONTROL[[#This Row],[VEHIDCODE]])))</f>
        <v>0</v>
      </c>
      <c r="H459" t="str">
        <f>"item_"&amp;CONTROL[[#This Row],[VEHIDCODE]]</f>
        <v>item_dmu_Netherlands_NS_Plan_U_DE_III</v>
      </c>
      <c r="I459" t="str">
        <f>"str_"&amp;CONTROL[[#This Row],[VEHIDCODE]]</f>
        <v>str_dmu_Netherlands_NS_Plan_U_DE_III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t="b">
        <f>ISNUMBER(_xlfn.XMATCH(CONTROL[[#This Row],[VEHIDCODE]],ENGLISH_ITEMS[VEHIDCODE],0))</f>
        <v>1</v>
      </c>
    </row>
    <row r="460" spans="1:16">
      <c r="A460" s="2" t="s">
        <v>486</v>
      </c>
      <c r="B460" t="str">
        <f>_xlfn.TEXTAFTER(TRACK_TYPES[[#This Row],[VEHIDCODE]],"_")</f>
        <v>Canada_CNR_Turbo_Train</v>
      </c>
      <c r="C460" t="s">
        <v>732</v>
      </c>
      <c r="D460" t="s">
        <v>953</v>
      </c>
      <c r="E460">
        <v>7010</v>
      </c>
      <c r="F460" t="b">
        <f>AND(CONTROL[[#This Row],[IS_WAGON_OR_COACH]]=TRUE,OR(RIGHT(CONTROL[[#This Row],[VEHIDCODE]],7)="Powered",RIGHT(CONTROL[[#This Row],[VEHIDCODE]],9)="Unpowered"))</f>
        <v>0</v>
      </c>
      <c r="G460" s="2" t="b">
        <f>OR(ISNUMBER(SEARCH("wagon_",CONTROL[[#This Row],[VEHIDCODE]])),ISNUMBER(SEARCH("coach_",CONTROL[[#This Row],[VEHIDCODE]])))</f>
        <v>0</v>
      </c>
      <c r="H460" t="str">
        <f>"item_"&amp;CONTROL[[#This Row],[VEHIDCODE]]</f>
        <v>item_dmu_Canada_CNR_Turbo_Train</v>
      </c>
      <c r="I460" t="str">
        <f>"str_"&amp;CONTROL[[#This Row],[VEHIDCODE]]</f>
        <v>str_dmu_Canada_CNR_Turbo_Train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t="b">
        <f>ISNUMBER(_xlfn.XMATCH(CONTROL[[#This Row],[VEHIDCODE]],ENGLISH_ITEMS[VEHIDCODE],0))</f>
        <v>1</v>
      </c>
    </row>
    <row r="461" spans="1:16">
      <c r="A461" s="2" t="s">
        <v>487</v>
      </c>
      <c r="B461" t="str">
        <f>_xlfn.TEXTAFTER(TRACK_TYPES[[#This Row],[VEHIDCODE]],"_")</f>
        <v>Serbia_ZS_811</v>
      </c>
      <c r="C461" t="s">
        <v>732</v>
      </c>
      <c r="D461" t="s">
        <v>953</v>
      </c>
      <c r="E461">
        <v>7011</v>
      </c>
      <c r="F461" t="b">
        <f>AND(CONTROL[[#This Row],[IS_WAGON_OR_COACH]]=TRUE,OR(RIGHT(CONTROL[[#This Row],[VEHIDCODE]],7)="Powered",RIGHT(CONTROL[[#This Row],[VEHIDCODE]],9)="Unpowered"))</f>
        <v>0</v>
      </c>
      <c r="G461" s="2" t="b">
        <f>OR(ISNUMBER(SEARCH("wagon_",CONTROL[[#This Row],[VEHIDCODE]])),ISNUMBER(SEARCH("coach_",CONTROL[[#This Row],[VEHIDCODE]])))</f>
        <v>0</v>
      </c>
      <c r="H461" t="str">
        <f>"item_"&amp;CONTROL[[#This Row],[VEHIDCODE]]</f>
        <v>item_dmu_Serbia_ZS_811</v>
      </c>
      <c r="I461" t="str">
        <f>"str_"&amp;CONTROL[[#This Row],[VEHIDCODE]]</f>
        <v>str_dmu_Serbia_ZS_811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t="b">
        <f>ISNUMBER(_xlfn.XMATCH(CONTROL[[#This Row],[VEHIDCODE]],ENGLISH_ITEMS[VEHIDCODE],0))</f>
        <v>1</v>
      </c>
    </row>
    <row r="462" spans="1:16">
      <c r="A462" s="2" t="s">
        <v>488</v>
      </c>
      <c r="B462" t="str">
        <f>_xlfn.TEXTAFTER(TRACK_TYPES[[#This Row],[VEHIDCODE]],"_")</f>
        <v>UK_BR_43_IC125</v>
      </c>
      <c r="C462" t="s">
        <v>732</v>
      </c>
      <c r="D462" t="s">
        <v>953</v>
      </c>
      <c r="E462">
        <v>7012</v>
      </c>
      <c r="F462" t="b">
        <f>AND(CONTROL[[#This Row],[IS_WAGON_OR_COACH]]=TRUE,OR(RIGHT(CONTROL[[#This Row],[VEHIDCODE]],7)="Powered",RIGHT(CONTROL[[#This Row],[VEHIDCODE]],9)="Unpowered"))</f>
        <v>0</v>
      </c>
      <c r="G462" s="2" t="b">
        <f>OR(ISNUMBER(SEARCH("wagon_",CONTROL[[#This Row],[VEHIDCODE]])),ISNUMBER(SEARCH("coach_",CONTROL[[#This Row],[VEHIDCODE]])))</f>
        <v>0</v>
      </c>
      <c r="H462" t="str">
        <f>"item_"&amp;CONTROL[[#This Row],[VEHIDCODE]]</f>
        <v>item_dmu_UK_BR_43_IC125</v>
      </c>
      <c r="I462" t="str">
        <f>"str_"&amp;CONTROL[[#This Row],[VEHIDCODE]]</f>
        <v>str_dmu_UK_BR_43_IC125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t="b">
        <f>ISNUMBER(_xlfn.XMATCH(CONTROL[[#This Row],[VEHIDCODE]],ENGLISH_ITEMS[VEHIDCODE],0))</f>
        <v>1</v>
      </c>
    </row>
    <row r="463" spans="1:16">
      <c r="A463" s="2" t="s">
        <v>489</v>
      </c>
      <c r="B463" t="str">
        <f>_xlfn.TEXTAFTER(TRACK_TYPES[[#This Row],[VEHIDCODE]],"_")</f>
        <v>Canada_VIA_Rail_LRC</v>
      </c>
      <c r="C463" t="s">
        <v>732</v>
      </c>
      <c r="D463" t="s">
        <v>953</v>
      </c>
      <c r="E463">
        <v>7013</v>
      </c>
      <c r="F463" t="b">
        <f>AND(CONTROL[[#This Row],[IS_WAGON_OR_COACH]]=TRUE,OR(RIGHT(CONTROL[[#This Row],[VEHIDCODE]],7)="Powered",RIGHT(CONTROL[[#This Row],[VEHIDCODE]],9)="Unpowered"))</f>
        <v>0</v>
      </c>
      <c r="G463" s="2" t="b">
        <f>OR(ISNUMBER(SEARCH("wagon_",CONTROL[[#This Row],[VEHIDCODE]])),ISNUMBER(SEARCH("coach_",CONTROL[[#This Row],[VEHIDCODE]])))</f>
        <v>0</v>
      </c>
      <c r="H463" t="str">
        <f>"item_"&amp;CONTROL[[#This Row],[VEHIDCODE]]</f>
        <v>item_dmu_Canada_VIA_Rail_LRC</v>
      </c>
      <c r="I463" t="str">
        <f>"str_"&amp;CONTROL[[#This Row],[VEHIDCODE]]</f>
        <v>str_dmu_Canada_VIA_Rail_LRC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t="b">
        <f>ISNUMBER(_xlfn.XMATCH(CONTROL[[#This Row],[VEHIDCODE]],ENGLISH_ITEMS[VEHIDCODE],0))</f>
        <v>1</v>
      </c>
    </row>
    <row r="464" spans="1:16">
      <c r="A464" s="2" t="s">
        <v>490</v>
      </c>
      <c r="B464" t="str">
        <f>_xlfn.TEXTAFTER(TRACK_TYPES[[#This Row],[VEHIDCODE]],"_")</f>
        <v>Sweden_SJ_Y2</v>
      </c>
      <c r="C464" t="s">
        <v>732</v>
      </c>
      <c r="D464" t="s">
        <v>953</v>
      </c>
      <c r="E464">
        <v>7014</v>
      </c>
      <c r="F464" t="b">
        <f>AND(CONTROL[[#This Row],[IS_WAGON_OR_COACH]]=TRUE,OR(RIGHT(CONTROL[[#This Row],[VEHIDCODE]],7)="Powered",RIGHT(CONTROL[[#This Row],[VEHIDCODE]],9)="Unpowered"))</f>
        <v>0</v>
      </c>
      <c r="G464" s="2" t="b">
        <f>OR(ISNUMBER(SEARCH("wagon_",CONTROL[[#This Row],[VEHIDCODE]])),ISNUMBER(SEARCH("coach_",CONTROL[[#This Row],[VEHIDCODE]])))</f>
        <v>0</v>
      </c>
      <c r="H464" t="str">
        <f>"item_"&amp;CONTROL[[#This Row],[VEHIDCODE]]</f>
        <v>item_dmu_Sweden_SJ_Y2</v>
      </c>
      <c r="I464" t="str">
        <f>"str_"&amp;CONTROL[[#This Row],[VEHIDCODE]]</f>
        <v>str_dmu_Sweden_SJ_Y2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t="b">
        <f>ISNUMBER(_xlfn.XMATCH(CONTROL[[#This Row],[VEHIDCODE]],ENGLISH_ITEMS[VEHIDCODE],0))</f>
        <v>1</v>
      </c>
    </row>
    <row r="465" spans="1:16">
      <c r="A465" s="2" t="s">
        <v>491</v>
      </c>
      <c r="B465" t="str">
        <f>_xlfn.TEXTAFTER(TRACK_TYPES[[#This Row],[VEHIDCODE]],"_")</f>
        <v>Spain_RENFE_594_TRD</v>
      </c>
      <c r="C465" t="s">
        <v>732</v>
      </c>
      <c r="D465" t="s">
        <v>953</v>
      </c>
      <c r="E465">
        <v>7015</v>
      </c>
      <c r="F465" t="b">
        <f>AND(CONTROL[[#This Row],[IS_WAGON_OR_COACH]]=TRUE,OR(RIGHT(CONTROL[[#This Row],[VEHIDCODE]],7)="Powered",RIGHT(CONTROL[[#This Row],[VEHIDCODE]],9)="Unpowered"))</f>
        <v>0</v>
      </c>
      <c r="G465" s="2" t="b">
        <f>OR(ISNUMBER(SEARCH("wagon_",CONTROL[[#This Row],[VEHIDCODE]])),ISNUMBER(SEARCH("coach_",CONTROL[[#This Row],[VEHIDCODE]])))</f>
        <v>0</v>
      </c>
      <c r="H465" t="str">
        <f>"item_"&amp;CONTROL[[#This Row],[VEHIDCODE]]</f>
        <v>item_dmu_Spain_RENFE_594_TRD</v>
      </c>
      <c r="I465" t="str">
        <f>"str_"&amp;CONTROL[[#This Row],[VEHIDCODE]]</f>
        <v>str_dmu_Spain_RENFE_594_TRD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t="b">
        <f>ISNUMBER(_xlfn.XMATCH(CONTROL[[#This Row],[VEHIDCODE]],ENGLISH_ITEMS[VEHIDCODE],0))</f>
        <v>1</v>
      </c>
    </row>
    <row r="466" spans="1:16">
      <c r="A466" s="2" t="s">
        <v>492</v>
      </c>
      <c r="B466" t="str">
        <f>_xlfn.TEXTAFTER(TRACK_TYPES[[#This Row],[VEHIDCODE]],"_")</f>
        <v>UK_BR_168</v>
      </c>
      <c r="C466" t="s">
        <v>732</v>
      </c>
      <c r="D466" t="s">
        <v>953</v>
      </c>
      <c r="E466">
        <v>7016</v>
      </c>
      <c r="F466" t="b">
        <f>AND(CONTROL[[#This Row],[IS_WAGON_OR_COACH]]=TRUE,OR(RIGHT(CONTROL[[#This Row],[VEHIDCODE]],7)="Powered",RIGHT(CONTROL[[#This Row],[VEHIDCODE]],9)="Unpowered"))</f>
        <v>0</v>
      </c>
      <c r="G466" s="2" t="b">
        <f>OR(ISNUMBER(SEARCH("wagon_",CONTROL[[#This Row],[VEHIDCODE]])),ISNUMBER(SEARCH("coach_",CONTROL[[#This Row],[VEHIDCODE]])))</f>
        <v>0</v>
      </c>
      <c r="H466" t="str">
        <f>"item_"&amp;CONTROL[[#This Row],[VEHIDCODE]]</f>
        <v>item_dmu_UK_BR_168</v>
      </c>
      <c r="I466" t="str">
        <f>"str_"&amp;CONTROL[[#This Row],[VEHIDCODE]]</f>
        <v>str_dmu_UK_BR_168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t="b">
        <f>ISNUMBER(_xlfn.XMATCH(CONTROL[[#This Row],[VEHIDCODE]],ENGLISH_ITEMS[VEHIDCODE],0))</f>
        <v>1</v>
      </c>
    </row>
    <row r="467" spans="1:16">
      <c r="A467" s="2" t="s">
        <v>493</v>
      </c>
      <c r="B467" t="str">
        <f>_xlfn.TEXTAFTER(TRACK_TYPES[[#This Row],[VEHIDCODE]],"_")</f>
        <v>Germany_DB_612_Regio_Swinger</v>
      </c>
      <c r="C467" t="s">
        <v>732</v>
      </c>
      <c r="D467" t="s">
        <v>953</v>
      </c>
      <c r="E467">
        <v>7017</v>
      </c>
      <c r="F467" t="b">
        <f>AND(CONTROL[[#This Row],[IS_WAGON_OR_COACH]]=TRUE,OR(RIGHT(CONTROL[[#This Row],[VEHIDCODE]],7)="Powered",RIGHT(CONTROL[[#This Row],[VEHIDCODE]],9)="Unpowered"))</f>
        <v>0</v>
      </c>
      <c r="G467" s="2" t="b">
        <f>OR(ISNUMBER(SEARCH("wagon_",CONTROL[[#This Row],[VEHIDCODE]])),ISNUMBER(SEARCH("coach_",CONTROL[[#This Row],[VEHIDCODE]])))</f>
        <v>0</v>
      </c>
      <c r="H467" t="str">
        <f>"item_"&amp;CONTROL[[#This Row],[VEHIDCODE]]</f>
        <v>item_dmu_Germany_DB_612_Regio_Swinger</v>
      </c>
      <c r="I467" t="str">
        <f>"str_"&amp;CONTROL[[#This Row],[VEHIDCODE]]</f>
        <v>str_dmu_Germany_DB_612_Regio_Swinger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t="b">
        <f>ISNUMBER(_xlfn.XMATCH(CONTROL[[#This Row],[VEHIDCODE]],ENGLISH_ITEMS[VEHIDCODE],0))</f>
        <v>1</v>
      </c>
    </row>
    <row r="468" spans="1:16">
      <c r="A468" s="2" t="s">
        <v>494</v>
      </c>
      <c r="B468" t="str">
        <f>_xlfn.TEXTAFTER(TRACK_TYPES[[#This Row],[VEHIDCODE]],"_")</f>
        <v>Germany_DB_642_Desiro</v>
      </c>
      <c r="C468" t="s">
        <v>732</v>
      </c>
      <c r="D468" t="s">
        <v>953</v>
      </c>
      <c r="E468">
        <v>7018</v>
      </c>
      <c r="F468" t="b">
        <f>AND(CONTROL[[#This Row],[IS_WAGON_OR_COACH]]=TRUE,OR(RIGHT(CONTROL[[#This Row],[VEHIDCODE]],7)="Powered",RIGHT(CONTROL[[#This Row],[VEHIDCODE]],9)="Unpowered"))</f>
        <v>0</v>
      </c>
      <c r="G468" s="2" t="b">
        <f>OR(ISNUMBER(SEARCH("wagon_",CONTROL[[#This Row],[VEHIDCODE]])),ISNUMBER(SEARCH("coach_",CONTROL[[#This Row],[VEHIDCODE]])))</f>
        <v>0</v>
      </c>
      <c r="H468" t="str">
        <f>"item_"&amp;CONTROL[[#This Row],[VEHIDCODE]]</f>
        <v>item_dmu_Germany_DB_642_Desiro</v>
      </c>
      <c r="I468" t="str">
        <f>"str_"&amp;CONTROL[[#This Row],[VEHIDCODE]]</f>
        <v>str_dmu_Germany_DB_642_Desiro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t="b">
        <f>ISNUMBER(_xlfn.XMATCH(CONTROL[[#This Row],[VEHIDCODE]],ENGLISH_ITEMS[VEHIDCODE],0))</f>
        <v>1</v>
      </c>
    </row>
    <row r="469" spans="1:16">
      <c r="A469" s="2" t="s">
        <v>495</v>
      </c>
      <c r="B469" t="str">
        <f>_xlfn.TEXTAFTER(TRACK_TYPES[[#This Row],[VEHIDCODE]],"_")</f>
        <v>Denmark_Arriva_Lint_41</v>
      </c>
      <c r="C469" t="s">
        <v>732</v>
      </c>
      <c r="D469" t="s">
        <v>953</v>
      </c>
      <c r="E469">
        <v>7019</v>
      </c>
      <c r="F469" t="b">
        <f>AND(CONTROL[[#This Row],[IS_WAGON_OR_COACH]]=TRUE,OR(RIGHT(CONTROL[[#This Row],[VEHIDCODE]],7)="Powered",RIGHT(CONTROL[[#This Row],[VEHIDCODE]],9)="Unpowered"))</f>
        <v>0</v>
      </c>
      <c r="G469" s="2" t="b">
        <f>OR(ISNUMBER(SEARCH("wagon_",CONTROL[[#This Row],[VEHIDCODE]])),ISNUMBER(SEARCH("coach_",CONTROL[[#This Row],[VEHIDCODE]])))</f>
        <v>0</v>
      </c>
      <c r="H469" t="str">
        <f>"item_"&amp;CONTROL[[#This Row],[VEHIDCODE]]</f>
        <v>item_dmu_Denmark_Arriva_Lint_41</v>
      </c>
      <c r="I469" t="str">
        <f>"str_"&amp;CONTROL[[#This Row],[VEHIDCODE]]</f>
        <v>str_dmu_Denmark_Arriva_Lint_41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t="b">
        <f>ISNUMBER(_xlfn.XMATCH(CONTROL[[#This Row],[VEHIDCODE]],ENGLISH_ITEMS[VEHIDCODE],0))</f>
        <v>1</v>
      </c>
    </row>
    <row r="470" spans="1:16">
      <c r="A470" s="2" t="s">
        <v>496</v>
      </c>
      <c r="B470" t="str">
        <f>_xlfn.TEXTAFTER(TRACK_TYPES[[#This Row],[VEHIDCODE]],"_")</f>
        <v>Norway_NSB_BM_93_Talent</v>
      </c>
      <c r="C470" t="s">
        <v>732</v>
      </c>
      <c r="D470" t="s">
        <v>953</v>
      </c>
      <c r="E470">
        <v>7020</v>
      </c>
      <c r="F470" t="b">
        <f>AND(CONTROL[[#This Row],[IS_WAGON_OR_COACH]]=TRUE,OR(RIGHT(CONTROL[[#This Row],[VEHIDCODE]],7)="Powered",RIGHT(CONTROL[[#This Row],[VEHIDCODE]],9)="Unpowered"))</f>
        <v>0</v>
      </c>
      <c r="G470" s="2" t="b">
        <f>OR(ISNUMBER(SEARCH("wagon_",CONTROL[[#This Row],[VEHIDCODE]])),ISNUMBER(SEARCH("coach_",CONTROL[[#This Row],[VEHIDCODE]])))</f>
        <v>0</v>
      </c>
      <c r="H470" t="str">
        <f>"item_"&amp;CONTROL[[#This Row],[VEHIDCODE]]</f>
        <v>item_dmu_Norway_NSB_BM_93_Talent</v>
      </c>
      <c r="I470" t="str">
        <f>"str_"&amp;CONTROL[[#This Row],[VEHIDCODE]]</f>
        <v>str_dmu_Norway_NSB_BM_93_Talent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t="b">
        <f>ISNUMBER(_xlfn.XMATCH(CONTROL[[#This Row],[VEHIDCODE]],ENGLISH_ITEMS[VEHIDCODE],0))</f>
        <v>1</v>
      </c>
    </row>
    <row r="471" spans="1:16">
      <c r="A471" s="2" t="s">
        <v>497</v>
      </c>
      <c r="B471" t="str">
        <f>_xlfn.TEXTAFTER(TRACK_TYPES[[#This Row],[VEHIDCODE]],"_")</f>
        <v>Australia_Transwa_Prospector</v>
      </c>
      <c r="C471" t="s">
        <v>732</v>
      </c>
      <c r="D471" t="s">
        <v>953</v>
      </c>
      <c r="E471">
        <v>7021</v>
      </c>
      <c r="F471" t="b">
        <f>AND(CONTROL[[#This Row],[IS_WAGON_OR_COACH]]=TRUE,OR(RIGHT(CONTROL[[#This Row],[VEHIDCODE]],7)="Powered",RIGHT(CONTROL[[#This Row],[VEHIDCODE]],9)="Unpowered"))</f>
        <v>0</v>
      </c>
      <c r="G471" s="2" t="b">
        <f>OR(ISNUMBER(SEARCH("wagon_",CONTROL[[#This Row],[VEHIDCODE]])),ISNUMBER(SEARCH("coach_",CONTROL[[#This Row],[VEHIDCODE]])))</f>
        <v>0</v>
      </c>
      <c r="H471" t="str">
        <f>"item_"&amp;CONTROL[[#This Row],[VEHIDCODE]]</f>
        <v>item_dmu_Australia_Transwa_Prospector</v>
      </c>
      <c r="I471" t="str">
        <f>"str_"&amp;CONTROL[[#This Row],[VEHIDCODE]]</f>
        <v>str_dmu_Australia_Transwa_Prospector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t="b">
        <f>ISNUMBER(_xlfn.XMATCH(CONTROL[[#This Row],[VEHIDCODE]],ENGLISH_ITEMS[VEHIDCODE],0))</f>
        <v>1</v>
      </c>
    </row>
    <row r="472" spans="1:16">
      <c r="A472" s="2" t="s">
        <v>498</v>
      </c>
      <c r="B472" t="str">
        <f>_xlfn.TEXTAFTER(TRACK_TYPES[[#This Row],[VEHIDCODE]],"_")</f>
        <v>Australia_CityRail_Hunter_Railcar</v>
      </c>
      <c r="C472" t="s">
        <v>732</v>
      </c>
      <c r="D472" t="s">
        <v>953</v>
      </c>
      <c r="E472">
        <v>7022</v>
      </c>
      <c r="F472" t="b">
        <f>AND(CONTROL[[#This Row],[IS_WAGON_OR_COACH]]=TRUE,OR(RIGHT(CONTROL[[#This Row],[VEHIDCODE]],7)="Powered",RIGHT(CONTROL[[#This Row],[VEHIDCODE]],9)="Unpowered"))</f>
        <v>0</v>
      </c>
      <c r="G472" s="2" t="b">
        <f>OR(ISNUMBER(SEARCH("wagon_",CONTROL[[#This Row],[VEHIDCODE]])),ISNUMBER(SEARCH("coach_",CONTROL[[#This Row],[VEHIDCODE]])))</f>
        <v>0</v>
      </c>
      <c r="H472" t="str">
        <f>"item_"&amp;CONTROL[[#This Row],[VEHIDCODE]]</f>
        <v>item_dmu_Australia_CityRail_Hunter_Railcar</v>
      </c>
      <c r="I472" t="str">
        <f>"str_"&amp;CONTROL[[#This Row],[VEHIDCODE]]</f>
        <v>str_dmu_Australia_CityRail_Hunter_Railcar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t="b">
        <f>ISNUMBER(_xlfn.XMATCH(CONTROL[[#This Row],[VEHIDCODE]],ENGLISH_ITEMS[VEHIDCODE],0))</f>
        <v>1</v>
      </c>
    </row>
    <row r="473" spans="1:16">
      <c r="A473" s="2" t="s">
        <v>499</v>
      </c>
      <c r="B473" t="str">
        <f>_xlfn.TEXTAFTER(TRACK_TYPES[[#This Row],[VEHIDCODE]],"_")</f>
        <v>Russia_RZD_RA2</v>
      </c>
      <c r="C473" t="s">
        <v>732</v>
      </c>
      <c r="D473" t="s">
        <v>953</v>
      </c>
      <c r="E473">
        <v>7023</v>
      </c>
      <c r="F473" t="b">
        <f>AND(CONTROL[[#This Row],[IS_WAGON_OR_COACH]]=TRUE,OR(RIGHT(CONTROL[[#This Row],[VEHIDCODE]],7)="Powered",RIGHT(CONTROL[[#This Row],[VEHIDCODE]],9)="Unpowered"))</f>
        <v>0</v>
      </c>
      <c r="G473" s="2" t="b">
        <f>OR(ISNUMBER(SEARCH("wagon_",CONTROL[[#This Row],[VEHIDCODE]])),ISNUMBER(SEARCH("coach_",CONTROL[[#This Row],[VEHIDCODE]])))</f>
        <v>0</v>
      </c>
      <c r="H473" t="str">
        <f>"item_"&amp;CONTROL[[#This Row],[VEHIDCODE]]</f>
        <v>item_dmu_Russia_RZD_RA2</v>
      </c>
      <c r="I473" t="str">
        <f>"str_"&amp;CONTROL[[#This Row],[VEHIDCODE]]</f>
        <v>str_dmu_Russia_RZD_RA2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t="b">
        <f>ISNUMBER(_xlfn.XMATCH(CONTROL[[#This Row],[VEHIDCODE]],ENGLISH_ITEMS[VEHIDCODE],0))</f>
        <v>1</v>
      </c>
    </row>
    <row r="474" spans="1:16">
      <c r="A474" s="2" t="s">
        <v>500</v>
      </c>
      <c r="B474" t="str">
        <f>_xlfn.TEXTAFTER(TRACK_TYPES[[#This Row],[VEHIDCODE]],"_")</f>
        <v>Denmark_DSB_IC4</v>
      </c>
      <c r="C474" t="s">
        <v>732</v>
      </c>
      <c r="D474" t="s">
        <v>953</v>
      </c>
      <c r="E474">
        <v>7000</v>
      </c>
      <c r="F474" t="b">
        <f>AND(CONTROL[[#This Row],[IS_WAGON_OR_COACH]]=TRUE,OR(RIGHT(CONTROL[[#This Row],[VEHIDCODE]],7)="Powered",RIGHT(CONTROL[[#This Row],[VEHIDCODE]],9)="Unpowered"))</f>
        <v>0</v>
      </c>
      <c r="G474" s="2" t="b">
        <f>OR(ISNUMBER(SEARCH("wagon_",CONTROL[[#This Row],[VEHIDCODE]])),ISNUMBER(SEARCH("coach_",CONTROL[[#This Row],[VEHIDCODE]])))</f>
        <v>0</v>
      </c>
      <c r="H474" t="str">
        <f>"item_"&amp;CONTROL[[#This Row],[VEHIDCODE]]</f>
        <v>item_dmu_Denmark_DSB_IC4</v>
      </c>
      <c r="I474" t="str">
        <f>"str_"&amp;CONTROL[[#This Row],[VEHIDCODE]]</f>
        <v>str_dmu_Denmark_DSB_IC4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t="b">
        <f>ISNUMBER(_xlfn.XMATCH(CONTROL[[#This Row],[VEHIDCODE]],ENGLISH_ITEMS[VEHIDCODE],0))</f>
        <v>1</v>
      </c>
    </row>
    <row r="475" spans="1:16">
      <c r="A475" s="2" t="s">
        <v>501</v>
      </c>
      <c r="B475" t="str">
        <f>_xlfn.TEXTAFTER(TRACK_TYPES[[#This Row],[VEHIDCODE]],"_")</f>
        <v>Croatia_HZ_7022</v>
      </c>
      <c r="C475" t="s">
        <v>732</v>
      </c>
      <c r="D475" t="s">
        <v>953</v>
      </c>
      <c r="E475">
        <v>7001</v>
      </c>
      <c r="F475" t="b">
        <f>AND(CONTROL[[#This Row],[IS_WAGON_OR_COACH]]=TRUE,OR(RIGHT(CONTROL[[#This Row],[VEHIDCODE]],7)="Powered",RIGHT(CONTROL[[#This Row],[VEHIDCODE]],9)="Unpowered"))</f>
        <v>0</v>
      </c>
      <c r="G475" s="2" t="b">
        <f>OR(ISNUMBER(SEARCH("wagon_",CONTROL[[#This Row],[VEHIDCODE]])),ISNUMBER(SEARCH("coach_",CONTROL[[#This Row],[VEHIDCODE]])))</f>
        <v>0</v>
      </c>
      <c r="H475" t="str">
        <f>"item_"&amp;CONTROL[[#This Row],[VEHIDCODE]]</f>
        <v>item_dmu_Croatia_HZ_7022</v>
      </c>
      <c r="I475" t="str">
        <f>"str_"&amp;CONTROL[[#This Row],[VEHIDCODE]]</f>
        <v>str_dmu_Croatia_HZ_7022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t="b">
        <f>ISNUMBER(_xlfn.XMATCH(CONTROL[[#This Row],[VEHIDCODE]],ENGLISH_ITEMS[VEHIDCODE],0))</f>
        <v>1</v>
      </c>
    </row>
    <row r="476" spans="1:16">
      <c r="A476" s="2" t="s">
        <v>502</v>
      </c>
      <c r="B476" t="str">
        <f>_xlfn.TEXTAFTER(TRACK_TYPES[[#This Row],[VEHIDCODE]],"_")</f>
        <v>Turkey_TCDD_MT_5500</v>
      </c>
      <c r="C476" t="s">
        <v>732</v>
      </c>
      <c r="D476" t="s">
        <v>953</v>
      </c>
      <c r="E476">
        <v>7024</v>
      </c>
      <c r="F476" t="b">
        <f>AND(CONTROL[[#This Row],[IS_WAGON_OR_COACH]]=TRUE,OR(RIGHT(CONTROL[[#This Row],[VEHIDCODE]],7)="Powered",RIGHT(CONTROL[[#This Row],[VEHIDCODE]],9)="Unpowered"))</f>
        <v>0</v>
      </c>
      <c r="G476" s="2" t="b">
        <f>OR(ISNUMBER(SEARCH("wagon_",CONTROL[[#This Row],[VEHIDCODE]])),ISNUMBER(SEARCH("coach_",CONTROL[[#This Row],[VEHIDCODE]])))</f>
        <v>0</v>
      </c>
      <c r="H476" t="str">
        <f>"item_"&amp;CONTROL[[#This Row],[VEHIDCODE]]</f>
        <v>item_dmu_Turkey_TCDD_MT_5500</v>
      </c>
      <c r="I476" t="str">
        <f>"str_"&amp;CONTROL[[#This Row],[VEHIDCODE]]</f>
        <v>str_dmu_Turkey_TCDD_MT_5500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t="b">
        <f>ISNUMBER(_xlfn.XMATCH(CONTROL[[#This Row],[VEHIDCODE]],ENGLISH_ITEMS[VEHIDCODE],0))</f>
        <v>1</v>
      </c>
    </row>
    <row r="477" spans="1:16">
      <c r="A477" s="2" t="s">
        <v>503</v>
      </c>
      <c r="B477" t="str">
        <f>_xlfn.TEXTAFTER(TRACK_TYPES[[#This Row],[VEHIDCODE]],"_")</f>
        <v>Japan_JNR_KiHa_181</v>
      </c>
      <c r="C477" t="s">
        <v>732</v>
      </c>
      <c r="D477" t="s">
        <v>953</v>
      </c>
      <c r="E477">
        <v>7025</v>
      </c>
      <c r="F477" t="b">
        <f>AND(CONTROL[[#This Row],[IS_WAGON_OR_COACH]]=TRUE,OR(RIGHT(CONTROL[[#This Row],[VEHIDCODE]],7)="Powered",RIGHT(CONTROL[[#This Row],[VEHIDCODE]],9)="Unpowered"))</f>
        <v>0</v>
      </c>
      <c r="G477" s="2" t="b">
        <f>OR(ISNUMBER(SEARCH("wagon_",CONTROL[[#This Row],[VEHIDCODE]])),ISNUMBER(SEARCH("coach_",CONTROL[[#This Row],[VEHIDCODE]])))</f>
        <v>0</v>
      </c>
      <c r="H477" t="str">
        <f>"item_"&amp;CONTROL[[#This Row],[VEHIDCODE]]</f>
        <v>item_dmu_Japan_JNR_KiHa_181</v>
      </c>
      <c r="I477" t="str">
        <f>"str_"&amp;CONTROL[[#This Row],[VEHIDCODE]]</f>
        <v>str_dmu_Japan_JNR_KiHa_181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t="b">
        <f>ISNUMBER(_xlfn.XMATCH(CONTROL[[#This Row],[VEHIDCODE]],ENGLISH_ITEMS[VEHIDCODE],0))</f>
        <v>1</v>
      </c>
    </row>
    <row r="478" spans="1:16">
      <c r="A478" s="2" t="s">
        <v>504</v>
      </c>
      <c r="B478" t="str">
        <f>_xlfn.TEXTAFTER(TRACK_TYPES[[#This Row],[VEHIDCODE]],"_")</f>
        <v>Czech_Republic_CD_814</v>
      </c>
      <c r="C478" t="s">
        <v>732</v>
      </c>
      <c r="D478" t="s">
        <v>953</v>
      </c>
      <c r="E478">
        <v>7026</v>
      </c>
      <c r="F478" t="b">
        <f>AND(CONTROL[[#This Row],[IS_WAGON_OR_COACH]]=TRUE,OR(RIGHT(CONTROL[[#This Row],[VEHIDCODE]],7)="Powered",RIGHT(CONTROL[[#This Row],[VEHIDCODE]],9)="Unpowered"))</f>
        <v>0</v>
      </c>
      <c r="G478" s="2" t="b">
        <f>OR(ISNUMBER(SEARCH("wagon_",CONTROL[[#This Row],[VEHIDCODE]])),ISNUMBER(SEARCH("coach_",CONTROL[[#This Row],[VEHIDCODE]])))</f>
        <v>0</v>
      </c>
      <c r="H478" t="str">
        <f>"item_"&amp;CONTROL[[#This Row],[VEHIDCODE]]</f>
        <v>item_dmu_Czech_Republic_CD_814</v>
      </c>
      <c r="I478" t="str">
        <f>"str_"&amp;CONTROL[[#This Row],[VEHIDCODE]]</f>
        <v>str_dmu_Czech_Republic_CD_814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t="b">
        <f>ISNUMBER(_xlfn.XMATCH(CONTROL[[#This Row],[VEHIDCODE]],ENGLISH_ITEMS[VEHIDCODE],0))</f>
        <v>1</v>
      </c>
    </row>
    <row r="479" spans="1:16">
      <c r="A479" s="2" t="s">
        <v>505</v>
      </c>
      <c r="B479" t="str">
        <f>_xlfn.TEXTAFTER(TRACK_TYPES[[#This Row],[VEHIDCODE]],"_")</f>
        <v>UK_BR_150_0_Sprinter</v>
      </c>
      <c r="C479" t="s">
        <v>732</v>
      </c>
      <c r="D479" t="s">
        <v>953</v>
      </c>
      <c r="E479">
        <v>7027</v>
      </c>
      <c r="F479" t="b">
        <f>AND(CONTROL[[#This Row],[IS_WAGON_OR_COACH]]=TRUE,OR(RIGHT(CONTROL[[#This Row],[VEHIDCODE]],7)="Powered",RIGHT(CONTROL[[#This Row],[VEHIDCODE]],9)="Unpowered"))</f>
        <v>0</v>
      </c>
      <c r="G479" s="2" t="b">
        <f>OR(ISNUMBER(SEARCH("wagon_",CONTROL[[#This Row],[VEHIDCODE]])),ISNUMBER(SEARCH("coach_",CONTROL[[#This Row],[VEHIDCODE]])))</f>
        <v>0</v>
      </c>
      <c r="H479" t="str">
        <f>"item_"&amp;CONTROL[[#This Row],[VEHIDCODE]]</f>
        <v>item_dmu_UK_BR_150_0_Sprinter</v>
      </c>
      <c r="I479" t="str">
        <f>"str_"&amp;CONTROL[[#This Row],[VEHIDCODE]]</f>
        <v>str_dmu_UK_BR_150_0_Sprinter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t="b">
        <f>ISNUMBER(_xlfn.XMATCH(CONTROL[[#This Row],[VEHIDCODE]],ENGLISH_ITEMS[VEHIDCODE],0))</f>
        <v>1</v>
      </c>
    </row>
    <row r="480" spans="1:16">
      <c r="A480" s="2" t="s">
        <v>506</v>
      </c>
      <c r="B480" t="str">
        <f>_xlfn.TEXTAFTER(TRACK_TYPES[[#This Row],[VEHIDCODE]],"_")</f>
        <v>Iran_RAI_141_Pacer</v>
      </c>
      <c r="C480" t="s">
        <v>732</v>
      </c>
      <c r="D480" t="s">
        <v>953</v>
      </c>
      <c r="E480">
        <v>7028</v>
      </c>
      <c r="F480" t="b">
        <f>AND(CONTROL[[#This Row],[IS_WAGON_OR_COACH]]=TRUE,OR(RIGHT(CONTROL[[#This Row],[VEHIDCODE]],7)="Powered",RIGHT(CONTROL[[#This Row],[VEHIDCODE]],9)="Unpowered"))</f>
        <v>0</v>
      </c>
      <c r="G480" s="2" t="b">
        <f>OR(ISNUMBER(SEARCH("wagon_",CONTROL[[#This Row],[VEHIDCODE]])),ISNUMBER(SEARCH("coach_",CONTROL[[#This Row],[VEHIDCODE]])))</f>
        <v>0</v>
      </c>
      <c r="H480" t="str">
        <f>"item_"&amp;CONTROL[[#This Row],[VEHIDCODE]]</f>
        <v>item_dmu_Iran_RAI_141_Pacer</v>
      </c>
      <c r="I480" t="str">
        <f>"str_"&amp;CONTROL[[#This Row],[VEHIDCODE]]</f>
        <v>str_dmu_Iran_RAI_141_Pacer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t="b">
        <f>ISNUMBER(_xlfn.XMATCH(CONTROL[[#This Row],[VEHIDCODE]],ENGLISH_ITEMS[VEHIDCODE],0))</f>
        <v>1</v>
      </c>
    </row>
    <row r="481" spans="1:16">
      <c r="A481" s="2" t="s">
        <v>507</v>
      </c>
      <c r="B481" t="str">
        <f>_xlfn.TEXTAFTER(TRACK_TYPES[[#This Row],[VEHIDCODE]],"_")</f>
        <v>Israel_Israel_Railways_IC3</v>
      </c>
      <c r="C481" t="s">
        <v>732</v>
      </c>
      <c r="D481" t="s">
        <v>953</v>
      </c>
      <c r="E481">
        <v>7029</v>
      </c>
      <c r="F481" t="b">
        <f>AND(CONTROL[[#This Row],[IS_WAGON_OR_COACH]]=TRUE,OR(RIGHT(CONTROL[[#This Row],[VEHIDCODE]],7)="Powered",RIGHT(CONTROL[[#This Row],[VEHIDCODE]],9)="Unpowered"))</f>
        <v>0</v>
      </c>
      <c r="G481" s="2" t="b">
        <f>OR(ISNUMBER(SEARCH("wagon_",CONTROL[[#This Row],[VEHIDCODE]])),ISNUMBER(SEARCH("coach_",CONTROL[[#This Row],[VEHIDCODE]])))</f>
        <v>0</v>
      </c>
      <c r="H481" t="str">
        <f>"item_"&amp;CONTROL[[#This Row],[VEHIDCODE]]</f>
        <v>item_dmu_Israel_Israel_Railways_IC3</v>
      </c>
      <c r="I481" t="str">
        <f>"str_"&amp;CONTROL[[#This Row],[VEHIDCODE]]</f>
        <v>str_dmu_Israel_Israel_Railways_IC3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t="b">
        <f>ISNUMBER(_xlfn.XMATCH(CONTROL[[#This Row],[VEHIDCODE]],ENGLISH_ITEMS[VEHIDCODE],0))</f>
        <v>1</v>
      </c>
    </row>
    <row r="482" spans="1:16">
      <c r="A482" s="2" t="s">
        <v>508</v>
      </c>
      <c r="B482" t="str">
        <f>_xlfn.TEXTAFTER(TRACK_TYPES[[#This Row],[VEHIDCODE]],"_")</f>
        <v>Australia_TransAdelaide_3100</v>
      </c>
      <c r="C482" t="s">
        <v>732</v>
      </c>
      <c r="D482" t="s">
        <v>953</v>
      </c>
      <c r="E482">
        <v>7030</v>
      </c>
      <c r="F482" t="b">
        <f>AND(CONTROL[[#This Row],[IS_WAGON_OR_COACH]]=TRUE,OR(RIGHT(CONTROL[[#This Row],[VEHIDCODE]],7)="Powered",RIGHT(CONTROL[[#This Row],[VEHIDCODE]],9)="Unpowered"))</f>
        <v>0</v>
      </c>
      <c r="G482" s="2" t="b">
        <f>OR(ISNUMBER(SEARCH("wagon_",CONTROL[[#This Row],[VEHIDCODE]])),ISNUMBER(SEARCH("coach_",CONTROL[[#This Row],[VEHIDCODE]])))</f>
        <v>0</v>
      </c>
      <c r="H482" t="str">
        <f>"item_"&amp;CONTROL[[#This Row],[VEHIDCODE]]</f>
        <v>item_dmu_Australia_TransAdelaide_3100</v>
      </c>
      <c r="I482" t="str">
        <f>"str_"&amp;CONTROL[[#This Row],[VEHIDCODE]]</f>
        <v>str_dmu_Australia_TransAdelaide_3100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t="b">
        <f>ISNUMBER(_xlfn.XMATCH(CONTROL[[#This Row],[VEHIDCODE]],ENGLISH_ITEMS[VEHIDCODE],0))</f>
        <v>1</v>
      </c>
    </row>
    <row r="483" spans="1:16">
      <c r="A483" s="2" t="s">
        <v>509</v>
      </c>
      <c r="B483" t="str">
        <f>_xlfn.TEXTAFTER(TRACK_TYPES[[#This Row],[VEHIDCODE]],"_")</f>
        <v>Australia_NSWGR_Xplorer</v>
      </c>
      <c r="C483" t="s">
        <v>732</v>
      </c>
      <c r="D483" t="s">
        <v>953</v>
      </c>
      <c r="E483">
        <v>7031</v>
      </c>
      <c r="F483" t="b">
        <f>AND(CONTROL[[#This Row],[IS_WAGON_OR_COACH]]=TRUE,OR(RIGHT(CONTROL[[#This Row],[VEHIDCODE]],7)="Powered",RIGHT(CONTROL[[#This Row],[VEHIDCODE]],9)="Unpowered"))</f>
        <v>0</v>
      </c>
      <c r="G483" s="2" t="b">
        <f>OR(ISNUMBER(SEARCH("wagon_",CONTROL[[#This Row],[VEHIDCODE]])),ISNUMBER(SEARCH("coach_",CONTROL[[#This Row],[VEHIDCODE]])))</f>
        <v>0</v>
      </c>
      <c r="H483" t="str">
        <f>"item_"&amp;CONTROL[[#This Row],[VEHIDCODE]]</f>
        <v>item_dmu_Australia_NSWGR_Xplorer</v>
      </c>
      <c r="I483" t="str">
        <f>"str_"&amp;CONTROL[[#This Row],[VEHIDCODE]]</f>
        <v>str_dmu_Australia_NSWGR_Xplorer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t="b">
        <f>ISNUMBER(_xlfn.XMATCH(CONTROL[[#This Row],[VEHIDCODE]],ENGLISH_ITEMS[VEHIDCODE],0))</f>
        <v>1</v>
      </c>
    </row>
    <row r="484" spans="1:16">
      <c r="A484" s="2" t="s">
        <v>510</v>
      </c>
      <c r="B484" t="str">
        <f>_xlfn.TEXTAFTER(TRACK_TYPES[[#This Row],[VEHIDCODE]],"_")</f>
        <v>Japan_JR_KiHa_189</v>
      </c>
      <c r="C484" t="s">
        <v>732</v>
      </c>
      <c r="D484" t="s">
        <v>953</v>
      </c>
      <c r="E484">
        <v>7032</v>
      </c>
      <c r="F484" t="b">
        <f>AND(CONTROL[[#This Row],[IS_WAGON_OR_COACH]]=TRUE,OR(RIGHT(CONTROL[[#This Row],[VEHIDCODE]],7)="Powered",RIGHT(CONTROL[[#This Row],[VEHIDCODE]],9)="Unpowered"))</f>
        <v>0</v>
      </c>
      <c r="G484" s="2" t="b">
        <f>OR(ISNUMBER(SEARCH("wagon_",CONTROL[[#This Row],[VEHIDCODE]])),ISNUMBER(SEARCH("coach_",CONTROL[[#This Row],[VEHIDCODE]])))</f>
        <v>0</v>
      </c>
      <c r="H484" t="str">
        <f>"item_"&amp;CONTROL[[#This Row],[VEHIDCODE]]</f>
        <v>item_dmu_Japan_JR_KiHa_189</v>
      </c>
      <c r="I484" t="str">
        <f>"str_"&amp;CONTROL[[#This Row],[VEHIDCODE]]</f>
        <v>str_dmu_Japan_JR_KiHa_189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t="b">
        <f>ISNUMBER(_xlfn.XMATCH(CONTROL[[#This Row],[VEHIDCODE]],ENGLISH_ITEMS[VEHIDCODE],0))</f>
        <v>1</v>
      </c>
    </row>
    <row r="485" spans="1:16">
      <c r="A485" s="2" t="s">
        <v>511</v>
      </c>
      <c r="B485" t="str">
        <f>_xlfn.TEXTAFTER(TRACK_TYPES[[#This Row],[VEHIDCODE]],"_")</f>
        <v>Sri_Lanka_Sri_Lanka_Railways_S11</v>
      </c>
      <c r="C485" t="s">
        <v>732</v>
      </c>
      <c r="D485" t="s">
        <v>953</v>
      </c>
      <c r="E485">
        <v>7033</v>
      </c>
      <c r="F485" t="b">
        <f>AND(CONTROL[[#This Row],[IS_WAGON_OR_COACH]]=TRUE,OR(RIGHT(CONTROL[[#This Row],[VEHIDCODE]],7)="Powered",RIGHT(CONTROL[[#This Row],[VEHIDCODE]],9)="Unpowered"))</f>
        <v>0</v>
      </c>
      <c r="G485" s="2" t="b">
        <f>OR(ISNUMBER(SEARCH("wagon_",CONTROL[[#This Row],[VEHIDCODE]])),ISNUMBER(SEARCH("coach_",CONTROL[[#This Row],[VEHIDCODE]])))</f>
        <v>0</v>
      </c>
      <c r="H485" t="str">
        <f>"item_"&amp;CONTROL[[#This Row],[VEHIDCODE]]</f>
        <v>item_dmu_Sri_Lanka_Sri_Lanka_Railways_S11</v>
      </c>
      <c r="I485" t="str">
        <f>"str_"&amp;CONTROL[[#This Row],[VEHIDCODE]]</f>
        <v>str_dmu_Sri_Lanka_Sri_Lanka_Railways_S11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t="b">
        <f>ISNUMBER(_xlfn.XMATCH(CONTROL[[#This Row],[VEHIDCODE]],ENGLISH_ITEMS[VEHIDCODE],0))</f>
        <v>1</v>
      </c>
    </row>
    <row r="486" spans="1:16">
      <c r="A486" s="2" t="s">
        <v>512</v>
      </c>
      <c r="B486" t="str">
        <f>_xlfn.TEXTAFTER(TRACK_TYPES[[#This Row],[VEHIDCODE]],"_")</f>
        <v>Slovakia_ZSSK_861</v>
      </c>
      <c r="C486" t="s">
        <v>732</v>
      </c>
      <c r="D486" t="s">
        <v>953</v>
      </c>
      <c r="E486">
        <v>7035</v>
      </c>
      <c r="F486" t="b">
        <f>AND(CONTROL[[#This Row],[IS_WAGON_OR_COACH]]=TRUE,OR(RIGHT(CONTROL[[#This Row],[VEHIDCODE]],7)="Powered",RIGHT(CONTROL[[#This Row],[VEHIDCODE]],9)="Unpowered"))</f>
        <v>0</v>
      </c>
      <c r="G486" s="2" t="b">
        <f>OR(ISNUMBER(SEARCH("wagon_",CONTROL[[#This Row],[VEHIDCODE]])),ISNUMBER(SEARCH("coach_",CONTROL[[#This Row],[VEHIDCODE]])))</f>
        <v>0</v>
      </c>
      <c r="H486" t="str">
        <f>"item_"&amp;CONTROL[[#This Row],[VEHIDCODE]]</f>
        <v>item_dmu_Slovakia_ZSSK_861</v>
      </c>
      <c r="I486" t="str">
        <f>"str_"&amp;CONTROL[[#This Row],[VEHIDCODE]]</f>
        <v>str_dmu_Slovakia_ZSSK_861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t="b">
        <f>ISNUMBER(_xlfn.XMATCH(CONTROL[[#This Row],[VEHIDCODE]],ENGLISH_ITEMS[VEHIDCODE],0))</f>
        <v>1</v>
      </c>
    </row>
    <row r="487" spans="1:16">
      <c r="A487" s="2" t="s">
        <v>513</v>
      </c>
      <c r="B487" t="str">
        <f>_xlfn.TEXTAFTER(TRACK_TYPES[[#This Row],[VEHIDCODE]],"_")</f>
        <v>Chile_EFE_TLD_500</v>
      </c>
      <c r="C487" t="s">
        <v>732</v>
      </c>
      <c r="D487" t="s">
        <v>953</v>
      </c>
      <c r="E487">
        <v>7036</v>
      </c>
      <c r="F487" t="b">
        <f>AND(CONTROL[[#This Row],[IS_WAGON_OR_COACH]]=TRUE,OR(RIGHT(CONTROL[[#This Row],[VEHIDCODE]],7)="Powered",RIGHT(CONTROL[[#This Row],[VEHIDCODE]],9)="Unpowered"))</f>
        <v>0</v>
      </c>
      <c r="G487" s="2" t="b">
        <f>OR(ISNUMBER(SEARCH("wagon_",CONTROL[[#This Row],[VEHIDCODE]])),ISNUMBER(SEARCH("coach_",CONTROL[[#This Row],[VEHIDCODE]])))</f>
        <v>0</v>
      </c>
      <c r="H487" t="str">
        <f>"item_"&amp;CONTROL[[#This Row],[VEHIDCODE]]</f>
        <v>item_dmu_Chile_EFE_TLD_500</v>
      </c>
      <c r="I487" t="str">
        <f>"str_"&amp;CONTROL[[#This Row],[VEHIDCODE]]</f>
        <v>str_dmu_Chile_EFE_TLD_500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t="b">
        <f>ISNUMBER(_xlfn.XMATCH(CONTROL[[#This Row],[VEHIDCODE]],ENGLISH_ITEMS[VEHIDCODE],0))</f>
        <v>1</v>
      </c>
    </row>
    <row r="488" spans="1:16">
      <c r="A488" s="2" t="s">
        <v>514</v>
      </c>
      <c r="B488" t="str">
        <f>_xlfn.TEXTAFTER(TRACK_TYPES[[#This Row],[VEHIDCODE]],"_")</f>
        <v>Cameroon_Camrail_ZE_500</v>
      </c>
      <c r="C488" t="s">
        <v>732</v>
      </c>
      <c r="D488" t="s">
        <v>953</v>
      </c>
      <c r="E488">
        <v>7037</v>
      </c>
      <c r="F488" t="b">
        <f>AND(CONTROL[[#This Row],[IS_WAGON_OR_COACH]]=TRUE,OR(RIGHT(CONTROL[[#This Row],[VEHIDCODE]],7)="Powered",RIGHT(CONTROL[[#This Row],[VEHIDCODE]],9)="Unpowered"))</f>
        <v>0</v>
      </c>
      <c r="G488" s="2" t="b">
        <f>OR(ISNUMBER(SEARCH("wagon_",CONTROL[[#This Row],[VEHIDCODE]])),ISNUMBER(SEARCH("coach_",CONTROL[[#This Row],[VEHIDCODE]])))</f>
        <v>0</v>
      </c>
      <c r="H488" t="str">
        <f>"item_"&amp;CONTROL[[#This Row],[VEHIDCODE]]</f>
        <v>item_dmu_Cameroon_Camrail_ZE_500</v>
      </c>
      <c r="I488" t="str">
        <f>"str_"&amp;CONTROL[[#This Row],[VEHIDCODE]]</f>
        <v>str_dmu_Cameroon_Camrail_ZE_500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t="b">
        <f>ISNUMBER(_xlfn.XMATCH(CONTROL[[#This Row],[VEHIDCODE]],ENGLISH_ITEMS[VEHIDCODE],0))</f>
        <v>1</v>
      </c>
    </row>
    <row r="489" spans="1:16">
      <c r="A489" s="2" t="s">
        <v>515</v>
      </c>
      <c r="B489" t="str">
        <f>_xlfn.TEXTAFTER(TRACK_TYPES[[#This Row],[VEHIDCODE]],"_")</f>
        <v>UK_BR_251_Blue_Pullman</v>
      </c>
      <c r="C489" t="s">
        <v>732</v>
      </c>
      <c r="D489" t="s">
        <v>953</v>
      </c>
      <c r="E489">
        <v>7039</v>
      </c>
      <c r="F489" t="b">
        <f>AND(CONTROL[[#This Row],[IS_WAGON_OR_COACH]]=TRUE,OR(RIGHT(CONTROL[[#This Row],[VEHIDCODE]],7)="Powered",RIGHT(CONTROL[[#This Row],[VEHIDCODE]],9)="Unpowered"))</f>
        <v>0</v>
      </c>
      <c r="G489" s="2" t="b">
        <f>OR(ISNUMBER(SEARCH("wagon_",CONTROL[[#This Row],[VEHIDCODE]])),ISNUMBER(SEARCH("coach_",CONTROL[[#This Row],[VEHIDCODE]])))</f>
        <v>0</v>
      </c>
      <c r="H489" t="str">
        <f>"item_"&amp;CONTROL[[#This Row],[VEHIDCODE]]</f>
        <v>item_dmu_UK_BR_251_Blue_Pullman</v>
      </c>
      <c r="I489" t="str">
        <f>"str_"&amp;CONTROL[[#This Row],[VEHIDCODE]]</f>
        <v>str_dmu_UK_BR_251_Blue_Pullman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t="b">
        <f>ISNUMBER(_xlfn.XMATCH(CONTROL[[#This Row],[VEHIDCODE]],ENGLISH_ITEMS[VEHIDCODE],0))</f>
        <v>1</v>
      </c>
    </row>
    <row r="490" spans="1:16">
      <c r="A490" s="2" t="s">
        <v>516</v>
      </c>
      <c r="B490" t="str">
        <f>_xlfn.TEXTAFTER(TRACK_TYPES[[#This Row],[VEHIDCODE]],"_")</f>
        <v>Australia_WAGR_ADK_ADB</v>
      </c>
      <c r="C490" t="s">
        <v>732</v>
      </c>
      <c r="D490" t="s">
        <v>953</v>
      </c>
      <c r="E490">
        <v>7041</v>
      </c>
      <c r="F490" t="b">
        <f>AND(CONTROL[[#This Row],[IS_WAGON_OR_COACH]]=TRUE,OR(RIGHT(CONTROL[[#This Row],[VEHIDCODE]],7)="Powered",RIGHT(CONTROL[[#This Row],[VEHIDCODE]],9)="Unpowered"))</f>
        <v>0</v>
      </c>
      <c r="G490" s="2" t="b">
        <f>OR(ISNUMBER(SEARCH("wagon_",CONTROL[[#This Row],[VEHIDCODE]])),ISNUMBER(SEARCH("coach_",CONTROL[[#This Row],[VEHIDCODE]])))</f>
        <v>0</v>
      </c>
      <c r="H490" t="str">
        <f>"item_"&amp;CONTROL[[#This Row],[VEHIDCODE]]</f>
        <v>item_dmu_Australia_WAGR_ADK_ADB</v>
      </c>
      <c r="I490" t="str">
        <f>"str_"&amp;CONTROL[[#This Row],[VEHIDCODE]]</f>
        <v>str_dmu_Australia_WAGR_ADK_ADB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t="b">
        <f>ISNUMBER(_xlfn.XMATCH(CONTROL[[#This Row],[VEHIDCODE]],ENGLISH_ITEMS[VEHIDCODE],0))</f>
        <v>1</v>
      </c>
    </row>
    <row r="491" spans="1:16">
      <c r="A491" s="2" t="s">
        <v>517</v>
      </c>
      <c r="B491" t="str">
        <f>_xlfn.TEXTAFTER(TRACK_TYPES[[#This Row],[VEHIDCODE]],"_")</f>
        <v>France_SNCF_X_4630</v>
      </c>
      <c r="C491" t="s">
        <v>732</v>
      </c>
      <c r="D491" t="s">
        <v>953</v>
      </c>
      <c r="E491">
        <v>7042</v>
      </c>
      <c r="F491" t="b">
        <f>AND(CONTROL[[#This Row],[IS_WAGON_OR_COACH]]=TRUE,OR(RIGHT(CONTROL[[#This Row],[VEHIDCODE]],7)="Powered",RIGHT(CONTROL[[#This Row],[VEHIDCODE]],9)="Unpowered"))</f>
        <v>0</v>
      </c>
      <c r="G491" s="2" t="b">
        <f>OR(ISNUMBER(SEARCH("wagon_",CONTROL[[#This Row],[VEHIDCODE]])),ISNUMBER(SEARCH("coach_",CONTROL[[#This Row],[VEHIDCODE]])))</f>
        <v>0</v>
      </c>
      <c r="H491" t="str">
        <f>"item_"&amp;CONTROL[[#This Row],[VEHIDCODE]]</f>
        <v>item_dmu_France_SNCF_X_4630</v>
      </c>
      <c r="I491" t="str">
        <f>"str_"&amp;CONTROL[[#This Row],[VEHIDCODE]]</f>
        <v>str_dmu_France_SNCF_X_4630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t="b">
        <f>ISNUMBER(_xlfn.XMATCH(CONTROL[[#This Row],[VEHIDCODE]],ENGLISH_ITEMS[VEHIDCODE],0))</f>
        <v>1</v>
      </c>
    </row>
    <row r="492" spans="1:16">
      <c r="A492" s="2" t="s">
        <v>518</v>
      </c>
      <c r="B492" t="str">
        <f>_xlfn.TEXTAFTER(TRACK_TYPES[[#This Row],[VEHIDCODE]],"_")</f>
        <v>France_SNCF_T_2000</v>
      </c>
      <c r="C492" t="s">
        <v>732</v>
      </c>
      <c r="D492" t="s">
        <v>953</v>
      </c>
      <c r="E492">
        <v>7043</v>
      </c>
      <c r="F492" t="b">
        <f>AND(CONTROL[[#This Row],[IS_WAGON_OR_COACH]]=TRUE,OR(RIGHT(CONTROL[[#This Row],[VEHIDCODE]],7)="Powered",RIGHT(CONTROL[[#This Row],[VEHIDCODE]],9)="Unpowered"))</f>
        <v>0</v>
      </c>
      <c r="G492" s="2" t="b">
        <f>OR(ISNUMBER(SEARCH("wagon_",CONTROL[[#This Row],[VEHIDCODE]])),ISNUMBER(SEARCH("coach_",CONTROL[[#This Row],[VEHIDCODE]])))</f>
        <v>0</v>
      </c>
      <c r="H492" t="str">
        <f>"item_"&amp;CONTROL[[#This Row],[VEHIDCODE]]</f>
        <v>item_dmu_France_SNCF_T_2000</v>
      </c>
      <c r="I492" t="str">
        <f>"str_"&amp;CONTROL[[#This Row],[VEHIDCODE]]</f>
        <v>str_dmu_France_SNCF_T_2000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t="b">
        <f>ISNUMBER(_xlfn.XMATCH(CONTROL[[#This Row],[VEHIDCODE]],ENGLISH_ITEMS[VEHIDCODE],0))</f>
        <v>1</v>
      </c>
    </row>
    <row r="493" spans="1:16">
      <c r="A493" s="2" t="s">
        <v>519</v>
      </c>
      <c r="B493" t="str">
        <f>_xlfn.TEXTAFTER(TRACK_TYPES[[#This Row],[VEHIDCODE]],"_")</f>
        <v>Netherlands_NS_DH2</v>
      </c>
      <c r="C493" t="s">
        <v>732</v>
      </c>
      <c r="D493" t="s">
        <v>953</v>
      </c>
      <c r="E493">
        <v>7045</v>
      </c>
      <c r="F493" t="b">
        <f>AND(CONTROL[[#This Row],[IS_WAGON_OR_COACH]]=TRUE,OR(RIGHT(CONTROL[[#This Row],[VEHIDCODE]],7)="Powered",RIGHT(CONTROL[[#This Row],[VEHIDCODE]],9)="Unpowered"))</f>
        <v>0</v>
      </c>
      <c r="G493" s="2" t="b">
        <f>OR(ISNUMBER(SEARCH("wagon_",CONTROL[[#This Row],[VEHIDCODE]])),ISNUMBER(SEARCH("coach_",CONTROL[[#This Row],[VEHIDCODE]])))</f>
        <v>0</v>
      </c>
      <c r="H493" t="str">
        <f>"item_"&amp;CONTROL[[#This Row],[VEHIDCODE]]</f>
        <v>item_dmu_Netherlands_NS_DH2</v>
      </c>
      <c r="I493" t="str">
        <f>"str_"&amp;CONTROL[[#This Row],[VEHIDCODE]]</f>
        <v>str_dmu_Netherlands_NS_DH2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t="b">
        <f>ISNUMBER(_xlfn.XMATCH(CONTROL[[#This Row],[VEHIDCODE]],ENGLISH_ITEMS[VEHIDCODE],0))</f>
        <v>1</v>
      </c>
    </row>
    <row r="494" spans="1:16">
      <c r="A494" s="2" t="s">
        <v>520</v>
      </c>
      <c r="B494" t="str">
        <f>_xlfn.TEXTAFTER(TRACK_TYPES[[#This Row],[VEHIDCODE]],"_")</f>
        <v>Germany_DB_6282</v>
      </c>
      <c r="C494" t="s">
        <v>732</v>
      </c>
      <c r="D494" t="s">
        <v>953</v>
      </c>
      <c r="E494">
        <v>7047</v>
      </c>
      <c r="F494" t="b">
        <f>AND(CONTROL[[#This Row],[IS_WAGON_OR_COACH]]=TRUE,OR(RIGHT(CONTROL[[#This Row],[VEHIDCODE]],7)="Powered",RIGHT(CONTROL[[#This Row],[VEHIDCODE]],9)="Unpowered"))</f>
        <v>0</v>
      </c>
      <c r="G494" s="2" t="b">
        <f>OR(ISNUMBER(SEARCH("wagon_",CONTROL[[#This Row],[VEHIDCODE]])),ISNUMBER(SEARCH("coach_",CONTROL[[#This Row],[VEHIDCODE]])))</f>
        <v>0</v>
      </c>
      <c r="H494" t="str">
        <f>"item_"&amp;CONTROL[[#This Row],[VEHIDCODE]]</f>
        <v>item_dmu_Germany_DB_6282</v>
      </c>
      <c r="I494" t="str">
        <f>"str_"&amp;CONTROL[[#This Row],[VEHIDCODE]]</f>
        <v>str_dmu_Germany_DB_6282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t="b">
        <f>ISNUMBER(_xlfn.XMATCH(CONTROL[[#This Row],[VEHIDCODE]],ENGLISH_ITEMS[VEHIDCODE],0))</f>
        <v>1</v>
      </c>
    </row>
    <row r="495" spans="1:16">
      <c r="A495" s="2" t="s">
        <v>521</v>
      </c>
      <c r="B495" t="str">
        <f>_xlfn.TEXTAFTER(TRACK_TYPES[[#This Row],[VEHIDCODE]],"_")</f>
        <v>Algeria_SNTF_ZZ_2200_Autorail</v>
      </c>
      <c r="C495" t="s">
        <v>732</v>
      </c>
      <c r="D495" t="s">
        <v>953</v>
      </c>
      <c r="E495">
        <v>7048</v>
      </c>
      <c r="F495" t="b">
        <f>AND(CONTROL[[#This Row],[IS_WAGON_OR_COACH]]=TRUE,OR(RIGHT(CONTROL[[#This Row],[VEHIDCODE]],7)="Powered",RIGHT(CONTROL[[#This Row],[VEHIDCODE]],9)="Unpowered"))</f>
        <v>0</v>
      </c>
      <c r="G495" s="2" t="b">
        <f>OR(ISNUMBER(SEARCH("wagon_",CONTROL[[#This Row],[VEHIDCODE]])),ISNUMBER(SEARCH("coach_",CONTROL[[#This Row],[VEHIDCODE]])))</f>
        <v>0</v>
      </c>
      <c r="H495" t="str">
        <f>"item_"&amp;CONTROL[[#This Row],[VEHIDCODE]]</f>
        <v>item_dmu_Algeria_SNTF_ZZ_2200_Autorail</v>
      </c>
      <c r="I495" t="str">
        <f>"str_"&amp;CONTROL[[#This Row],[VEHIDCODE]]</f>
        <v>str_dmu_Algeria_SNTF_ZZ_2200_Autorail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t="b">
        <f>ISNUMBER(_xlfn.XMATCH(CONTROL[[#This Row],[VEHIDCODE]],ENGLISH_ITEMS[VEHIDCODE],0))</f>
        <v>1</v>
      </c>
    </row>
    <row r="496" spans="1:16">
      <c r="A496" s="2" t="s">
        <v>522</v>
      </c>
      <c r="B496" t="str">
        <f>_xlfn.TEXTAFTER(TRACK_TYPES[[#This Row],[VEHIDCODE]],"_")</f>
        <v>Tunisia_SNCFT_AMT_800</v>
      </c>
      <c r="C496" t="s">
        <v>732</v>
      </c>
      <c r="D496" t="s">
        <v>953</v>
      </c>
      <c r="E496">
        <v>7049</v>
      </c>
      <c r="F496" t="b">
        <f>AND(CONTROL[[#This Row],[IS_WAGON_OR_COACH]]=TRUE,OR(RIGHT(CONTROL[[#This Row],[VEHIDCODE]],7)="Powered",RIGHT(CONTROL[[#This Row],[VEHIDCODE]],9)="Unpowered"))</f>
        <v>0</v>
      </c>
      <c r="G496" s="2" t="b">
        <f>OR(ISNUMBER(SEARCH("wagon_",CONTROL[[#This Row],[VEHIDCODE]])),ISNUMBER(SEARCH("coach_",CONTROL[[#This Row],[VEHIDCODE]])))</f>
        <v>0</v>
      </c>
      <c r="H496" t="str">
        <f>"item_"&amp;CONTROL[[#This Row],[VEHIDCODE]]</f>
        <v>item_dmu_Tunisia_SNCFT_AMT_800</v>
      </c>
      <c r="I496" t="str">
        <f>"str_"&amp;CONTROL[[#This Row],[VEHIDCODE]]</f>
        <v>str_dmu_Tunisia_SNCFT_AMT_800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t="b">
        <f>ISNUMBER(_xlfn.XMATCH(CONTROL[[#This Row],[VEHIDCODE]],ENGLISH_ITEMS[VEHIDCODE],0))</f>
        <v>1</v>
      </c>
    </row>
    <row r="497" spans="1:16">
      <c r="A497" s="2" t="s">
        <v>523</v>
      </c>
      <c r="B497" t="str">
        <f>_xlfn.TEXTAFTER(TRACK_TYPES[[#This Row],[VEHIDCODE]],"_")</f>
        <v>Ghana_Ghana_Railways_DEMU</v>
      </c>
      <c r="C497" t="s">
        <v>732</v>
      </c>
      <c r="D497" t="s">
        <v>953</v>
      </c>
      <c r="E497">
        <v>7050</v>
      </c>
      <c r="F497" t="b">
        <f>AND(CONTROL[[#This Row],[IS_WAGON_OR_COACH]]=TRUE,OR(RIGHT(CONTROL[[#This Row],[VEHIDCODE]],7)="Powered",RIGHT(CONTROL[[#This Row],[VEHIDCODE]],9)="Unpowered"))</f>
        <v>0</v>
      </c>
      <c r="G497" s="2" t="b">
        <f>OR(ISNUMBER(SEARCH("wagon_",CONTROL[[#This Row],[VEHIDCODE]])),ISNUMBER(SEARCH("coach_",CONTROL[[#This Row],[VEHIDCODE]])))</f>
        <v>0</v>
      </c>
      <c r="H497" t="str">
        <f>"item_"&amp;CONTROL[[#This Row],[VEHIDCODE]]</f>
        <v>item_dmu_Ghana_Ghana_Railways_DEMU</v>
      </c>
      <c r="I497" t="str">
        <f>"str_"&amp;CONTROL[[#This Row],[VEHIDCODE]]</f>
        <v>str_dmu_Ghana_Ghana_Railways_DEMU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t="b">
        <f>ISNUMBER(_xlfn.XMATCH(CONTROL[[#This Row],[VEHIDCODE]],ENGLISH_ITEMS[VEHIDCODE],0))</f>
        <v>1</v>
      </c>
    </row>
    <row r="498" spans="1:16">
      <c r="A498" s="2" t="s">
        <v>524</v>
      </c>
      <c r="B498" t="str">
        <f>_xlfn.TEXTAFTER(TRACK_TYPES[[#This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b">
        <f>AND(CONTROL[[#This Row],[IS_WAGON_OR_COACH]]=TRUE,OR(RIGHT(CONTROL[[#This Row],[VEHIDCODE]],7)="Powered",RIGHT(CONTROL[[#This Row],[VEHIDCODE]],9)="Unpowered"))</f>
        <v>0</v>
      </c>
      <c r="G498" s="2" t="b">
        <f>OR(ISNUMBER(SEARCH("wagon_",CONTROL[[#This Row],[VEHIDCODE]])),ISNUMBER(SEARCH("coach_",CONTROL[[#This Row],[VEHIDCODE]])))</f>
        <v>0</v>
      </c>
      <c r="H498" t="str">
        <f>"item_"&amp;CONTROL[[#This Row],[VEHIDCODE]]</f>
        <v>item_dmu_Australia_Queensland_Rail_Diesel_Tilt_Train</v>
      </c>
      <c r="I498" t="str">
        <f>"str_"&amp;CONTROL[[#This Row],[VEHIDCODE]]</f>
        <v>str_dmu_Australia_Queensland_Rail_Diesel_Tilt_Train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t="b">
        <f>ISNUMBER(_xlfn.XMATCH(CONTROL[[#This Row],[VEHIDCODE]],ENGLISH_ITEMS[VEHIDCODE],0))</f>
        <v>1</v>
      </c>
    </row>
    <row r="499" spans="1:16">
      <c r="A499" s="2" t="s">
        <v>525</v>
      </c>
      <c r="B499" t="str">
        <f>_xlfn.TEXTAFTER(TRACK_TYPES[[#This Row],[VEHIDCODE]],"_")</f>
        <v>Canada_UP_Express_Nippon_Sharyo_DMU</v>
      </c>
      <c r="C499" t="s">
        <v>732</v>
      </c>
      <c r="D499" t="s">
        <v>953</v>
      </c>
      <c r="E499">
        <v>7052</v>
      </c>
      <c r="F499" t="b">
        <f>AND(CONTROL[[#This Row],[IS_WAGON_OR_COACH]]=TRUE,OR(RIGHT(CONTROL[[#This Row],[VEHIDCODE]],7)="Powered",RIGHT(CONTROL[[#This Row],[VEHIDCODE]],9)="Unpowered"))</f>
        <v>0</v>
      </c>
      <c r="G499" s="2" t="b">
        <f>OR(ISNUMBER(SEARCH("wagon_",CONTROL[[#This Row],[VEHIDCODE]])),ISNUMBER(SEARCH("coach_",CONTROL[[#This Row],[VEHIDCODE]])))</f>
        <v>0</v>
      </c>
      <c r="H499" t="str">
        <f>"item_"&amp;CONTROL[[#This Row],[VEHIDCODE]]</f>
        <v>item_dmu_Canada_UP_Express_Nippon_Sharyo_DMU</v>
      </c>
      <c r="I499" t="str">
        <f>"str_"&amp;CONTROL[[#This Row],[VEHIDCODE]]</f>
        <v>str_dmu_Canada_UP_Express_Nippon_Sharyo_DMU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t="b">
        <f>ISNUMBER(_xlfn.XMATCH(CONTROL[[#This Row],[VEHIDCODE]],ENGLISH_ITEMS[VEHIDCODE],0))</f>
        <v>1</v>
      </c>
    </row>
    <row r="500" spans="1:16">
      <c r="A500" s="2" t="s">
        <v>526</v>
      </c>
      <c r="B500" t="str">
        <f>_xlfn.TEXTAFTER(TRACK_TYPES[[#This Row],[VEHIDCODE]],"_")</f>
        <v>Argentina_FCGU_CMM_400_2</v>
      </c>
      <c r="C500" t="s">
        <v>732</v>
      </c>
      <c r="D500" t="s">
        <v>953</v>
      </c>
      <c r="E500">
        <v>7053</v>
      </c>
      <c r="F500" t="b">
        <f>AND(CONTROL[[#This Row],[IS_WAGON_OR_COACH]]=TRUE,OR(RIGHT(CONTROL[[#This Row],[VEHIDCODE]],7)="Powered",RIGHT(CONTROL[[#This Row],[VEHIDCODE]],9)="Unpowered"))</f>
        <v>0</v>
      </c>
      <c r="G500" s="2" t="b">
        <f>OR(ISNUMBER(SEARCH("wagon_",CONTROL[[#This Row],[VEHIDCODE]])),ISNUMBER(SEARCH("coach_",CONTROL[[#This Row],[VEHIDCODE]])))</f>
        <v>0</v>
      </c>
      <c r="H500" t="str">
        <f>"item_"&amp;CONTROL[[#This Row],[VEHIDCODE]]</f>
        <v>item_dmu_Argentina_FCGU_CMM_400_2</v>
      </c>
      <c r="I500" t="str">
        <f>"str_"&amp;CONTROL[[#This Row],[VEHIDCODE]]</f>
        <v>str_dmu_Argentina_FCGU_CMM_400_2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t="b">
        <f>ISNUMBER(_xlfn.XMATCH(CONTROL[[#This Row],[VEHIDCODE]],ENGLISH_ITEMS[VEHIDCODE],0))</f>
        <v>1</v>
      </c>
    </row>
    <row r="501" spans="1:16">
      <c r="A501" s="2" t="s">
        <v>527</v>
      </c>
      <c r="B501" t="str">
        <f>_xlfn.TEXTAFTER(TRACK_TYPES[[#This Row],[VEHIDCODE]],"_")</f>
        <v>Italy_FS_ALn_442_448</v>
      </c>
      <c r="C501" t="s">
        <v>732</v>
      </c>
      <c r="D501" t="s">
        <v>953</v>
      </c>
      <c r="E501">
        <v>7038</v>
      </c>
      <c r="F501" t="b">
        <f>AND(CONTROL[[#This Row],[IS_WAGON_OR_COACH]]=TRUE,OR(RIGHT(CONTROL[[#This Row],[VEHIDCODE]],7)="Powered",RIGHT(CONTROL[[#This Row],[VEHIDCODE]],9)="Unpowered"))</f>
        <v>0</v>
      </c>
      <c r="G501" s="2" t="b">
        <f>OR(ISNUMBER(SEARCH("wagon_",CONTROL[[#This Row],[VEHIDCODE]])),ISNUMBER(SEARCH("coach_",CONTROL[[#This Row],[VEHIDCODE]])))</f>
        <v>0</v>
      </c>
      <c r="H501" t="str">
        <f>"item_"&amp;CONTROL[[#This Row],[VEHIDCODE]]</f>
        <v>item_dmu_Italy_FS_ALn_442_448</v>
      </c>
      <c r="I501" t="str">
        <f>"str_"&amp;CONTROL[[#This Row],[VEHIDCODE]]</f>
        <v>str_dmu_Italy_FS_ALn_442_448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t="b">
        <f>ISNUMBER(_xlfn.XMATCH(CONTROL[[#This Row],[VEHIDCODE]],ENGLISH_ITEMS[VEHIDCODE],0))</f>
        <v>1</v>
      </c>
    </row>
    <row r="502" spans="1:16">
      <c r="A502" s="2" t="s">
        <v>528</v>
      </c>
      <c r="B502" t="str">
        <f>_xlfn.TEXTAFTER(TRACK_TYPES[[#This Row],[VEHIDCODE]],"_")</f>
        <v>Portugal_CP_0400</v>
      </c>
      <c r="C502" t="s">
        <v>732</v>
      </c>
      <c r="D502" t="s">
        <v>953</v>
      </c>
      <c r="E502">
        <v>7040</v>
      </c>
      <c r="F502" t="b">
        <f>AND(CONTROL[[#This Row],[IS_WAGON_OR_COACH]]=TRUE,OR(RIGHT(CONTROL[[#This Row],[VEHIDCODE]],7)="Powered",RIGHT(CONTROL[[#This Row],[VEHIDCODE]],9)="Unpowered"))</f>
        <v>0</v>
      </c>
      <c r="G502" s="2" t="b">
        <f>OR(ISNUMBER(SEARCH("wagon_",CONTROL[[#This Row],[VEHIDCODE]])),ISNUMBER(SEARCH("coach_",CONTROL[[#This Row],[VEHIDCODE]])))</f>
        <v>0</v>
      </c>
      <c r="H502" t="str">
        <f>"item_"&amp;CONTROL[[#This Row],[VEHIDCODE]]</f>
        <v>item_dmu_Portugal_CP_0400</v>
      </c>
      <c r="I502" t="str">
        <f>"str_"&amp;CONTROL[[#This Row],[VEHIDCODE]]</f>
        <v>str_dmu_Portugal_CP_0400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t="b">
        <f>ISNUMBER(_xlfn.XMATCH(CONTROL[[#This Row],[VEHIDCODE]],ENGLISH_ITEMS[VEHIDCODE],0))</f>
        <v>1</v>
      </c>
    </row>
    <row r="503" spans="1:16">
      <c r="A503" s="2" t="s">
        <v>529</v>
      </c>
      <c r="B503" t="str">
        <f>_xlfn.TEXTAFTER(TRACK_TYPES[[#This Row],[VEHIDCODE]],"_")</f>
        <v>Portugal_CP_0600</v>
      </c>
      <c r="C503" t="s">
        <v>732</v>
      </c>
      <c r="D503" t="s">
        <v>953</v>
      </c>
      <c r="E503">
        <v>7044</v>
      </c>
      <c r="F503" t="b">
        <f>AND(CONTROL[[#This Row],[IS_WAGON_OR_COACH]]=TRUE,OR(RIGHT(CONTROL[[#This Row],[VEHIDCODE]],7)="Powered",RIGHT(CONTROL[[#This Row],[VEHIDCODE]],9)="Unpowered"))</f>
        <v>0</v>
      </c>
      <c r="G503" s="2" t="b">
        <f>OR(ISNUMBER(SEARCH("wagon_",CONTROL[[#This Row],[VEHIDCODE]])),ISNUMBER(SEARCH("coach_",CONTROL[[#This Row],[VEHIDCODE]])))</f>
        <v>0</v>
      </c>
      <c r="H503" t="str">
        <f>"item_"&amp;CONTROL[[#This Row],[VEHIDCODE]]</f>
        <v>item_dmu_Portugal_CP_0600</v>
      </c>
      <c r="I503" t="str">
        <f>"str_"&amp;CONTROL[[#This Row],[VEHIDCODE]]</f>
        <v>str_dmu_Portugal_CP_0600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t="b">
        <f>ISNUMBER(_xlfn.XMATCH(CONTROL[[#This Row],[VEHIDCODE]],ENGLISH_ITEMS[VEHIDCODE],0))</f>
        <v>1</v>
      </c>
    </row>
    <row r="504" spans="1:16">
      <c r="A504" s="2" t="s">
        <v>530</v>
      </c>
      <c r="B504" t="str">
        <f>_xlfn.TEXTAFTER(TRACK_TYPES[[#This Row],[VEHIDCODE]],"_")</f>
        <v>Spain_FEVE_2400_Apollos</v>
      </c>
      <c r="C504" t="s">
        <v>732</v>
      </c>
      <c r="D504" t="s">
        <v>953</v>
      </c>
      <c r="E504">
        <v>7046</v>
      </c>
      <c r="F504" t="b">
        <f>AND(CONTROL[[#This Row],[IS_WAGON_OR_COACH]]=TRUE,OR(RIGHT(CONTROL[[#This Row],[VEHIDCODE]],7)="Powered",RIGHT(CONTROL[[#This Row],[VEHIDCODE]],9)="Unpowered"))</f>
        <v>0</v>
      </c>
      <c r="G504" s="2" t="b">
        <f>OR(ISNUMBER(SEARCH("wagon_",CONTROL[[#This Row],[VEHIDCODE]])),ISNUMBER(SEARCH("coach_",CONTROL[[#This Row],[VEHIDCODE]])))</f>
        <v>0</v>
      </c>
      <c r="H504" t="str">
        <f>"item_"&amp;CONTROL[[#This Row],[VEHIDCODE]]</f>
        <v>item_dmu_Spain_FEVE_2400_Apollos</v>
      </c>
      <c r="I504" t="str">
        <f>"str_"&amp;CONTROL[[#This Row],[VEHIDCODE]]</f>
        <v>str_dmu_Spain_FEVE_2400_Apollos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t="b">
        <f>ISNUMBER(_xlfn.XMATCH(CONTROL[[#This Row],[VEHIDCODE]],ENGLISH_ITEMS[VEHIDCODE],0))</f>
        <v>1</v>
      </c>
    </row>
    <row r="505" spans="1:16">
      <c r="A505" s="2" t="s">
        <v>531</v>
      </c>
      <c r="B505" t="str">
        <f>_xlfn.TEXTAFTER(TRACK_TYPES[[#This Row],[VEHIDCODE]],"_")</f>
        <v>Germany_DB_691_CargoSprinter</v>
      </c>
      <c r="C505" t="s">
        <v>733</v>
      </c>
      <c r="D505" t="s">
        <v>974</v>
      </c>
      <c r="E505">
        <v>15501</v>
      </c>
      <c r="F505" t="b">
        <f>AND(CONTROL[[#This Row],[IS_WAGON_OR_COACH]]=TRUE,OR(RIGHT(CONTROL[[#This Row],[VEHIDCODE]],7)="Powered",RIGHT(CONTROL[[#This Row],[VEHIDCODE]],9)="Unpowered"))</f>
        <v>0</v>
      </c>
      <c r="G505" s="2" t="b">
        <f>OR(ISNUMBER(SEARCH("wagon_",CONTROL[[#This Row],[VEHIDCODE]])),ISNUMBER(SEARCH("coach_",CONTROL[[#This Row],[VEHIDCODE]])))</f>
        <v>0</v>
      </c>
      <c r="H505" t="str">
        <f>"item_"&amp;CONTROL[[#This Row],[VEHIDCODE]]</f>
        <v>item_cargodmu_Germany_DB_691_CargoSprinter</v>
      </c>
      <c r="I505" t="str">
        <f>"str_"&amp;CONTROL[[#This Row],[VEHIDCODE]]</f>
        <v>str_cargodmu_Germany_DB_691_CargoSprinter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t="b">
        <f>ISNUMBER(_xlfn.XMATCH(CONTROL[[#This Row],[VEHIDCODE]],ENGLISH_ITEMS[VEHIDCODE],0))</f>
        <v>1</v>
      </c>
    </row>
    <row r="506" spans="1:16">
      <c r="A506" s="2" t="s">
        <v>533</v>
      </c>
      <c r="B506" t="str">
        <f>_xlfn.TEXTAFTER(TRACK_TYPES[[#This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b">
        <f>AND(CONTROL[[#This Row],[IS_WAGON_OR_COACH]]=TRUE,OR(RIGHT(CONTROL[[#This Row],[VEHIDCODE]],7)="Powered",RIGHT(CONTROL[[#This Row],[VEHIDCODE]],9)="Unpowered"))</f>
        <v>0</v>
      </c>
      <c r="G506" s="2" t="b">
        <f>OR(ISNUMBER(SEARCH("wagon_",CONTROL[[#This Row],[VEHIDCODE]])),ISNUMBER(SEARCH("coach_",CONTROL[[#This Row],[VEHIDCODE]])))</f>
        <v>0</v>
      </c>
      <c r="H506" t="str">
        <f>"item_"&amp;CONTROL[[#This Row],[VEHIDCODE]]</f>
        <v>item_emu_Australia_Sydney_Trains_A_Set_Waratah</v>
      </c>
      <c r="I506" t="str">
        <f>"str_"&amp;CONTROL[[#This Row],[VEHIDCODE]]</f>
        <v>str_emu_Australia_Sydney_Trains_A_Set_Waratah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t="b">
        <f>ISNUMBER(_xlfn.XMATCH(CONTROL[[#This Row],[VEHIDCODE]],ENGLISH_ITEMS[VEHIDCODE],0))</f>
        <v>1</v>
      </c>
    </row>
    <row r="507" spans="1:16">
      <c r="A507" s="2" t="s">
        <v>534</v>
      </c>
      <c r="B507" t="str">
        <f>_xlfn.TEXTAFTER(TRACK_TYPES[[#This Row],[VEHIDCODE]],"_")</f>
        <v>Denmark_DSB_S_Tog_II</v>
      </c>
      <c r="C507" t="s">
        <v>734</v>
      </c>
      <c r="D507" t="s">
        <v>955</v>
      </c>
      <c r="E507">
        <v>8013</v>
      </c>
      <c r="F507" t="b">
        <f>AND(CONTROL[[#This Row],[IS_WAGON_OR_COACH]]=TRUE,OR(RIGHT(CONTROL[[#This Row],[VEHIDCODE]],7)="Powered",RIGHT(CONTROL[[#This Row],[VEHIDCODE]],9)="Unpowered"))</f>
        <v>0</v>
      </c>
      <c r="G507" s="2" t="b">
        <f>OR(ISNUMBER(SEARCH("wagon_",CONTROL[[#This Row],[VEHIDCODE]])),ISNUMBER(SEARCH("coach_",CONTROL[[#This Row],[VEHIDCODE]])))</f>
        <v>0</v>
      </c>
      <c r="H507" t="str">
        <f>"item_"&amp;CONTROL[[#This Row],[VEHIDCODE]]</f>
        <v>item_emu_Denmark_DSB_S_Tog_II</v>
      </c>
      <c r="I507" t="str">
        <f>"str_"&amp;CONTROL[[#This Row],[VEHIDCODE]]</f>
        <v>str_emu_Denmark_DSB_S_Tog_II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t="b">
        <f>ISNUMBER(_xlfn.XMATCH(CONTROL[[#This Row],[VEHIDCODE]],ENGLISH_ITEMS[VEHIDCODE],0))</f>
        <v>1</v>
      </c>
    </row>
    <row r="508" spans="1:16">
      <c r="A508" s="2" t="s">
        <v>535</v>
      </c>
      <c r="B508" t="str">
        <f>_xlfn.TEXTAFTER(TRACK_TYPES[[#This Row],[VEHIDCODE]],"_")</f>
        <v>Denmark_DSB_S_Tog_IV</v>
      </c>
      <c r="C508" t="s">
        <v>734</v>
      </c>
      <c r="D508" t="s">
        <v>955</v>
      </c>
      <c r="E508">
        <v>8028</v>
      </c>
      <c r="F508" t="b">
        <f>AND(CONTROL[[#This Row],[IS_WAGON_OR_COACH]]=TRUE,OR(RIGHT(CONTROL[[#This Row],[VEHIDCODE]],7)="Powered",RIGHT(CONTROL[[#This Row],[VEHIDCODE]],9)="Unpowered"))</f>
        <v>0</v>
      </c>
      <c r="G508" s="2" t="b">
        <f>OR(ISNUMBER(SEARCH("wagon_",CONTROL[[#This Row],[VEHIDCODE]])),ISNUMBER(SEARCH("coach_",CONTROL[[#This Row],[VEHIDCODE]])))</f>
        <v>0</v>
      </c>
      <c r="H508" t="str">
        <f>"item_"&amp;CONTROL[[#This Row],[VEHIDCODE]]</f>
        <v>item_emu_Denmark_DSB_S_Tog_IV</v>
      </c>
      <c r="I508" t="str">
        <f>"str_"&amp;CONTROL[[#This Row],[VEHIDCODE]]</f>
        <v>str_emu_Denmark_DSB_S_Tog_IV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t="b">
        <f>ISNUMBER(_xlfn.XMATCH(CONTROL[[#This Row],[VEHIDCODE]],ENGLISH_ITEMS[VEHIDCODE],0))</f>
        <v>1</v>
      </c>
    </row>
    <row r="509" spans="1:16">
      <c r="A509" s="2" t="s">
        <v>536</v>
      </c>
      <c r="B509" t="str">
        <f>_xlfn.TEXTAFTER(TRACK_TYPES[[#This Row],[VEHIDCODE]],"_")</f>
        <v>Italy_ATAC_ECD_21_30</v>
      </c>
      <c r="C509" t="s">
        <v>734</v>
      </c>
      <c r="D509" t="s">
        <v>955</v>
      </c>
      <c r="E509">
        <v>8002</v>
      </c>
      <c r="F509" t="b">
        <f>AND(CONTROL[[#This Row],[IS_WAGON_OR_COACH]]=TRUE,OR(RIGHT(CONTROL[[#This Row],[VEHIDCODE]],7)="Powered",RIGHT(CONTROL[[#This Row],[VEHIDCODE]],9)="Unpowered"))</f>
        <v>0</v>
      </c>
      <c r="G509" s="2" t="b">
        <f>OR(ISNUMBER(SEARCH("wagon_",CONTROL[[#This Row],[VEHIDCODE]])),ISNUMBER(SEARCH("coach_",CONTROL[[#This Row],[VEHIDCODE]])))</f>
        <v>0</v>
      </c>
      <c r="H509" t="str">
        <f>"item_"&amp;CONTROL[[#This Row],[VEHIDCODE]]</f>
        <v>item_emu_Italy_ATAC_ECD_21_30</v>
      </c>
      <c r="I509" t="str">
        <f>"str_"&amp;CONTROL[[#This Row],[VEHIDCODE]]</f>
        <v>str_emu_Italy_ATAC_ECD_21_30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t="b">
        <f>ISNUMBER(_xlfn.XMATCH(CONTROL[[#This Row],[VEHIDCODE]],ENGLISH_ITEMS[VEHIDCODE],0))</f>
        <v>1</v>
      </c>
    </row>
    <row r="510" spans="1:16">
      <c r="A510" s="2" t="s">
        <v>537</v>
      </c>
      <c r="B510" t="str">
        <f>_xlfn.TEXTAFTER(TRACK_TYPES[[#This Row],[VEHIDCODE]],"_")</f>
        <v>Netherlands_NS_Mat24</v>
      </c>
      <c r="C510" t="s">
        <v>734</v>
      </c>
      <c r="D510" t="s">
        <v>955</v>
      </c>
      <c r="E510">
        <v>8000</v>
      </c>
      <c r="F510" t="b">
        <f>AND(CONTROL[[#This Row],[IS_WAGON_OR_COACH]]=TRUE,OR(RIGHT(CONTROL[[#This Row],[VEHIDCODE]],7)="Powered",RIGHT(CONTROL[[#This Row],[VEHIDCODE]],9)="Unpowered"))</f>
        <v>0</v>
      </c>
      <c r="G510" s="2" t="b">
        <f>OR(ISNUMBER(SEARCH("wagon_",CONTROL[[#This Row],[VEHIDCODE]])),ISNUMBER(SEARCH("coach_",CONTROL[[#This Row],[VEHIDCODE]])))</f>
        <v>0</v>
      </c>
      <c r="H510" t="str">
        <f>"item_"&amp;CONTROL[[#This Row],[VEHIDCODE]]</f>
        <v>item_emu_Netherlands_NS_Mat24</v>
      </c>
      <c r="I510" t="str">
        <f>"str_"&amp;CONTROL[[#This Row],[VEHIDCODE]]</f>
        <v>str_emu_Netherlands_NS_Mat24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t="b">
        <f>ISNUMBER(_xlfn.XMATCH(CONTROL[[#This Row],[VEHIDCODE]],ENGLISH_ITEMS[VEHIDCODE],0))</f>
        <v>1</v>
      </c>
    </row>
    <row r="511" spans="1:16">
      <c r="A511" s="2" t="s">
        <v>538</v>
      </c>
      <c r="B511" t="str">
        <f>_xlfn.TEXTAFTER(TRACK_TYPES[[#This Row],[VEHIDCODE]],"_")</f>
        <v>Netherlands_NS_Mat36</v>
      </c>
      <c r="C511" t="s">
        <v>734</v>
      </c>
      <c r="D511" t="s">
        <v>955</v>
      </c>
      <c r="E511">
        <v>8003</v>
      </c>
      <c r="F511" t="b">
        <f>AND(CONTROL[[#This Row],[IS_WAGON_OR_COACH]]=TRUE,OR(RIGHT(CONTROL[[#This Row],[VEHIDCODE]],7)="Powered",RIGHT(CONTROL[[#This Row],[VEHIDCODE]],9)="Unpowered"))</f>
        <v>0</v>
      </c>
      <c r="G511" s="2" t="b">
        <f>OR(ISNUMBER(SEARCH("wagon_",CONTROL[[#This Row],[VEHIDCODE]])),ISNUMBER(SEARCH("coach_",CONTROL[[#This Row],[VEHIDCODE]])))</f>
        <v>0</v>
      </c>
      <c r="H511" t="str">
        <f>"item_"&amp;CONTROL[[#This Row],[VEHIDCODE]]</f>
        <v>item_emu_Netherlands_NS_Mat36</v>
      </c>
      <c r="I511" t="str">
        <f>"str_"&amp;CONTROL[[#This Row],[VEHIDCODE]]</f>
        <v>str_emu_Netherlands_NS_Mat36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t="b">
        <f>ISNUMBER(_xlfn.XMATCH(CONTROL[[#This Row],[VEHIDCODE]],ENGLISH_ITEMS[VEHIDCODE],0))</f>
        <v>1</v>
      </c>
    </row>
    <row r="512" spans="1:16">
      <c r="A512" s="2" t="s">
        <v>539</v>
      </c>
      <c r="B512" t="str">
        <f>_xlfn.TEXTAFTER(TRACK_TYPES[[#This Row],[VEHIDCODE]],"_")</f>
        <v>Netherlands_NS_Mat54</v>
      </c>
      <c r="C512" t="s">
        <v>734</v>
      </c>
      <c r="D512" t="s">
        <v>955</v>
      </c>
      <c r="E512">
        <v>8007</v>
      </c>
      <c r="F512" t="b">
        <f>AND(CONTROL[[#This Row],[IS_WAGON_OR_COACH]]=TRUE,OR(RIGHT(CONTROL[[#This Row],[VEHIDCODE]],7)="Powered",RIGHT(CONTROL[[#This Row],[VEHIDCODE]],9)="Unpowered"))</f>
        <v>0</v>
      </c>
      <c r="G512" s="2" t="b">
        <f>OR(ISNUMBER(SEARCH("wagon_",CONTROL[[#This Row],[VEHIDCODE]])),ISNUMBER(SEARCH("coach_",CONTROL[[#This Row],[VEHIDCODE]])))</f>
        <v>0</v>
      </c>
      <c r="H512" t="str">
        <f>"item_"&amp;CONTROL[[#This Row],[VEHIDCODE]]</f>
        <v>item_emu_Netherlands_NS_Mat54</v>
      </c>
      <c r="I512" t="str">
        <f>"str_"&amp;CONTROL[[#This Row],[VEHIDCODE]]</f>
        <v>str_emu_Netherlands_NS_Mat54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t="b">
        <f>ISNUMBER(_xlfn.XMATCH(CONTROL[[#This Row],[VEHIDCODE]],ENGLISH_ITEMS[VEHIDCODE],0))</f>
        <v>1</v>
      </c>
    </row>
    <row r="513" spans="1:16">
      <c r="A513" s="2" t="s">
        <v>540</v>
      </c>
      <c r="B513" t="str">
        <f>_xlfn.TEXTAFTER(TRACK_TYPES[[#This Row],[VEHIDCODE]],"_")</f>
        <v>Netherlands_NS_Plan_Y</v>
      </c>
      <c r="C513" t="s">
        <v>734</v>
      </c>
      <c r="D513" t="s">
        <v>955</v>
      </c>
      <c r="E513">
        <v>8017</v>
      </c>
      <c r="F513" t="b">
        <f>AND(CONTROL[[#This Row],[IS_WAGON_OR_COACH]]=TRUE,OR(RIGHT(CONTROL[[#This Row],[VEHIDCODE]],7)="Powered",RIGHT(CONTROL[[#This Row],[VEHIDCODE]],9)="Unpowered"))</f>
        <v>0</v>
      </c>
      <c r="G513" s="2" t="b">
        <f>OR(ISNUMBER(SEARCH("wagon_",CONTROL[[#This Row],[VEHIDCODE]])),ISNUMBER(SEARCH("coach_",CONTROL[[#This Row],[VEHIDCODE]])))</f>
        <v>0</v>
      </c>
      <c r="H513" t="str">
        <f>"item_"&amp;CONTROL[[#This Row],[VEHIDCODE]]</f>
        <v>item_emu_Netherlands_NS_Plan_Y</v>
      </c>
      <c r="I513" t="str">
        <f>"str_"&amp;CONTROL[[#This Row],[VEHIDCODE]]</f>
        <v>str_emu_Netherlands_NS_Plan_Y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t="b">
        <f>ISNUMBER(_xlfn.XMATCH(CONTROL[[#This Row],[VEHIDCODE]],ENGLISH_ITEMS[VEHIDCODE],0))</f>
        <v>1</v>
      </c>
    </row>
    <row r="514" spans="1:16">
      <c r="A514" s="2" t="s">
        <v>541</v>
      </c>
      <c r="B514" t="str">
        <f>_xlfn.TEXTAFTER(TRACK_TYPES[[#This Row],[VEHIDCODE]],"_")</f>
        <v>Netherlands_NS_ICM_4000</v>
      </c>
      <c r="C514" t="s">
        <v>734</v>
      </c>
      <c r="D514" t="s">
        <v>955</v>
      </c>
      <c r="E514">
        <v>8018</v>
      </c>
      <c r="F514" t="b">
        <f>AND(CONTROL[[#This Row],[IS_WAGON_OR_COACH]]=TRUE,OR(RIGHT(CONTROL[[#This Row],[VEHIDCODE]],7)="Powered",RIGHT(CONTROL[[#This Row],[VEHIDCODE]],9)="Unpowered"))</f>
        <v>0</v>
      </c>
      <c r="G514" s="2" t="b">
        <f>OR(ISNUMBER(SEARCH("wagon_",CONTROL[[#This Row],[VEHIDCODE]])),ISNUMBER(SEARCH("coach_",CONTROL[[#This Row],[VEHIDCODE]])))</f>
        <v>0</v>
      </c>
      <c r="H514" t="str">
        <f>"item_"&amp;CONTROL[[#This Row],[VEHIDCODE]]</f>
        <v>item_emu_Netherlands_NS_ICM_4000</v>
      </c>
      <c r="I514" t="str">
        <f>"str_"&amp;CONTROL[[#This Row],[VEHIDCODE]]</f>
        <v>str_emu_Netherlands_NS_ICM_4000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t="b">
        <f>ISNUMBER(_xlfn.XMATCH(CONTROL[[#This Row],[VEHIDCODE]],ENGLISH_ITEMS[VEHIDCODE],0))</f>
        <v>1</v>
      </c>
    </row>
    <row r="515" spans="1:16">
      <c r="A515" s="2" t="s">
        <v>542</v>
      </c>
      <c r="B515" t="str">
        <f>_xlfn.TEXTAFTER(TRACK_TYPES[[#This Row],[VEHIDCODE]],"_")</f>
        <v>Netherlands_NS_DD_IRM_VIRM</v>
      </c>
      <c r="C515" t="s">
        <v>734</v>
      </c>
      <c r="D515" t="s">
        <v>955</v>
      </c>
      <c r="E515">
        <v>8025</v>
      </c>
      <c r="F515" t="b">
        <f>AND(CONTROL[[#This Row],[IS_WAGON_OR_COACH]]=TRUE,OR(RIGHT(CONTROL[[#This Row],[VEHIDCODE]],7)="Powered",RIGHT(CONTROL[[#This Row],[VEHIDCODE]],9)="Unpowered"))</f>
        <v>0</v>
      </c>
      <c r="G515" s="2" t="b">
        <f>OR(ISNUMBER(SEARCH("wagon_",CONTROL[[#This Row],[VEHIDCODE]])),ISNUMBER(SEARCH("coach_",CONTROL[[#This Row],[VEHIDCODE]])))</f>
        <v>0</v>
      </c>
      <c r="H515" t="str">
        <f>"item_"&amp;CONTROL[[#This Row],[VEHIDCODE]]</f>
        <v>item_emu_Netherlands_NS_DD_IRM_VIRM</v>
      </c>
      <c r="I515" t="str">
        <f>"str_"&amp;CONTROL[[#This Row],[VEHIDCODE]]</f>
        <v>str_emu_Netherlands_NS_DD_IRM_VIRM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t="b">
        <f>ISNUMBER(_xlfn.XMATCH(CONTROL[[#This Row],[VEHIDCODE]],ENGLISH_ITEMS[VEHIDCODE],0))</f>
        <v>1</v>
      </c>
    </row>
    <row r="516" spans="1:16">
      <c r="A516" s="2" t="s">
        <v>543</v>
      </c>
      <c r="B516" t="str">
        <f>_xlfn.TEXTAFTER(TRACK_TYPES[[#This Row],[VEHIDCODE]],"_")</f>
        <v>Netherlands_NS_mDDm_390</v>
      </c>
      <c r="C516" t="s">
        <v>734</v>
      </c>
      <c r="D516" t="s">
        <v>955</v>
      </c>
      <c r="E516">
        <v>8031</v>
      </c>
      <c r="F516" t="b">
        <f>AND(CONTROL[[#This Row],[IS_WAGON_OR_COACH]]=TRUE,OR(RIGHT(CONTROL[[#This Row],[VEHIDCODE]],7)="Powered",RIGHT(CONTROL[[#This Row],[VEHIDCODE]],9)="Unpowered"))</f>
        <v>0</v>
      </c>
      <c r="G516" s="2" t="b">
        <f>OR(ISNUMBER(SEARCH("wagon_",CONTROL[[#This Row],[VEHIDCODE]])),ISNUMBER(SEARCH("coach_",CONTROL[[#This Row],[VEHIDCODE]])))</f>
        <v>0</v>
      </c>
      <c r="H516" t="str">
        <f>"item_"&amp;CONTROL[[#This Row],[VEHIDCODE]]</f>
        <v>item_emu_Netherlands_NS_mDDm_390</v>
      </c>
      <c r="I516" t="str">
        <f>"str_"&amp;CONTROL[[#This Row],[VEHIDCODE]]</f>
        <v>str_emu_Netherlands_NS_mDDm_390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t="b">
        <f>ISNUMBER(_xlfn.XMATCH(CONTROL[[#This Row],[VEHIDCODE]],ENGLISH_ITEMS[VEHIDCODE],0))</f>
        <v>1</v>
      </c>
    </row>
    <row r="517" spans="1:16">
      <c r="A517" s="2" t="s">
        <v>544</v>
      </c>
      <c r="B517" t="str">
        <f>_xlfn.TEXTAFTER(TRACK_TYPES[[#This Row],[VEHIDCODE]],"_")</f>
        <v>Poland_PKP_EW90</v>
      </c>
      <c r="C517" t="s">
        <v>734</v>
      </c>
      <c r="D517" t="s">
        <v>955</v>
      </c>
      <c r="E517">
        <v>8047</v>
      </c>
      <c r="F517" t="b">
        <f>AND(CONTROL[[#This Row],[IS_WAGON_OR_COACH]]=TRUE,OR(RIGHT(CONTROL[[#This Row],[VEHIDCODE]],7)="Powered",RIGHT(CONTROL[[#This Row],[VEHIDCODE]],9)="Unpowered"))</f>
        <v>0</v>
      </c>
      <c r="G517" s="2" t="b">
        <f>OR(ISNUMBER(SEARCH("wagon_",CONTROL[[#This Row],[VEHIDCODE]])),ISNUMBER(SEARCH("coach_",CONTROL[[#This Row],[VEHIDCODE]])))</f>
        <v>0</v>
      </c>
      <c r="H517" t="str">
        <f>"item_"&amp;CONTROL[[#This Row],[VEHIDCODE]]</f>
        <v>item_emu_Poland_PKP_EW90</v>
      </c>
      <c r="I517" t="str">
        <f>"str_"&amp;CONTROL[[#This Row],[VEHIDCODE]]</f>
        <v>str_emu_Poland_PKP_EW90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t="b">
        <f>ISNUMBER(_xlfn.XMATCH(CONTROL[[#This Row],[VEHIDCODE]],ENGLISH_ITEMS[VEHIDCODE],0))</f>
        <v>1</v>
      </c>
    </row>
    <row r="518" spans="1:16">
      <c r="A518" s="2" t="s">
        <v>545</v>
      </c>
      <c r="B518" t="str">
        <f>_xlfn.TEXTAFTER(TRACK_TYPES[[#This Row],[VEHIDCODE]],"_")</f>
        <v>Italy_FS_ETR200</v>
      </c>
      <c r="C518" t="s">
        <v>734</v>
      </c>
      <c r="D518" t="s">
        <v>955</v>
      </c>
      <c r="E518">
        <v>8004</v>
      </c>
      <c r="F518" t="b">
        <f>AND(CONTROL[[#This Row],[IS_WAGON_OR_COACH]]=TRUE,OR(RIGHT(CONTROL[[#This Row],[VEHIDCODE]],7)="Powered",RIGHT(CONTROL[[#This Row],[VEHIDCODE]],9)="Unpowered"))</f>
        <v>0</v>
      </c>
      <c r="G518" s="2" t="b">
        <f>OR(ISNUMBER(SEARCH("wagon_",CONTROL[[#This Row],[VEHIDCODE]])),ISNUMBER(SEARCH("coach_",CONTROL[[#This Row],[VEHIDCODE]])))</f>
        <v>0</v>
      </c>
      <c r="H518" t="str">
        <f>"item_"&amp;CONTROL[[#This Row],[VEHIDCODE]]</f>
        <v>item_emu_Italy_FS_ETR200</v>
      </c>
      <c r="I518" t="str">
        <f>"str_"&amp;CONTROL[[#This Row],[VEHIDCODE]]</f>
        <v>str_emu_Italy_FS_ETR200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t="b">
        <f>ISNUMBER(_xlfn.XMATCH(CONTROL[[#This Row],[VEHIDCODE]],ENGLISH_ITEMS[VEHIDCODE],0))</f>
        <v>1</v>
      </c>
    </row>
    <row r="519" spans="1:16">
      <c r="A519" s="2" t="s">
        <v>546</v>
      </c>
      <c r="B519" t="str">
        <f>_xlfn.TEXTAFTER(TRACK_TYPES[[#This Row],[VEHIDCODE]],"_")</f>
        <v>Italy_FS_ETR300_Settebello</v>
      </c>
      <c r="C519" t="s">
        <v>734</v>
      </c>
      <c r="D519" t="s">
        <v>955</v>
      </c>
      <c r="E519">
        <v>8006</v>
      </c>
      <c r="F519" t="b">
        <f>AND(CONTROL[[#This Row],[IS_WAGON_OR_COACH]]=TRUE,OR(RIGHT(CONTROL[[#This Row],[VEHIDCODE]],7)="Powered",RIGHT(CONTROL[[#This Row],[VEHIDCODE]],9)="Unpowered"))</f>
        <v>0</v>
      </c>
      <c r="G519" s="2" t="b">
        <f>OR(ISNUMBER(SEARCH("wagon_",CONTROL[[#This Row],[VEHIDCODE]])),ISNUMBER(SEARCH("coach_",CONTROL[[#This Row],[VEHIDCODE]])))</f>
        <v>0</v>
      </c>
      <c r="H519" t="str">
        <f>"item_"&amp;CONTROL[[#This Row],[VEHIDCODE]]</f>
        <v>item_emu_Italy_FS_ETR300_Settebello</v>
      </c>
      <c r="I519" t="str">
        <f>"str_"&amp;CONTROL[[#This Row],[VEHIDCODE]]</f>
        <v>str_emu_Italy_FS_ETR300_Settebello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t="b">
        <f>ISNUMBER(_xlfn.XMATCH(CONTROL[[#This Row],[VEHIDCODE]],ENGLISH_ITEMS[VEHIDCODE],0))</f>
        <v>1</v>
      </c>
    </row>
    <row r="520" spans="1:16">
      <c r="A520" s="2" t="s">
        <v>547</v>
      </c>
      <c r="B520" t="str">
        <f>_xlfn.TEXTAFTER(TRACK_TYPES[[#This Row],[VEHIDCODE]],"_")</f>
        <v>Italy_FS_ETR500</v>
      </c>
      <c r="C520" t="s">
        <v>734</v>
      </c>
      <c r="D520" t="s">
        <v>955</v>
      </c>
      <c r="E520">
        <v>8024</v>
      </c>
      <c r="F520" t="b">
        <f>AND(CONTROL[[#This Row],[IS_WAGON_OR_COACH]]=TRUE,OR(RIGHT(CONTROL[[#This Row],[VEHIDCODE]],7)="Powered",RIGHT(CONTROL[[#This Row],[VEHIDCODE]],9)="Unpowered"))</f>
        <v>0</v>
      </c>
      <c r="G520" s="2" t="b">
        <f>OR(ISNUMBER(SEARCH("wagon_",CONTROL[[#This Row],[VEHIDCODE]])),ISNUMBER(SEARCH("coach_",CONTROL[[#This Row],[VEHIDCODE]])))</f>
        <v>0</v>
      </c>
      <c r="H520" t="str">
        <f>"item_"&amp;CONTROL[[#This Row],[VEHIDCODE]]</f>
        <v>item_emu_Italy_FS_ETR500</v>
      </c>
      <c r="I520" t="str">
        <f>"str_"&amp;CONTROL[[#This Row],[VEHIDCODE]]</f>
        <v>str_emu_Italy_FS_ETR500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t="b">
        <f>ISNUMBER(_xlfn.XMATCH(CONTROL[[#This Row],[VEHIDCODE]],ENGLISH_ITEMS[VEHIDCODE],0))</f>
        <v>1</v>
      </c>
    </row>
    <row r="521" spans="1:16">
      <c r="A521" s="2" t="s">
        <v>548</v>
      </c>
      <c r="B521" t="str">
        <f>_xlfn.TEXTAFTER(TRACK_TYPES[[#This Row],[VEHIDCODE]],"_")</f>
        <v>Italy_FS_ALe426</v>
      </c>
      <c r="C521" t="s">
        <v>734</v>
      </c>
      <c r="D521" t="s">
        <v>955</v>
      </c>
      <c r="E521">
        <v>8029</v>
      </c>
      <c r="F521" t="b">
        <f>AND(CONTROL[[#This Row],[IS_WAGON_OR_COACH]]=TRUE,OR(RIGHT(CONTROL[[#This Row],[VEHIDCODE]],7)="Powered",RIGHT(CONTROL[[#This Row],[VEHIDCODE]],9)="Unpowered"))</f>
        <v>0</v>
      </c>
      <c r="G521" s="2" t="b">
        <f>OR(ISNUMBER(SEARCH("wagon_",CONTROL[[#This Row],[VEHIDCODE]])),ISNUMBER(SEARCH("coach_",CONTROL[[#This Row],[VEHIDCODE]])))</f>
        <v>0</v>
      </c>
      <c r="H521" t="str">
        <f>"item_"&amp;CONTROL[[#This Row],[VEHIDCODE]]</f>
        <v>item_emu_Italy_FS_ALe426</v>
      </c>
      <c r="I521" t="str">
        <f>"str_"&amp;CONTROL[[#This Row],[VEHIDCODE]]</f>
        <v>str_emu_Italy_FS_ALe426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t="b">
        <f>ISNUMBER(_xlfn.XMATCH(CONTROL[[#This Row],[VEHIDCODE]],ENGLISH_ITEMS[VEHIDCODE],0))</f>
        <v>1</v>
      </c>
    </row>
    <row r="522" spans="1:16">
      <c r="A522" s="2" t="s">
        <v>549</v>
      </c>
      <c r="B522" t="str">
        <f>_xlfn.TEXTAFTER(TRACK_TYPES[[#This Row],[VEHIDCODE]],"_")</f>
        <v>Morocco_ONCF_ZMC</v>
      </c>
      <c r="C522" t="s">
        <v>734</v>
      </c>
      <c r="D522" t="s">
        <v>955</v>
      </c>
      <c r="E522">
        <v>8064</v>
      </c>
      <c r="F522" t="b">
        <f>AND(CONTROL[[#This Row],[IS_WAGON_OR_COACH]]=TRUE,OR(RIGHT(CONTROL[[#This Row],[VEHIDCODE]],7)="Powered",RIGHT(CONTROL[[#This Row],[VEHIDCODE]],9)="Unpowered"))</f>
        <v>0</v>
      </c>
      <c r="G522" s="2" t="b">
        <f>OR(ISNUMBER(SEARCH("wagon_",CONTROL[[#This Row],[VEHIDCODE]])),ISNUMBER(SEARCH("coach_",CONTROL[[#This Row],[VEHIDCODE]])))</f>
        <v>0</v>
      </c>
      <c r="H522" t="str">
        <f>"item_"&amp;CONTROL[[#This Row],[VEHIDCODE]]</f>
        <v>item_emu_Morocco_ONCF_ZMC</v>
      </c>
      <c r="I522" t="str">
        <f>"str_"&amp;CONTROL[[#This Row],[VEHIDCODE]]</f>
        <v>str_emu_Morocco_ONCF_ZMC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t="b">
        <f>ISNUMBER(_xlfn.XMATCH(CONTROL[[#This Row],[VEHIDCODE]],ENGLISH_ITEMS[VEHIDCODE],0))</f>
        <v>1</v>
      </c>
    </row>
    <row r="523" spans="1:16">
      <c r="A523" s="2" t="s">
        <v>550</v>
      </c>
      <c r="B523" t="str">
        <f>_xlfn.TEXTAFTER(TRACK_TYPES[[#This Row],[VEHIDCODE]],"_")</f>
        <v>Poland_PKP_EW54</v>
      </c>
      <c r="C523" t="s">
        <v>734</v>
      </c>
      <c r="D523" t="s">
        <v>955</v>
      </c>
      <c r="E523">
        <v>8060</v>
      </c>
      <c r="F523" t="b">
        <f>AND(CONTROL[[#This Row],[IS_WAGON_OR_COACH]]=TRUE,OR(RIGHT(CONTROL[[#This Row],[VEHIDCODE]],7)="Powered",RIGHT(CONTROL[[#This Row],[VEHIDCODE]],9)="Unpowered"))</f>
        <v>0</v>
      </c>
      <c r="G523" s="2" t="b">
        <f>OR(ISNUMBER(SEARCH("wagon_",CONTROL[[#This Row],[VEHIDCODE]])),ISNUMBER(SEARCH("coach_",CONTROL[[#This Row],[VEHIDCODE]])))</f>
        <v>0</v>
      </c>
      <c r="H523" t="str">
        <f>"item_"&amp;CONTROL[[#This Row],[VEHIDCODE]]</f>
        <v>item_emu_Poland_PKP_EW54</v>
      </c>
      <c r="I523" t="str">
        <f>"str_"&amp;CONTROL[[#This Row],[VEHIDCODE]]</f>
        <v>str_emu_Poland_PKP_EW54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t="b">
        <f>ISNUMBER(_xlfn.XMATCH(CONTROL[[#This Row],[VEHIDCODE]],ENGLISH_ITEMS[VEHIDCODE],0))</f>
        <v>1</v>
      </c>
    </row>
    <row r="524" spans="1:16">
      <c r="A524" s="2" t="s">
        <v>551</v>
      </c>
      <c r="B524" t="str">
        <f>_xlfn.TEXTAFTER(TRACK_TYPES[[#This Row],[VEHIDCODE]],"_")</f>
        <v>Italy_FS_ALe_801</v>
      </c>
      <c r="C524" t="s">
        <v>734</v>
      </c>
      <c r="D524" t="s">
        <v>955</v>
      </c>
      <c r="E524">
        <v>8051</v>
      </c>
      <c r="F524" t="b">
        <f>AND(CONTROL[[#This Row],[IS_WAGON_OR_COACH]]=TRUE,OR(RIGHT(CONTROL[[#This Row],[VEHIDCODE]],7)="Powered",RIGHT(CONTROL[[#This Row],[VEHIDCODE]],9)="Unpowered"))</f>
        <v>0</v>
      </c>
      <c r="G524" s="2" t="b">
        <f>OR(ISNUMBER(SEARCH("wagon_",CONTROL[[#This Row],[VEHIDCODE]])),ISNUMBER(SEARCH("coach_",CONTROL[[#This Row],[VEHIDCODE]])))</f>
        <v>0</v>
      </c>
      <c r="H524" t="str">
        <f>"item_"&amp;CONTROL[[#This Row],[VEHIDCODE]]</f>
        <v>item_emu_Italy_FS_ALe_801</v>
      </c>
      <c r="I524" t="str">
        <f>"str_"&amp;CONTROL[[#This Row],[VEHIDCODE]]</f>
        <v>str_emu_Italy_FS_ALe_801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t="b">
        <f>ISNUMBER(_xlfn.XMATCH(CONTROL[[#This Row],[VEHIDCODE]],ENGLISH_ITEMS[VEHIDCODE],0))</f>
        <v>1</v>
      </c>
    </row>
    <row r="525" spans="1:16">
      <c r="A525" s="2" t="s">
        <v>552</v>
      </c>
      <c r="B525" t="str">
        <f>_xlfn.TEXTAFTER(TRACK_TYPES[[#This Row],[VEHIDCODE]],"_")</f>
        <v>Austria_OBB_4030</v>
      </c>
      <c r="C525" t="s">
        <v>734</v>
      </c>
      <c r="D525" t="s">
        <v>955</v>
      </c>
      <c r="E525">
        <v>8050</v>
      </c>
      <c r="F525" t="b">
        <f>AND(CONTROL[[#This Row],[IS_WAGON_OR_COACH]]=TRUE,OR(RIGHT(CONTROL[[#This Row],[VEHIDCODE]],7)="Powered",RIGHT(CONTROL[[#This Row],[VEHIDCODE]],9)="Unpowered"))</f>
        <v>0</v>
      </c>
      <c r="G525" s="2" t="b">
        <f>OR(ISNUMBER(SEARCH("wagon_",CONTROL[[#This Row],[VEHIDCODE]])),ISNUMBER(SEARCH("coach_",CONTROL[[#This Row],[VEHIDCODE]])))</f>
        <v>0</v>
      </c>
      <c r="H525" t="str">
        <f>"item_"&amp;CONTROL[[#This Row],[VEHIDCODE]]</f>
        <v>item_emu_Austria_OBB_4030</v>
      </c>
      <c r="I525" t="str">
        <f>"str_"&amp;CONTROL[[#This Row],[VEHIDCODE]]</f>
        <v>str_emu_Austria_OBB_4030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t="b">
        <f>ISNUMBER(_xlfn.XMATCH(CONTROL[[#This Row],[VEHIDCODE]],ENGLISH_ITEMS[VEHIDCODE],0))</f>
        <v>1</v>
      </c>
    </row>
    <row r="526" spans="1:16">
      <c r="A526" s="2" t="s">
        <v>553</v>
      </c>
      <c r="B526" t="str">
        <f>_xlfn.TEXTAFTER(TRACK_TYPES[[#This Row],[VEHIDCODE]],"_")</f>
        <v>Austria_OBB_4041</v>
      </c>
      <c r="C526" t="s">
        <v>734</v>
      </c>
      <c r="D526" t="s">
        <v>955</v>
      </c>
      <c r="E526">
        <v>8001</v>
      </c>
      <c r="F526" t="b">
        <f>AND(CONTROL[[#This Row],[IS_WAGON_OR_COACH]]=TRUE,OR(RIGHT(CONTROL[[#This Row],[VEHIDCODE]],7)="Powered",RIGHT(CONTROL[[#This Row],[VEHIDCODE]],9)="Unpowered"))</f>
        <v>0</v>
      </c>
      <c r="G526" s="2" t="b">
        <f>OR(ISNUMBER(SEARCH("wagon_",CONTROL[[#This Row],[VEHIDCODE]])),ISNUMBER(SEARCH("coach_",CONTROL[[#This Row],[VEHIDCODE]])))</f>
        <v>0</v>
      </c>
      <c r="H526" t="str">
        <f>"item_"&amp;CONTROL[[#This Row],[VEHIDCODE]]</f>
        <v>item_emu_Austria_OBB_4041</v>
      </c>
      <c r="I526" t="str">
        <f>"str_"&amp;CONTROL[[#This Row],[VEHIDCODE]]</f>
        <v>str_emu_Austria_OBB_4041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t="b">
        <f>ISNUMBER(_xlfn.XMATCH(CONTROL[[#This Row],[VEHIDCODE]],ENGLISH_ITEMS[VEHIDCODE],0))</f>
        <v>1</v>
      </c>
    </row>
    <row r="527" spans="1:16">
      <c r="A527" s="2" t="s">
        <v>554</v>
      </c>
      <c r="B527" t="str">
        <f>_xlfn.TEXTAFTER(TRACK_TYPES[[#This Row],[VEHIDCODE]],"_")</f>
        <v>Austria_WESTbahn_4010_KISS</v>
      </c>
      <c r="C527" t="s">
        <v>734</v>
      </c>
      <c r="D527" t="s">
        <v>955</v>
      </c>
      <c r="E527">
        <v>8069</v>
      </c>
      <c r="F527" t="b">
        <f>AND(CONTROL[[#This Row],[IS_WAGON_OR_COACH]]=TRUE,OR(RIGHT(CONTROL[[#This Row],[VEHIDCODE]],7)="Powered",RIGHT(CONTROL[[#This Row],[VEHIDCODE]],9)="Unpowered"))</f>
        <v>0</v>
      </c>
      <c r="G527" s="2" t="b">
        <f>OR(ISNUMBER(SEARCH("wagon_",CONTROL[[#This Row],[VEHIDCODE]])),ISNUMBER(SEARCH("coach_",CONTROL[[#This Row],[VEHIDCODE]])))</f>
        <v>0</v>
      </c>
      <c r="H527" t="str">
        <f>"item_"&amp;CONTROL[[#This Row],[VEHIDCODE]]</f>
        <v>item_emu_Austria_WESTbahn_4010_KISS</v>
      </c>
      <c r="I527" t="str">
        <f>"str_"&amp;CONTROL[[#This Row],[VEHIDCODE]]</f>
        <v>str_emu_Austria_WESTbahn_4010_KISS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t="b">
        <f>ISNUMBER(_xlfn.XMATCH(CONTROL[[#This Row],[VEHIDCODE]],ENGLISH_ITEMS[VEHIDCODE],0))</f>
        <v>1</v>
      </c>
    </row>
    <row r="528" spans="1:16">
      <c r="A528" s="2" t="s">
        <v>555</v>
      </c>
      <c r="B528" t="str">
        <f>_xlfn.TEXTAFTER(TRACK_TYPES[[#This Row],[VEHIDCODE]],"_")</f>
        <v>Germany_DB_ET420</v>
      </c>
      <c r="C528" t="s">
        <v>734</v>
      </c>
      <c r="D528" t="s">
        <v>955</v>
      </c>
      <c r="E528">
        <v>8014</v>
      </c>
      <c r="F528" t="b">
        <f>AND(CONTROL[[#This Row],[IS_WAGON_OR_COACH]]=TRUE,OR(RIGHT(CONTROL[[#This Row],[VEHIDCODE]],7)="Powered",RIGHT(CONTROL[[#This Row],[VEHIDCODE]],9)="Unpowered"))</f>
        <v>0</v>
      </c>
      <c r="G528" s="2" t="b">
        <f>OR(ISNUMBER(SEARCH("wagon_",CONTROL[[#This Row],[VEHIDCODE]])),ISNUMBER(SEARCH("coach_",CONTROL[[#This Row],[VEHIDCODE]])))</f>
        <v>0</v>
      </c>
      <c r="H528" t="str">
        <f>"item_"&amp;CONTROL[[#This Row],[VEHIDCODE]]</f>
        <v>item_emu_Germany_DB_ET420</v>
      </c>
      <c r="I528" t="str">
        <f>"str_"&amp;CONTROL[[#This Row],[VEHIDCODE]]</f>
        <v>str_emu_Germany_DB_ET420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t="b">
        <f>ISNUMBER(_xlfn.XMATCH(CONTROL[[#This Row],[VEHIDCODE]],ENGLISH_ITEMS[VEHIDCODE],0))</f>
        <v>1</v>
      </c>
    </row>
    <row r="529" spans="1:16">
      <c r="A529" s="2" t="s">
        <v>556</v>
      </c>
      <c r="B529" t="str">
        <f>_xlfn.TEXTAFTER(TRACK_TYPES[[#This Row],[VEHIDCODE]],"_")</f>
        <v>Norway_NSB_BM73</v>
      </c>
      <c r="C529" t="s">
        <v>734</v>
      </c>
      <c r="D529" t="s">
        <v>955</v>
      </c>
      <c r="E529">
        <v>8032</v>
      </c>
      <c r="F529" t="b">
        <f>AND(CONTROL[[#This Row],[IS_WAGON_OR_COACH]]=TRUE,OR(RIGHT(CONTROL[[#This Row],[VEHIDCODE]],7)="Powered",RIGHT(CONTROL[[#This Row],[VEHIDCODE]],9)="Unpowered"))</f>
        <v>0</v>
      </c>
      <c r="G529" s="2" t="b">
        <f>OR(ISNUMBER(SEARCH("wagon_",CONTROL[[#This Row],[VEHIDCODE]])),ISNUMBER(SEARCH("coach_",CONTROL[[#This Row],[VEHIDCODE]])))</f>
        <v>0</v>
      </c>
      <c r="H529" t="str">
        <f>"item_"&amp;CONTROL[[#This Row],[VEHIDCODE]]</f>
        <v>item_emu_Norway_NSB_BM73</v>
      </c>
      <c r="I529" t="str">
        <f>"str_"&amp;CONTROL[[#This Row],[VEHIDCODE]]</f>
        <v>str_emu_Norway_NSB_BM73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t="b">
        <f>ISNUMBER(_xlfn.XMATCH(CONTROL[[#This Row],[VEHIDCODE]],ENGLISH_ITEMS[VEHIDCODE],0))</f>
        <v>1</v>
      </c>
    </row>
    <row r="530" spans="1:16">
      <c r="A530" s="2" t="s">
        <v>557</v>
      </c>
      <c r="B530" t="str">
        <f>_xlfn.TEXTAFTER(TRACK_TYPES[[#This Row],[VEHIDCODE]],"_")</f>
        <v>Norway_NSB_BM65</v>
      </c>
      <c r="C530" t="s">
        <v>734</v>
      </c>
      <c r="D530" t="s">
        <v>955</v>
      </c>
      <c r="E530">
        <v>8005</v>
      </c>
      <c r="F530" t="b">
        <f>AND(CONTROL[[#This Row],[IS_WAGON_OR_COACH]]=TRUE,OR(RIGHT(CONTROL[[#This Row],[VEHIDCODE]],7)="Powered",RIGHT(CONTROL[[#This Row],[VEHIDCODE]],9)="Unpowered"))</f>
        <v>0</v>
      </c>
      <c r="G530" s="2" t="b">
        <f>OR(ISNUMBER(SEARCH("wagon_",CONTROL[[#This Row],[VEHIDCODE]])),ISNUMBER(SEARCH("coach_",CONTROL[[#This Row],[VEHIDCODE]])))</f>
        <v>0</v>
      </c>
      <c r="H530" t="str">
        <f>"item_"&amp;CONTROL[[#This Row],[VEHIDCODE]]</f>
        <v>item_emu_Norway_NSB_BM65</v>
      </c>
      <c r="I530" t="str">
        <f>"str_"&amp;CONTROL[[#This Row],[VEHIDCODE]]</f>
        <v>str_emu_Norway_NSB_BM65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t="b">
        <f>ISNUMBER(_xlfn.XMATCH(CONTROL[[#This Row],[VEHIDCODE]],ENGLISH_ITEMS[VEHIDCODE],0))</f>
        <v>1</v>
      </c>
    </row>
    <row r="531" spans="1:16">
      <c r="A531" s="2" t="s">
        <v>558</v>
      </c>
      <c r="B531" t="str">
        <f>_xlfn.TEXTAFTER(TRACK_TYPES[[#This Row],[VEHIDCODE]],"_")</f>
        <v>Sweden_SJ_X2000</v>
      </c>
      <c r="C531" t="s">
        <v>734</v>
      </c>
      <c r="D531" t="s">
        <v>955</v>
      </c>
      <c r="E531">
        <v>8023</v>
      </c>
      <c r="F531" t="b">
        <f>AND(CONTROL[[#This Row],[IS_WAGON_OR_COACH]]=TRUE,OR(RIGHT(CONTROL[[#This Row],[VEHIDCODE]],7)="Powered",RIGHT(CONTROL[[#This Row],[VEHIDCODE]],9)="Unpowered"))</f>
        <v>0</v>
      </c>
      <c r="G531" s="2" t="b">
        <f>OR(ISNUMBER(SEARCH("wagon_",CONTROL[[#This Row],[VEHIDCODE]])),ISNUMBER(SEARCH("coach_",CONTROL[[#This Row],[VEHIDCODE]])))</f>
        <v>0</v>
      </c>
      <c r="H531" t="str">
        <f>"item_"&amp;CONTROL[[#This Row],[VEHIDCODE]]</f>
        <v>item_emu_Sweden_SJ_X2000</v>
      </c>
      <c r="I531" t="str">
        <f>"str_"&amp;CONTROL[[#This Row],[VEHIDCODE]]</f>
        <v>str_emu_Sweden_SJ_X2000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t="b">
        <f>ISNUMBER(_xlfn.XMATCH(CONTROL[[#This Row],[VEHIDCODE]],ENGLISH_ITEMS[VEHIDCODE],0))</f>
        <v>1</v>
      </c>
    </row>
    <row r="532" spans="1:16">
      <c r="A532" s="2" t="s">
        <v>559</v>
      </c>
      <c r="B532" t="str">
        <f>_xlfn.TEXTAFTER(TRACK_TYPES[[#This Row],[VEHIDCODE]],"_")</f>
        <v>Switzerland_SBB_RABDe_510</v>
      </c>
      <c r="C532" t="s">
        <v>734</v>
      </c>
      <c r="D532" t="s">
        <v>955</v>
      </c>
      <c r="E532">
        <v>8012</v>
      </c>
      <c r="F532" t="b">
        <f>AND(CONTROL[[#This Row],[IS_WAGON_OR_COACH]]=TRUE,OR(RIGHT(CONTROL[[#This Row],[VEHIDCODE]],7)="Powered",RIGHT(CONTROL[[#This Row],[VEHIDCODE]],9)="Unpowered"))</f>
        <v>0</v>
      </c>
      <c r="G532" s="2" t="b">
        <f>OR(ISNUMBER(SEARCH("wagon_",CONTROL[[#This Row],[VEHIDCODE]])),ISNUMBER(SEARCH("coach_",CONTROL[[#This Row],[VEHIDCODE]])))</f>
        <v>0</v>
      </c>
      <c r="H532" t="str">
        <f>"item_"&amp;CONTROL[[#This Row],[VEHIDCODE]]</f>
        <v>item_emu_Switzerland_SBB_RABDe_510</v>
      </c>
      <c r="I532" t="str">
        <f>"str_"&amp;CONTROL[[#This Row],[VEHIDCODE]]</f>
        <v>str_emu_Switzerland_SBB_RABDe_510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t="b">
        <f>ISNUMBER(_xlfn.XMATCH(CONTROL[[#This Row],[VEHIDCODE]],ENGLISH_ITEMS[VEHIDCODE],0))</f>
        <v>1</v>
      </c>
    </row>
    <row r="533" spans="1:16">
      <c r="A533" s="2" t="s">
        <v>560</v>
      </c>
      <c r="B533" t="str">
        <f>_xlfn.TEXTAFTER(TRACK_TYPES[[#This Row],[VEHIDCODE]],"_")</f>
        <v>Switzerland_SBB_RBDe_560</v>
      </c>
      <c r="C533" t="s">
        <v>734</v>
      </c>
      <c r="D533" t="s">
        <v>955</v>
      </c>
      <c r="E533">
        <v>8020</v>
      </c>
      <c r="F533" t="b">
        <f>AND(CONTROL[[#This Row],[IS_WAGON_OR_COACH]]=TRUE,OR(RIGHT(CONTROL[[#This Row],[VEHIDCODE]],7)="Powered",RIGHT(CONTROL[[#This Row],[VEHIDCODE]],9)="Unpowered"))</f>
        <v>0</v>
      </c>
      <c r="G533" s="2" t="b">
        <f>OR(ISNUMBER(SEARCH("wagon_",CONTROL[[#This Row],[VEHIDCODE]])),ISNUMBER(SEARCH("coach_",CONTROL[[#This Row],[VEHIDCODE]])))</f>
        <v>0</v>
      </c>
      <c r="H533" t="str">
        <f>"item_"&amp;CONTROL[[#This Row],[VEHIDCODE]]</f>
        <v>item_emu_Switzerland_SBB_RBDe_560</v>
      </c>
      <c r="I533" t="str">
        <f>"str_"&amp;CONTROL[[#This Row],[VEHIDCODE]]</f>
        <v>str_emu_Switzerland_SBB_RBDe_560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t="b">
        <f>ISNUMBER(_xlfn.XMATCH(CONTROL[[#This Row],[VEHIDCODE]],ENGLISH_ITEMS[VEHIDCODE],0))</f>
        <v>1</v>
      </c>
    </row>
    <row r="534" spans="1:16">
      <c r="A534" s="2" t="s">
        <v>561</v>
      </c>
      <c r="B534" t="str">
        <f>_xlfn.TEXTAFTER(TRACK_TYPES[[#This Row],[VEHIDCODE]],"_")</f>
        <v>Switzerland_SBB_RABe_523_Flirt</v>
      </c>
      <c r="C534" t="s">
        <v>734</v>
      </c>
      <c r="D534" t="s">
        <v>955</v>
      </c>
      <c r="E534">
        <v>8038</v>
      </c>
      <c r="F534" t="b">
        <f>AND(CONTROL[[#This Row],[IS_WAGON_OR_COACH]]=TRUE,OR(RIGHT(CONTROL[[#This Row],[VEHIDCODE]],7)="Powered",RIGHT(CONTROL[[#This Row],[VEHIDCODE]],9)="Unpowered"))</f>
        <v>0</v>
      </c>
      <c r="G534" s="2" t="b">
        <f>OR(ISNUMBER(SEARCH("wagon_",CONTROL[[#This Row],[VEHIDCODE]])),ISNUMBER(SEARCH("coach_",CONTROL[[#This Row],[VEHIDCODE]])))</f>
        <v>0</v>
      </c>
      <c r="H534" t="str">
        <f>"item_"&amp;CONTROL[[#This Row],[VEHIDCODE]]</f>
        <v>item_emu_Switzerland_SBB_RABe_523_Flirt</v>
      </c>
      <c r="I534" t="str">
        <f>"str_"&amp;CONTROL[[#This Row],[VEHIDCODE]]</f>
        <v>str_emu_Switzerland_SBB_RABe_523_Flirt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t="b">
        <f>ISNUMBER(_xlfn.XMATCH(CONTROL[[#This Row],[VEHIDCODE]],ENGLISH_ITEMS[VEHIDCODE],0))</f>
        <v>1</v>
      </c>
    </row>
    <row r="535" spans="1:16">
      <c r="A535" s="2" t="s">
        <v>562</v>
      </c>
      <c r="B535" t="str">
        <f>_xlfn.TEXTAFTER(TRACK_TYPES[[#This Row],[VEHIDCODE]],"_")</f>
        <v>USA_Amtrak_Budd_Metroliner</v>
      </c>
      <c r="C535" t="s">
        <v>734</v>
      </c>
      <c r="D535" t="s">
        <v>955</v>
      </c>
      <c r="E535">
        <v>8062</v>
      </c>
      <c r="F535" t="b">
        <f>AND(CONTROL[[#This Row],[IS_WAGON_OR_COACH]]=TRUE,OR(RIGHT(CONTROL[[#This Row],[VEHIDCODE]],7)="Powered",RIGHT(CONTROL[[#This Row],[VEHIDCODE]],9)="Unpowered"))</f>
        <v>0</v>
      </c>
      <c r="G535" s="2" t="b">
        <f>OR(ISNUMBER(SEARCH("wagon_",CONTROL[[#This Row],[VEHIDCODE]])),ISNUMBER(SEARCH("coach_",CONTROL[[#This Row],[VEHIDCODE]])))</f>
        <v>0</v>
      </c>
      <c r="H535" t="str">
        <f>"item_"&amp;CONTROL[[#This Row],[VEHIDCODE]]</f>
        <v>item_emu_USA_Amtrak_Budd_Metroliner</v>
      </c>
      <c r="I535" t="str">
        <f>"str_"&amp;CONTROL[[#This Row],[VEHIDCODE]]</f>
        <v>str_emu_USA_Amtrak_Budd_Metroliner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t="b">
        <f>ISNUMBER(_xlfn.XMATCH(CONTROL[[#This Row],[VEHIDCODE]],ENGLISH_ITEMS[VEHIDCODE],0))</f>
        <v>1</v>
      </c>
    </row>
    <row r="536" spans="1:16">
      <c r="A536" s="2" t="s">
        <v>563</v>
      </c>
      <c r="B536" t="str">
        <f>_xlfn.TEXTAFTER(TRACK_TYPES[[#This Row],[VEHIDCODE]],"_")</f>
        <v>Germany_DB_403_ICE_3</v>
      </c>
      <c r="C536" t="s">
        <v>734</v>
      </c>
      <c r="D536" t="s">
        <v>955</v>
      </c>
      <c r="E536">
        <v>8036</v>
      </c>
      <c r="F536" t="b">
        <f>AND(CONTROL[[#This Row],[IS_WAGON_OR_COACH]]=TRUE,OR(RIGHT(CONTROL[[#This Row],[VEHIDCODE]],7)="Powered",RIGHT(CONTROL[[#This Row],[VEHIDCODE]],9)="Unpowered"))</f>
        <v>0</v>
      </c>
      <c r="G536" s="2" t="b">
        <f>OR(ISNUMBER(SEARCH("wagon_",CONTROL[[#This Row],[VEHIDCODE]])),ISNUMBER(SEARCH("coach_",CONTROL[[#This Row],[VEHIDCODE]])))</f>
        <v>0</v>
      </c>
      <c r="H536" t="str">
        <f>"item_"&amp;CONTROL[[#This Row],[VEHIDCODE]]</f>
        <v>item_emu_Germany_DB_403_ICE_3</v>
      </c>
      <c r="I536" t="str">
        <f>"str_"&amp;CONTROL[[#This Row],[VEHIDCODE]]</f>
        <v>str_emu_Germany_DB_403_ICE_3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t="b">
        <f>ISNUMBER(_xlfn.XMATCH(CONTROL[[#This Row],[VEHIDCODE]],ENGLISH_ITEMS[VEHIDCODE],0))</f>
        <v>1</v>
      </c>
    </row>
    <row r="537" spans="1:16">
      <c r="A537" s="2" t="s">
        <v>564</v>
      </c>
      <c r="B537" t="str">
        <f>_xlfn.TEXTAFTER(TRACK_TYPES[[#This Row],[VEHIDCODE]],"_")</f>
        <v>Bulgaria_BDZ_10_Desiro</v>
      </c>
      <c r="C537" t="s">
        <v>734</v>
      </c>
      <c r="D537" t="s">
        <v>955</v>
      </c>
      <c r="E537">
        <v>8039</v>
      </c>
      <c r="F537" t="b">
        <f>AND(CONTROL[[#This Row],[IS_WAGON_OR_COACH]]=TRUE,OR(RIGHT(CONTROL[[#This Row],[VEHIDCODE]],7)="Powered",RIGHT(CONTROL[[#This Row],[VEHIDCODE]],9)="Unpowered"))</f>
        <v>0</v>
      </c>
      <c r="G537" s="2" t="b">
        <f>OR(ISNUMBER(SEARCH("wagon_",CONTROL[[#This Row],[VEHIDCODE]])),ISNUMBER(SEARCH("coach_",CONTROL[[#This Row],[VEHIDCODE]])))</f>
        <v>0</v>
      </c>
      <c r="H537" t="str">
        <f>"item_"&amp;CONTROL[[#This Row],[VEHIDCODE]]</f>
        <v>item_emu_Bulgaria_BDZ_10_Desiro</v>
      </c>
      <c r="I537" t="str">
        <f>"str_"&amp;CONTROL[[#This Row],[VEHIDCODE]]</f>
        <v>str_emu_Bulgaria_BDZ_10_Desiro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t="b">
        <f>ISNUMBER(_xlfn.XMATCH(CONTROL[[#This Row],[VEHIDCODE]],ENGLISH_ITEMS[VEHIDCODE],0))</f>
        <v>1</v>
      </c>
    </row>
    <row r="538" spans="1:16">
      <c r="A538" s="2" t="s">
        <v>565</v>
      </c>
      <c r="B538" t="str">
        <f>_xlfn.TEXTAFTER(TRACK_TYPES[[#This Row],[VEHIDCODE]],"_")</f>
        <v>Finland_VR_Sm2</v>
      </c>
      <c r="C538" t="s">
        <v>734</v>
      </c>
      <c r="D538" t="s">
        <v>955</v>
      </c>
      <c r="E538">
        <v>8016</v>
      </c>
      <c r="F538" t="b">
        <f>AND(CONTROL[[#This Row],[IS_WAGON_OR_COACH]]=TRUE,OR(RIGHT(CONTROL[[#This Row],[VEHIDCODE]],7)="Powered",RIGHT(CONTROL[[#This Row],[VEHIDCODE]],9)="Unpowered"))</f>
        <v>0</v>
      </c>
      <c r="G538" s="2" t="b">
        <f>OR(ISNUMBER(SEARCH("wagon_",CONTROL[[#This Row],[VEHIDCODE]])),ISNUMBER(SEARCH("coach_",CONTROL[[#This Row],[VEHIDCODE]])))</f>
        <v>0</v>
      </c>
      <c r="H538" t="str">
        <f>"item_"&amp;CONTROL[[#This Row],[VEHIDCODE]]</f>
        <v>item_emu_Finland_VR_Sm2</v>
      </c>
      <c r="I538" t="str">
        <f>"str_"&amp;CONTROL[[#This Row],[VEHIDCODE]]</f>
        <v>str_emu_Finland_VR_Sm2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t="b">
        <f>ISNUMBER(_xlfn.XMATCH(CONTROL[[#This Row],[VEHIDCODE]],ENGLISH_ITEMS[VEHIDCODE],0))</f>
        <v>1</v>
      </c>
    </row>
    <row r="539" spans="1:16">
      <c r="A539" s="2" t="s">
        <v>566</v>
      </c>
      <c r="B539" t="str">
        <f>_xlfn.TEXTAFTER(TRACK_TYPES[[#This Row],[VEHIDCODE]],"_")</f>
        <v>Finland_VR_Sm4</v>
      </c>
      <c r="C539" t="s">
        <v>734</v>
      </c>
      <c r="D539" t="s">
        <v>955</v>
      </c>
      <c r="E539">
        <v>8034</v>
      </c>
      <c r="F539" t="b">
        <f>AND(CONTROL[[#This Row],[IS_WAGON_OR_COACH]]=TRUE,OR(RIGHT(CONTROL[[#This Row],[VEHIDCODE]],7)="Powered",RIGHT(CONTROL[[#This Row],[VEHIDCODE]],9)="Unpowered"))</f>
        <v>0</v>
      </c>
      <c r="G539" s="2" t="b">
        <f>OR(ISNUMBER(SEARCH("wagon_",CONTROL[[#This Row],[VEHIDCODE]])),ISNUMBER(SEARCH("coach_",CONTROL[[#This Row],[VEHIDCODE]])))</f>
        <v>0</v>
      </c>
      <c r="H539" t="str">
        <f>"item_"&amp;CONTROL[[#This Row],[VEHIDCODE]]</f>
        <v>item_emu_Finland_VR_Sm4</v>
      </c>
      <c r="I539" t="str">
        <f>"str_"&amp;CONTROL[[#This Row],[VEHIDCODE]]</f>
        <v>str_emu_Finland_VR_Sm4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t="b">
        <f>ISNUMBER(_xlfn.XMATCH(CONTROL[[#This Row],[VEHIDCODE]],ENGLISH_ITEMS[VEHIDCODE],0))</f>
        <v>1</v>
      </c>
    </row>
    <row r="540" spans="1:16">
      <c r="A540" s="2" t="s">
        <v>567</v>
      </c>
      <c r="B540" t="str">
        <f>_xlfn.TEXTAFTER(TRACK_TYPES[[#This Row],[VEHIDCODE]],"_")</f>
        <v>Hungary_MAV_BDVmot</v>
      </c>
      <c r="C540" t="s">
        <v>734</v>
      </c>
      <c r="D540" t="s">
        <v>955</v>
      </c>
      <c r="E540">
        <v>8022</v>
      </c>
      <c r="F540" t="b">
        <f>AND(CONTROL[[#This Row],[IS_WAGON_OR_COACH]]=TRUE,OR(RIGHT(CONTROL[[#This Row],[VEHIDCODE]],7)="Powered",RIGHT(CONTROL[[#This Row],[VEHIDCODE]],9)="Unpowered"))</f>
        <v>0</v>
      </c>
      <c r="G540" s="2" t="b">
        <f>OR(ISNUMBER(SEARCH("wagon_",CONTROL[[#This Row],[VEHIDCODE]])),ISNUMBER(SEARCH("coach_",CONTROL[[#This Row],[VEHIDCODE]])))</f>
        <v>0</v>
      </c>
      <c r="H540" t="str">
        <f>"item_"&amp;CONTROL[[#This Row],[VEHIDCODE]]</f>
        <v>item_emu_Hungary_MAV_BDVmot</v>
      </c>
      <c r="I540" t="str">
        <f>"str_"&amp;CONTROL[[#This Row],[VEHIDCODE]]</f>
        <v>str_emu_Hungary_MAV_BDVmot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t="b">
        <f>ISNUMBER(_xlfn.XMATCH(CONTROL[[#This Row],[VEHIDCODE]],ENGLISH_ITEMS[VEHIDCODE],0))</f>
        <v>1</v>
      </c>
    </row>
    <row r="541" spans="1:16">
      <c r="A541" s="2" t="s">
        <v>568</v>
      </c>
      <c r="B541" t="str">
        <f>_xlfn.TEXTAFTER(TRACK_TYPES[[#This Row],[VEHIDCODE]],"_")</f>
        <v>Europe_Sureot</v>
      </c>
      <c r="C541" t="s">
        <v>734</v>
      </c>
      <c r="D541" t="s">
        <v>955</v>
      </c>
      <c r="E541">
        <v>8072</v>
      </c>
      <c r="F541" t="b">
        <f>AND(CONTROL[[#This Row],[IS_WAGON_OR_COACH]]=TRUE,OR(RIGHT(CONTROL[[#This Row],[VEHIDCODE]],7)="Powered",RIGHT(CONTROL[[#This Row],[VEHIDCODE]],9)="Unpowered"))</f>
        <v>0</v>
      </c>
      <c r="G541" s="2" t="b">
        <f>OR(ISNUMBER(SEARCH("wagon_",CONTROL[[#This Row],[VEHIDCODE]])),ISNUMBER(SEARCH("coach_",CONTROL[[#This Row],[VEHIDCODE]])))</f>
        <v>0</v>
      </c>
      <c r="H541" t="str">
        <f>"item_"&amp;CONTROL[[#This Row],[VEHIDCODE]]</f>
        <v>item_emu_Europe_Sureot</v>
      </c>
      <c r="I541" t="str">
        <f>"str_"&amp;CONTROL[[#This Row],[VEHIDCODE]]</f>
        <v>str_emu_Europe_Sureot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t="b">
        <f>ISNUMBER(_xlfn.XMATCH(CONTROL[[#This Row],[VEHIDCODE]],ENGLISH_ITEMS[VEHIDCODE],0))</f>
        <v>1</v>
      </c>
    </row>
    <row r="542" spans="1:16">
      <c r="A542" s="2" t="s">
        <v>569</v>
      </c>
      <c r="B542" t="str">
        <f>_xlfn.TEXTAFTER(TRACK_TYPES[[#This Row],[VEHIDCODE]],"_")</f>
        <v>Japan_JNR_Shinkansen_Series_0</v>
      </c>
      <c r="C542" t="s">
        <v>734</v>
      </c>
      <c r="D542" t="s">
        <v>955</v>
      </c>
      <c r="E542">
        <v>8011</v>
      </c>
      <c r="F542" t="b">
        <f>AND(CONTROL[[#This Row],[IS_WAGON_OR_COACH]]=TRUE,OR(RIGHT(CONTROL[[#This Row],[VEHIDCODE]],7)="Powered",RIGHT(CONTROL[[#This Row],[VEHIDCODE]],9)="Unpowered"))</f>
        <v>0</v>
      </c>
      <c r="G542" s="2" t="b">
        <f>OR(ISNUMBER(SEARCH("wagon_",CONTROL[[#This Row],[VEHIDCODE]])),ISNUMBER(SEARCH("coach_",CONTROL[[#This Row],[VEHIDCODE]])))</f>
        <v>0</v>
      </c>
      <c r="H542" t="str">
        <f>"item_"&amp;CONTROL[[#This Row],[VEHIDCODE]]</f>
        <v>item_emu_Japan_JNR_Shinkansen_Series_0</v>
      </c>
      <c r="I542" t="str">
        <f>"str_"&amp;CONTROL[[#This Row],[VEHIDCODE]]</f>
        <v>str_emu_Japan_JNR_Shinkansen_Series_0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t="b">
        <f>ISNUMBER(_xlfn.XMATCH(CONTROL[[#This Row],[VEHIDCODE]],ENGLISH_ITEMS[VEHIDCODE],0))</f>
        <v>1</v>
      </c>
    </row>
    <row r="543" spans="1:16">
      <c r="A543" s="2" t="s">
        <v>570</v>
      </c>
      <c r="B543" t="str">
        <f>_xlfn.TEXTAFTER(TRACK_TYPES[[#This Row],[VEHIDCODE]],"_")</f>
        <v>Japan_JR_Shinkansen_Series_700</v>
      </c>
      <c r="C543" t="s">
        <v>734</v>
      </c>
      <c r="D543" t="s">
        <v>955</v>
      </c>
      <c r="E543">
        <v>8030</v>
      </c>
      <c r="F543" t="b">
        <f>AND(CONTROL[[#This Row],[IS_WAGON_OR_COACH]]=TRUE,OR(RIGHT(CONTROL[[#This Row],[VEHIDCODE]],7)="Powered",RIGHT(CONTROL[[#This Row],[VEHIDCODE]],9)="Unpowered"))</f>
        <v>0</v>
      </c>
      <c r="G543" s="2" t="b">
        <f>OR(ISNUMBER(SEARCH("wagon_",CONTROL[[#This Row],[VEHIDCODE]])),ISNUMBER(SEARCH("coach_",CONTROL[[#This Row],[VEHIDCODE]])))</f>
        <v>0</v>
      </c>
      <c r="H543" t="str">
        <f>"item_"&amp;CONTROL[[#This Row],[VEHIDCODE]]</f>
        <v>item_emu_Japan_JR_Shinkansen_Series_700</v>
      </c>
      <c r="I543" t="str">
        <f>"str_"&amp;CONTROL[[#This Row],[VEHIDCODE]]</f>
        <v>str_emu_Japan_JR_Shinkansen_Series_700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t="b">
        <f>ISNUMBER(_xlfn.XMATCH(CONTROL[[#This Row],[VEHIDCODE]],ENGLISH_ITEMS[VEHIDCODE],0))</f>
        <v>1</v>
      </c>
    </row>
    <row r="544" spans="1:16">
      <c r="A544" s="2" t="s">
        <v>571</v>
      </c>
      <c r="B544" t="str">
        <f>_xlfn.TEXTAFTER(TRACK_TYPES[[#This Row],[VEHIDCODE]],"_")</f>
        <v>Japan_JR_Shinkansen_Series_E1_Max</v>
      </c>
      <c r="C544" t="s">
        <v>734</v>
      </c>
      <c r="D544" t="s">
        <v>955</v>
      </c>
      <c r="E544">
        <v>8065</v>
      </c>
      <c r="F544" t="b">
        <f>AND(CONTROL[[#This Row],[IS_WAGON_OR_COACH]]=TRUE,OR(RIGHT(CONTROL[[#This Row],[VEHIDCODE]],7)="Powered",RIGHT(CONTROL[[#This Row],[VEHIDCODE]],9)="Unpowered"))</f>
        <v>0</v>
      </c>
      <c r="G544" s="2" t="b">
        <f>OR(ISNUMBER(SEARCH("wagon_",CONTROL[[#This Row],[VEHIDCODE]])),ISNUMBER(SEARCH("coach_",CONTROL[[#This Row],[VEHIDCODE]])))</f>
        <v>0</v>
      </c>
      <c r="H544" t="str">
        <f>"item_"&amp;CONTROL[[#This Row],[VEHIDCODE]]</f>
        <v>item_emu_Japan_JR_Shinkansen_Series_E1_Max</v>
      </c>
      <c r="I544" t="str">
        <f>"str_"&amp;CONTROL[[#This Row],[VEHIDCODE]]</f>
        <v>str_emu_Japan_JR_Shinkansen_Series_E1_Max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t="b">
        <f>ISNUMBER(_xlfn.XMATCH(CONTROL[[#This Row],[VEHIDCODE]],ENGLISH_ITEMS[VEHIDCODE],0))</f>
        <v>1</v>
      </c>
    </row>
    <row r="545" spans="1:16">
      <c r="A545" s="2" t="s">
        <v>572</v>
      </c>
      <c r="B545" t="str">
        <f>_xlfn.TEXTAFTER(TRACK_TYPES[[#This Row],[VEHIDCODE]],"_")</f>
        <v>Luxembourg_CFL_2200_Coradia_Duplex</v>
      </c>
      <c r="C545" t="s">
        <v>734</v>
      </c>
      <c r="D545" t="s">
        <v>955</v>
      </c>
      <c r="E545">
        <v>8035</v>
      </c>
      <c r="F545" t="b">
        <f>AND(CONTROL[[#This Row],[IS_WAGON_OR_COACH]]=TRUE,OR(RIGHT(CONTROL[[#This Row],[VEHIDCODE]],7)="Powered",RIGHT(CONTROL[[#This Row],[VEHIDCODE]],9)="Unpowered"))</f>
        <v>0</v>
      </c>
      <c r="G545" s="2" t="b">
        <f>OR(ISNUMBER(SEARCH("wagon_",CONTROL[[#This Row],[VEHIDCODE]])),ISNUMBER(SEARCH("coach_",CONTROL[[#This Row],[VEHIDCODE]])))</f>
        <v>0</v>
      </c>
      <c r="H545" t="str">
        <f>"item_"&amp;CONTROL[[#This Row],[VEHIDCODE]]</f>
        <v>item_emu_Luxembourg_CFL_2200_Coradia_Duplex</v>
      </c>
      <c r="I545" t="str">
        <f>"str_"&amp;CONTROL[[#This Row],[VEHIDCODE]]</f>
        <v>str_emu_Luxembourg_CFL_2200_Coradia_Duplex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t="b">
        <f>ISNUMBER(_xlfn.XMATCH(CONTROL[[#This Row],[VEHIDCODE]],ENGLISH_ITEMS[VEHIDCODE],0))</f>
        <v>1</v>
      </c>
    </row>
    <row r="546" spans="1:16">
      <c r="A546" s="2" t="s">
        <v>573</v>
      </c>
      <c r="B546" t="str">
        <f>_xlfn.TEXTAFTER(TRACK_TYPES[[#This Row],[VEHIDCODE]],"_")</f>
        <v>Macedonia_Macedonian_Railways_412</v>
      </c>
      <c r="C546" t="s">
        <v>734</v>
      </c>
      <c r="D546" t="s">
        <v>955</v>
      </c>
      <c r="E546">
        <v>8053</v>
      </c>
      <c r="F546" t="b">
        <f>AND(CONTROL[[#This Row],[IS_WAGON_OR_COACH]]=TRUE,OR(RIGHT(CONTROL[[#This Row],[VEHIDCODE]],7)="Powered",RIGHT(CONTROL[[#This Row],[VEHIDCODE]],9)="Unpowered"))</f>
        <v>0</v>
      </c>
      <c r="G546" s="2" t="b">
        <f>OR(ISNUMBER(SEARCH("wagon_",CONTROL[[#This Row],[VEHIDCODE]])),ISNUMBER(SEARCH("coach_",CONTROL[[#This Row],[VEHIDCODE]])))</f>
        <v>0</v>
      </c>
      <c r="H546" t="str">
        <f>"item_"&amp;CONTROL[[#This Row],[VEHIDCODE]]</f>
        <v>item_emu_Macedonia_Macedonian_Railways_412</v>
      </c>
      <c r="I546" t="str">
        <f>"str_"&amp;CONTROL[[#This Row],[VEHIDCODE]]</f>
        <v>str_emu_Macedonia_Macedonian_Railways_412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t="b">
        <f>ISNUMBER(_xlfn.XMATCH(CONTROL[[#This Row],[VEHIDCODE]],ENGLISH_ITEMS[VEHIDCODE],0))</f>
        <v>1</v>
      </c>
    </row>
    <row r="547" spans="1:16">
      <c r="A547" s="2" t="s">
        <v>574</v>
      </c>
      <c r="B547" t="str">
        <f>_xlfn.TEXTAFTER(TRACK_TYPES[[#This Row],[VEHIDCODE]],"_")</f>
        <v>Romania_CFR_58</v>
      </c>
      <c r="C547" t="s">
        <v>734</v>
      </c>
      <c r="D547" t="s">
        <v>955</v>
      </c>
      <c r="E547">
        <v>8061</v>
      </c>
      <c r="F547" t="b">
        <f>AND(CONTROL[[#This Row],[IS_WAGON_OR_COACH]]=TRUE,OR(RIGHT(CONTROL[[#This Row],[VEHIDCODE]],7)="Powered",RIGHT(CONTROL[[#This Row],[VEHIDCODE]],9)="Unpowered"))</f>
        <v>0</v>
      </c>
      <c r="G547" s="2" t="b">
        <f>OR(ISNUMBER(SEARCH("wagon_",CONTROL[[#This Row],[VEHIDCODE]])),ISNUMBER(SEARCH("coach_",CONTROL[[#This Row],[VEHIDCODE]])))</f>
        <v>0</v>
      </c>
      <c r="H547" t="str">
        <f>"item_"&amp;CONTROL[[#This Row],[VEHIDCODE]]</f>
        <v>item_emu_Romania_CFR_58</v>
      </c>
      <c r="I547" t="str">
        <f>"str_"&amp;CONTROL[[#This Row],[VEHIDCODE]]</f>
        <v>str_emu_Romania_CFR_58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t="b">
        <f>ISNUMBER(_xlfn.XMATCH(CONTROL[[#This Row],[VEHIDCODE]],ENGLISH_ITEMS[VEHIDCODE],0))</f>
        <v>1</v>
      </c>
    </row>
    <row r="548" spans="1:16">
      <c r="A548" s="2" t="s">
        <v>575</v>
      </c>
      <c r="B548" t="str">
        <f>_xlfn.TEXTAFTER(TRACK_TYPES[[#This Row],[VEHIDCODE]],"_")</f>
        <v>South_Africa_Gautrain_Electrostar</v>
      </c>
      <c r="C548" t="s">
        <v>734</v>
      </c>
      <c r="D548" t="s">
        <v>955</v>
      </c>
      <c r="E548">
        <v>8041</v>
      </c>
      <c r="F548" t="b">
        <f>AND(CONTROL[[#This Row],[IS_WAGON_OR_COACH]]=TRUE,OR(RIGHT(CONTROL[[#This Row],[VEHIDCODE]],7)="Powered",RIGHT(CONTROL[[#This Row],[VEHIDCODE]],9)="Unpowered"))</f>
        <v>0</v>
      </c>
      <c r="G548" s="2" t="b">
        <f>OR(ISNUMBER(SEARCH("wagon_",CONTROL[[#This Row],[VEHIDCODE]])),ISNUMBER(SEARCH("coach_",CONTROL[[#This Row],[VEHIDCODE]])))</f>
        <v>0</v>
      </c>
      <c r="H548" t="str">
        <f>"item_"&amp;CONTROL[[#This Row],[VEHIDCODE]]</f>
        <v>item_emu_South_Africa_Gautrain_Electrostar</v>
      </c>
      <c r="I548" t="str">
        <f>"str_"&amp;CONTROL[[#This Row],[VEHIDCODE]]</f>
        <v>str_emu_South_Africa_Gautrain_Electrostar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t="b">
        <f>ISNUMBER(_xlfn.XMATCH(CONTROL[[#This Row],[VEHIDCODE]],ENGLISH_ITEMS[VEHIDCODE],0))</f>
        <v>1</v>
      </c>
    </row>
    <row r="549" spans="1:16">
      <c r="A549" s="2" t="s">
        <v>576</v>
      </c>
      <c r="B549" t="str">
        <f>_xlfn.TEXTAFTER(TRACK_TYPES[[#This Row],[VEHIDCODE]],"_")</f>
        <v>Turkey_TCDD_E8000</v>
      </c>
      <c r="C549" t="s">
        <v>734</v>
      </c>
      <c r="D549" t="s">
        <v>955</v>
      </c>
      <c r="E549">
        <v>8008</v>
      </c>
      <c r="F549" t="b">
        <f>AND(CONTROL[[#This Row],[IS_WAGON_OR_COACH]]=TRUE,OR(RIGHT(CONTROL[[#This Row],[VEHIDCODE]],7)="Powered",RIGHT(CONTROL[[#This Row],[VEHIDCODE]],9)="Unpowered"))</f>
        <v>0</v>
      </c>
      <c r="G549" s="2" t="b">
        <f>OR(ISNUMBER(SEARCH("wagon_",CONTROL[[#This Row],[VEHIDCODE]])),ISNUMBER(SEARCH("coach_",CONTROL[[#This Row],[VEHIDCODE]])))</f>
        <v>0</v>
      </c>
      <c r="H549" t="str">
        <f>"item_"&amp;CONTROL[[#This Row],[VEHIDCODE]]</f>
        <v>item_emu_Turkey_TCDD_E8000</v>
      </c>
      <c r="I549" t="str">
        <f>"str_"&amp;CONTROL[[#This Row],[VEHIDCODE]]</f>
        <v>str_emu_Turkey_TCDD_E8000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t="b">
        <f>ISNUMBER(_xlfn.XMATCH(CONTROL[[#This Row],[VEHIDCODE]],ENGLISH_ITEMS[VEHIDCODE],0))</f>
        <v>1</v>
      </c>
    </row>
    <row r="550" spans="1:16">
      <c r="A550" s="2" t="s">
        <v>577</v>
      </c>
      <c r="B550" t="str">
        <f>_xlfn.TEXTAFTER(TRACK_TYPES[[#This Row],[VEHIDCODE]],"_")</f>
        <v>China_Railways_CHR380A</v>
      </c>
      <c r="C550" t="s">
        <v>734</v>
      </c>
      <c r="D550" t="s">
        <v>955</v>
      </c>
      <c r="E550">
        <v>8071</v>
      </c>
      <c r="F550" t="b">
        <f>AND(CONTROL[[#This Row],[IS_WAGON_OR_COACH]]=TRUE,OR(RIGHT(CONTROL[[#This Row],[VEHIDCODE]],7)="Powered",RIGHT(CONTROL[[#This Row],[VEHIDCODE]],9)="Unpowered"))</f>
        <v>0</v>
      </c>
      <c r="G550" s="2" t="b">
        <f>OR(ISNUMBER(SEARCH("wagon_",CONTROL[[#This Row],[VEHIDCODE]])),ISNUMBER(SEARCH("coach_",CONTROL[[#This Row],[VEHIDCODE]])))</f>
        <v>0</v>
      </c>
      <c r="H550" t="str">
        <f>"item_"&amp;CONTROL[[#This Row],[VEHIDCODE]]</f>
        <v>item_emu_China_Railways_CHR380A</v>
      </c>
      <c r="I550" t="str">
        <f>"str_"&amp;CONTROL[[#This Row],[VEHIDCODE]]</f>
        <v>str_emu_China_Railways_CHR380A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t="b">
        <f>ISNUMBER(_xlfn.XMATCH(CONTROL[[#This Row],[VEHIDCODE]],ENGLISH_ITEMS[VEHIDCODE],0))</f>
        <v>1</v>
      </c>
    </row>
    <row r="551" spans="1:16">
      <c r="A551" s="2" t="s">
        <v>578</v>
      </c>
      <c r="B551" t="str">
        <f>_xlfn.TEXTAFTER(TRACK_TYPES[[#This Row],[VEHIDCODE]],"_")</f>
        <v>USA_PRR_MP54</v>
      </c>
      <c r="C551" t="s">
        <v>734</v>
      </c>
      <c r="D551" t="s">
        <v>955</v>
      </c>
      <c r="E551">
        <v>8045</v>
      </c>
      <c r="F551" t="b">
        <f>AND(CONTROL[[#This Row],[IS_WAGON_OR_COACH]]=TRUE,OR(RIGHT(CONTROL[[#This Row],[VEHIDCODE]],7)="Powered",RIGHT(CONTROL[[#This Row],[VEHIDCODE]],9)="Unpowered"))</f>
        <v>0</v>
      </c>
      <c r="G551" s="2" t="b">
        <f>OR(ISNUMBER(SEARCH("wagon_",CONTROL[[#This Row],[VEHIDCODE]])),ISNUMBER(SEARCH("coach_",CONTROL[[#This Row],[VEHIDCODE]])))</f>
        <v>0</v>
      </c>
      <c r="H551" t="str">
        <f>"item_"&amp;CONTROL[[#This Row],[VEHIDCODE]]</f>
        <v>item_emu_USA_PRR_MP54</v>
      </c>
      <c r="I551" t="str">
        <f>"str_"&amp;CONTROL[[#This Row],[VEHIDCODE]]</f>
        <v>str_emu_USA_PRR_MP54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t="b">
        <f>ISNUMBER(_xlfn.XMATCH(CONTROL[[#This Row],[VEHIDCODE]],ENGLISH_ITEMS[VEHIDCODE],0))</f>
        <v>1</v>
      </c>
    </row>
    <row r="552" spans="1:16">
      <c r="A552" s="2" t="s">
        <v>579</v>
      </c>
      <c r="B552" t="str">
        <f>_xlfn.TEXTAFTER(TRACK_TYPES[[#This Row],[VEHIDCODE]],"_")</f>
        <v>Italy_NTV_AGV</v>
      </c>
      <c r="C552" t="s">
        <v>734</v>
      </c>
      <c r="D552" t="s">
        <v>955</v>
      </c>
      <c r="E552">
        <v>8042</v>
      </c>
      <c r="F552" t="b">
        <f>AND(CONTROL[[#This Row],[IS_WAGON_OR_COACH]]=TRUE,OR(RIGHT(CONTROL[[#This Row],[VEHIDCODE]],7)="Powered",RIGHT(CONTROL[[#This Row],[VEHIDCODE]],9)="Unpowered"))</f>
        <v>0</v>
      </c>
      <c r="G552" s="2" t="b">
        <f>OR(ISNUMBER(SEARCH("wagon_",CONTROL[[#This Row],[VEHIDCODE]])),ISNUMBER(SEARCH("coach_",CONTROL[[#This Row],[VEHIDCODE]])))</f>
        <v>0</v>
      </c>
      <c r="H552" t="str">
        <f>"item_"&amp;CONTROL[[#This Row],[VEHIDCODE]]</f>
        <v>item_emu_Italy_NTV_AGV</v>
      </c>
      <c r="I552" t="str">
        <f>"str_"&amp;CONTROL[[#This Row],[VEHIDCODE]]</f>
        <v>str_emu_Italy_NTV_AGV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t="b">
        <f>ISNUMBER(_xlfn.XMATCH(CONTROL[[#This Row],[VEHIDCODE]],ENGLISH_ITEMS[VEHIDCODE],0))</f>
        <v>1</v>
      </c>
    </row>
    <row r="553" spans="1:16">
      <c r="A553" s="2" t="s">
        <v>580</v>
      </c>
      <c r="B553" t="str">
        <f>_xlfn.TEXTAFTER(TRACK_TYPES[[#This Row],[VEHIDCODE]],"_")</f>
        <v>Italy_NTV_AGV_Duplex</v>
      </c>
      <c r="C553" t="s">
        <v>734</v>
      </c>
      <c r="D553" t="s">
        <v>955</v>
      </c>
      <c r="E553">
        <v>8044</v>
      </c>
      <c r="F553" t="b">
        <f>AND(CONTROL[[#This Row],[IS_WAGON_OR_COACH]]=TRUE,OR(RIGHT(CONTROL[[#This Row],[VEHIDCODE]],7)="Powered",RIGHT(CONTROL[[#This Row],[VEHIDCODE]],9)="Unpowered"))</f>
        <v>0</v>
      </c>
      <c r="G553" s="2" t="b">
        <f>OR(ISNUMBER(SEARCH("wagon_",CONTROL[[#This Row],[VEHIDCODE]])),ISNUMBER(SEARCH("coach_",CONTROL[[#This Row],[VEHIDCODE]])))</f>
        <v>0</v>
      </c>
      <c r="H553" t="str">
        <f>"item_"&amp;CONTROL[[#This Row],[VEHIDCODE]]</f>
        <v>item_emu_Italy_NTV_AGV_Duplex</v>
      </c>
      <c r="I553" t="str">
        <f>"str_"&amp;CONTROL[[#This Row],[VEHIDCODE]]</f>
        <v>str_emu_Italy_NTV_AGV_Duplex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t="b">
        <f>ISNUMBER(_xlfn.XMATCH(CONTROL[[#This Row],[VEHIDCODE]],ENGLISH_ITEMS[VEHIDCODE],0))</f>
        <v>1</v>
      </c>
    </row>
    <row r="554" spans="1:16">
      <c r="A554" s="2" t="s">
        <v>581</v>
      </c>
      <c r="B554" t="str">
        <f>_xlfn.TEXTAFTER(TRACK_TYPES[[#This Row],[VEHIDCODE]],"_")</f>
        <v>Netherlands_NS_Hispeed_V250_Albatros</v>
      </c>
      <c r="C554" t="s">
        <v>734</v>
      </c>
      <c r="D554" t="s">
        <v>955</v>
      </c>
      <c r="E554">
        <v>8055</v>
      </c>
      <c r="F554" t="b">
        <f>AND(CONTROL[[#This Row],[IS_WAGON_OR_COACH]]=TRUE,OR(RIGHT(CONTROL[[#This Row],[VEHIDCODE]],7)="Powered",RIGHT(CONTROL[[#This Row],[VEHIDCODE]],9)="Unpowered"))</f>
        <v>0</v>
      </c>
      <c r="G554" s="2" t="b">
        <f>OR(ISNUMBER(SEARCH("wagon_",CONTROL[[#This Row],[VEHIDCODE]])),ISNUMBER(SEARCH("coach_",CONTROL[[#This Row],[VEHIDCODE]])))</f>
        <v>0</v>
      </c>
      <c r="H554" t="str">
        <f>"item_"&amp;CONTROL[[#This Row],[VEHIDCODE]]</f>
        <v>item_emu_Netherlands_NS_Hispeed_V250_Albatros</v>
      </c>
      <c r="I554" t="str">
        <f>"str_"&amp;CONTROL[[#This Row],[VEHIDCODE]]</f>
        <v>str_emu_Netherlands_NS_Hispeed_V250_Albatros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t="b">
        <f>ISNUMBER(_xlfn.XMATCH(CONTROL[[#This Row],[VEHIDCODE]],ENGLISH_ITEMS[VEHIDCODE],0))</f>
        <v>1</v>
      </c>
    </row>
    <row r="555" spans="1:16">
      <c r="A555" s="2" t="s">
        <v>582</v>
      </c>
      <c r="B555" t="str">
        <f>_xlfn.TEXTAFTER(TRACK_TYPES[[#This Row],[VEHIDCODE]],"_")</f>
        <v>Netherlands_NS_4800_HSA</v>
      </c>
      <c r="C555" t="s">
        <v>734</v>
      </c>
      <c r="D555" t="s">
        <v>955</v>
      </c>
      <c r="E555">
        <v>8043</v>
      </c>
      <c r="F555" t="b">
        <f>AND(CONTROL[[#This Row],[IS_WAGON_OR_COACH]]=TRUE,OR(RIGHT(CONTROL[[#This Row],[VEHIDCODE]],7)="Powered",RIGHT(CONTROL[[#This Row],[VEHIDCODE]],9)="Unpowered"))</f>
        <v>0</v>
      </c>
      <c r="G555" s="2" t="b">
        <f>OR(ISNUMBER(SEARCH("wagon_",CONTROL[[#This Row],[VEHIDCODE]])),ISNUMBER(SEARCH("coach_",CONTROL[[#This Row],[VEHIDCODE]])))</f>
        <v>0</v>
      </c>
      <c r="H555" t="str">
        <f>"item_"&amp;CONTROL[[#This Row],[VEHIDCODE]]</f>
        <v>item_emu_Netherlands_NS_4800_HSA</v>
      </c>
      <c r="I555" t="str">
        <f>"str_"&amp;CONTROL[[#This Row],[VEHIDCODE]]</f>
        <v>str_emu_Netherlands_NS_4800_HSA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t="b">
        <f>ISNUMBER(_xlfn.XMATCH(CONTROL[[#This Row],[VEHIDCODE]],ENGLISH_ITEMS[VEHIDCODE],0))</f>
        <v>1</v>
      </c>
    </row>
    <row r="556" spans="1:16">
      <c r="A556" s="2" t="s">
        <v>583</v>
      </c>
      <c r="B556" t="str">
        <f>_xlfn.TEXTAFTER(TRACK_TYPES[[#This Row],[VEHIDCODE]],"_")</f>
        <v>Switzerland_SBB_Rae_TEE_II</v>
      </c>
      <c r="C556" t="s">
        <v>734</v>
      </c>
      <c r="D556" t="s">
        <v>955</v>
      </c>
      <c r="E556">
        <v>8009</v>
      </c>
      <c r="F556" t="b">
        <f>AND(CONTROL[[#This Row],[IS_WAGON_OR_COACH]]=TRUE,OR(RIGHT(CONTROL[[#This Row],[VEHIDCODE]],7)="Powered",RIGHT(CONTROL[[#This Row],[VEHIDCODE]],9)="Unpowered"))</f>
        <v>0</v>
      </c>
      <c r="G556" s="2" t="b">
        <f>OR(ISNUMBER(SEARCH("wagon_",CONTROL[[#This Row],[VEHIDCODE]])),ISNUMBER(SEARCH("coach_",CONTROL[[#This Row],[VEHIDCODE]])))</f>
        <v>0</v>
      </c>
      <c r="H556" t="str">
        <f>"item_"&amp;CONTROL[[#This Row],[VEHIDCODE]]</f>
        <v>item_emu_Switzerland_SBB_Rae_TEE_II</v>
      </c>
      <c r="I556" t="str">
        <f>"str_"&amp;CONTROL[[#This Row],[VEHIDCODE]]</f>
        <v>str_emu_Switzerland_SBB_Rae_TEE_II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t="b">
        <f>ISNUMBER(_xlfn.XMATCH(CONTROL[[#This Row],[VEHIDCODE]],ENGLISH_ITEMS[VEHIDCODE],0))</f>
        <v>1</v>
      </c>
    </row>
    <row r="557" spans="1:16">
      <c r="A557" s="2" t="s">
        <v>584</v>
      </c>
      <c r="B557" t="str">
        <f>_xlfn.TEXTAFTER(TRACK_TYPES[[#This Row],[VEHIDCODE]],"_")</f>
        <v>USA_Erie_Lackawanna_MU_Cars</v>
      </c>
      <c r="C557" t="s">
        <v>734</v>
      </c>
      <c r="D557" t="s">
        <v>955</v>
      </c>
      <c r="E557">
        <v>8048</v>
      </c>
      <c r="F557" t="b">
        <f>AND(CONTROL[[#This Row],[IS_WAGON_OR_COACH]]=TRUE,OR(RIGHT(CONTROL[[#This Row],[VEHIDCODE]],7)="Powered",RIGHT(CONTROL[[#This Row],[VEHIDCODE]],9)="Unpowered"))</f>
        <v>0</v>
      </c>
      <c r="G557" s="2" t="b">
        <f>OR(ISNUMBER(SEARCH("wagon_",CONTROL[[#This Row],[VEHIDCODE]])),ISNUMBER(SEARCH("coach_",CONTROL[[#This Row],[VEHIDCODE]])))</f>
        <v>0</v>
      </c>
      <c r="H557" t="str">
        <f>"item_"&amp;CONTROL[[#This Row],[VEHIDCODE]]</f>
        <v>item_emu_USA_Erie_Lackawanna_MU_Cars</v>
      </c>
      <c r="I557" t="str">
        <f>"str_"&amp;CONTROL[[#This Row],[VEHIDCODE]]</f>
        <v>str_emu_USA_Erie_Lackawanna_MU_Cars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t="b">
        <f>ISNUMBER(_xlfn.XMATCH(CONTROL[[#This Row],[VEHIDCODE]],ENGLISH_ITEMS[VEHIDCODE],0))</f>
        <v>1</v>
      </c>
    </row>
    <row r="558" spans="1:16">
      <c r="A558" s="2" t="s">
        <v>585</v>
      </c>
      <c r="B558" t="str">
        <f>_xlfn.TEXTAFTER(TRACK_TYPES[[#This Row],[VEHIDCODE]],"_")</f>
        <v>France_SNCF_TGV_Sud_Est</v>
      </c>
      <c r="C558" t="s">
        <v>734</v>
      </c>
      <c r="D558" t="s">
        <v>955</v>
      </c>
      <c r="E558">
        <v>8019</v>
      </c>
      <c r="F558" t="b">
        <f>AND(CONTROL[[#This Row],[IS_WAGON_OR_COACH]]=TRUE,OR(RIGHT(CONTROL[[#This Row],[VEHIDCODE]],7)="Powered",RIGHT(CONTROL[[#This Row],[VEHIDCODE]],9)="Unpowered"))</f>
        <v>0</v>
      </c>
      <c r="G558" s="2" t="b">
        <f>OR(ISNUMBER(SEARCH("wagon_",CONTROL[[#This Row],[VEHIDCODE]])),ISNUMBER(SEARCH("coach_",CONTROL[[#This Row],[VEHIDCODE]])))</f>
        <v>0</v>
      </c>
      <c r="H558" t="str">
        <f>"item_"&amp;CONTROL[[#This Row],[VEHIDCODE]]</f>
        <v>item_emu_France_SNCF_TGV_Sud_Est</v>
      </c>
      <c r="I558" t="str">
        <f>"str_"&amp;CONTROL[[#This Row],[VEHIDCODE]]</f>
        <v>str_emu_France_SNCF_TGV_Sud_Est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t="b">
        <f>ISNUMBER(_xlfn.XMATCH(CONTROL[[#This Row],[VEHIDCODE]],ENGLISH_ITEMS[VEHIDCODE],0))</f>
        <v>1</v>
      </c>
    </row>
    <row r="559" spans="1:16">
      <c r="A559" s="2" t="s">
        <v>586</v>
      </c>
      <c r="B559" t="str">
        <f>_xlfn.TEXTAFTER(TRACK_TYPES[[#This Row],[VEHIDCODE]],"_")</f>
        <v>France_SNCF_TGV_Duplex</v>
      </c>
      <c r="C559" t="s">
        <v>734</v>
      </c>
      <c r="D559" t="s">
        <v>955</v>
      </c>
      <c r="E559">
        <v>8026</v>
      </c>
      <c r="F559" t="b">
        <f>AND(CONTROL[[#This Row],[IS_WAGON_OR_COACH]]=TRUE,OR(RIGHT(CONTROL[[#This Row],[VEHIDCODE]],7)="Powered",RIGHT(CONTROL[[#This Row],[VEHIDCODE]],9)="Unpowered"))</f>
        <v>0</v>
      </c>
      <c r="G559" s="2" t="b">
        <f>OR(ISNUMBER(SEARCH("wagon_",CONTROL[[#This Row],[VEHIDCODE]])),ISNUMBER(SEARCH("coach_",CONTROL[[#This Row],[VEHIDCODE]])))</f>
        <v>0</v>
      </c>
      <c r="H559" t="str">
        <f>"item_"&amp;CONTROL[[#This Row],[VEHIDCODE]]</f>
        <v>item_emu_France_SNCF_TGV_Duplex</v>
      </c>
      <c r="I559" t="str">
        <f>"str_"&amp;CONTROL[[#This Row],[VEHIDCODE]]</f>
        <v>str_emu_France_SNCF_TGV_Duplex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t="b">
        <f>ISNUMBER(_xlfn.XMATCH(CONTROL[[#This Row],[VEHIDCODE]],ENGLISH_ITEMS[VEHIDCODE],0))</f>
        <v>1</v>
      </c>
    </row>
    <row r="560" spans="1:16">
      <c r="A560" s="2" t="s">
        <v>587</v>
      </c>
      <c r="B560" t="str">
        <f>_xlfn.TEXTAFTER(TRACK_TYPES[[#This Row],[VEHIDCODE]],"_")</f>
        <v>France_Thalys_PBKA</v>
      </c>
      <c r="C560" t="s">
        <v>734</v>
      </c>
      <c r="D560" t="s">
        <v>955</v>
      </c>
      <c r="E560">
        <v>8027</v>
      </c>
      <c r="F560" t="b">
        <f>AND(CONTROL[[#This Row],[IS_WAGON_OR_COACH]]=TRUE,OR(RIGHT(CONTROL[[#This Row],[VEHIDCODE]],7)="Powered",RIGHT(CONTROL[[#This Row],[VEHIDCODE]],9)="Unpowered"))</f>
        <v>0</v>
      </c>
      <c r="G560" s="2" t="b">
        <f>OR(ISNUMBER(SEARCH("wagon_",CONTROL[[#This Row],[VEHIDCODE]])),ISNUMBER(SEARCH("coach_",CONTROL[[#This Row],[VEHIDCODE]])))</f>
        <v>0</v>
      </c>
      <c r="H560" t="str">
        <f>"item_"&amp;CONTROL[[#This Row],[VEHIDCODE]]</f>
        <v>item_emu_France_Thalys_PBKA</v>
      </c>
      <c r="I560" t="str">
        <f>"str_"&amp;CONTROL[[#This Row],[VEHIDCODE]]</f>
        <v>str_emu_France_Thalys_PBKA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t="b">
        <f>ISNUMBER(_xlfn.XMATCH(CONTROL[[#This Row],[VEHIDCODE]],ENGLISH_ITEMS[VEHIDCODE],0))</f>
        <v>1</v>
      </c>
    </row>
    <row r="561" spans="1:16">
      <c r="A561" s="2" t="s">
        <v>588</v>
      </c>
      <c r="B561" t="str">
        <f>_xlfn.TEXTAFTER(TRACK_TYPES[[#This Row],[VEHIDCODE]],"_")</f>
        <v>Czech_Republic_CD_680_Pendolino</v>
      </c>
      <c r="C561" t="s">
        <v>734</v>
      </c>
      <c r="D561" t="s">
        <v>955</v>
      </c>
      <c r="E561">
        <v>8033</v>
      </c>
      <c r="F561" t="b">
        <f>AND(CONTROL[[#This Row],[IS_WAGON_OR_COACH]]=TRUE,OR(RIGHT(CONTROL[[#This Row],[VEHIDCODE]],7)="Powered",RIGHT(CONTROL[[#This Row],[VEHIDCODE]],9)="Unpowered"))</f>
        <v>0</v>
      </c>
      <c r="G561" s="2" t="b">
        <f>OR(ISNUMBER(SEARCH("wagon_",CONTROL[[#This Row],[VEHIDCODE]])),ISNUMBER(SEARCH("coach_",CONTROL[[#This Row],[VEHIDCODE]])))</f>
        <v>0</v>
      </c>
      <c r="H561" t="str">
        <f>"item_"&amp;CONTROL[[#This Row],[VEHIDCODE]]</f>
        <v>item_emu_Czech_Republic_CD_680_Pendolino</v>
      </c>
      <c r="I561" t="str">
        <f>"str_"&amp;CONTROL[[#This Row],[VEHIDCODE]]</f>
        <v>str_emu_Czech_Republic_CD_680_Pendolino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t="b">
        <f>ISNUMBER(_xlfn.XMATCH(CONTROL[[#This Row],[VEHIDCODE]],ENGLISH_ITEMS[VEHIDCODE],0))</f>
        <v>1</v>
      </c>
    </row>
    <row r="562" spans="1:16">
      <c r="A562" s="2" t="s">
        <v>589</v>
      </c>
      <c r="B562" t="str">
        <f>_xlfn.TEXTAFTER(TRACK_TYPES[[#This Row],[VEHIDCODE]],"_")</f>
        <v>Spain_RENFE_120</v>
      </c>
      <c r="C562" t="s">
        <v>734</v>
      </c>
      <c r="D562" t="s">
        <v>955</v>
      </c>
      <c r="E562">
        <v>8037</v>
      </c>
      <c r="F562" t="b">
        <f>AND(CONTROL[[#This Row],[IS_WAGON_OR_COACH]]=TRUE,OR(RIGHT(CONTROL[[#This Row],[VEHIDCODE]],7)="Powered",RIGHT(CONTROL[[#This Row],[VEHIDCODE]],9)="Unpowered"))</f>
        <v>0</v>
      </c>
      <c r="G562" s="2" t="b">
        <f>OR(ISNUMBER(SEARCH("wagon_",CONTROL[[#This Row],[VEHIDCODE]])),ISNUMBER(SEARCH("coach_",CONTROL[[#This Row],[VEHIDCODE]])))</f>
        <v>0</v>
      </c>
      <c r="H562" t="str">
        <f>"item_"&amp;CONTROL[[#This Row],[VEHIDCODE]]</f>
        <v>item_emu_Spain_RENFE_120</v>
      </c>
      <c r="I562" t="str">
        <f>"str_"&amp;CONTROL[[#This Row],[VEHIDCODE]]</f>
        <v>str_emu_Spain_RENFE_120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t="b">
        <f>ISNUMBER(_xlfn.XMATCH(CONTROL[[#This Row],[VEHIDCODE]],ENGLISH_ITEMS[VEHIDCODE],0))</f>
        <v>1</v>
      </c>
    </row>
    <row r="563" spans="1:16">
      <c r="A563" s="2" t="s">
        <v>590</v>
      </c>
      <c r="B563" t="str">
        <f>_xlfn.TEXTAFTER(TRACK_TYPES[[#This Row],[VEHIDCODE]],"_")</f>
        <v>USA_Amtrak_Acela_Express</v>
      </c>
      <c r="C563" t="s">
        <v>734</v>
      </c>
      <c r="D563" t="s">
        <v>955</v>
      </c>
      <c r="E563">
        <v>8067</v>
      </c>
      <c r="F563" t="b">
        <f>AND(CONTROL[[#This Row],[IS_WAGON_OR_COACH]]=TRUE,OR(RIGHT(CONTROL[[#This Row],[VEHIDCODE]],7)="Powered",RIGHT(CONTROL[[#This Row],[VEHIDCODE]],9)="Unpowered"))</f>
        <v>0</v>
      </c>
      <c r="G563" s="2" t="b">
        <f>OR(ISNUMBER(SEARCH("wagon_",CONTROL[[#This Row],[VEHIDCODE]])),ISNUMBER(SEARCH("coach_",CONTROL[[#This Row],[VEHIDCODE]])))</f>
        <v>0</v>
      </c>
      <c r="H563" t="str">
        <f>"item_"&amp;CONTROL[[#This Row],[VEHIDCODE]]</f>
        <v>item_emu_USA_Amtrak_Acela_Express</v>
      </c>
      <c r="I563" t="str">
        <f>"str_"&amp;CONTROL[[#This Row],[VEHIDCODE]]</f>
        <v>str_emu_USA_Amtrak_Acela_Express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t="b">
        <f>ISNUMBER(_xlfn.XMATCH(CONTROL[[#This Row],[VEHIDCODE]],ENGLISH_ITEMS[VEHIDCODE],0))</f>
        <v>1</v>
      </c>
    </row>
    <row r="564" spans="1:16">
      <c r="A564" s="2" t="s">
        <v>591</v>
      </c>
      <c r="B564" t="str">
        <f>_xlfn.TEXTAFTER(TRACK_TYPES[[#This Row],[VEHIDCODE]],"_")</f>
        <v>USA_Brooklyn_Union_Gate_Car</v>
      </c>
      <c r="C564" t="s">
        <v>735</v>
      </c>
      <c r="D564" t="s">
        <v>970</v>
      </c>
      <c r="E564">
        <v>14000</v>
      </c>
      <c r="F564" t="b">
        <f>AND(CONTROL[[#This Row],[IS_WAGON_OR_COACH]]=TRUE,OR(RIGHT(CONTROL[[#This Row],[VEHIDCODE]],7)="Powered",RIGHT(CONTROL[[#This Row],[VEHIDCODE]],9)="Unpowered"))</f>
        <v>0</v>
      </c>
      <c r="G564" s="2" t="b">
        <f>OR(ISNUMBER(SEARCH("wagon_",CONTROL[[#This Row],[VEHIDCODE]])),ISNUMBER(SEARCH("coach_",CONTROL[[#This Row],[VEHIDCODE]])))</f>
        <v>0</v>
      </c>
      <c r="H564" t="str">
        <f>"item_"&amp;CONTROL[[#This Row],[VEHIDCODE]]</f>
        <v>item_singlemtro_USA_Brooklyn_Union_Gate_Car</v>
      </c>
      <c r="I564" t="str">
        <f>"str_"&amp;CONTROL[[#This Row],[VEHIDCODE]]</f>
        <v>str_singlemtro_USA_Brooklyn_Union_Gate_Car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t="b">
        <f>ISNUMBER(_xlfn.XMATCH(CONTROL[[#This Row],[VEHIDCODE]],ENGLISH_ITEMS[VEHIDCODE],0))</f>
        <v>1</v>
      </c>
    </row>
    <row r="565" spans="1:16">
      <c r="A565" s="2" t="s">
        <v>592</v>
      </c>
      <c r="B565" t="str">
        <f>_xlfn.TEXTAFTER(TRACK_TYPES[[#This Row],[VEHIDCODE]],"_")</f>
        <v>Hungary_Budapest_1894_Stock</v>
      </c>
      <c r="C565" t="s">
        <v>735</v>
      </c>
      <c r="D565" t="s">
        <v>970</v>
      </c>
      <c r="E565">
        <v>14001</v>
      </c>
      <c r="F565" t="b">
        <f>AND(CONTROL[[#This Row],[IS_WAGON_OR_COACH]]=TRUE,OR(RIGHT(CONTROL[[#This Row],[VEHIDCODE]],7)="Powered",RIGHT(CONTROL[[#This Row],[VEHIDCODE]],9)="Unpowered"))</f>
        <v>0</v>
      </c>
      <c r="G565" s="2" t="b">
        <f>OR(ISNUMBER(SEARCH("wagon_",CONTROL[[#This Row],[VEHIDCODE]])),ISNUMBER(SEARCH("coach_",CONTROL[[#This Row],[VEHIDCODE]])))</f>
        <v>0</v>
      </c>
      <c r="H565" t="str">
        <f>"item_"&amp;CONTROL[[#This Row],[VEHIDCODE]]</f>
        <v>item_singlemtro_Hungary_Budapest_1894_Stock</v>
      </c>
      <c r="I565" t="str">
        <f>"str_"&amp;CONTROL[[#This Row],[VEHIDCODE]]</f>
        <v>str_singlemtro_Hungary_Budapest_1894_Stock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t="b">
        <f>ISNUMBER(_xlfn.XMATCH(CONTROL[[#This Row],[VEHIDCODE]],ENGLISH_ITEMS[VEHIDCODE],0))</f>
        <v>1</v>
      </c>
    </row>
    <row r="566" spans="1:16">
      <c r="A566" s="2" t="s">
        <v>593</v>
      </c>
      <c r="B566" t="str">
        <f>_xlfn.TEXTAFTER(TRACK_TYPES[[#This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b">
        <f>AND(CONTROL[[#This Row],[IS_WAGON_OR_COACH]]=TRUE,OR(RIGHT(CONTROL[[#This Row],[VEHIDCODE]],7)="Powered",RIGHT(CONTROL[[#This Row],[VEHIDCODE]],9)="Unpowered"))</f>
        <v>0</v>
      </c>
      <c r="G566" s="2" t="b">
        <f>OR(ISNUMBER(SEARCH("wagon_",CONTROL[[#This Row],[VEHIDCODE]])),ISNUMBER(SEARCH("coach_",CONTROL[[#This Row],[VEHIDCODE]])))</f>
        <v>0</v>
      </c>
      <c r="H566" t="str">
        <f>"item_"&amp;CONTROL[[#This Row],[VEHIDCODE]]</f>
        <v>item_singlemtro_USA_Chicago_L_Northwest_Elevated_1907_Stock</v>
      </c>
      <c r="I566" t="str">
        <f>"str_"&amp;CONTROL[[#This Row],[VEHIDCODE]]</f>
        <v>str_singlemtro_USA_Chicago_L_Northwest_Elevated_1907_Stock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t="b">
        <f>ISNUMBER(_xlfn.XMATCH(CONTROL[[#This Row],[VEHIDCODE]],ENGLISH_ITEMS[VEHIDCODE],0))</f>
        <v>1</v>
      </c>
    </row>
    <row r="567" spans="1:16">
      <c r="A567" s="2" t="s">
        <v>594</v>
      </c>
      <c r="B567" t="str">
        <f>_xlfn.TEXTAFTER(TRACK_TYPES[[#This Row],[VEHIDCODE]],"_")</f>
        <v>Germany_Berlin_U_Bahn_C_II</v>
      </c>
      <c r="C567" t="s">
        <v>735</v>
      </c>
      <c r="D567" t="s">
        <v>970</v>
      </c>
      <c r="E567">
        <v>14003</v>
      </c>
      <c r="F567" t="b">
        <f>AND(CONTROL[[#This Row],[IS_WAGON_OR_COACH]]=TRUE,OR(RIGHT(CONTROL[[#This Row],[VEHIDCODE]],7)="Powered",RIGHT(CONTROL[[#This Row],[VEHIDCODE]],9)="Unpowered"))</f>
        <v>0</v>
      </c>
      <c r="G567" s="2" t="b">
        <f>OR(ISNUMBER(SEARCH("wagon_",CONTROL[[#This Row],[VEHIDCODE]])),ISNUMBER(SEARCH("coach_",CONTROL[[#This Row],[VEHIDCODE]])))</f>
        <v>0</v>
      </c>
      <c r="H567" t="str">
        <f>"item_"&amp;CONTROL[[#This Row],[VEHIDCODE]]</f>
        <v>item_singlemtro_Germany_Berlin_U_Bahn_C_II</v>
      </c>
      <c r="I567" t="str">
        <f>"str_"&amp;CONTROL[[#This Row],[VEHIDCODE]]</f>
        <v>str_singlemtro_Germany_Berlin_U_Bahn_C_II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t="b">
        <f>ISNUMBER(_xlfn.XMATCH(CONTROL[[#This Row],[VEHIDCODE]],ENGLISH_ITEMS[VEHIDCODE],0))</f>
        <v>1</v>
      </c>
    </row>
    <row r="568" spans="1:16">
      <c r="A568" s="2" t="s">
        <v>595</v>
      </c>
      <c r="B568" t="str">
        <f>_xlfn.TEXTAFTER(TRACK_TYPES[[#This Row],[VEHIDCODE]],"_")</f>
        <v>World_Turbobus</v>
      </c>
      <c r="C568" t="s">
        <v>736</v>
      </c>
      <c r="D568" t="s">
        <v>976</v>
      </c>
      <c r="E568">
        <v>16000</v>
      </c>
      <c r="F568" t="b">
        <f>AND(CONTROL[[#This Row],[IS_WAGON_OR_COACH]]=TRUE,OR(RIGHT(CONTROL[[#This Row],[VEHIDCODE]],7)="Powered",RIGHT(CONTROL[[#This Row],[VEHIDCODE]],9)="Unpowered"))</f>
        <v>0</v>
      </c>
      <c r="G568" s="2" t="b">
        <f>OR(ISNUMBER(SEARCH("wagon_",CONTROL[[#This Row],[VEHIDCODE]])),ISNUMBER(SEARCH("coach_",CONTROL[[#This Row],[VEHIDCODE]])))</f>
        <v>0</v>
      </c>
      <c r="H568" t="str">
        <f>"item_"&amp;CONTROL[[#This Row],[VEHIDCODE]]</f>
        <v>item_rbm_World_Turbobus</v>
      </c>
      <c r="I568" t="str">
        <f>"str_"&amp;CONTROL[[#This Row],[VEHIDCODE]]</f>
        <v>str_rbm_World_Turbobus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t="b">
        <f>ISNUMBER(_xlfn.XMATCH(CONTROL[[#This Row],[VEHIDCODE]],ENGLISH_ITEMS[VEHIDCODE],0))</f>
        <v>1</v>
      </c>
    </row>
    <row r="569" spans="1:16">
      <c r="A569" s="2" t="s">
        <v>596</v>
      </c>
      <c r="B569" t="str">
        <f>_xlfn.TEXTAFTER(TRACK_TYPES[[#This Row],[VEHIDCODE]],"_")</f>
        <v>Germany_DB_182_ES64UM_Mutus</v>
      </c>
      <c r="C569" t="s">
        <v>737</v>
      </c>
      <c r="D569" t="s">
        <v>978</v>
      </c>
      <c r="E569">
        <v>15001</v>
      </c>
      <c r="F569" t="b">
        <f>AND(CONTROL[[#This Row],[IS_WAGON_OR_COACH]]=TRUE,OR(RIGHT(CONTROL[[#This Row],[VEHIDCODE]],7)="Powered",RIGHT(CONTROL[[#This Row],[VEHIDCODE]],9)="Unpowered"))</f>
        <v>0</v>
      </c>
      <c r="G569" s="2" t="b">
        <f>OR(ISNUMBER(SEARCH("wagon_",CONTROL[[#This Row],[VEHIDCODE]])),ISNUMBER(SEARCH("coach_",CONTROL[[#This Row],[VEHIDCODE]])))</f>
        <v>0</v>
      </c>
      <c r="H569" t="str">
        <f>"item_"&amp;CONTROL[[#This Row],[VEHIDCODE]]</f>
        <v>item_mglv_Germany_DB_182_ES64UM_Mutus</v>
      </c>
      <c r="I569" t="str">
        <f>"str_"&amp;CONTROL[[#This Row],[VEHIDCODE]]</f>
        <v>str_mglv_Germany_DB_182_ES64UM_Mutus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t="b">
        <f>ISNUMBER(_xlfn.XMATCH(CONTROL[[#This Row],[VEHIDCODE]],ENGLISH_ITEMS[VEHIDCODE],0))</f>
        <v>1</v>
      </c>
    </row>
    <row r="570" spans="1:16">
      <c r="A570" s="2" t="s">
        <v>597</v>
      </c>
      <c r="B570" t="str">
        <f>_xlfn.TEXTAFTER(TRACK_TYPES[[#This Row],[VEHIDCODE]],"_")</f>
        <v>China_Transrapid</v>
      </c>
      <c r="C570" t="s">
        <v>737</v>
      </c>
      <c r="D570" t="s">
        <v>959</v>
      </c>
      <c r="E570">
        <v>10000</v>
      </c>
      <c r="F570" t="b">
        <f>AND(CONTROL[[#This Row],[IS_WAGON_OR_COACH]]=TRUE,OR(RIGHT(CONTROL[[#This Row],[VEHIDCODE]],7)="Powered",RIGHT(CONTROL[[#This Row],[VEHIDCODE]],9)="Unpowered"))</f>
        <v>0</v>
      </c>
      <c r="G570" s="2" t="b">
        <f>OR(ISNUMBER(SEARCH("wagon_",CONTROL[[#This Row],[VEHIDCODE]])),ISNUMBER(SEARCH("coach_",CONTROL[[#This Row],[VEHIDCODE]])))</f>
        <v>0</v>
      </c>
      <c r="H570" t="str">
        <f>"item_"&amp;CONTROL[[#This Row],[VEHIDCODE]]</f>
        <v>item_mglv_China_Transrapid</v>
      </c>
      <c r="I570" t="str">
        <f>"str_"&amp;CONTROL[[#This Row],[VEHIDCODE]]</f>
        <v>str_mglv_China_Transrapid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t="b">
        <f>ISNUMBER(_xlfn.XMATCH(CONTROL[[#This Row],[VEHIDCODE]],ENGLISH_ITEMS[VEHIDCODE],0))</f>
        <v>1</v>
      </c>
    </row>
    <row r="571" spans="1:16">
      <c r="A571" s="2" t="s">
        <v>598</v>
      </c>
      <c r="B571" t="str">
        <f>_xlfn.TEXTAFTER(TRACK_TYPES[[#This Row],[VEHIDCODE]],"_")</f>
        <v>Japan_MLX01_901</v>
      </c>
      <c r="C571" t="s">
        <v>737</v>
      </c>
      <c r="D571" t="s">
        <v>959</v>
      </c>
      <c r="E571">
        <v>10001</v>
      </c>
      <c r="F571" t="b">
        <f>AND(CONTROL[[#This Row],[IS_WAGON_OR_COACH]]=TRUE,OR(RIGHT(CONTROL[[#This Row],[VEHIDCODE]],7)="Powered",RIGHT(CONTROL[[#This Row],[VEHIDCODE]],9)="Unpowered"))</f>
        <v>0</v>
      </c>
      <c r="G571" s="2" t="b">
        <f>OR(ISNUMBER(SEARCH("wagon_",CONTROL[[#This Row],[VEHIDCODE]])),ISNUMBER(SEARCH("coach_",CONTROL[[#This Row],[VEHIDCODE]])))</f>
        <v>0</v>
      </c>
      <c r="H571" t="str">
        <f>"item_"&amp;CONTROL[[#This Row],[VEHIDCODE]]</f>
        <v>item_mglv_Japan_MLX01_901</v>
      </c>
      <c r="I571" t="str">
        <f>"str_"&amp;CONTROL[[#This Row],[VEHIDCODE]]</f>
        <v>str_mglv_Japan_MLX01_901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t="b">
        <f>ISNUMBER(_xlfn.XMATCH(CONTROL[[#This Row],[VEHIDCODE]],ENGLISH_ITEMS[VEHIDCODE],0))</f>
        <v>1</v>
      </c>
    </row>
    <row r="572" spans="1:16">
      <c r="A572" s="2" t="s">
        <v>910</v>
      </c>
      <c r="B572" t="str">
        <f>_xlfn.TEXTAFTER(TRACK_TYPES[[#This Row],[VEHIDCODE]],"_")</f>
        <v>Wagon_Gen7M_Boxcar_Type1</v>
      </c>
      <c r="C572" t="s">
        <v>759</v>
      </c>
      <c r="D572" t="s">
        <v>965</v>
      </c>
      <c r="E572">
        <v>18003</v>
      </c>
      <c r="F572" t="b">
        <f>AND(CONTROL[[#This Row],[IS_WAGON_OR_COACH]]=TRUE,OR(RIGHT(CONTROL[[#This Row],[VEHIDCODE]],7)="Powered",RIGHT(CONTROL[[#This Row],[VEHIDCODE]],9)="Unpowered"))</f>
        <v>0</v>
      </c>
      <c r="G572" s="2" t="b">
        <f>OR(ISNUMBER(SEARCH("wagon_",CONTROL[[#This Row],[VEHIDCODE]])),ISNUMBER(SEARCH("coach_",CONTROL[[#This Row],[VEHIDCODE]])))</f>
        <v>1</v>
      </c>
      <c r="H572" t="str">
        <f>"item_"&amp;CONTROL[[#This Row],[VEHIDCODE]]</f>
        <v>item_mglv_Wagon_Gen7M_Boxcar_Type1</v>
      </c>
      <c r="I572" t="str">
        <f>"str_"&amp;CONTROL[[#This Row],[VEHIDCODE]]</f>
        <v>str_mglv_Wagon_Gen7M_Boxcar_Type1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t="b">
        <f>ISNUMBER(_xlfn.XMATCH(CONTROL[[#This Row],[VEHIDCODE]],ENGLISH_ITEMS[VEHIDCODE],0))</f>
        <v>1</v>
      </c>
    </row>
    <row r="573" spans="1:16">
      <c r="A573" s="2" t="s">
        <v>893</v>
      </c>
      <c r="B573" t="str">
        <f>_xlfn.TEXTAFTER(TRACK_TYPES[[#This Row],[VEHIDCODE]],"_")</f>
        <v>Wagon_Gen7M_Boxcar_Type2</v>
      </c>
      <c r="C573" t="s">
        <v>759</v>
      </c>
      <c r="D573" t="s">
        <v>965</v>
      </c>
      <c r="E573">
        <v>18013</v>
      </c>
      <c r="F573" t="b">
        <f>AND(CONTROL[[#This Row],[IS_WAGON_OR_COACH]]=TRUE,OR(RIGHT(CONTROL[[#This Row],[VEHIDCODE]],7)="Powered",RIGHT(CONTROL[[#This Row],[VEHIDCODE]],9)="Unpowered"))</f>
        <v>0</v>
      </c>
      <c r="G573" s="2" t="b">
        <f>OR(ISNUMBER(SEARCH("wagon_",CONTROL[[#This Row],[VEHIDCODE]])),ISNUMBER(SEARCH("coach_",CONTROL[[#This Row],[VEHIDCODE]])))</f>
        <v>1</v>
      </c>
      <c r="H573" t="str">
        <f>"item_"&amp;CONTROL[[#This Row],[VEHIDCODE]]</f>
        <v>item_mglv_Wagon_Gen7M_Boxcar_Type2</v>
      </c>
      <c r="I573" t="str">
        <f>"str_"&amp;CONTROL[[#This Row],[VEHIDCODE]]</f>
        <v>str_mglv_Wagon_Gen7M_Boxcar_Type2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t="b">
        <f>ISNUMBER(_xlfn.XMATCH(CONTROL[[#This Row],[VEHIDCODE]],ENGLISH_ITEMS[VEHIDCODE],0))</f>
        <v>1</v>
      </c>
    </row>
    <row r="574" spans="1:16">
      <c r="A574" s="2" t="s">
        <v>894</v>
      </c>
      <c r="B574" t="str">
        <f>_xlfn.TEXTAFTER(TRACK_TYPES[[#This Row],[VEHIDCODE]],"_")</f>
        <v>Wagon_Gen7M_Car_Transporter</v>
      </c>
      <c r="C574" t="s">
        <v>759</v>
      </c>
      <c r="D574" t="s">
        <v>965</v>
      </c>
      <c r="E574">
        <v>18008</v>
      </c>
      <c r="F574" t="b">
        <f>AND(CONTROL[[#This Row],[IS_WAGON_OR_COACH]]=TRUE,OR(RIGHT(CONTROL[[#This Row],[VEHIDCODE]],7)="Powered",RIGHT(CONTROL[[#This Row],[VEHIDCODE]],9)="Unpowered"))</f>
        <v>0</v>
      </c>
      <c r="G574" s="2" t="b">
        <f>OR(ISNUMBER(SEARCH("wagon_",CONTROL[[#This Row],[VEHIDCODE]])),ISNUMBER(SEARCH("coach_",CONTROL[[#This Row],[VEHIDCODE]])))</f>
        <v>1</v>
      </c>
      <c r="H574" t="str">
        <f>"item_"&amp;CONTROL[[#This Row],[VEHIDCODE]]</f>
        <v>item_mglv_Wagon_Gen7M_Car_Transporter</v>
      </c>
      <c r="I574" t="str">
        <f>"str_"&amp;CONTROL[[#This Row],[VEHIDCODE]]</f>
        <v>str_mglv_Wagon_Gen7M_Car_Transporter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t="b">
        <f>ISNUMBER(_xlfn.XMATCH(CONTROL[[#This Row],[VEHIDCODE]],ENGLISH_ITEMS[VEHIDCODE],0))</f>
        <v>1</v>
      </c>
    </row>
    <row r="575" spans="1:16">
      <c r="A575" s="2" t="s">
        <v>895</v>
      </c>
      <c r="B575" t="str">
        <f>_xlfn.TEXTAFTER(TRACK_TYPES[[#This Row],[VEHIDCODE]],"_")</f>
        <v>Wagon_Gen7M_Centerbeam</v>
      </c>
      <c r="C575" t="s">
        <v>759</v>
      </c>
      <c r="D575" t="s">
        <v>965</v>
      </c>
      <c r="E575">
        <v>18010</v>
      </c>
      <c r="F575" t="b">
        <f>AND(CONTROL[[#This Row],[IS_WAGON_OR_COACH]]=TRUE,OR(RIGHT(CONTROL[[#This Row],[VEHIDCODE]],7)="Powered",RIGHT(CONTROL[[#This Row],[VEHIDCODE]],9)="Unpowered"))</f>
        <v>0</v>
      </c>
      <c r="G575" s="2" t="b">
        <f>OR(ISNUMBER(SEARCH("wagon_",CONTROL[[#This Row],[VEHIDCODE]])),ISNUMBER(SEARCH("coach_",CONTROL[[#This Row],[VEHIDCODE]])))</f>
        <v>1</v>
      </c>
      <c r="H575" t="str">
        <f>"item_"&amp;CONTROL[[#This Row],[VEHIDCODE]]</f>
        <v>item_mglv_Wagon_Gen7M_Centerbeam</v>
      </c>
      <c r="I575" t="str">
        <f>"str_"&amp;CONTROL[[#This Row],[VEHIDCODE]]</f>
        <v>str_mglv_Wagon_Gen7M_Centerbeam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t="b">
        <f>ISNUMBER(_xlfn.XMATCH(CONTROL[[#This Row],[VEHIDCODE]],ENGLISH_ITEMS[VEHIDCODE],0))</f>
        <v>1</v>
      </c>
    </row>
    <row r="576" spans="1:16">
      <c r="A576" s="2" t="s">
        <v>896</v>
      </c>
      <c r="B576" t="str">
        <f>_xlfn.TEXTAFTER(TRACK_TYPES[[#This Row],[VEHIDCODE]],"_")</f>
        <v>Wagon_Gen7M_Container_Carrier</v>
      </c>
      <c r="C576" t="s">
        <v>759</v>
      </c>
      <c r="D576" t="s">
        <v>965</v>
      </c>
      <c r="E576">
        <v>18009</v>
      </c>
      <c r="F576" t="b">
        <f>AND(CONTROL[[#This Row],[IS_WAGON_OR_COACH]]=TRUE,OR(RIGHT(CONTROL[[#This Row],[VEHIDCODE]],7)="Powered",RIGHT(CONTROL[[#This Row],[VEHIDCODE]],9)="Unpowered"))</f>
        <v>0</v>
      </c>
      <c r="G576" s="2" t="b">
        <f>OR(ISNUMBER(SEARCH("wagon_",CONTROL[[#This Row],[VEHIDCODE]])),ISNUMBER(SEARCH("coach_",CONTROL[[#This Row],[VEHIDCODE]])))</f>
        <v>1</v>
      </c>
      <c r="H576" t="str">
        <f>"item_"&amp;CONTROL[[#This Row],[VEHIDCODE]]</f>
        <v>item_mglv_Wagon_Gen7M_Container_Carrier</v>
      </c>
      <c r="I576" t="str">
        <f>"str_"&amp;CONTROL[[#This Row],[VEHIDCODE]]</f>
        <v>str_mglv_Wagon_Gen7M_Container_Carrier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t="b">
        <f>ISNUMBER(_xlfn.XMATCH(CONTROL[[#This Row],[VEHIDCODE]],ENGLISH_ITEMS[VEHIDCODE],0))</f>
        <v>1</v>
      </c>
    </row>
    <row r="577" spans="1:16">
      <c r="A577" s="2" t="s">
        <v>897</v>
      </c>
      <c r="B577" t="str">
        <f>_xlfn.TEXTAFTER(TRACK_TYPES[[#This Row],[VEHIDCODE]],"_")</f>
        <v>Wagon_Gen7M_Container_Doublestack</v>
      </c>
      <c r="C577" t="s">
        <v>759</v>
      </c>
      <c r="D577" t="s">
        <v>965</v>
      </c>
      <c r="E577">
        <v>18011</v>
      </c>
      <c r="F577" t="b">
        <f>AND(CONTROL[[#This Row],[IS_WAGON_OR_COACH]]=TRUE,OR(RIGHT(CONTROL[[#This Row],[VEHIDCODE]],7)="Powered",RIGHT(CONTROL[[#This Row],[VEHIDCODE]],9)="Unpowered"))</f>
        <v>0</v>
      </c>
      <c r="G577" s="2" t="b">
        <f>OR(ISNUMBER(SEARCH("wagon_",CONTROL[[#This Row],[VEHIDCODE]])),ISNUMBER(SEARCH("coach_",CONTROL[[#This Row],[VEHIDCODE]])))</f>
        <v>1</v>
      </c>
      <c r="H577" t="str">
        <f>"item_"&amp;CONTROL[[#This Row],[VEHIDCODE]]</f>
        <v>item_mglv_Wagon_Gen7M_Container_Doublestack</v>
      </c>
      <c r="I577" t="str">
        <f>"str_"&amp;CONTROL[[#This Row],[VEHIDCODE]]</f>
        <v>str_mglv_Wagon_Gen7M_Container_Doublestack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t="b">
        <f>ISNUMBER(_xlfn.XMATCH(CONTROL[[#This Row],[VEHIDCODE]],ENGLISH_ITEMS[VEHIDCODE],0))</f>
        <v>1</v>
      </c>
    </row>
    <row r="578" spans="1:16">
      <c r="A578" s="2" t="s">
        <v>898</v>
      </c>
      <c r="B578" t="str">
        <f>_xlfn.TEXTAFTER(TRACK_TYPES[[#This Row],[VEHIDCODE]],"_")</f>
        <v>Wagon_Gen7M_Flatcar</v>
      </c>
      <c r="C578" t="s">
        <v>759</v>
      </c>
      <c r="D578" t="s">
        <v>965</v>
      </c>
      <c r="E578">
        <v>18001</v>
      </c>
      <c r="F578" t="b">
        <f>AND(CONTROL[[#This Row],[IS_WAGON_OR_COACH]]=TRUE,OR(RIGHT(CONTROL[[#This Row],[VEHIDCODE]],7)="Powered",RIGHT(CONTROL[[#This Row],[VEHIDCODE]],9)="Unpowered"))</f>
        <v>0</v>
      </c>
      <c r="G578" s="2" t="b">
        <f>OR(ISNUMBER(SEARCH("wagon_",CONTROL[[#This Row],[VEHIDCODE]])),ISNUMBER(SEARCH("coach_",CONTROL[[#This Row],[VEHIDCODE]])))</f>
        <v>1</v>
      </c>
      <c r="H578" t="str">
        <f>"item_"&amp;CONTROL[[#This Row],[VEHIDCODE]]</f>
        <v>item_mglv_Wagon_Gen7M_Flatcar</v>
      </c>
      <c r="I578" t="str">
        <f>"str_"&amp;CONTROL[[#This Row],[VEHIDCODE]]</f>
        <v>str_mglv_Wagon_Gen7M_Flatcar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t="b">
        <f>ISNUMBER(_xlfn.XMATCH(CONTROL[[#This Row],[VEHIDCODE]],ENGLISH_ITEMS[VEHIDCODE],0))</f>
        <v>1</v>
      </c>
    </row>
    <row r="579" spans="1:16">
      <c r="A579" s="2" t="s">
        <v>899</v>
      </c>
      <c r="B579" t="str">
        <f>_xlfn.TEXTAFTER(TRACK_TYPES[[#This Row],[VEHIDCODE]],"_")</f>
        <v>Wagon_Gen7M_Gondola</v>
      </c>
      <c r="C579" t="s">
        <v>759</v>
      </c>
      <c r="D579" t="s">
        <v>965</v>
      </c>
      <c r="E579">
        <v>18005</v>
      </c>
      <c r="F579" t="b">
        <f>AND(CONTROL[[#This Row],[IS_WAGON_OR_COACH]]=TRUE,OR(RIGHT(CONTROL[[#This Row],[VEHIDCODE]],7)="Powered",RIGHT(CONTROL[[#This Row],[VEHIDCODE]],9)="Unpowered"))</f>
        <v>0</v>
      </c>
      <c r="G579" s="2" t="b">
        <f>OR(ISNUMBER(SEARCH("wagon_",CONTROL[[#This Row],[VEHIDCODE]])),ISNUMBER(SEARCH("coach_",CONTROL[[#This Row],[VEHIDCODE]])))</f>
        <v>1</v>
      </c>
      <c r="H579" t="str">
        <f>"item_"&amp;CONTROL[[#This Row],[VEHIDCODE]]</f>
        <v>item_mglv_Wagon_Gen7M_Gondola</v>
      </c>
      <c r="I579" t="str">
        <f>"str_"&amp;CONTROL[[#This Row],[VEHIDCODE]]</f>
        <v>str_mglv_Wagon_Gen7M_Gondola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t="b">
        <f>ISNUMBER(_xlfn.XMATCH(CONTROL[[#This Row],[VEHIDCODE]],ENGLISH_ITEMS[VEHIDCODE],0))</f>
        <v>1</v>
      </c>
    </row>
    <row r="580" spans="1:16">
      <c r="A580" s="2" t="s">
        <v>900</v>
      </c>
      <c r="B580" t="str">
        <f>_xlfn.TEXTAFTER(TRACK_TYPES[[#This Row],[VEHIDCODE]],"_")</f>
        <v>Wagon_Gen7M_Heavy_Flatcar</v>
      </c>
      <c r="C580" t="s">
        <v>759</v>
      </c>
      <c r="D580" t="s">
        <v>965</v>
      </c>
      <c r="E580">
        <v>18002</v>
      </c>
      <c r="F580" t="b">
        <f>AND(CONTROL[[#This Row],[IS_WAGON_OR_COACH]]=TRUE,OR(RIGHT(CONTROL[[#This Row],[VEHIDCODE]],7)="Powered",RIGHT(CONTROL[[#This Row],[VEHIDCODE]],9)="Unpowered"))</f>
        <v>0</v>
      </c>
      <c r="G580" s="2" t="b">
        <f>OR(ISNUMBER(SEARCH("wagon_",CONTROL[[#This Row],[VEHIDCODE]])),ISNUMBER(SEARCH("coach_",CONTROL[[#This Row],[VEHIDCODE]])))</f>
        <v>1</v>
      </c>
      <c r="H580" t="str">
        <f>"item_"&amp;CONTROL[[#This Row],[VEHIDCODE]]</f>
        <v>item_mglv_Wagon_Gen7M_Heavy_Flatcar</v>
      </c>
      <c r="I580" t="str">
        <f>"str_"&amp;CONTROL[[#This Row],[VEHIDCODE]]</f>
        <v>str_mglv_Wagon_Gen7M_Heavy_Flatcar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t="b">
        <f>ISNUMBER(_xlfn.XMATCH(CONTROL[[#This Row],[VEHIDCODE]],ENGLISH_ITEMS[VEHIDCODE],0))</f>
        <v>1</v>
      </c>
    </row>
    <row r="581" spans="1:16">
      <c r="A581" s="2" t="s">
        <v>901</v>
      </c>
      <c r="B581" t="str">
        <f>_xlfn.TEXTAFTER(TRACK_TYPES[[#This Row],[VEHIDCODE]],"_")</f>
        <v>Wagon_Gen7M_Hopper_Type1</v>
      </c>
      <c r="C581" t="s">
        <v>759</v>
      </c>
      <c r="D581" t="s">
        <v>965</v>
      </c>
      <c r="E581">
        <v>18007</v>
      </c>
      <c r="F581" t="b">
        <f>AND(CONTROL[[#This Row],[IS_WAGON_OR_COACH]]=TRUE,OR(RIGHT(CONTROL[[#This Row],[VEHIDCODE]],7)="Powered",RIGHT(CONTROL[[#This Row],[VEHIDCODE]],9)="Unpowered"))</f>
        <v>0</v>
      </c>
      <c r="G581" s="2" t="b">
        <f>OR(ISNUMBER(SEARCH("wagon_",CONTROL[[#This Row],[VEHIDCODE]])),ISNUMBER(SEARCH("coach_",CONTROL[[#This Row],[VEHIDCODE]])))</f>
        <v>1</v>
      </c>
      <c r="H581" t="str">
        <f>"item_"&amp;CONTROL[[#This Row],[VEHIDCODE]]</f>
        <v>item_mglv_Wagon_Gen7M_Hopper_Type1</v>
      </c>
      <c r="I581" t="str">
        <f>"str_"&amp;CONTROL[[#This Row],[VEHIDCODE]]</f>
        <v>str_mglv_Wagon_Gen7M_Hopper_Type1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t="b">
        <f>ISNUMBER(_xlfn.XMATCH(CONTROL[[#This Row],[VEHIDCODE]],ENGLISH_ITEMS[VEHIDCODE],0))</f>
        <v>1</v>
      </c>
    </row>
    <row r="582" spans="1:16">
      <c r="A582" s="2" t="s">
        <v>902</v>
      </c>
      <c r="B582" t="str">
        <f>_xlfn.TEXTAFTER(TRACK_TYPES[[#This Row],[VEHIDCODE]],"_")</f>
        <v>Wagon_Gen7M_Hopper_Type2</v>
      </c>
      <c r="C582" t="s">
        <v>759</v>
      </c>
      <c r="D582" t="s">
        <v>965</v>
      </c>
      <c r="E582">
        <v>18015</v>
      </c>
      <c r="F582" t="b">
        <f>AND(CONTROL[[#This Row],[IS_WAGON_OR_COACH]]=TRUE,OR(RIGHT(CONTROL[[#This Row],[VEHIDCODE]],7)="Powered",RIGHT(CONTROL[[#This Row],[VEHIDCODE]],9)="Unpowered"))</f>
        <v>0</v>
      </c>
      <c r="G582" s="2" t="b">
        <f>OR(ISNUMBER(SEARCH("wagon_",CONTROL[[#This Row],[VEHIDCODE]])),ISNUMBER(SEARCH("coach_",CONTROL[[#This Row],[VEHIDCODE]])))</f>
        <v>1</v>
      </c>
      <c r="H582" t="str">
        <f>"item_"&amp;CONTROL[[#This Row],[VEHIDCODE]]</f>
        <v>item_mglv_Wagon_Gen7M_Hopper_Type2</v>
      </c>
      <c r="I582" t="str">
        <f>"str_"&amp;CONTROL[[#This Row],[VEHIDCODE]]</f>
        <v>str_mglv_Wagon_Gen7M_Hopper_Type2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t="b">
        <f>ISNUMBER(_xlfn.XMATCH(CONTROL[[#This Row],[VEHIDCODE]],ENGLISH_ITEMS[VEHIDCODE],0))</f>
        <v>1</v>
      </c>
    </row>
    <row r="583" spans="1:16">
      <c r="A583" s="2" t="s">
        <v>903</v>
      </c>
      <c r="B583" t="str">
        <f>_xlfn.TEXTAFTER(TRACK_TYPES[[#This Row],[VEHIDCODE]],"_")</f>
        <v>Wagon_Gen7M_Silo_Type1</v>
      </c>
      <c r="C583" t="s">
        <v>759</v>
      </c>
      <c r="D583" t="s">
        <v>965</v>
      </c>
      <c r="E583">
        <v>18006</v>
      </c>
      <c r="F583" t="b">
        <f>AND(CONTROL[[#This Row],[IS_WAGON_OR_COACH]]=TRUE,OR(RIGHT(CONTROL[[#This Row],[VEHIDCODE]],7)="Powered",RIGHT(CONTROL[[#This Row],[VEHIDCODE]],9)="Unpowered"))</f>
        <v>0</v>
      </c>
      <c r="G583" s="2" t="b">
        <f>OR(ISNUMBER(SEARCH("wagon_",CONTROL[[#This Row],[VEHIDCODE]])),ISNUMBER(SEARCH("coach_",CONTROL[[#This Row],[VEHIDCODE]])))</f>
        <v>1</v>
      </c>
      <c r="H583" t="str">
        <f>"item_"&amp;CONTROL[[#This Row],[VEHIDCODE]]</f>
        <v>item_mglv_Wagon_Gen7M_Silo_Type1</v>
      </c>
      <c r="I583" t="str">
        <f>"str_"&amp;CONTROL[[#This Row],[VEHIDCODE]]</f>
        <v>str_mglv_Wagon_Gen7M_Silo_Type1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t="b">
        <f>ISNUMBER(_xlfn.XMATCH(CONTROL[[#This Row],[VEHIDCODE]],ENGLISH_ITEMS[VEHIDCODE],0))</f>
        <v>1</v>
      </c>
    </row>
    <row r="584" spans="1:16">
      <c r="A584" s="2" t="s">
        <v>904</v>
      </c>
      <c r="B584" t="str">
        <f>_xlfn.TEXTAFTER(TRACK_TYPES[[#This Row],[VEHIDCODE]],"_")</f>
        <v>Wagon_Gen7M_Silo_Type2</v>
      </c>
      <c r="C584" t="s">
        <v>759</v>
      </c>
      <c r="D584" t="s">
        <v>965</v>
      </c>
      <c r="E584">
        <v>18014</v>
      </c>
      <c r="F584" t="b">
        <f>AND(CONTROL[[#This Row],[IS_WAGON_OR_COACH]]=TRUE,OR(RIGHT(CONTROL[[#This Row],[VEHIDCODE]],7)="Powered",RIGHT(CONTROL[[#This Row],[VEHIDCODE]],9)="Unpowered"))</f>
        <v>0</v>
      </c>
      <c r="G584" s="2" t="b">
        <f>OR(ISNUMBER(SEARCH("wagon_",CONTROL[[#This Row],[VEHIDCODE]])),ISNUMBER(SEARCH("coach_",CONTROL[[#This Row],[VEHIDCODE]])))</f>
        <v>1</v>
      </c>
      <c r="H584" t="str">
        <f>"item_"&amp;CONTROL[[#This Row],[VEHIDCODE]]</f>
        <v>item_mglv_Wagon_Gen7M_Silo_Type2</v>
      </c>
      <c r="I584" t="str">
        <f>"str_"&amp;CONTROL[[#This Row],[VEHIDCODE]]</f>
        <v>str_mglv_Wagon_Gen7M_Silo_Type2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t="b">
        <f>ISNUMBER(_xlfn.XMATCH(CONTROL[[#This Row],[VEHIDCODE]],ENGLISH_ITEMS[VEHIDCODE],0))</f>
        <v>1</v>
      </c>
    </row>
    <row r="585" spans="1:16">
      <c r="A585" s="2" t="s">
        <v>905</v>
      </c>
      <c r="B585" t="str">
        <f>_xlfn.TEXTAFTER(TRACK_TYPES[[#This Row],[VEHIDCODE]],"_")</f>
        <v>Wagon_Gen7M_Superheavy_Flatcar</v>
      </c>
      <c r="C585" t="s">
        <v>759</v>
      </c>
      <c r="D585" t="s">
        <v>965</v>
      </c>
      <c r="E585">
        <v>18012</v>
      </c>
      <c r="F585" t="b">
        <f>AND(CONTROL[[#This Row],[IS_WAGON_OR_COACH]]=TRUE,OR(RIGHT(CONTROL[[#This Row],[VEHIDCODE]],7)="Powered",RIGHT(CONTROL[[#This Row],[VEHIDCODE]],9)="Unpowered"))</f>
        <v>0</v>
      </c>
      <c r="G585" s="2" t="b">
        <f>OR(ISNUMBER(SEARCH("wagon_",CONTROL[[#This Row],[VEHIDCODE]])),ISNUMBER(SEARCH("coach_",CONTROL[[#This Row],[VEHIDCODE]])))</f>
        <v>1</v>
      </c>
      <c r="H585" t="str">
        <f>"item_"&amp;CONTROL[[#This Row],[VEHIDCODE]]</f>
        <v>item_mglv_Wagon_Gen7M_Superheavy_Flatcar</v>
      </c>
      <c r="I585" t="str">
        <f>"str_"&amp;CONTROL[[#This Row],[VEHIDCODE]]</f>
        <v>str_mglv_Wagon_Gen7M_Superheavy_Flatcar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t="b">
        <f>ISNUMBER(_xlfn.XMATCH(CONTROL[[#This Row],[VEHIDCODE]],ENGLISH_ITEMS[VEHIDCODE],0))</f>
        <v>1</v>
      </c>
    </row>
    <row r="586" spans="1:16">
      <c r="A586" s="2" t="s">
        <v>906</v>
      </c>
      <c r="B586" t="str">
        <f>_xlfn.TEXTAFTER(TRACK_TYPES[[#This Row],[VEHIDCODE]],"_")</f>
        <v>Wagon_Gen7M_Tanker</v>
      </c>
      <c r="C586" t="s">
        <v>759</v>
      </c>
      <c r="D586" t="s">
        <v>965</v>
      </c>
      <c r="E586">
        <v>18004</v>
      </c>
      <c r="F586" t="b">
        <f>AND(CONTROL[[#This Row],[IS_WAGON_OR_COACH]]=TRUE,OR(RIGHT(CONTROL[[#This Row],[VEHIDCODE]],7)="Powered",RIGHT(CONTROL[[#This Row],[VEHIDCODE]],9)="Unpowered"))</f>
        <v>0</v>
      </c>
      <c r="G586" s="2" t="b">
        <f>OR(ISNUMBER(SEARCH("wagon_",CONTROL[[#This Row],[VEHIDCODE]])),ISNUMBER(SEARCH("coach_",CONTROL[[#This Row],[VEHIDCODE]])))</f>
        <v>1</v>
      </c>
      <c r="H586" t="str">
        <f>"item_"&amp;CONTROL[[#This Row],[VEHIDCODE]]</f>
        <v>item_mglv_Wagon_Gen7M_Tanker</v>
      </c>
      <c r="I586" t="str">
        <f>"str_"&amp;CONTROL[[#This Row],[VEHIDCODE]]</f>
        <v>str_mglv_Wagon_Gen7M_Tanker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t="b">
        <f>ISNUMBER(_xlfn.XMATCH(CONTROL[[#This Row],[VEHIDCODE]],ENGLISH_ITEMS[VEHIDCODE],0))</f>
        <v>1</v>
      </c>
    </row>
    <row r="587" spans="1:16">
      <c r="A587" s="2" t="s">
        <v>610</v>
      </c>
      <c r="B587" t="str">
        <f>_xlfn.TEXTAFTER(TRACK_TYPES[[#This Row],[VEHIDCODE]],"_")</f>
        <v>Japan_JR_Shikoku_1000</v>
      </c>
      <c r="C587" t="s">
        <v>727</v>
      </c>
      <c r="D587" t="s">
        <v>944</v>
      </c>
      <c r="E587">
        <v>2038</v>
      </c>
      <c r="F587" t="b">
        <f>AND(CONTROL[[#This Row],[IS_WAGON_OR_COACH]]=TRUE,OR(RIGHT(CONTROL[[#This Row],[VEHIDCODE]],7)="Powered",RIGHT(CONTROL[[#This Row],[VEHIDCODE]],9)="Unpowered"))</f>
        <v>0</v>
      </c>
      <c r="G587" s="2" t="b">
        <f>OR(ISNUMBER(SEARCH("wagon_",CONTROL[[#This Row],[VEHIDCODE]])),ISNUMBER(SEARCH("coach_",CONTROL[[#This Row],[VEHIDCODE]])))</f>
        <v>0</v>
      </c>
      <c r="H587" t="str">
        <f>"item_"&amp;CONTROL[[#This Row],[VEHIDCODE]]</f>
        <v>item_rbd_Japan_JR_Shikoku_1000</v>
      </c>
      <c r="I587" t="str">
        <f>"str_"&amp;CONTROL[[#This Row],[VEHIDCODE]]</f>
        <v>str_rbd_Japan_JR_Shikoku_1000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t="b">
        <f>ISNUMBER(_xlfn.XMATCH(CONTROL[[#This Row],[VEHIDCODE]],ENGLISH_ITEMS[VEHIDCODE],0))</f>
        <v>1</v>
      </c>
    </row>
    <row r="588" spans="1:16">
      <c r="A588" s="2" t="s">
        <v>611</v>
      </c>
      <c r="B588" t="str">
        <f>_xlfn.TEXTAFTER(TRACK_TYPES[[#This Row],[VEHIDCODE]],"_")</f>
        <v>Japan_JR_KiHa_E120</v>
      </c>
      <c r="C588" t="s">
        <v>727</v>
      </c>
      <c r="D588" t="s">
        <v>944</v>
      </c>
      <c r="E588">
        <v>2040</v>
      </c>
      <c r="F588" t="b">
        <f>AND(CONTROL[[#This Row],[IS_WAGON_OR_COACH]]=TRUE,OR(RIGHT(CONTROL[[#This Row],[VEHIDCODE]],7)="Powered",RIGHT(CONTROL[[#This Row],[VEHIDCODE]],9)="Unpowered"))</f>
        <v>0</v>
      </c>
      <c r="G588" s="2" t="b">
        <f>OR(ISNUMBER(SEARCH("wagon_",CONTROL[[#This Row],[VEHIDCODE]])),ISNUMBER(SEARCH("coach_",CONTROL[[#This Row],[VEHIDCODE]])))</f>
        <v>0</v>
      </c>
      <c r="H588" t="str">
        <f>"item_"&amp;CONTROL[[#This Row],[VEHIDCODE]]</f>
        <v>item_rbd_Japan_JR_KiHa_E120</v>
      </c>
      <c r="I588" t="str">
        <f>"str_"&amp;CONTROL[[#This Row],[VEHIDCODE]]</f>
        <v>str_rbd_Japan_JR_KiHa_E120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t="b">
        <f>ISNUMBER(_xlfn.XMATCH(CONTROL[[#This Row],[VEHIDCODE]],ENGLISH_ITEMS[VEHIDCODE],0))</f>
        <v>1</v>
      </c>
    </row>
    <row r="589" spans="1:16">
      <c r="A589" s="2" t="s">
        <v>612</v>
      </c>
      <c r="B589" t="str">
        <f>_xlfn.TEXTAFTER(TRACK_TYPES[[#This Row],[VEHIDCODE]],"_")</f>
        <v>Chile_EFE_Buscarril</v>
      </c>
      <c r="C589" t="s">
        <v>727</v>
      </c>
      <c r="D589" t="s">
        <v>944</v>
      </c>
      <c r="E589">
        <v>2042</v>
      </c>
      <c r="F589" t="b">
        <f>AND(CONTROL[[#This Row],[IS_WAGON_OR_COACH]]=TRUE,OR(RIGHT(CONTROL[[#This Row],[VEHIDCODE]],7)="Powered",RIGHT(CONTROL[[#This Row],[VEHIDCODE]],9)="Unpowered"))</f>
        <v>0</v>
      </c>
      <c r="G589" s="2" t="b">
        <f>OR(ISNUMBER(SEARCH("wagon_",CONTROL[[#This Row],[VEHIDCODE]])),ISNUMBER(SEARCH("coach_",CONTROL[[#This Row],[VEHIDCODE]])))</f>
        <v>0</v>
      </c>
      <c r="H589" t="str">
        <f>"item_"&amp;CONTROL[[#This Row],[VEHIDCODE]]</f>
        <v>item_rbd_Chile_EFE_Buscarril</v>
      </c>
      <c r="I589" t="str">
        <f>"str_"&amp;CONTROL[[#This Row],[VEHIDCODE]]</f>
        <v>str_rbd_Chile_EFE_Buscarril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t="b">
        <f>ISNUMBER(_xlfn.XMATCH(CONTROL[[#This Row],[VEHIDCODE]],ENGLISH_ITEMS[VEHIDCODE],0))</f>
        <v>1</v>
      </c>
    </row>
    <row r="590" spans="1:16">
      <c r="A590" s="2" t="s">
        <v>613</v>
      </c>
      <c r="B590" t="str">
        <f>_xlfn.TEXTAFTER(TRACK_TYPES[[#This Row],[VEHIDCODE]],"_")</f>
        <v>Argentina_FCPBA_M_Railcar</v>
      </c>
      <c r="C590" t="s">
        <v>727</v>
      </c>
      <c r="D590" t="s">
        <v>944</v>
      </c>
      <c r="E590">
        <v>2043</v>
      </c>
      <c r="F590" t="b">
        <f>AND(CONTROL[[#This Row],[IS_WAGON_OR_COACH]]=TRUE,OR(RIGHT(CONTROL[[#This Row],[VEHIDCODE]],7)="Powered",RIGHT(CONTROL[[#This Row],[VEHIDCODE]],9)="Unpowered"))</f>
        <v>0</v>
      </c>
      <c r="G590" s="2" t="b">
        <f>OR(ISNUMBER(SEARCH("wagon_",CONTROL[[#This Row],[VEHIDCODE]])),ISNUMBER(SEARCH("coach_",CONTROL[[#This Row],[VEHIDCODE]])))</f>
        <v>0</v>
      </c>
      <c r="H590" t="str">
        <f>"item_"&amp;CONTROL[[#This Row],[VEHIDCODE]]</f>
        <v>item_rbd_Argentina_FCPBA_M_Railcar</v>
      </c>
      <c r="I590" t="str">
        <f>"str_"&amp;CONTROL[[#This Row],[VEHIDCODE]]</f>
        <v>str_rbd_Argentina_FCPBA_M_Railcar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t="b">
        <f>ISNUMBER(_xlfn.XMATCH(CONTROL[[#This Row],[VEHIDCODE]],ENGLISH_ITEMS[VEHIDCODE],0))</f>
        <v>1</v>
      </c>
    </row>
    <row r="591" spans="1:16">
      <c r="A591" s="2" t="s">
        <v>614</v>
      </c>
      <c r="B591" t="str">
        <f>_xlfn.TEXTAFTER(TRACK_TYPES[[#This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b">
        <f>AND(CONTROL[[#This Row],[IS_WAGON_OR_COACH]]=TRUE,OR(RIGHT(CONTROL[[#This Row],[VEHIDCODE]],7)="Powered",RIGHT(CONTROL[[#This Row],[VEHIDCODE]],9)="Unpowered"))</f>
        <v>0</v>
      </c>
      <c r="G591" s="2" t="b">
        <f>OR(ISNUMBER(SEARCH("wagon_",CONTROL[[#This Row],[VEHIDCODE]])),ISNUMBER(SEARCH("coach_",CONTROL[[#This Row],[VEHIDCODE]])))</f>
        <v>0</v>
      </c>
      <c r="H591" t="str">
        <f>"item_"&amp;CONTROL[[#This Row],[VEHIDCODE]]</f>
        <v>item_rbd_Eritrea_Eritrean_Railway_A62_70_Littorina</v>
      </c>
      <c r="I591" t="str">
        <f>"str_"&amp;CONTROL[[#This Row],[VEHIDCODE]]</f>
        <v>str_rbd_Eritrea_Eritrean_Railway_A62_70_Littorina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t="b">
        <f>ISNUMBER(_xlfn.XMATCH(CONTROL[[#This Row],[VEHIDCODE]],ENGLISH_ITEMS[VEHIDCODE],0))</f>
        <v>1</v>
      </c>
    </row>
    <row r="592" spans="1:16">
      <c r="A592" s="2" t="s">
        <v>615</v>
      </c>
      <c r="B592" t="str">
        <f>_xlfn.TEXTAFTER(TRACK_TYPES[[#This Row],[VEHIDCODE]],"_")</f>
        <v>Switzerland_AB_CFe_3_3</v>
      </c>
      <c r="C592" t="s">
        <v>728</v>
      </c>
      <c r="D592" t="s">
        <v>945</v>
      </c>
      <c r="E592">
        <v>3000</v>
      </c>
      <c r="F592" t="b">
        <f>AND(CONTROL[[#This Row],[IS_WAGON_OR_COACH]]=TRUE,OR(RIGHT(CONTROL[[#This Row],[VEHIDCODE]],7)="Powered",RIGHT(CONTROL[[#This Row],[VEHIDCODE]],9)="Unpowered"))</f>
        <v>0</v>
      </c>
      <c r="G592" s="2" t="b">
        <f>OR(ISNUMBER(SEARCH("wagon_",CONTROL[[#This Row],[VEHIDCODE]])),ISNUMBER(SEARCH("coach_",CONTROL[[#This Row],[VEHIDCODE]])))</f>
        <v>0</v>
      </c>
      <c r="H592" t="str">
        <f>"item_"&amp;CONTROL[[#This Row],[VEHIDCODE]]</f>
        <v>item_rbe_Switzerland_AB_CFe_3_3</v>
      </c>
      <c r="I592" t="str">
        <f>"str_"&amp;CONTROL[[#This Row],[VEHIDCODE]]</f>
        <v>str_rbe_Switzerland_AB_CFe_3_3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t="b">
        <f>ISNUMBER(_xlfn.XMATCH(CONTROL[[#This Row],[VEHIDCODE]],ENGLISH_ITEMS[VEHIDCODE],0))</f>
        <v>1</v>
      </c>
    </row>
    <row r="593" spans="1:16">
      <c r="A593" s="2" t="s">
        <v>616</v>
      </c>
      <c r="B593" t="str">
        <f>_xlfn.TEXTAFTER(TRACK_TYPES[[#This Row],[VEHIDCODE]],"_")</f>
        <v>Switzerland_TPC_BVB_Be_2_2</v>
      </c>
      <c r="C593" t="s">
        <v>728</v>
      </c>
      <c r="D593" t="s">
        <v>945</v>
      </c>
      <c r="E593">
        <v>3006</v>
      </c>
      <c r="F593" t="b">
        <f>AND(CONTROL[[#This Row],[IS_WAGON_OR_COACH]]=TRUE,OR(RIGHT(CONTROL[[#This Row],[VEHIDCODE]],7)="Powered",RIGHT(CONTROL[[#This Row],[VEHIDCODE]],9)="Unpowered"))</f>
        <v>0</v>
      </c>
      <c r="G593" s="2" t="b">
        <f>OR(ISNUMBER(SEARCH("wagon_",CONTROL[[#This Row],[VEHIDCODE]])),ISNUMBER(SEARCH("coach_",CONTROL[[#This Row],[VEHIDCODE]])))</f>
        <v>0</v>
      </c>
      <c r="H593" t="str">
        <f>"item_"&amp;CONTROL[[#This Row],[VEHIDCODE]]</f>
        <v>item_rbe_Switzerland_TPC_BVB_Be_2_2</v>
      </c>
      <c r="I593" t="str">
        <f>"str_"&amp;CONTROL[[#This Row],[VEHIDCODE]]</f>
        <v>str_rbe_Switzerland_TPC_BVB_Be_2_2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t="b">
        <f>ISNUMBER(_xlfn.XMATCH(CONTROL[[#This Row],[VEHIDCODE]],ENGLISH_ITEMS[VEHIDCODE],0))</f>
        <v>1</v>
      </c>
    </row>
    <row r="594" spans="1:16">
      <c r="A594" s="2" t="s">
        <v>617</v>
      </c>
      <c r="B594" t="str">
        <f>_xlfn.TEXTAFTER(TRACK_TYPES[[#This Row],[VEHIDCODE]],"_")</f>
        <v>Switzerland_MVR_Beh_2_4</v>
      </c>
      <c r="C594" t="s">
        <v>728</v>
      </c>
      <c r="D594" t="s">
        <v>945</v>
      </c>
      <c r="E594">
        <v>3016</v>
      </c>
      <c r="F594" t="b">
        <f>AND(CONTROL[[#This Row],[IS_WAGON_OR_COACH]]=TRUE,OR(RIGHT(CONTROL[[#This Row],[VEHIDCODE]],7)="Powered",RIGHT(CONTROL[[#This Row],[VEHIDCODE]],9)="Unpowered"))</f>
        <v>0</v>
      </c>
      <c r="G594" s="2" t="b">
        <f>OR(ISNUMBER(SEARCH("wagon_",CONTROL[[#This Row],[VEHIDCODE]])),ISNUMBER(SEARCH("coach_",CONTROL[[#This Row],[VEHIDCODE]])))</f>
        <v>0</v>
      </c>
      <c r="H594" t="str">
        <f>"item_"&amp;CONTROL[[#This Row],[VEHIDCODE]]</f>
        <v>item_rbe_Switzerland_MVR_Beh_2_4</v>
      </c>
      <c r="I594" t="str">
        <f>"str_"&amp;CONTROL[[#This Row],[VEHIDCODE]]</f>
        <v>str_rbe_Switzerland_MVR_Beh_2_4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t="b">
        <f>ISNUMBER(_xlfn.XMATCH(CONTROL[[#This Row],[VEHIDCODE]],ENGLISH_ITEMS[VEHIDCODE],0))</f>
        <v>1</v>
      </c>
    </row>
    <row r="595" spans="1:16">
      <c r="A595" s="2" t="s">
        <v>618</v>
      </c>
      <c r="B595" t="str">
        <f>_xlfn.TEXTAFTER(TRACK_TYPES[[#This Row],[VEHIDCODE]],"_")</f>
        <v>Spain_Ferrocarril_de_Soller_1_3</v>
      </c>
      <c r="C595" t="s">
        <v>728</v>
      </c>
      <c r="D595" t="s">
        <v>945</v>
      </c>
      <c r="E595">
        <v>3007</v>
      </c>
      <c r="F595" t="b">
        <f>AND(CONTROL[[#This Row],[IS_WAGON_OR_COACH]]=TRUE,OR(RIGHT(CONTROL[[#This Row],[VEHIDCODE]],7)="Powered",RIGHT(CONTROL[[#This Row],[VEHIDCODE]],9)="Unpowered"))</f>
        <v>0</v>
      </c>
      <c r="G595" s="2" t="b">
        <f>OR(ISNUMBER(SEARCH("wagon_",CONTROL[[#This Row],[VEHIDCODE]])),ISNUMBER(SEARCH("coach_",CONTROL[[#This Row],[VEHIDCODE]])))</f>
        <v>0</v>
      </c>
      <c r="H595" t="str">
        <f>"item_"&amp;CONTROL[[#This Row],[VEHIDCODE]]</f>
        <v>item_rbe_Spain_Ferrocarril_de_Soller_1_3</v>
      </c>
      <c r="I595" t="str">
        <f>"str_"&amp;CONTROL[[#This Row],[VEHIDCODE]]</f>
        <v>str_rbe_Spain_Ferrocarril_de_Soller_1_3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t="b">
        <f>ISNUMBER(_xlfn.XMATCH(CONTROL[[#This Row],[VEHIDCODE]],ENGLISH_ITEMS[VEHIDCODE],0))</f>
        <v>1</v>
      </c>
    </row>
    <row r="596" spans="1:16">
      <c r="A596" s="2" t="s">
        <v>619</v>
      </c>
      <c r="B596" t="str">
        <f>_xlfn.TEXTAFTER(TRACK_TYPES[[#This Row],[VEHIDCODE]],"_")</f>
        <v>Japan_Choshi_DeHa_1000</v>
      </c>
      <c r="C596" t="s">
        <v>728</v>
      </c>
      <c r="D596" t="s">
        <v>945</v>
      </c>
      <c r="E596">
        <v>3011</v>
      </c>
      <c r="F596" t="b">
        <f>AND(CONTROL[[#This Row],[IS_WAGON_OR_COACH]]=TRUE,OR(RIGHT(CONTROL[[#This Row],[VEHIDCODE]],7)="Powered",RIGHT(CONTROL[[#This Row],[VEHIDCODE]],9)="Unpowered"))</f>
        <v>0</v>
      </c>
      <c r="G596" s="2" t="b">
        <f>OR(ISNUMBER(SEARCH("wagon_",CONTROL[[#This Row],[VEHIDCODE]])),ISNUMBER(SEARCH("coach_",CONTROL[[#This Row],[VEHIDCODE]])))</f>
        <v>0</v>
      </c>
      <c r="H596" t="str">
        <f>"item_"&amp;CONTROL[[#This Row],[VEHIDCODE]]</f>
        <v>item_rbe_Japan_Choshi_DeHa_1000</v>
      </c>
      <c r="I596" t="str">
        <f>"str_"&amp;CONTROL[[#This Row],[VEHIDCODE]]</f>
        <v>str_rbe_Japan_Choshi_DeHa_1000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t="b">
        <f>ISNUMBER(_xlfn.XMATCH(CONTROL[[#This Row],[VEHIDCODE]],ENGLISH_ITEMS[VEHIDCODE],0))</f>
        <v>1</v>
      </c>
    </row>
    <row r="597" spans="1:16">
      <c r="A597" s="2" t="s">
        <v>620</v>
      </c>
      <c r="B597" t="str">
        <f>_xlfn.TEXTAFTER(TRACK_TYPES[[#This Row],[VEHIDCODE]],"_")</f>
        <v>Switzerland_RhB_G_3_4</v>
      </c>
      <c r="C597" t="s">
        <v>729</v>
      </c>
      <c r="D597" t="s">
        <v>947</v>
      </c>
      <c r="E597">
        <v>4049</v>
      </c>
      <c r="F597" t="b">
        <f>AND(CONTROL[[#This Row],[IS_WAGON_OR_COACH]]=TRUE,OR(RIGHT(CONTROL[[#This Row],[VEHIDCODE]],7)="Powered",RIGHT(CONTROL[[#This Row],[VEHIDCODE]],9)="Unpowered"))</f>
        <v>0</v>
      </c>
      <c r="G597" s="2" t="b">
        <f>OR(ISNUMBER(SEARCH("wagon_",CONTROL[[#This Row],[VEHIDCODE]])),ISNUMBER(SEARCH("coach_",CONTROL[[#This Row],[VEHIDCODE]])))</f>
        <v>0</v>
      </c>
      <c r="H597" t="str">
        <f>"item_"&amp;CONTROL[[#This Row],[VEHIDCODE]]</f>
        <v>item_steam_Switzerland_RhB_G_3_4</v>
      </c>
      <c r="I597" t="str">
        <f>"str_"&amp;CONTROL[[#This Row],[VEHIDCODE]]</f>
        <v>str_steam_Switzerland_RhB_G_3_4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t="b">
        <f>ISNUMBER(_xlfn.XMATCH(CONTROL[[#This Row],[VEHIDCODE]],ENGLISH_ITEMS[VEHIDCODE],0))</f>
        <v>1</v>
      </c>
    </row>
    <row r="598" spans="1:16">
      <c r="A598" s="2" t="s">
        <v>621</v>
      </c>
      <c r="B598" t="str">
        <f>_xlfn.TEXTAFTER(TRACK_TYPES[[#This Row],[VEHIDCODE]],"_")</f>
        <v>Japan_JNR_Class_E10</v>
      </c>
      <c r="C598" t="s">
        <v>729</v>
      </c>
      <c r="D598" t="s">
        <v>947</v>
      </c>
      <c r="E598">
        <v>4067</v>
      </c>
      <c r="F598" t="b">
        <f>AND(CONTROL[[#This Row],[IS_WAGON_OR_COACH]]=TRUE,OR(RIGHT(CONTROL[[#This Row],[VEHIDCODE]],7)="Powered",RIGHT(CONTROL[[#This Row],[VEHIDCODE]],9)="Unpowered"))</f>
        <v>0</v>
      </c>
      <c r="G598" s="2" t="b">
        <f>OR(ISNUMBER(SEARCH("wagon_",CONTROL[[#This Row],[VEHIDCODE]])),ISNUMBER(SEARCH("coach_",CONTROL[[#This Row],[VEHIDCODE]])))</f>
        <v>0</v>
      </c>
      <c r="H598" t="str">
        <f>"item_"&amp;CONTROL[[#This Row],[VEHIDCODE]]</f>
        <v>item_steam_Japan_JNR_Class_E10</v>
      </c>
      <c r="I598" t="str">
        <f>"str_"&amp;CONTROL[[#This Row],[VEHIDCODE]]</f>
        <v>str_steam_Japan_JNR_Class_E10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t="b">
        <f>ISNUMBER(_xlfn.XMATCH(CONTROL[[#This Row],[VEHIDCODE]],ENGLISH_ITEMS[VEHIDCODE],0))</f>
        <v>1</v>
      </c>
    </row>
    <row r="599" spans="1:16">
      <c r="A599" s="2" t="s">
        <v>622</v>
      </c>
      <c r="B599" t="str">
        <f>_xlfn.TEXTAFTER(TRACK_TYPES[[#This Row],[VEHIDCODE]],"_")</f>
        <v>Japan_JNR_7100</v>
      </c>
      <c r="C599" t="s">
        <v>729</v>
      </c>
      <c r="D599" t="s">
        <v>947</v>
      </c>
      <c r="E599">
        <v>4075</v>
      </c>
      <c r="F599" t="b">
        <f>AND(CONTROL[[#This Row],[IS_WAGON_OR_COACH]]=TRUE,OR(RIGHT(CONTROL[[#This Row],[VEHIDCODE]],7)="Powered",RIGHT(CONTROL[[#This Row],[VEHIDCODE]],9)="Unpowered"))</f>
        <v>0</v>
      </c>
      <c r="G599" s="2" t="b">
        <f>OR(ISNUMBER(SEARCH("wagon_",CONTROL[[#This Row],[VEHIDCODE]])),ISNUMBER(SEARCH("coach_",CONTROL[[#This Row],[VEHIDCODE]])))</f>
        <v>0</v>
      </c>
      <c r="H599" t="str">
        <f>"item_"&amp;CONTROL[[#This Row],[VEHIDCODE]]</f>
        <v>item_steam_Japan_JNR_7100</v>
      </c>
      <c r="I599" t="str">
        <f>"str_"&amp;CONTROL[[#This Row],[VEHIDCODE]]</f>
        <v>str_steam_Japan_JNR_7100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t="b">
        <f>ISNUMBER(_xlfn.XMATCH(CONTROL[[#This Row],[VEHIDCODE]],ENGLISH_ITEMS[VEHIDCODE],0))</f>
        <v>1</v>
      </c>
    </row>
    <row r="600" spans="1:16">
      <c r="A600" s="2" t="s">
        <v>623</v>
      </c>
      <c r="B600" t="str">
        <f>_xlfn.TEXTAFTER(TRACK_TYPES[[#This Row],[VEHIDCODE]],"_")</f>
        <v>Japan_JNR_860</v>
      </c>
      <c r="C600" t="s">
        <v>729</v>
      </c>
      <c r="D600" t="s">
        <v>947</v>
      </c>
      <c r="E600">
        <v>4077</v>
      </c>
      <c r="F600" t="b">
        <f>AND(CONTROL[[#This Row],[IS_WAGON_OR_COACH]]=TRUE,OR(RIGHT(CONTROL[[#This Row],[VEHIDCODE]],7)="Powered",RIGHT(CONTROL[[#This Row],[VEHIDCODE]],9)="Unpowered"))</f>
        <v>0</v>
      </c>
      <c r="G600" s="2" t="b">
        <f>OR(ISNUMBER(SEARCH("wagon_",CONTROL[[#This Row],[VEHIDCODE]])),ISNUMBER(SEARCH("coach_",CONTROL[[#This Row],[VEHIDCODE]])))</f>
        <v>0</v>
      </c>
      <c r="H600" t="str">
        <f>"item_"&amp;CONTROL[[#This Row],[VEHIDCODE]]</f>
        <v>item_steam_Japan_JNR_860</v>
      </c>
      <c r="I600" t="str">
        <f>"str_"&amp;CONTROL[[#This Row],[VEHIDCODE]]</f>
        <v>str_steam_Japan_JNR_860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t="b">
        <f>ISNUMBER(_xlfn.XMATCH(CONTROL[[#This Row],[VEHIDCODE]],ENGLISH_ITEMS[VEHIDCODE],0))</f>
        <v>1</v>
      </c>
    </row>
    <row r="601" spans="1:16">
      <c r="A601" s="2" t="s">
        <v>624</v>
      </c>
      <c r="B601" t="str">
        <f>_xlfn.TEXTAFTER(TRACK_TYPES[[#This Row],[VEHIDCODE]],"_")</f>
        <v>Japan_JNR_9600</v>
      </c>
      <c r="C601" t="s">
        <v>729</v>
      </c>
      <c r="D601" t="s">
        <v>947</v>
      </c>
      <c r="E601">
        <v>4086</v>
      </c>
      <c r="F601" t="b">
        <f>AND(CONTROL[[#This Row],[IS_WAGON_OR_COACH]]=TRUE,OR(RIGHT(CONTROL[[#This Row],[VEHIDCODE]],7)="Powered",RIGHT(CONTROL[[#This Row],[VEHIDCODE]],9)="Unpowered"))</f>
        <v>0</v>
      </c>
      <c r="G601" s="2" t="b">
        <f>OR(ISNUMBER(SEARCH("wagon_",CONTROL[[#This Row],[VEHIDCODE]])),ISNUMBER(SEARCH("coach_",CONTROL[[#This Row],[VEHIDCODE]])))</f>
        <v>0</v>
      </c>
      <c r="H601" t="str">
        <f>"item_"&amp;CONTROL[[#This Row],[VEHIDCODE]]</f>
        <v>item_steam_Japan_JNR_9600</v>
      </c>
      <c r="I601" t="str">
        <f>"str_"&amp;CONTROL[[#This Row],[VEHIDCODE]]</f>
        <v>str_steam_Japan_JNR_9600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t="b">
        <f>ISNUMBER(_xlfn.XMATCH(CONTROL[[#This Row],[VEHIDCODE]],ENGLISH_ITEMS[VEHIDCODE],0))</f>
        <v>1</v>
      </c>
    </row>
    <row r="602" spans="1:16">
      <c r="A602" s="2" t="s">
        <v>625</v>
      </c>
      <c r="B602" t="str">
        <f>_xlfn.TEXTAFTER(TRACK_TYPES[[#This Row],[VEHIDCODE]],"_")</f>
        <v>Japan_JNR_D50</v>
      </c>
      <c r="C602" t="s">
        <v>729</v>
      </c>
      <c r="D602" t="s">
        <v>947</v>
      </c>
      <c r="E602">
        <v>4111</v>
      </c>
      <c r="F602" t="b">
        <f>AND(CONTROL[[#This Row],[IS_WAGON_OR_COACH]]=TRUE,OR(RIGHT(CONTROL[[#This Row],[VEHIDCODE]],7)="Powered",RIGHT(CONTROL[[#This Row],[VEHIDCODE]],9)="Unpowered"))</f>
        <v>0</v>
      </c>
      <c r="G602" s="2" t="b">
        <f>OR(ISNUMBER(SEARCH("wagon_",CONTROL[[#This Row],[VEHIDCODE]])),ISNUMBER(SEARCH("coach_",CONTROL[[#This Row],[VEHIDCODE]])))</f>
        <v>0</v>
      </c>
      <c r="H602" t="str">
        <f>"item_"&amp;CONTROL[[#This Row],[VEHIDCODE]]</f>
        <v>item_steam_Japan_JNR_D50</v>
      </c>
      <c r="I602" t="str">
        <f>"str_"&amp;CONTROL[[#This Row],[VEHIDCODE]]</f>
        <v>str_steam_Japan_JNR_D50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t="b">
        <f>ISNUMBER(_xlfn.XMATCH(CONTROL[[#This Row],[VEHIDCODE]],ENGLISH_ITEMS[VEHIDCODE],0))</f>
        <v>1</v>
      </c>
    </row>
    <row r="603" spans="1:16">
      <c r="A603" s="2" t="s">
        <v>626</v>
      </c>
      <c r="B603" t="str">
        <f>_xlfn.TEXTAFTER(TRACK_TYPES[[#This Row],[VEHIDCODE]],"_")</f>
        <v>Japan_JNR_DF50</v>
      </c>
      <c r="C603" t="s">
        <v>730</v>
      </c>
      <c r="D603" t="s">
        <v>949</v>
      </c>
      <c r="E603">
        <v>5082</v>
      </c>
      <c r="F603" t="b">
        <f>AND(CONTROL[[#This Row],[IS_WAGON_OR_COACH]]=TRUE,OR(RIGHT(CONTROL[[#This Row],[VEHIDCODE]],7)="Powered",RIGHT(CONTROL[[#This Row],[VEHIDCODE]],9)="Unpowered"))</f>
        <v>0</v>
      </c>
      <c r="G603" s="2" t="b">
        <f>OR(ISNUMBER(SEARCH("wagon_",CONTROL[[#This Row],[VEHIDCODE]])),ISNUMBER(SEARCH("coach_",CONTROL[[#This Row],[VEHIDCODE]])))</f>
        <v>0</v>
      </c>
      <c r="H603" t="str">
        <f>"item_"&amp;CONTROL[[#This Row],[VEHIDCODE]]</f>
        <v>item_diesel_Japan_JNR_DF50</v>
      </c>
      <c r="I603" t="str">
        <f>"str_"&amp;CONTROL[[#This Row],[VEHIDCODE]]</f>
        <v>str_diesel_Japan_JNR_DF50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t="b">
        <f>ISNUMBER(_xlfn.XMATCH(CONTROL[[#This Row],[VEHIDCODE]],ENGLISH_ITEMS[VEHIDCODE],0))</f>
        <v>1</v>
      </c>
    </row>
    <row r="604" spans="1:16">
      <c r="A604" s="2" t="s">
        <v>627</v>
      </c>
      <c r="B604" t="str">
        <f>_xlfn.TEXTAFTER(TRACK_TYPES[[#This Row],[VEHIDCODE]],"_")</f>
        <v>Switzerland_RhB_DE_2_2</v>
      </c>
      <c r="C604" t="s">
        <v>731</v>
      </c>
      <c r="D604" t="s">
        <v>951</v>
      </c>
      <c r="E604">
        <v>6000</v>
      </c>
      <c r="F604" t="b">
        <f>AND(CONTROL[[#This Row],[IS_WAGON_OR_COACH]]=TRUE,OR(RIGHT(CONTROL[[#This Row],[VEHIDCODE]],7)="Powered",RIGHT(CONTROL[[#This Row],[VEHIDCODE]],9)="Unpowered"))</f>
        <v>0</v>
      </c>
      <c r="G604" s="2" t="b">
        <f>OR(ISNUMBER(SEARCH("wagon_",CONTROL[[#This Row],[VEHIDCODE]])),ISNUMBER(SEARCH("coach_",CONTROL[[#This Row],[VEHIDCODE]])))</f>
        <v>0</v>
      </c>
      <c r="H604" t="str">
        <f>"item_"&amp;CONTROL[[#This Row],[VEHIDCODE]]</f>
        <v>item_electric_Switzerland_RhB_DE_2_2</v>
      </c>
      <c r="I604" t="str">
        <f>"str_"&amp;CONTROL[[#This Row],[VEHIDCODE]]</f>
        <v>str_electric_Switzerland_RhB_DE_2_2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t="b">
        <f>ISNUMBER(_xlfn.XMATCH(CONTROL[[#This Row],[VEHIDCODE]],ENGLISH_ITEMS[VEHIDCODE],0))</f>
        <v>1</v>
      </c>
    </row>
    <row r="605" spans="1:16">
      <c r="A605" s="2" t="s">
        <v>628</v>
      </c>
      <c r="B605" t="str">
        <f>_xlfn.TEXTAFTER(TRACK_TYPES[[#This Row],[VEHIDCODE]],"_")</f>
        <v>Japan_JNR_EH10</v>
      </c>
      <c r="C605" t="s">
        <v>731</v>
      </c>
      <c r="D605" t="s">
        <v>951</v>
      </c>
      <c r="E605">
        <v>6081</v>
      </c>
      <c r="F605" t="b">
        <f>AND(CONTROL[[#This Row],[IS_WAGON_OR_COACH]]=TRUE,OR(RIGHT(CONTROL[[#This Row],[VEHIDCODE]],7)="Powered",RIGHT(CONTROL[[#This Row],[VEHIDCODE]],9)="Unpowered"))</f>
        <v>0</v>
      </c>
      <c r="G605" s="2" t="b">
        <f>OR(ISNUMBER(SEARCH("wagon_",CONTROL[[#This Row],[VEHIDCODE]])),ISNUMBER(SEARCH("coach_",CONTROL[[#This Row],[VEHIDCODE]])))</f>
        <v>0</v>
      </c>
      <c r="H605" t="str">
        <f>"item_"&amp;CONTROL[[#This Row],[VEHIDCODE]]</f>
        <v>item_electric_Japan_JNR_EH10</v>
      </c>
      <c r="I605" t="str">
        <f>"str_"&amp;CONTROL[[#This Row],[VEHIDCODE]]</f>
        <v>str_electric_Japan_JNR_EH10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t="b">
        <f>ISNUMBER(_xlfn.XMATCH(CONTROL[[#This Row],[VEHIDCODE]],ENGLISH_ITEMS[VEHIDCODE],0))</f>
        <v>1</v>
      </c>
    </row>
    <row r="606" spans="1:16">
      <c r="A606" s="2" t="s">
        <v>629</v>
      </c>
      <c r="B606" t="str">
        <f>_xlfn.TEXTAFTER(TRACK_TYPES[[#This Row],[VEHIDCODE]],"_")</f>
        <v>Japan_JNR_EF64</v>
      </c>
      <c r="C606" t="s">
        <v>731</v>
      </c>
      <c r="D606" t="s">
        <v>951</v>
      </c>
      <c r="E606">
        <v>6029</v>
      </c>
      <c r="F606" t="b">
        <f>AND(CONTROL[[#This Row],[IS_WAGON_OR_COACH]]=TRUE,OR(RIGHT(CONTROL[[#This Row],[VEHIDCODE]],7)="Powered",RIGHT(CONTROL[[#This Row],[VEHIDCODE]],9)="Unpowered"))</f>
        <v>0</v>
      </c>
      <c r="G606" s="2" t="b">
        <f>OR(ISNUMBER(SEARCH("wagon_",CONTROL[[#This Row],[VEHIDCODE]])),ISNUMBER(SEARCH("coach_",CONTROL[[#This Row],[VEHIDCODE]])))</f>
        <v>0</v>
      </c>
      <c r="H606" t="str">
        <f>"item_"&amp;CONTROL[[#This Row],[VEHIDCODE]]</f>
        <v>item_electric_Japan_JNR_EF64</v>
      </c>
      <c r="I606" t="str">
        <f>"str_"&amp;CONTROL[[#This Row],[VEHIDCODE]]</f>
        <v>str_electric_Japan_JNR_EF64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t="b">
        <f>ISNUMBER(_xlfn.XMATCH(CONTROL[[#This Row],[VEHIDCODE]],ENGLISH_ITEMS[VEHIDCODE],0))</f>
        <v>1</v>
      </c>
    </row>
    <row r="607" spans="1:16">
      <c r="A607" s="2" t="s">
        <v>630</v>
      </c>
      <c r="B607" t="str">
        <f>_xlfn.TEXTAFTER(TRACK_TYPES[[#This Row],[VEHIDCODE]],"_")</f>
        <v>New_Zealand_NZR_EO_Class</v>
      </c>
      <c r="C607" t="s">
        <v>731</v>
      </c>
      <c r="D607" t="s">
        <v>951</v>
      </c>
      <c r="E607">
        <v>6073</v>
      </c>
      <c r="F607" t="b">
        <f>AND(CONTROL[[#This Row],[IS_WAGON_OR_COACH]]=TRUE,OR(RIGHT(CONTROL[[#This Row],[VEHIDCODE]],7)="Powered",RIGHT(CONTROL[[#This Row],[VEHIDCODE]],9)="Unpowered"))</f>
        <v>0</v>
      </c>
      <c r="G607" s="2" t="b">
        <f>OR(ISNUMBER(SEARCH("wagon_",CONTROL[[#This Row],[VEHIDCODE]])),ISNUMBER(SEARCH("coach_",CONTROL[[#This Row],[VEHIDCODE]])))</f>
        <v>0</v>
      </c>
      <c r="H607" t="str">
        <f>"item_"&amp;CONTROL[[#This Row],[VEHIDCODE]]</f>
        <v>item_electric_New_Zealand_NZR_EO_Class</v>
      </c>
      <c r="I607" t="str">
        <f>"str_"&amp;CONTROL[[#This Row],[VEHIDCODE]]</f>
        <v>str_electric_New_Zealand_NZR_EO_Class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t="b">
        <f>ISNUMBER(_xlfn.XMATCH(CONTROL[[#This Row],[VEHIDCODE]],ENGLISH_ITEMS[VEHIDCODE],0))</f>
        <v>1</v>
      </c>
    </row>
    <row r="608" spans="1:16">
      <c r="A608" s="2" t="s">
        <v>631</v>
      </c>
      <c r="B608" t="str">
        <f>_xlfn.TEXTAFTER(TRACK_TYPES[[#This Row],[VEHIDCODE]],"_")</f>
        <v>Australia_NSWGR_71</v>
      </c>
      <c r="C608" t="s">
        <v>731</v>
      </c>
      <c r="D608" t="s">
        <v>951</v>
      </c>
      <c r="E608">
        <v>6079</v>
      </c>
      <c r="F608" t="b">
        <f>AND(CONTROL[[#This Row],[IS_WAGON_OR_COACH]]=TRUE,OR(RIGHT(CONTROL[[#This Row],[VEHIDCODE]],7)="Powered",RIGHT(CONTROL[[#This Row],[VEHIDCODE]],9)="Unpowered"))</f>
        <v>0</v>
      </c>
      <c r="G608" s="2" t="b">
        <f>OR(ISNUMBER(SEARCH("wagon_",CONTROL[[#This Row],[VEHIDCODE]])),ISNUMBER(SEARCH("coach_",CONTROL[[#This Row],[VEHIDCODE]])))</f>
        <v>0</v>
      </c>
      <c r="H608" t="str">
        <f>"item_"&amp;CONTROL[[#This Row],[VEHIDCODE]]</f>
        <v>item_electric_Australia_NSWGR_71</v>
      </c>
      <c r="I608" t="str">
        <f>"str_"&amp;CONTROL[[#This Row],[VEHIDCODE]]</f>
        <v>str_electric_Australia_NSWGR_71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t="b">
        <f>ISNUMBER(_xlfn.XMATCH(CONTROL[[#This Row],[VEHIDCODE]],ENGLISH_ITEMS[VEHIDCODE],0))</f>
        <v>1</v>
      </c>
    </row>
    <row r="609" spans="1:16">
      <c r="A609" s="2" t="s">
        <v>632</v>
      </c>
      <c r="B609" t="str">
        <f>_xlfn.TEXTAFTER(TRACK_TYPES[[#This Row],[VEHIDCODE]],"_")</f>
        <v>South_Africa_SAR_4E</v>
      </c>
      <c r="C609" t="s">
        <v>731</v>
      </c>
      <c r="D609" t="s">
        <v>951</v>
      </c>
      <c r="E609">
        <v>6080</v>
      </c>
      <c r="F609" t="b">
        <f>AND(CONTROL[[#This Row],[IS_WAGON_OR_COACH]]=TRUE,OR(RIGHT(CONTROL[[#This Row],[VEHIDCODE]],7)="Powered",RIGHT(CONTROL[[#This Row],[VEHIDCODE]],9)="Unpowered"))</f>
        <v>0</v>
      </c>
      <c r="G609" s="2" t="b">
        <f>OR(ISNUMBER(SEARCH("wagon_",CONTROL[[#This Row],[VEHIDCODE]])),ISNUMBER(SEARCH("coach_",CONTROL[[#This Row],[VEHIDCODE]])))</f>
        <v>0</v>
      </c>
      <c r="H609" t="str">
        <f>"item_"&amp;CONTROL[[#This Row],[VEHIDCODE]]</f>
        <v>item_electric_South_Africa_SAR_4E</v>
      </c>
      <c r="I609" t="str">
        <f>"str_"&amp;CONTROL[[#This Row],[VEHIDCODE]]</f>
        <v>str_electric_South_Africa_SAR_4E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t="b">
        <f>ISNUMBER(_xlfn.XMATCH(CONTROL[[#This Row],[VEHIDCODE]],ENGLISH_ITEMS[VEHIDCODE],0))</f>
        <v>1</v>
      </c>
    </row>
    <row r="610" spans="1:16">
      <c r="A610" s="2" t="s">
        <v>633</v>
      </c>
      <c r="B610" t="str">
        <f>_xlfn.TEXTAFTER(TRACK_TYPES[[#This Row],[VEHIDCODE]],"_")</f>
        <v>South_Africa_SAR_5E1</v>
      </c>
      <c r="C610" t="s">
        <v>731</v>
      </c>
      <c r="D610" t="s">
        <v>951</v>
      </c>
      <c r="E610">
        <v>6088</v>
      </c>
      <c r="F610" t="b">
        <f>AND(CONTROL[[#This Row],[IS_WAGON_OR_COACH]]=TRUE,OR(RIGHT(CONTROL[[#This Row],[VEHIDCODE]],7)="Powered",RIGHT(CONTROL[[#This Row],[VEHIDCODE]],9)="Unpowered"))</f>
        <v>0</v>
      </c>
      <c r="G610" s="2" t="b">
        <f>OR(ISNUMBER(SEARCH("wagon_",CONTROL[[#This Row],[VEHIDCODE]])),ISNUMBER(SEARCH("coach_",CONTROL[[#This Row],[VEHIDCODE]])))</f>
        <v>0</v>
      </c>
      <c r="H610" t="str">
        <f>"item_"&amp;CONTROL[[#This Row],[VEHIDCODE]]</f>
        <v>item_electric_South_Africa_SAR_5E1</v>
      </c>
      <c r="I610" t="str">
        <f>"str_"&amp;CONTROL[[#This Row],[VEHIDCODE]]</f>
        <v>str_electric_South_Africa_SAR_5E1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t="b">
        <f>ISNUMBER(_xlfn.XMATCH(CONTROL[[#This Row],[VEHIDCODE]],ENGLISH_ITEMS[VEHIDCODE],0))</f>
        <v>1</v>
      </c>
    </row>
    <row r="611" spans="1:16">
      <c r="A611" s="2" t="s">
        <v>634</v>
      </c>
      <c r="B611" t="str">
        <f>_xlfn.TEXTAFTER(TRACK_TYPES[[#This Row],[VEHIDCODE]],"_")</f>
        <v>South_Africa_SAR_6E</v>
      </c>
      <c r="C611" t="s">
        <v>731</v>
      </c>
      <c r="D611" t="s">
        <v>951</v>
      </c>
      <c r="E611">
        <v>6033</v>
      </c>
      <c r="F611" t="b">
        <f>AND(CONTROL[[#This Row],[IS_WAGON_OR_COACH]]=TRUE,OR(RIGHT(CONTROL[[#This Row],[VEHIDCODE]],7)="Powered",RIGHT(CONTROL[[#This Row],[VEHIDCODE]],9)="Unpowered"))</f>
        <v>0</v>
      </c>
      <c r="G611" s="2" t="b">
        <f>OR(ISNUMBER(SEARCH("wagon_",CONTROL[[#This Row],[VEHIDCODE]])),ISNUMBER(SEARCH("coach_",CONTROL[[#This Row],[VEHIDCODE]])))</f>
        <v>0</v>
      </c>
      <c r="H611" t="str">
        <f>"item_"&amp;CONTROL[[#This Row],[VEHIDCODE]]</f>
        <v>item_electric_South_Africa_SAR_6E</v>
      </c>
      <c r="I611" t="str">
        <f>"str_"&amp;CONTROL[[#This Row],[VEHIDCODE]]</f>
        <v>str_electric_South_Africa_SAR_6E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t="b">
        <f>ISNUMBER(_xlfn.XMATCH(CONTROL[[#This Row],[VEHIDCODE]],ENGLISH_ITEMS[VEHIDCODE],0))</f>
        <v>1</v>
      </c>
    </row>
    <row r="612" spans="1:16">
      <c r="A612" s="2" t="s">
        <v>635</v>
      </c>
      <c r="B612" t="str">
        <f>_xlfn.TEXTAFTER(TRACK_TYPES[[#This Row],[VEHIDCODE]],"_")</f>
        <v>Switzerland_RhB_Ge_4_4_I</v>
      </c>
      <c r="C612" t="s">
        <v>731</v>
      </c>
      <c r="D612" t="s">
        <v>951</v>
      </c>
      <c r="E612">
        <v>6078</v>
      </c>
      <c r="F612" t="b">
        <f>AND(CONTROL[[#This Row],[IS_WAGON_OR_COACH]]=TRUE,OR(RIGHT(CONTROL[[#This Row],[VEHIDCODE]],7)="Powered",RIGHT(CONTROL[[#This Row],[VEHIDCODE]],9)="Unpowered"))</f>
        <v>0</v>
      </c>
      <c r="G612" s="2" t="b">
        <f>OR(ISNUMBER(SEARCH("wagon_",CONTROL[[#This Row],[VEHIDCODE]])),ISNUMBER(SEARCH("coach_",CONTROL[[#This Row],[VEHIDCODE]])))</f>
        <v>0</v>
      </c>
      <c r="H612" t="str">
        <f>"item_"&amp;CONTROL[[#This Row],[VEHIDCODE]]</f>
        <v>item_electric_Switzerland_RhB_Ge_4_4_I</v>
      </c>
      <c r="I612" t="str">
        <f>"str_"&amp;CONTROL[[#This Row],[VEHIDCODE]]</f>
        <v>str_electric_Switzerland_RhB_Ge_4_4_I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t="b">
        <f>ISNUMBER(_xlfn.XMATCH(CONTROL[[#This Row],[VEHIDCODE]],ENGLISH_ITEMS[VEHIDCODE],0))</f>
        <v>1</v>
      </c>
    </row>
    <row r="613" spans="1:16">
      <c r="A613" s="2" t="s">
        <v>636</v>
      </c>
      <c r="B613" t="str">
        <f>_xlfn.TEXTAFTER(TRACK_TYPES[[#This Row],[VEHIDCODE]],"_")</f>
        <v>Switzerland_RhB_Ge_6_6_Krokodil</v>
      </c>
      <c r="C613" t="s">
        <v>731</v>
      </c>
      <c r="D613" t="s">
        <v>951</v>
      </c>
      <c r="E613">
        <v>6070</v>
      </c>
      <c r="F613" t="b">
        <f>AND(CONTROL[[#This Row],[IS_WAGON_OR_COACH]]=TRUE,OR(RIGHT(CONTROL[[#This Row],[VEHIDCODE]],7)="Powered",RIGHT(CONTROL[[#This Row],[VEHIDCODE]],9)="Unpowered"))</f>
        <v>0</v>
      </c>
      <c r="G613" s="2" t="b">
        <f>OR(ISNUMBER(SEARCH("wagon_",CONTROL[[#This Row],[VEHIDCODE]])),ISNUMBER(SEARCH("coach_",CONTROL[[#This Row],[VEHIDCODE]])))</f>
        <v>0</v>
      </c>
      <c r="H613" t="str">
        <f>"item_"&amp;CONTROL[[#This Row],[VEHIDCODE]]</f>
        <v>item_electric_Switzerland_RhB_Ge_6_6_Krokodil</v>
      </c>
      <c r="I613" t="str">
        <f>"str_"&amp;CONTROL[[#This Row],[VEHIDCODE]]</f>
        <v>str_electric_Switzerland_RhB_Ge_6_6_Krokodil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t="b">
        <f>ISNUMBER(_xlfn.XMATCH(CONTROL[[#This Row],[VEHIDCODE]],ENGLISH_ITEMS[VEHIDCODE],0))</f>
        <v>1</v>
      </c>
    </row>
    <row r="614" spans="1:16">
      <c r="A614" s="2" t="s">
        <v>637</v>
      </c>
      <c r="B614" t="str">
        <f>_xlfn.TEXTAFTER(TRACK_TYPES[[#This Row],[VEHIDCODE]],"_")</f>
        <v>Brasil_MRS_He_4_4</v>
      </c>
      <c r="C614" t="s">
        <v>731</v>
      </c>
      <c r="D614" t="s">
        <v>951</v>
      </c>
      <c r="E614">
        <v>6133</v>
      </c>
      <c r="F614" t="b">
        <f>AND(CONTROL[[#This Row],[IS_WAGON_OR_COACH]]=TRUE,OR(RIGHT(CONTROL[[#This Row],[VEHIDCODE]],7)="Powered",RIGHT(CONTROL[[#This Row],[VEHIDCODE]],9)="Unpowered"))</f>
        <v>0</v>
      </c>
      <c r="G614" s="2" t="b">
        <f>OR(ISNUMBER(SEARCH("wagon_",CONTROL[[#This Row],[VEHIDCODE]])),ISNUMBER(SEARCH("coach_",CONTROL[[#This Row],[VEHIDCODE]])))</f>
        <v>0</v>
      </c>
      <c r="H614" t="str">
        <f>"item_"&amp;CONTROL[[#This Row],[VEHIDCODE]]</f>
        <v>item_electric_Brasil_MRS_He_4_4</v>
      </c>
      <c r="I614" t="str">
        <f>"str_"&amp;CONTROL[[#This Row],[VEHIDCODE]]</f>
        <v>str_electric_Brasil_MRS_He_4_4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t="b">
        <f>ISNUMBER(_xlfn.XMATCH(CONTROL[[#This Row],[VEHIDCODE]],ENGLISH_ITEMS[VEHIDCODE],0))</f>
        <v>1</v>
      </c>
    </row>
    <row r="615" spans="1:16">
      <c r="A615" s="2" t="s">
        <v>638</v>
      </c>
      <c r="B615" t="str">
        <f>_xlfn.TEXTAFTER(TRACK_TYPES[[#This Row],[VEHIDCODE]],"_")</f>
        <v>South_Africa_SAR_7E</v>
      </c>
      <c r="C615" t="s">
        <v>731</v>
      </c>
      <c r="D615" t="s">
        <v>951</v>
      </c>
      <c r="E615">
        <v>6128</v>
      </c>
      <c r="F615" t="b">
        <f>AND(CONTROL[[#This Row],[IS_WAGON_OR_COACH]]=TRUE,OR(RIGHT(CONTROL[[#This Row],[VEHIDCODE]],7)="Powered",RIGHT(CONTROL[[#This Row],[VEHIDCODE]],9)="Unpowered"))</f>
        <v>0</v>
      </c>
      <c r="G615" s="2" t="b">
        <f>OR(ISNUMBER(SEARCH("wagon_",CONTROL[[#This Row],[VEHIDCODE]])),ISNUMBER(SEARCH("coach_",CONTROL[[#This Row],[VEHIDCODE]])))</f>
        <v>0</v>
      </c>
      <c r="H615" t="str">
        <f>"item_"&amp;CONTROL[[#This Row],[VEHIDCODE]]</f>
        <v>item_electric_South_Africa_SAR_7E</v>
      </c>
      <c r="I615" t="str">
        <f>"str_"&amp;CONTROL[[#This Row],[VEHIDCODE]]</f>
        <v>str_electric_South_Africa_SAR_7E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t="b">
        <f>ISNUMBER(_xlfn.XMATCH(CONTROL[[#This Row],[VEHIDCODE]],ENGLISH_ITEMS[VEHIDCODE],0))</f>
        <v>1</v>
      </c>
    </row>
    <row r="616" spans="1:16">
      <c r="A616" s="2" t="s">
        <v>639</v>
      </c>
      <c r="B616" t="str">
        <f>_xlfn.TEXTAFTER(TRACK_TYPES[[#This Row],[VEHIDCODE]],"_")</f>
        <v>South_Africa_SAR_11E</v>
      </c>
      <c r="C616" t="s">
        <v>731</v>
      </c>
      <c r="D616" t="s">
        <v>951</v>
      </c>
      <c r="E616">
        <v>6130</v>
      </c>
      <c r="F616" t="b">
        <f>AND(CONTROL[[#This Row],[IS_WAGON_OR_COACH]]=TRUE,OR(RIGHT(CONTROL[[#This Row],[VEHIDCODE]],7)="Powered",RIGHT(CONTROL[[#This Row],[VEHIDCODE]],9)="Unpowered"))</f>
        <v>0</v>
      </c>
      <c r="G616" s="2" t="b">
        <f>OR(ISNUMBER(SEARCH("wagon_",CONTROL[[#This Row],[VEHIDCODE]])),ISNUMBER(SEARCH("coach_",CONTROL[[#This Row],[VEHIDCODE]])))</f>
        <v>0</v>
      </c>
      <c r="H616" t="str">
        <f>"item_"&amp;CONTROL[[#This Row],[VEHIDCODE]]</f>
        <v>item_electric_South_Africa_SAR_11E</v>
      </c>
      <c r="I616" t="str">
        <f>"str_"&amp;CONTROL[[#This Row],[VEHIDCODE]]</f>
        <v>str_electric_South_Africa_SAR_11E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t="b">
        <f>ISNUMBER(_xlfn.XMATCH(CONTROL[[#This Row],[VEHIDCODE]],ENGLISH_ITEMS[VEHIDCODE],0))</f>
        <v>1</v>
      </c>
    </row>
    <row r="617" spans="1:16">
      <c r="A617" s="2" t="s">
        <v>640</v>
      </c>
      <c r="B617" t="str">
        <f>_xlfn.TEXTAFTER(TRACK_TYPES[[#This Row],[VEHIDCODE]],"_")</f>
        <v>New_Zealand_TranzRail_EF</v>
      </c>
      <c r="C617" t="s">
        <v>731</v>
      </c>
      <c r="D617" t="s">
        <v>951</v>
      </c>
      <c r="E617">
        <v>6113</v>
      </c>
      <c r="F617" t="b">
        <f>AND(CONTROL[[#This Row],[IS_WAGON_OR_COACH]]=TRUE,OR(RIGHT(CONTROL[[#This Row],[VEHIDCODE]],7)="Powered",RIGHT(CONTROL[[#This Row],[VEHIDCODE]],9)="Unpowered"))</f>
        <v>0</v>
      </c>
      <c r="G617" s="2" t="b">
        <f>OR(ISNUMBER(SEARCH("wagon_",CONTROL[[#This Row],[VEHIDCODE]])),ISNUMBER(SEARCH("coach_",CONTROL[[#This Row],[VEHIDCODE]])))</f>
        <v>0</v>
      </c>
      <c r="H617" t="str">
        <f>"item_"&amp;CONTROL[[#This Row],[VEHIDCODE]]</f>
        <v>item_electric_New_Zealand_TranzRail_EF</v>
      </c>
      <c r="I617" t="str">
        <f>"str_"&amp;CONTROL[[#This Row],[VEHIDCODE]]</f>
        <v>str_electric_New_Zealand_TranzRail_EF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t="b">
        <f>ISNUMBER(_xlfn.XMATCH(CONTROL[[#This Row],[VEHIDCODE]],ENGLISH_ITEMS[VEHIDCODE],0))</f>
        <v>1</v>
      </c>
    </row>
    <row r="618" spans="1:16">
      <c r="A618" s="2" t="s">
        <v>641</v>
      </c>
      <c r="B618" t="str">
        <f>_xlfn.TEXTAFTER(TRACK_TYPES[[#This Row],[VEHIDCODE]],"_")</f>
        <v>Japan_Odakyu_3100_Series_Romance</v>
      </c>
      <c r="C618" t="s">
        <v>734</v>
      </c>
      <c r="D618" t="s">
        <v>955</v>
      </c>
      <c r="E618">
        <v>8010</v>
      </c>
      <c r="F618" t="b">
        <f>AND(CONTROL[[#This Row],[IS_WAGON_OR_COACH]]=TRUE,OR(RIGHT(CONTROL[[#This Row],[VEHIDCODE]],7)="Powered",RIGHT(CONTROL[[#This Row],[VEHIDCODE]],9)="Unpowered"))</f>
        <v>0</v>
      </c>
      <c r="G618" s="2" t="b">
        <f>OR(ISNUMBER(SEARCH("wagon_",CONTROL[[#This Row],[VEHIDCODE]])),ISNUMBER(SEARCH("coach_",CONTROL[[#This Row],[VEHIDCODE]])))</f>
        <v>0</v>
      </c>
      <c r="H618" t="str">
        <f>"item_"&amp;CONTROL[[#This Row],[VEHIDCODE]]</f>
        <v>item_emu_Japan_Odakyu_3100_Series_Romance</v>
      </c>
      <c r="I618" t="str">
        <f>"str_"&amp;CONTROL[[#This Row],[VEHIDCODE]]</f>
        <v>str_emu_Japan_Odakyu_3100_Series_Romance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t="b">
        <f>ISNUMBER(_xlfn.XMATCH(CONTROL[[#This Row],[VEHIDCODE]],ENGLISH_ITEMS[VEHIDCODE],0))</f>
        <v>1</v>
      </c>
    </row>
    <row r="619" spans="1:16">
      <c r="A619" s="2" t="s">
        <v>642</v>
      </c>
      <c r="B619" t="str">
        <f>_xlfn.TEXTAFTER(TRACK_TYPES[[#This Row],[VEHIDCODE]],"_")</f>
        <v>Japan_Odakyu_10000_Series_Romance</v>
      </c>
      <c r="C619" t="s">
        <v>734</v>
      </c>
      <c r="D619" t="s">
        <v>955</v>
      </c>
      <c r="E619">
        <v>8021</v>
      </c>
      <c r="F619" t="b">
        <f>AND(CONTROL[[#This Row],[IS_WAGON_OR_COACH]]=TRUE,OR(RIGHT(CONTROL[[#This Row],[VEHIDCODE]],7)="Powered",RIGHT(CONTROL[[#This Row],[VEHIDCODE]],9)="Unpowered"))</f>
        <v>0</v>
      </c>
      <c r="G619" s="2" t="b">
        <f>OR(ISNUMBER(SEARCH("wagon_",CONTROL[[#This Row],[VEHIDCODE]])),ISNUMBER(SEARCH("coach_",CONTROL[[#This Row],[VEHIDCODE]])))</f>
        <v>0</v>
      </c>
      <c r="H619" t="str">
        <f>"item_"&amp;CONTROL[[#This Row],[VEHIDCODE]]</f>
        <v>item_emu_Japan_Odakyu_10000_Series_Romance</v>
      </c>
      <c r="I619" t="str">
        <f>"str_"&amp;CONTROL[[#This Row],[VEHIDCODE]]</f>
        <v>str_emu_Japan_Odakyu_10000_Series_Romance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t="b">
        <f>ISNUMBER(_xlfn.XMATCH(CONTROL[[#This Row],[VEHIDCODE]],ENGLISH_ITEMS[VEHIDCODE],0))</f>
        <v>1</v>
      </c>
    </row>
    <row r="620" spans="1:16">
      <c r="A620" s="2" t="s">
        <v>643</v>
      </c>
      <c r="B620" t="str">
        <f>_xlfn.TEXTAFTER(TRACK_TYPES[[#This Row],[VEHIDCODE]],"_")</f>
        <v>Australia_Sydney_Trains_S_Set</v>
      </c>
      <c r="C620" t="s">
        <v>734</v>
      </c>
      <c r="D620" t="s">
        <v>955</v>
      </c>
      <c r="E620">
        <v>8015</v>
      </c>
      <c r="F620" t="b">
        <f>AND(CONTROL[[#This Row],[IS_WAGON_OR_COACH]]=TRUE,OR(RIGHT(CONTROL[[#This Row],[VEHIDCODE]],7)="Powered",RIGHT(CONTROL[[#This Row],[VEHIDCODE]],9)="Unpowered"))</f>
        <v>0</v>
      </c>
      <c r="G620" s="2" t="b">
        <f>OR(ISNUMBER(SEARCH("wagon_",CONTROL[[#This Row],[VEHIDCODE]])),ISNUMBER(SEARCH("coach_",CONTROL[[#This Row],[VEHIDCODE]])))</f>
        <v>0</v>
      </c>
      <c r="H620" t="str">
        <f>"item_"&amp;CONTROL[[#This Row],[VEHIDCODE]]</f>
        <v>item_emu_Australia_Sydney_Trains_S_Set</v>
      </c>
      <c r="I620" t="str">
        <f>"str_"&amp;CONTROL[[#This Row],[VEHIDCODE]]</f>
        <v>str_emu_Australia_Sydney_Trains_S_Set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t="b">
        <f>ISNUMBER(_xlfn.XMATCH(CONTROL[[#This Row],[VEHIDCODE]],ENGLISH_ITEMS[VEHIDCODE],0))</f>
        <v>1</v>
      </c>
    </row>
    <row r="621" spans="1:16">
      <c r="A621" s="2" t="s">
        <v>644</v>
      </c>
      <c r="B621" t="str">
        <f>_xlfn.TEXTAFTER(TRACK_TYPES[[#This Row],[VEHIDCODE]],"_")</f>
        <v>Australia_Sydney_Trains_OSCars</v>
      </c>
      <c r="C621" t="s">
        <v>734</v>
      </c>
      <c r="D621" t="s">
        <v>955</v>
      </c>
      <c r="E621">
        <v>8040</v>
      </c>
      <c r="F621" t="b">
        <f>AND(CONTROL[[#This Row],[IS_WAGON_OR_COACH]]=TRUE,OR(RIGHT(CONTROL[[#This Row],[VEHIDCODE]],7)="Powered",RIGHT(CONTROL[[#This Row],[VEHIDCODE]],9)="Unpowered"))</f>
        <v>0</v>
      </c>
      <c r="G621" s="2" t="b">
        <f>OR(ISNUMBER(SEARCH("wagon_",CONTROL[[#This Row],[VEHIDCODE]])),ISNUMBER(SEARCH("coach_",CONTROL[[#This Row],[VEHIDCODE]])))</f>
        <v>0</v>
      </c>
      <c r="H621" t="str">
        <f>"item_"&amp;CONTROL[[#This Row],[VEHIDCODE]]</f>
        <v>item_emu_Australia_Sydney_Trains_OSCars</v>
      </c>
      <c r="I621" t="str">
        <f>"str_"&amp;CONTROL[[#This Row],[VEHIDCODE]]</f>
        <v>str_emu_Australia_Sydney_Trains_OSCars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t="b">
        <f>ISNUMBER(_xlfn.XMATCH(CONTROL[[#This Row],[VEHIDCODE]],ENGLISH_ITEMS[VEHIDCODE],0))</f>
        <v>1</v>
      </c>
    </row>
    <row r="622" spans="1:16">
      <c r="A622" s="2" t="s">
        <v>645</v>
      </c>
      <c r="B622" t="str">
        <f>_xlfn.TEXTAFTER(TRACK_TYPES[[#This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b">
        <f>AND(CONTROL[[#This Row],[IS_WAGON_OR_COACH]]=TRUE,OR(RIGHT(CONTROL[[#This Row],[VEHIDCODE]],7)="Powered",RIGHT(CONTROL[[#This Row],[VEHIDCODE]],9)="Unpowered"))</f>
        <v>0</v>
      </c>
      <c r="G622" s="2" t="b">
        <f>OR(ISNUMBER(SEARCH("wagon_",CONTROL[[#This Row],[VEHIDCODE]])),ISNUMBER(SEARCH("coach_",CONTROL[[#This Row],[VEHIDCODE]])))</f>
        <v>0</v>
      </c>
      <c r="H622" t="str">
        <f>"item_"&amp;CONTROL[[#This Row],[VEHIDCODE]]</f>
        <v>item_emu_Australia_Victorian_Railways_Swing_Door</v>
      </c>
      <c r="I622" t="str">
        <f>"str_"&amp;CONTROL[[#This Row],[VEHIDCODE]]</f>
        <v>str_emu_Australia_Victorian_Railways_Swing_Door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t="b">
        <f>ISNUMBER(_xlfn.XMATCH(CONTROL[[#This Row],[VEHIDCODE]],ENGLISH_ITEMS[VEHIDCODE],0))</f>
        <v>1</v>
      </c>
    </row>
    <row r="623" spans="1:16">
      <c r="A623" s="2" t="s">
        <v>646</v>
      </c>
      <c r="B623" t="str">
        <f>_xlfn.TEXTAFTER(TRACK_TYPES[[#This Row],[VEHIDCODE]],"_")</f>
        <v>New_Zealand_NZR_EM_ET_Class</v>
      </c>
      <c r="C623" t="s">
        <v>734</v>
      </c>
      <c r="D623" t="s">
        <v>955</v>
      </c>
      <c r="E623">
        <v>8052</v>
      </c>
      <c r="F623" t="b">
        <f>AND(CONTROL[[#This Row],[IS_WAGON_OR_COACH]]=TRUE,OR(RIGHT(CONTROL[[#This Row],[VEHIDCODE]],7)="Powered",RIGHT(CONTROL[[#This Row],[VEHIDCODE]],9)="Unpowered"))</f>
        <v>0</v>
      </c>
      <c r="G623" s="2" t="b">
        <f>OR(ISNUMBER(SEARCH("wagon_",CONTROL[[#This Row],[VEHIDCODE]])),ISNUMBER(SEARCH("coach_",CONTROL[[#This Row],[VEHIDCODE]])))</f>
        <v>0</v>
      </c>
      <c r="H623" t="str">
        <f>"item_"&amp;CONTROL[[#This Row],[VEHIDCODE]]</f>
        <v>item_emu_New_Zealand_NZR_EM_ET_Class</v>
      </c>
      <c r="I623" t="str">
        <f>"str_"&amp;CONTROL[[#This Row],[VEHIDCODE]]</f>
        <v>str_emu_New_Zealand_NZR_EM_ET_Class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t="b">
        <f>ISNUMBER(_xlfn.XMATCH(CONTROL[[#This Row],[VEHIDCODE]],ENGLISH_ITEMS[VEHIDCODE],0))</f>
        <v>1</v>
      </c>
    </row>
    <row r="624" spans="1:16">
      <c r="A624" s="2" t="s">
        <v>647</v>
      </c>
      <c r="B624" t="str">
        <f>_xlfn.TEXTAFTER(TRACK_TYPES[[#This Row],[VEHIDCODE]],"_")</f>
        <v>South_Africa_SAR_5M2</v>
      </c>
      <c r="C624" t="s">
        <v>734</v>
      </c>
      <c r="D624" t="s">
        <v>955</v>
      </c>
      <c r="E624">
        <v>8049</v>
      </c>
      <c r="F624" t="b">
        <f>AND(CONTROL[[#This Row],[IS_WAGON_OR_COACH]]=TRUE,OR(RIGHT(CONTROL[[#This Row],[VEHIDCODE]],7)="Powered",RIGHT(CONTROL[[#This Row],[VEHIDCODE]],9)="Unpowered"))</f>
        <v>0</v>
      </c>
      <c r="G624" s="2" t="b">
        <f>OR(ISNUMBER(SEARCH("wagon_",CONTROL[[#This Row],[VEHIDCODE]])),ISNUMBER(SEARCH("coach_",CONTROL[[#This Row],[VEHIDCODE]])))</f>
        <v>0</v>
      </c>
      <c r="H624" t="str">
        <f>"item_"&amp;CONTROL[[#This Row],[VEHIDCODE]]</f>
        <v>item_emu_South_Africa_SAR_5M2</v>
      </c>
      <c r="I624" t="str">
        <f>"str_"&amp;CONTROL[[#This Row],[VEHIDCODE]]</f>
        <v>str_emu_South_Africa_SAR_5M2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t="b">
        <f>ISNUMBER(_xlfn.XMATCH(CONTROL[[#This Row],[VEHIDCODE]],ENGLISH_ITEMS[VEHIDCODE],0))</f>
        <v>1</v>
      </c>
    </row>
    <row r="625" spans="1:16">
      <c r="A625" s="2" t="s">
        <v>648</v>
      </c>
      <c r="B625" t="str">
        <f>_xlfn.TEXTAFTER(TRACK_TYPES[[#This Row],[VEHIDCODE]],"_")</f>
        <v>Chile_EFE_XTrapolis_100</v>
      </c>
      <c r="C625" t="s">
        <v>734</v>
      </c>
      <c r="D625" t="s">
        <v>955</v>
      </c>
      <c r="E625">
        <v>8057</v>
      </c>
      <c r="F625" t="b">
        <f>AND(CONTROL[[#This Row],[IS_WAGON_OR_COACH]]=TRUE,OR(RIGHT(CONTROL[[#This Row],[VEHIDCODE]],7)="Powered",RIGHT(CONTROL[[#This Row],[VEHIDCODE]],9)="Unpowered"))</f>
        <v>0</v>
      </c>
      <c r="G625" s="2" t="b">
        <f>OR(ISNUMBER(SEARCH("wagon_",CONTROL[[#This Row],[VEHIDCODE]])),ISNUMBER(SEARCH("coach_",CONTROL[[#This Row],[VEHIDCODE]])))</f>
        <v>0</v>
      </c>
      <c r="H625" t="str">
        <f>"item_"&amp;CONTROL[[#This Row],[VEHIDCODE]]</f>
        <v>item_emu_Chile_EFE_XTrapolis_100</v>
      </c>
      <c r="I625" t="str">
        <f>"str_"&amp;CONTROL[[#This Row],[VEHIDCODE]]</f>
        <v>str_emu_Chile_EFE_XTrapolis_100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t="b">
        <f>ISNUMBER(_xlfn.XMATCH(CONTROL[[#This Row],[VEHIDCODE]],ENGLISH_ITEMS[VEHIDCODE],0))</f>
        <v>1</v>
      </c>
    </row>
    <row r="626" spans="1:16">
      <c r="A626" s="2" t="s">
        <v>649</v>
      </c>
      <c r="B626" t="str">
        <f>_xlfn.TEXTAFTER(TRACK_TYPES[[#This Row],[VEHIDCODE]],"_")</f>
        <v>Chile_EFE_AES_Railcar</v>
      </c>
      <c r="C626" t="s">
        <v>734</v>
      </c>
      <c r="D626" t="s">
        <v>955</v>
      </c>
      <c r="E626">
        <v>8056</v>
      </c>
      <c r="F626" t="b">
        <f>AND(CONTROL[[#This Row],[IS_WAGON_OR_COACH]]=TRUE,OR(RIGHT(CONTROL[[#This Row],[VEHIDCODE]],7)="Powered",RIGHT(CONTROL[[#This Row],[VEHIDCODE]],9)="Unpowered"))</f>
        <v>0</v>
      </c>
      <c r="G626" s="2" t="b">
        <f>OR(ISNUMBER(SEARCH("wagon_",CONTROL[[#This Row],[VEHIDCODE]])),ISNUMBER(SEARCH("coach_",CONTROL[[#This Row],[VEHIDCODE]])))</f>
        <v>0</v>
      </c>
      <c r="H626" t="str">
        <f>"item_"&amp;CONTROL[[#This Row],[VEHIDCODE]]</f>
        <v>item_emu_Chile_EFE_AES_Railcar</v>
      </c>
      <c r="I626" t="str">
        <f>"str_"&amp;CONTROL[[#This Row],[VEHIDCODE]]</f>
        <v>str_emu_Chile_EFE_AES_Railcar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t="b">
        <f>ISNUMBER(_xlfn.XMATCH(CONTROL[[#This Row],[VEHIDCODE]],ENGLISH_ITEMS[VEHIDCODE],0))</f>
        <v>1</v>
      </c>
    </row>
    <row r="627" spans="1:16">
      <c r="A627" s="2" t="s">
        <v>650</v>
      </c>
      <c r="B627" t="str">
        <f>_xlfn.TEXTAFTER(TRACK_TYPES[[#This Row],[VEHIDCODE]],"_")</f>
        <v>Tunisia_SNCFT_YZ_E</v>
      </c>
      <c r="C627" t="s">
        <v>734</v>
      </c>
      <c r="D627" t="s">
        <v>955</v>
      </c>
      <c r="E627">
        <v>8058</v>
      </c>
      <c r="F627" t="b">
        <f>AND(CONTROL[[#This Row],[IS_WAGON_OR_COACH]]=TRUE,OR(RIGHT(CONTROL[[#This Row],[VEHIDCODE]],7)="Powered",RIGHT(CONTROL[[#This Row],[VEHIDCODE]],9)="Unpowered"))</f>
        <v>0</v>
      </c>
      <c r="G627" s="2" t="b">
        <f>OR(ISNUMBER(SEARCH("wagon_",CONTROL[[#This Row],[VEHIDCODE]])),ISNUMBER(SEARCH("coach_",CONTROL[[#This Row],[VEHIDCODE]])))</f>
        <v>0</v>
      </c>
      <c r="H627" t="str">
        <f>"item_"&amp;CONTROL[[#This Row],[VEHIDCODE]]</f>
        <v>item_emu_Tunisia_SNCFT_YZ_E</v>
      </c>
      <c r="I627" t="str">
        <f>"str_"&amp;CONTROL[[#This Row],[VEHIDCODE]]</f>
        <v>str_emu_Tunisia_SNCFT_YZ_E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t="b">
        <f>ISNUMBER(_xlfn.XMATCH(CONTROL[[#This Row],[VEHIDCODE]],ENGLISH_ITEMS[VEHIDCODE],0))</f>
        <v>1</v>
      </c>
    </row>
    <row r="628" spans="1:16">
      <c r="A628" s="2" t="s">
        <v>651</v>
      </c>
      <c r="B628" t="str">
        <f>_xlfn.TEXTAFTER(TRACK_TYPES[[#This Row],[VEHIDCODE]],"_")</f>
        <v>Australia_Queensland_Rail_Tilt_Train</v>
      </c>
      <c r="C628" t="s">
        <v>734</v>
      </c>
      <c r="D628" t="s">
        <v>955</v>
      </c>
      <c r="E628">
        <v>8066</v>
      </c>
      <c r="F628" t="b">
        <f>AND(CONTROL[[#This Row],[IS_WAGON_OR_COACH]]=TRUE,OR(RIGHT(CONTROL[[#This Row],[VEHIDCODE]],7)="Powered",RIGHT(CONTROL[[#This Row],[VEHIDCODE]],9)="Unpowered"))</f>
        <v>0</v>
      </c>
      <c r="G628" s="2" t="b">
        <f>OR(ISNUMBER(SEARCH("wagon_",CONTROL[[#This Row],[VEHIDCODE]])),ISNUMBER(SEARCH("coach_",CONTROL[[#This Row],[VEHIDCODE]])))</f>
        <v>0</v>
      </c>
      <c r="H628" t="str">
        <f>"item_"&amp;CONTROL[[#This Row],[VEHIDCODE]]</f>
        <v>item_emu_Australia_Queensland_Rail_Tilt_Train</v>
      </c>
      <c r="I628" t="str">
        <f>"str_"&amp;CONTROL[[#This Row],[VEHIDCODE]]</f>
        <v>str_emu_Australia_Queensland_Rail_Tilt_Train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t="b">
        <f>ISNUMBER(_xlfn.XMATCH(CONTROL[[#This Row],[VEHIDCODE]],ENGLISH_ITEMS[VEHIDCODE],0))</f>
        <v>1</v>
      </c>
    </row>
    <row r="629" spans="1:16">
      <c r="A629" s="2" t="s">
        <v>652</v>
      </c>
      <c r="B629" t="str">
        <f>_xlfn.TEXTAFTER(TRACK_TYPES[[#This Row],[VEHIDCODE]],"_")</f>
        <v>Russia_RZD_VL15</v>
      </c>
      <c r="C629" t="s">
        <v>731</v>
      </c>
      <c r="D629" t="s">
        <v>951</v>
      </c>
      <c r="E629">
        <v>6041</v>
      </c>
      <c r="F629" t="b">
        <f>AND(CONTROL[[#This Row],[IS_WAGON_OR_COACH]]=TRUE,OR(RIGHT(CONTROL[[#This Row],[VEHIDCODE]],7)="Powered",RIGHT(CONTROL[[#This Row],[VEHIDCODE]],9)="Unpowered"))</f>
        <v>0</v>
      </c>
      <c r="G629" s="2" t="b">
        <f>OR(ISNUMBER(SEARCH("wagon_",CONTROL[[#This Row],[VEHIDCODE]])),ISNUMBER(SEARCH("coach_",CONTROL[[#This Row],[VEHIDCODE]])))</f>
        <v>0</v>
      </c>
      <c r="H629" t="str">
        <f>"item_"&amp;CONTROL[[#This Row],[VEHIDCODE]]</f>
        <v>item_electric_Russia_RZD_VL15</v>
      </c>
      <c r="I629" t="str">
        <f>"str_"&amp;CONTROL[[#This Row],[VEHIDCODE]]</f>
        <v>str_electric_Russia_RZD_VL15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t="b">
        <f>ISNUMBER(_xlfn.XMATCH(CONTROL[[#This Row],[VEHIDCODE]],ENGLISH_ITEMS[VEHIDCODE],0))</f>
        <v>1</v>
      </c>
    </row>
    <row r="630" spans="1:16">
      <c r="A630" s="2" t="s">
        <v>653</v>
      </c>
      <c r="B630" t="str">
        <f>_xlfn.TEXTAFTER(TRACK_TYPES[[#This Row],[VEHIDCODE]],"_")</f>
        <v>Russia_RZD_VL11</v>
      </c>
      <c r="C630" t="s">
        <v>731</v>
      </c>
      <c r="D630" t="s">
        <v>951</v>
      </c>
      <c r="E630">
        <v>6134</v>
      </c>
      <c r="F630" t="b">
        <f>AND(CONTROL[[#This Row],[IS_WAGON_OR_COACH]]=TRUE,OR(RIGHT(CONTROL[[#This Row],[VEHIDCODE]],7)="Powered",RIGHT(CONTROL[[#This Row],[VEHIDCODE]],9)="Unpowered"))</f>
        <v>0</v>
      </c>
      <c r="G630" s="2" t="b">
        <f>OR(ISNUMBER(SEARCH("wagon_",CONTROL[[#This Row],[VEHIDCODE]])),ISNUMBER(SEARCH("coach_",CONTROL[[#This Row],[VEHIDCODE]])))</f>
        <v>0</v>
      </c>
      <c r="H630" t="str">
        <f>"item_"&amp;CONTROL[[#This Row],[VEHIDCODE]]</f>
        <v>item_electric_Russia_RZD_VL11</v>
      </c>
      <c r="I630" t="str">
        <f>"str_"&amp;CONTROL[[#This Row],[VEHIDCODE]]</f>
        <v>str_electric_Russia_RZD_VL11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t="b">
        <f>ISNUMBER(_xlfn.XMATCH(CONTROL[[#This Row],[VEHIDCODE]],ENGLISH_ITEMS[VEHIDCODE],0))</f>
        <v>1</v>
      </c>
    </row>
    <row r="631" spans="1:16">
      <c r="A631" s="2" t="s">
        <v>654</v>
      </c>
      <c r="B631" t="str">
        <f>_xlfn.TEXTAFTER(TRACK_TYPES[[#This Row],[VEHIDCODE]],"_")</f>
        <v>Russia_RZD_VL22M</v>
      </c>
      <c r="C631" t="s">
        <v>731</v>
      </c>
      <c r="D631" t="s">
        <v>951</v>
      </c>
      <c r="E631">
        <v>6018</v>
      </c>
      <c r="F631" t="b">
        <f>AND(CONTROL[[#This Row],[IS_WAGON_OR_COACH]]=TRUE,OR(RIGHT(CONTROL[[#This Row],[VEHIDCODE]],7)="Powered",RIGHT(CONTROL[[#This Row],[VEHIDCODE]],9)="Unpowered"))</f>
        <v>0</v>
      </c>
      <c r="G631" s="2" t="b">
        <f>OR(ISNUMBER(SEARCH("wagon_",CONTROL[[#This Row],[VEHIDCODE]])),ISNUMBER(SEARCH("coach_",CONTROL[[#This Row],[VEHIDCODE]])))</f>
        <v>0</v>
      </c>
      <c r="H631" t="str">
        <f>"item_"&amp;CONTROL[[#This Row],[VEHIDCODE]]</f>
        <v>item_electric_Russia_RZD_VL22M</v>
      </c>
      <c r="I631" t="str">
        <f>"str_"&amp;CONTROL[[#This Row],[VEHIDCODE]]</f>
        <v>str_electric_Russia_RZD_VL22M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t="b">
        <f>ISNUMBER(_xlfn.XMATCH(CONTROL[[#This Row],[VEHIDCODE]],ENGLISH_ITEMS[VEHIDCODE],0))</f>
        <v>1</v>
      </c>
    </row>
    <row r="632" spans="1:16">
      <c r="A632" s="2" t="s">
        <v>655</v>
      </c>
      <c r="B632" t="str">
        <f>_xlfn.TEXTAFTER(TRACK_TYPES[[#This Row],[VEHIDCODE]],"_")</f>
        <v>Ukraine_UZ_DE1</v>
      </c>
      <c r="C632" t="s">
        <v>731</v>
      </c>
      <c r="D632" t="s">
        <v>951</v>
      </c>
      <c r="E632">
        <v>6117</v>
      </c>
      <c r="F632" t="b">
        <f>AND(CONTROL[[#This Row],[IS_WAGON_OR_COACH]]=TRUE,OR(RIGHT(CONTROL[[#This Row],[VEHIDCODE]],7)="Powered",RIGHT(CONTROL[[#This Row],[VEHIDCODE]],9)="Unpowered"))</f>
        <v>0</v>
      </c>
      <c r="G632" s="2" t="b">
        <f>OR(ISNUMBER(SEARCH("wagon_",CONTROL[[#This Row],[VEHIDCODE]])),ISNUMBER(SEARCH("coach_",CONTROL[[#This Row],[VEHIDCODE]])))</f>
        <v>0</v>
      </c>
      <c r="H632" t="str">
        <f>"item_"&amp;CONTROL[[#This Row],[VEHIDCODE]]</f>
        <v>item_electric_Ukraine_UZ_DE1</v>
      </c>
      <c r="I632" t="str">
        <f>"str_"&amp;CONTROL[[#This Row],[VEHIDCODE]]</f>
        <v>str_electric_Ukraine_UZ_DE1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t="b">
        <f>ISNUMBER(_xlfn.XMATCH(CONTROL[[#This Row],[VEHIDCODE]],ENGLISH_ITEMS[VEHIDCODE],0))</f>
        <v>1</v>
      </c>
    </row>
    <row r="633" spans="1:16">
      <c r="A633" s="2" t="s">
        <v>656</v>
      </c>
      <c r="B633" t="str">
        <f>_xlfn.TEXTAFTER(TRACK_TYPES[[#This Row],[VEHIDCODE]],"_")</f>
        <v>Russia_RZD_ChS3</v>
      </c>
      <c r="C633" t="s">
        <v>731</v>
      </c>
      <c r="D633" t="s">
        <v>951</v>
      </c>
      <c r="E633">
        <v>6083</v>
      </c>
      <c r="F633" t="b">
        <f>AND(CONTROL[[#This Row],[IS_WAGON_OR_COACH]]=TRUE,OR(RIGHT(CONTROL[[#This Row],[VEHIDCODE]],7)="Powered",RIGHT(CONTROL[[#This Row],[VEHIDCODE]],9)="Unpowered"))</f>
        <v>0</v>
      </c>
      <c r="G633" s="2" t="b">
        <f>OR(ISNUMBER(SEARCH("wagon_",CONTROL[[#This Row],[VEHIDCODE]])),ISNUMBER(SEARCH("coach_",CONTROL[[#This Row],[VEHIDCODE]])))</f>
        <v>0</v>
      </c>
      <c r="H633" t="str">
        <f>"item_"&amp;CONTROL[[#This Row],[VEHIDCODE]]</f>
        <v>item_electric_Russia_RZD_ChS3</v>
      </c>
      <c r="I633" t="str">
        <f>"str_"&amp;CONTROL[[#This Row],[VEHIDCODE]]</f>
        <v>str_electric_Russia_RZD_ChS3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t="b">
        <f>ISNUMBER(_xlfn.XMATCH(CONTROL[[#This Row],[VEHIDCODE]],ENGLISH_ITEMS[VEHIDCODE],0))</f>
        <v>1</v>
      </c>
    </row>
    <row r="634" spans="1:16">
      <c r="A634" s="2" t="s">
        <v>657</v>
      </c>
      <c r="B634" t="str">
        <f>_xlfn.TEXTAFTER(TRACK_TYPES[[#This Row],[VEHIDCODE]],"_")</f>
        <v>Ukraine_UZ_ChS7</v>
      </c>
      <c r="C634" t="s">
        <v>731</v>
      </c>
      <c r="D634" t="s">
        <v>951</v>
      </c>
      <c r="E634">
        <v>6112</v>
      </c>
      <c r="F634" t="b">
        <f>AND(CONTROL[[#This Row],[IS_WAGON_OR_COACH]]=TRUE,OR(RIGHT(CONTROL[[#This Row],[VEHIDCODE]],7)="Powered",RIGHT(CONTROL[[#This Row],[VEHIDCODE]],9)="Unpowered"))</f>
        <v>0</v>
      </c>
      <c r="G634" s="2" t="b">
        <f>OR(ISNUMBER(SEARCH("wagon_",CONTROL[[#This Row],[VEHIDCODE]])),ISNUMBER(SEARCH("coach_",CONTROL[[#This Row],[VEHIDCODE]])))</f>
        <v>0</v>
      </c>
      <c r="H634" t="str">
        <f>"item_"&amp;CONTROL[[#This Row],[VEHIDCODE]]</f>
        <v>item_electric_Ukraine_UZ_ChS7</v>
      </c>
      <c r="I634" t="str">
        <f>"str_"&amp;CONTROL[[#This Row],[VEHIDCODE]]</f>
        <v>str_electric_Ukraine_UZ_ChS7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t="b">
        <f>ISNUMBER(_xlfn.XMATCH(CONTROL[[#This Row],[VEHIDCODE]],ENGLISH_ITEMS[VEHIDCODE],0))</f>
        <v>1</v>
      </c>
    </row>
    <row r="635" spans="1:16">
      <c r="A635" s="2" t="s">
        <v>658</v>
      </c>
      <c r="B635" t="str">
        <f>_xlfn.TEXTAFTER(TRACK_TYPES[[#This Row],[VEHIDCODE]],"_")</f>
        <v>Brasil_RFFSA_GE_C_C_4400</v>
      </c>
      <c r="C635" t="s">
        <v>731</v>
      </c>
      <c r="D635" t="s">
        <v>951</v>
      </c>
      <c r="E635">
        <v>6124</v>
      </c>
      <c r="F635" t="b">
        <f>AND(CONTROL[[#This Row],[IS_WAGON_OR_COACH]]=TRUE,OR(RIGHT(CONTROL[[#This Row],[VEHIDCODE]],7)="Powered",RIGHT(CONTROL[[#This Row],[VEHIDCODE]],9)="Unpowered"))</f>
        <v>0</v>
      </c>
      <c r="G635" s="2" t="b">
        <f>OR(ISNUMBER(SEARCH("wagon_",CONTROL[[#This Row],[VEHIDCODE]])),ISNUMBER(SEARCH("coach_",CONTROL[[#This Row],[VEHIDCODE]])))</f>
        <v>0</v>
      </c>
      <c r="H635" t="str">
        <f>"item_"&amp;CONTROL[[#This Row],[VEHIDCODE]]</f>
        <v>item_electric_Brasil_RFFSA_GE_C_C_4400</v>
      </c>
      <c r="I635" t="str">
        <f>"str_"&amp;CONTROL[[#This Row],[VEHIDCODE]]</f>
        <v>str_electric_Brasil_RFFSA_GE_C_C_4400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t="b">
        <f>ISNUMBER(_xlfn.XMATCH(CONTROL[[#This Row],[VEHIDCODE]],ENGLISH_ITEMS[VEHIDCODE],0))</f>
        <v>1</v>
      </c>
    </row>
    <row r="636" spans="1:16">
      <c r="A636" s="2" t="s">
        <v>659</v>
      </c>
      <c r="B636" t="str">
        <f>_xlfn.TEXTAFTER(TRACK_TYPES[[#This Row],[VEHIDCODE]],"_")</f>
        <v>Russia_RZD_VL85</v>
      </c>
      <c r="C636" t="s">
        <v>731</v>
      </c>
      <c r="D636" t="s">
        <v>951</v>
      </c>
      <c r="E636">
        <v>6040</v>
      </c>
      <c r="F636" t="b">
        <f>AND(CONTROL[[#This Row],[IS_WAGON_OR_COACH]]=TRUE,OR(RIGHT(CONTROL[[#This Row],[VEHIDCODE]],7)="Powered",RIGHT(CONTROL[[#This Row],[VEHIDCODE]],9)="Unpowered"))</f>
        <v>0</v>
      </c>
      <c r="G636" s="2" t="b">
        <f>OR(ISNUMBER(SEARCH("wagon_",CONTROL[[#This Row],[VEHIDCODE]])),ISNUMBER(SEARCH("coach_",CONTROL[[#This Row],[VEHIDCODE]])))</f>
        <v>0</v>
      </c>
      <c r="H636" t="str">
        <f>"item_"&amp;CONTROL[[#This Row],[VEHIDCODE]]</f>
        <v>item_electric_Russia_RZD_VL85</v>
      </c>
      <c r="I636" t="str">
        <f>"str_"&amp;CONTROL[[#This Row],[VEHIDCODE]]</f>
        <v>str_electric_Russia_RZD_VL85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t="b">
        <f>ISNUMBER(_xlfn.XMATCH(CONTROL[[#This Row],[VEHIDCODE]],ENGLISH_ITEMS[VEHIDCODE],0))</f>
        <v>1</v>
      </c>
    </row>
    <row r="637" spans="1:16">
      <c r="A637" s="2" t="s">
        <v>660</v>
      </c>
      <c r="B637" t="str">
        <f>_xlfn.TEXTAFTER(TRACK_TYPES[[#This Row],[VEHIDCODE]],"_")</f>
        <v>Russia_RZD_VL41</v>
      </c>
      <c r="C637" t="s">
        <v>731</v>
      </c>
      <c r="D637" t="s">
        <v>951</v>
      </c>
      <c r="E637">
        <v>6028</v>
      </c>
      <c r="F637" t="b">
        <f>AND(CONTROL[[#This Row],[IS_WAGON_OR_COACH]]=TRUE,OR(RIGHT(CONTROL[[#This Row],[VEHIDCODE]],7)="Powered",RIGHT(CONTROL[[#This Row],[VEHIDCODE]],9)="Unpowered"))</f>
        <v>0</v>
      </c>
      <c r="G637" s="2" t="b">
        <f>OR(ISNUMBER(SEARCH("wagon_",CONTROL[[#This Row],[VEHIDCODE]])),ISNUMBER(SEARCH("coach_",CONTROL[[#This Row],[VEHIDCODE]])))</f>
        <v>0</v>
      </c>
      <c r="H637" t="str">
        <f>"item_"&amp;CONTROL[[#This Row],[VEHIDCODE]]</f>
        <v>item_electric_Russia_RZD_VL41</v>
      </c>
      <c r="I637" t="str">
        <f>"str_"&amp;CONTROL[[#This Row],[VEHIDCODE]]</f>
        <v>str_electric_Russia_RZD_VL41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t="b">
        <f>ISNUMBER(_xlfn.XMATCH(CONTROL[[#This Row],[VEHIDCODE]],ENGLISH_ITEMS[VEHIDCODE],0))</f>
        <v>1</v>
      </c>
    </row>
    <row r="638" spans="1:16">
      <c r="A638" s="2" t="s">
        <v>661</v>
      </c>
      <c r="B638" t="str">
        <f>_xlfn.TEXTAFTER(TRACK_TYPES[[#This Row],[VEHIDCODE]],"_")</f>
        <v>India_Indian_Railways_WAP_4</v>
      </c>
      <c r="C638" t="s">
        <v>731</v>
      </c>
      <c r="D638" t="s">
        <v>951</v>
      </c>
      <c r="E638">
        <v>6048</v>
      </c>
      <c r="F638" t="b">
        <f>AND(CONTROL[[#This Row],[IS_WAGON_OR_COACH]]=TRUE,OR(RIGHT(CONTROL[[#This Row],[VEHIDCODE]],7)="Powered",RIGHT(CONTROL[[#This Row],[VEHIDCODE]],9)="Unpowered"))</f>
        <v>0</v>
      </c>
      <c r="G638" s="2" t="b">
        <f>OR(ISNUMBER(SEARCH("wagon_",CONTROL[[#This Row],[VEHIDCODE]])),ISNUMBER(SEARCH("coach_",CONTROL[[#This Row],[VEHIDCODE]])))</f>
        <v>0</v>
      </c>
      <c r="H638" t="str">
        <f>"item_"&amp;CONTROL[[#This Row],[VEHIDCODE]]</f>
        <v>item_electric_India_Indian_Railways_WAP_4</v>
      </c>
      <c r="I638" t="str">
        <f>"str_"&amp;CONTROL[[#This Row],[VEHIDCODE]]</f>
        <v>str_electric_India_Indian_Railways_WAP_4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t="b">
        <f>ISNUMBER(_xlfn.XMATCH(CONTROL[[#This Row],[VEHIDCODE]],ENGLISH_ITEMS[VEHIDCODE],0))</f>
        <v>1</v>
      </c>
    </row>
    <row r="639" spans="1:16">
      <c r="A639" s="2" t="s">
        <v>662</v>
      </c>
      <c r="B639" t="str">
        <f>_xlfn.TEXTAFTER(TRACK_TYPES[[#This Row],[VEHIDCODE]],"_")</f>
        <v>Finland_VR_Sr1</v>
      </c>
      <c r="C639" t="s">
        <v>731</v>
      </c>
      <c r="D639" t="s">
        <v>951</v>
      </c>
      <c r="E639">
        <v>6034</v>
      </c>
      <c r="F639" t="b">
        <f>AND(CONTROL[[#This Row],[IS_WAGON_OR_COACH]]=TRUE,OR(RIGHT(CONTROL[[#This Row],[VEHIDCODE]],7)="Powered",RIGHT(CONTROL[[#This Row],[VEHIDCODE]],9)="Unpowered"))</f>
        <v>0</v>
      </c>
      <c r="G639" s="2" t="b">
        <f>OR(ISNUMBER(SEARCH("wagon_",CONTROL[[#This Row],[VEHIDCODE]])),ISNUMBER(SEARCH("coach_",CONTROL[[#This Row],[VEHIDCODE]])))</f>
        <v>0</v>
      </c>
      <c r="H639" t="str">
        <f>"item_"&amp;CONTROL[[#This Row],[VEHIDCODE]]</f>
        <v>item_electric_Finland_VR_Sr1</v>
      </c>
      <c r="I639" t="str">
        <f>"str_"&amp;CONTROL[[#This Row],[VEHIDCODE]]</f>
        <v>str_electric_Finland_VR_Sr1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t="b">
        <f>ISNUMBER(_xlfn.XMATCH(CONTROL[[#This Row],[VEHIDCODE]],ENGLISH_ITEMS[VEHIDCODE],0))</f>
        <v>1</v>
      </c>
    </row>
    <row r="640" spans="1:16">
      <c r="A640" s="2" t="s">
        <v>663</v>
      </c>
      <c r="B640" t="str">
        <f>_xlfn.TEXTAFTER(TRACK_TYPES[[#This Row],[VEHIDCODE]],"_")</f>
        <v>Kazakhstan_KTZ_KZ4A</v>
      </c>
      <c r="C640" t="s">
        <v>731</v>
      </c>
      <c r="D640" t="s">
        <v>951</v>
      </c>
      <c r="E640">
        <v>6057</v>
      </c>
      <c r="F640" t="b">
        <f>AND(CONTROL[[#This Row],[IS_WAGON_OR_COACH]]=TRUE,OR(RIGHT(CONTROL[[#This Row],[VEHIDCODE]],7)="Powered",RIGHT(CONTROL[[#This Row],[VEHIDCODE]],9)="Unpowered"))</f>
        <v>0</v>
      </c>
      <c r="G640" s="2" t="b">
        <f>OR(ISNUMBER(SEARCH("wagon_",CONTROL[[#This Row],[VEHIDCODE]])),ISNUMBER(SEARCH("coach_",CONTROL[[#This Row],[VEHIDCODE]])))</f>
        <v>0</v>
      </c>
      <c r="H640" t="str">
        <f>"item_"&amp;CONTROL[[#This Row],[VEHIDCODE]]</f>
        <v>item_electric_Kazakhstan_KTZ_KZ4A</v>
      </c>
      <c r="I640" t="str">
        <f>"str_"&amp;CONTROL[[#This Row],[VEHIDCODE]]</f>
        <v>str_electric_Kazakhstan_KTZ_KZ4A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t="b">
        <f>ISNUMBER(_xlfn.XMATCH(CONTROL[[#This Row],[VEHIDCODE]],ENGLISH_ITEMS[VEHIDCODE],0))</f>
        <v>1</v>
      </c>
    </row>
    <row r="641" spans="1:16">
      <c r="A641" s="2" t="s">
        <v>664</v>
      </c>
      <c r="B641" t="str">
        <f>_xlfn.TEXTAFTER(TRACK_TYPES[[#This Row],[VEHIDCODE]],"_")</f>
        <v>Kazakhstan_KTZ_KZ8A</v>
      </c>
      <c r="C641" t="s">
        <v>731</v>
      </c>
      <c r="D641" t="s">
        <v>951</v>
      </c>
      <c r="E641">
        <v>6095</v>
      </c>
      <c r="F641" t="b">
        <f>AND(CONTROL[[#This Row],[IS_WAGON_OR_COACH]]=TRUE,OR(RIGHT(CONTROL[[#This Row],[VEHIDCODE]],7)="Powered",RIGHT(CONTROL[[#This Row],[VEHIDCODE]],9)="Unpowered"))</f>
        <v>0</v>
      </c>
      <c r="G641" s="2" t="b">
        <f>OR(ISNUMBER(SEARCH("wagon_",CONTROL[[#This Row],[VEHIDCODE]])),ISNUMBER(SEARCH("coach_",CONTROL[[#This Row],[VEHIDCODE]])))</f>
        <v>0</v>
      </c>
      <c r="H641" t="str">
        <f>"item_"&amp;CONTROL[[#This Row],[VEHIDCODE]]</f>
        <v>item_electric_Kazakhstan_KTZ_KZ8A</v>
      </c>
      <c r="I641" t="str">
        <f>"str_"&amp;CONTROL[[#This Row],[VEHIDCODE]]</f>
        <v>str_electric_Kazakhstan_KTZ_KZ8A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t="b">
        <f>ISNUMBER(_xlfn.XMATCH(CONTROL[[#This Row],[VEHIDCODE]],ENGLISH_ITEMS[VEHIDCODE],0))</f>
        <v>1</v>
      </c>
    </row>
    <row r="642" spans="1:16">
      <c r="A642" s="2" t="s">
        <v>665</v>
      </c>
      <c r="B642" t="str">
        <f>_xlfn.TEXTAFTER(TRACK_TYPES[[#This Row],[VEHIDCODE]],"_")</f>
        <v>Russia_RZD_EP20</v>
      </c>
      <c r="C642" t="s">
        <v>731</v>
      </c>
      <c r="D642" t="s">
        <v>951</v>
      </c>
      <c r="E642">
        <v>6092</v>
      </c>
      <c r="F642" t="b">
        <f>AND(CONTROL[[#This Row],[IS_WAGON_OR_COACH]]=TRUE,OR(RIGHT(CONTROL[[#This Row],[VEHIDCODE]],7)="Powered",RIGHT(CONTROL[[#This Row],[VEHIDCODE]],9)="Unpowered"))</f>
        <v>0</v>
      </c>
      <c r="G642" s="2" t="b">
        <f>OR(ISNUMBER(SEARCH("wagon_",CONTROL[[#This Row],[VEHIDCODE]])),ISNUMBER(SEARCH("coach_",CONTROL[[#This Row],[VEHIDCODE]])))</f>
        <v>0</v>
      </c>
      <c r="H642" t="str">
        <f>"item_"&amp;CONTROL[[#This Row],[VEHIDCODE]]</f>
        <v>item_electric_Russia_RZD_EP20</v>
      </c>
      <c r="I642" t="str">
        <f>"str_"&amp;CONTROL[[#This Row],[VEHIDCODE]]</f>
        <v>str_electric_Russia_RZD_EP20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t="b">
        <f>ISNUMBER(_xlfn.XMATCH(CONTROL[[#This Row],[VEHIDCODE]],ENGLISH_ITEMS[VEHIDCODE],0))</f>
        <v>1</v>
      </c>
    </row>
    <row r="643" spans="1:16">
      <c r="A643" s="2" t="s">
        <v>666</v>
      </c>
      <c r="B643" t="str">
        <f>_xlfn.TEXTAFTER(TRACK_TYPES[[#This Row],[VEHIDCODE]],"_")</f>
        <v>Finland_VR_Dm7</v>
      </c>
      <c r="C643" t="s">
        <v>727</v>
      </c>
      <c r="D643" t="s">
        <v>944</v>
      </c>
      <c r="E643">
        <v>2010</v>
      </c>
      <c r="F643" t="b">
        <f>AND(CONTROL[[#This Row],[IS_WAGON_OR_COACH]]=TRUE,OR(RIGHT(CONTROL[[#This Row],[VEHIDCODE]],7)="Powered",RIGHT(CONTROL[[#This Row],[VEHIDCODE]],9)="Unpowered"))</f>
        <v>0</v>
      </c>
      <c r="G643" s="2" t="b">
        <f>OR(ISNUMBER(SEARCH("wagon_",CONTROL[[#This Row],[VEHIDCODE]])),ISNUMBER(SEARCH("coach_",CONTROL[[#This Row],[VEHIDCODE]])))</f>
        <v>0</v>
      </c>
      <c r="H643" t="str">
        <f>"item_"&amp;CONTROL[[#This Row],[VEHIDCODE]]</f>
        <v>item_rbd_Finland_VR_Dm7</v>
      </c>
      <c r="I643" t="str">
        <f>"str_"&amp;CONTROL[[#This Row],[VEHIDCODE]]</f>
        <v>str_rbd_Finland_VR_Dm7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t="b">
        <f>ISNUMBER(_xlfn.XMATCH(CONTROL[[#This Row],[VEHIDCODE]],ENGLISH_ITEMS[VEHIDCODE],0))</f>
        <v>1</v>
      </c>
    </row>
    <row r="644" spans="1:16">
      <c r="A644" s="2" t="s">
        <v>667</v>
      </c>
      <c r="B644" t="str">
        <f>_xlfn.TEXTAFTER(TRACK_TYPES[[#This Row],[VEHIDCODE]],"_")</f>
        <v>Russia_RZD_ACh2</v>
      </c>
      <c r="C644" t="s">
        <v>727</v>
      </c>
      <c r="D644" t="s">
        <v>944</v>
      </c>
      <c r="E644">
        <v>2011</v>
      </c>
      <c r="F644" t="b">
        <f>AND(CONTROL[[#This Row],[IS_WAGON_OR_COACH]]=TRUE,OR(RIGHT(CONTROL[[#This Row],[VEHIDCODE]],7)="Powered",RIGHT(CONTROL[[#This Row],[VEHIDCODE]],9)="Unpowered"))</f>
        <v>0</v>
      </c>
      <c r="G644" s="2" t="b">
        <f>OR(ISNUMBER(SEARCH("wagon_",CONTROL[[#This Row],[VEHIDCODE]])),ISNUMBER(SEARCH("coach_",CONTROL[[#This Row],[VEHIDCODE]])))</f>
        <v>0</v>
      </c>
      <c r="H644" t="str">
        <f>"item_"&amp;CONTROL[[#This Row],[VEHIDCODE]]</f>
        <v>item_rbd_Russia_RZD_ACh2</v>
      </c>
      <c r="I644" t="str">
        <f>"str_"&amp;CONTROL[[#This Row],[VEHIDCODE]]</f>
        <v>str_rbd_Russia_RZD_ACh2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t="b">
        <f>ISNUMBER(_xlfn.XMATCH(CONTROL[[#This Row],[VEHIDCODE]],ENGLISH_ITEMS[VEHIDCODE],0))</f>
        <v>1</v>
      </c>
    </row>
    <row r="645" spans="1:16">
      <c r="A645" s="2" t="s">
        <v>668</v>
      </c>
      <c r="B645" t="str">
        <f>_xlfn.TEXTAFTER(TRACK_TYPES[[#This Row],[VEHIDCODE]],"_")</f>
        <v>Russia_RZD_ER200</v>
      </c>
      <c r="C645" t="s">
        <v>734</v>
      </c>
      <c r="D645" t="s">
        <v>955</v>
      </c>
      <c r="E645">
        <v>8063</v>
      </c>
      <c r="F645" t="b">
        <f>AND(CONTROL[[#This Row],[IS_WAGON_OR_COACH]]=TRUE,OR(RIGHT(CONTROL[[#This Row],[VEHIDCODE]],7)="Powered",RIGHT(CONTROL[[#This Row],[VEHIDCODE]],9)="Unpowered"))</f>
        <v>0</v>
      </c>
      <c r="G645" s="2" t="b">
        <f>OR(ISNUMBER(SEARCH("wagon_",CONTROL[[#This Row],[VEHIDCODE]])),ISNUMBER(SEARCH("coach_",CONTROL[[#This Row],[VEHIDCODE]])))</f>
        <v>0</v>
      </c>
      <c r="H645" t="str">
        <f>"item_"&amp;CONTROL[[#This Row],[VEHIDCODE]]</f>
        <v>item_emu_Russia_RZD_ER200</v>
      </c>
      <c r="I645" t="str">
        <f>"str_"&amp;CONTROL[[#This Row],[VEHIDCODE]]</f>
        <v>str_emu_Russia_RZD_ER200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t="b">
        <f>ISNUMBER(_xlfn.XMATCH(CONTROL[[#This Row],[VEHIDCODE]],ENGLISH_ITEMS[VEHIDCODE],0))</f>
        <v>1</v>
      </c>
    </row>
    <row r="646" spans="1:16">
      <c r="A646" s="2" t="s">
        <v>669</v>
      </c>
      <c r="B646" t="str">
        <f>_xlfn.TEXTAFTER(TRACK_TYPES[[#This Row],[VEHIDCODE]],"_")</f>
        <v>Russia_RZD_S</v>
      </c>
      <c r="C646" t="s">
        <v>734</v>
      </c>
      <c r="D646" t="s">
        <v>955</v>
      </c>
      <c r="E646">
        <v>8059</v>
      </c>
      <c r="F646" t="b">
        <f>AND(CONTROL[[#This Row],[IS_WAGON_OR_COACH]]=TRUE,OR(RIGHT(CONTROL[[#This Row],[VEHIDCODE]],7)="Powered",RIGHT(CONTROL[[#This Row],[VEHIDCODE]],9)="Unpowered"))</f>
        <v>0</v>
      </c>
      <c r="G646" s="2" t="b">
        <f>OR(ISNUMBER(SEARCH("wagon_",CONTROL[[#This Row],[VEHIDCODE]])),ISNUMBER(SEARCH("coach_",CONTROL[[#This Row],[VEHIDCODE]])))</f>
        <v>0</v>
      </c>
      <c r="H646" t="str">
        <f>"item_"&amp;CONTROL[[#This Row],[VEHIDCODE]]</f>
        <v>item_emu_Russia_RZD_S</v>
      </c>
      <c r="I646" t="str">
        <f>"str_"&amp;CONTROL[[#This Row],[VEHIDCODE]]</f>
        <v>str_emu_Russia_RZD_S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t="b">
        <f>ISNUMBER(_xlfn.XMATCH(CONTROL[[#This Row],[VEHIDCODE]],ENGLISH_ITEMS[VEHIDCODE],0))</f>
        <v>1</v>
      </c>
    </row>
    <row r="647" spans="1:16">
      <c r="A647" s="2" t="s">
        <v>670</v>
      </c>
      <c r="B647" t="str">
        <f>_xlfn.TEXTAFTER(TRACK_TYPES[[#This Row],[VEHIDCODE]],"_")</f>
        <v>Croatia_HZ_6112</v>
      </c>
      <c r="C647" t="s">
        <v>734</v>
      </c>
      <c r="D647" t="s">
        <v>955</v>
      </c>
      <c r="E647">
        <v>8070</v>
      </c>
      <c r="F647" t="b">
        <f>AND(CONTROL[[#This Row],[IS_WAGON_OR_COACH]]=TRUE,OR(RIGHT(CONTROL[[#This Row],[VEHIDCODE]],7)="Powered",RIGHT(CONTROL[[#This Row],[VEHIDCODE]],9)="Unpowered"))</f>
        <v>0</v>
      </c>
      <c r="G647" s="2" t="b">
        <f>OR(ISNUMBER(SEARCH("wagon_",CONTROL[[#This Row],[VEHIDCODE]])),ISNUMBER(SEARCH("coach_",CONTROL[[#This Row],[VEHIDCODE]])))</f>
        <v>0</v>
      </c>
      <c r="H647" t="str">
        <f>"item_"&amp;CONTROL[[#This Row],[VEHIDCODE]]</f>
        <v>item_emu_Croatia_HZ_6112</v>
      </c>
      <c r="I647" t="str">
        <f>"str_"&amp;CONTROL[[#This Row],[VEHIDCODE]]</f>
        <v>str_emu_Croatia_HZ_6112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t="b">
        <f>ISNUMBER(_xlfn.XMATCH(CONTROL[[#This Row],[VEHIDCODE]],ENGLISH_ITEMS[VEHIDCODE],0))</f>
        <v>1</v>
      </c>
    </row>
    <row r="648" spans="1:16">
      <c r="A648" s="2" t="s">
        <v>671</v>
      </c>
      <c r="B648" t="str">
        <f>_xlfn.TEXTAFTER(TRACK_TYPES[[#This Row],[VEHIDCODE]],"_")</f>
        <v>Russia_RZD_ES1_Lastochka</v>
      </c>
      <c r="C648" t="s">
        <v>734</v>
      </c>
      <c r="D648" t="s">
        <v>955</v>
      </c>
      <c r="E648">
        <v>8068</v>
      </c>
      <c r="F648" t="b">
        <f>AND(CONTROL[[#This Row],[IS_WAGON_OR_COACH]]=TRUE,OR(RIGHT(CONTROL[[#This Row],[VEHIDCODE]],7)="Powered",RIGHT(CONTROL[[#This Row],[VEHIDCODE]],9)="Unpowered"))</f>
        <v>0</v>
      </c>
      <c r="G648" s="2" t="b">
        <f>OR(ISNUMBER(SEARCH("wagon_",CONTROL[[#This Row],[VEHIDCODE]])),ISNUMBER(SEARCH("coach_",CONTROL[[#This Row],[VEHIDCODE]])))</f>
        <v>0</v>
      </c>
      <c r="H648" t="str">
        <f>"item_"&amp;CONTROL[[#This Row],[VEHIDCODE]]</f>
        <v>item_emu_Russia_RZD_ES1_Lastochka</v>
      </c>
      <c r="I648" t="str">
        <f>"str_"&amp;CONTROL[[#This Row],[VEHIDCODE]]</f>
        <v>str_emu_Russia_RZD_ES1_Lastochka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t="b">
        <f>ISNUMBER(_xlfn.XMATCH(CONTROL[[#This Row],[VEHIDCODE]],ENGLISH_ITEMS[VEHIDCODE],0))</f>
        <v>1</v>
      </c>
    </row>
    <row r="649" spans="1:16">
      <c r="A649" s="2" t="s">
        <v>754</v>
      </c>
      <c r="B649" t="str">
        <f>_xlfn.TEXTAFTER(TRACK_TYPES[[#This Row],[VEHIDCODE]],"_")</f>
        <v>Metro_Wagon_Powered</v>
      </c>
      <c r="C649" t="s">
        <v>909</v>
      </c>
      <c r="D649" t="s">
        <v>980</v>
      </c>
      <c r="E649">
        <v>13003</v>
      </c>
      <c r="F649" t="b">
        <f>AND(CONTROL[[#This Row],[IS_WAGON_OR_COACH]]=TRUE,OR(RIGHT(CONTROL[[#This Row],[VEHIDCODE]],7)="Powered",RIGHT(CONTROL[[#This Row],[VEHIDCODE]],9)="Unpowered"))</f>
        <v>1</v>
      </c>
      <c r="G649" s="2" t="b">
        <f>OR(ISNUMBER(SEARCH("wagon_",CONTROL[[#This Row],[VEHIDCODE]])),ISNUMBER(SEARCH("coach_",CONTROL[[#This Row],[VEHIDCODE]])))</f>
        <v>1</v>
      </c>
      <c r="H649" t="str">
        <f>"item_"&amp;CONTROL[[#This Row],[VEHIDCODE]]</f>
        <v>item_mtro_Metro_Wagon_Powered</v>
      </c>
      <c r="I649" t="str">
        <f>"str_"&amp;CONTROL[[#This Row],[VEHIDCODE]]</f>
        <v>str_mtro_Metro_Wagon_Powered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t="b">
        <f>ISNUMBER(_xlfn.XMATCH(CONTROL[[#This Row],[VEHIDCODE]],ENGLISH_ITEMS[VEHIDCODE],0))</f>
        <v>1</v>
      </c>
    </row>
    <row r="650" spans="1:16">
      <c r="A650" s="2" t="s">
        <v>753</v>
      </c>
      <c r="B650" t="str">
        <f>_xlfn.TEXTAFTER(TRACK_TYPES[[#This Row],[VEHIDCODE]],"_")</f>
        <v>Metro_Wagon_Unpowered</v>
      </c>
      <c r="C650" t="s">
        <v>909</v>
      </c>
      <c r="D650" t="s">
        <v>980</v>
      </c>
      <c r="E650">
        <v>13002</v>
      </c>
      <c r="F650" t="b">
        <f>AND(CONTROL[[#This Row],[IS_WAGON_OR_COACH]]=TRUE,OR(RIGHT(CONTROL[[#This Row],[VEHIDCODE]],7)="Powered",RIGHT(CONTROL[[#This Row],[VEHIDCODE]],9)="Unpowered"))</f>
        <v>1</v>
      </c>
      <c r="G650" s="2" t="b">
        <f>OR(ISNUMBER(SEARCH("wagon_",CONTROL[[#This Row],[VEHIDCODE]])),ISNUMBER(SEARCH("coach_",CONTROL[[#This Row],[VEHIDCODE]])))</f>
        <v>1</v>
      </c>
      <c r="H650" t="str">
        <f>"item_"&amp;CONTROL[[#This Row],[VEHIDCODE]]</f>
        <v>item_mtro_Metro_Wagon_Unpowered</v>
      </c>
      <c r="I650" t="str">
        <f>"str_"&amp;CONTROL[[#This Row],[VEHIDCODE]]</f>
        <v>str_mtro_Metro_Wagon_Unpowered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t="b">
        <f>ISNUMBER(_xlfn.XMATCH(CONTROL[[#This Row],[VEHIDCODE]],ENGLISH_ITEMS[VEHIDCODE],0))</f>
        <v>1</v>
      </c>
    </row>
    <row r="651" spans="1:16">
      <c r="A651" s="2" t="s">
        <v>755</v>
      </c>
      <c r="B651" t="str">
        <f>_xlfn.TEXTAFTER(TRACK_TYPES[[#This Row],[VEHIDCODE]],"_")</f>
        <v>MU_Cargo_Wagon_Powered</v>
      </c>
      <c r="C651" t="s">
        <v>909</v>
      </c>
      <c r="D651" t="s">
        <v>982</v>
      </c>
      <c r="E651">
        <v>13007</v>
      </c>
      <c r="F651" t="b">
        <f>AND(CONTROL[[#This Row],[IS_WAGON_OR_COACH]]=TRUE,OR(RIGHT(CONTROL[[#This Row],[VEHIDCODE]],7)="Powered",RIGHT(CONTROL[[#This Row],[VEHIDCODE]],9)="Unpowered"))</f>
        <v>1</v>
      </c>
      <c r="G651" s="2" t="b">
        <f>OR(ISNUMBER(SEARCH("wagon_",CONTROL[[#This Row],[VEHIDCODE]])),ISNUMBER(SEARCH("coach_",CONTROL[[#This Row],[VEHIDCODE]])))</f>
        <v>1</v>
      </c>
      <c r="H651" t="str">
        <f>"item_"&amp;CONTROL[[#This Row],[VEHIDCODE]]</f>
        <v>item_mu_MU_Cargo_Wagon_Powered</v>
      </c>
      <c r="I651" t="str">
        <f>"str_"&amp;CONTROL[[#This Row],[VEHIDCODE]]</f>
        <v>str_mu_MU_Cargo_Wagon_Powered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t="b">
        <f>ISNUMBER(_xlfn.XMATCH(CONTROL[[#This Row],[VEHIDCODE]],ENGLISH_ITEMS[VEHIDCODE],0))</f>
        <v>1</v>
      </c>
    </row>
    <row r="652" spans="1:16">
      <c r="A652" s="2" t="s">
        <v>756</v>
      </c>
      <c r="B652" t="str">
        <f>_xlfn.TEXTAFTER(TRACK_TYPES[[#This Row],[VEHIDCODE]],"_")</f>
        <v>MU_Cargo_Wagon_Unpowered</v>
      </c>
      <c r="C652" t="s">
        <v>909</v>
      </c>
      <c r="D652" t="s">
        <v>982</v>
      </c>
      <c r="E652">
        <v>13006</v>
      </c>
      <c r="F652" t="b">
        <f>AND(CONTROL[[#This Row],[IS_WAGON_OR_COACH]]=TRUE,OR(RIGHT(CONTROL[[#This Row],[VEHIDCODE]],7)="Powered",RIGHT(CONTROL[[#This Row],[VEHIDCODE]],9)="Unpowered"))</f>
        <v>1</v>
      </c>
      <c r="G652" s="2" t="b">
        <f>OR(ISNUMBER(SEARCH("wagon_",CONTROL[[#This Row],[VEHIDCODE]])),ISNUMBER(SEARCH("coach_",CONTROL[[#This Row],[VEHIDCODE]])))</f>
        <v>1</v>
      </c>
      <c r="H652" t="str">
        <f>"item_"&amp;CONTROL[[#This Row],[VEHIDCODE]]</f>
        <v>item_mu_MU_Cargo_Wagon_Unpowered</v>
      </c>
      <c r="I652" t="str">
        <f>"str_"&amp;CONTROL[[#This Row],[VEHIDCODE]]</f>
        <v>str_mu_MU_Cargo_Wagon_Unpowered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t="b">
        <f>ISNUMBER(_xlfn.XMATCH(CONTROL[[#This Row],[VEHIDCODE]],ENGLISH_ITEMS[VEHIDCODE],0))</f>
        <v>1</v>
      </c>
    </row>
    <row r="653" spans="1:16">
      <c r="A653" s="2" t="s">
        <v>757</v>
      </c>
      <c r="B653" t="str">
        <f>_xlfn.TEXTAFTER(TRACK_TYPES[[#This Row],[VEHIDCODE]],"_")</f>
        <v>MU_Wagon_Powered</v>
      </c>
      <c r="C653" t="s">
        <v>909</v>
      </c>
      <c r="D653" t="s">
        <v>967</v>
      </c>
      <c r="E653">
        <v>13001</v>
      </c>
      <c r="F653" t="b">
        <f>AND(CONTROL[[#This Row],[IS_WAGON_OR_COACH]]=TRUE,OR(RIGHT(CONTROL[[#This Row],[VEHIDCODE]],7)="Powered",RIGHT(CONTROL[[#This Row],[VEHIDCODE]],9)="Unpowered"))</f>
        <v>1</v>
      </c>
      <c r="G653" s="2" t="b">
        <f>OR(ISNUMBER(SEARCH("wagon_",CONTROL[[#This Row],[VEHIDCODE]])),ISNUMBER(SEARCH("coach_",CONTROL[[#This Row],[VEHIDCODE]])))</f>
        <v>1</v>
      </c>
      <c r="H653" t="str">
        <f>"item_"&amp;CONTROL[[#This Row],[VEHIDCODE]]</f>
        <v>item_mu_MU_Wagon_Powered</v>
      </c>
      <c r="I653" t="str">
        <f>"str_"&amp;CONTROL[[#This Row],[VEHIDCODE]]</f>
        <v>str_mu_MU_Wagon_Powered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t="b">
        <f>ISNUMBER(_xlfn.XMATCH(CONTROL[[#This Row],[VEHIDCODE]],ENGLISH_ITEMS[VEHIDCODE],0))</f>
        <v>1</v>
      </c>
    </row>
    <row r="654" spans="1:16">
      <c r="A654" s="2" t="s">
        <v>758</v>
      </c>
      <c r="B654" t="str">
        <f>_xlfn.TEXTAFTER(TRACK_TYPES[[#This Row],[VEHIDCODE]],"_")</f>
        <v>MU_Wagon_Unpowered</v>
      </c>
      <c r="C654" t="s">
        <v>909</v>
      </c>
      <c r="D654" t="s">
        <v>967</v>
      </c>
      <c r="E654">
        <v>13000</v>
      </c>
      <c r="F654" t="b">
        <f>AND(CONTROL[[#This Row],[IS_WAGON_OR_COACH]]=TRUE,OR(RIGHT(CONTROL[[#This Row],[VEHIDCODE]],7)="Powered",RIGHT(CONTROL[[#This Row],[VEHIDCODE]],9)="Unpowered"))</f>
        <v>1</v>
      </c>
      <c r="G654" s="2" t="b">
        <f>OR(ISNUMBER(SEARCH("wagon_",CONTROL[[#This Row],[VEHIDCODE]])),ISNUMBER(SEARCH("coach_",CONTROL[[#This Row],[VEHIDCODE]])))</f>
        <v>1</v>
      </c>
      <c r="H654" t="str">
        <f>"item_"&amp;CONTROL[[#This Row],[VEHIDCODE]]</f>
        <v>item_mu_MU_Wagon_Unpowered</v>
      </c>
      <c r="I654" t="str">
        <f>"str_"&amp;CONTROL[[#This Row],[VEHIDCODE]]</f>
        <v>str_mu_MU_Wagon_Unpowered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t="b">
        <f>ISNUMBER(_xlfn.XMATCH(CONTROL[[#This Row],[VEHIDCODE]],ENGLISH_ITEMS[VEHIDCODE],0))</f>
        <v>1</v>
      </c>
    </row>
    <row r="655" spans="1:16">
      <c r="A655" s="2" t="s">
        <v>760</v>
      </c>
      <c r="B655" t="str">
        <f>_xlfn.TEXTAFTER(TRACK_TYPES[[#This Row],[VEHIDCODE]],"_")</f>
        <v>Wagon_Gen1_Flat_Wagon</v>
      </c>
      <c r="C655" t="s">
        <v>738</v>
      </c>
      <c r="D655" t="s">
        <v>963</v>
      </c>
      <c r="E655">
        <v>12000</v>
      </c>
      <c r="F655" t="b">
        <f>AND(CONTROL[[#This Row],[IS_WAGON_OR_COACH]]=TRUE,OR(RIGHT(CONTROL[[#This Row],[VEHIDCODE]],7)="Powered",RIGHT(CONTROL[[#This Row],[VEHIDCODE]],9)="Unpowered"))</f>
        <v>0</v>
      </c>
      <c r="G655" s="2" t="b">
        <f>OR(ISNUMBER(SEARCH("wagon_",CONTROL[[#This Row],[VEHIDCODE]])),ISNUMBER(SEARCH("coach_",CONTROL[[#This Row],[VEHIDCODE]])))</f>
        <v>1</v>
      </c>
      <c r="H655" t="str">
        <f>"item_"&amp;CONTROL[[#This Row],[VEHIDCODE]]</f>
        <v>item_mu_Wagon_Gen1_Flat_Wagon</v>
      </c>
      <c r="I655" t="str">
        <f>"str_"&amp;CONTROL[[#This Row],[VEHIDCODE]]</f>
        <v>str_mu_Wagon_Gen1_Flat_Wagon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t="b">
        <f>ISNUMBER(_xlfn.XMATCH(CONTROL[[#This Row],[VEHIDCODE]],ENGLISH_ITEMS[VEHIDCODE],0))</f>
        <v>1</v>
      </c>
    </row>
    <row r="656" spans="1:16">
      <c r="A656" s="2" t="s">
        <v>761</v>
      </c>
      <c r="B656" t="str">
        <f>_xlfn.TEXTAFTER(TRACK_TYPES[[#This Row],[VEHIDCODE]],"_")</f>
        <v>Wagon_Gen1_Boxcar</v>
      </c>
      <c r="C656" t="s">
        <v>738</v>
      </c>
      <c r="D656" t="s">
        <v>963</v>
      </c>
      <c r="E656">
        <v>12001</v>
      </c>
      <c r="F656" t="b">
        <f>AND(CONTROL[[#This Row],[IS_WAGON_OR_COACH]]=TRUE,OR(RIGHT(CONTROL[[#This Row],[VEHIDCODE]],7)="Powered",RIGHT(CONTROL[[#This Row],[VEHIDCODE]],9)="Unpowered"))</f>
        <v>0</v>
      </c>
      <c r="G656" s="2" t="b">
        <f>OR(ISNUMBER(SEARCH("wagon_",CONTROL[[#This Row],[VEHIDCODE]])),ISNUMBER(SEARCH("coach_",CONTROL[[#This Row],[VEHIDCODE]])))</f>
        <v>1</v>
      </c>
      <c r="H656" t="str">
        <f>"item_"&amp;CONTROL[[#This Row],[VEHIDCODE]]</f>
        <v>item_mu_Wagon_Gen1_Boxcar</v>
      </c>
      <c r="I656" t="str">
        <f>"str_"&amp;CONTROL[[#This Row],[VEHIDCODE]]</f>
        <v>str_mu_Wagon_Gen1_Boxcar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t="b">
        <f>ISNUMBER(_xlfn.XMATCH(CONTROL[[#This Row],[VEHIDCODE]],ENGLISH_ITEMS[VEHIDCODE],0))</f>
        <v>1</v>
      </c>
    </row>
    <row r="657" spans="1:16">
      <c r="A657" s="2" t="s">
        <v>762</v>
      </c>
      <c r="B657" t="str">
        <f>_xlfn.TEXTAFTER(TRACK_TYPES[[#This Row],[VEHIDCODE]],"_")</f>
        <v>Wagon_Gen1_Tanker</v>
      </c>
      <c r="C657" t="s">
        <v>738</v>
      </c>
      <c r="D657" t="s">
        <v>963</v>
      </c>
      <c r="E657">
        <v>12002</v>
      </c>
      <c r="F657" t="b">
        <f>AND(CONTROL[[#This Row],[IS_WAGON_OR_COACH]]=TRUE,OR(RIGHT(CONTROL[[#This Row],[VEHIDCODE]],7)="Powered",RIGHT(CONTROL[[#This Row],[VEHIDCODE]],9)="Unpowered"))</f>
        <v>0</v>
      </c>
      <c r="G657" s="2" t="b">
        <f>OR(ISNUMBER(SEARCH("wagon_",CONTROL[[#This Row],[VEHIDCODE]])),ISNUMBER(SEARCH("coach_",CONTROL[[#This Row],[VEHIDCODE]])))</f>
        <v>1</v>
      </c>
      <c r="H657" t="str">
        <f>"item_"&amp;CONTROL[[#This Row],[VEHIDCODE]]</f>
        <v>item_mu_Wagon_Gen1_Tanker</v>
      </c>
      <c r="I657" t="str">
        <f>"str_"&amp;CONTROL[[#This Row],[VEHIDCODE]]</f>
        <v>str_mu_Wagon_Gen1_Tanker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t="b">
        <f>ISNUMBER(_xlfn.XMATCH(CONTROL[[#This Row],[VEHIDCODE]],ENGLISH_ITEMS[VEHIDCODE],0))</f>
        <v>1</v>
      </c>
    </row>
    <row r="658" spans="1:16">
      <c r="A658" s="2" t="s">
        <v>763</v>
      </c>
      <c r="B658" t="str">
        <f>_xlfn.TEXTAFTER(TRACK_TYPES[[#This Row],[VEHIDCODE]],"_")</f>
        <v>Wagon_Gen1_Open_Wagon</v>
      </c>
      <c r="C658" t="s">
        <v>738</v>
      </c>
      <c r="D658" t="s">
        <v>963</v>
      </c>
      <c r="E658">
        <v>12003</v>
      </c>
      <c r="F658" t="b">
        <f>AND(CONTROL[[#This Row],[IS_WAGON_OR_COACH]]=TRUE,OR(RIGHT(CONTROL[[#This Row],[VEHIDCODE]],7)="Powered",RIGHT(CONTROL[[#This Row],[VEHIDCODE]],9)="Unpowered"))</f>
        <v>0</v>
      </c>
      <c r="G658" s="2" t="b">
        <f>OR(ISNUMBER(SEARCH("wagon_",CONTROL[[#This Row],[VEHIDCODE]])),ISNUMBER(SEARCH("coach_",CONTROL[[#This Row],[VEHIDCODE]])))</f>
        <v>1</v>
      </c>
      <c r="H658" t="str">
        <f>"item_"&amp;CONTROL[[#This Row],[VEHIDCODE]]</f>
        <v>item_mu_Wagon_Gen1_Open_Wagon</v>
      </c>
      <c r="I658" t="str">
        <f>"str_"&amp;CONTROL[[#This Row],[VEHIDCODE]]</f>
        <v>str_mu_Wagon_Gen1_Open_Wagon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t="b">
        <f>ISNUMBER(_xlfn.XMATCH(CONTROL[[#This Row],[VEHIDCODE]],ENGLISH_ITEMS[VEHIDCODE],0))</f>
        <v>1</v>
      </c>
    </row>
    <row r="659" spans="1:16">
      <c r="A659" s="2" t="s">
        <v>835</v>
      </c>
      <c r="B659" t="str">
        <f>_xlfn.TEXTAFTER(TRACK_TYPES[[#This Row],[VEHIDCODE]],"_")</f>
        <v>Wagon_Gen2_Flat_Wagon</v>
      </c>
      <c r="C659" t="s">
        <v>739</v>
      </c>
      <c r="D659" t="s">
        <v>963</v>
      </c>
      <c r="E659">
        <v>12004</v>
      </c>
      <c r="F659" t="b">
        <f>AND(CONTROL[[#This Row],[IS_WAGON_OR_COACH]]=TRUE,OR(RIGHT(CONTROL[[#This Row],[VEHIDCODE]],7)="Powered",RIGHT(CONTROL[[#This Row],[VEHIDCODE]],9)="Unpowered"))</f>
        <v>0</v>
      </c>
      <c r="G659" s="2" t="b">
        <f>OR(ISNUMBER(SEARCH("wagon_",CONTROL[[#This Row],[VEHIDCODE]])),ISNUMBER(SEARCH("coach_",CONTROL[[#This Row],[VEHIDCODE]])))</f>
        <v>1</v>
      </c>
      <c r="H659" t="str">
        <f>"item_"&amp;CONTROL[[#This Row],[VEHIDCODE]]</f>
        <v>item_mu_Wagon_Gen2_Flat_Wagon</v>
      </c>
      <c r="I659" t="str">
        <f>"str_"&amp;CONTROL[[#This Row],[VEHIDCODE]]</f>
        <v>str_mu_Wagon_Gen2_Flat_Wagon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t="b">
        <f>ISNUMBER(_xlfn.XMATCH(CONTROL[[#This Row],[VEHIDCODE]],ENGLISH_ITEMS[VEHIDCODE],0))</f>
        <v>1</v>
      </c>
    </row>
    <row r="660" spans="1:16">
      <c r="A660" s="2" t="s">
        <v>836</v>
      </c>
      <c r="B660" t="str">
        <f>_xlfn.TEXTAFTER(TRACK_TYPES[[#This Row],[VEHIDCODE]],"_")</f>
        <v>Wagon_Gen2_Boxcar_Type1</v>
      </c>
      <c r="C660" t="s">
        <v>739</v>
      </c>
      <c r="D660" t="s">
        <v>963</v>
      </c>
      <c r="E660">
        <v>12005</v>
      </c>
      <c r="F660" t="b">
        <f>AND(CONTROL[[#This Row],[IS_WAGON_OR_COACH]]=TRUE,OR(RIGHT(CONTROL[[#This Row],[VEHIDCODE]],7)="Powered",RIGHT(CONTROL[[#This Row],[VEHIDCODE]],9)="Unpowered"))</f>
        <v>0</v>
      </c>
      <c r="G660" s="2" t="b">
        <f>OR(ISNUMBER(SEARCH("wagon_",CONTROL[[#This Row],[VEHIDCODE]])),ISNUMBER(SEARCH("coach_",CONTROL[[#This Row],[VEHIDCODE]])))</f>
        <v>1</v>
      </c>
      <c r="H660" t="str">
        <f>"item_"&amp;CONTROL[[#This Row],[VEHIDCODE]]</f>
        <v>item_mu_Wagon_Gen2_Boxcar_Type1</v>
      </c>
      <c r="I660" t="str">
        <f>"str_"&amp;CONTROL[[#This Row],[VEHIDCODE]]</f>
        <v>str_mu_Wagon_Gen2_Boxcar_Type1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t="b">
        <f>ISNUMBER(_xlfn.XMATCH(CONTROL[[#This Row],[VEHIDCODE]],ENGLISH_ITEMS[VEHIDCODE],0))</f>
        <v>1</v>
      </c>
    </row>
    <row r="661" spans="1:16">
      <c r="A661" s="2" t="s">
        <v>837</v>
      </c>
      <c r="B661" t="str">
        <f>_xlfn.TEXTAFTER(TRACK_TYPES[[#This Row],[VEHIDCODE]],"_")</f>
        <v>Wagon_Gen2_Boxcar_Type2</v>
      </c>
      <c r="C661" t="s">
        <v>739</v>
      </c>
      <c r="D661" t="s">
        <v>963</v>
      </c>
      <c r="E661">
        <v>12038</v>
      </c>
      <c r="F661" t="b">
        <f>AND(CONTROL[[#This Row],[IS_WAGON_OR_COACH]]=TRUE,OR(RIGHT(CONTROL[[#This Row],[VEHIDCODE]],7)="Powered",RIGHT(CONTROL[[#This Row],[VEHIDCODE]],9)="Unpowered"))</f>
        <v>0</v>
      </c>
      <c r="G661" s="2" t="b">
        <f>OR(ISNUMBER(SEARCH("wagon_",CONTROL[[#This Row],[VEHIDCODE]])),ISNUMBER(SEARCH("coach_",CONTROL[[#This Row],[VEHIDCODE]])))</f>
        <v>1</v>
      </c>
      <c r="H661" t="str">
        <f>"item_"&amp;CONTROL[[#This Row],[VEHIDCODE]]</f>
        <v>item_mu_Wagon_Gen2_Boxcar_Type2</v>
      </c>
      <c r="I661" t="str">
        <f>"str_"&amp;CONTROL[[#This Row],[VEHIDCODE]]</f>
        <v>str_mu_Wagon_Gen2_Boxcar_Type2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t="b">
        <f>ISNUMBER(_xlfn.XMATCH(CONTROL[[#This Row],[VEHIDCODE]],ENGLISH_ITEMS[VEHIDCODE],0))</f>
        <v>1</v>
      </c>
    </row>
    <row r="662" spans="1:16">
      <c r="A662" s="2" t="s">
        <v>838</v>
      </c>
      <c r="B662" t="str">
        <f>_xlfn.TEXTAFTER(TRACK_TYPES[[#This Row],[VEHIDCODE]],"_")</f>
        <v>Wagon_Gen2_Tanker</v>
      </c>
      <c r="C662" t="s">
        <v>739</v>
      </c>
      <c r="D662" t="s">
        <v>963</v>
      </c>
      <c r="E662">
        <v>12006</v>
      </c>
      <c r="F662" t="b">
        <f>AND(CONTROL[[#This Row],[IS_WAGON_OR_COACH]]=TRUE,OR(RIGHT(CONTROL[[#This Row],[VEHIDCODE]],7)="Powered",RIGHT(CONTROL[[#This Row],[VEHIDCODE]],9)="Unpowered"))</f>
        <v>0</v>
      </c>
      <c r="G662" s="2" t="b">
        <f>OR(ISNUMBER(SEARCH("wagon_",CONTROL[[#This Row],[VEHIDCODE]])),ISNUMBER(SEARCH("coach_",CONTROL[[#This Row],[VEHIDCODE]])))</f>
        <v>1</v>
      </c>
      <c r="H662" t="str">
        <f>"item_"&amp;CONTROL[[#This Row],[VEHIDCODE]]</f>
        <v>item_mu_Wagon_Gen2_Tanker</v>
      </c>
      <c r="I662" t="str">
        <f>"str_"&amp;CONTROL[[#This Row],[VEHIDCODE]]</f>
        <v>str_mu_Wagon_Gen2_Tanker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t="b">
        <f>ISNUMBER(_xlfn.XMATCH(CONTROL[[#This Row],[VEHIDCODE]],ENGLISH_ITEMS[VEHIDCODE],0))</f>
        <v>1</v>
      </c>
    </row>
    <row r="663" spans="1:16">
      <c r="A663" s="2" t="s">
        <v>839</v>
      </c>
      <c r="B663" t="str">
        <f>_xlfn.TEXTAFTER(TRACK_TYPES[[#This Row],[VEHIDCODE]],"_")</f>
        <v>Wagon_Gen2_Open_Wagon</v>
      </c>
      <c r="C663" t="s">
        <v>739</v>
      </c>
      <c r="D663" t="s">
        <v>963</v>
      </c>
      <c r="E663">
        <v>12007</v>
      </c>
      <c r="F663" t="b">
        <f>AND(CONTROL[[#This Row],[IS_WAGON_OR_COACH]]=TRUE,OR(RIGHT(CONTROL[[#This Row],[VEHIDCODE]],7)="Powered",RIGHT(CONTROL[[#This Row],[VEHIDCODE]],9)="Unpowered"))</f>
        <v>0</v>
      </c>
      <c r="G663" s="2" t="b">
        <f>OR(ISNUMBER(SEARCH("wagon_",CONTROL[[#This Row],[VEHIDCODE]])),ISNUMBER(SEARCH("coach_",CONTROL[[#This Row],[VEHIDCODE]])))</f>
        <v>1</v>
      </c>
      <c r="H663" t="str">
        <f>"item_"&amp;CONTROL[[#This Row],[VEHIDCODE]]</f>
        <v>item_mu_Wagon_Gen2_Open_Wagon</v>
      </c>
      <c r="I663" t="str">
        <f>"str_"&amp;CONTROL[[#This Row],[VEHIDCODE]]</f>
        <v>str_mu_Wagon_Gen2_Open_Wagon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t="b">
        <f>ISNUMBER(_xlfn.XMATCH(CONTROL[[#This Row],[VEHIDCODE]],ENGLISH_ITEMS[VEHIDCODE],0))</f>
        <v>1</v>
      </c>
    </row>
    <row r="664" spans="1:16">
      <c r="A664" s="2" t="s">
        <v>840</v>
      </c>
      <c r="B664" t="str">
        <f>_xlfn.TEXTAFTER(TRACK_TYPES[[#This Row],[VEHIDCODE]],"_")</f>
        <v>Wagon_Gen2_Silo</v>
      </c>
      <c r="C664" t="s">
        <v>739</v>
      </c>
      <c r="D664" t="s">
        <v>963</v>
      </c>
      <c r="E664">
        <v>12008</v>
      </c>
      <c r="F664" t="b">
        <f>AND(CONTROL[[#This Row],[IS_WAGON_OR_COACH]]=TRUE,OR(RIGHT(CONTROL[[#This Row],[VEHIDCODE]],7)="Powered",RIGHT(CONTROL[[#This Row],[VEHIDCODE]],9)="Unpowered"))</f>
        <v>0</v>
      </c>
      <c r="G664" s="2" t="b">
        <f>OR(ISNUMBER(SEARCH("wagon_",CONTROL[[#This Row],[VEHIDCODE]])),ISNUMBER(SEARCH("coach_",CONTROL[[#This Row],[VEHIDCODE]])))</f>
        <v>1</v>
      </c>
      <c r="H664" t="str">
        <f>"item_"&amp;CONTROL[[#This Row],[VEHIDCODE]]</f>
        <v>item_mu_Wagon_Gen2_Silo</v>
      </c>
      <c r="I664" t="str">
        <f>"str_"&amp;CONTROL[[#This Row],[VEHIDCODE]]</f>
        <v>str_mu_Wagon_Gen2_Silo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t="b">
        <f>ISNUMBER(_xlfn.XMATCH(CONTROL[[#This Row],[VEHIDCODE]],ENGLISH_ITEMS[VEHIDCODE],0))</f>
        <v>1</v>
      </c>
    </row>
    <row r="665" spans="1:16">
      <c r="A665" s="2" t="s">
        <v>841</v>
      </c>
      <c r="B665" t="str">
        <f>_xlfn.TEXTAFTER(TRACK_TYPES[[#This Row],[VEHIDCODE]],"_")</f>
        <v>Wagon_Gen2_Hopper</v>
      </c>
      <c r="C665" t="s">
        <v>739</v>
      </c>
      <c r="D665" t="s">
        <v>963</v>
      </c>
      <c r="E665">
        <v>12009</v>
      </c>
      <c r="F665" t="b">
        <f>AND(CONTROL[[#This Row],[IS_WAGON_OR_COACH]]=TRUE,OR(RIGHT(CONTROL[[#This Row],[VEHIDCODE]],7)="Powered",RIGHT(CONTROL[[#This Row],[VEHIDCODE]],9)="Unpowered"))</f>
        <v>0</v>
      </c>
      <c r="G665" s="2" t="b">
        <f>OR(ISNUMBER(SEARCH("wagon_",CONTROL[[#This Row],[VEHIDCODE]])),ISNUMBER(SEARCH("coach_",CONTROL[[#This Row],[VEHIDCODE]])))</f>
        <v>1</v>
      </c>
      <c r="H665" t="str">
        <f>"item_"&amp;CONTROL[[#This Row],[VEHIDCODE]]</f>
        <v>item_mu_Wagon_Gen2_Hopper</v>
      </c>
      <c r="I665" t="str">
        <f>"str_"&amp;CONTROL[[#This Row],[VEHIDCODE]]</f>
        <v>str_mu_Wagon_Gen2_Hopper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t="b">
        <f>ISNUMBER(_xlfn.XMATCH(CONTROL[[#This Row],[VEHIDCODE]],ENGLISH_ITEMS[VEHIDCODE],0))</f>
        <v>1</v>
      </c>
    </row>
    <row r="666" spans="1:16">
      <c r="A666" s="2" t="s">
        <v>842</v>
      </c>
      <c r="B666" t="str">
        <f>_xlfn.TEXTAFTER(TRACK_TYPES[[#This Row],[VEHIDCODE]],"_")</f>
        <v>Wagon_Gen3_Flat_Wagon</v>
      </c>
      <c r="C666" t="s">
        <v>740</v>
      </c>
      <c r="D666" t="s">
        <v>963</v>
      </c>
      <c r="E666">
        <v>12010</v>
      </c>
      <c r="F666" t="b">
        <f>AND(CONTROL[[#This Row],[IS_WAGON_OR_COACH]]=TRUE,OR(RIGHT(CONTROL[[#This Row],[VEHIDCODE]],7)="Powered",RIGHT(CONTROL[[#This Row],[VEHIDCODE]],9)="Unpowered"))</f>
        <v>0</v>
      </c>
      <c r="G666" s="2" t="b">
        <f>OR(ISNUMBER(SEARCH("wagon_",CONTROL[[#This Row],[VEHIDCODE]])),ISNUMBER(SEARCH("coach_",CONTROL[[#This Row],[VEHIDCODE]])))</f>
        <v>1</v>
      </c>
      <c r="H666" t="str">
        <f>"item_"&amp;CONTROL[[#This Row],[VEHIDCODE]]</f>
        <v>item_mu_Wagon_Gen3_Flat_Wagon</v>
      </c>
      <c r="I666" t="str">
        <f>"str_"&amp;CONTROL[[#This Row],[VEHIDCODE]]</f>
        <v>str_mu_Wagon_Gen3_Flat_Wagon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t="b">
        <f>ISNUMBER(_xlfn.XMATCH(CONTROL[[#This Row],[VEHIDCODE]],ENGLISH_ITEMS[VEHIDCODE],0))</f>
        <v>1</v>
      </c>
    </row>
    <row r="667" spans="1:16">
      <c r="A667" s="2" t="s">
        <v>843</v>
      </c>
      <c r="B667" t="str">
        <f>_xlfn.TEXTAFTER(TRACK_TYPES[[#This Row],[VEHIDCODE]],"_")</f>
        <v>Wagon_Gen3_Boxcar_Type1</v>
      </c>
      <c r="C667" t="s">
        <v>740</v>
      </c>
      <c r="D667" t="s">
        <v>963</v>
      </c>
      <c r="E667">
        <v>12011</v>
      </c>
      <c r="F667" t="b">
        <f>AND(CONTROL[[#This Row],[IS_WAGON_OR_COACH]]=TRUE,OR(RIGHT(CONTROL[[#This Row],[VEHIDCODE]],7)="Powered",RIGHT(CONTROL[[#This Row],[VEHIDCODE]],9)="Unpowered"))</f>
        <v>0</v>
      </c>
      <c r="G667" s="2" t="b">
        <f>OR(ISNUMBER(SEARCH("wagon_",CONTROL[[#This Row],[VEHIDCODE]])),ISNUMBER(SEARCH("coach_",CONTROL[[#This Row],[VEHIDCODE]])))</f>
        <v>1</v>
      </c>
      <c r="H667" t="str">
        <f>"item_"&amp;CONTROL[[#This Row],[VEHIDCODE]]</f>
        <v>item_mu_Wagon_Gen3_Boxcar_Type1</v>
      </c>
      <c r="I667" t="str">
        <f>"str_"&amp;CONTROL[[#This Row],[VEHIDCODE]]</f>
        <v>str_mu_Wagon_Gen3_Boxcar_Type1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t="b">
        <f>ISNUMBER(_xlfn.XMATCH(CONTROL[[#This Row],[VEHIDCODE]],ENGLISH_ITEMS[VEHIDCODE],0))</f>
        <v>1</v>
      </c>
    </row>
    <row r="668" spans="1:16">
      <c r="A668" s="2" t="s">
        <v>844</v>
      </c>
      <c r="B668" t="str">
        <f>_xlfn.TEXTAFTER(TRACK_TYPES[[#This Row],[VEHIDCODE]],"_")</f>
        <v>Wagon_Gen3_Boxcar_Type2</v>
      </c>
      <c r="C668" t="s">
        <v>740</v>
      </c>
      <c r="D668" t="s">
        <v>963</v>
      </c>
      <c r="E668">
        <v>12047</v>
      </c>
      <c r="F668" t="b">
        <f>AND(CONTROL[[#This Row],[IS_WAGON_OR_COACH]]=TRUE,OR(RIGHT(CONTROL[[#This Row],[VEHIDCODE]],7)="Powered",RIGHT(CONTROL[[#This Row],[VEHIDCODE]],9)="Unpowered"))</f>
        <v>0</v>
      </c>
      <c r="G668" s="2" t="b">
        <f>OR(ISNUMBER(SEARCH("wagon_",CONTROL[[#This Row],[VEHIDCODE]])),ISNUMBER(SEARCH("coach_",CONTROL[[#This Row],[VEHIDCODE]])))</f>
        <v>1</v>
      </c>
      <c r="H668" t="str">
        <f>"item_"&amp;CONTROL[[#This Row],[VEHIDCODE]]</f>
        <v>item_mu_Wagon_Gen3_Boxcar_Type2</v>
      </c>
      <c r="I668" t="str">
        <f>"str_"&amp;CONTROL[[#This Row],[VEHIDCODE]]</f>
        <v>str_mu_Wagon_Gen3_Boxcar_Type2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t="b">
        <f>ISNUMBER(_xlfn.XMATCH(CONTROL[[#This Row],[VEHIDCODE]],ENGLISH_ITEMS[VEHIDCODE],0))</f>
        <v>1</v>
      </c>
    </row>
    <row r="669" spans="1:16">
      <c r="A669" s="2" t="s">
        <v>845</v>
      </c>
      <c r="B669" t="str">
        <f>_xlfn.TEXTAFTER(TRACK_TYPES[[#This Row],[VEHIDCODE]],"_")</f>
        <v>Wagon_Gen3_Tanker</v>
      </c>
      <c r="C669" t="s">
        <v>740</v>
      </c>
      <c r="D669" t="s">
        <v>963</v>
      </c>
      <c r="E669">
        <v>12012</v>
      </c>
      <c r="F669" t="b">
        <f>AND(CONTROL[[#This Row],[IS_WAGON_OR_COACH]]=TRUE,OR(RIGHT(CONTROL[[#This Row],[VEHIDCODE]],7)="Powered",RIGHT(CONTROL[[#This Row],[VEHIDCODE]],9)="Unpowered"))</f>
        <v>0</v>
      </c>
      <c r="G669" s="2" t="b">
        <f>OR(ISNUMBER(SEARCH("wagon_",CONTROL[[#This Row],[VEHIDCODE]])),ISNUMBER(SEARCH("coach_",CONTROL[[#This Row],[VEHIDCODE]])))</f>
        <v>1</v>
      </c>
      <c r="H669" t="str">
        <f>"item_"&amp;CONTROL[[#This Row],[VEHIDCODE]]</f>
        <v>item_mu_Wagon_Gen3_Tanker</v>
      </c>
      <c r="I669" t="str">
        <f>"str_"&amp;CONTROL[[#This Row],[VEHIDCODE]]</f>
        <v>str_mu_Wagon_Gen3_Tanker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t="b">
        <f>ISNUMBER(_xlfn.XMATCH(CONTROL[[#This Row],[VEHIDCODE]],ENGLISH_ITEMS[VEHIDCODE],0))</f>
        <v>1</v>
      </c>
    </row>
    <row r="670" spans="1:16">
      <c r="A670" s="2" t="s">
        <v>846</v>
      </c>
      <c r="B670" t="str">
        <f>_xlfn.TEXTAFTER(TRACK_TYPES[[#This Row],[VEHIDCODE]],"_")</f>
        <v>Wagon_Gen3_Open_Wagon</v>
      </c>
      <c r="C670" t="s">
        <v>740</v>
      </c>
      <c r="D670" t="s">
        <v>963</v>
      </c>
      <c r="E670">
        <v>12013</v>
      </c>
      <c r="F670" t="b">
        <f>AND(CONTROL[[#This Row],[IS_WAGON_OR_COACH]]=TRUE,OR(RIGHT(CONTROL[[#This Row],[VEHIDCODE]],7)="Powered",RIGHT(CONTROL[[#This Row],[VEHIDCODE]],9)="Unpowered"))</f>
        <v>0</v>
      </c>
      <c r="G670" s="2" t="b">
        <f>OR(ISNUMBER(SEARCH("wagon_",CONTROL[[#This Row],[VEHIDCODE]])),ISNUMBER(SEARCH("coach_",CONTROL[[#This Row],[VEHIDCODE]])))</f>
        <v>1</v>
      </c>
      <c r="H670" t="str">
        <f>"item_"&amp;CONTROL[[#This Row],[VEHIDCODE]]</f>
        <v>item_mu_Wagon_Gen3_Open_Wagon</v>
      </c>
      <c r="I670" t="str">
        <f>"str_"&amp;CONTROL[[#This Row],[VEHIDCODE]]</f>
        <v>str_mu_Wagon_Gen3_Open_Wagon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t="b">
        <f>ISNUMBER(_xlfn.XMATCH(CONTROL[[#This Row],[VEHIDCODE]],ENGLISH_ITEMS[VEHIDCODE],0))</f>
        <v>1</v>
      </c>
    </row>
    <row r="671" spans="1:16">
      <c r="A671" s="2" t="s">
        <v>847</v>
      </c>
      <c r="B671" t="str">
        <f>_xlfn.TEXTAFTER(TRACK_TYPES[[#This Row],[VEHIDCODE]],"_")</f>
        <v>Wagon_Gen3_Silo_Type1</v>
      </c>
      <c r="C671" t="s">
        <v>740</v>
      </c>
      <c r="D671" t="s">
        <v>963</v>
      </c>
      <c r="E671">
        <v>12014</v>
      </c>
      <c r="F671" t="b">
        <f>AND(CONTROL[[#This Row],[IS_WAGON_OR_COACH]]=TRUE,OR(RIGHT(CONTROL[[#This Row],[VEHIDCODE]],7)="Powered",RIGHT(CONTROL[[#This Row],[VEHIDCODE]],9)="Unpowered"))</f>
        <v>0</v>
      </c>
      <c r="G671" s="2" t="b">
        <f>OR(ISNUMBER(SEARCH("wagon_",CONTROL[[#This Row],[VEHIDCODE]])),ISNUMBER(SEARCH("coach_",CONTROL[[#This Row],[VEHIDCODE]])))</f>
        <v>1</v>
      </c>
      <c r="H671" t="str">
        <f>"item_"&amp;CONTROL[[#This Row],[VEHIDCODE]]</f>
        <v>item_mu_Wagon_Gen3_Silo_Type1</v>
      </c>
      <c r="I671" t="str">
        <f>"str_"&amp;CONTROL[[#This Row],[VEHIDCODE]]</f>
        <v>str_mu_Wagon_Gen3_Silo_Type1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t="b">
        <f>ISNUMBER(_xlfn.XMATCH(CONTROL[[#This Row],[VEHIDCODE]],ENGLISH_ITEMS[VEHIDCODE],0))</f>
        <v>1</v>
      </c>
    </row>
    <row r="672" spans="1:16">
      <c r="A672" s="2" t="s">
        <v>848</v>
      </c>
      <c r="B672" t="str">
        <f>_xlfn.TEXTAFTER(TRACK_TYPES[[#This Row],[VEHIDCODE]],"_")</f>
        <v>Wagon_Gen3_Silo_Type2</v>
      </c>
      <c r="C672" t="s">
        <v>740</v>
      </c>
      <c r="D672" t="s">
        <v>963</v>
      </c>
      <c r="E672">
        <v>12039</v>
      </c>
      <c r="F672" t="b">
        <f>AND(CONTROL[[#This Row],[IS_WAGON_OR_COACH]]=TRUE,OR(RIGHT(CONTROL[[#This Row],[VEHIDCODE]],7)="Powered",RIGHT(CONTROL[[#This Row],[VEHIDCODE]],9)="Unpowered"))</f>
        <v>0</v>
      </c>
      <c r="G672" s="2" t="b">
        <f>OR(ISNUMBER(SEARCH("wagon_",CONTROL[[#This Row],[VEHIDCODE]])),ISNUMBER(SEARCH("coach_",CONTROL[[#This Row],[VEHIDCODE]])))</f>
        <v>1</v>
      </c>
      <c r="H672" t="str">
        <f>"item_"&amp;CONTROL[[#This Row],[VEHIDCODE]]</f>
        <v>item_mu_Wagon_Gen3_Silo_Type2</v>
      </c>
      <c r="I672" t="str">
        <f>"str_"&amp;CONTROL[[#This Row],[VEHIDCODE]]</f>
        <v>str_mu_Wagon_Gen3_Silo_Type2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t="b">
        <f>ISNUMBER(_xlfn.XMATCH(CONTROL[[#This Row],[VEHIDCODE]],ENGLISH_ITEMS[VEHIDCODE],0))</f>
        <v>1</v>
      </c>
    </row>
    <row r="673" spans="1:16">
      <c r="A673" s="2" t="s">
        <v>849</v>
      </c>
      <c r="B673" t="str">
        <f>_xlfn.TEXTAFTER(TRACK_TYPES[[#This Row],[VEHIDCODE]],"_")</f>
        <v>Wagon_Gen3_Hopper</v>
      </c>
      <c r="C673" t="s">
        <v>740</v>
      </c>
      <c r="D673" t="s">
        <v>963</v>
      </c>
      <c r="E673">
        <v>12015</v>
      </c>
      <c r="F673" t="b">
        <f>AND(CONTROL[[#This Row],[IS_WAGON_OR_COACH]]=TRUE,OR(RIGHT(CONTROL[[#This Row],[VEHIDCODE]],7)="Powered",RIGHT(CONTROL[[#This Row],[VEHIDCODE]],9)="Unpowered"))</f>
        <v>0</v>
      </c>
      <c r="G673" s="2" t="b">
        <f>OR(ISNUMBER(SEARCH("wagon_",CONTROL[[#This Row],[VEHIDCODE]])),ISNUMBER(SEARCH("coach_",CONTROL[[#This Row],[VEHIDCODE]])))</f>
        <v>1</v>
      </c>
      <c r="H673" t="str">
        <f>"item_"&amp;CONTROL[[#This Row],[VEHIDCODE]]</f>
        <v>item_mu_Wagon_Gen3_Hopper</v>
      </c>
      <c r="I673" t="str">
        <f>"str_"&amp;CONTROL[[#This Row],[VEHIDCODE]]</f>
        <v>str_mu_Wagon_Gen3_Hopper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t="b">
        <f>ISNUMBER(_xlfn.XMATCH(CONTROL[[#This Row],[VEHIDCODE]],ENGLISH_ITEMS[VEHIDCODE],0))</f>
        <v>1</v>
      </c>
    </row>
    <row r="674" spans="1:16">
      <c r="A674" s="2" t="s">
        <v>850</v>
      </c>
      <c r="B674" t="str">
        <f>_xlfn.TEXTAFTER(TRACK_TYPES[[#This Row],[VEHIDCODE]],"_")</f>
        <v>Wagon_Gen4_Flatcar</v>
      </c>
      <c r="C674" t="s">
        <v>741</v>
      </c>
      <c r="D674" t="s">
        <v>963</v>
      </c>
      <c r="E674">
        <v>12016</v>
      </c>
      <c r="F674" t="b">
        <f>AND(CONTROL[[#This Row],[IS_WAGON_OR_COACH]]=TRUE,OR(RIGHT(CONTROL[[#This Row],[VEHIDCODE]],7)="Powered",RIGHT(CONTROL[[#This Row],[VEHIDCODE]],9)="Unpowered"))</f>
        <v>0</v>
      </c>
      <c r="G674" s="2" t="b">
        <f>OR(ISNUMBER(SEARCH("wagon_",CONTROL[[#This Row],[VEHIDCODE]])),ISNUMBER(SEARCH("coach_",CONTROL[[#This Row],[VEHIDCODE]])))</f>
        <v>1</v>
      </c>
      <c r="H674" t="str">
        <f>"item_"&amp;CONTROL[[#This Row],[VEHIDCODE]]</f>
        <v>item_mu_Wagon_Gen4_Flatcar</v>
      </c>
      <c r="I674" t="str">
        <f>"str_"&amp;CONTROL[[#This Row],[VEHIDCODE]]</f>
        <v>str_mu_Wagon_Gen4_Flatcar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t="b">
        <f>ISNUMBER(_xlfn.XMATCH(CONTROL[[#This Row],[VEHIDCODE]],ENGLISH_ITEMS[VEHIDCODE],0))</f>
        <v>1</v>
      </c>
    </row>
    <row r="675" spans="1:16">
      <c r="A675" s="2" t="s">
        <v>851</v>
      </c>
      <c r="B675" t="str">
        <f>_xlfn.TEXTAFTER(TRACK_TYPES[[#This Row],[VEHIDCODE]],"_")</f>
        <v>Wagon_Gen4_Heavy_Flatcar</v>
      </c>
      <c r="C675" t="s">
        <v>741</v>
      </c>
      <c r="D675" t="s">
        <v>963</v>
      </c>
      <c r="E675">
        <v>12017</v>
      </c>
      <c r="F675" t="b">
        <f>AND(CONTROL[[#This Row],[IS_WAGON_OR_COACH]]=TRUE,OR(RIGHT(CONTROL[[#This Row],[VEHIDCODE]],7)="Powered",RIGHT(CONTROL[[#This Row],[VEHIDCODE]],9)="Unpowered"))</f>
        <v>0</v>
      </c>
      <c r="G675" s="2" t="b">
        <f>OR(ISNUMBER(SEARCH("wagon_",CONTROL[[#This Row],[VEHIDCODE]])),ISNUMBER(SEARCH("coach_",CONTROL[[#This Row],[VEHIDCODE]])))</f>
        <v>1</v>
      </c>
      <c r="H675" t="str">
        <f>"item_"&amp;CONTROL[[#This Row],[VEHIDCODE]]</f>
        <v>item_mu_Wagon_Gen4_Heavy_Flatcar</v>
      </c>
      <c r="I675" t="str">
        <f>"str_"&amp;CONTROL[[#This Row],[VEHIDCODE]]</f>
        <v>str_mu_Wagon_Gen4_Heavy_Flatcar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t="b">
        <f>ISNUMBER(_xlfn.XMATCH(CONTROL[[#This Row],[VEHIDCODE]],ENGLISH_ITEMS[VEHIDCODE],0))</f>
        <v>1</v>
      </c>
    </row>
    <row r="676" spans="1:16">
      <c r="A676" s="2" t="s">
        <v>852</v>
      </c>
      <c r="B676" t="str">
        <f>_xlfn.TEXTAFTER(TRACK_TYPES[[#This Row],[VEHIDCODE]],"_")</f>
        <v>Wagon_Gen4_Boxcar_Type1</v>
      </c>
      <c r="C676" t="s">
        <v>741</v>
      </c>
      <c r="D676" t="s">
        <v>963</v>
      </c>
      <c r="E676">
        <v>12018</v>
      </c>
      <c r="F676" t="b">
        <f>AND(CONTROL[[#This Row],[IS_WAGON_OR_COACH]]=TRUE,OR(RIGHT(CONTROL[[#This Row],[VEHIDCODE]],7)="Powered",RIGHT(CONTROL[[#This Row],[VEHIDCODE]],9)="Unpowered"))</f>
        <v>0</v>
      </c>
      <c r="G676" s="2" t="b">
        <f>OR(ISNUMBER(SEARCH("wagon_",CONTROL[[#This Row],[VEHIDCODE]])),ISNUMBER(SEARCH("coach_",CONTROL[[#This Row],[VEHIDCODE]])))</f>
        <v>1</v>
      </c>
      <c r="H676" t="str">
        <f>"item_"&amp;CONTROL[[#This Row],[VEHIDCODE]]</f>
        <v>item_mu_Wagon_Gen4_Boxcar_Type1</v>
      </c>
      <c r="I676" t="str">
        <f>"str_"&amp;CONTROL[[#This Row],[VEHIDCODE]]</f>
        <v>str_mu_Wagon_Gen4_Boxcar_Type1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t="b">
        <f>ISNUMBER(_xlfn.XMATCH(CONTROL[[#This Row],[VEHIDCODE]],ENGLISH_ITEMS[VEHIDCODE],0))</f>
        <v>1</v>
      </c>
    </row>
    <row r="677" spans="1:16">
      <c r="A677" s="2" t="s">
        <v>853</v>
      </c>
      <c r="B677" t="str">
        <f>_xlfn.TEXTAFTER(TRACK_TYPES[[#This Row],[VEHIDCODE]],"_")</f>
        <v>Wagon_Gen4_Boxcar_Type2</v>
      </c>
      <c r="C677" t="s">
        <v>741</v>
      </c>
      <c r="D677" t="s">
        <v>963</v>
      </c>
      <c r="E677">
        <v>12048</v>
      </c>
      <c r="F677" t="b">
        <f>AND(CONTROL[[#This Row],[IS_WAGON_OR_COACH]]=TRUE,OR(RIGHT(CONTROL[[#This Row],[VEHIDCODE]],7)="Powered",RIGHT(CONTROL[[#This Row],[VEHIDCODE]],9)="Unpowered"))</f>
        <v>0</v>
      </c>
      <c r="G677" s="2" t="b">
        <f>OR(ISNUMBER(SEARCH("wagon_",CONTROL[[#This Row],[VEHIDCODE]])),ISNUMBER(SEARCH("coach_",CONTROL[[#This Row],[VEHIDCODE]])))</f>
        <v>1</v>
      </c>
      <c r="H677" t="str">
        <f>"item_"&amp;CONTROL[[#This Row],[VEHIDCODE]]</f>
        <v>item_mu_Wagon_Gen4_Boxcar_Type2</v>
      </c>
      <c r="I677" t="str">
        <f>"str_"&amp;CONTROL[[#This Row],[VEHIDCODE]]</f>
        <v>str_mu_Wagon_Gen4_Boxcar_Type2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t="b">
        <f>ISNUMBER(_xlfn.XMATCH(CONTROL[[#This Row],[VEHIDCODE]],ENGLISH_ITEMS[VEHIDCODE],0))</f>
        <v>1</v>
      </c>
    </row>
    <row r="678" spans="1:16">
      <c r="A678" s="2" t="s">
        <v>854</v>
      </c>
      <c r="B678" t="str">
        <f>_xlfn.TEXTAFTER(TRACK_TYPES[[#This Row],[VEHIDCODE]],"_")</f>
        <v>Wagon_Gen4_Tanker</v>
      </c>
      <c r="C678" t="s">
        <v>741</v>
      </c>
      <c r="D678" t="s">
        <v>963</v>
      </c>
      <c r="E678">
        <v>12019</v>
      </c>
      <c r="F678" t="b">
        <f>AND(CONTROL[[#This Row],[IS_WAGON_OR_COACH]]=TRUE,OR(RIGHT(CONTROL[[#This Row],[VEHIDCODE]],7)="Powered",RIGHT(CONTROL[[#This Row],[VEHIDCODE]],9)="Unpowered"))</f>
        <v>0</v>
      </c>
      <c r="G678" s="2" t="b">
        <f>OR(ISNUMBER(SEARCH("wagon_",CONTROL[[#This Row],[VEHIDCODE]])),ISNUMBER(SEARCH("coach_",CONTROL[[#This Row],[VEHIDCODE]])))</f>
        <v>1</v>
      </c>
      <c r="H678" t="str">
        <f>"item_"&amp;CONTROL[[#This Row],[VEHIDCODE]]</f>
        <v>item_mu_Wagon_Gen4_Tanker</v>
      </c>
      <c r="I678" t="str">
        <f>"str_"&amp;CONTROL[[#This Row],[VEHIDCODE]]</f>
        <v>str_mu_Wagon_Gen4_Tanker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t="b">
        <f>ISNUMBER(_xlfn.XMATCH(CONTROL[[#This Row],[VEHIDCODE]],ENGLISH_ITEMS[VEHIDCODE],0))</f>
        <v>1</v>
      </c>
    </row>
    <row r="679" spans="1:16">
      <c r="A679" s="2" t="s">
        <v>855</v>
      </c>
      <c r="B679" t="str">
        <f>_xlfn.TEXTAFTER(TRACK_TYPES[[#This Row],[VEHIDCODE]],"_")</f>
        <v>Wagon_Gen4_Gondola</v>
      </c>
      <c r="C679" t="s">
        <v>741</v>
      </c>
      <c r="D679" t="s">
        <v>963</v>
      </c>
      <c r="E679">
        <v>12020</v>
      </c>
      <c r="F679" t="b">
        <f>AND(CONTROL[[#This Row],[IS_WAGON_OR_COACH]]=TRUE,OR(RIGHT(CONTROL[[#This Row],[VEHIDCODE]],7)="Powered",RIGHT(CONTROL[[#This Row],[VEHIDCODE]],9)="Unpowered"))</f>
        <v>0</v>
      </c>
      <c r="G679" s="2" t="b">
        <f>OR(ISNUMBER(SEARCH("wagon_",CONTROL[[#This Row],[VEHIDCODE]])),ISNUMBER(SEARCH("coach_",CONTROL[[#This Row],[VEHIDCODE]])))</f>
        <v>1</v>
      </c>
      <c r="H679" t="str">
        <f>"item_"&amp;CONTROL[[#This Row],[VEHIDCODE]]</f>
        <v>item_mu_Wagon_Gen4_Gondola</v>
      </c>
      <c r="I679" t="str">
        <f>"str_"&amp;CONTROL[[#This Row],[VEHIDCODE]]</f>
        <v>str_mu_Wagon_Gen4_Gondola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t="b">
        <f>ISNUMBER(_xlfn.XMATCH(CONTROL[[#This Row],[VEHIDCODE]],ENGLISH_ITEMS[VEHIDCODE],0))</f>
        <v>1</v>
      </c>
    </row>
    <row r="680" spans="1:16">
      <c r="A680" s="2" t="s">
        <v>856</v>
      </c>
      <c r="B680" t="str">
        <f>_xlfn.TEXTAFTER(TRACK_TYPES[[#This Row],[VEHIDCODE]],"_")</f>
        <v>Wagon_Gen4_Silo_Type1</v>
      </c>
      <c r="C680" t="s">
        <v>741</v>
      </c>
      <c r="D680" t="s">
        <v>963</v>
      </c>
      <c r="E680">
        <v>12021</v>
      </c>
      <c r="F680" t="b">
        <f>AND(CONTROL[[#This Row],[IS_WAGON_OR_COACH]]=TRUE,OR(RIGHT(CONTROL[[#This Row],[VEHIDCODE]],7)="Powered",RIGHT(CONTROL[[#This Row],[VEHIDCODE]],9)="Unpowered"))</f>
        <v>0</v>
      </c>
      <c r="G680" s="2" t="b">
        <f>OR(ISNUMBER(SEARCH("wagon_",CONTROL[[#This Row],[VEHIDCODE]])),ISNUMBER(SEARCH("coach_",CONTROL[[#This Row],[VEHIDCODE]])))</f>
        <v>1</v>
      </c>
      <c r="H680" t="str">
        <f>"item_"&amp;CONTROL[[#This Row],[VEHIDCODE]]</f>
        <v>item_mu_Wagon_Gen4_Silo_Type1</v>
      </c>
      <c r="I680" t="str">
        <f>"str_"&amp;CONTROL[[#This Row],[VEHIDCODE]]</f>
        <v>str_mu_Wagon_Gen4_Silo_Type1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t="b">
        <f>ISNUMBER(_xlfn.XMATCH(CONTROL[[#This Row],[VEHIDCODE]],ENGLISH_ITEMS[VEHIDCODE],0))</f>
        <v>1</v>
      </c>
    </row>
    <row r="681" spans="1:16">
      <c r="A681" s="2" t="s">
        <v>857</v>
      </c>
      <c r="B681" t="str">
        <f>_xlfn.TEXTAFTER(TRACK_TYPES[[#This Row],[VEHIDCODE]],"_")</f>
        <v>Wagon_Gen4_Silo_Type2</v>
      </c>
      <c r="C681" t="s">
        <v>741</v>
      </c>
      <c r="D681" t="s">
        <v>963</v>
      </c>
      <c r="E681">
        <v>12040</v>
      </c>
      <c r="F681" t="b">
        <f>AND(CONTROL[[#This Row],[IS_WAGON_OR_COACH]]=TRUE,OR(RIGHT(CONTROL[[#This Row],[VEHIDCODE]],7)="Powered",RIGHT(CONTROL[[#This Row],[VEHIDCODE]],9)="Unpowered"))</f>
        <v>0</v>
      </c>
      <c r="G681" s="2" t="b">
        <f>OR(ISNUMBER(SEARCH("wagon_",CONTROL[[#This Row],[VEHIDCODE]])),ISNUMBER(SEARCH("coach_",CONTROL[[#This Row],[VEHIDCODE]])))</f>
        <v>1</v>
      </c>
      <c r="H681" t="str">
        <f>"item_"&amp;CONTROL[[#This Row],[VEHIDCODE]]</f>
        <v>item_mu_Wagon_Gen4_Silo_Type2</v>
      </c>
      <c r="I681" t="str">
        <f>"str_"&amp;CONTROL[[#This Row],[VEHIDCODE]]</f>
        <v>str_mu_Wagon_Gen4_Silo_Type2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t="b">
        <f>ISNUMBER(_xlfn.XMATCH(CONTROL[[#This Row],[VEHIDCODE]],ENGLISH_ITEMS[VEHIDCODE],0))</f>
        <v>1</v>
      </c>
    </row>
    <row r="682" spans="1:16">
      <c r="A682" s="2" t="s">
        <v>858</v>
      </c>
      <c r="B682" t="str">
        <f>_xlfn.TEXTAFTER(TRACK_TYPES[[#This Row],[VEHIDCODE]],"_")</f>
        <v>Wagon_Gen4_Hopper_Type1</v>
      </c>
      <c r="C682" t="s">
        <v>741</v>
      </c>
      <c r="D682" t="s">
        <v>963</v>
      </c>
      <c r="E682">
        <v>12022</v>
      </c>
      <c r="F682" t="b">
        <f>AND(CONTROL[[#This Row],[IS_WAGON_OR_COACH]]=TRUE,OR(RIGHT(CONTROL[[#This Row],[VEHIDCODE]],7)="Powered",RIGHT(CONTROL[[#This Row],[VEHIDCODE]],9)="Unpowered"))</f>
        <v>0</v>
      </c>
      <c r="G682" s="2" t="b">
        <f>OR(ISNUMBER(SEARCH("wagon_",CONTROL[[#This Row],[VEHIDCODE]])),ISNUMBER(SEARCH("coach_",CONTROL[[#This Row],[VEHIDCODE]])))</f>
        <v>1</v>
      </c>
      <c r="H682" t="str">
        <f>"item_"&amp;CONTROL[[#This Row],[VEHIDCODE]]</f>
        <v>item_mu_Wagon_Gen4_Hopper_Type1</v>
      </c>
      <c r="I682" t="str">
        <f>"str_"&amp;CONTROL[[#This Row],[VEHIDCODE]]</f>
        <v>str_mu_Wagon_Gen4_Hopper_Type1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t="b">
        <f>ISNUMBER(_xlfn.XMATCH(CONTROL[[#This Row],[VEHIDCODE]],ENGLISH_ITEMS[VEHIDCODE],0))</f>
        <v>1</v>
      </c>
    </row>
    <row r="683" spans="1:16">
      <c r="A683" s="2" t="s">
        <v>859</v>
      </c>
      <c r="B683" t="str">
        <f>_xlfn.TEXTAFTER(TRACK_TYPES[[#This Row],[VEHIDCODE]],"_")</f>
        <v>Wagon_Gen4_Hopper_Type2</v>
      </c>
      <c r="C683" t="s">
        <v>741</v>
      </c>
      <c r="D683" t="s">
        <v>963</v>
      </c>
      <c r="E683">
        <v>12041</v>
      </c>
      <c r="F683" t="b">
        <f>AND(CONTROL[[#This Row],[IS_WAGON_OR_COACH]]=TRUE,OR(RIGHT(CONTROL[[#This Row],[VEHIDCODE]],7)="Powered",RIGHT(CONTROL[[#This Row],[VEHIDCODE]],9)="Unpowered"))</f>
        <v>0</v>
      </c>
      <c r="G683" s="2" t="b">
        <f>OR(ISNUMBER(SEARCH("wagon_",CONTROL[[#This Row],[VEHIDCODE]])),ISNUMBER(SEARCH("coach_",CONTROL[[#This Row],[VEHIDCODE]])))</f>
        <v>1</v>
      </c>
      <c r="H683" t="str">
        <f>"item_"&amp;CONTROL[[#This Row],[VEHIDCODE]]</f>
        <v>item_mu_Wagon_Gen4_Hopper_Type2</v>
      </c>
      <c r="I683" t="str">
        <f>"str_"&amp;CONTROL[[#This Row],[VEHIDCODE]]</f>
        <v>str_mu_Wagon_Gen4_Hopper_Type2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t="b">
        <f>ISNUMBER(_xlfn.XMATCH(CONTROL[[#This Row],[VEHIDCODE]],ENGLISH_ITEMS[VEHIDCODE],0))</f>
        <v>1</v>
      </c>
    </row>
    <row r="684" spans="1:16">
      <c r="A684" s="2" t="s">
        <v>860</v>
      </c>
      <c r="B684" t="str">
        <f>_xlfn.TEXTAFTER(TRACK_TYPES[[#This Row],[VEHIDCODE]],"_")</f>
        <v>Wagon_Gen4_Car_Transporter</v>
      </c>
      <c r="C684" t="s">
        <v>741</v>
      </c>
      <c r="D684" t="s">
        <v>963</v>
      </c>
      <c r="E684">
        <v>12023</v>
      </c>
      <c r="F684" t="b">
        <f>AND(CONTROL[[#This Row],[IS_WAGON_OR_COACH]]=TRUE,OR(RIGHT(CONTROL[[#This Row],[VEHIDCODE]],7)="Powered",RIGHT(CONTROL[[#This Row],[VEHIDCODE]],9)="Unpowered"))</f>
        <v>0</v>
      </c>
      <c r="G684" s="2" t="b">
        <f>OR(ISNUMBER(SEARCH("wagon_",CONTROL[[#This Row],[VEHIDCODE]])),ISNUMBER(SEARCH("coach_",CONTROL[[#This Row],[VEHIDCODE]])))</f>
        <v>1</v>
      </c>
      <c r="H684" t="str">
        <f>"item_"&amp;CONTROL[[#This Row],[VEHIDCODE]]</f>
        <v>item_mu_Wagon_Gen4_Car_Transporter</v>
      </c>
      <c r="I684" t="str">
        <f>"str_"&amp;CONTROL[[#This Row],[VEHIDCODE]]</f>
        <v>str_mu_Wagon_Gen4_Car_Transporter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t="b">
        <f>ISNUMBER(_xlfn.XMATCH(CONTROL[[#This Row],[VEHIDCODE]],ENGLISH_ITEMS[VEHIDCODE],0))</f>
        <v>1</v>
      </c>
    </row>
    <row r="685" spans="1:16">
      <c r="A685" s="2" t="s">
        <v>861</v>
      </c>
      <c r="B685" t="str">
        <f>_xlfn.TEXTAFTER(TRACK_TYPES[[#This Row],[VEHIDCODE]],"_")</f>
        <v>Wagon_Gen4_Container_Carrier</v>
      </c>
      <c r="C685" t="s">
        <v>741</v>
      </c>
      <c r="D685" t="s">
        <v>963</v>
      </c>
      <c r="E685">
        <v>12024</v>
      </c>
      <c r="F685" t="b">
        <f>AND(CONTROL[[#This Row],[IS_WAGON_OR_COACH]]=TRUE,OR(RIGHT(CONTROL[[#This Row],[VEHIDCODE]],7)="Powered",RIGHT(CONTROL[[#This Row],[VEHIDCODE]],9)="Unpowered"))</f>
        <v>0</v>
      </c>
      <c r="G685" s="2" t="b">
        <f>OR(ISNUMBER(SEARCH("wagon_",CONTROL[[#This Row],[VEHIDCODE]])),ISNUMBER(SEARCH("coach_",CONTROL[[#This Row],[VEHIDCODE]])))</f>
        <v>1</v>
      </c>
      <c r="H685" t="str">
        <f>"item_"&amp;CONTROL[[#This Row],[VEHIDCODE]]</f>
        <v>item_mu_Wagon_Gen4_Container_Carrier</v>
      </c>
      <c r="I685" t="str">
        <f>"str_"&amp;CONTROL[[#This Row],[VEHIDCODE]]</f>
        <v>str_mu_Wagon_Gen4_Container_Carrier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t="b">
        <f>ISNUMBER(_xlfn.XMATCH(CONTROL[[#This Row],[VEHIDCODE]],ENGLISH_ITEMS[VEHIDCODE],0))</f>
        <v>1</v>
      </c>
    </row>
    <row r="686" spans="1:16">
      <c r="A686" s="2" t="s">
        <v>862</v>
      </c>
      <c r="B686" t="str">
        <f>_xlfn.TEXTAFTER(TRACK_TYPES[[#This Row],[VEHIDCODE]],"_")</f>
        <v>Wagon_Gen4_Centerbeam</v>
      </c>
      <c r="C686" t="s">
        <v>741</v>
      </c>
      <c r="D686" t="s">
        <v>963</v>
      </c>
      <c r="E686">
        <v>12025</v>
      </c>
      <c r="F686" t="b">
        <f>AND(CONTROL[[#This Row],[IS_WAGON_OR_COACH]]=TRUE,OR(RIGHT(CONTROL[[#This Row],[VEHIDCODE]],7)="Powered",RIGHT(CONTROL[[#This Row],[VEHIDCODE]],9)="Unpowered"))</f>
        <v>0</v>
      </c>
      <c r="G686" s="2" t="b">
        <f>OR(ISNUMBER(SEARCH("wagon_",CONTROL[[#This Row],[VEHIDCODE]])),ISNUMBER(SEARCH("coach_",CONTROL[[#This Row],[VEHIDCODE]])))</f>
        <v>1</v>
      </c>
      <c r="H686" t="str">
        <f>"item_"&amp;CONTROL[[#This Row],[VEHIDCODE]]</f>
        <v>item_mu_Wagon_Gen4_Centerbeam</v>
      </c>
      <c r="I686" t="str">
        <f>"str_"&amp;CONTROL[[#This Row],[VEHIDCODE]]</f>
        <v>str_mu_Wagon_Gen4_Centerbeam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t="b">
        <f>ISNUMBER(_xlfn.XMATCH(CONTROL[[#This Row],[VEHIDCODE]],ENGLISH_ITEMS[VEHIDCODE],0))</f>
        <v>1</v>
      </c>
    </row>
    <row r="687" spans="1:16">
      <c r="A687" s="2" t="s">
        <v>863</v>
      </c>
      <c r="B687" t="str">
        <f>_xlfn.TEXTAFTER(TRACK_TYPES[[#This Row],[VEHIDCODE]],"_")</f>
        <v>Wagon_Gen5_Flatcar</v>
      </c>
      <c r="C687" t="s">
        <v>742</v>
      </c>
      <c r="D687" t="s">
        <v>963</v>
      </c>
      <c r="E687">
        <v>12026</v>
      </c>
      <c r="F687" t="b">
        <f>AND(CONTROL[[#This Row],[IS_WAGON_OR_COACH]]=TRUE,OR(RIGHT(CONTROL[[#This Row],[VEHIDCODE]],7)="Powered",RIGHT(CONTROL[[#This Row],[VEHIDCODE]],9)="Unpowered"))</f>
        <v>0</v>
      </c>
      <c r="G687" s="2" t="b">
        <f>OR(ISNUMBER(SEARCH("wagon_",CONTROL[[#This Row],[VEHIDCODE]])),ISNUMBER(SEARCH("coach_",CONTROL[[#This Row],[VEHIDCODE]])))</f>
        <v>1</v>
      </c>
      <c r="H687" t="str">
        <f>"item_"&amp;CONTROL[[#This Row],[VEHIDCODE]]</f>
        <v>item_mu_Wagon_Gen5_Flatcar</v>
      </c>
      <c r="I687" t="str">
        <f>"str_"&amp;CONTROL[[#This Row],[VEHIDCODE]]</f>
        <v>str_mu_Wagon_Gen5_Flatcar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t="b">
        <f>ISNUMBER(_xlfn.XMATCH(CONTROL[[#This Row],[VEHIDCODE]],ENGLISH_ITEMS[VEHIDCODE],0))</f>
        <v>1</v>
      </c>
    </row>
    <row r="688" spans="1:16">
      <c r="A688" s="2" t="s">
        <v>864</v>
      </c>
      <c r="B688" t="str">
        <f>_xlfn.TEXTAFTER(TRACK_TYPES[[#This Row],[VEHIDCODE]],"_")</f>
        <v>Wagon_Gen5_Heavy_Flatcar</v>
      </c>
      <c r="C688" t="s">
        <v>742</v>
      </c>
      <c r="D688" t="s">
        <v>963</v>
      </c>
      <c r="E688">
        <v>12027</v>
      </c>
      <c r="F688" t="b">
        <f>AND(CONTROL[[#This Row],[IS_WAGON_OR_COACH]]=TRUE,OR(RIGHT(CONTROL[[#This Row],[VEHIDCODE]],7)="Powered",RIGHT(CONTROL[[#This Row],[VEHIDCODE]],9)="Unpowered"))</f>
        <v>0</v>
      </c>
      <c r="G688" s="2" t="b">
        <f>OR(ISNUMBER(SEARCH("wagon_",CONTROL[[#This Row],[VEHIDCODE]])),ISNUMBER(SEARCH("coach_",CONTROL[[#This Row],[VEHIDCODE]])))</f>
        <v>1</v>
      </c>
      <c r="H688" t="str">
        <f>"item_"&amp;CONTROL[[#This Row],[VEHIDCODE]]</f>
        <v>item_mu_Wagon_Gen5_Heavy_Flatcar</v>
      </c>
      <c r="I688" t="str">
        <f>"str_"&amp;CONTROL[[#This Row],[VEHIDCODE]]</f>
        <v>str_mu_Wagon_Gen5_Heavy_Flatcar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t="b">
        <f>ISNUMBER(_xlfn.XMATCH(CONTROL[[#This Row],[VEHIDCODE]],ENGLISH_ITEMS[VEHIDCODE],0))</f>
        <v>1</v>
      </c>
    </row>
    <row r="689" spans="1:16">
      <c r="A689" s="2" t="s">
        <v>865</v>
      </c>
      <c r="B689" t="str">
        <f>_xlfn.TEXTAFTER(TRACK_TYPES[[#This Row],[VEHIDCODE]],"_")</f>
        <v>Wagon_Gen5_Boxcar_Type1</v>
      </c>
      <c r="C689" t="s">
        <v>742</v>
      </c>
      <c r="D689" t="s">
        <v>963</v>
      </c>
      <c r="E689">
        <v>12028</v>
      </c>
      <c r="F689" t="b">
        <f>AND(CONTROL[[#This Row],[IS_WAGON_OR_COACH]]=TRUE,OR(RIGHT(CONTROL[[#This Row],[VEHIDCODE]],7)="Powered",RIGHT(CONTROL[[#This Row],[VEHIDCODE]],9)="Unpowered"))</f>
        <v>0</v>
      </c>
      <c r="G689" s="2" t="b">
        <f>OR(ISNUMBER(SEARCH("wagon_",CONTROL[[#This Row],[VEHIDCODE]])),ISNUMBER(SEARCH("coach_",CONTROL[[#This Row],[VEHIDCODE]])))</f>
        <v>1</v>
      </c>
      <c r="H689" t="str">
        <f>"item_"&amp;CONTROL[[#This Row],[VEHIDCODE]]</f>
        <v>item_mu_Wagon_Gen5_Boxcar_Type1</v>
      </c>
      <c r="I689" t="str">
        <f>"str_"&amp;CONTROL[[#This Row],[VEHIDCODE]]</f>
        <v>str_mu_Wagon_Gen5_Boxcar_Type1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t="b">
        <f>ISNUMBER(_xlfn.XMATCH(CONTROL[[#This Row],[VEHIDCODE]],ENGLISH_ITEMS[VEHIDCODE],0))</f>
        <v>1</v>
      </c>
    </row>
    <row r="690" spans="1:16">
      <c r="A690" s="2" t="s">
        <v>866</v>
      </c>
      <c r="B690" t="str">
        <f>_xlfn.TEXTAFTER(TRACK_TYPES[[#This Row],[VEHIDCODE]],"_")</f>
        <v>Wagon_Gen5_Boxcar_Type2</v>
      </c>
      <c r="C690" t="s">
        <v>742</v>
      </c>
      <c r="D690" t="s">
        <v>963</v>
      </c>
      <c r="E690">
        <v>12042</v>
      </c>
      <c r="F690" t="b">
        <f>AND(CONTROL[[#This Row],[IS_WAGON_OR_COACH]]=TRUE,OR(RIGHT(CONTROL[[#This Row],[VEHIDCODE]],7)="Powered",RIGHT(CONTROL[[#This Row],[VEHIDCODE]],9)="Unpowered"))</f>
        <v>0</v>
      </c>
      <c r="G690" s="2" t="b">
        <f>OR(ISNUMBER(SEARCH("wagon_",CONTROL[[#This Row],[VEHIDCODE]])),ISNUMBER(SEARCH("coach_",CONTROL[[#This Row],[VEHIDCODE]])))</f>
        <v>1</v>
      </c>
      <c r="H690" t="str">
        <f>"item_"&amp;CONTROL[[#This Row],[VEHIDCODE]]</f>
        <v>item_mu_Wagon_Gen5_Boxcar_Type2</v>
      </c>
      <c r="I690" t="str">
        <f>"str_"&amp;CONTROL[[#This Row],[VEHIDCODE]]</f>
        <v>str_mu_Wagon_Gen5_Boxcar_Type2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t="b">
        <f>ISNUMBER(_xlfn.XMATCH(CONTROL[[#This Row],[VEHIDCODE]],ENGLISH_ITEMS[VEHIDCODE],0))</f>
        <v>1</v>
      </c>
    </row>
    <row r="691" spans="1:16">
      <c r="A691" s="2" t="s">
        <v>867</v>
      </c>
      <c r="B691" t="str">
        <f>_xlfn.TEXTAFTER(TRACK_TYPES[[#This Row],[VEHIDCODE]],"_")</f>
        <v>Wagon_Gen5_Tanker</v>
      </c>
      <c r="C691" t="s">
        <v>742</v>
      </c>
      <c r="D691" t="s">
        <v>963</v>
      </c>
      <c r="E691">
        <v>12029</v>
      </c>
      <c r="F691" t="b">
        <f>AND(CONTROL[[#This Row],[IS_WAGON_OR_COACH]]=TRUE,OR(RIGHT(CONTROL[[#This Row],[VEHIDCODE]],7)="Powered",RIGHT(CONTROL[[#This Row],[VEHIDCODE]],9)="Unpowered"))</f>
        <v>0</v>
      </c>
      <c r="G691" s="2" t="b">
        <f>OR(ISNUMBER(SEARCH("wagon_",CONTROL[[#This Row],[VEHIDCODE]])),ISNUMBER(SEARCH("coach_",CONTROL[[#This Row],[VEHIDCODE]])))</f>
        <v>1</v>
      </c>
      <c r="H691" t="str">
        <f>"item_"&amp;CONTROL[[#This Row],[VEHIDCODE]]</f>
        <v>item_mu_Wagon_Gen5_Tanker</v>
      </c>
      <c r="I691" t="str">
        <f>"str_"&amp;CONTROL[[#This Row],[VEHIDCODE]]</f>
        <v>str_mu_Wagon_Gen5_Tanker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t="b">
        <f>ISNUMBER(_xlfn.XMATCH(CONTROL[[#This Row],[VEHIDCODE]],ENGLISH_ITEMS[VEHIDCODE],0))</f>
        <v>1</v>
      </c>
    </row>
    <row r="692" spans="1:16">
      <c r="A692" s="2" t="s">
        <v>868</v>
      </c>
      <c r="B692" t="str">
        <f>_xlfn.TEXTAFTER(TRACK_TYPES[[#This Row],[VEHIDCODE]],"_")</f>
        <v>Wagon_Gen5_Gondola</v>
      </c>
      <c r="C692" t="s">
        <v>742</v>
      </c>
      <c r="D692" t="s">
        <v>963</v>
      </c>
      <c r="E692">
        <v>12030</v>
      </c>
      <c r="F692" t="b">
        <f>AND(CONTROL[[#This Row],[IS_WAGON_OR_COACH]]=TRUE,OR(RIGHT(CONTROL[[#This Row],[VEHIDCODE]],7)="Powered",RIGHT(CONTROL[[#This Row],[VEHIDCODE]],9)="Unpowered"))</f>
        <v>0</v>
      </c>
      <c r="G692" s="2" t="b">
        <f>OR(ISNUMBER(SEARCH("wagon_",CONTROL[[#This Row],[VEHIDCODE]])),ISNUMBER(SEARCH("coach_",CONTROL[[#This Row],[VEHIDCODE]])))</f>
        <v>1</v>
      </c>
      <c r="H692" t="str">
        <f>"item_"&amp;CONTROL[[#This Row],[VEHIDCODE]]</f>
        <v>item_mu_Wagon_Gen5_Gondola</v>
      </c>
      <c r="I692" t="str">
        <f>"str_"&amp;CONTROL[[#This Row],[VEHIDCODE]]</f>
        <v>str_mu_Wagon_Gen5_Gondola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t="b">
        <f>ISNUMBER(_xlfn.XMATCH(CONTROL[[#This Row],[VEHIDCODE]],ENGLISH_ITEMS[VEHIDCODE],0))</f>
        <v>1</v>
      </c>
    </row>
    <row r="693" spans="1:16">
      <c r="A693" s="2" t="s">
        <v>869</v>
      </c>
      <c r="B693" t="str">
        <f>_xlfn.TEXTAFTER(TRACK_TYPES[[#This Row],[VEHIDCODE]],"_")</f>
        <v>Wagon_Gen5_Silo_Type1</v>
      </c>
      <c r="C693" t="s">
        <v>742</v>
      </c>
      <c r="D693" t="s">
        <v>963</v>
      </c>
      <c r="E693">
        <v>12031</v>
      </c>
      <c r="F693" t="b">
        <f>AND(CONTROL[[#This Row],[IS_WAGON_OR_COACH]]=TRUE,OR(RIGHT(CONTROL[[#This Row],[VEHIDCODE]],7)="Powered",RIGHT(CONTROL[[#This Row],[VEHIDCODE]],9)="Unpowered"))</f>
        <v>0</v>
      </c>
      <c r="G693" s="2" t="b">
        <f>OR(ISNUMBER(SEARCH("wagon_",CONTROL[[#This Row],[VEHIDCODE]])),ISNUMBER(SEARCH("coach_",CONTROL[[#This Row],[VEHIDCODE]])))</f>
        <v>1</v>
      </c>
      <c r="H693" t="str">
        <f>"item_"&amp;CONTROL[[#This Row],[VEHIDCODE]]</f>
        <v>item_mu_Wagon_Gen5_Silo_Type1</v>
      </c>
      <c r="I693" t="str">
        <f>"str_"&amp;CONTROL[[#This Row],[VEHIDCODE]]</f>
        <v>str_mu_Wagon_Gen5_Silo_Type1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t="b">
        <f>ISNUMBER(_xlfn.XMATCH(CONTROL[[#This Row],[VEHIDCODE]],ENGLISH_ITEMS[VEHIDCODE],0))</f>
        <v>1</v>
      </c>
    </row>
    <row r="694" spans="1:16">
      <c r="A694" s="2" t="s">
        <v>870</v>
      </c>
      <c r="B694" t="str">
        <f>_xlfn.TEXTAFTER(TRACK_TYPES[[#This Row],[VEHIDCODE]],"_")</f>
        <v>Wagon_Gen5_Silo_Type2</v>
      </c>
      <c r="C694" t="s">
        <v>742</v>
      </c>
      <c r="D694" t="s">
        <v>963</v>
      </c>
      <c r="E694">
        <v>12043</v>
      </c>
      <c r="F694" t="b">
        <f>AND(CONTROL[[#This Row],[IS_WAGON_OR_COACH]]=TRUE,OR(RIGHT(CONTROL[[#This Row],[VEHIDCODE]],7)="Powered",RIGHT(CONTROL[[#This Row],[VEHIDCODE]],9)="Unpowered"))</f>
        <v>0</v>
      </c>
      <c r="G694" s="2" t="b">
        <f>OR(ISNUMBER(SEARCH("wagon_",CONTROL[[#This Row],[VEHIDCODE]])),ISNUMBER(SEARCH("coach_",CONTROL[[#This Row],[VEHIDCODE]])))</f>
        <v>1</v>
      </c>
      <c r="H694" t="str">
        <f>"item_"&amp;CONTROL[[#This Row],[VEHIDCODE]]</f>
        <v>item_mu_Wagon_Gen5_Silo_Type2</v>
      </c>
      <c r="I694" t="str">
        <f>"str_"&amp;CONTROL[[#This Row],[VEHIDCODE]]</f>
        <v>str_mu_Wagon_Gen5_Silo_Type2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t="b">
        <f>ISNUMBER(_xlfn.XMATCH(CONTROL[[#This Row],[VEHIDCODE]],ENGLISH_ITEMS[VEHIDCODE],0))</f>
        <v>1</v>
      </c>
    </row>
    <row r="695" spans="1:16">
      <c r="A695" s="2" t="s">
        <v>871</v>
      </c>
      <c r="B695" t="str">
        <f>_xlfn.TEXTAFTER(TRACK_TYPES[[#This Row],[VEHIDCODE]],"_")</f>
        <v>Wagon_Gen5_Hopper_Type1</v>
      </c>
      <c r="C695" t="s">
        <v>742</v>
      </c>
      <c r="D695" t="s">
        <v>963</v>
      </c>
      <c r="E695">
        <v>12032</v>
      </c>
      <c r="F695" t="b">
        <f>AND(CONTROL[[#This Row],[IS_WAGON_OR_COACH]]=TRUE,OR(RIGHT(CONTROL[[#This Row],[VEHIDCODE]],7)="Powered",RIGHT(CONTROL[[#This Row],[VEHIDCODE]],9)="Unpowered"))</f>
        <v>0</v>
      </c>
      <c r="G695" s="2" t="b">
        <f>OR(ISNUMBER(SEARCH("wagon_",CONTROL[[#This Row],[VEHIDCODE]])),ISNUMBER(SEARCH("coach_",CONTROL[[#This Row],[VEHIDCODE]])))</f>
        <v>1</v>
      </c>
      <c r="H695" t="str">
        <f>"item_"&amp;CONTROL[[#This Row],[VEHIDCODE]]</f>
        <v>item_mu_Wagon_Gen5_Hopper_Type1</v>
      </c>
      <c r="I695" t="str">
        <f>"str_"&amp;CONTROL[[#This Row],[VEHIDCODE]]</f>
        <v>str_mu_Wagon_Gen5_Hopper_Type1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t="b">
        <f>ISNUMBER(_xlfn.XMATCH(CONTROL[[#This Row],[VEHIDCODE]],ENGLISH_ITEMS[VEHIDCODE],0))</f>
        <v>1</v>
      </c>
    </row>
    <row r="696" spans="1:16">
      <c r="A696" s="2" t="s">
        <v>872</v>
      </c>
      <c r="B696" t="str">
        <f>_xlfn.TEXTAFTER(TRACK_TYPES[[#This Row],[VEHIDCODE]],"_")</f>
        <v>Wagon_Gen5_Hopper_Type2</v>
      </c>
      <c r="C696" t="s">
        <v>742</v>
      </c>
      <c r="D696" t="s">
        <v>963</v>
      </c>
      <c r="E696">
        <v>12044</v>
      </c>
      <c r="F696" t="b">
        <f>AND(CONTROL[[#This Row],[IS_WAGON_OR_COACH]]=TRUE,OR(RIGHT(CONTROL[[#This Row],[VEHIDCODE]],7)="Powered",RIGHT(CONTROL[[#This Row],[VEHIDCODE]],9)="Unpowered"))</f>
        <v>0</v>
      </c>
      <c r="G696" s="2" t="b">
        <f>OR(ISNUMBER(SEARCH("wagon_",CONTROL[[#This Row],[VEHIDCODE]])),ISNUMBER(SEARCH("coach_",CONTROL[[#This Row],[VEHIDCODE]])))</f>
        <v>1</v>
      </c>
      <c r="H696" t="str">
        <f>"item_"&amp;CONTROL[[#This Row],[VEHIDCODE]]</f>
        <v>item_mu_Wagon_Gen5_Hopper_Type2</v>
      </c>
      <c r="I696" t="str">
        <f>"str_"&amp;CONTROL[[#This Row],[VEHIDCODE]]</f>
        <v>str_mu_Wagon_Gen5_Hopper_Type2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t="b">
        <f>ISNUMBER(_xlfn.XMATCH(CONTROL[[#This Row],[VEHIDCODE]],ENGLISH_ITEMS[VEHIDCODE],0))</f>
        <v>1</v>
      </c>
    </row>
    <row r="697" spans="1:16">
      <c r="A697" s="2" t="s">
        <v>873</v>
      </c>
      <c r="B697" t="str">
        <f>_xlfn.TEXTAFTER(TRACK_TYPES[[#This Row],[VEHIDCODE]],"_")</f>
        <v>Wagon_Gen5_Car_Transporter</v>
      </c>
      <c r="C697" t="s">
        <v>742</v>
      </c>
      <c r="D697" t="s">
        <v>963</v>
      </c>
      <c r="E697">
        <v>12033</v>
      </c>
      <c r="F697" t="b">
        <f>AND(CONTROL[[#This Row],[IS_WAGON_OR_COACH]]=TRUE,OR(RIGHT(CONTROL[[#This Row],[VEHIDCODE]],7)="Powered",RIGHT(CONTROL[[#This Row],[VEHIDCODE]],9)="Unpowered"))</f>
        <v>0</v>
      </c>
      <c r="G697" s="2" t="b">
        <f>OR(ISNUMBER(SEARCH("wagon_",CONTROL[[#This Row],[VEHIDCODE]])),ISNUMBER(SEARCH("coach_",CONTROL[[#This Row],[VEHIDCODE]])))</f>
        <v>1</v>
      </c>
      <c r="H697" t="str">
        <f>"item_"&amp;CONTROL[[#This Row],[VEHIDCODE]]</f>
        <v>item_mu_Wagon_Gen5_Car_Transporter</v>
      </c>
      <c r="I697" t="str">
        <f>"str_"&amp;CONTROL[[#This Row],[VEHIDCODE]]</f>
        <v>str_mu_Wagon_Gen5_Car_Transporter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t="b">
        <f>ISNUMBER(_xlfn.XMATCH(CONTROL[[#This Row],[VEHIDCODE]],ENGLISH_ITEMS[VEHIDCODE],0))</f>
        <v>1</v>
      </c>
    </row>
    <row r="698" spans="1:16">
      <c r="A698" s="2" t="s">
        <v>874</v>
      </c>
      <c r="B698" t="str">
        <f>_xlfn.TEXTAFTER(TRACK_TYPES[[#This Row],[VEHIDCODE]],"_")</f>
        <v>Wagon_Gen5_Container_Carrier</v>
      </c>
      <c r="C698" t="s">
        <v>742</v>
      </c>
      <c r="D698" t="s">
        <v>963</v>
      </c>
      <c r="E698">
        <v>12034</v>
      </c>
      <c r="F698" t="b">
        <f>AND(CONTROL[[#This Row],[IS_WAGON_OR_COACH]]=TRUE,OR(RIGHT(CONTROL[[#This Row],[VEHIDCODE]],7)="Powered",RIGHT(CONTROL[[#This Row],[VEHIDCODE]],9)="Unpowered"))</f>
        <v>0</v>
      </c>
      <c r="G698" s="2" t="b">
        <f>OR(ISNUMBER(SEARCH("wagon_",CONTROL[[#This Row],[VEHIDCODE]])),ISNUMBER(SEARCH("coach_",CONTROL[[#This Row],[VEHIDCODE]])))</f>
        <v>1</v>
      </c>
      <c r="H698" t="str">
        <f>"item_"&amp;CONTROL[[#This Row],[VEHIDCODE]]</f>
        <v>item_mu_Wagon_Gen5_Container_Carrier</v>
      </c>
      <c r="I698" t="str">
        <f>"str_"&amp;CONTROL[[#This Row],[VEHIDCODE]]</f>
        <v>str_mu_Wagon_Gen5_Container_Carrier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t="b">
        <f>ISNUMBER(_xlfn.XMATCH(CONTROL[[#This Row],[VEHIDCODE]],ENGLISH_ITEMS[VEHIDCODE],0))</f>
        <v>1</v>
      </c>
    </row>
    <row r="699" spans="1:16">
      <c r="A699" s="2" t="s">
        <v>875</v>
      </c>
      <c r="B699" t="str">
        <f>_xlfn.TEXTAFTER(TRACK_TYPES[[#This Row],[VEHIDCODE]],"_")</f>
        <v>Wagon_Gen5_Centerbeam</v>
      </c>
      <c r="C699" t="s">
        <v>742</v>
      </c>
      <c r="D699" t="s">
        <v>963</v>
      </c>
      <c r="E699">
        <v>12035</v>
      </c>
      <c r="F699" t="b">
        <f>AND(CONTROL[[#This Row],[IS_WAGON_OR_COACH]]=TRUE,OR(RIGHT(CONTROL[[#This Row],[VEHIDCODE]],7)="Powered",RIGHT(CONTROL[[#This Row],[VEHIDCODE]],9)="Unpowered"))</f>
        <v>0</v>
      </c>
      <c r="G699" s="2" t="b">
        <f>OR(ISNUMBER(SEARCH("wagon_",CONTROL[[#This Row],[VEHIDCODE]])),ISNUMBER(SEARCH("coach_",CONTROL[[#This Row],[VEHIDCODE]])))</f>
        <v>1</v>
      </c>
      <c r="H699" t="str">
        <f>"item_"&amp;CONTROL[[#This Row],[VEHIDCODE]]</f>
        <v>item_mu_Wagon_Gen5_Centerbeam</v>
      </c>
      <c r="I699" t="str">
        <f>"str_"&amp;CONTROL[[#This Row],[VEHIDCODE]]</f>
        <v>str_mu_Wagon_Gen5_Centerbeam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t="b">
        <f>ISNUMBER(_xlfn.XMATCH(CONTROL[[#This Row],[VEHIDCODE]],ENGLISH_ITEMS[VEHIDCODE],0))</f>
        <v>1</v>
      </c>
    </row>
    <row r="700" spans="1:16">
      <c r="A700" s="2" t="s">
        <v>876</v>
      </c>
      <c r="B700" t="str">
        <f>_xlfn.TEXTAFTER(TRACK_TYPES[[#This Row],[VEHIDCODE]],"_")</f>
        <v>Wagon_Gen5_Container_Doublestack</v>
      </c>
      <c r="C700" t="s">
        <v>742</v>
      </c>
      <c r="D700" t="s">
        <v>963</v>
      </c>
      <c r="E700">
        <v>12036</v>
      </c>
      <c r="F700" t="b">
        <f>AND(CONTROL[[#This Row],[IS_WAGON_OR_COACH]]=TRUE,OR(RIGHT(CONTROL[[#This Row],[VEHIDCODE]],7)="Powered",RIGHT(CONTROL[[#This Row],[VEHIDCODE]],9)="Unpowered"))</f>
        <v>0</v>
      </c>
      <c r="G700" s="2" t="b">
        <f>OR(ISNUMBER(SEARCH("wagon_",CONTROL[[#This Row],[VEHIDCODE]])),ISNUMBER(SEARCH("coach_",CONTROL[[#This Row],[VEHIDCODE]])))</f>
        <v>1</v>
      </c>
      <c r="H700" t="str">
        <f>"item_"&amp;CONTROL[[#This Row],[VEHIDCODE]]</f>
        <v>item_mu_Wagon_Gen5_Container_Doublestack</v>
      </c>
      <c r="I700" t="str">
        <f>"str_"&amp;CONTROL[[#This Row],[VEHIDCODE]]</f>
        <v>str_mu_Wagon_Gen5_Container_Doublestack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t="b">
        <f>ISNUMBER(_xlfn.XMATCH(CONTROL[[#This Row],[VEHIDCODE]],ENGLISH_ITEMS[VEHIDCODE],0))</f>
        <v>1</v>
      </c>
    </row>
    <row r="701" spans="1:16">
      <c r="A701" s="2" t="s">
        <v>877</v>
      </c>
      <c r="B701" t="str">
        <f>_xlfn.TEXTAFTER(TRACK_TYPES[[#This Row],[VEHIDCODE]],"_")</f>
        <v>Wagon_Gen5_Superheavy_Flatcar</v>
      </c>
      <c r="C701" t="s">
        <v>742</v>
      </c>
      <c r="D701" t="s">
        <v>963</v>
      </c>
      <c r="E701">
        <v>12037</v>
      </c>
      <c r="F701" t="b">
        <f>AND(CONTROL[[#This Row],[IS_WAGON_OR_COACH]]=TRUE,OR(RIGHT(CONTROL[[#This Row],[VEHIDCODE]],7)="Powered",RIGHT(CONTROL[[#This Row],[VEHIDCODE]],9)="Unpowered"))</f>
        <v>0</v>
      </c>
      <c r="G701" s="2" t="b">
        <f>OR(ISNUMBER(SEARCH("wagon_",CONTROL[[#This Row],[VEHIDCODE]])),ISNUMBER(SEARCH("coach_",CONTROL[[#This Row],[VEHIDCODE]])))</f>
        <v>1</v>
      </c>
      <c r="H701" t="str">
        <f>"item_"&amp;CONTROL[[#This Row],[VEHIDCODE]]</f>
        <v>item_mu_Wagon_Gen5_Superheavy_Flatcar</v>
      </c>
      <c r="I701" t="str">
        <f>"str_"&amp;CONTROL[[#This Row],[VEHIDCODE]]</f>
        <v>str_mu_Wagon_Gen5_Superheavy_Flatcar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t="b">
        <f>ISNUMBER(_xlfn.XMATCH(CONTROL[[#This Row],[VEHIDCODE]],ENGLISH_ITEMS[VEHIDCODE],0))</f>
        <v>1</v>
      </c>
    </row>
    <row r="702" spans="1:16">
      <c r="A702" s="2" t="s">
        <v>878</v>
      </c>
      <c r="B702" t="str">
        <f>_xlfn.TEXTAFTER(TRACK_TYPES[[#This Row],[VEHIDCODE]],"_")</f>
        <v>Wagon_Gen6_Flatcar</v>
      </c>
      <c r="C702" t="s">
        <v>743</v>
      </c>
      <c r="D702" t="s">
        <v>963</v>
      </c>
      <c r="E702">
        <v>12049</v>
      </c>
      <c r="F702" t="b">
        <f>AND(CONTROL[[#This Row],[IS_WAGON_OR_COACH]]=TRUE,OR(RIGHT(CONTROL[[#This Row],[VEHIDCODE]],7)="Powered",RIGHT(CONTROL[[#This Row],[VEHIDCODE]],9)="Unpowered"))</f>
        <v>0</v>
      </c>
      <c r="G702" s="2" t="b">
        <f>OR(ISNUMBER(SEARCH("wagon_",CONTROL[[#This Row],[VEHIDCODE]])),ISNUMBER(SEARCH("coach_",CONTROL[[#This Row],[VEHIDCODE]])))</f>
        <v>1</v>
      </c>
      <c r="H702" t="str">
        <f>"item_"&amp;CONTROL[[#This Row],[VEHIDCODE]]</f>
        <v>item_mu_Wagon_Gen6_Flatcar</v>
      </c>
      <c r="I702" t="str">
        <f>"str_"&amp;CONTROL[[#This Row],[VEHIDCODE]]</f>
        <v>str_mu_Wagon_Gen6_Flatcar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t="b">
        <f>ISNUMBER(_xlfn.XMATCH(CONTROL[[#This Row],[VEHIDCODE]],ENGLISH_ITEMS[VEHIDCODE],0))</f>
        <v>1</v>
      </c>
    </row>
    <row r="703" spans="1:16">
      <c r="A703" s="2" t="s">
        <v>879</v>
      </c>
      <c r="B703" t="str">
        <f>_xlfn.TEXTAFTER(TRACK_TYPES[[#This Row],[VEHIDCODE]],"_")</f>
        <v>Wagon_Gen6_Heavy_Flatcar</v>
      </c>
      <c r="C703" t="s">
        <v>743</v>
      </c>
      <c r="D703" t="s">
        <v>963</v>
      </c>
      <c r="E703">
        <v>12050</v>
      </c>
      <c r="F703" t="b">
        <f>AND(CONTROL[[#This Row],[IS_WAGON_OR_COACH]]=TRUE,OR(RIGHT(CONTROL[[#This Row],[VEHIDCODE]],7)="Powered",RIGHT(CONTROL[[#This Row],[VEHIDCODE]],9)="Unpowered"))</f>
        <v>0</v>
      </c>
      <c r="G703" s="2" t="b">
        <f>OR(ISNUMBER(SEARCH("wagon_",CONTROL[[#This Row],[VEHIDCODE]])),ISNUMBER(SEARCH("coach_",CONTROL[[#This Row],[VEHIDCODE]])))</f>
        <v>1</v>
      </c>
      <c r="H703" t="str">
        <f>"item_"&amp;CONTROL[[#This Row],[VEHIDCODE]]</f>
        <v>item_mu_Wagon_Gen6_Heavy_Flatcar</v>
      </c>
      <c r="I703" t="str">
        <f>"str_"&amp;CONTROL[[#This Row],[VEHIDCODE]]</f>
        <v>str_mu_Wagon_Gen6_Heavy_Flatcar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t="b">
        <f>ISNUMBER(_xlfn.XMATCH(CONTROL[[#This Row],[VEHIDCODE]],ENGLISH_ITEMS[VEHIDCODE],0))</f>
        <v>1</v>
      </c>
    </row>
    <row r="704" spans="1:16">
      <c r="A704" s="2" t="s">
        <v>880</v>
      </c>
      <c r="B704" t="str">
        <f>_xlfn.TEXTAFTER(TRACK_TYPES[[#This Row],[VEHIDCODE]],"_")</f>
        <v>Wagon_Gen6_Boxcar_Type1</v>
      </c>
      <c r="C704" t="s">
        <v>743</v>
      </c>
      <c r="D704" t="s">
        <v>963</v>
      </c>
      <c r="E704">
        <v>12051</v>
      </c>
      <c r="F704" t="b">
        <f>AND(CONTROL[[#This Row],[IS_WAGON_OR_COACH]]=TRUE,OR(RIGHT(CONTROL[[#This Row],[VEHIDCODE]],7)="Powered",RIGHT(CONTROL[[#This Row],[VEHIDCODE]],9)="Unpowered"))</f>
        <v>0</v>
      </c>
      <c r="G704" s="2" t="b">
        <f>OR(ISNUMBER(SEARCH("wagon_",CONTROL[[#This Row],[VEHIDCODE]])),ISNUMBER(SEARCH("coach_",CONTROL[[#This Row],[VEHIDCODE]])))</f>
        <v>1</v>
      </c>
      <c r="H704" t="str">
        <f>"item_"&amp;CONTROL[[#This Row],[VEHIDCODE]]</f>
        <v>item_mu_Wagon_Gen6_Boxcar_Type1</v>
      </c>
      <c r="I704" t="str">
        <f>"str_"&amp;CONTROL[[#This Row],[VEHIDCODE]]</f>
        <v>str_mu_Wagon_Gen6_Boxcar_Type1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t="b">
        <f>ISNUMBER(_xlfn.XMATCH(CONTROL[[#This Row],[VEHIDCODE]],ENGLISH_ITEMS[VEHIDCODE],0))</f>
        <v>1</v>
      </c>
    </row>
    <row r="705" spans="1:16">
      <c r="A705" s="2" t="s">
        <v>881</v>
      </c>
      <c r="B705" t="str">
        <f>_xlfn.TEXTAFTER(TRACK_TYPES[[#This Row],[VEHIDCODE]],"_")</f>
        <v>Wagon_Gen6_Boxcar_Type2</v>
      </c>
      <c r="C705" t="s">
        <v>743</v>
      </c>
      <c r="D705" t="s">
        <v>963</v>
      </c>
      <c r="E705">
        <v>12061</v>
      </c>
      <c r="F705" t="b">
        <f>AND(CONTROL[[#This Row],[IS_WAGON_OR_COACH]]=TRUE,OR(RIGHT(CONTROL[[#This Row],[VEHIDCODE]],7)="Powered",RIGHT(CONTROL[[#This Row],[VEHIDCODE]],9)="Unpowered"))</f>
        <v>0</v>
      </c>
      <c r="G705" s="2" t="b">
        <f>OR(ISNUMBER(SEARCH("wagon_",CONTROL[[#This Row],[VEHIDCODE]])),ISNUMBER(SEARCH("coach_",CONTROL[[#This Row],[VEHIDCODE]])))</f>
        <v>1</v>
      </c>
      <c r="H705" t="str">
        <f>"item_"&amp;CONTROL[[#This Row],[VEHIDCODE]]</f>
        <v>item_mu_Wagon_Gen6_Boxcar_Type2</v>
      </c>
      <c r="I705" t="str">
        <f>"str_"&amp;CONTROL[[#This Row],[VEHIDCODE]]</f>
        <v>str_mu_Wagon_Gen6_Boxcar_Type2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t="b">
        <f>ISNUMBER(_xlfn.XMATCH(CONTROL[[#This Row],[VEHIDCODE]],ENGLISH_ITEMS[VEHIDCODE],0))</f>
        <v>1</v>
      </c>
    </row>
    <row r="706" spans="1:16">
      <c r="A706" s="2" t="s">
        <v>882</v>
      </c>
      <c r="B706" t="str">
        <f>_xlfn.TEXTAFTER(TRACK_TYPES[[#This Row],[VEHIDCODE]],"_")</f>
        <v>Wagon_Gen6_Tanker</v>
      </c>
      <c r="C706" t="s">
        <v>743</v>
      </c>
      <c r="D706" t="s">
        <v>963</v>
      </c>
      <c r="E706">
        <v>12052</v>
      </c>
      <c r="F706" t="b">
        <f>AND(CONTROL[[#This Row],[IS_WAGON_OR_COACH]]=TRUE,OR(RIGHT(CONTROL[[#This Row],[VEHIDCODE]],7)="Powered",RIGHT(CONTROL[[#This Row],[VEHIDCODE]],9)="Unpowered"))</f>
        <v>0</v>
      </c>
      <c r="G706" s="2" t="b">
        <f>OR(ISNUMBER(SEARCH("wagon_",CONTROL[[#This Row],[VEHIDCODE]])),ISNUMBER(SEARCH("coach_",CONTROL[[#This Row],[VEHIDCODE]])))</f>
        <v>1</v>
      </c>
      <c r="H706" t="str">
        <f>"item_"&amp;CONTROL[[#This Row],[VEHIDCODE]]</f>
        <v>item_mu_Wagon_Gen6_Tanker</v>
      </c>
      <c r="I706" t="str">
        <f>"str_"&amp;CONTROL[[#This Row],[VEHIDCODE]]</f>
        <v>str_mu_Wagon_Gen6_Tanker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t="b">
        <f>ISNUMBER(_xlfn.XMATCH(CONTROL[[#This Row],[VEHIDCODE]],ENGLISH_ITEMS[VEHIDCODE],0))</f>
        <v>1</v>
      </c>
    </row>
    <row r="707" spans="1:16">
      <c r="A707" s="2" t="s">
        <v>883</v>
      </c>
      <c r="B707" t="str">
        <f>_xlfn.TEXTAFTER(TRACK_TYPES[[#This Row],[VEHIDCODE]],"_")</f>
        <v>Wagon_Gen6_Gondola</v>
      </c>
      <c r="C707" t="s">
        <v>743</v>
      </c>
      <c r="D707" t="s">
        <v>963</v>
      </c>
      <c r="E707">
        <v>12053</v>
      </c>
      <c r="F707" t="b">
        <f>AND(CONTROL[[#This Row],[IS_WAGON_OR_COACH]]=TRUE,OR(RIGHT(CONTROL[[#This Row],[VEHIDCODE]],7)="Powered",RIGHT(CONTROL[[#This Row],[VEHIDCODE]],9)="Unpowered"))</f>
        <v>0</v>
      </c>
      <c r="G707" s="2" t="b">
        <f>OR(ISNUMBER(SEARCH("wagon_",CONTROL[[#This Row],[VEHIDCODE]])),ISNUMBER(SEARCH("coach_",CONTROL[[#This Row],[VEHIDCODE]])))</f>
        <v>1</v>
      </c>
      <c r="H707" t="str">
        <f>"item_"&amp;CONTROL[[#This Row],[VEHIDCODE]]</f>
        <v>item_mu_Wagon_Gen6_Gondola</v>
      </c>
      <c r="I707" t="str">
        <f>"str_"&amp;CONTROL[[#This Row],[VEHIDCODE]]</f>
        <v>str_mu_Wagon_Gen6_Gondola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t="b">
        <f>ISNUMBER(_xlfn.XMATCH(CONTROL[[#This Row],[VEHIDCODE]],ENGLISH_ITEMS[VEHIDCODE],0))</f>
        <v>1</v>
      </c>
    </row>
    <row r="708" spans="1:16">
      <c r="A708" s="2" t="s">
        <v>884</v>
      </c>
      <c r="B708" t="str">
        <f>_xlfn.TEXTAFTER(TRACK_TYPES[[#This Row],[VEHIDCODE]],"_")</f>
        <v>Wagon_Gen6_Silo_Type1</v>
      </c>
      <c r="C708" t="s">
        <v>743</v>
      </c>
      <c r="D708" t="s">
        <v>963</v>
      </c>
      <c r="E708">
        <v>12054</v>
      </c>
      <c r="F708" t="b">
        <f>AND(CONTROL[[#This Row],[IS_WAGON_OR_COACH]]=TRUE,OR(RIGHT(CONTROL[[#This Row],[VEHIDCODE]],7)="Powered",RIGHT(CONTROL[[#This Row],[VEHIDCODE]],9)="Unpowered"))</f>
        <v>0</v>
      </c>
      <c r="G708" s="2" t="b">
        <f>OR(ISNUMBER(SEARCH("wagon_",CONTROL[[#This Row],[VEHIDCODE]])),ISNUMBER(SEARCH("coach_",CONTROL[[#This Row],[VEHIDCODE]])))</f>
        <v>1</v>
      </c>
      <c r="H708" t="str">
        <f>"item_"&amp;CONTROL[[#This Row],[VEHIDCODE]]</f>
        <v>item_mu_Wagon_Gen6_Silo_Type1</v>
      </c>
      <c r="I708" t="str">
        <f>"str_"&amp;CONTROL[[#This Row],[VEHIDCODE]]</f>
        <v>str_mu_Wagon_Gen6_Silo_Type1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t="b">
        <f>ISNUMBER(_xlfn.XMATCH(CONTROL[[#This Row],[VEHIDCODE]],ENGLISH_ITEMS[VEHIDCODE],0))</f>
        <v>1</v>
      </c>
    </row>
    <row r="709" spans="1:16">
      <c r="A709" s="2" t="s">
        <v>885</v>
      </c>
      <c r="B709" t="str">
        <f>_xlfn.TEXTAFTER(TRACK_TYPES[[#This Row],[VEHIDCODE]],"_")</f>
        <v>Wagon_Gen6_Silo_Type2</v>
      </c>
      <c r="C709" t="s">
        <v>743</v>
      </c>
      <c r="D709" t="s">
        <v>963</v>
      </c>
      <c r="E709">
        <v>12062</v>
      </c>
      <c r="F709" t="b">
        <f>AND(CONTROL[[#This Row],[IS_WAGON_OR_COACH]]=TRUE,OR(RIGHT(CONTROL[[#This Row],[VEHIDCODE]],7)="Powered",RIGHT(CONTROL[[#This Row],[VEHIDCODE]],9)="Unpowered"))</f>
        <v>0</v>
      </c>
      <c r="G709" s="2" t="b">
        <f>OR(ISNUMBER(SEARCH("wagon_",CONTROL[[#This Row],[VEHIDCODE]])),ISNUMBER(SEARCH("coach_",CONTROL[[#This Row],[VEHIDCODE]])))</f>
        <v>1</v>
      </c>
      <c r="H709" t="str">
        <f>"item_"&amp;CONTROL[[#This Row],[VEHIDCODE]]</f>
        <v>item_mu_Wagon_Gen6_Silo_Type2</v>
      </c>
      <c r="I709" t="str">
        <f>"str_"&amp;CONTROL[[#This Row],[VEHIDCODE]]</f>
        <v>str_mu_Wagon_Gen6_Silo_Type2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t="b">
        <f>ISNUMBER(_xlfn.XMATCH(CONTROL[[#This Row],[VEHIDCODE]],ENGLISH_ITEMS[VEHIDCODE],0))</f>
        <v>1</v>
      </c>
    </row>
    <row r="710" spans="1:16">
      <c r="A710" s="2" t="s">
        <v>886</v>
      </c>
      <c r="B710" t="str">
        <f>_xlfn.TEXTAFTER(TRACK_TYPES[[#This Row],[VEHIDCODE]],"_")</f>
        <v>Wagon_Gen6_Hopper_Type1</v>
      </c>
      <c r="C710" t="s">
        <v>743</v>
      </c>
      <c r="D710" t="s">
        <v>963</v>
      </c>
      <c r="E710">
        <v>12055</v>
      </c>
      <c r="F710" t="b">
        <f>AND(CONTROL[[#This Row],[IS_WAGON_OR_COACH]]=TRUE,OR(RIGHT(CONTROL[[#This Row],[VEHIDCODE]],7)="Powered",RIGHT(CONTROL[[#This Row],[VEHIDCODE]],9)="Unpowered"))</f>
        <v>0</v>
      </c>
      <c r="G710" s="2" t="b">
        <f>OR(ISNUMBER(SEARCH("wagon_",CONTROL[[#This Row],[VEHIDCODE]])),ISNUMBER(SEARCH("coach_",CONTROL[[#This Row],[VEHIDCODE]])))</f>
        <v>1</v>
      </c>
      <c r="H710" t="str">
        <f>"item_"&amp;CONTROL[[#This Row],[VEHIDCODE]]</f>
        <v>item_mu_Wagon_Gen6_Hopper_Type1</v>
      </c>
      <c r="I710" t="str">
        <f>"str_"&amp;CONTROL[[#This Row],[VEHIDCODE]]</f>
        <v>str_mu_Wagon_Gen6_Hopper_Type1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t="b">
        <f>ISNUMBER(_xlfn.XMATCH(CONTROL[[#This Row],[VEHIDCODE]],ENGLISH_ITEMS[VEHIDCODE],0))</f>
        <v>1</v>
      </c>
    </row>
    <row r="711" spans="1:16">
      <c r="A711" s="2" t="s">
        <v>887</v>
      </c>
      <c r="B711" t="str">
        <f>_xlfn.TEXTAFTER(TRACK_TYPES[[#This Row],[VEHIDCODE]],"_")</f>
        <v>Wagon_Gen6_Hopper_Type2</v>
      </c>
      <c r="C711" t="s">
        <v>743</v>
      </c>
      <c r="D711" t="s">
        <v>963</v>
      </c>
      <c r="E711">
        <v>12063</v>
      </c>
      <c r="F711" t="b">
        <f>AND(CONTROL[[#This Row],[IS_WAGON_OR_COACH]]=TRUE,OR(RIGHT(CONTROL[[#This Row],[VEHIDCODE]],7)="Powered",RIGHT(CONTROL[[#This Row],[VEHIDCODE]],9)="Unpowered"))</f>
        <v>0</v>
      </c>
      <c r="G711" s="2" t="b">
        <f>OR(ISNUMBER(SEARCH("wagon_",CONTROL[[#This Row],[VEHIDCODE]])),ISNUMBER(SEARCH("coach_",CONTROL[[#This Row],[VEHIDCODE]])))</f>
        <v>1</v>
      </c>
      <c r="H711" t="str">
        <f>"item_"&amp;CONTROL[[#This Row],[VEHIDCODE]]</f>
        <v>item_mu_Wagon_Gen6_Hopper_Type2</v>
      </c>
      <c r="I711" t="str">
        <f>"str_"&amp;CONTROL[[#This Row],[VEHIDCODE]]</f>
        <v>str_mu_Wagon_Gen6_Hopper_Type2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t="b">
        <f>ISNUMBER(_xlfn.XMATCH(CONTROL[[#This Row],[VEHIDCODE]],ENGLISH_ITEMS[VEHIDCODE],0))</f>
        <v>1</v>
      </c>
    </row>
    <row r="712" spans="1:16">
      <c r="A712" s="2" t="s">
        <v>888</v>
      </c>
      <c r="B712" t="str">
        <f>_xlfn.TEXTAFTER(TRACK_TYPES[[#This Row],[VEHIDCODE]],"_")</f>
        <v>Wagon_Gen6_Car_Transporter</v>
      </c>
      <c r="C712" t="s">
        <v>743</v>
      </c>
      <c r="D712" t="s">
        <v>963</v>
      </c>
      <c r="E712">
        <v>12056</v>
      </c>
      <c r="F712" t="b">
        <f>AND(CONTROL[[#This Row],[IS_WAGON_OR_COACH]]=TRUE,OR(RIGHT(CONTROL[[#This Row],[VEHIDCODE]],7)="Powered",RIGHT(CONTROL[[#This Row],[VEHIDCODE]],9)="Unpowered"))</f>
        <v>0</v>
      </c>
      <c r="G712" s="2" t="b">
        <f>OR(ISNUMBER(SEARCH("wagon_",CONTROL[[#This Row],[VEHIDCODE]])),ISNUMBER(SEARCH("coach_",CONTROL[[#This Row],[VEHIDCODE]])))</f>
        <v>1</v>
      </c>
      <c r="H712" t="str">
        <f>"item_"&amp;CONTROL[[#This Row],[VEHIDCODE]]</f>
        <v>item_mu_Wagon_Gen6_Car_Transporter</v>
      </c>
      <c r="I712" t="str">
        <f>"str_"&amp;CONTROL[[#This Row],[VEHIDCODE]]</f>
        <v>str_mu_Wagon_Gen6_Car_Transporter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t="b">
        <f>ISNUMBER(_xlfn.XMATCH(CONTROL[[#This Row],[VEHIDCODE]],ENGLISH_ITEMS[VEHIDCODE],0))</f>
        <v>1</v>
      </c>
    </row>
    <row r="713" spans="1:16">
      <c r="A713" s="2" t="s">
        <v>889</v>
      </c>
      <c r="B713" t="str">
        <f>_xlfn.TEXTAFTER(TRACK_TYPES[[#This Row],[VEHIDCODE]],"_")</f>
        <v>Wagon_Gen6_Container_Carrier</v>
      </c>
      <c r="C713" t="s">
        <v>743</v>
      </c>
      <c r="D713" t="s">
        <v>963</v>
      </c>
      <c r="E713">
        <v>12057</v>
      </c>
      <c r="F713" t="b">
        <f>AND(CONTROL[[#This Row],[IS_WAGON_OR_COACH]]=TRUE,OR(RIGHT(CONTROL[[#This Row],[VEHIDCODE]],7)="Powered",RIGHT(CONTROL[[#This Row],[VEHIDCODE]],9)="Unpowered"))</f>
        <v>0</v>
      </c>
      <c r="G713" s="2" t="b">
        <f>OR(ISNUMBER(SEARCH("wagon_",CONTROL[[#This Row],[VEHIDCODE]])),ISNUMBER(SEARCH("coach_",CONTROL[[#This Row],[VEHIDCODE]])))</f>
        <v>1</v>
      </c>
      <c r="H713" t="str">
        <f>"item_"&amp;CONTROL[[#This Row],[VEHIDCODE]]</f>
        <v>item_mu_Wagon_Gen6_Container_Carrier</v>
      </c>
      <c r="I713" t="str">
        <f>"str_"&amp;CONTROL[[#This Row],[VEHIDCODE]]</f>
        <v>str_mu_Wagon_Gen6_Container_Carrier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t="b">
        <f>ISNUMBER(_xlfn.XMATCH(CONTROL[[#This Row],[VEHIDCODE]],ENGLISH_ITEMS[VEHIDCODE],0))</f>
        <v>1</v>
      </c>
    </row>
    <row r="714" spans="1:16">
      <c r="A714" s="2" t="s">
        <v>890</v>
      </c>
      <c r="B714" t="str">
        <f>_xlfn.TEXTAFTER(TRACK_TYPES[[#This Row],[VEHIDCODE]],"_")</f>
        <v>Wagon_Gen6_Centerbeam</v>
      </c>
      <c r="C714" t="s">
        <v>743</v>
      </c>
      <c r="D714" t="s">
        <v>963</v>
      </c>
      <c r="E714">
        <v>12058</v>
      </c>
      <c r="F714" t="b">
        <f>AND(CONTROL[[#This Row],[IS_WAGON_OR_COACH]]=TRUE,OR(RIGHT(CONTROL[[#This Row],[VEHIDCODE]],7)="Powered",RIGHT(CONTROL[[#This Row],[VEHIDCODE]],9)="Unpowered"))</f>
        <v>0</v>
      </c>
      <c r="G714" s="2" t="b">
        <f>OR(ISNUMBER(SEARCH("wagon_",CONTROL[[#This Row],[VEHIDCODE]])),ISNUMBER(SEARCH("coach_",CONTROL[[#This Row],[VEHIDCODE]])))</f>
        <v>1</v>
      </c>
      <c r="H714" t="str">
        <f>"item_"&amp;CONTROL[[#This Row],[VEHIDCODE]]</f>
        <v>item_mu_Wagon_Gen6_Centerbeam</v>
      </c>
      <c r="I714" t="str">
        <f>"str_"&amp;CONTROL[[#This Row],[VEHIDCODE]]</f>
        <v>str_mu_Wagon_Gen6_Centerbeam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t="b">
        <f>ISNUMBER(_xlfn.XMATCH(CONTROL[[#This Row],[VEHIDCODE]],ENGLISH_ITEMS[VEHIDCODE],0))</f>
        <v>1</v>
      </c>
    </row>
    <row r="715" spans="1:16">
      <c r="A715" s="2" t="s">
        <v>891</v>
      </c>
      <c r="B715" t="str">
        <f>_xlfn.TEXTAFTER(TRACK_TYPES[[#This Row],[VEHIDCODE]],"_")</f>
        <v>Wagon_Gen6_Container_Doublestack</v>
      </c>
      <c r="C715" t="s">
        <v>743</v>
      </c>
      <c r="D715" t="s">
        <v>963</v>
      </c>
      <c r="E715">
        <v>12059</v>
      </c>
      <c r="F715" t="b">
        <f>AND(CONTROL[[#This Row],[IS_WAGON_OR_COACH]]=TRUE,OR(RIGHT(CONTROL[[#This Row],[VEHIDCODE]],7)="Powered",RIGHT(CONTROL[[#This Row],[VEHIDCODE]],9)="Unpowered"))</f>
        <v>0</v>
      </c>
      <c r="G715" s="2" t="b">
        <f>OR(ISNUMBER(SEARCH("wagon_",CONTROL[[#This Row],[VEHIDCODE]])),ISNUMBER(SEARCH("coach_",CONTROL[[#This Row],[VEHIDCODE]])))</f>
        <v>1</v>
      </c>
      <c r="H715" t="str">
        <f>"item_"&amp;CONTROL[[#This Row],[VEHIDCODE]]</f>
        <v>item_mu_Wagon_Gen6_Container_Doublestack</v>
      </c>
      <c r="I715" t="str">
        <f>"str_"&amp;CONTROL[[#This Row],[VEHIDCODE]]</f>
        <v>str_mu_Wagon_Gen6_Container_Doublestack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t="b">
        <f>ISNUMBER(_xlfn.XMATCH(CONTROL[[#This Row],[VEHIDCODE]],ENGLISH_ITEMS[VEHIDCODE],0))</f>
        <v>1</v>
      </c>
    </row>
    <row r="716" spans="1:16">
      <c r="A716" s="2" t="s">
        <v>892</v>
      </c>
      <c r="B716" t="str">
        <f>_xlfn.TEXTAFTER(TRACK_TYPES[[#This Row],[VEHIDCODE]],"_")</f>
        <v>Wagon_Gen6_Superheavy_Flatcar</v>
      </c>
      <c r="C716" t="s">
        <v>743</v>
      </c>
      <c r="D716" t="s">
        <v>963</v>
      </c>
      <c r="E716">
        <v>12060</v>
      </c>
      <c r="F716" t="b">
        <f>AND(CONTROL[[#This Row],[IS_WAGON_OR_COACH]]=TRUE,OR(RIGHT(CONTROL[[#This Row],[VEHIDCODE]],7)="Powered",RIGHT(CONTROL[[#This Row],[VEHIDCODE]],9)="Unpowered"))</f>
        <v>0</v>
      </c>
      <c r="G716" s="2" t="b">
        <f>OR(ISNUMBER(SEARCH("wagon_",CONTROL[[#This Row],[VEHIDCODE]])),ISNUMBER(SEARCH("coach_",CONTROL[[#This Row],[VEHIDCODE]])))</f>
        <v>1</v>
      </c>
      <c r="H716" t="str">
        <f>"item_"&amp;CONTROL[[#This Row],[VEHIDCODE]]</f>
        <v>item_mu_Wagon_Gen6_Superheavy_Flatcar</v>
      </c>
      <c r="I716" t="str">
        <f>"str_"&amp;CONTROL[[#This Row],[VEHIDCODE]]</f>
        <v>str_mu_Wagon_Gen6_Superheavy_Flatcar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t="b">
        <f>ISNUMBER(_xlfn.XMATCH(CONTROL[[#This Row],[VEHIDCODE]],ENGLISH_ITEMS[VEHIDCODE],0))</f>
        <v>1</v>
      </c>
    </row>
    <row r="717" spans="1:16">
      <c r="A717" s="2" t="s">
        <v>907</v>
      </c>
      <c r="B717" t="str">
        <f>_xlfn.TEXTAFTER(TRACK_TYPES[[#This Row],[VEHIDCODE]],"_")</f>
        <v>Wagon_Service_Car_Type1</v>
      </c>
      <c r="C717" t="s">
        <v>744</v>
      </c>
      <c r="D717" t="s">
        <v>963</v>
      </c>
      <c r="E717">
        <v>12045</v>
      </c>
      <c r="F717" t="b">
        <f>AND(CONTROL[[#This Row],[IS_WAGON_OR_COACH]]=TRUE,OR(RIGHT(CONTROL[[#This Row],[VEHIDCODE]],7)="Powered",RIGHT(CONTROL[[#This Row],[VEHIDCODE]],9)="Unpowered"))</f>
        <v>0</v>
      </c>
      <c r="G717" s="2" t="b">
        <f>OR(ISNUMBER(SEARCH("wagon_",CONTROL[[#This Row],[VEHIDCODE]])),ISNUMBER(SEARCH("coach_",CONTROL[[#This Row],[VEHIDCODE]])))</f>
        <v>1</v>
      </c>
      <c r="H717" t="str">
        <f>"item_"&amp;CONTROL[[#This Row],[VEHIDCODE]]</f>
        <v>item_mu_Wagon_Service_Car_Type1</v>
      </c>
      <c r="I717" t="str">
        <f>"str_"&amp;CONTROL[[#This Row],[VEHIDCODE]]</f>
        <v>str_mu_Wagon_Service_Car_Type1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t="b">
        <f>ISNUMBER(_xlfn.XMATCH(CONTROL[[#This Row],[VEHIDCODE]],ENGLISH_ITEMS[VEHIDCODE],0))</f>
        <v>1</v>
      </c>
    </row>
    <row r="718" spans="1:16">
      <c r="A718" s="2" t="s">
        <v>908</v>
      </c>
      <c r="B718" t="str">
        <f>_xlfn.TEXTAFTER(TRACK_TYPES[[#This Row],[VEHIDCODE]],"_")</f>
        <v>Wagon_Service_Car_Type2</v>
      </c>
      <c r="C718" t="s">
        <v>744</v>
      </c>
      <c r="D718" t="s">
        <v>963</v>
      </c>
      <c r="E718">
        <v>12046</v>
      </c>
      <c r="F718" t="b">
        <f>AND(CONTROL[[#This Row],[IS_WAGON_OR_COACH]]=TRUE,OR(RIGHT(CONTROL[[#This Row],[VEHIDCODE]],7)="Powered",RIGHT(CONTROL[[#This Row],[VEHIDCODE]],9)="Unpowered"))</f>
        <v>0</v>
      </c>
      <c r="G718" s="2" t="b">
        <f>OR(ISNUMBER(SEARCH("wagon_",CONTROL[[#This Row],[VEHIDCODE]])),ISNUMBER(SEARCH("coach_",CONTROL[[#This Row],[VEHIDCODE]])))</f>
        <v>1</v>
      </c>
      <c r="H718" t="str">
        <f>"item_"&amp;CONTROL[[#This Row],[VEHIDCODE]]</f>
        <v>item_mu_Wagon_Service_Car_Type2</v>
      </c>
      <c r="I718" t="str">
        <f>"str_"&amp;CONTROL[[#This Row],[VEHIDCODE]]</f>
        <v>str_mu_Wagon_Service_Car_Type2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t="b">
        <f>ISNUMBER(_xlfn.XMATCH(CONTROL[[#This Row],[VEHIDCODE]],ENGLISH_ITEMS[VEHIDCODE],0))</f>
        <v>1</v>
      </c>
    </row>
    <row r="719" spans="1:16">
      <c r="A719" s="2" t="s">
        <v>764</v>
      </c>
      <c r="B719" t="str">
        <f>_xlfn.TEXTAFTER(TRACK_TYPES[[#This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b">
        <f>AND(CONTROL[[#This Row],[IS_WAGON_OR_COACH]]=TRUE,OR(RIGHT(CONTROL[[#This Row],[VEHIDCODE]],7)="Powered",RIGHT(CONTROL[[#This Row],[VEHIDCODE]],9)="Unpowered"))</f>
        <v>0</v>
      </c>
      <c r="G719" s="2" t="b">
        <f>OR(ISNUMBER(SEARCH("wagon_",CONTROL[[#This Row],[VEHIDCODE]])),ISNUMBER(SEARCH("coach_",CONTROL[[#This Row],[VEHIDCODE]])))</f>
        <v>1</v>
      </c>
      <c r="H719" t="str">
        <f>"item_"&amp;CONTROL[[#This Row],[VEHIDCODE]]</f>
        <v>item_mu_Coach_Gen1_Wooden_2_axle_Compartment_Coach</v>
      </c>
      <c r="I719" t="str">
        <f>"str_"&amp;CONTROL[[#This Row],[VEHIDCODE]]</f>
        <v>str_mu_Coach_Gen1_Wooden_2_axle_Compartment_Coach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t="b">
        <f>ISNUMBER(_xlfn.XMATCH(CONTROL[[#This Row],[VEHIDCODE]],ENGLISH_ITEMS[VEHIDCODE],0))</f>
        <v>1</v>
      </c>
    </row>
    <row r="720" spans="1:16">
      <c r="A720" s="2" t="s">
        <v>765</v>
      </c>
      <c r="B720" t="str">
        <f>_xlfn.TEXTAFTER(TRACK_TYPES[[#This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b">
        <f>AND(CONTROL[[#This Row],[IS_WAGON_OR_COACH]]=TRUE,OR(RIGHT(CONTROL[[#This Row],[VEHIDCODE]],7)="Powered",RIGHT(CONTROL[[#This Row],[VEHIDCODE]],9)="Unpowered"))</f>
        <v>0</v>
      </c>
      <c r="G720" s="2" t="b">
        <f>OR(ISNUMBER(SEARCH("wagon_",CONTROL[[#This Row],[VEHIDCODE]])),ISNUMBER(SEARCH("coach_",CONTROL[[#This Row],[VEHIDCODE]])))</f>
        <v>1</v>
      </c>
      <c r="H720" t="str">
        <f>"item_"&amp;CONTROL[[#This Row],[VEHIDCODE]]</f>
        <v>item_mu_Coach_Gen1_Wooden_2_axle_Regional_Coach</v>
      </c>
      <c r="I720" t="str">
        <f>"str_"&amp;CONTROL[[#This Row],[VEHIDCODE]]</f>
        <v>str_mu_Coach_Gen1_Wooden_2_axle_Regional_Coach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t="b">
        <f>ISNUMBER(_xlfn.XMATCH(CONTROL[[#This Row],[VEHIDCODE]],ENGLISH_ITEMS[VEHIDCODE],0))</f>
        <v>1</v>
      </c>
    </row>
    <row r="721" spans="1:16">
      <c r="A721" s="2" t="s">
        <v>766</v>
      </c>
      <c r="B721" t="str">
        <f>_xlfn.TEXTAFTER(TRACK_TYPES[[#This Row],[VEHIDCODE]],"_")</f>
        <v>Coach_Gen1_Wooden_2_axle_Mail_Coach</v>
      </c>
      <c r="C721" t="s">
        <v>745</v>
      </c>
      <c r="D721" t="s">
        <v>961</v>
      </c>
      <c r="E721">
        <v>11002</v>
      </c>
      <c r="F721" t="b">
        <f>AND(CONTROL[[#This Row],[IS_WAGON_OR_COACH]]=TRUE,OR(RIGHT(CONTROL[[#This Row],[VEHIDCODE]],7)="Powered",RIGHT(CONTROL[[#This Row],[VEHIDCODE]],9)="Unpowered"))</f>
        <v>0</v>
      </c>
      <c r="G721" s="2" t="b">
        <f>OR(ISNUMBER(SEARCH("wagon_",CONTROL[[#This Row],[VEHIDCODE]])),ISNUMBER(SEARCH("coach_",CONTROL[[#This Row],[VEHIDCODE]])))</f>
        <v>1</v>
      </c>
      <c r="H721" t="str">
        <f>"item_"&amp;CONTROL[[#This Row],[VEHIDCODE]]</f>
        <v>item_mu_Coach_Gen1_Wooden_2_axle_Mail_Coach</v>
      </c>
      <c r="I721" t="str">
        <f>"str_"&amp;CONTROL[[#This Row],[VEHIDCODE]]</f>
        <v>str_mu_Coach_Gen1_Wooden_2_axle_Mail_Coach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t="b">
        <f>ISNUMBER(_xlfn.XMATCH(CONTROL[[#This Row],[VEHIDCODE]],ENGLISH_ITEMS[VEHIDCODE],0))</f>
        <v>1</v>
      </c>
    </row>
    <row r="722" spans="1:16">
      <c r="A722" s="2" t="s">
        <v>767</v>
      </c>
      <c r="B722" t="str">
        <f>_xlfn.TEXTAFTER(TRACK_TYPES[[#This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b">
        <f>AND(CONTROL[[#This Row],[IS_WAGON_OR_COACH]]=TRUE,OR(RIGHT(CONTROL[[#This Row],[VEHIDCODE]],7)="Powered",RIGHT(CONTROL[[#This Row],[VEHIDCODE]],9)="Unpowered"))</f>
        <v>0</v>
      </c>
      <c r="G722" s="2" t="b">
        <f>OR(ISNUMBER(SEARCH("wagon_",CONTROL[[#This Row],[VEHIDCODE]])),ISNUMBER(SEARCH("coach_",CONTROL[[#This Row],[VEHIDCODE]])))</f>
        <v>1</v>
      </c>
      <c r="H722" t="str">
        <f>"item_"&amp;CONTROL[[#This Row],[VEHIDCODE]]</f>
        <v>item_mu_Coach_Gen1_Clerestory_Compartment_Coach</v>
      </c>
      <c r="I722" t="str">
        <f>"str_"&amp;CONTROL[[#This Row],[VEHIDCODE]]</f>
        <v>str_mu_Coach_Gen1_Clerestory_Compartment_Coach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t="b">
        <f>ISNUMBER(_xlfn.XMATCH(CONTROL[[#This Row],[VEHIDCODE]],ENGLISH_ITEMS[VEHIDCODE],0))</f>
        <v>1</v>
      </c>
    </row>
    <row r="723" spans="1:16">
      <c r="A723" s="2" t="s">
        <v>768</v>
      </c>
      <c r="B723" t="str">
        <f>_xlfn.TEXTAFTER(TRACK_TYPES[[#This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b">
        <f>AND(CONTROL[[#This Row],[IS_WAGON_OR_COACH]]=TRUE,OR(RIGHT(CONTROL[[#This Row],[VEHIDCODE]],7)="Powered",RIGHT(CONTROL[[#This Row],[VEHIDCODE]],9)="Unpowered"))</f>
        <v>0</v>
      </c>
      <c r="G723" s="2" t="b">
        <f>OR(ISNUMBER(SEARCH("wagon_",CONTROL[[#This Row],[VEHIDCODE]])),ISNUMBER(SEARCH("coach_",CONTROL[[#This Row],[VEHIDCODE]])))</f>
        <v>1</v>
      </c>
      <c r="H723" t="str">
        <f>"item_"&amp;CONTROL[[#This Row],[VEHIDCODE]]</f>
        <v>item_mu_Coach_Gen1_Clerestory_Regional_Coach</v>
      </c>
      <c r="I723" t="str">
        <f>"str_"&amp;CONTROL[[#This Row],[VEHIDCODE]]</f>
        <v>str_mu_Coach_Gen1_Clerestory_Regional_Coach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t="b">
        <f>ISNUMBER(_xlfn.XMATCH(CONTROL[[#This Row],[VEHIDCODE]],ENGLISH_ITEMS[VEHIDCODE],0))</f>
        <v>1</v>
      </c>
    </row>
    <row r="724" spans="1:16">
      <c r="A724" s="2" t="s">
        <v>769</v>
      </c>
      <c r="B724" t="str">
        <f>_xlfn.TEXTAFTER(TRACK_TYPES[[#This Row],[VEHIDCODE]],"_")</f>
        <v>Coach_Gen1_Clerestory_Mail_Coach</v>
      </c>
      <c r="C724" t="s">
        <v>745</v>
      </c>
      <c r="D724" t="s">
        <v>961</v>
      </c>
      <c r="E724">
        <v>11005</v>
      </c>
      <c r="F724" t="b">
        <f>AND(CONTROL[[#This Row],[IS_WAGON_OR_COACH]]=TRUE,OR(RIGHT(CONTROL[[#This Row],[VEHIDCODE]],7)="Powered",RIGHT(CONTROL[[#This Row],[VEHIDCODE]],9)="Unpowered"))</f>
        <v>0</v>
      </c>
      <c r="G724" s="2" t="b">
        <f>OR(ISNUMBER(SEARCH("wagon_",CONTROL[[#This Row],[VEHIDCODE]])),ISNUMBER(SEARCH("coach_",CONTROL[[#This Row],[VEHIDCODE]])))</f>
        <v>1</v>
      </c>
      <c r="H724" t="str">
        <f>"item_"&amp;CONTROL[[#This Row],[VEHIDCODE]]</f>
        <v>item_mu_Coach_Gen1_Clerestory_Mail_Coach</v>
      </c>
      <c r="I724" t="str">
        <f>"str_"&amp;CONTROL[[#This Row],[VEHIDCODE]]</f>
        <v>str_mu_Coach_Gen1_Clerestory_Mail_Coach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t="b">
        <f>ISNUMBER(_xlfn.XMATCH(CONTROL[[#This Row],[VEHIDCODE]],ENGLISH_ITEMS[VEHIDCODE],0))</f>
        <v>1</v>
      </c>
    </row>
    <row r="725" spans="1:16">
      <c r="A725" s="2" t="s">
        <v>770</v>
      </c>
      <c r="B725" t="str">
        <f>_xlfn.TEXTAFTER(TRACK_TYPES[[#This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b">
        <f>AND(CONTROL[[#This Row],[IS_WAGON_OR_COACH]]=TRUE,OR(RIGHT(CONTROL[[#This Row],[VEHIDCODE]],7)="Powered",RIGHT(CONTROL[[#This Row],[VEHIDCODE]],9)="Unpowered"))</f>
        <v>0</v>
      </c>
      <c r="G725" s="2" t="b">
        <f>OR(ISNUMBER(SEARCH("wagon_",CONTROL[[#This Row],[VEHIDCODE]])),ISNUMBER(SEARCH("coach_",CONTROL[[#This Row],[VEHIDCODE]])))</f>
        <v>1</v>
      </c>
      <c r="H725" t="str">
        <f>"item_"&amp;CONTROL[[#This Row],[VEHIDCODE]]</f>
        <v>item_mu_Coach_Gen1_Wooden_3_axle_Compartment_Coach</v>
      </c>
      <c r="I725" t="str">
        <f>"str_"&amp;CONTROL[[#This Row],[VEHIDCODE]]</f>
        <v>str_mu_Coach_Gen1_Wooden_3_axle_Compartment_Coach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t="b">
        <f>ISNUMBER(_xlfn.XMATCH(CONTROL[[#This Row],[VEHIDCODE]],ENGLISH_ITEMS[VEHIDCODE],0))</f>
        <v>1</v>
      </c>
    </row>
    <row r="726" spans="1:16">
      <c r="A726" s="2" t="s">
        <v>771</v>
      </c>
      <c r="B726" t="str">
        <f>_xlfn.TEXTAFTER(TRACK_TYPES[[#This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b">
        <f>AND(CONTROL[[#This Row],[IS_WAGON_OR_COACH]]=TRUE,OR(RIGHT(CONTROL[[#This Row],[VEHIDCODE]],7)="Powered",RIGHT(CONTROL[[#This Row],[VEHIDCODE]],9)="Unpowered"))</f>
        <v>0</v>
      </c>
      <c r="G726" s="2" t="b">
        <f>OR(ISNUMBER(SEARCH("wagon_",CONTROL[[#This Row],[VEHIDCODE]])),ISNUMBER(SEARCH("coach_",CONTROL[[#This Row],[VEHIDCODE]])))</f>
        <v>1</v>
      </c>
      <c r="H726" t="str">
        <f>"item_"&amp;CONTROL[[#This Row],[VEHIDCODE]]</f>
        <v>item_mu_Coach_Gen1_Wooden_3_axle_Regional_Coach</v>
      </c>
      <c r="I726" t="str">
        <f>"str_"&amp;CONTROL[[#This Row],[VEHIDCODE]]</f>
        <v>str_mu_Coach_Gen1_Wooden_3_axle_Regional_Coach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t="b">
        <f>ISNUMBER(_xlfn.XMATCH(CONTROL[[#This Row],[VEHIDCODE]],ENGLISH_ITEMS[VEHIDCODE],0))</f>
        <v>1</v>
      </c>
    </row>
    <row r="727" spans="1:16">
      <c r="A727" s="2" t="s">
        <v>772</v>
      </c>
      <c r="B727" t="str">
        <f>_xlfn.TEXTAFTER(TRACK_TYPES[[#This Row],[VEHIDCODE]],"_")</f>
        <v>Coach_Gen1_Wooden_3_axle_Mail_Coach</v>
      </c>
      <c r="C727" t="s">
        <v>745</v>
      </c>
      <c r="D727" t="s">
        <v>961</v>
      </c>
      <c r="E727">
        <v>11008</v>
      </c>
      <c r="F727" t="b">
        <f>AND(CONTROL[[#This Row],[IS_WAGON_OR_COACH]]=TRUE,OR(RIGHT(CONTROL[[#This Row],[VEHIDCODE]],7)="Powered",RIGHT(CONTROL[[#This Row],[VEHIDCODE]],9)="Unpowered"))</f>
        <v>0</v>
      </c>
      <c r="G727" s="2" t="b">
        <f>OR(ISNUMBER(SEARCH("wagon_",CONTROL[[#This Row],[VEHIDCODE]])),ISNUMBER(SEARCH("coach_",CONTROL[[#This Row],[VEHIDCODE]])))</f>
        <v>1</v>
      </c>
      <c r="H727" t="str">
        <f>"item_"&amp;CONTROL[[#This Row],[VEHIDCODE]]</f>
        <v>item_mu_Coach_Gen1_Wooden_3_axle_Mail_Coach</v>
      </c>
      <c r="I727" t="str">
        <f>"str_"&amp;CONTROL[[#This Row],[VEHIDCODE]]</f>
        <v>str_mu_Coach_Gen1_Wooden_3_axle_Mail_Coach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t="b">
        <f>ISNUMBER(_xlfn.XMATCH(CONTROL[[#This Row],[VEHIDCODE]],ENGLISH_ITEMS[VEHIDCODE],0))</f>
        <v>1</v>
      </c>
    </row>
    <row r="728" spans="1:16">
      <c r="A728" s="2" t="s">
        <v>773</v>
      </c>
      <c r="B728" t="str">
        <f>_xlfn.TEXTAFTER(TRACK_TYPES[[#This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b">
        <f>AND(CONTROL[[#This Row],[IS_WAGON_OR_COACH]]=TRUE,OR(RIGHT(CONTROL[[#This Row],[VEHIDCODE]],7)="Powered",RIGHT(CONTROL[[#This Row],[VEHIDCODE]],9)="Unpowered"))</f>
        <v>0</v>
      </c>
      <c r="G728" s="2" t="b">
        <f>OR(ISNUMBER(SEARCH("wagon_",CONTROL[[#This Row],[VEHIDCODE]])),ISNUMBER(SEARCH("coach_",CONTROL[[#This Row],[VEHIDCODE]])))</f>
        <v>1</v>
      </c>
      <c r="H728" t="str">
        <f>"item_"&amp;CONTROL[[#This Row],[VEHIDCODE]]</f>
        <v>item_mu_Coach_Gen2_Heavyweight_Intercity_Coach</v>
      </c>
      <c r="I728" t="str">
        <f>"str_"&amp;CONTROL[[#This Row],[VEHIDCODE]]</f>
        <v>str_mu_Coach_Gen2_Heavyweight_Intercity_Coach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t="b">
        <f>ISNUMBER(_xlfn.XMATCH(CONTROL[[#This Row],[VEHIDCODE]],ENGLISH_ITEMS[VEHIDCODE],0))</f>
        <v>1</v>
      </c>
    </row>
    <row r="729" spans="1:16">
      <c r="A729" s="2" t="s">
        <v>774</v>
      </c>
      <c r="B729" t="str">
        <f>_xlfn.TEXTAFTER(TRACK_TYPES[[#This Row],[VEHIDCODE]],"_")</f>
        <v>Coach_Gen2_Heavyweight_Mail_Coach</v>
      </c>
      <c r="C729" t="s">
        <v>746</v>
      </c>
      <c r="D729" t="s">
        <v>961</v>
      </c>
      <c r="E729">
        <v>11010</v>
      </c>
      <c r="F729" t="b">
        <f>AND(CONTROL[[#This Row],[IS_WAGON_OR_COACH]]=TRUE,OR(RIGHT(CONTROL[[#This Row],[VEHIDCODE]],7)="Powered",RIGHT(CONTROL[[#This Row],[VEHIDCODE]],9)="Unpowered"))</f>
        <v>0</v>
      </c>
      <c r="G729" s="2" t="b">
        <f>OR(ISNUMBER(SEARCH("wagon_",CONTROL[[#This Row],[VEHIDCODE]])),ISNUMBER(SEARCH("coach_",CONTROL[[#This Row],[VEHIDCODE]])))</f>
        <v>1</v>
      </c>
      <c r="H729" t="str">
        <f>"item_"&amp;CONTROL[[#This Row],[VEHIDCODE]]</f>
        <v>item_mu_Coach_Gen2_Heavyweight_Mail_Coach</v>
      </c>
      <c r="I729" t="str">
        <f>"str_"&amp;CONTROL[[#This Row],[VEHIDCODE]]</f>
        <v>str_mu_Coach_Gen2_Heavyweight_Mail_Coach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t="b">
        <f>ISNUMBER(_xlfn.XMATCH(CONTROL[[#This Row],[VEHIDCODE]],ENGLISH_ITEMS[VEHIDCODE],0))</f>
        <v>1</v>
      </c>
    </row>
    <row r="730" spans="1:16">
      <c r="A730" s="2" t="s">
        <v>775</v>
      </c>
      <c r="B730" t="str">
        <f>_xlfn.TEXTAFTER(TRACK_TYPES[[#This Row],[VEHIDCODE]],"_")</f>
        <v>Coach_Gen2_Steel_Intercity_Coach</v>
      </c>
      <c r="C730" t="s">
        <v>746</v>
      </c>
      <c r="D730" t="s">
        <v>961</v>
      </c>
      <c r="E730">
        <v>11011</v>
      </c>
      <c r="F730" t="b">
        <f>AND(CONTROL[[#This Row],[IS_WAGON_OR_COACH]]=TRUE,OR(RIGHT(CONTROL[[#This Row],[VEHIDCODE]],7)="Powered",RIGHT(CONTROL[[#This Row],[VEHIDCODE]],9)="Unpowered"))</f>
        <v>0</v>
      </c>
      <c r="G730" s="2" t="b">
        <f>OR(ISNUMBER(SEARCH("wagon_",CONTROL[[#This Row],[VEHIDCODE]])),ISNUMBER(SEARCH("coach_",CONTROL[[#This Row],[VEHIDCODE]])))</f>
        <v>1</v>
      </c>
      <c r="H730" t="str">
        <f>"item_"&amp;CONTROL[[#This Row],[VEHIDCODE]]</f>
        <v>item_mu_Coach_Gen2_Steel_Intercity_Coach</v>
      </c>
      <c r="I730" t="str">
        <f>"str_"&amp;CONTROL[[#This Row],[VEHIDCODE]]</f>
        <v>str_mu_Coach_Gen2_Steel_Intercity_Coach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t="b">
        <f>ISNUMBER(_xlfn.XMATCH(CONTROL[[#This Row],[VEHIDCODE]],ENGLISH_ITEMS[VEHIDCODE],0))</f>
        <v>1</v>
      </c>
    </row>
    <row r="731" spans="1:16">
      <c r="A731" s="2" t="s">
        <v>776</v>
      </c>
      <c r="B731" t="str">
        <f>_xlfn.TEXTAFTER(TRACK_TYPES[[#This Row],[VEHIDCODE]],"_")</f>
        <v>Coach_Gen2_Steel_Compartment_Coach</v>
      </c>
      <c r="C731" t="s">
        <v>746</v>
      </c>
      <c r="D731" t="s">
        <v>961</v>
      </c>
      <c r="E731">
        <v>11012</v>
      </c>
      <c r="F731" t="b">
        <f>AND(CONTROL[[#This Row],[IS_WAGON_OR_COACH]]=TRUE,OR(RIGHT(CONTROL[[#This Row],[VEHIDCODE]],7)="Powered",RIGHT(CONTROL[[#This Row],[VEHIDCODE]],9)="Unpowered"))</f>
        <v>0</v>
      </c>
      <c r="G731" s="2" t="b">
        <f>OR(ISNUMBER(SEARCH("wagon_",CONTROL[[#This Row],[VEHIDCODE]])),ISNUMBER(SEARCH("coach_",CONTROL[[#This Row],[VEHIDCODE]])))</f>
        <v>1</v>
      </c>
      <c r="H731" t="str">
        <f>"item_"&amp;CONTROL[[#This Row],[VEHIDCODE]]</f>
        <v>item_mu_Coach_Gen2_Steel_Compartment_Coach</v>
      </c>
      <c r="I731" t="str">
        <f>"str_"&amp;CONTROL[[#This Row],[VEHIDCODE]]</f>
        <v>str_mu_Coach_Gen2_Steel_Compartment_Coach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t="b">
        <f>ISNUMBER(_xlfn.XMATCH(CONTROL[[#This Row],[VEHIDCODE]],ENGLISH_ITEMS[VEHIDCODE],0))</f>
        <v>1</v>
      </c>
    </row>
    <row r="732" spans="1:16">
      <c r="A732" s="2" t="s">
        <v>777</v>
      </c>
      <c r="B732" t="str">
        <f>_xlfn.TEXTAFTER(TRACK_TYPES[[#This Row],[VEHIDCODE]],"_")</f>
        <v>Coach_Gen2_Steel_Regional_Coach</v>
      </c>
      <c r="C732" t="s">
        <v>746</v>
      </c>
      <c r="D732" t="s">
        <v>961</v>
      </c>
      <c r="E732">
        <v>11013</v>
      </c>
      <c r="F732" t="b">
        <f>AND(CONTROL[[#This Row],[IS_WAGON_OR_COACH]]=TRUE,OR(RIGHT(CONTROL[[#This Row],[VEHIDCODE]],7)="Powered",RIGHT(CONTROL[[#This Row],[VEHIDCODE]],9)="Unpowered"))</f>
        <v>0</v>
      </c>
      <c r="G732" s="2" t="b">
        <f>OR(ISNUMBER(SEARCH("wagon_",CONTROL[[#This Row],[VEHIDCODE]])),ISNUMBER(SEARCH("coach_",CONTROL[[#This Row],[VEHIDCODE]])))</f>
        <v>1</v>
      </c>
      <c r="H732" t="str">
        <f>"item_"&amp;CONTROL[[#This Row],[VEHIDCODE]]</f>
        <v>item_mu_Coach_Gen2_Steel_Regional_Coach</v>
      </c>
      <c r="I732" t="str">
        <f>"str_"&amp;CONTROL[[#This Row],[VEHIDCODE]]</f>
        <v>str_mu_Coach_Gen2_Steel_Regional_Coach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t="b">
        <f>ISNUMBER(_xlfn.XMATCH(CONTROL[[#This Row],[VEHIDCODE]],ENGLISH_ITEMS[VEHIDCODE],0))</f>
        <v>1</v>
      </c>
    </row>
    <row r="733" spans="1:16">
      <c r="A733" s="2" t="s">
        <v>778</v>
      </c>
      <c r="B733" t="str">
        <f>_xlfn.TEXTAFTER(TRACK_TYPES[[#This Row],[VEHIDCODE]],"_")</f>
        <v>Coach_Gen2_Steel_Mail_Coach</v>
      </c>
      <c r="C733" t="s">
        <v>746</v>
      </c>
      <c r="D733" t="s">
        <v>961</v>
      </c>
      <c r="E733">
        <v>11014</v>
      </c>
      <c r="F733" t="b">
        <f>AND(CONTROL[[#This Row],[IS_WAGON_OR_COACH]]=TRUE,OR(RIGHT(CONTROL[[#This Row],[VEHIDCODE]],7)="Powered",RIGHT(CONTROL[[#This Row],[VEHIDCODE]],9)="Unpowered"))</f>
        <v>0</v>
      </c>
      <c r="G733" s="2" t="b">
        <f>OR(ISNUMBER(SEARCH("wagon_",CONTROL[[#This Row],[VEHIDCODE]])),ISNUMBER(SEARCH("coach_",CONTROL[[#This Row],[VEHIDCODE]])))</f>
        <v>1</v>
      </c>
      <c r="H733" t="str">
        <f>"item_"&amp;CONTROL[[#This Row],[VEHIDCODE]]</f>
        <v>item_mu_Coach_Gen2_Steel_Mail_Coach</v>
      </c>
      <c r="I733" t="str">
        <f>"str_"&amp;CONTROL[[#This Row],[VEHIDCODE]]</f>
        <v>str_mu_Coach_Gen2_Steel_Mail_Coach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t="b">
        <f>ISNUMBER(_xlfn.XMATCH(CONTROL[[#This Row],[VEHIDCODE]],ENGLISH_ITEMS[VEHIDCODE],0))</f>
        <v>1</v>
      </c>
    </row>
    <row r="734" spans="1:16">
      <c r="A734" s="2" t="s">
        <v>779</v>
      </c>
      <c r="B734" t="str">
        <f>_xlfn.TEXTAFTER(TRACK_TYPES[[#This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b">
        <f>AND(CONTROL[[#This Row],[IS_WAGON_OR_COACH]]=TRUE,OR(RIGHT(CONTROL[[#This Row],[VEHIDCODE]],7)="Powered",RIGHT(CONTROL[[#This Row],[VEHIDCODE]],9)="Unpowered"))</f>
        <v>0</v>
      </c>
      <c r="G734" s="2" t="b">
        <f>OR(ISNUMBER(SEARCH("wagon_",CONTROL[[#This Row],[VEHIDCODE]])),ISNUMBER(SEARCH("coach_",CONTROL[[#This Row],[VEHIDCODE]])))</f>
        <v>1</v>
      </c>
      <c r="H734" t="str">
        <f>"item_"&amp;CONTROL[[#This Row],[VEHIDCODE]]</f>
        <v>item_mu_Coach_Gen2_Steel_2_axle_Compartment_Coach</v>
      </c>
      <c r="I734" t="str">
        <f>"str_"&amp;CONTROL[[#This Row],[VEHIDCODE]]</f>
        <v>str_mu_Coach_Gen2_Steel_2_axle_Compartment_Coach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t="b">
        <f>ISNUMBER(_xlfn.XMATCH(CONTROL[[#This Row],[VEHIDCODE]],ENGLISH_ITEMS[VEHIDCODE],0))</f>
        <v>1</v>
      </c>
    </row>
    <row r="735" spans="1:16">
      <c r="A735" s="2" t="s">
        <v>780</v>
      </c>
      <c r="B735" t="str">
        <f>_xlfn.TEXTAFTER(TRACK_TYPES[[#This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b">
        <f>AND(CONTROL[[#This Row],[IS_WAGON_OR_COACH]]=TRUE,OR(RIGHT(CONTROL[[#This Row],[VEHIDCODE]],7)="Powered",RIGHT(CONTROL[[#This Row],[VEHIDCODE]],9)="Unpowered"))</f>
        <v>0</v>
      </c>
      <c r="G735" s="2" t="b">
        <f>OR(ISNUMBER(SEARCH("wagon_",CONTROL[[#This Row],[VEHIDCODE]])),ISNUMBER(SEARCH("coach_",CONTROL[[#This Row],[VEHIDCODE]])))</f>
        <v>1</v>
      </c>
      <c r="H735" t="str">
        <f>"item_"&amp;CONTROL[[#This Row],[VEHIDCODE]]</f>
        <v>item_mu_Coach_Gen2_Steel_2_axle_Regional_Coach</v>
      </c>
      <c r="I735" t="str">
        <f>"str_"&amp;CONTROL[[#This Row],[VEHIDCODE]]</f>
        <v>str_mu_Coach_Gen2_Steel_2_axle_Regional_Coach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t="b">
        <f>ISNUMBER(_xlfn.XMATCH(CONTROL[[#This Row],[VEHIDCODE]],ENGLISH_ITEMS[VEHIDCODE],0))</f>
        <v>1</v>
      </c>
    </row>
    <row r="736" spans="1:16">
      <c r="A736" s="2" t="s">
        <v>781</v>
      </c>
      <c r="B736" t="str">
        <f>_xlfn.TEXTAFTER(TRACK_TYPES[[#This Row],[VEHIDCODE]],"_")</f>
        <v>Coach_Gen2_Steel_2_axle_Mail_Coach</v>
      </c>
      <c r="C736" t="s">
        <v>746</v>
      </c>
      <c r="D736" t="s">
        <v>961</v>
      </c>
      <c r="E736">
        <v>11017</v>
      </c>
      <c r="F736" t="b">
        <f>AND(CONTROL[[#This Row],[IS_WAGON_OR_COACH]]=TRUE,OR(RIGHT(CONTROL[[#This Row],[VEHIDCODE]],7)="Powered",RIGHT(CONTROL[[#This Row],[VEHIDCODE]],9)="Unpowered"))</f>
        <v>0</v>
      </c>
      <c r="G736" s="2" t="b">
        <f>OR(ISNUMBER(SEARCH("wagon_",CONTROL[[#This Row],[VEHIDCODE]])),ISNUMBER(SEARCH("coach_",CONTROL[[#This Row],[VEHIDCODE]])))</f>
        <v>1</v>
      </c>
      <c r="H736" t="str">
        <f>"item_"&amp;CONTROL[[#This Row],[VEHIDCODE]]</f>
        <v>item_mu_Coach_Gen2_Steel_2_axle_Mail_Coach</v>
      </c>
      <c r="I736" t="str">
        <f>"str_"&amp;CONTROL[[#This Row],[VEHIDCODE]]</f>
        <v>str_mu_Coach_Gen2_Steel_2_axle_Mail_Coach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t="b">
        <f>ISNUMBER(_xlfn.XMATCH(CONTROL[[#This Row],[VEHIDCODE]],ENGLISH_ITEMS[VEHIDCODE],0))</f>
        <v>1</v>
      </c>
    </row>
    <row r="737" spans="1:16">
      <c r="A737" s="2" t="s">
        <v>782</v>
      </c>
      <c r="B737" t="str">
        <f>_xlfn.TEXTAFTER(TRACK_TYPES[[#This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b">
        <f>AND(CONTROL[[#This Row],[IS_WAGON_OR_COACH]]=TRUE,OR(RIGHT(CONTROL[[#This Row],[VEHIDCODE]],7)="Powered",RIGHT(CONTROL[[#This Row],[VEHIDCODE]],9)="Unpowered"))</f>
        <v>0</v>
      </c>
      <c r="G737" s="2" t="b">
        <f>OR(ISNUMBER(SEARCH("wagon_",CONTROL[[#This Row],[VEHIDCODE]])),ISNUMBER(SEARCH("coach_",CONTROL[[#This Row],[VEHIDCODE]])))</f>
        <v>1</v>
      </c>
      <c r="H737" t="str">
        <f>"item_"&amp;CONTROL[[#This Row],[VEHIDCODE]]</f>
        <v>item_mu_Coach_Gen2_Steel_3_axle_Compartment_Coach</v>
      </c>
      <c r="I737" t="str">
        <f>"str_"&amp;CONTROL[[#This Row],[VEHIDCODE]]</f>
        <v>str_mu_Coach_Gen2_Steel_3_axle_Compartment_Coach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t="b">
        <f>ISNUMBER(_xlfn.XMATCH(CONTROL[[#This Row],[VEHIDCODE]],ENGLISH_ITEMS[VEHIDCODE],0))</f>
        <v>1</v>
      </c>
    </row>
    <row r="738" spans="1:16">
      <c r="A738" s="2" t="s">
        <v>783</v>
      </c>
      <c r="B738" t="str">
        <f>_xlfn.TEXTAFTER(TRACK_TYPES[[#This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b">
        <f>AND(CONTROL[[#This Row],[IS_WAGON_OR_COACH]]=TRUE,OR(RIGHT(CONTROL[[#This Row],[VEHIDCODE]],7)="Powered",RIGHT(CONTROL[[#This Row],[VEHIDCODE]],9)="Unpowered"))</f>
        <v>0</v>
      </c>
      <c r="G738" s="2" t="b">
        <f>OR(ISNUMBER(SEARCH("wagon_",CONTROL[[#This Row],[VEHIDCODE]])),ISNUMBER(SEARCH("coach_",CONTROL[[#This Row],[VEHIDCODE]])))</f>
        <v>1</v>
      </c>
      <c r="H738" t="str">
        <f>"item_"&amp;CONTROL[[#This Row],[VEHIDCODE]]</f>
        <v>item_mu_Coach_Gen2_Steel_3_axle_Regional_Coach</v>
      </c>
      <c r="I738" t="str">
        <f>"str_"&amp;CONTROL[[#This Row],[VEHIDCODE]]</f>
        <v>str_mu_Coach_Gen2_Steel_3_axle_Regional_Coach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t="b">
        <f>ISNUMBER(_xlfn.XMATCH(CONTROL[[#This Row],[VEHIDCODE]],ENGLISH_ITEMS[VEHIDCODE],0))</f>
        <v>1</v>
      </c>
    </row>
    <row r="739" spans="1:16">
      <c r="A739" s="2" t="s">
        <v>784</v>
      </c>
      <c r="B739" t="str">
        <f>_xlfn.TEXTAFTER(TRACK_TYPES[[#This Row],[VEHIDCODE]],"_")</f>
        <v>Coach_Gen2_Steel_3_axle_Mail_Coach</v>
      </c>
      <c r="C739" t="s">
        <v>746</v>
      </c>
      <c r="D739" t="s">
        <v>961</v>
      </c>
      <c r="E739">
        <v>11020</v>
      </c>
      <c r="F739" t="b">
        <f>AND(CONTROL[[#This Row],[IS_WAGON_OR_COACH]]=TRUE,OR(RIGHT(CONTROL[[#This Row],[VEHIDCODE]],7)="Powered",RIGHT(CONTROL[[#This Row],[VEHIDCODE]],9)="Unpowered"))</f>
        <v>0</v>
      </c>
      <c r="G739" s="2" t="b">
        <f>OR(ISNUMBER(SEARCH("wagon_",CONTROL[[#This Row],[VEHIDCODE]])),ISNUMBER(SEARCH("coach_",CONTROL[[#This Row],[VEHIDCODE]])))</f>
        <v>1</v>
      </c>
      <c r="H739" t="str">
        <f>"item_"&amp;CONTROL[[#This Row],[VEHIDCODE]]</f>
        <v>item_mu_Coach_Gen2_Steel_3_axle_Mail_Coach</v>
      </c>
      <c r="I739" t="str">
        <f>"str_"&amp;CONTROL[[#This Row],[VEHIDCODE]]</f>
        <v>str_mu_Coach_Gen2_Steel_3_axle_Mail_Coach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t="b">
        <f>ISNUMBER(_xlfn.XMATCH(CONTROL[[#This Row],[VEHIDCODE]],ENGLISH_ITEMS[VEHIDCODE],0))</f>
        <v>1</v>
      </c>
    </row>
    <row r="740" spans="1:16">
      <c r="A740" s="2" t="s">
        <v>785</v>
      </c>
      <c r="B740" t="str">
        <f>_xlfn.TEXTAFTER(TRACK_TYPES[[#This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b">
        <f>AND(CONTROL[[#This Row],[IS_WAGON_OR_COACH]]=TRUE,OR(RIGHT(CONTROL[[#This Row],[VEHIDCODE]],7)="Powered",RIGHT(CONTROL[[#This Row],[VEHIDCODE]],9)="Unpowered"))</f>
        <v>0</v>
      </c>
      <c r="G740" s="2" t="b">
        <f>OR(ISNUMBER(SEARCH("wagon_",CONTROL[[#This Row],[VEHIDCODE]])),ISNUMBER(SEARCH("coach_",CONTROL[[#This Row],[VEHIDCODE]])))</f>
        <v>1</v>
      </c>
      <c r="H740" t="str">
        <f>"item_"&amp;CONTROL[[#This Row],[VEHIDCODE]]</f>
        <v>item_mu_Coach_Gen3_Steel_Lightweight_Intercity_Coach</v>
      </c>
      <c r="I740" t="str">
        <f>"str_"&amp;CONTROL[[#This Row],[VEHIDCODE]]</f>
        <v>str_mu_Coach_Gen3_Steel_Lightweight_Intercity_Coach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t="b">
        <f>ISNUMBER(_xlfn.XMATCH(CONTROL[[#This Row],[VEHIDCODE]],ENGLISH_ITEMS[VEHIDCODE],0))</f>
        <v>1</v>
      </c>
    </row>
    <row r="741" spans="1:16">
      <c r="A741" s="2" t="s">
        <v>786</v>
      </c>
      <c r="B741" t="str">
        <f>_xlfn.TEXTAFTER(TRACK_TYPES[[#This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b">
        <f>AND(CONTROL[[#This Row],[IS_WAGON_OR_COACH]]=TRUE,OR(RIGHT(CONTROL[[#This Row],[VEHIDCODE]],7)="Powered",RIGHT(CONTROL[[#This Row],[VEHIDCODE]],9)="Unpowered"))</f>
        <v>0</v>
      </c>
      <c r="G741" s="2" t="b">
        <f>OR(ISNUMBER(SEARCH("wagon_",CONTROL[[#This Row],[VEHIDCODE]])),ISNUMBER(SEARCH("coach_",CONTROL[[#This Row],[VEHIDCODE]])))</f>
        <v>1</v>
      </c>
      <c r="H741" t="str">
        <f>"item_"&amp;CONTROL[[#This Row],[VEHIDCODE]]</f>
        <v>item_mu_Coach_Gen3_Steel_Lightweight_Regional_Coach</v>
      </c>
      <c r="I741" t="str">
        <f>"str_"&amp;CONTROL[[#This Row],[VEHIDCODE]]</f>
        <v>str_mu_Coach_Gen3_Steel_Lightweight_Regional_Coach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t="b">
        <f>ISNUMBER(_xlfn.XMATCH(CONTROL[[#This Row],[VEHIDCODE]],ENGLISH_ITEMS[VEHIDCODE],0))</f>
        <v>1</v>
      </c>
    </row>
    <row r="742" spans="1:16">
      <c r="A742" s="2" t="s">
        <v>787</v>
      </c>
      <c r="B742" t="str">
        <f>_xlfn.TEXTAFTER(TRACK_TYPES[[#This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b">
        <f>AND(CONTROL[[#This Row],[IS_WAGON_OR_COACH]]=TRUE,OR(RIGHT(CONTROL[[#This Row],[VEHIDCODE]],7)="Powered",RIGHT(CONTROL[[#This Row],[VEHIDCODE]],9)="Unpowered"))</f>
        <v>0</v>
      </c>
      <c r="G742" s="2" t="b">
        <f>OR(ISNUMBER(SEARCH("wagon_",CONTROL[[#This Row],[VEHIDCODE]])),ISNUMBER(SEARCH("coach_",CONTROL[[#This Row],[VEHIDCODE]])))</f>
        <v>1</v>
      </c>
      <c r="H742" t="str">
        <f>"item_"&amp;CONTROL[[#This Row],[VEHIDCODE]]</f>
        <v>item_mu_Coach_Gen3_Steel_Lightweight_Mail_Coach</v>
      </c>
      <c r="I742" t="str">
        <f>"str_"&amp;CONTROL[[#This Row],[VEHIDCODE]]</f>
        <v>str_mu_Coach_Gen3_Steel_Lightweight_Mail_Coach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t="b">
        <f>ISNUMBER(_xlfn.XMATCH(CONTROL[[#This Row],[VEHIDCODE]],ENGLISH_ITEMS[VEHIDCODE],0))</f>
        <v>1</v>
      </c>
    </row>
    <row r="743" spans="1:16">
      <c r="A743" s="2" t="s">
        <v>788</v>
      </c>
      <c r="B743" t="str">
        <f>_xlfn.TEXTAFTER(TRACK_TYPES[[#This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b">
        <f>AND(CONTROL[[#This Row],[IS_WAGON_OR_COACH]]=TRUE,OR(RIGHT(CONTROL[[#This Row],[VEHIDCODE]],7)="Powered",RIGHT(CONTROL[[#This Row],[VEHIDCODE]],9)="Unpowered"))</f>
        <v>0</v>
      </c>
      <c r="G743" s="2" t="b">
        <f>OR(ISNUMBER(SEARCH("wagon_",CONTROL[[#This Row],[VEHIDCODE]])),ISNUMBER(SEARCH("coach_",CONTROL[[#This Row],[VEHIDCODE]])))</f>
        <v>1</v>
      </c>
      <c r="H743" t="str">
        <f>"item_"&amp;CONTROL[[#This Row],[VEHIDCODE]]</f>
        <v>item_mu_Coach_Gen3_Aluminium_Lightweight_Intercity_Coach</v>
      </c>
      <c r="I743" t="str">
        <f>"str_"&amp;CONTROL[[#This Row],[VEHIDCODE]]</f>
        <v>str_mu_Coach_Gen3_Aluminium_Lightweight_Intercity_Coach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t="b">
        <f>ISNUMBER(_xlfn.XMATCH(CONTROL[[#This Row],[VEHIDCODE]],ENGLISH_ITEMS[VEHIDCODE],0))</f>
        <v>1</v>
      </c>
    </row>
    <row r="744" spans="1:16">
      <c r="A744" s="2" t="s">
        <v>789</v>
      </c>
      <c r="B744" t="str">
        <f>_xlfn.TEXTAFTER(TRACK_TYPES[[#This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b">
        <f>AND(CONTROL[[#This Row],[IS_WAGON_OR_COACH]]=TRUE,OR(RIGHT(CONTROL[[#This Row],[VEHIDCODE]],7)="Powered",RIGHT(CONTROL[[#This Row],[VEHIDCODE]],9)="Unpowered"))</f>
        <v>0</v>
      </c>
      <c r="G744" s="2" t="b">
        <f>OR(ISNUMBER(SEARCH("wagon_",CONTROL[[#This Row],[VEHIDCODE]])),ISNUMBER(SEARCH("coach_",CONTROL[[#This Row],[VEHIDCODE]])))</f>
        <v>1</v>
      </c>
      <c r="H744" t="str">
        <f>"item_"&amp;CONTROL[[#This Row],[VEHIDCODE]]</f>
        <v>item_mu_Coach_Gen3_Aluminium_Lightweight_Regional_Coach</v>
      </c>
      <c r="I744" t="str">
        <f>"str_"&amp;CONTROL[[#This Row],[VEHIDCODE]]</f>
        <v>str_mu_Coach_Gen3_Aluminium_Lightweight_Regional_Coach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t="b">
        <f>ISNUMBER(_xlfn.XMATCH(CONTROL[[#This Row],[VEHIDCODE]],ENGLISH_ITEMS[VEHIDCODE],0))</f>
        <v>1</v>
      </c>
    </row>
    <row r="745" spans="1:16">
      <c r="A745" s="2" t="s">
        <v>790</v>
      </c>
      <c r="B745" t="str">
        <f>_xlfn.TEXTAFTER(TRACK_TYPES[[#This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b">
        <f>AND(CONTROL[[#This Row],[IS_WAGON_OR_COACH]]=TRUE,OR(RIGHT(CONTROL[[#This Row],[VEHIDCODE]],7)="Powered",RIGHT(CONTROL[[#This Row],[VEHIDCODE]],9)="Unpowered"))</f>
        <v>0</v>
      </c>
      <c r="G745" s="2" t="b">
        <f>OR(ISNUMBER(SEARCH("wagon_",CONTROL[[#This Row],[VEHIDCODE]])),ISNUMBER(SEARCH("coach_",CONTROL[[#This Row],[VEHIDCODE]])))</f>
        <v>1</v>
      </c>
      <c r="H745" t="str">
        <f>"item_"&amp;CONTROL[[#This Row],[VEHIDCODE]]</f>
        <v>item_mu_Coach_Gen3_Aluminium_Lightweight_Mail_Coach</v>
      </c>
      <c r="I745" t="str">
        <f>"str_"&amp;CONTROL[[#This Row],[VEHIDCODE]]</f>
        <v>str_mu_Coach_Gen3_Aluminium_Lightweight_Mail_Coach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t="b">
        <f>ISNUMBER(_xlfn.XMATCH(CONTROL[[#This Row],[VEHIDCODE]],ENGLISH_ITEMS[VEHIDCODE],0))</f>
        <v>1</v>
      </c>
    </row>
    <row r="746" spans="1:16">
      <c r="A746" s="2" t="s">
        <v>791</v>
      </c>
      <c r="B746" t="str">
        <f>_xlfn.TEXTAFTER(TRACK_TYPES[[#This Row],[VEHIDCODE]],"_")</f>
        <v>Coach_Gen3_Gallery_Car</v>
      </c>
      <c r="C746" t="s">
        <v>747</v>
      </c>
      <c r="D746" t="s">
        <v>961</v>
      </c>
      <c r="E746">
        <v>11027</v>
      </c>
      <c r="F746" t="b">
        <f>AND(CONTROL[[#This Row],[IS_WAGON_OR_COACH]]=TRUE,OR(RIGHT(CONTROL[[#This Row],[VEHIDCODE]],7)="Powered",RIGHT(CONTROL[[#This Row],[VEHIDCODE]],9)="Unpowered"))</f>
        <v>0</v>
      </c>
      <c r="G746" s="2" t="b">
        <f>OR(ISNUMBER(SEARCH("wagon_",CONTROL[[#This Row],[VEHIDCODE]])),ISNUMBER(SEARCH("coach_",CONTROL[[#This Row],[VEHIDCODE]])))</f>
        <v>1</v>
      </c>
      <c r="H746" t="str">
        <f>"item_"&amp;CONTROL[[#This Row],[VEHIDCODE]]</f>
        <v>item_mu_Coach_Gen3_Gallery_Car</v>
      </c>
      <c r="I746" t="str">
        <f>"str_"&amp;CONTROL[[#This Row],[VEHIDCODE]]</f>
        <v>str_mu_Coach_Gen3_Gallery_Car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t="b">
        <f>ISNUMBER(_xlfn.XMATCH(CONTROL[[#This Row],[VEHIDCODE]],ENGLISH_ITEMS[VEHIDCODE],0))</f>
        <v>1</v>
      </c>
    </row>
    <row r="747" spans="1:16">
      <c r="A747" s="2" t="s">
        <v>792</v>
      </c>
      <c r="B747" t="str">
        <f>_xlfn.TEXTAFTER(TRACK_TYPES[[#This Row],[VEHIDCODE]],"_")</f>
        <v>Coach_Gen3_Mk1_Intercity_Coach</v>
      </c>
      <c r="C747" t="s">
        <v>747</v>
      </c>
      <c r="D747" t="s">
        <v>961</v>
      </c>
      <c r="E747">
        <v>11028</v>
      </c>
      <c r="F747" t="b">
        <f>AND(CONTROL[[#This Row],[IS_WAGON_OR_COACH]]=TRUE,OR(RIGHT(CONTROL[[#This Row],[VEHIDCODE]],7)="Powered",RIGHT(CONTROL[[#This Row],[VEHIDCODE]],9)="Unpowered"))</f>
        <v>0</v>
      </c>
      <c r="G747" s="2" t="b">
        <f>OR(ISNUMBER(SEARCH("wagon_",CONTROL[[#This Row],[VEHIDCODE]])),ISNUMBER(SEARCH("coach_",CONTROL[[#This Row],[VEHIDCODE]])))</f>
        <v>1</v>
      </c>
      <c r="H747" t="str">
        <f>"item_"&amp;CONTROL[[#This Row],[VEHIDCODE]]</f>
        <v>item_mu_Coach_Gen3_Mk1_Intercity_Coach</v>
      </c>
      <c r="I747" t="str">
        <f>"str_"&amp;CONTROL[[#This Row],[VEHIDCODE]]</f>
        <v>str_mu_Coach_Gen3_Mk1_Intercity_Coach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t="b">
        <f>ISNUMBER(_xlfn.XMATCH(CONTROL[[#This Row],[VEHIDCODE]],ENGLISH_ITEMS[VEHIDCODE],0))</f>
        <v>1</v>
      </c>
    </row>
    <row r="748" spans="1:16">
      <c r="A748" s="2" t="s">
        <v>793</v>
      </c>
      <c r="B748" t="str">
        <f>_xlfn.TEXTAFTER(TRACK_TYPES[[#This Row],[VEHIDCODE]],"_")</f>
        <v>Coach_Gen3_Mk1_Regional_Coach</v>
      </c>
      <c r="C748" t="s">
        <v>747</v>
      </c>
      <c r="D748" t="s">
        <v>961</v>
      </c>
      <c r="E748">
        <v>11029</v>
      </c>
      <c r="F748" t="b">
        <f>AND(CONTROL[[#This Row],[IS_WAGON_OR_COACH]]=TRUE,OR(RIGHT(CONTROL[[#This Row],[VEHIDCODE]],7)="Powered",RIGHT(CONTROL[[#This Row],[VEHIDCODE]],9)="Unpowered"))</f>
        <v>0</v>
      </c>
      <c r="G748" s="2" t="b">
        <f>OR(ISNUMBER(SEARCH("wagon_",CONTROL[[#This Row],[VEHIDCODE]])),ISNUMBER(SEARCH("coach_",CONTROL[[#This Row],[VEHIDCODE]])))</f>
        <v>1</v>
      </c>
      <c r="H748" t="str">
        <f>"item_"&amp;CONTROL[[#This Row],[VEHIDCODE]]</f>
        <v>item_mu_Coach_Gen3_Mk1_Regional_Coach</v>
      </c>
      <c r="I748" t="str">
        <f>"str_"&amp;CONTROL[[#This Row],[VEHIDCODE]]</f>
        <v>str_mu_Coach_Gen3_Mk1_Regional_Coach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t="b">
        <f>ISNUMBER(_xlfn.XMATCH(CONTROL[[#This Row],[VEHIDCODE]],ENGLISH_ITEMS[VEHIDCODE],0))</f>
        <v>1</v>
      </c>
    </row>
    <row r="749" spans="1:16">
      <c r="A749" s="2" t="s">
        <v>794</v>
      </c>
      <c r="B749" t="str">
        <f>_xlfn.TEXTAFTER(TRACK_TYPES[[#This Row],[VEHIDCODE]],"_")</f>
        <v>Coach_Gen3_Mk1_Mail_Coach</v>
      </c>
      <c r="C749" t="s">
        <v>747</v>
      </c>
      <c r="D749" t="s">
        <v>961</v>
      </c>
      <c r="E749">
        <v>11030</v>
      </c>
      <c r="F749" t="b">
        <f>AND(CONTROL[[#This Row],[IS_WAGON_OR_COACH]]=TRUE,OR(RIGHT(CONTROL[[#This Row],[VEHIDCODE]],7)="Powered",RIGHT(CONTROL[[#This Row],[VEHIDCODE]],9)="Unpowered"))</f>
        <v>0</v>
      </c>
      <c r="G749" s="2" t="b">
        <f>OR(ISNUMBER(SEARCH("wagon_",CONTROL[[#This Row],[VEHIDCODE]])),ISNUMBER(SEARCH("coach_",CONTROL[[#This Row],[VEHIDCODE]])))</f>
        <v>1</v>
      </c>
      <c r="H749" t="str">
        <f>"item_"&amp;CONTROL[[#This Row],[VEHIDCODE]]</f>
        <v>item_mu_Coach_Gen3_Mk1_Mail_Coach</v>
      </c>
      <c r="I749" t="str">
        <f>"str_"&amp;CONTROL[[#This Row],[VEHIDCODE]]</f>
        <v>str_mu_Coach_Gen3_Mk1_Mail_Coach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t="b">
        <f>ISNUMBER(_xlfn.XMATCH(CONTROL[[#This Row],[VEHIDCODE]],ENGLISH_ITEMS[VEHIDCODE],0))</f>
        <v>1</v>
      </c>
    </row>
    <row r="750" spans="1:16">
      <c r="A750" s="2" t="s">
        <v>795</v>
      </c>
      <c r="B750" t="str">
        <f>_xlfn.TEXTAFTER(TRACK_TYPES[[#This Row],[VEHIDCODE]],"_")</f>
        <v>Coach_Gen3_UIC_X_Intercity_Coach</v>
      </c>
      <c r="C750" t="s">
        <v>747</v>
      </c>
      <c r="D750" t="s">
        <v>961</v>
      </c>
      <c r="E750">
        <v>11031</v>
      </c>
      <c r="F750" t="b">
        <f>AND(CONTROL[[#This Row],[IS_WAGON_OR_COACH]]=TRUE,OR(RIGHT(CONTROL[[#This Row],[VEHIDCODE]],7)="Powered",RIGHT(CONTROL[[#This Row],[VEHIDCODE]],9)="Unpowered"))</f>
        <v>0</v>
      </c>
      <c r="G750" s="2" t="b">
        <f>OR(ISNUMBER(SEARCH("wagon_",CONTROL[[#This Row],[VEHIDCODE]])),ISNUMBER(SEARCH("coach_",CONTROL[[#This Row],[VEHIDCODE]])))</f>
        <v>1</v>
      </c>
      <c r="H750" t="str">
        <f>"item_"&amp;CONTROL[[#This Row],[VEHIDCODE]]</f>
        <v>item_mu_Coach_Gen3_UIC_X_Intercity_Coach</v>
      </c>
      <c r="I750" t="str">
        <f>"str_"&amp;CONTROL[[#This Row],[VEHIDCODE]]</f>
        <v>str_mu_Coach_Gen3_UIC_X_Intercity_Coach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t="b">
        <f>ISNUMBER(_xlfn.XMATCH(CONTROL[[#This Row],[VEHIDCODE]],ENGLISH_ITEMS[VEHIDCODE],0))</f>
        <v>1</v>
      </c>
    </row>
    <row r="751" spans="1:16">
      <c r="A751" s="2" t="s">
        <v>796</v>
      </c>
      <c r="B751" t="str">
        <f>_xlfn.TEXTAFTER(TRACK_TYPES[[#This Row],[VEHIDCODE]],"_")</f>
        <v>Coach_Gen3_TEE_Intercity_Coach</v>
      </c>
      <c r="C751" t="s">
        <v>747</v>
      </c>
      <c r="D751" t="s">
        <v>961</v>
      </c>
      <c r="E751">
        <v>11032</v>
      </c>
      <c r="F751" t="b">
        <f>AND(CONTROL[[#This Row],[IS_WAGON_OR_COACH]]=TRUE,OR(RIGHT(CONTROL[[#This Row],[VEHIDCODE]],7)="Powered",RIGHT(CONTROL[[#This Row],[VEHIDCODE]],9)="Unpowered"))</f>
        <v>0</v>
      </c>
      <c r="G751" s="2" t="b">
        <f>OR(ISNUMBER(SEARCH("wagon_",CONTROL[[#This Row],[VEHIDCODE]])),ISNUMBER(SEARCH("coach_",CONTROL[[#This Row],[VEHIDCODE]])))</f>
        <v>1</v>
      </c>
      <c r="H751" t="str">
        <f>"item_"&amp;CONTROL[[#This Row],[VEHIDCODE]]</f>
        <v>item_mu_Coach_Gen3_TEE_Intercity_Coach</v>
      </c>
      <c r="I751" t="str">
        <f>"str_"&amp;CONTROL[[#This Row],[VEHIDCODE]]</f>
        <v>str_mu_Coach_Gen3_TEE_Intercity_Coach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t="b">
        <f>ISNUMBER(_xlfn.XMATCH(CONTROL[[#This Row],[VEHIDCODE]],ENGLISH_ITEMS[VEHIDCODE],0))</f>
        <v>1</v>
      </c>
    </row>
    <row r="752" spans="1:16">
      <c r="A752" s="2" t="s">
        <v>797</v>
      </c>
      <c r="B752" t="str">
        <f>_xlfn.TEXTAFTER(TRACK_TYPES[[#This Row],[VEHIDCODE]],"_")</f>
        <v>Coach_Gen3_UIC_X_Regional_Coach</v>
      </c>
      <c r="C752" t="s">
        <v>747</v>
      </c>
      <c r="D752" t="s">
        <v>961</v>
      </c>
      <c r="E752">
        <v>11033</v>
      </c>
      <c r="F752" t="b">
        <f>AND(CONTROL[[#This Row],[IS_WAGON_OR_COACH]]=TRUE,OR(RIGHT(CONTROL[[#This Row],[VEHIDCODE]],7)="Powered",RIGHT(CONTROL[[#This Row],[VEHIDCODE]],9)="Unpowered"))</f>
        <v>0</v>
      </c>
      <c r="G752" s="2" t="b">
        <f>OR(ISNUMBER(SEARCH("wagon_",CONTROL[[#This Row],[VEHIDCODE]])),ISNUMBER(SEARCH("coach_",CONTROL[[#This Row],[VEHIDCODE]])))</f>
        <v>1</v>
      </c>
      <c r="H752" t="str">
        <f>"item_"&amp;CONTROL[[#This Row],[VEHIDCODE]]</f>
        <v>item_mu_Coach_Gen3_UIC_X_Regional_Coach</v>
      </c>
      <c r="I752" t="str">
        <f>"str_"&amp;CONTROL[[#This Row],[VEHIDCODE]]</f>
        <v>str_mu_Coach_Gen3_UIC_X_Regional_Coach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t="b">
        <f>ISNUMBER(_xlfn.XMATCH(CONTROL[[#This Row],[VEHIDCODE]],ENGLISH_ITEMS[VEHIDCODE],0))</f>
        <v>1</v>
      </c>
    </row>
    <row r="753" spans="1:16">
      <c r="A753" s="2" t="s">
        <v>798</v>
      </c>
      <c r="B753" t="str">
        <f>_xlfn.TEXTAFTER(TRACK_TYPES[[#This Row],[VEHIDCODE]],"_")</f>
        <v>Coach_Gen3_Umbauwagen_Local_Coach</v>
      </c>
      <c r="C753" t="s">
        <v>747</v>
      </c>
      <c r="D753" t="s">
        <v>961</v>
      </c>
      <c r="E753">
        <v>11034</v>
      </c>
      <c r="F753" t="b">
        <f>AND(CONTROL[[#This Row],[IS_WAGON_OR_COACH]]=TRUE,OR(RIGHT(CONTROL[[#This Row],[VEHIDCODE]],7)="Powered",RIGHT(CONTROL[[#This Row],[VEHIDCODE]],9)="Unpowered"))</f>
        <v>0</v>
      </c>
      <c r="G753" s="2" t="b">
        <f>OR(ISNUMBER(SEARCH("wagon_",CONTROL[[#This Row],[VEHIDCODE]])),ISNUMBER(SEARCH("coach_",CONTROL[[#This Row],[VEHIDCODE]])))</f>
        <v>1</v>
      </c>
      <c r="H753" t="str">
        <f>"item_"&amp;CONTROL[[#This Row],[VEHIDCODE]]</f>
        <v>item_mu_Coach_Gen3_Umbauwagen_Local_Coach</v>
      </c>
      <c r="I753" t="str">
        <f>"str_"&amp;CONTROL[[#This Row],[VEHIDCODE]]</f>
        <v>str_mu_Coach_Gen3_Umbauwagen_Local_Coach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t="b">
        <f>ISNUMBER(_xlfn.XMATCH(CONTROL[[#This Row],[VEHIDCODE]],ENGLISH_ITEMS[VEHIDCODE],0))</f>
        <v>1</v>
      </c>
    </row>
    <row r="754" spans="1:16">
      <c r="A754" s="2" t="s">
        <v>799</v>
      </c>
      <c r="B754" t="str">
        <f>_xlfn.TEXTAFTER(TRACK_TYPES[[#This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b">
        <f>AND(CONTROL[[#This Row],[IS_WAGON_OR_COACH]]=TRUE,OR(RIGHT(CONTROL[[#This Row],[VEHIDCODE]],7)="Powered",RIGHT(CONTROL[[#This Row],[VEHIDCODE]],9)="Unpowered"))</f>
        <v>0</v>
      </c>
      <c r="G754" s="2" t="b">
        <f>OR(ISNUMBER(SEARCH("wagon_",CONTROL[[#This Row],[VEHIDCODE]])),ISNUMBER(SEARCH("coach_",CONTROL[[#This Row],[VEHIDCODE]])))</f>
        <v>1</v>
      </c>
      <c r="H754" t="str">
        <f>"item_"&amp;CONTROL[[#This Row],[VEHIDCODE]]</f>
        <v>item_mu_Coach_Gen3_Doppelstockwagen_Local_Coach</v>
      </c>
      <c r="I754" t="str">
        <f>"str_"&amp;CONTROL[[#This Row],[VEHIDCODE]]</f>
        <v>str_mu_Coach_Gen3_Doppelstockwagen_Local_Coach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t="b">
        <f>ISNUMBER(_xlfn.XMATCH(CONTROL[[#This Row],[VEHIDCODE]],ENGLISH_ITEMS[VEHIDCODE],0))</f>
        <v>1</v>
      </c>
    </row>
    <row r="755" spans="1:16">
      <c r="A755" s="2" t="s">
        <v>800</v>
      </c>
      <c r="B755" t="str">
        <f>_xlfn.TEXTAFTER(TRACK_TYPES[[#This Row],[VEHIDCODE]],"_")</f>
        <v>Coach_Gen3_UIC_X_Mail_Coach</v>
      </c>
      <c r="C755" t="s">
        <v>747</v>
      </c>
      <c r="D755" t="s">
        <v>961</v>
      </c>
      <c r="E755">
        <v>11036</v>
      </c>
      <c r="F755" t="b">
        <f>AND(CONTROL[[#This Row],[IS_WAGON_OR_COACH]]=TRUE,OR(RIGHT(CONTROL[[#This Row],[VEHIDCODE]],7)="Powered",RIGHT(CONTROL[[#This Row],[VEHIDCODE]],9)="Unpowered"))</f>
        <v>0</v>
      </c>
      <c r="G755" s="2" t="b">
        <f>OR(ISNUMBER(SEARCH("wagon_",CONTROL[[#This Row],[VEHIDCODE]])),ISNUMBER(SEARCH("coach_",CONTROL[[#This Row],[VEHIDCODE]])))</f>
        <v>1</v>
      </c>
      <c r="H755" t="str">
        <f>"item_"&amp;CONTROL[[#This Row],[VEHIDCODE]]</f>
        <v>item_mu_Coach_Gen3_UIC_X_Mail_Coach</v>
      </c>
      <c r="I755" t="str">
        <f>"str_"&amp;CONTROL[[#This Row],[VEHIDCODE]]</f>
        <v>str_mu_Coach_Gen3_UIC_X_Mail_Coach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t="b">
        <f>ISNUMBER(_xlfn.XMATCH(CONTROL[[#This Row],[VEHIDCODE]],ENGLISH_ITEMS[VEHIDCODE],0))</f>
        <v>1</v>
      </c>
    </row>
    <row r="756" spans="1:16">
      <c r="A756" s="2" t="s">
        <v>801</v>
      </c>
      <c r="B756" t="str">
        <f>_xlfn.TEXTAFTER(TRACK_TYPES[[#This Row],[VEHIDCODE]],"_")</f>
        <v>Coach_Gen3_Indian_Intercity_Coach</v>
      </c>
      <c r="C756" t="s">
        <v>747</v>
      </c>
      <c r="D756" t="s">
        <v>961</v>
      </c>
      <c r="E756">
        <v>11037</v>
      </c>
      <c r="F756" t="b">
        <f>AND(CONTROL[[#This Row],[IS_WAGON_OR_COACH]]=TRUE,OR(RIGHT(CONTROL[[#This Row],[VEHIDCODE]],7)="Powered",RIGHT(CONTROL[[#This Row],[VEHIDCODE]],9)="Unpowered"))</f>
        <v>0</v>
      </c>
      <c r="G756" s="2" t="b">
        <f>OR(ISNUMBER(SEARCH("wagon_",CONTROL[[#This Row],[VEHIDCODE]])),ISNUMBER(SEARCH("coach_",CONTROL[[#This Row],[VEHIDCODE]])))</f>
        <v>1</v>
      </c>
      <c r="H756" t="str">
        <f>"item_"&amp;CONTROL[[#This Row],[VEHIDCODE]]</f>
        <v>item_mu_Coach_Gen3_Indian_Intercity_Coach</v>
      </c>
      <c r="I756" t="str">
        <f>"str_"&amp;CONTROL[[#This Row],[VEHIDCODE]]</f>
        <v>str_mu_Coach_Gen3_Indian_Intercity_Coach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t="b">
        <f>ISNUMBER(_xlfn.XMATCH(CONTROL[[#This Row],[VEHIDCODE]],ENGLISH_ITEMS[VEHIDCODE],0))</f>
        <v>1</v>
      </c>
    </row>
    <row r="757" spans="1:16">
      <c r="A757" s="2" t="s">
        <v>802</v>
      </c>
      <c r="B757" t="str">
        <f>_xlfn.TEXTAFTER(TRACK_TYPES[[#This Row],[VEHIDCODE]],"_")</f>
        <v>Coach_Gen3_Indian_Local_Coach</v>
      </c>
      <c r="C757" t="s">
        <v>747</v>
      </c>
      <c r="D757" t="s">
        <v>961</v>
      </c>
      <c r="E757">
        <v>11038</v>
      </c>
      <c r="F757" t="b">
        <f>AND(CONTROL[[#This Row],[IS_WAGON_OR_COACH]]=TRUE,OR(RIGHT(CONTROL[[#This Row],[VEHIDCODE]],7)="Powered",RIGHT(CONTROL[[#This Row],[VEHIDCODE]],9)="Unpowered"))</f>
        <v>0</v>
      </c>
      <c r="G757" s="2" t="b">
        <f>OR(ISNUMBER(SEARCH("wagon_",CONTROL[[#This Row],[VEHIDCODE]])),ISNUMBER(SEARCH("coach_",CONTROL[[#This Row],[VEHIDCODE]])))</f>
        <v>1</v>
      </c>
      <c r="H757" t="str">
        <f>"item_"&amp;CONTROL[[#This Row],[VEHIDCODE]]</f>
        <v>item_mu_Coach_Gen3_Indian_Local_Coach</v>
      </c>
      <c r="I757" t="str">
        <f>"str_"&amp;CONTROL[[#This Row],[VEHIDCODE]]</f>
        <v>str_mu_Coach_Gen3_Indian_Local_Coach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t="b">
        <f>ISNUMBER(_xlfn.XMATCH(CONTROL[[#This Row],[VEHIDCODE]],ENGLISH_ITEMS[VEHIDCODE],0))</f>
        <v>1</v>
      </c>
    </row>
    <row r="758" spans="1:16">
      <c r="A758" s="2" t="s">
        <v>803</v>
      </c>
      <c r="B758" t="str">
        <f>_xlfn.TEXTAFTER(TRACK_TYPES[[#This Row],[VEHIDCODE]],"_")</f>
        <v>Coach_Gen3_Indian_Regional_Coach</v>
      </c>
      <c r="C758" t="s">
        <v>747</v>
      </c>
      <c r="D758" t="s">
        <v>961</v>
      </c>
      <c r="E758">
        <v>11039</v>
      </c>
      <c r="F758" t="b">
        <f>AND(CONTROL[[#This Row],[IS_WAGON_OR_COACH]]=TRUE,OR(RIGHT(CONTROL[[#This Row],[VEHIDCODE]],7)="Powered",RIGHT(CONTROL[[#This Row],[VEHIDCODE]],9)="Unpowered"))</f>
        <v>0</v>
      </c>
      <c r="G758" s="2" t="b">
        <f>OR(ISNUMBER(SEARCH("wagon_",CONTROL[[#This Row],[VEHIDCODE]])),ISNUMBER(SEARCH("coach_",CONTROL[[#This Row],[VEHIDCODE]])))</f>
        <v>1</v>
      </c>
      <c r="H758" t="str">
        <f>"item_"&amp;CONTROL[[#This Row],[VEHIDCODE]]</f>
        <v>item_mu_Coach_Gen3_Indian_Regional_Coach</v>
      </c>
      <c r="I758" t="str">
        <f>"str_"&amp;CONTROL[[#This Row],[VEHIDCODE]]</f>
        <v>str_mu_Coach_Gen3_Indian_Regional_Coach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t="b">
        <f>ISNUMBER(_xlfn.XMATCH(CONTROL[[#This Row],[VEHIDCODE]],ENGLISH_ITEMS[VEHIDCODE],0))</f>
        <v>1</v>
      </c>
    </row>
    <row r="759" spans="1:16">
      <c r="A759" s="2" t="s">
        <v>804</v>
      </c>
      <c r="B759" t="str">
        <f>_xlfn.TEXTAFTER(TRACK_TYPES[[#This Row],[VEHIDCODE]],"_")</f>
        <v>Coach_Gen3_Indian_Mail_Coach</v>
      </c>
      <c r="C759" t="s">
        <v>747</v>
      </c>
      <c r="D759" t="s">
        <v>961</v>
      </c>
      <c r="E759">
        <v>11040</v>
      </c>
      <c r="F759" t="b">
        <f>AND(CONTROL[[#This Row],[IS_WAGON_OR_COACH]]=TRUE,OR(RIGHT(CONTROL[[#This Row],[VEHIDCODE]],7)="Powered",RIGHT(CONTROL[[#This Row],[VEHIDCODE]],9)="Unpowered"))</f>
        <v>0</v>
      </c>
      <c r="G759" s="2" t="b">
        <f>OR(ISNUMBER(SEARCH("wagon_",CONTROL[[#This Row],[VEHIDCODE]])),ISNUMBER(SEARCH("coach_",CONTROL[[#This Row],[VEHIDCODE]])))</f>
        <v>1</v>
      </c>
      <c r="H759" t="str">
        <f>"item_"&amp;CONTROL[[#This Row],[VEHIDCODE]]</f>
        <v>item_mu_Coach_Gen3_Indian_Mail_Coach</v>
      </c>
      <c r="I759" t="str">
        <f>"str_"&amp;CONTROL[[#This Row],[VEHIDCODE]]</f>
        <v>str_mu_Coach_Gen3_Indian_Mail_Coach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t="b">
        <f>ISNUMBER(_xlfn.XMATCH(CONTROL[[#This Row],[VEHIDCODE]],ENGLISH_ITEMS[VEHIDCODE],0))</f>
        <v>1</v>
      </c>
    </row>
    <row r="760" spans="1:16">
      <c r="A760" s="2" t="s">
        <v>805</v>
      </c>
      <c r="B760" t="str">
        <f>_xlfn.TEXTAFTER(TRACK_TYPES[[#This Row],[VEHIDCODE]],"_")</f>
        <v>Coach_Gen4_Eurofima_Intercity_Coach</v>
      </c>
      <c r="C760" t="s">
        <v>748</v>
      </c>
      <c r="D760" t="s">
        <v>961</v>
      </c>
      <c r="E760">
        <v>11041</v>
      </c>
      <c r="F760" t="b">
        <f>AND(CONTROL[[#This Row],[IS_WAGON_OR_COACH]]=TRUE,OR(RIGHT(CONTROL[[#This Row],[VEHIDCODE]],7)="Powered",RIGHT(CONTROL[[#This Row],[VEHIDCODE]],9)="Unpowered"))</f>
        <v>0</v>
      </c>
      <c r="G760" s="2" t="b">
        <f>OR(ISNUMBER(SEARCH("wagon_",CONTROL[[#This Row],[VEHIDCODE]])),ISNUMBER(SEARCH("coach_",CONTROL[[#This Row],[VEHIDCODE]])))</f>
        <v>1</v>
      </c>
      <c r="H760" t="str">
        <f>"item_"&amp;CONTROL[[#This Row],[VEHIDCODE]]</f>
        <v>item_mu_Coach_Gen4_Eurofima_Intercity_Coach</v>
      </c>
      <c r="I760" t="str">
        <f>"str_"&amp;CONTROL[[#This Row],[VEHIDCODE]]</f>
        <v>str_mu_Coach_Gen4_Eurofima_Intercity_Coach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t="b">
        <f>ISNUMBER(_xlfn.XMATCH(CONTROL[[#This Row],[VEHIDCODE]],ENGLISH_ITEMS[VEHIDCODE],0))</f>
        <v>1</v>
      </c>
    </row>
    <row r="761" spans="1:16">
      <c r="A761" s="2" t="s">
        <v>806</v>
      </c>
      <c r="B761" t="str">
        <f>_xlfn.TEXTAFTER(TRACK_TYPES[[#This Row],[VEHIDCODE]],"_")</f>
        <v>Coach_Gen4_InterRegio_Coach</v>
      </c>
      <c r="C761" t="s">
        <v>748</v>
      </c>
      <c r="D761" t="s">
        <v>961</v>
      </c>
      <c r="E761">
        <v>11042</v>
      </c>
      <c r="F761" t="b">
        <f>AND(CONTROL[[#This Row],[IS_WAGON_OR_COACH]]=TRUE,OR(RIGHT(CONTROL[[#This Row],[VEHIDCODE]],7)="Powered",RIGHT(CONTROL[[#This Row],[VEHIDCODE]],9)="Unpowered"))</f>
        <v>0</v>
      </c>
      <c r="G761" s="2" t="b">
        <f>OR(ISNUMBER(SEARCH("wagon_",CONTROL[[#This Row],[VEHIDCODE]])),ISNUMBER(SEARCH("coach_",CONTROL[[#This Row],[VEHIDCODE]])))</f>
        <v>1</v>
      </c>
      <c r="H761" t="str">
        <f>"item_"&amp;CONTROL[[#This Row],[VEHIDCODE]]</f>
        <v>item_mu_Coach_Gen4_InterRegio_Coach</v>
      </c>
      <c r="I761" t="str">
        <f>"str_"&amp;CONTROL[[#This Row],[VEHIDCODE]]</f>
        <v>str_mu_Coach_Gen4_InterRegio_Coach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t="b">
        <f>ISNUMBER(_xlfn.XMATCH(CONTROL[[#This Row],[VEHIDCODE]],ENGLISH_ITEMS[VEHIDCODE],0))</f>
        <v>1</v>
      </c>
    </row>
    <row r="762" spans="1:16">
      <c r="A762" s="2" t="s">
        <v>807</v>
      </c>
      <c r="B762" t="str">
        <f>_xlfn.TEXTAFTER(TRACK_TYPES[[#This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b">
        <f>AND(CONTROL[[#This Row],[IS_WAGON_OR_COACH]]=TRUE,OR(RIGHT(CONTROL[[#This Row],[VEHIDCODE]],7)="Powered",RIGHT(CONTROL[[#This Row],[VEHIDCODE]],9)="Unpowered"))</f>
        <v>0</v>
      </c>
      <c r="G762" s="2" t="b">
        <f>OR(ISNUMBER(SEARCH("wagon_",CONTROL[[#This Row],[VEHIDCODE]])),ISNUMBER(SEARCH("coach_",CONTROL[[#This Row],[VEHIDCODE]])))</f>
        <v>1</v>
      </c>
      <c r="H762" t="str">
        <f>"item_"&amp;CONTROL[[#This Row],[VEHIDCODE]]</f>
        <v>item_mu_Coach_Gen4_Silberling_Commuter_Coach</v>
      </c>
      <c r="I762" t="str">
        <f>"str_"&amp;CONTROL[[#This Row],[VEHIDCODE]]</f>
        <v>str_mu_Coach_Gen4_Silberling_Commuter_Coach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t="b">
        <f>ISNUMBER(_xlfn.XMATCH(CONTROL[[#This Row],[VEHIDCODE]],ENGLISH_ITEMS[VEHIDCODE],0))</f>
        <v>1</v>
      </c>
    </row>
    <row r="763" spans="1:16">
      <c r="A763" s="2" t="s">
        <v>808</v>
      </c>
      <c r="B763" t="str">
        <f>_xlfn.TEXTAFTER(TRACK_TYPES[[#This Row],[VEHIDCODE]],"_")</f>
        <v>Coach_Gen4_Eurofima_Mail_Coach</v>
      </c>
      <c r="C763" t="s">
        <v>748</v>
      </c>
      <c r="D763" t="s">
        <v>961</v>
      </c>
      <c r="E763">
        <v>11044</v>
      </c>
      <c r="F763" t="b">
        <f>AND(CONTROL[[#This Row],[IS_WAGON_OR_COACH]]=TRUE,OR(RIGHT(CONTROL[[#This Row],[VEHIDCODE]],7)="Powered",RIGHT(CONTROL[[#This Row],[VEHIDCODE]],9)="Unpowered"))</f>
        <v>0</v>
      </c>
      <c r="G763" s="2" t="b">
        <f>OR(ISNUMBER(SEARCH("wagon_",CONTROL[[#This Row],[VEHIDCODE]])),ISNUMBER(SEARCH("coach_",CONTROL[[#This Row],[VEHIDCODE]])))</f>
        <v>1</v>
      </c>
      <c r="H763" t="str">
        <f>"item_"&amp;CONTROL[[#This Row],[VEHIDCODE]]</f>
        <v>item_mu_Coach_Gen4_Eurofima_Mail_Coach</v>
      </c>
      <c r="I763" t="str">
        <f>"str_"&amp;CONTROL[[#This Row],[VEHIDCODE]]</f>
        <v>str_mu_Coach_Gen4_Eurofima_Mail_Coach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t="b">
        <f>ISNUMBER(_xlfn.XMATCH(CONTROL[[#This Row],[VEHIDCODE]],ENGLISH_ITEMS[VEHIDCODE],0))</f>
        <v>1</v>
      </c>
    </row>
    <row r="764" spans="1:16">
      <c r="A764" s="2" t="s">
        <v>809</v>
      </c>
      <c r="B764" t="str">
        <f>_xlfn.TEXTAFTER(TRACK_TYPES[[#This Row],[VEHIDCODE]],"_")</f>
        <v>Coach_Gen4_Double_Decker_Coach</v>
      </c>
      <c r="C764" t="s">
        <v>748</v>
      </c>
      <c r="D764" t="s">
        <v>961</v>
      </c>
      <c r="E764">
        <v>11045</v>
      </c>
      <c r="F764" t="b">
        <f>AND(CONTROL[[#This Row],[IS_WAGON_OR_COACH]]=TRUE,OR(RIGHT(CONTROL[[#This Row],[VEHIDCODE]],7)="Powered",RIGHT(CONTROL[[#This Row],[VEHIDCODE]],9)="Unpowered"))</f>
        <v>0</v>
      </c>
      <c r="G764" s="2" t="b">
        <f>OR(ISNUMBER(SEARCH("wagon_",CONTROL[[#This Row],[VEHIDCODE]])),ISNUMBER(SEARCH("coach_",CONTROL[[#This Row],[VEHIDCODE]])))</f>
        <v>1</v>
      </c>
      <c r="H764" t="str">
        <f>"item_"&amp;CONTROL[[#This Row],[VEHIDCODE]]</f>
        <v>item_mu_Coach_Gen4_Double_Decker_Coach</v>
      </c>
      <c r="I764" t="str">
        <f>"str_"&amp;CONTROL[[#This Row],[VEHIDCODE]]</f>
        <v>str_mu_Coach_Gen4_Double_Decker_Coach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t="b">
        <f>ISNUMBER(_xlfn.XMATCH(CONTROL[[#This Row],[VEHIDCODE]],ENGLISH_ITEMS[VEHIDCODE],0))</f>
        <v>1</v>
      </c>
    </row>
    <row r="765" spans="1:16">
      <c r="A765" s="2" t="s">
        <v>810</v>
      </c>
      <c r="B765" t="str">
        <f>_xlfn.TEXTAFTER(TRACK_TYPES[[#This Row],[VEHIDCODE]],"_")</f>
        <v>Coach_Gen4_Russian_Intercity_Coach</v>
      </c>
      <c r="C765" t="s">
        <v>748</v>
      </c>
      <c r="D765" t="s">
        <v>961</v>
      </c>
      <c r="E765">
        <v>11046</v>
      </c>
      <c r="F765" t="b">
        <f>AND(CONTROL[[#This Row],[IS_WAGON_OR_COACH]]=TRUE,OR(RIGHT(CONTROL[[#This Row],[VEHIDCODE]],7)="Powered",RIGHT(CONTROL[[#This Row],[VEHIDCODE]],9)="Unpowered"))</f>
        <v>0</v>
      </c>
      <c r="G765" s="2" t="b">
        <f>OR(ISNUMBER(SEARCH("wagon_",CONTROL[[#This Row],[VEHIDCODE]])),ISNUMBER(SEARCH("coach_",CONTROL[[#This Row],[VEHIDCODE]])))</f>
        <v>1</v>
      </c>
      <c r="H765" t="str">
        <f>"item_"&amp;CONTROL[[#This Row],[VEHIDCODE]]</f>
        <v>item_mu_Coach_Gen4_Russian_Intercity_Coach</v>
      </c>
      <c r="I765" t="str">
        <f>"str_"&amp;CONTROL[[#This Row],[VEHIDCODE]]</f>
        <v>str_mu_Coach_Gen4_Russian_Intercity_Coach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t="b">
        <f>ISNUMBER(_xlfn.XMATCH(CONTROL[[#This Row],[VEHIDCODE]],ENGLISH_ITEMS[VEHIDCODE],0))</f>
        <v>1</v>
      </c>
    </row>
    <row r="766" spans="1:16">
      <c r="A766" s="2" t="s">
        <v>811</v>
      </c>
      <c r="B766" t="str">
        <f>_xlfn.TEXTAFTER(TRACK_TYPES[[#This Row],[VEHIDCODE]],"_")</f>
        <v>Coach_Gen4_Russian_Regional_Coach</v>
      </c>
      <c r="C766" t="s">
        <v>748</v>
      </c>
      <c r="D766" t="s">
        <v>961</v>
      </c>
      <c r="E766">
        <v>11047</v>
      </c>
      <c r="F766" t="b">
        <f>AND(CONTROL[[#This Row],[IS_WAGON_OR_COACH]]=TRUE,OR(RIGHT(CONTROL[[#This Row],[VEHIDCODE]],7)="Powered",RIGHT(CONTROL[[#This Row],[VEHIDCODE]],9)="Unpowered"))</f>
        <v>0</v>
      </c>
      <c r="G766" s="2" t="b">
        <f>OR(ISNUMBER(SEARCH("wagon_",CONTROL[[#This Row],[VEHIDCODE]])),ISNUMBER(SEARCH("coach_",CONTROL[[#This Row],[VEHIDCODE]])))</f>
        <v>1</v>
      </c>
      <c r="H766" t="str">
        <f>"item_"&amp;CONTROL[[#This Row],[VEHIDCODE]]</f>
        <v>item_mu_Coach_Gen4_Russian_Regional_Coach</v>
      </c>
      <c r="I766" t="str">
        <f>"str_"&amp;CONTROL[[#This Row],[VEHIDCODE]]</f>
        <v>str_mu_Coach_Gen4_Russian_Regional_Coach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t="b">
        <f>ISNUMBER(_xlfn.XMATCH(CONTROL[[#This Row],[VEHIDCODE]],ENGLISH_ITEMS[VEHIDCODE],0))</f>
        <v>1</v>
      </c>
    </row>
    <row r="767" spans="1:16">
      <c r="A767" s="2" t="s">
        <v>812</v>
      </c>
      <c r="B767" t="str">
        <f>_xlfn.TEXTAFTER(TRACK_TYPES[[#This Row],[VEHIDCODE]],"_")</f>
        <v>Coach_Gen4_Russian_Mail_Coach</v>
      </c>
      <c r="C767" t="s">
        <v>748</v>
      </c>
      <c r="D767" t="s">
        <v>961</v>
      </c>
      <c r="E767">
        <v>11048</v>
      </c>
      <c r="F767" t="b">
        <f>AND(CONTROL[[#This Row],[IS_WAGON_OR_COACH]]=TRUE,OR(RIGHT(CONTROL[[#This Row],[VEHIDCODE]],7)="Powered",RIGHT(CONTROL[[#This Row],[VEHIDCODE]],9)="Unpowered"))</f>
        <v>0</v>
      </c>
      <c r="G767" s="2" t="b">
        <f>OR(ISNUMBER(SEARCH("wagon_",CONTROL[[#This Row],[VEHIDCODE]])),ISNUMBER(SEARCH("coach_",CONTROL[[#This Row],[VEHIDCODE]])))</f>
        <v>1</v>
      </c>
      <c r="H767" t="str">
        <f>"item_"&amp;CONTROL[[#This Row],[VEHIDCODE]]</f>
        <v>item_mu_Coach_Gen4_Russian_Mail_Coach</v>
      </c>
      <c r="I767" t="str">
        <f>"str_"&amp;CONTROL[[#This Row],[VEHIDCODE]]</f>
        <v>str_mu_Coach_Gen4_Russian_Mail_Coach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t="b">
        <f>ISNUMBER(_xlfn.XMATCH(CONTROL[[#This Row],[VEHIDCODE]],ENGLISH_ITEMS[VEHIDCODE],0))</f>
        <v>1</v>
      </c>
    </row>
    <row r="768" spans="1:16">
      <c r="A768" s="2" t="s">
        <v>813</v>
      </c>
      <c r="B768" t="str">
        <f>_xlfn.TEXTAFTER(TRACK_TYPES[[#This Row],[VEHIDCODE]],"_")</f>
        <v>Coach_Gen4_Superliner_Coach</v>
      </c>
      <c r="C768" t="s">
        <v>748</v>
      </c>
      <c r="D768" t="s">
        <v>961</v>
      </c>
      <c r="E768">
        <v>11049</v>
      </c>
      <c r="F768" t="b">
        <f>AND(CONTROL[[#This Row],[IS_WAGON_OR_COACH]]=TRUE,OR(RIGHT(CONTROL[[#This Row],[VEHIDCODE]],7)="Powered",RIGHT(CONTROL[[#This Row],[VEHIDCODE]],9)="Unpowered"))</f>
        <v>0</v>
      </c>
      <c r="G768" s="2" t="b">
        <f>OR(ISNUMBER(SEARCH("wagon_",CONTROL[[#This Row],[VEHIDCODE]])),ISNUMBER(SEARCH("coach_",CONTROL[[#This Row],[VEHIDCODE]])))</f>
        <v>1</v>
      </c>
      <c r="H768" t="str">
        <f>"item_"&amp;CONTROL[[#This Row],[VEHIDCODE]]</f>
        <v>item_mu_Coach_Gen4_Superliner_Coach</v>
      </c>
      <c r="I768" t="str">
        <f>"str_"&amp;CONTROL[[#This Row],[VEHIDCODE]]</f>
        <v>str_mu_Coach_Gen4_Superliner_Coach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t="b">
        <f>ISNUMBER(_xlfn.XMATCH(CONTROL[[#This Row],[VEHIDCODE]],ENGLISH_ITEMS[VEHIDCODE],0))</f>
        <v>1</v>
      </c>
    </row>
    <row r="769" spans="1:16">
      <c r="A769" s="2" t="s">
        <v>814</v>
      </c>
      <c r="B769" t="str">
        <f>_xlfn.TEXTAFTER(TRACK_TYPES[[#This Row],[VEHIDCODE]],"_")</f>
        <v>Coach_Gen4_Superliner_California</v>
      </c>
      <c r="C769" t="s">
        <v>748</v>
      </c>
      <c r="D769" t="s">
        <v>961</v>
      </c>
      <c r="E769">
        <v>11050</v>
      </c>
      <c r="F769" t="b">
        <f>AND(CONTROL[[#This Row],[IS_WAGON_OR_COACH]]=TRUE,OR(RIGHT(CONTROL[[#This Row],[VEHIDCODE]],7)="Powered",RIGHT(CONTROL[[#This Row],[VEHIDCODE]],9)="Unpowered"))</f>
        <v>0</v>
      </c>
      <c r="G769" s="2" t="b">
        <f>OR(ISNUMBER(SEARCH("wagon_",CONTROL[[#This Row],[VEHIDCODE]])),ISNUMBER(SEARCH("coach_",CONTROL[[#This Row],[VEHIDCODE]])))</f>
        <v>1</v>
      </c>
      <c r="H769" t="str">
        <f>"item_"&amp;CONTROL[[#This Row],[VEHIDCODE]]</f>
        <v>item_mu_Coach_Gen4_Superliner_California</v>
      </c>
      <c r="I769" t="str">
        <f>"str_"&amp;CONTROL[[#This Row],[VEHIDCODE]]</f>
        <v>str_mu_Coach_Gen4_Superliner_California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t="b">
        <f>ISNUMBER(_xlfn.XMATCH(CONTROL[[#This Row],[VEHIDCODE]],ENGLISH_ITEMS[VEHIDCODE],0))</f>
        <v>1</v>
      </c>
    </row>
    <row r="770" spans="1:16">
      <c r="A770" s="2" t="s">
        <v>815</v>
      </c>
      <c r="B770" t="str">
        <f>_xlfn.TEXTAFTER(TRACK_TYPES[[#This Row],[VEHIDCODE]],"_")</f>
        <v>Coach_Gen4_Amfleet_Regional_Coach</v>
      </c>
      <c r="C770" t="s">
        <v>748</v>
      </c>
      <c r="D770" t="s">
        <v>961</v>
      </c>
      <c r="E770">
        <v>11051</v>
      </c>
      <c r="F770" t="b">
        <f>AND(CONTROL[[#This Row],[IS_WAGON_OR_COACH]]=TRUE,OR(RIGHT(CONTROL[[#This Row],[VEHIDCODE]],7)="Powered",RIGHT(CONTROL[[#This Row],[VEHIDCODE]],9)="Unpowered"))</f>
        <v>0</v>
      </c>
      <c r="G770" s="2" t="b">
        <f>OR(ISNUMBER(SEARCH("wagon_",CONTROL[[#This Row],[VEHIDCODE]])),ISNUMBER(SEARCH("coach_",CONTROL[[#This Row],[VEHIDCODE]])))</f>
        <v>1</v>
      </c>
      <c r="H770" t="str">
        <f>"item_"&amp;CONTROL[[#This Row],[VEHIDCODE]]</f>
        <v>item_mu_Coach_Gen4_Amfleet_Regional_Coach</v>
      </c>
      <c r="I770" t="str">
        <f>"str_"&amp;CONTROL[[#This Row],[VEHIDCODE]]</f>
        <v>str_mu_Coach_Gen4_Amfleet_Regional_Coach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t="b">
        <f>ISNUMBER(_xlfn.XMATCH(CONTROL[[#This Row],[VEHIDCODE]],ENGLISH_ITEMS[VEHIDCODE],0))</f>
        <v>1</v>
      </c>
    </row>
    <row r="771" spans="1:16">
      <c r="A771" s="2" t="s">
        <v>816</v>
      </c>
      <c r="B771" t="str">
        <f>_xlfn.TEXTAFTER(TRACK_TYPES[[#This Row],[VEHIDCODE]],"_")</f>
        <v>Coach_Gen4_Amfleet_Intercity_Coach</v>
      </c>
      <c r="C771" t="s">
        <v>748</v>
      </c>
      <c r="D771" t="s">
        <v>961</v>
      </c>
      <c r="E771">
        <v>11052</v>
      </c>
      <c r="F771" t="b">
        <f>AND(CONTROL[[#This Row],[IS_WAGON_OR_COACH]]=TRUE,OR(RIGHT(CONTROL[[#This Row],[VEHIDCODE]],7)="Powered",RIGHT(CONTROL[[#This Row],[VEHIDCODE]],9)="Unpowered"))</f>
        <v>0</v>
      </c>
      <c r="G771" s="2" t="b">
        <f>OR(ISNUMBER(SEARCH("wagon_",CONTROL[[#This Row],[VEHIDCODE]])),ISNUMBER(SEARCH("coach_",CONTROL[[#This Row],[VEHIDCODE]])))</f>
        <v>1</v>
      </c>
      <c r="H771" t="str">
        <f>"item_"&amp;CONTROL[[#This Row],[VEHIDCODE]]</f>
        <v>item_mu_Coach_Gen4_Amfleet_Intercity_Coach</v>
      </c>
      <c r="I771" t="str">
        <f>"str_"&amp;CONTROL[[#This Row],[VEHIDCODE]]</f>
        <v>str_mu_Coach_Gen4_Amfleet_Intercity_Coach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t="b">
        <f>ISNUMBER(_xlfn.XMATCH(CONTROL[[#This Row],[VEHIDCODE]],ENGLISH_ITEMS[VEHIDCODE],0))</f>
        <v>1</v>
      </c>
    </row>
    <row r="772" spans="1:16">
      <c r="A772" s="2" t="s">
        <v>817</v>
      </c>
      <c r="B772" t="str">
        <f>_xlfn.TEXTAFTER(TRACK_TYPES[[#This Row],[VEHIDCODE]],"_")</f>
        <v>Coach_Gen4_Comet_Commuter_Coach</v>
      </c>
      <c r="C772" t="s">
        <v>748</v>
      </c>
      <c r="D772" t="s">
        <v>961</v>
      </c>
      <c r="E772">
        <v>11053</v>
      </c>
      <c r="F772" t="b">
        <f>AND(CONTROL[[#This Row],[IS_WAGON_OR_COACH]]=TRUE,OR(RIGHT(CONTROL[[#This Row],[VEHIDCODE]],7)="Powered",RIGHT(CONTROL[[#This Row],[VEHIDCODE]],9)="Unpowered"))</f>
        <v>0</v>
      </c>
      <c r="G772" s="2" t="b">
        <f>OR(ISNUMBER(SEARCH("wagon_",CONTROL[[#This Row],[VEHIDCODE]])),ISNUMBER(SEARCH("coach_",CONTROL[[#This Row],[VEHIDCODE]])))</f>
        <v>1</v>
      </c>
      <c r="H772" t="str">
        <f>"item_"&amp;CONTROL[[#This Row],[VEHIDCODE]]</f>
        <v>item_mu_Coach_Gen4_Comet_Commuter_Coach</v>
      </c>
      <c r="I772" t="str">
        <f>"str_"&amp;CONTROL[[#This Row],[VEHIDCODE]]</f>
        <v>str_mu_Coach_Gen4_Comet_Commuter_Coach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t="b">
        <f>ISNUMBER(_xlfn.XMATCH(CONTROL[[#This Row],[VEHIDCODE]],ENGLISH_ITEMS[VEHIDCODE],0))</f>
        <v>1</v>
      </c>
    </row>
    <row r="773" spans="1:16">
      <c r="A773" s="2" t="s">
        <v>818</v>
      </c>
      <c r="B773" t="str">
        <f>_xlfn.TEXTAFTER(TRACK_TYPES[[#This Row],[VEHIDCODE]],"_")</f>
        <v>Coach_Gen4_Horizon_Regional_Coach</v>
      </c>
      <c r="C773" t="s">
        <v>748</v>
      </c>
      <c r="D773" t="s">
        <v>961</v>
      </c>
      <c r="E773">
        <v>11054</v>
      </c>
      <c r="F773" t="b">
        <f>AND(CONTROL[[#This Row],[IS_WAGON_OR_COACH]]=TRUE,OR(RIGHT(CONTROL[[#This Row],[VEHIDCODE]],7)="Powered",RIGHT(CONTROL[[#This Row],[VEHIDCODE]],9)="Unpowered"))</f>
        <v>0</v>
      </c>
      <c r="G773" s="2" t="b">
        <f>OR(ISNUMBER(SEARCH("wagon_",CONTROL[[#This Row],[VEHIDCODE]])),ISNUMBER(SEARCH("coach_",CONTROL[[#This Row],[VEHIDCODE]])))</f>
        <v>1</v>
      </c>
      <c r="H773" t="str">
        <f>"item_"&amp;CONTROL[[#This Row],[VEHIDCODE]]</f>
        <v>item_mu_Coach_Gen4_Horizon_Regional_Coach</v>
      </c>
      <c r="I773" t="str">
        <f>"str_"&amp;CONTROL[[#This Row],[VEHIDCODE]]</f>
        <v>str_mu_Coach_Gen4_Horizon_Regional_Coach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t="b">
        <f>ISNUMBER(_xlfn.XMATCH(CONTROL[[#This Row],[VEHIDCODE]],ENGLISH_ITEMS[VEHIDCODE],0))</f>
        <v>1</v>
      </c>
    </row>
    <row r="774" spans="1:16">
      <c r="A774" s="2" t="s">
        <v>819</v>
      </c>
      <c r="B774" t="str">
        <f>_xlfn.TEXTAFTER(TRACK_TYPES[[#This Row],[VEHIDCODE]],"_")</f>
        <v>Coach_Gen4_Horizon_Baggage_Coach</v>
      </c>
      <c r="C774" t="s">
        <v>748</v>
      </c>
      <c r="D774" t="s">
        <v>961</v>
      </c>
      <c r="E774">
        <v>11055</v>
      </c>
      <c r="F774" t="b">
        <f>AND(CONTROL[[#This Row],[IS_WAGON_OR_COACH]]=TRUE,OR(RIGHT(CONTROL[[#This Row],[VEHIDCODE]],7)="Powered",RIGHT(CONTROL[[#This Row],[VEHIDCODE]],9)="Unpowered"))</f>
        <v>0</v>
      </c>
      <c r="G774" s="2" t="b">
        <f>OR(ISNUMBER(SEARCH("wagon_",CONTROL[[#This Row],[VEHIDCODE]])),ISNUMBER(SEARCH("coach_",CONTROL[[#This Row],[VEHIDCODE]])))</f>
        <v>1</v>
      </c>
      <c r="H774" t="str">
        <f>"item_"&amp;CONTROL[[#This Row],[VEHIDCODE]]</f>
        <v>item_mu_Coach_Gen4_Horizon_Baggage_Coach</v>
      </c>
      <c r="I774" t="str">
        <f>"str_"&amp;CONTROL[[#This Row],[VEHIDCODE]]</f>
        <v>str_mu_Coach_Gen4_Horizon_Baggage_Coach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t="b">
        <f>ISNUMBER(_xlfn.XMATCH(CONTROL[[#This Row],[VEHIDCODE]],ENGLISH_ITEMS[VEHIDCODE],0))</f>
        <v>1</v>
      </c>
    </row>
    <row r="775" spans="1:16">
      <c r="A775" s="2" t="s">
        <v>820</v>
      </c>
      <c r="B775" t="str">
        <f>_xlfn.TEXTAFTER(TRACK_TYPES[[#This Row],[VEHIDCODE]],"_")</f>
        <v>Coach_Gen4_Bombardier_Bi_level</v>
      </c>
      <c r="C775" t="s">
        <v>748</v>
      </c>
      <c r="D775" t="s">
        <v>961</v>
      </c>
      <c r="E775">
        <v>11056</v>
      </c>
      <c r="F775" t="b">
        <f>AND(CONTROL[[#This Row],[IS_WAGON_OR_COACH]]=TRUE,OR(RIGHT(CONTROL[[#This Row],[VEHIDCODE]],7)="Powered",RIGHT(CONTROL[[#This Row],[VEHIDCODE]],9)="Unpowered"))</f>
        <v>0</v>
      </c>
      <c r="G775" s="2" t="b">
        <f>OR(ISNUMBER(SEARCH("wagon_",CONTROL[[#This Row],[VEHIDCODE]])),ISNUMBER(SEARCH("coach_",CONTROL[[#This Row],[VEHIDCODE]])))</f>
        <v>1</v>
      </c>
      <c r="H775" t="str">
        <f>"item_"&amp;CONTROL[[#This Row],[VEHIDCODE]]</f>
        <v>item_mu_Coach_Gen4_Bombardier_Bi_level</v>
      </c>
      <c r="I775" t="str">
        <f>"str_"&amp;CONTROL[[#This Row],[VEHIDCODE]]</f>
        <v>str_mu_Coach_Gen4_Bombardier_Bi_level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t="b">
        <f>ISNUMBER(_xlfn.XMATCH(CONTROL[[#This Row],[VEHIDCODE]],ENGLISH_ITEMS[VEHIDCODE],0))</f>
        <v>1</v>
      </c>
    </row>
    <row r="776" spans="1:16">
      <c r="A776" s="2" t="s">
        <v>821</v>
      </c>
      <c r="B776" t="str">
        <f>_xlfn.TEXTAFTER(TRACK_TYPES[[#This Row],[VEHIDCODE]],"_")</f>
        <v>Coach_Gen5_High_Speed_Coach</v>
      </c>
      <c r="C776" t="s">
        <v>749</v>
      </c>
      <c r="D776" t="s">
        <v>961</v>
      </c>
      <c r="E776">
        <v>11057</v>
      </c>
      <c r="F776" t="b">
        <f>AND(CONTROL[[#This Row],[IS_WAGON_OR_COACH]]=TRUE,OR(RIGHT(CONTROL[[#This Row],[VEHIDCODE]],7)="Powered",RIGHT(CONTROL[[#This Row],[VEHIDCODE]],9)="Unpowered"))</f>
        <v>0</v>
      </c>
      <c r="G776" s="2" t="b">
        <f>OR(ISNUMBER(SEARCH("wagon_",CONTROL[[#This Row],[VEHIDCODE]])),ISNUMBER(SEARCH("coach_",CONTROL[[#This Row],[VEHIDCODE]])))</f>
        <v>1</v>
      </c>
      <c r="H776" t="str">
        <f>"item_"&amp;CONTROL[[#This Row],[VEHIDCODE]]</f>
        <v>item_mu_Coach_Gen5_High_Speed_Coach</v>
      </c>
      <c r="I776" t="str">
        <f>"str_"&amp;CONTROL[[#This Row],[VEHIDCODE]]</f>
        <v>str_mu_Coach_Gen5_High_Speed_Coach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t="b">
        <f>ISNUMBER(_xlfn.XMATCH(CONTROL[[#This Row],[VEHIDCODE]],ENGLISH_ITEMS[VEHIDCODE],0))</f>
        <v>1</v>
      </c>
    </row>
    <row r="777" spans="1:16">
      <c r="A777" s="2" t="s">
        <v>822</v>
      </c>
      <c r="B777" t="str">
        <f>_xlfn.TEXTAFTER(TRACK_TYPES[[#This Row],[VEHIDCODE]],"_")</f>
        <v>Coach_Gen5_Modern_Regional_Coach</v>
      </c>
      <c r="C777" t="s">
        <v>749</v>
      </c>
      <c r="D777" t="s">
        <v>961</v>
      </c>
      <c r="E777">
        <v>11058</v>
      </c>
      <c r="F777" t="b">
        <f>AND(CONTROL[[#This Row],[IS_WAGON_OR_COACH]]=TRUE,OR(RIGHT(CONTROL[[#This Row],[VEHIDCODE]],7)="Powered",RIGHT(CONTROL[[#This Row],[VEHIDCODE]],9)="Unpowered"))</f>
        <v>0</v>
      </c>
      <c r="G777" s="2" t="b">
        <f>OR(ISNUMBER(SEARCH("wagon_",CONTROL[[#This Row],[VEHIDCODE]])),ISNUMBER(SEARCH("coach_",CONTROL[[#This Row],[VEHIDCODE]])))</f>
        <v>1</v>
      </c>
      <c r="H777" t="str">
        <f>"item_"&amp;CONTROL[[#This Row],[VEHIDCODE]]</f>
        <v>item_mu_Coach_Gen5_Modern_Regional_Coach</v>
      </c>
      <c r="I777" t="str">
        <f>"str_"&amp;CONTROL[[#This Row],[VEHIDCODE]]</f>
        <v>str_mu_Coach_Gen5_Modern_Regional_Coach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t="b">
        <f>ISNUMBER(_xlfn.XMATCH(CONTROL[[#This Row],[VEHIDCODE]],ENGLISH_ITEMS[VEHIDCODE],0))</f>
        <v>1</v>
      </c>
    </row>
    <row r="778" spans="1:16">
      <c r="A778" s="2" t="s">
        <v>823</v>
      </c>
      <c r="B778" t="str">
        <f>_xlfn.TEXTAFTER(TRACK_TYPES[[#This Row],[VEHIDCODE]],"_")</f>
        <v>Coach_Gen5_Modern_Commuter_Coach</v>
      </c>
      <c r="C778" t="s">
        <v>749</v>
      </c>
      <c r="D778" t="s">
        <v>961</v>
      </c>
      <c r="E778">
        <v>11059</v>
      </c>
      <c r="F778" t="b">
        <f>AND(CONTROL[[#This Row],[IS_WAGON_OR_COACH]]=TRUE,OR(RIGHT(CONTROL[[#This Row],[VEHIDCODE]],7)="Powered",RIGHT(CONTROL[[#This Row],[VEHIDCODE]],9)="Unpowered"))</f>
        <v>0</v>
      </c>
      <c r="G778" s="2" t="b">
        <f>OR(ISNUMBER(SEARCH("wagon_",CONTROL[[#This Row],[VEHIDCODE]])),ISNUMBER(SEARCH("coach_",CONTROL[[#This Row],[VEHIDCODE]])))</f>
        <v>1</v>
      </c>
      <c r="H778" t="str">
        <f>"item_"&amp;CONTROL[[#This Row],[VEHIDCODE]]</f>
        <v>item_mu_Coach_Gen5_Modern_Commuter_Coach</v>
      </c>
      <c r="I778" t="str">
        <f>"str_"&amp;CONTROL[[#This Row],[VEHIDCODE]]</f>
        <v>str_mu_Coach_Gen5_Modern_Commuter_Coach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t="b">
        <f>ISNUMBER(_xlfn.XMATCH(CONTROL[[#This Row],[VEHIDCODE]],ENGLISH_ITEMS[VEHIDCODE],0))</f>
        <v>1</v>
      </c>
    </row>
    <row r="779" spans="1:16">
      <c r="A779" s="2" t="s">
        <v>824</v>
      </c>
      <c r="B779" t="str">
        <f>_xlfn.TEXTAFTER(TRACK_TYPES[[#This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b">
        <f>AND(CONTROL[[#This Row],[IS_WAGON_OR_COACH]]=TRUE,OR(RIGHT(CONTROL[[#This Row],[VEHIDCODE]],7)="Powered",RIGHT(CONTROL[[#This Row],[VEHIDCODE]],9)="Unpowered"))</f>
        <v>0</v>
      </c>
      <c r="G779" s="2" t="b">
        <f>OR(ISNUMBER(SEARCH("wagon_",CONTROL[[#This Row],[VEHIDCODE]])),ISNUMBER(SEARCH("coach_",CONTROL[[#This Row],[VEHIDCODE]])))</f>
        <v>1</v>
      </c>
      <c r="H779" t="str">
        <f>"item_"&amp;CONTROL[[#This Row],[VEHIDCODE]]</f>
        <v>item_mu_Coach_Gen5_Modern_Double_Decker_Coach</v>
      </c>
      <c r="I779" t="str">
        <f>"str_"&amp;CONTROL[[#This Row],[VEHIDCODE]]</f>
        <v>str_mu_Coach_Gen5_Modern_Double_Decker_Coach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t="b">
        <f>ISNUMBER(_xlfn.XMATCH(CONTROL[[#This Row],[VEHIDCODE]],ENGLISH_ITEMS[VEHIDCODE],0))</f>
        <v>1</v>
      </c>
    </row>
    <row r="780" spans="1:16">
      <c r="A780" s="2" t="s">
        <v>825</v>
      </c>
      <c r="B780" t="str">
        <f>_xlfn.TEXTAFTER(TRACK_TYPES[[#This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b">
        <f>AND(CONTROL[[#This Row],[IS_WAGON_OR_COACH]]=TRUE,OR(RIGHT(CONTROL[[#This Row],[VEHIDCODE]],7)="Powered",RIGHT(CONTROL[[#This Row],[VEHIDCODE]],9)="Unpowered"))</f>
        <v>0</v>
      </c>
      <c r="G780" s="2" t="b">
        <f>OR(ISNUMBER(SEARCH("wagon_",CONTROL[[#This Row],[VEHIDCODE]])),ISNUMBER(SEARCH("coach_",CONTROL[[#This Row],[VEHIDCODE]])))</f>
        <v>1</v>
      </c>
      <c r="H780" t="str">
        <f>"item_"&amp;CONTROL[[#This Row],[VEHIDCODE]]</f>
        <v>item_mu_Coach_Gen5_High_Speed_Double_Decker_IC2000</v>
      </c>
      <c r="I780" t="str">
        <f>"str_"&amp;CONTROL[[#This Row],[VEHIDCODE]]</f>
        <v>str_mu_Coach_Gen5_High_Speed_Double_Decker_IC2000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t="b">
        <f>ISNUMBER(_xlfn.XMATCH(CONTROL[[#This Row],[VEHIDCODE]],ENGLISH_ITEMS[VEHIDCODE],0))</f>
        <v>1</v>
      </c>
    </row>
    <row r="781" spans="1:16">
      <c r="A781" s="2" t="s">
        <v>826</v>
      </c>
      <c r="B781" t="str">
        <f>_xlfn.TEXTAFTER(TRACK_TYPES[[#This Row],[VEHIDCODE]],"_")</f>
        <v>Coach_Gen5_High_Speed_Mail_Coach</v>
      </c>
      <c r="C781" t="s">
        <v>749</v>
      </c>
      <c r="D781" t="s">
        <v>961</v>
      </c>
      <c r="E781">
        <v>11062</v>
      </c>
      <c r="F781" t="b">
        <f>AND(CONTROL[[#This Row],[IS_WAGON_OR_COACH]]=TRUE,OR(RIGHT(CONTROL[[#This Row],[VEHIDCODE]],7)="Powered",RIGHT(CONTROL[[#This Row],[VEHIDCODE]],9)="Unpowered"))</f>
        <v>0</v>
      </c>
      <c r="G781" s="2" t="b">
        <f>OR(ISNUMBER(SEARCH("wagon_",CONTROL[[#This Row],[VEHIDCODE]])),ISNUMBER(SEARCH("coach_",CONTROL[[#This Row],[VEHIDCODE]])))</f>
        <v>1</v>
      </c>
      <c r="H781" t="str">
        <f>"item_"&amp;CONTROL[[#This Row],[VEHIDCODE]]</f>
        <v>item_mu_Coach_Gen5_High_Speed_Mail_Coach</v>
      </c>
      <c r="I781" t="str">
        <f>"str_"&amp;CONTROL[[#This Row],[VEHIDCODE]]</f>
        <v>str_mu_Coach_Gen5_High_Speed_Mail_Coach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t="b">
        <f>ISNUMBER(_xlfn.XMATCH(CONTROL[[#This Row],[VEHIDCODE]],ENGLISH_ITEMS[VEHIDCODE],0))</f>
        <v>1</v>
      </c>
    </row>
    <row r="782" spans="1:16">
      <c r="A782" s="2" t="s">
        <v>827</v>
      </c>
      <c r="B782" t="str">
        <f>_xlfn.TEXTAFTER(TRACK_TYPES[[#This Row],[VEHIDCODE]],"_")</f>
        <v>Coach_Gen5_Talgo_Pendular</v>
      </c>
      <c r="C782" t="s">
        <v>749</v>
      </c>
      <c r="D782" t="s">
        <v>961</v>
      </c>
      <c r="E782">
        <v>11063</v>
      </c>
      <c r="F782" t="b">
        <f>AND(CONTROL[[#This Row],[IS_WAGON_OR_COACH]]=TRUE,OR(RIGHT(CONTROL[[#This Row],[VEHIDCODE]],7)="Powered",RIGHT(CONTROL[[#This Row],[VEHIDCODE]],9)="Unpowered"))</f>
        <v>0</v>
      </c>
      <c r="G782" s="2" t="b">
        <f>OR(ISNUMBER(SEARCH("wagon_",CONTROL[[#This Row],[VEHIDCODE]])),ISNUMBER(SEARCH("coach_",CONTROL[[#This Row],[VEHIDCODE]])))</f>
        <v>1</v>
      </c>
      <c r="H782" t="str">
        <f>"item_"&amp;CONTROL[[#This Row],[VEHIDCODE]]</f>
        <v>item_mu_Coach_Gen5_Talgo_Pendular</v>
      </c>
      <c r="I782" t="str">
        <f>"str_"&amp;CONTROL[[#This Row],[VEHIDCODE]]</f>
        <v>str_mu_Coach_Gen5_Talgo_Pendular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t="b">
        <f>ISNUMBER(_xlfn.XMATCH(CONTROL[[#This Row],[VEHIDCODE]],ENGLISH_ITEMS[VEHIDCODE],0))</f>
        <v>1</v>
      </c>
    </row>
    <row r="783" spans="1:16">
      <c r="A783" s="2" t="s">
        <v>828</v>
      </c>
      <c r="B783" t="str">
        <f>_xlfn.TEXTAFTER(TRACK_TYPES[[#This Row],[VEHIDCODE]],"_")</f>
        <v>Coach_Gen5_Talgo_Pendular_Mail</v>
      </c>
      <c r="C783" t="s">
        <v>749</v>
      </c>
      <c r="D783" t="s">
        <v>961</v>
      </c>
      <c r="E783">
        <v>11064</v>
      </c>
      <c r="F783" t="b">
        <f>AND(CONTROL[[#This Row],[IS_WAGON_OR_COACH]]=TRUE,OR(RIGHT(CONTROL[[#This Row],[VEHIDCODE]],7)="Powered",RIGHT(CONTROL[[#This Row],[VEHIDCODE]],9)="Unpowered"))</f>
        <v>0</v>
      </c>
      <c r="G783" s="2" t="b">
        <f>OR(ISNUMBER(SEARCH("wagon_",CONTROL[[#This Row],[VEHIDCODE]])),ISNUMBER(SEARCH("coach_",CONTROL[[#This Row],[VEHIDCODE]])))</f>
        <v>1</v>
      </c>
      <c r="H783" t="str">
        <f>"item_"&amp;CONTROL[[#This Row],[VEHIDCODE]]</f>
        <v>item_mu_Coach_Gen5_Talgo_Pendular_Mail</v>
      </c>
      <c r="I783" t="str">
        <f>"str_"&amp;CONTROL[[#This Row],[VEHIDCODE]]</f>
        <v>str_mu_Coach_Gen5_Talgo_Pendular_Mail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t="b">
        <f>ISNUMBER(_xlfn.XMATCH(CONTROL[[#This Row],[VEHIDCODE]],ENGLISH_ITEMS[VEHIDCODE],0))</f>
        <v>1</v>
      </c>
    </row>
    <row r="784" spans="1:16">
      <c r="A784" s="2" t="s">
        <v>829</v>
      </c>
      <c r="B784" t="str">
        <f>_xlfn.TEXTAFTER(TRACK_TYPES[[#This Row],[VEHIDCODE]],"_")</f>
        <v>Coach_Gen6_Grand_Voyager_Coach</v>
      </c>
      <c r="C784" t="s">
        <v>750</v>
      </c>
      <c r="D784" t="s">
        <v>961</v>
      </c>
      <c r="E784">
        <v>11065</v>
      </c>
      <c r="F784" t="b">
        <f>AND(CONTROL[[#This Row],[IS_WAGON_OR_COACH]]=TRUE,OR(RIGHT(CONTROL[[#This Row],[VEHIDCODE]],7)="Powered",RIGHT(CONTROL[[#This Row],[VEHIDCODE]],9)="Unpowered"))</f>
        <v>0</v>
      </c>
      <c r="G784" s="2" t="b">
        <f>OR(ISNUMBER(SEARCH("wagon_",CONTROL[[#This Row],[VEHIDCODE]])),ISNUMBER(SEARCH("coach_",CONTROL[[#This Row],[VEHIDCODE]])))</f>
        <v>1</v>
      </c>
      <c r="H784" t="str">
        <f>"item_"&amp;CONTROL[[#This Row],[VEHIDCODE]]</f>
        <v>item_mu_Coach_Gen6_Grand_Voyager_Coach</v>
      </c>
      <c r="I784" t="str">
        <f>"str_"&amp;CONTROL[[#This Row],[VEHIDCODE]]</f>
        <v>str_mu_Coach_Gen6_Grand_Voyager_Coach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t="b">
        <f>ISNUMBER(_xlfn.XMATCH(CONTROL[[#This Row],[VEHIDCODE]],ENGLISH_ITEMS[VEHIDCODE],0))</f>
        <v>1</v>
      </c>
    </row>
    <row r="785" spans="1:16">
      <c r="A785" s="2" t="s">
        <v>830</v>
      </c>
      <c r="B785" t="str">
        <f>_xlfn.TEXTAFTER(TRACK_TYPES[[#This Row],[VEHIDCODE]],"_")</f>
        <v>Coach_Gen6_Grand_Regio_Coach</v>
      </c>
      <c r="C785" t="s">
        <v>750</v>
      </c>
      <c r="D785" t="s">
        <v>961</v>
      </c>
      <c r="E785">
        <v>11066</v>
      </c>
      <c r="F785" t="b">
        <f>AND(CONTROL[[#This Row],[IS_WAGON_OR_COACH]]=TRUE,OR(RIGHT(CONTROL[[#This Row],[VEHIDCODE]],7)="Powered",RIGHT(CONTROL[[#This Row],[VEHIDCODE]],9)="Unpowered"))</f>
        <v>0</v>
      </c>
      <c r="G785" s="2" t="b">
        <f>OR(ISNUMBER(SEARCH("wagon_",CONTROL[[#This Row],[VEHIDCODE]])),ISNUMBER(SEARCH("coach_",CONTROL[[#This Row],[VEHIDCODE]])))</f>
        <v>1</v>
      </c>
      <c r="H785" t="str">
        <f>"item_"&amp;CONTROL[[#This Row],[VEHIDCODE]]</f>
        <v>item_mu_Coach_Gen6_Grand_Regio_Coach</v>
      </c>
      <c r="I785" t="str">
        <f>"str_"&amp;CONTROL[[#This Row],[VEHIDCODE]]</f>
        <v>str_mu_Coach_Gen6_Grand_Regio_Coach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t="b">
        <f>ISNUMBER(_xlfn.XMATCH(CONTROL[[#This Row],[VEHIDCODE]],ENGLISH_ITEMS[VEHIDCODE],0))</f>
        <v>1</v>
      </c>
    </row>
    <row r="786" spans="1:16">
      <c r="A786" s="2" t="s">
        <v>831</v>
      </c>
      <c r="B786" t="str">
        <f>_xlfn.TEXTAFTER(TRACK_TYPES[[#This Row],[VEHIDCODE]],"_")</f>
        <v>Coach_Gen6_Metropolis_Coach</v>
      </c>
      <c r="C786" t="s">
        <v>750</v>
      </c>
      <c r="D786" t="s">
        <v>961</v>
      </c>
      <c r="E786">
        <v>11067</v>
      </c>
      <c r="F786" t="b">
        <f>AND(CONTROL[[#This Row],[IS_WAGON_OR_COACH]]=TRUE,OR(RIGHT(CONTROL[[#This Row],[VEHIDCODE]],7)="Powered",RIGHT(CONTROL[[#This Row],[VEHIDCODE]],9)="Unpowered"))</f>
        <v>0</v>
      </c>
      <c r="G786" s="2" t="b">
        <f>OR(ISNUMBER(SEARCH("wagon_",CONTROL[[#This Row],[VEHIDCODE]])),ISNUMBER(SEARCH("coach_",CONTROL[[#This Row],[VEHIDCODE]])))</f>
        <v>1</v>
      </c>
      <c r="H786" t="str">
        <f>"item_"&amp;CONTROL[[#This Row],[VEHIDCODE]]</f>
        <v>item_mu_Coach_Gen6_Metropolis_Coach</v>
      </c>
      <c r="I786" t="str">
        <f>"str_"&amp;CONTROL[[#This Row],[VEHIDCODE]]</f>
        <v>str_mu_Coach_Gen6_Metropolis_Coach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t="b">
        <f>ISNUMBER(_xlfn.XMATCH(CONTROL[[#This Row],[VEHIDCODE]],ENGLISH_ITEMS[VEHIDCODE],0))</f>
        <v>1</v>
      </c>
    </row>
    <row r="787" spans="1:16">
      <c r="A787" s="2" t="s">
        <v>832</v>
      </c>
      <c r="B787" t="str">
        <f>_xlfn.TEXTAFTER(TRACK_TYPES[[#This Row],[VEHIDCODE]],"_")</f>
        <v>Coach_Gen6_Speedmail_Coach</v>
      </c>
      <c r="C787" t="s">
        <v>750</v>
      </c>
      <c r="D787" t="s">
        <v>961</v>
      </c>
      <c r="E787">
        <v>11068</v>
      </c>
      <c r="F787" t="b">
        <f>AND(CONTROL[[#This Row],[IS_WAGON_OR_COACH]]=TRUE,OR(RIGHT(CONTROL[[#This Row],[VEHIDCODE]],7)="Powered",RIGHT(CONTROL[[#This Row],[VEHIDCODE]],9)="Unpowered"))</f>
        <v>0</v>
      </c>
      <c r="G787" s="2" t="b">
        <f>OR(ISNUMBER(SEARCH("wagon_",CONTROL[[#This Row],[VEHIDCODE]])),ISNUMBER(SEARCH("coach_",CONTROL[[#This Row],[VEHIDCODE]])))</f>
        <v>1</v>
      </c>
      <c r="H787" t="str">
        <f>"item_"&amp;CONTROL[[#This Row],[VEHIDCODE]]</f>
        <v>item_mu_Coach_Gen6_Speedmail_Coach</v>
      </c>
      <c r="I787" t="str">
        <f>"str_"&amp;CONTROL[[#This Row],[VEHIDCODE]]</f>
        <v>str_mu_Coach_Gen6_Speedmail_Coach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t="b">
        <f>ISNUMBER(_xlfn.XMATCH(CONTROL[[#This Row],[VEHIDCODE]],ENGLISH_ITEMS[VEHIDCODE],0))</f>
        <v>1</v>
      </c>
    </row>
    <row r="788" spans="1:16">
      <c r="A788" s="2" t="s">
        <v>833</v>
      </c>
      <c r="B788" t="str">
        <f>_xlfn.TEXTAFTER(TRACK_TYPES[[#This Row],[VEHIDCODE]],"_")</f>
        <v>Coach_Gen6_Super_Regio_Coach</v>
      </c>
      <c r="C788" t="s">
        <v>750</v>
      </c>
      <c r="D788" t="s">
        <v>961</v>
      </c>
      <c r="E788">
        <v>11069</v>
      </c>
      <c r="F788" t="b">
        <f>AND(CONTROL[[#This Row],[IS_WAGON_OR_COACH]]=TRUE,OR(RIGHT(CONTROL[[#This Row],[VEHIDCODE]],7)="Powered",RIGHT(CONTROL[[#This Row],[VEHIDCODE]],9)="Unpowered"))</f>
        <v>0</v>
      </c>
      <c r="G788" s="2" t="b">
        <f>OR(ISNUMBER(SEARCH("wagon_",CONTROL[[#This Row],[VEHIDCODE]])),ISNUMBER(SEARCH("coach_",CONTROL[[#This Row],[VEHIDCODE]])))</f>
        <v>1</v>
      </c>
      <c r="H788" t="str">
        <f>"item_"&amp;CONTROL[[#This Row],[VEHIDCODE]]</f>
        <v>item_mu_Coach_Gen6_Super_Regio_Coach</v>
      </c>
      <c r="I788" t="str">
        <f>"str_"&amp;CONTROL[[#This Row],[VEHIDCODE]]</f>
        <v>str_mu_Coach_Gen6_Super_Regio_Coach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t="b">
        <f>ISNUMBER(_xlfn.XMATCH(CONTROL[[#This Row],[VEHIDCODE]],ENGLISH_ITEMS[VEHIDCODE],0))</f>
        <v>1</v>
      </c>
    </row>
    <row r="789" spans="1:16">
      <c r="A789" s="2" t="s">
        <v>834</v>
      </c>
      <c r="B789" t="str">
        <f>_xlfn.TEXTAFTER(TRACK_TYPES[[#This Row],[VEHIDCODE]],"_")</f>
        <v>Coach_Gen6_Super_Voyager_Coach</v>
      </c>
      <c r="C789" t="s">
        <v>750</v>
      </c>
      <c r="D789" t="s">
        <v>961</v>
      </c>
      <c r="E789">
        <v>11070</v>
      </c>
      <c r="F789" t="b">
        <f>AND(CONTROL[[#This Row],[IS_WAGON_OR_COACH]]=TRUE,OR(RIGHT(CONTROL[[#This Row],[VEHIDCODE]],7)="Powered",RIGHT(CONTROL[[#This Row],[VEHIDCODE]],9)="Unpowered"))</f>
        <v>0</v>
      </c>
      <c r="G789" s="2" t="b">
        <f>OR(ISNUMBER(SEARCH("wagon_",CONTROL[[#This Row],[VEHIDCODE]])),ISNUMBER(SEARCH("coach_",CONTROL[[#This Row],[VEHIDCODE]])))</f>
        <v>1</v>
      </c>
      <c r="H789" t="str">
        <f>"item_"&amp;CONTROL[[#This Row],[VEHIDCODE]]</f>
        <v>item_mu_Coach_Gen6_Super_Voyager_Coach</v>
      </c>
      <c r="I789" t="str">
        <f>"str_"&amp;CONTROL[[#This Row],[VEHIDCODE]]</f>
        <v>str_mu_Coach_Gen6_Super_Voyager_Coach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t="b">
        <f>ISNUMBER(_xlfn.XMATCH(CONTROL[[#This Row],[VEHIDCODE]],ENGLISH_ITEMS[VEHIDCODE],0))</f>
        <v>1</v>
      </c>
    </row>
  </sheetData>
  <conditionalFormatting sqref="G1:G789">
    <cfRule type="containsText" dxfId="8" priority="4" operator="containsText" text="FALSE">
      <formula>NOT(ISERROR(SEARCH("FALSE",G1)))</formula>
    </cfRule>
  </conditionalFormatting>
  <conditionalFormatting sqref="J1:O1048576">
    <cfRule type="cellIs" dxfId="7" priority="2" operator="equal">
      <formula>FALSE</formula>
    </cfRule>
  </conditionalFormatting>
  <conditionalFormatting sqref="P2">
    <cfRule type="cellIs" dxfId="6" priority="1" operator="equal">
      <formula>FALSE</formula>
    </cfRule>
  </conditionalFormatting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R789"/>
  <sheetViews>
    <sheetView zoomScaleNormal="100" workbookViewId="0">
      <pane xSplit="1" ySplit="1" topLeftCell="S2" activePane="bottomRight" state="frozen"/>
      <selection pane="topRight" activeCell="B1" sqref="B1"/>
      <selection pane="bottomLeft" activeCell="A2" sqref="A2"/>
      <selection pane="bottomRight" activeCell="X1" sqref="X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4" width="15.84375" bestFit="1" customWidth="1"/>
    <col min="5" max="5" width="17.4609375" bestFit="1" customWidth="1"/>
    <col min="6" max="6" width="16.84375" bestFit="1" customWidth="1"/>
    <col min="7" max="8" width="9.84375" bestFit="1" customWidth="1"/>
    <col min="9" max="9" width="11.3046875" bestFit="1" customWidth="1"/>
    <col min="10" max="10" width="16.23046875" bestFit="1" customWidth="1"/>
    <col min="11" max="11" width="22.4609375" bestFit="1" customWidth="1"/>
    <col min="12" max="12" width="21.921875" bestFit="1" customWidth="1"/>
    <col min="13" max="13" width="12" bestFit="1" customWidth="1"/>
    <col min="14" max="14" width="9.3046875" bestFit="1" customWidth="1"/>
    <col min="15" max="15" width="8.4609375" bestFit="1" customWidth="1"/>
    <col min="16" max="16" width="17" bestFit="1" customWidth="1"/>
    <col min="17" max="17" width="14.4609375" style="2" bestFit="1" customWidth="1"/>
    <col min="18" max="18" width="11.84375" bestFit="1" customWidth="1"/>
    <col min="19" max="19" width="11.84375" customWidth="1"/>
    <col min="20" max="20" width="11.84375" style="2" bestFit="1" customWidth="1"/>
    <col min="21" max="21" width="23" bestFit="1" customWidth="1"/>
    <col min="22" max="22" width="36.53515625" bestFit="1" customWidth="1"/>
    <col min="23" max="23" width="35.4609375" bestFit="1" customWidth="1"/>
    <col min="24" max="24" width="15.61328125" bestFit="1" customWidth="1"/>
    <col min="28" max="28" width="34.4609375" bestFit="1" customWidth="1"/>
    <col min="29" max="29" width="33.3828125" bestFit="1" customWidth="1"/>
    <col min="30" max="30" width="15.61328125" bestFit="1" customWidth="1"/>
    <col min="32" max="32" width="17.84375" bestFit="1" customWidth="1"/>
    <col min="33" max="33" width="12" bestFit="1" customWidth="1"/>
    <col min="34" max="34" width="12.3828125" bestFit="1" customWidth="1"/>
    <col min="35" max="35" width="14.765625" bestFit="1" customWidth="1"/>
    <col min="39" max="40" width="18.23046875" bestFit="1" customWidth="1"/>
    <col min="41" max="41" width="22.3046875" bestFit="1" customWidth="1"/>
    <col min="42" max="42" width="19.15234375" style="10" bestFit="1" customWidth="1"/>
    <col min="43" max="43" width="17.4609375" style="11" bestFit="1" customWidth="1"/>
    <col min="44" max="44" width="10" style="12" bestFit="1" customWidth="1"/>
    <col min="45" max="45" width="24" bestFit="1" customWidth="1"/>
    <col min="46" max="46" width="23.69140625" bestFit="1" customWidth="1"/>
    <col min="47" max="47" width="26.69140625" bestFit="1" customWidth="1"/>
    <col min="48" max="48" width="26.921875" bestFit="1" customWidth="1"/>
    <col min="49" max="49" width="19" bestFit="1" customWidth="1"/>
    <col min="50" max="50" width="25.15234375" bestFit="1" customWidth="1"/>
    <col min="51" max="51" width="20.61328125" bestFit="1" customWidth="1"/>
    <col min="52" max="52" width="11.15234375" customWidth="1"/>
    <col min="53" max="54" width="21.3828125" customWidth="1"/>
    <col min="55" max="55" width="20.921875" bestFit="1" customWidth="1"/>
    <col min="56" max="56" width="18.921875" bestFit="1" customWidth="1"/>
    <col min="58" max="60" width="11.15234375" customWidth="1"/>
    <col min="61" max="61" width="11.53515625" bestFit="1" customWidth="1"/>
  </cols>
  <sheetData>
    <row r="1" spans="1:44" s="1" customFormat="1" ht="44.15" customHeight="1">
      <c r="A1" s="1" t="s">
        <v>0</v>
      </c>
      <c r="B1" s="1" t="s">
        <v>6</v>
      </c>
      <c r="C1" s="1" t="s">
        <v>3</v>
      </c>
      <c r="D1" s="1" t="s">
        <v>4</v>
      </c>
      <c r="E1" s="1" t="s">
        <v>2</v>
      </c>
      <c r="F1" s="1" t="s">
        <v>5</v>
      </c>
      <c r="G1" s="9" t="s">
        <v>17</v>
      </c>
      <c r="H1" s="1" t="s">
        <v>7</v>
      </c>
      <c r="I1" s="1" t="s">
        <v>1</v>
      </c>
      <c r="J1" s="3" t="s">
        <v>8</v>
      </c>
      <c r="K1" s="21" t="s">
        <v>1065</v>
      </c>
      <c r="L1" s="1" t="s">
        <v>9</v>
      </c>
      <c r="M1" s="1" t="s">
        <v>10</v>
      </c>
      <c r="N1" s="1" t="s">
        <v>11</v>
      </c>
      <c r="O1" s="1" t="s">
        <v>12</v>
      </c>
      <c r="P1" s="3" t="s">
        <v>13</v>
      </c>
      <c r="Q1" s="5" t="s">
        <v>14</v>
      </c>
      <c r="R1" s="9" t="s">
        <v>15</v>
      </c>
      <c r="S1" s="9" t="s">
        <v>16</v>
      </c>
      <c r="T1" s="9" t="s">
        <v>8232</v>
      </c>
      <c r="U1" t="s">
        <v>701</v>
      </c>
      <c r="V1" s="9" t="s">
        <v>1020</v>
      </c>
      <c r="W1" s="9" t="s">
        <v>1021</v>
      </c>
      <c r="X1" s="9" t="s">
        <v>1039</v>
      </c>
    </row>
    <row r="2" spans="1:44">
      <c r="A2" s="2" t="s">
        <v>751</v>
      </c>
      <c r="B2">
        <v>2000</v>
      </c>
      <c r="C2">
        <v>0</v>
      </c>
      <c r="D2" t="s">
        <v>19</v>
      </c>
      <c r="E2" t="s">
        <v>18</v>
      </c>
      <c r="F2">
        <v>1</v>
      </c>
      <c r="G2" s="10">
        <v>0</v>
      </c>
      <c r="H2">
        <v>8</v>
      </c>
      <c r="I2">
        <v>8</v>
      </c>
      <c r="J2" s="2" t="s">
        <v>20</v>
      </c>
      <c r="K2">
        <f>_xlfn.XLOOKUP("LOADINGSPEEDDEF_"&amp;PROPERTIES[[#This Row],[LOADINGSPEED]],LOADINGSPEEDDEF[TYPE],LOADINGSPEEDDEF[SPEED])</f>
        <v>0</v>
      </c>
      <c r="L2" t="s">
        <v>21</v>
      </c>
      <c r="M2">
        <v>1</v>
      </c>
      <c r="N2">
        <v>0</v>
      </c>
      <c r="O2">
        <v>0</v>
      </c>
      <c r="P2" s="2">
        <v>0.3</v>
      </c>
      <c r="Q2" s="6">
        <v>25</v>
      </c>
      <c r="R2" s="10">
        <v>0</v>
      </c>
      <c r="S2" s="10">
        <v>0</v>
      </c>
      <c r="T2" s="10"/>
      <c r="U2" t="str">
        <f>"RUNNING_COST_"&amp;IF(PROPERTIES[[#This Row],[ENGINE_CLASS]]="MAGLEV","ELECTRIC",PROPERTIES[[#This Row],[ENGINE_CLASS]])</f>
        <v>RUNNING_COST_ELECTRIC</v>
      </c>
      <c r="V2" s="10" t="s">
        <v>990</v>
      </c>
      <c r="W2" s="10" t="s">
        <v>991</v>
      </c>
      <c r="X2" t="str">
        <f>SUBSTITUTE(SUBSTITUTE(PROPERTIES[[#This Row],[PURCHASECOST_VALUE]], "PURCHASECOST_", ""), "_VALUE", "")</f>
        <v>MAGLEVMU</v>
      </c>
      <c r="AP2"/>
      <c r="AQ2"/>
      <c r="AR2"/>
    </row>
    <row r="3" spans="1:44">
      <c r="A3" s="2" t="s">
        <v>752</v>
      </c>
      <c r="B3">
        <v>2000</v>
      </c>
      <c r="C3">
        <v>0</v>
      </c>
      <c r="D3" t="s">
        <v>19</v>
      </c>
      <c r="E3" t="s">
        <v>18</v>
      </c>
      <c r="F3">
        <v>1</v>
      </c>
      <c r="G3" s="10">
        <v>0</v>
      </c>
      <c r="H3">
        <v>8</v>
      </c>
      <c r="I3">
        <v>8</v>
      </c>
      <c r="J3" s="2" t="s">
        <v>20</v>
      </c>
      <c r="K3">
        <f>_xlfn.XLOOKUP("LOADINGSPEEDDEF_"&amp;PROPERTIES[[#This Row],[LOADINGSPEED]],LOADINGSPEEDDEF[TYPE],LOADINGSPEEDDEF[SPEED])</f>
        <v>0</v>
      </c>
      <c r="L3" t="s">
        <v>21</v>
      </c>
      <c r="M3">
        <v>1</v>
      </c>
      <c r="N3">
        <v>0</v>
      </c>
      <c r="O3">
        <v>0</v>
      </c>
      <c r="P3" s="2">
        <v>0.3</v>
      </c>
      <c r="Q3" s="6">
        <v>25</v>
      </c>
      <c r="R3" s="10">
        <v>0</v>
      </c>
      <c r="S3" s="10">
        <v>0</v>
      </c>
      <c r="T3" s="10"/>
      <c r="U3" t="str">
        <f>"RUNNING_COST_"&amp;IF(PROPERTIES[[#This Row],[ENGINE_CLASS]]="MAGLEV","ELECTRIC",PROPERTIES[[#This Row],[ENGINE_CLASS]])</f>
        <v>RUNNING_COST_ELECTRIC</v>
      </c>
      <c r="V3" s="10" t="s">
        <v>990</v>
      </c>
      <c r="W3" s="10" t="s">
        <v>991</v>
      </c>
      <c r="X3" s="10" t="str">
        <f>SUBSTITUTE(SUBSTITUTE(PROPERTIES[[#This Row],[PURCHASECOST_VALUE]], "PURCHASECOST_", ""), "_VALUE", "")</f>
        <v>MAGLEVMU</v>
      </c>
      <c r="AP3"/>
      <c r="AQ3"/>
      <c r="AR3"/>
    </row>
    <row r="4" spans="1:44">
      <c r="A4" s="2" t="s">
        <v>22</v>
      </c>
      <c r="B4">
        <v>1903</v>
      </c>
      <c r="C4">
        <v>0</v>
      </c>
      <c r="D4" t="s">
        <v>23</v>
      </c>
      <c r="E4" t="s">
        <v>18</v>
      </c>
      <c r="F4">
        <v>22</v>
      </c>
      <c r="G4" s="10">
        <v>8</v>
      </c>
      <c r="H4">
        <v>5</v>
      </c>
      <c r="I4">
        <v>5</v>
      </c>
      <c r="J4" s="2" t="s">
        <v>24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>
        <v>39</v>
      </c>
      <c r="O4">
        <v>35</v>
      </c>
      <c r="P4" s="2">
        <v>0.18</v>
      </c>
      <c r="Q4" s="6">
        <v>15</v>
      </c>
      <c r="R4" s="10">
        <v>0</v>
      </c>
      <c r="S4" s="10">
        <v>0</v>
      </c>
      <c r="T4" s="10"/>
      <c r="U4" t="str">
        <f>"RUNNING_COST_"&amp;IF(PROPERTIES[[#This Row],[ENGINE_CLASS]]="MAGLEV","ELECTRIC",PROPERTIES[[#This Row],[ENGINE_CLASS]])</f>
        <v>RUNNING_COST_STEAM</v>
      </c>
      <c r="V4" s="10" t="s">
        <v>992</v>
      </c>
      <c r="W4" s="10" t="s">
        <v>993</v>
      </c>
      <c r="X4" s="10" t="str">
        <f>SUBSTITUTE(SUBSTITUTE(PROPERTIES[[#This Row],[PURCHASECOST_VALUE]], "PURCHASECOST_", ""), "_VALUE", "")</f>
        <v>STEAMRAILBUS</v>
      </c>
      <c r="AP4"/>
      <c r="AQ4"/>
      <c r="AR4"/>
    </row>
    <row r="5" spans="1:44">
      <c r="A5" s="2" t="s">
        <v>25</v>
      </c>
      <c r="B5">
        <v>1906</v>
      </c>
      <c r="C5">
        <v>0</v>
      </c>
      <c r="D5" t="s">
        <v>23</v>
      </c>
      <c r="E5" t="s">
        <v>18</v>
      </c>
      <c r="F5">
        <v>86</v>
      </c>
      <c r="G5" s="10">
        <v>47</v>
      </c>
      <c r="H5">
        <v>8</v>
      </c>
      <c r="I5">
        <v>8</v>
      </c>
      <c r="J5" s="2" t="s">
        <v>24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>
        <v>132</v>
      </c>
      <c r="O5">
        <v>60</v>
      </c>
      <c r="P5" s="2">
        <v>0.08</v>
      </c>
      <c r="Q5" s="6">
        <v>15</v>
      </c>
      <c r="R5" s="10">
        <v>0</v>
      </c>
      <c r="S5" s="10">
        <v>0</v>
      </c>
      <c r="T5" s="10"/>
      <c r="U5" t="str">
        <f>"RUNNING_COST_"&amp;IF(PROPERTIES[[#This Row],[ENGINE_CLASS]]="MAGLEV","ELECTRIC",PROPERTIES[[#This Row],[ENGINE_CLASS]])</f>
        <v>RUNNING_COST_STEAM</v>
      </c>
      <c r="V5" s="10" t="s">
        <v>992</v>
      </c>
      <c r="W5" s="10" t="s">
        <v>993</v>
      </c>
      <c r="X5" s="10" t="str">
        <f>SUBSTITUTE(SUBSTITUTE(PROPERTIES[[#This Row],[PURCHASECOST_VALUE]], "PURCHASECOST_", ""), "_VALUE", "")</f>
        <v>STEAMRAILBUS</v>
      </c>
      <c r="AP5"/>
      <c r="AQ5"/>
      <c r="AR5"/>
    </row>
    <row r="6" spans="1:44">
      <c r="A6" s="2" t="s">
        <v>26</v>
      </c>
      <c r="B6">
        <v>1883</v>
      </c>
      <c r="C6">
        <v>0</v>
      </c>
      <c r="D6" t="s">
        <v>23</v>
      </c>
      <c r="E6" t="s">
        <v>18</v>
      </c>
      <c r="F6">
        <v>42</v>
      </c>
      <c r="G6" s="10">
        <v>15</v>
      </c>
      <c r="H6">
        <v>6</v>
      </c>
      <c r="I6">
        <v>6</v>
      </c>
      <c r="J6" s="2" t="s">
        <v>24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>
        <v>40</v>
      </c>
      <c r="O6">
        <v>48</v>
      </c>
      <c r="P6" s="2">
        <v>0.34</v>
      </c>
      <c r="Q6" s="6">
        <v>15</v>
      </c>
      <c r="R6" s="10">
        <v>0</v>
      </c>
      <c r="S6" s="10">
        <v>0</v>
      </c>
      <c r="T6" s="10"/>
      <c r="U6" t="str">
        <f>"RUNNING_COST_"&amp;IF(PROPERTIES[[#This Row],[ENGINE_CLASS]]="MAGLEV","ELECTRIC",PROPERTIES[[#This Row],[ENGINE_CLASS]])</f>
        <v>RUNNING_COST_STEAM</v>
      </c>
      <c r="V6" s="10" t="s">
        <v>992</v>
      </c>
      <c r="W6" s="10" t="s">
        <v>993</v>
      </c>
      <c r="X6" s="10" t="str">
        <f>SUBSTITUTE(SUBSTITUTE(PROPERTIES[[#This Row],[PURCHASECOST_VALUE]], "PURCHASECOST_", ""), "_VALUE", "")</f>
        <v>STEAMRAILBUS</v>
      </c>
      <c r="AP6"/>
      <c r="AQ6"/>
      <c r="AR6"/>
    </row>
    <row r="7" spans="1:44">
      <c r="A7" s="2" t="s">
        <v>27</v>
      </c>
      <c r="B7">
        <v>1902</v>
      </c>
      <c r="C7">
        <v>0</v>
      </c>
      <c r="D7" t="s">
        <v>23</v>
      </c>
      <c r="E7" t="s">
        <v>18</v>
      </c>
      <c r="F7">
        <v>30</v>
      </c>
      <c r="G7" s="10">
        <v>21</v>
      </c>
      <c r="H7">
        <v>5</v>
      </c>
      <c r="I7">
        <v>5</v>
      </c>
      <c r="J7" s="2" t="s">
        <v>24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>
        <v>99</v>
      </c>
      <c r="O7">
        <v>45</v>
      </c>
      <c r="P7" s="2">
        <v>0.34</v>
      </c>
      <c r="Q7" s="6">
        <v>15</v>
      </c>
      <c r="R7" s="10">
        <v>0</v>
      </c>
      <c r="S7" s="10">
        <v>0</v>
      </c>
      <c r="T7" s="10"/>
      <c r="U7" t="str">
        <f>"RUNNING_COST_"&amp;IF(PROPERTIES[[#This Row],[ENGINE_CLASS]]="MAGLEV","ELECTRIC",PROPERTIES[[#This Row],[ENGINE_CLASS]])</f>
        <v>RUNNING_COST_STEAM</v>
      </c>
      <c r="V7" s="10" t="s">
        <v>992</v>
      </c>
      <c r="W7" s="10" t="s">
        <v>993</v>
      </c>
      <c r="X7" s="10" t="str">
        <f>SUBSTITUTE(SUBSTITUTE(PROPERTIES[[#This Row],[PURCHASECOST_VALUE]], "PURCHASECOST_", ""), "_VALUE", "")</f>
        <v>STEAMRAILBUS</v>
      </c>
      <c r="AP7"/>
      <c r="AQ7"/>
      <c r="AR7"/>
    </row>
    <row r="8" spans="1:44">
      <c r="A8" s="2" t="s">
        <v>28</v>
      </c>
      <c r="B8">
        <v>1906</v>
      </c>
      <c r="C8">
        <v>0</v>
      </c>
      <c r="D8" t="s">
        <v>23</v>
      </c>
      <c r="E8" t="s">
        <v>18</v>
      </c>
      <c r="F8">
        <v>52</v>
      </c>
      <c r="G8" s="10">
        <v>32</v>
      </c>
      <c r="H8">
        <v>8</v>
      </c>
      <c r="I8">
        <v>8</v>
      </c>
      <c r="J8" s="2" t="s">
        <v>24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>
        <v>195</v>
      </c>
      <c r="O8">
        <v>50</v>
      </c>
      <c r="P8" s="2">
        <v>0.34</v>
      </c>
      <c r="Q8" s="6">
        <v>15</v>
      </c>
      <c r="R8" s="10">
        <v>0</v>
      </c>
      <c r="S8" s="10">
        <v>0</v>
      </c>
      <c r="T8" s="10"/>
      <c r="U8" t="str">
        <f>"RUNNING_COST_"&amp;IF(PROPERTIES[[#This Row],[ENGINE_CLASS]]="MAGLEV","ELECTRIC",PROPERTIES[[#This Row],[ENGINE_CLASS]])</f>
        <v>RUNNING_COST_STEAM</v>
      </c>
      <c r="V8" s="10" t="s">
        <v>992</v>
      </c>
      <c r="W8" s="10" t="s">
        <v>993</v>
      </c>
      <c r="X8" s="10" t="str">
        <f>SUBSTITUTE(SUBSTITUTE(PROPERTIES[[#This Row],[PURCHASECOST_VALUE]], "PURCHASECOST_", ""), "_VALUE", "")</f>
        <v>STEAMRAILBUS</v>
      </c>
      <c r="AP8"/>
      <c r="AQ8"/>
      <c r="AR8"/>
    </row>
    <row r="9" spans="1:44">
      <c r="A9" s="2" t="s">
        <v>29</v>
      </c>
      <c r="B9">
        <v>1906</v>
      </c>
      <c r="C9">
        <v>0</v>
      </c>
      <c r="D9" t="s">
        <v>23</v>
      </c>
      <c r="E9" t="s">
        <v>18</v>
      </c>
      <c r="F9">
        <v>50</v>
      </c>
      <c r="G9" s="10">
        <v>35</v>
      </c>
      <c r="H9">
        <v>8</v>
      </c>
      <c r="I9">
        <v>4</v>
      </c>
      <c r="J9" s="2" t="s">
        <v>24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>
        <v>86</v>
      </c>
      <c r="O9">
        <v>60</v>
      </c>
      <c r="P9" s="2">
        <v>0.33</v>
      </c>
      <c r="Q9" s="6">
        <v>15</v>
      </c>
      <c r="R9" s="10">
        <v>0</v>
      </c>
      <c r="S9" s="10">
        <v>2</v>
      </c>
      <c r="T9" s="10"/>
      <c r="U9" t="str">
        <f>"RUNNING_COST_"&amp;IF(PROPERTIES[[#This Row],[ENGINE_CLASS]]="MAGLEV","ELECTRIC",PROPERTIES[[#This Row],[ENGINE_CLASS]])</f>
        <v>RUNNING_COST_STEAM</v>
      </c>
      <c r="V9" s="10" t="s">
        <v>992</v>
      </c>
      <c r="W9" s="10" t="s">
        <v>993</v>
      </c>
      <c r="X9" s="10" t="str">
        <f>SUBSTITUTE(SUBSTITUTE(PROPERTIES[[#This Row],[PURCHASECOST_VALUE]], "PURCHASECOST_", ""), "_VALUE", "")</f>
        <v>STEAMRAILBUS</v>
      </c>
      <c r="AP9"/>
      <c r="AQ9"/>
      <c r="AR9"/>
    </row>
    <row r="10" spans="1:44">
      <c r="A10" s="2" t="s">
        <v>30</v>
      </c>
      <c r="B10">
        <v>1912</v>
      </c>
      <c r="C10">
        <v>0</v>
      </c>
      <c r="D10" t="s">
        <v>23</v>
      </c>
      <c r="E10" t="s">
        <v>18</v>
      </c>
      <c r="F10">
        <v>32</v>
      </c>
      <c r="G10" s="10">
        <v>42</v>
      </c>
      <c r="H10">
        <v>6</v>
      </c>
      <c r="I10">
        <v>6</v>
      </c>
      <c r="J10" s="2" t="s">
        <v>24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>
        <v>91</v>
      </c>
      <c r="O10">
        <v>55</v>
      </c>
      <c r="P10" s="2">
        <v>0.34</v>
      </c>
      <c r="Q10" s="6">
        <v>15</v>
      </c>
      <c r="R10" s="10">
        <v>0</v>
      </c>
      <c r="S10" s="10">
        <v>0</v>
      </c>
      <c r="T10" s="10"/>
      <c r="U10" t="str">
        <f>"RUNNING_COST_"&amp;IF(PROPERTIES[[#This Row],[ENGINE_CLASS]]="MAGLEV","ELECTRIC",PROPERTIES[[#This Row],[ENGINE_CLASS]])</f>
        <v>RUNNING_COST_STEAM</v>
      </c>
      <c r="V10" s="10" t="s">
        <v>992</v>
      </c>
      <c r="W10" s="10" t="s">
        <v>993</v>
      </c>
      <c r="X10" s="10" t="str">
        <f>SUBSTITUTE(SUBSTITUTE(PROPERTIES[[#This Row],[PURCHASECOST_VALUE]], "PURCHASECOST_", ""), "_VALUE", "")</f>
        <v>STEAMRAILBUS</v>
      </c>
      <c r="AP10"/>
      <c r="AQ10"/>
      <c r="AR10"/>
    </row>
    <row r="11" spans="1:44">
      <c r="A11" s="2" t="s">
        <v>31</v>
      </c>
      <c r="B11">
        <v>1880</v>
      </c>
      <c r="C11">
        <v>0</v>
      </c>
      <c r="D11" t="s">
        <v>23</v>
      </c>
      <c r="E11" t="s">
        <v>32</v>
      </c>
      <c r="F11">
        <v>14</v>
      </c>
      <c r="G11" s="10">
        <v>20</v>
      </c>
      <c r="H11">
        <v>5</v>
      </c>
      <c r="I11">
        <v>5</v>
      </c>
      <c r="J11" s="2" t="s">
        <v>33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>
        <v>28</v>
      </c>
      <c r="O11">
        <v>45</v>
      </c>
      <c r="P11" s="2">
        <v>0.34</v>
      </c>
      <c r="Q11" s="6">
        <v>15</v>
      </c>
      <c r="R11" s="10">
        <v>0</v>
      </c>
      <c r="S11" s="10">
        <v>0</v>
      </c>
      <c r="T11" s="10"/>
      <c r="U11" t="str">
        <f>"RUNNING_COST_"&amp;IF(PROPERTIES[[#This Row],[ENGINE_CLASS]]="MAGLEV","ELECTRIC",PROPERTIES[[#This Row],[ENGINE_CLASS]])</f>
        <v>RUNNING_COST_STEAM</v>
      </c>
      <c r="V11" s="10" t="s">
        <v>992</v>
      </c>
      <c r="W11" s="10" t="s">
        <v>993</v>
      </c>
      <c r="X11" s="10" t="str">
        <f>SUBSTITUTE(SUBSTITUTE(PROPERTIES[[#This Row],[PURCHASECOST_VALUE]], "PURCHASECOST_", ""), "_VALUE", "")</f>
        <v>STEAMRAILBUS</v>
      </c>
      <c r="AP11"/>
      <c r="AQ11"/>
      <c r="AR11"/>
    </row>
    <row r="12" spans="1:44">
      <c r="A12" s="2" t="s">
        <v>34</v>
      </c>
      <c r="B12">
        <v>1922</v>
      </c>
      <c r="C12">
        <v>0</v>
      </c>
      <c r="D12" t="s">
        <v>35</v>
      </c>
      <c r="E12" t="s">
        <v>18</v>
      </c>
      <c r="F12">
        <v>33</v>
      </c>
      <c r="G12" s="10">
        <v>24</v>
      </c>
      <c r="H12">
        <v>5</v>
      </c>
      <c r="I12">
        <v>5</v>
      </c>
      <c r="J12" s="2" t="s">
        <v>24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>
        <v>45</v>
      </c>
      <c r="O12">
        <v>50</v>
      </c>
      <c r="P12" s="2">
        <v>0.1</v>
      </c>
      <c r="Q12" s="6">
        <v>15</v>
      </c>
      <c r="R12" s="10">
        <v>0</v>
      </c>
      <c r="S12" s="10">
        <v>0</v>
      </c>
      <c r="T12" s="10"/>
      <c r="U12" t="str">
        <f>"RUNNING_COST_"&amp;IF(PROPERTIES[[#This Row],[ENGINE_CLASS]]="MAGLEV","ELECTRIC",PROPERTIES[[#This Row],[ENGINE_CLASS]])</f>
        <v>RUNNING_COST_DIESEL</v>
      </c>
      <c r="V12" s="10" t="s">
        <v>994</v>
      </c>
      <c r="W12" s="10" t="s">
        <v>995</v>
      </c>
      <c r="X12" s="10" t="str">
        <f>SUBSTITUTE(SUBSTITUTE(PROPERTIES[[#This Row],[PURCHASECOST_VALUE]], "PURCHASECOST_", ""), "_VALUE", "")</f>
        <v>DIESELRAILBUS</v>
      </c>
      <c r="AP12"/>
      <c r="AQ12"/>
      <c r="AR12"/>
    </row>
    <row r="13" spans="1:44">
      <c r="A13" s="2" t="s">
        <v>36</v>
      </c>
      <c r="B13">
        <v>1932</v>
      </c>
      <c r="C13">
        <v>0</v>
      </c>
      <c r="D13" t="s">
        <v>35</v>
      </c>
      <c r="E13" t="s">
        <v>18</v>
      </c>
      <c r="F13">
        <v>24</v>
      </c>
      <c r="G13" s="10">
        <v>6</v>
      </c>
      <c r="H13">
        <v>6</v>
      </c>
      <c r="I13">
        <v>6</v>
      </c>
      <c r="J13" s="2" t="s">
        <v>24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>
        <v>38</v>
      </c>
      <c r="O13">
        <v>56</v>
      </c>
      <c r="P13" s="2">
        <v>0.5</v>
      </c>
      <c r="Q13" s="6">
        <v>15</v>
      </c>
      <c r="R13" s="10">
        <v>0</v>
      </c>
      <c r="S13" s="10">
        <v>0</v>
      </c>
      <c r="T13" s="10"/>
      <c r="U13" t="str">
        <f>"RUNNING_COST_"&amp;IF(PROPERTIES[[#This Row],[ENGINE_CLASS]]="MAGLEV","ELECTRIC",PROPERTIES[[#This Row],[ENGINE_CLASS]])</f>
        <v>RUNNING_COST_DIESEL</v>
      </c>
      <c r="V13" s="10" t="s">
        <v>994</v>
      </c>
      <c r="W13" s="10" t="s">
        <v>995</v>
      </c>
      <c r="X13" s="10" t="str">
        <f>SUBSTITUTE(SUBSTITUTE(PROPERTIES[[#This Row],[PURCHASECOST_VALUE]], "PURCHASECOST_", ""), "_VALUE", "")</f>
        <v>DIESELRAILBUS</v>
      </c>
      <c r="AP13"/>
      <c r="AQ13"/>
      <c r="AR13"/>
    </row>
    <row r="14" spans="1:44">
      <c r="A14" s="2" t="s">
        <v>37</v>
      </c>
      <c r="B14">
        <v>1933</v>
      </c>
      <c r="C14">
        <v>0</v>
      </c>
      <c r="D14" t="s">
        <v>35</v>
      </c>
      <c r="E14" t="s">
        <v>18</v>
      </c>
      <c r="F14">
        <v>70</v>
      </c>
      <c r="G14" s="10">
        <v>25</v>
      </c>
      <c r="H14">
        <v>6</v>
      </c>
      <c r="I14">
        <v>6</v>
      </c>
      <c r="J14" s="2" t="s">
        <v>24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>
        <v>175</v>
      </c>
      <c r="O14">
        <v>80</v>
      </c>
      <c r="P14" s="2">
        <v>0.27</v>
      </c>
      <c r="Q14" s="6">
        <v>15</v>
      </c>
      <c r="R14" s="10">
        <v>0</v>
      </c>
      <c r="S14" s="10">
        <v>0</v>
      </c>
      <c r="T14" s="10"/>
      <c r="U14" t="str">
        <f>"RUNNING_COST_"&amp;IF(PROPERTIES[[#This Row],[ENGINE_CLASS]]="MAGLEV","ELECTRIC",PROPERTIES[[#This Row],[ENGINE_CLASS]])</f>
        <v>RUNNING_COST_DIESEL</v>
      </c>
      <c r="V14" s="10" t="s">
        <v>994</v>
      </c>
      <c r="W14" s="10" t="s">
        <v>995</v>
      </c>
      <c r="X14" s="10" t="str">
        <f>SUBSTITUTE(SUBSTITUTE(PROPERTIES[[#This Row],[PURCHASECOST_VALUE]], "PURCHASECOST_", ""), "_VALUE", "")</f>
        <v>DIESELRAILBUS</v>
      </c>
      <c r="AP14"/>
      <c r="AQ14"/>
      <c r="AR14"/>
    </row>
    <row r="15" spans="1:44">
      <c r="A15" s="2" t="s">
        <v>38</v>
      </c>
      <c r="B15">
        <v>1935</v>
      </c>
      <c r="C15">
        <v>0</v>
      </c>
      <c r="D15" t="s">
        <v>35</v>
      </c>
      <c r="E15" t="s">
        <v>18</v>
      </c>
      <c r="F15">
        <v>78</v>
      </c>
      <c r="G15" s="10">
        <v>59</v>
      </c>
      <c r="H15">
        <v>8</v>
      </c>
      <c r="I15">
        <v>8</v>
      </c>
      <c r="J15" s="2" t="s">
        <v>24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>
        <v>410</v>
      </c>
      <c r="O15">
        <v>110</v>
      </c>
      <c r="P15" s="2">
        <v>0.08</v>
      </c>
      <c r="Q15" s="6">
        <v>15</v>
      </c>
      <c r="R15" s="10">
        <v>0</v>
      </c>
      <c r="S15" s="10">
        <v>0</v>
      </c>
      <c r="T15" s="10"/>
      <c r="U15" t="str">
        <f>"RUNNING_COST_"&amp;IF(PROPERTIES[[#This Row],[ENGINE_CLASS]]="MAGLEV","ELECTRIC",PROPERTIES[[#This Row],[ENGINE_CLASS]])</f>
        <v>RUNNING_COST_DIESEL</v>
      </c>
      <c r="V15" s="10" t="s">
        <v>994</v>
      </c>
      <c r="W15" s="10" t="s">
        <v>995</v>
      </c>
      <c r="X15" s="10" t="str">
        <f>SUBSTITUTE(SUBSTITUTE(PROPERTIES[[#This Row],[PURCHASECOST_VALUE]], "PURCHASECOST_", ""), "_VALUE", "")</f>
        <v>DIESELRAILBUS</v>
      </c>
      <c r="AP15"/>
      <c r="AQ15"/>
      <c r="AR15"/>
    </row>
    <row r="16" spans="1:44">
      <c r="A16" s="2" t="s">
        <v>39</v>
      </c>
      <c r="B16">
        <v>1940</v>
      </c>
      <c r="C16">
        <v>0</v>
      </c>
      <c r="D16" t="s">
        <v>35</v>
      </c>
      <c r="E16" t="s">
        <v>18</v>
      </c>
      <c r="F16">
        <v>50</v>
      </c>
      <c r="G16" s="10">
        <v>37</v>
      </c>
      <c r="H16">
        <v>8</v>
      </c>
      <c r="I16">
        <v>8</v>
      </c>
      <c r="J16" s="2" t="s">
        <v>24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>
        <v>250</v>
      </c>
      <c r="O16">
        <v>120</v>
      </c>
      <c r="P16" s="2">
        <v>0.2</v>
      </c>
      <c r="Q16" s="6">
        <v>15</v>
      </c>
      <c r="R16" s="10">
        <v>0</v>
      </c>
      <c r="S16" s="10">
        <v>0</v>
      </c>
      <c r="T16" s="10"/>
      <c r="U16" t="str">
        <f>"RUNNING_COST_"&amp;IF(PROPERTIES[[#This Row],[ENGINE_CLASS]]="MAGLEV","ELECTRIC",PROPERTIES[[#This Row],[ENGINE_CLASS]])</f>
        <v>RUNNING_COST_DIESEL</v>
      </c>
      <c r="V16" s="10" t="s">
        <v>994</v>
      </c>
      <c r="W16" s="10" t="s">
        <v>995</v>
      </c>
      <c r="X16" s="10" t="str">
        <f>SUBSTITUTE(SUBSTITUTE(PROPERTIES[[#This Row],[PURCHASECOST_VALUE]], "PURCHASECOST_", ""), "_VALUE", "")</f>
        <v>DIESELRAILBUS</v>
      </c>
      <c r="AP16"/>
      <c r="AQ16"/>
      <c r="AR16"/>
    </row>
    <row r="17" spans="1:44">
      <c r="A17" s="2" t="s">
        <v>40</v>
      </c>
      <c r="B17">
        <v>1948</v>
      </c>
      <c r="C17">
        <v>0</v>
      </c>
      <c r="D17" t="s">
        <v>35</v>
      </c>
      <c r="E17" t="s">
        <v>18</v>
      </c>
      <c r="F17">
        <v>70</v>
      </c>
      <c r="G17" s="10">
        <v>32</v>
      </c>
      <c r="H17">
        <v>8</v>
      </c>
      <c r="I17">
        <v>8</v>
      </c>
      <c r="J17" s="2" t="s">
        <v>24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>
        <v>250</v>
      </c>
      <c r="O17">
        <v>112</v>
      </c>
      <c r="P17" s="2">
        <v>0.26</v>
      </c>
      <c r="Q17" s="6">
        <v>15</v>
      </c>
      <c r="R17" s="10">
        <v>0</v>
      </c>
      <c r="S17" s="10">
        <v>0</v>
      </c>
      <c r="T17" s="10"/>
      <c r="U17" t="str">
        <f>"RUNNING_COST_"&amp;IF(PROPERTIES[[#This Row],[ENGINE_CLASS]]="MAGLEV","ELECTRIC",PROPERTIES[[#This Row],[ENGINE_CLASS]])</f>
        <v>RUNNING_COST_DIESEL</v>
      </c>
      <c r="V17" s="10" t="s">
        <v>994</v>
      </c>
      <c r="W17" s="10" t="s">
        <v>995</v>
      </c>
      <c r="X17" s="10" t="str">
        <f>SUBSTITUTE(SUBSTITUTE(PROPERTIES[[#This Row],[PURCHASECOST_VALUE]], "PURCHASECOST_", ""), "_VALUE", "")</f>
        <v>DIESELRAILBUS</v>
      </c>
      <c r="AP17"/>
      <c r="AQ17"/>
      <c r="AR17"/>
    </row>
    <row r="18" spans="1:44">
      <c r="A18" s="2" t="s">
        <v>41</v>
      </c>
      <c r="B18">
        <v>1949</v>
      </c>
      <c r="C18">
        <v>0</v>
      </c>
      <c r="D18" t="s">
        <v>35</v>
      </c>
      <c r="E18" t="s">
        <v>18</v>
      </c>
      <c r="F18">
        <v>90</v>
      </c>
      <c r="G18" s="10">
        <v>49</v>
      </c>
      <c r="H18">
        <v>8</v>
      </c>
      <c r="I18">
        <v>8</v>
      </c>
      <c r="J18" s="2" t="s">
        <v>24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>
        <v>550</v>
      </c>
      <c r="O18">
        <v>136</v>
      </c>
      <c r="P18" s="2">
        <v>0.1</v>
      </c>
      <c r="Q18" s="6">
        <v>15</v>
      </c>
      <c r="R18" s="10">
        <v>0</v>
      </c>
      <c r="S18" s="10">
        <v>0</v>
      </c>
      <c r="T18" s="10"/>
      <c r="U18" t="str">
        <f>"RUNNING_COST_"&amp;IF(PROPERTIES[[#This Row],[ENGINE_CLASS]]="MAGLEV","ELECTRIC",PROPERTIES[[#This Row],[ENGINE_CLASS]])</f>
        <v>RUNNING_COST_DIESEL</v>
      </c>
      <c r="V18" s="10" t="s">
        <v>994</v>
      </c>
      <c r="W18" s="10" t="s">
        <v>995</v>
      </c>
      <c r="X18" s="10" t="str">
        <f>SUBSTITUTE(SUBSTITUTE(PROPERTIES[[#This Row],[PURCHASECOST_VALUE]], "PURCHASECOST_", ""), "_VALUE", "")</f>
        <v>DIESELRAILBUS</v>
      </c>
      <c r="AP18"/>
      <c r="AQ18"/>
      <c r="AR18"/>
    </row>
    <row r="19" spans="1:44">
      <c r="A19" s="2" t="s">
        <v>42</v>
      </c>
      <c r="B19">
        <v>1953</v>
      </c>
      <c r="C19">
        <v>0</v>
      </c>
      <c r="D19" t="s">
        <v>35</v>
      </c>
      <c r="E19" t="s">
        <v>18</v>
      </c>
      <c r="F19">
        <v>56</v>
      </c>
      <c r="G19" s="10">
        <v>21</v>
      </c>
      <c r="H19">
        <v>6</v>
      </c>
      <c r="I19">
        <v>6</v>
      </c>
      <c r="J19" s="2" t="s">
        <v>24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>
        <v>290</v>
      </c>
      <c r="O19">
        <v>90</v>
      </c>
      <c r="P19" s="2">
        <v>0.2</v>
      </c>
      <c r="Q19" s="6">
        <v>15</v>
      </c>
      <c r="R19" s="10">
        <v>0</v>
      </c>
      <c r="S19" s="10">
        <v>0</v>
      </c>
      <c r="T19" s="10"/>
      <c r="U19" t="str">
        <f>"RUNNING_COST_"&amp;IF(PROPERTIES[[#This Row],[ENGINE_CLASS]]="MAGLEV","ELECTRIC",PROPERTIES[[#This Row],[ENGINE_CLASS]])</f>
        <v>RUNNING_COST_DIESEL</v>
      </c>
      <c r="V19" s="10" t="s">
        <v>994</v>
      </c>
      <c r="W19" s="10" t="s">
        <v>995</v>
      </c>
      <c r="X19" s="10" t="str">
        <f>SUBSTITUTE(SUBSTITUTE(PROPERTIES[[#This Row],[PURCHASECOST_VALUE]], "PURCHASECOST_", ""), "_VALUE", "")</f>
        <v>DIESELRAILBUS</v>
      </c>
      <c r="AP19"/>
      <c r="AQ19"/>
      <c r="AR19"/>
    </row>
    <row r="20" spans="1:44">
      <c r="A20" s="2" t="s">
        <v>43</v>
      </c>
      <c r="B20">
        <v>1953</v>
      </c>
      <c r="C20">
        <v>0</v>
      </c>
      <c r="D20" t="s">
        <v>35</v>
      </c>
      <c r="E20" t="s">
        <v>18</v>
      </c>
      <c r="F20">
        <v>108</v>
      </c>
      <c r="G20" s="10">
        <v>41</v>
      </c>
      <c r="H20">
        <v>8</v>
      </c>
      <c r="I20">
        <v>8</v>
      </c>
      <c r="J20" s="2" t="s">
        <v>24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>
        <v>600</v>
      </c>
      <c r="O20">
        <v>75</v>
      </c>
      <c r="P20" s="2">
        <v>0.25</v>
      </c>
      <c r="Q20" s="6">
        <v>15</v>
      </c>
      <c r="R20" s="10">
        <v>0</v>
      </c>
      <c r="S20" s="10">
        <v>0</v>
      </c>
      <c r="T20" s="10"/>
      <c r="U20" t="str">
        <f>"RUNNING_COST_"&amp;IF(PROPERTIES[[#This Row],[ENGINE_CLASS]]="MAGLEV","ELECTRIC",PROPERTIES[[#This Row],[ENGINE_CLASS]])</f>
        <v>RUNNING_COST_DIESEL</v>
      </c>
      <c r="V20" s="10" t="s">
        <v>994</v>
      </c>
      <c r="W20" s="10" t="s">
        <v>995</v>
      </c>
      <c r="X20" s="10" t="str">
        <f>SUBSTITUTE(SUBSTITUTE(PROPERTIES[[#This Row],[PURCHASECOST_VALUE]], "PURCHASECOST_", ""), "_VALUE", "")</f>
        <v>DIESELRAILBUS</v>
      </c>
      <c r="AP20"/>
      <c r="AQ20"/>
      <c r="AR20"/>
    </row>
    <row r="21" spans="1:44">
      <c r="A21" s="2" t="s">
        <v>44</v>
      </c>
      <c r="B21">
        <v>1954</v>
      </c>
      <c r="C21">
        <v>0</v>
      </c>
      <c r="D21" t="s">
        <v>35</v>
      </c>
      <c r="E21" t="s">
        <v>18</v>
      </c>
      <c r="F21">
        <v>28</v>
      </c>
      <c r="G21" s="10">
        <v>58</v>
      </c>
      <c r="H21">
        <v>8</v>
      </c>
      <c r="I21">
        <v>8</v>
      </c>
      <c r="J21" s="2" t="s">
        <v>24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>
        <v>285</v>
      </c>
      <c r="O21">
        <v>125</v>
      </c>
      <c r="P21" s="2">
        <v>0.12</v>
      </c>
      <c r="Q21" s="6">
        <v>15</v>
      </c>
      <c r="R21" s="10">
        <v>0</v>
      </c>
      <c r="S21" s="10">
        <v>0</v>
      </c>
      <c r="T21" s="10"/>
      <c r="U21" t="str">
        <f>"RUNNING_COST_"&amp;IF(PROPERTIES[[#This Row],[ENGINE_CLASS]]="MAGLEV","ELECTRIC",PROPERTIES[[#This Row],[ENGINE_CLASS]])</f>
        <v>RUNNING_COST_DIESEL</v>
      </c>
      <c r="V21" s="10" t="s">
        <v>994</v>
      </c>
      <c r="W21" s="10" t="s">
        <v>995</v>
      </c>
      <c r="X21" s="10" t="str">
        <f>SUBSTITUTE(SUBSTITUTE(PROPERTIES[[#This Row],[PURCHASECOST_VALUE]], "PURCHASECOST_", ""), "_VALUE", "")</f>
        <v>DIESELRAILBUS</v>
      </c>
      <c r="AP21"/>
      <c r="AQ21"/>
      <c r="AR21"/>
    </row>
    <row r="22" spans="1:44">
      <c r="A22" s="2" t="s">
        <v>45</v>
      </c>
      <c r="B22">
        <v>1984</v>
      </c>
      <c r="C22">
        <v>0</v>
      </c>
      <c r="D22" t="s">
        <v>35</v>
      </c>
      <c r="E22" t="s">
        <v>18</v>
      </c>
      <c r="F22">
        <v>56</v>
      </c>
      <c r="G22" s="10">
        <v>37</v>
      </c>
      <c r="H22">
        <v>8</v>
      </c>
      <c r="I22">
        <v>8</v>
      </c>
      <c r="J22" s="2" t="s">
        <v>24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>
        <v>285</v>
      </c>
      <c r="O22">
        <v>100</v>
      </c>
      <c r="P22" s="2">
        <v>0.23</v>
      </c>
      <c r="Q22" s="6">
        <v>15</v>
      </c>
      <c r="R22" s="10">
        <v>0</v>
      </c>
      <c r="S22" s="10">
        <v>0</v>
      </c>
      <c r="T22" s="10"/>
      <c r="U22" t="str">
        <f>"RUNNING_COST_"&amp;IF(PROPERTIES[[#This Row],[ENGINE_CLASS]]="MAGLEV","ELECTRIC",PROPERTIES[[#This Row],[ENGINE_CLASS]])</f>
        <v>RUNNING_COST_DIESEL</v>
      </c>
      <c r="V22" s="10" t="s">
        <v>994</v>
      </c>
      <c r="W22" s="10" t="s">
        <v>995</v>
      </c>
      <c r="X22" s="10" t="str">
        <f>SUBSTITUTE(SUBSTITUTE(PROPERTIES[[#This Row],[PURCHASECOST_VALUE]], "PURCHASECOST_", ""), "_VALUE", "")</f>
        <v>DIESELRAILBUS</v>
      </c>
      <c r="AP22"/>
      <c r="AQ22"/>
      <c r="AR22"/>
    </row>
    <row r="23" spans="1:44">
      <c r="A23" s="2" t="s">
        <v>46</v>
      </c>
      <c r="B23">
        <v>1987</v>
      </c>
      <c r="C23">
        <v>0</v>
      </c>
      <c r="D23" t="s">
        <v>35</v>
      </c>
      <c r="E23" t="s">
        <v>18</v>
      </c>
      <c r="F23">
        <v>62</v>
      </c>
      <c r="G23" s="10">
        <v>44</v>
      </c>
      <c r="H23">
        <v>8</v>
      </c>
      <c r="I23">
        <v>8</v>
      </c>
      <c r="J23" s="2" t="s">
        <v>24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>
        <v>562</v>
      </c>
      <c r="O23">
        <v>120</v>
      </c>
      <c r="P23" s="2">
        <v>0.11</v>
      </c>
      <c r="Q23" s="6">
        <v>15</v>
      </c>
      <c r="R23" s="10">
        <v>0</v>
      </c>
      <c r="S23" s="10">
        <v>0</v>
      </c>
      <c r="T23" s="10"/>
      <c r="U23" t="str">
        <f>"RUNNING_COST_"&amp;IF(PROPERTIES[[#This Row],[ENGINE_CLASS]]="MAGLEV","ELECTRIC",PROPERTIES[[#This Row],[ENGINE_CLASS]])</f>
        <v>RUNNING_COST_DIESEL</v>
      </c>
      <c r="V23" s="10" t="s">
        <v>994</v>
      </c>
      <c r="W23" s="10" t="s">
        <v>995</v>
      </c>
      <c r="X23" s="10" t="str">
        <f>SUBSTITUTE(SUBSTITUTE(PROPERTIES[[#This Row],[PURCHASECOST_VALUE]], "PURCHASECOST_", ""), "_VALUE", "")</f>
        <v>DIESELRAILBUS</v>
      </c>
      <c r="AP23"/>
      <c r="AQ23"/>
      <c r="AR23"/>
    </row>
    <row r="24" spans="1:44">
      <c r="A24" s="2" t="s">
        <v>47</v>
      </c>
      <c r="B24">
        <v>1991</v>
      </c>
      <c r="C24">
        <v>0</v>
      </c>
      <c r="D24" t="s">
        <v>35</v>
      </c>
      <c r="E24" t="s">
        <v>18</v>
      </c>
      <c r="F24">
        <v>75</v>
      </c>
      <c r="G24" s="10">
        <v>42</v>
      </c>
      <c r="H24">
        <v>8</v>
      </c>
      <c r="I24">
        <v>8</v>
      </c>
      <c r="J24" s="2" t="s">
        <v>24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>
        <v>285</v>
      </c>
      <c r="O24">
        <v>144</v>
      </c>
      <c r="P24" s="2">
        <v>0.1</v>
      </c>
      <c r="Q24" s="6">
        <v>15</v>
      </c>
      <c r="R24" s="10">
        <v>0</v>
      </c>
      <c r="S24" s="10">
        <v>0</v>
      </c>
      <c r="T24" s="10"/>
      <c r="U24" t="str">
        <f>"RUNNING_COST_"&amp;IF(PROPERTIES[[#This Row],[ENGINE_CLASS]]="MAGLEV","ELECTRIC",PROPERTIES[[#This Row],[ENGINE_CLASS]])</f>
        <v>RUNNING_COST_DIESEL</v>
      </c>
      <c r="V24" s="10" t="s">
        <v>994</v>
      </c>
      <c r="W24" s="10" t="s">
        <v>995</v>
      </c>
      <c r="X24" s="10" t="str">
        <f>SUBSTITUTE(SUBSTITUTE(PROPERTIES[[#This Row],[PURCHASECOST_VALUE]], "PURCHASECOST_", ""), "_VALUE", "")</f>
        <v>DIESELRAILBUS</v>
      </c>
      <c r="AP24"/>
      <c r="AQ24"/>
      <c r="AR24"/>
    </row>
    <row r="25" spans="1:44">
      <c r="A25" s="2" t="s">
        <v>48</v>
      </c>
      <c r="B25">
        <v>1996</v>
      </c>
      <c r="C25">
        <v>0</v>
      </c>
      <c r="D25" t="s">
        <v>35</v>
      </c>
      <c r="E25" t="s">
        <v>18</v>
      </c>
      <c r="F25">
        <v>55</v>
      </c>
      <c r="G25" s="10">
        <v>20</v>
      </c>
      <c r="H25">
        <v>7</v>
      </c>
      <c r="I25">
        <v>7</v>
      </c>
      <c r="J25" s="2" t="s">
        <v>24</v>
      </c>
      <c r="K25">
        <f>_xlfn.XLOOKUP("LOADINGSPEEDDEF_"&amp;PROPERTIES[[#This Row],[LOADINGSPEED]],LOADINGSPEEDDEF[TYPE],LOADINGSPEEDDEF[SPEED])</f>
        <v>40</v>
      </c>
      <c r="L25" t="s">
        <v>21</v>
      </c>
      <c r="M25">
        <v>1</v>
      </c>
      <c r="N25">
        <v>210</v>
      </c>
      <c r="O25">
        <v>80</v>
      </c>
      <c r="P25" s="2">
        <v>0.15</v>
      </c>
      <c r="Q25" s="6">
        <v>15</v>
      </c>
      <c r="R25" s="10">
        <v>0</v>
      </c>
      <c r="S25" s="10">
        <v>0</v>
      </c>
      <c r="T25" s="10"/>
      <c r="U25" t="str">
        <f>"RUNNING_COST_"&amp;IF(PROPERTIES[[#This Row],[ENGINE_CLASS]]="MAGLEV","ELECTRIC",PROPERTIES[[#This Row],[ENGINE_CLASS]])</f>
        <v>RUNNING_COST_DIESEL</v>
      </c>
      <c r="V25" s="10" t="s">
        <v>994</v>
      </c>
      <c r="W25" s="10" t="s">
        <v>995</v>
      </c>
      <c r="X25" s="10" t="str">
        <f>SUBSTITUTE(SUBSTITUTE(PROPERTIES[[#This Row],[PURCHASECOST_VALUE]], "PURCHASECOST_", ""), "_VALUE", "")</f>
        <v>DIESELRAILBUS</v>
      </c>
      <c r="AP25"/>
      <c r="AQ25"/>
      <c r="AR25"/>
    </row>
    <row r="26" spans="1:44">
      <c r="A26" s="2" t="s">
        <v>49</v>
      </c>
      <c r="B26">
        <v>1996</v>
      </c>
      <c r="C26">
        <v>0</v>
      </c>
      <c r="D26" t="s">
        <v>35</v>
      </c>
      <c r="E26" t="s">
        <v>18</v>
      </c>
      <c r="F26">
        <v>110</v>
      </c>
      <c r="G26" s="10">
        <v>34</v>
      </c>
      <c r="H26">
        <v>7</v>
      </c>
      <c r="I26">
        <v>7</v>
      </c>
      <c r="J26" s="2" t="s">
        <v>24</v>
      </c>
      <c r="K26">
        <f>_xlfn.XLOOKUP("LOADINGSPEEDDEF_"&amp;PROPERTIES[[#This Row],[LOADINGSPEED]],LOADINGSPEEDDEF[TYPE],LOADINGSPEEDDEF[SPEED])</f>
        <v>40</v>
      </c>
      <c r="L26" t="s">
        <v>21</v>
      </c>
      <c r="M26">
        <v>1</v>
      </c>
      <c r="N26">
        <v>335</v>
      </c>
      <c r="O26">
        <v>100</v>
      </c>
      <c r="P26" s="2">
        <v>0.21</v>
      </c>
      <c r="Q26" s="6">
        <v>15</v>
      </c>
      <c r="R26" s="10">
        <v>0</v>
      </c>
      <c r="S26" s="10">
        <v>0</v>
      </c>
      <c r="T26" s="10"/>
      <c r="U26" t="str">
        <f>"RUNNING_COST_"&amp;IF(PROPERTIES[[#This Row],[ENGINE_CLASS]]="MAGLEV","ELECTRIC",PROPERTIES[[#This Row],[ENGINE_CLASS]])</f>
        <v>RUNNING_COST_DIESEL</v>
      </c>
      <c r="V26" s="10" t="s">
        <v>994</v>
      </c>
      <c r="W26" s="10" t="s">
        <v>995</v>
      </c>
      <c r="X26" s="10" t="str">
        <f>SUBSTITUTE(SUBSTITUTE(PROPERTIES[[#This Row],[PURCHASECOST_VALUE]], "PURCHASECOST_", ""), "_VALUE", "")</f>
        <v>DIESELRAILBUS</v>
      </c>
      <c r="AP26"/>
      <c r="AQ26"/>
      <c r="AR26"/>
    </row>
    <row r="27" spans="1:44">
      <c r="A27" s="2" t="s">
        <v>50</v>
      </c>
      <c r="B27">
        <v>1997</v>
      </c>
      <c r="C27">
        <v>0</v>
      </c>
      <c r="D27" t="s">
        <v>35</v>
      </c>
      <c r="E27" t="s">
        <v>18</v>
      </c>
      <c r="F27">
        <v>73</v>
      </c>
      <c r="G27" s="10">
        <v>32</v>
      </c>
      <c r="H27">
        <v>8</v>
      </c>
      <c r="I27">
        <v>8</v>
      </c>
      <c r="J27" s="2" t="s">
        <v>24</v>
      </c>
      <c r="K27">
        <f>_xlfn.XLOOKUP("LOADINGSPEEDDEF_"&amp;PROPERTIES[[#This Row],[LOADINGSPEED]],LOADINGSPEEDDEF[TYPE],LOADINGSPEEDDEF[SPEED])</f>
        <v>40</v>
      </c>
      <c r="L27" t="s">
        <v>21</v>
      </c>
      <c r="M27">
        <v>1</v>
      </c>
      <c r="N27">
        <v>400</v>
      </c>
      <c r="O27">
        <v>120</v>
      </c>
      <c r="P27" s="2">
        <v>0.12</v>
      </c>
      <c r="Q27" s="6">
        <v>15</v>
      </c>
      <c r="R27" s="10">
        <v>0</v>
      </c>
      <c r="S27" s="10">
        <v>0</v>
      </c>
      <c r="T27" s="10"/>
      <c r="U27" t="str">
        <f>"RUNNING_COST_"&amp;IF(PROPERTIES[[#This Row],[ENGINE_CLASS]]="MAGLEV","ELECTRIC",PROPERTIES[[#This Row],[ENGINE_CLASS]])</f>
        <v>RUNNING_COST_DIESEL</v>
      </c>
      <c r="V27" s="10" t="s">
        <v>994</v>
      </c>
      <c r="W27" s="10" t="s">
        <v>995</v>
      </c>
      <c r="X27" s="10" t="str">
        <f>SUBSTITUTE(SUBSTITUTE(PROPERTIES[[#This Row],[PURCHASECOST_VALUE]], "PURCHASECOST_", ""), "_VALUE", "")</f>
        <v>DIESELRAILBUS</v>
      </c>
      <c r="AP27"/>
      <c r="AQ27"/>
      <c r="AR27"/>
    </row>
    <row r="28" spans="1:44">
      <c r="A28" s="2" t="s">
        <v>51</v>
      </c>
      <c r="B28">
        <v>1902</v>
      </c>
      <c r="C28">
        <v>0</v>
      </c>
      <c r="D28" t="s">
        <v>35</v>
      </c>
      <c r="E28" t="s">
        <v>18</v>
      </c>
      <c r="F28">
        <v>16</v>
      </c>
      <c r="G28" s="10">
        <v>13</v>
      </c>
      <c r="H28">
        <v>4</v>
      </c>
      <c r="I28">
        <v>4</v>
      </c>
      <c r="J28" s="2" t="s">
        <v>24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>
        <v>55</v>
      </c>
      <c r="O28">
        <v>35</v>
      </c>
      <c r="P28" s="2">
        <v>0.34</v>
      </c>
      <c r="Q28" s="6">
        <v>15</v>
      </c>
      <c r="R28" s="10">
        <v>0</v>
      </c>
      <c r="S28" s="10">
        <v>0</v>
      </c>
      <c r="T28" s="10"/>
      <c r="U28" t="str">
        <f>"RUNNING_COST_"&amp;IF(PROPERTIES[[#This Row],[ENGINE_CLASS]]="MAGLEV","ELECTRIC",PROPERTIES[[#This Row],[ENGINE_CLASS]])</f>
        <v>RUNNING_COST_DIESEL</v>
      </c>
      <c r="V28" s="10" t="s">
        <v>994</v>
      </c>
      <c r="W28" s="10" t="s">
        <v>995</v>
      </c>
      <c r="X28" s="10" t="str">
        <f>SUBSTITUTE(SUBSTITUTE(PROPERTIES[[#This Row],[PURCHASECOST_VALUE]], "PURCHASECOST_", ""), "_VALUE", "")</f>
        <v>DIESELRAILBUS</v>
      </c>
      <c r="AP28"/>
      <c r="AQ28"/>
      <c r="AR28"/>
    </row>
    <row r="29" spans="1:44">
      <c r="A29" s="2" t="s">
        <v>52</v>
      </c>
      <c r="B29">
        <v>1909</v>
      </c>
      <c r="C29">
        <v>0</v>
      </c>
      <c r="D29" t="s">
        <v>35</v>
      </c>
      <c r="E29" t="s">
        <v>18</v>
      </c>
      <c r="F29">
        <v>84</v>
      </c>
      <c r="G29" s="10">
        <v>30</v>
      </c>
      <c r="H29">
        <v>8</v>
      </c>
      <c r="I29">
        <v>8</v>
      </c>
      <c r="J29" s="2" t="s">
        <v>24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>
        <v>200</v>
      </c>
      <c r="O29">
        <v>52</v>
      </c>
      <c r="P29" s="2">
        <v>0.34</v>
      </c>
      <c r="Q29" s="6">
        <v>15</v>
      </c>
      <c r="R29" s="10">
        <v>0</v>
      </c>
      <c r="S29" s="10">
        <v>0</v>
      </c>
      <c r="T29" s="10"/>
      <c r="U29" t="str">
        <f>"RUNNING_COST_"&amp;IF(PROPERTIES[[#This Row],[ENGINE_CLASS]]="MAGLEV","ELECTRIC",PROPERTIES[[#This Row],[ENGINE_CLASS]])</f>
        <v>RUNNING_COST_DIESEL</v>
      </c>
      <c r="V29" s="10" t="s">
        <v>994</v>
      </c>
      <c r="W29" s="10" t="s">
        <v>995</v>
      </c>
      <c r="X29" s="10" t="str">
        <f>SUBSTITUTE(SUBSTITUTE(PROPERTIES[[#This Row],[PURCHASECOST_VALUE]], "PURCHASECOST_", ""), "_VALUE", "")</f>
        <v>DIESELRAILBUS</v>
      </c>
      <c r="AP29"/>
      <c r="AQ29"/>
      <c r="AR29"/>
    </row>
    <row r="30" spans="1:44">
      <c r="A30" s="2" t="s">
        <v>53</v>
      </c>
      <c r="B30">
        <v>1914</v>
      </c>
      <c r="C30">
        <v>0</v>
      </c>
      <c r="D30" t="s">
        <v>35</v>
      </c>
      <c r="E30" t="s">
        <v>18</v>
      </c>
      <c r="F30">
        <v>69</v>
      </c>
      <c r="G30" s="10">
        <v>64</v>
      </c>
      <c r="H30">
        <v>8</v>
      </c>
      <c r="I30">
        <v>4</v>
      </c>
      <c r="J30" s="2" t="s">
        <v>24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>
        <v>200</v>
      </c>
      <c r="O30">
        <v>70</v>
      </c>
      <c r="P30" s="2">
        <v>0.34</v>
      </c>
      <c r="Q30" s="6">
        <v>15</v>
      </c>
      <c r="R30" s="10">
        <v>0</v>
      </c>
      <c r="S30" s="10">
        <v>2</v>
      </c>
      <c r="T30" s="10"/>
      <c r="U30" t="str">
        <f>"RUNNING_COST_"&amp;IF(PROPERTIES[[#This Row],[ENGINE_CLASS]]="MAGLEV","ELECTRIC",PROPERTIES[[#This Row],[ENGINE_CLASS]])</f>
        <v>RUNNING_COST_DIESEL</v>
      </c>
      <c r="V30" s="10" t="s">
        <v>994</v>
      </c>
      <c r="W30" s="10" t="s">
        <v>995</v>
      </c>
      <c r="X30" s="10" t="str">
        <f>SUBSTITUTE(SUBSTITUTE(PROPERTIES[[#This Row],[PURCHASECOST_VALUE]], "PURCHASECOST_", ""), "_VALUE", "")</f>
        <v>DIESELRAILBUS</v>
      </c>
      <c r="AP30"/>
      <c r="AQ30"/>
      <c r="AR30"/>
    </row>
    <row r="31" spans="1:44">
      <c r="A31" s="2" t="s">
        <v>54</v>
      </c>
      <c r="B31">
        <v>1921</v>
      </c>
      <c r="C31">
        <v>0</v>
      </c>
      <c r="D31" t="s">
        <v>35</v>
      </c>
      <c r="E31" t="s">
        <v>18</v>
      </c>
      <c r="F31">
        <v>30</v>
      </c>
      <c r="G31" s="10">
        <v>10</v>
      </c>
      <c r="H31">
        <v>4</v>
      </c>
      <c r="I31">
        <v>4</v>
      </c>
      <c r="J31" s="2" t="s">
        <v>24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>
        <v>35</v>
      </c>
      <c r="O31">
        <v>40</v>
      </c>
      <c r="P31" s="2">
        <v>0.21</v>
      </c>
      <c r="Q31" s="6">
        <v>15</v>
      </c>
      <c r="R31" s="10">
        <v>0</v>
      </c>
      <c r="S31" s="10">
        <v>0</v>
      </c>
      <c r="T31" s="10"/>
      <c r="U31" t="str">
        <f>"RUNNING_COST_"&amp;IF(PROPERTIES[[#This Row],[ENGINE_CLASS]]="MAGLEV","ELECTRIC",PROPERTIES[[#This Row],[ENGINE_CLASS]])</f>
        <v>RUNNING_COST_DIESEL</v>
      </c>
      <c r="V31" s="10" t="s">
        <v>994</v>
      </c>
      <c r="W31" s="10" t="s">
        <v>995</v>
      </c>
      <c r="X31" s="10" t="str">
        <f>SUBSTITUTE(SUBSTITUTE(PROPERTIES[[#This Row],[PURCHASECOST_VALUE]], "PURCHASECOST_", ""), "_VALUE", "")</f>
        <v>DIESELRAILBUS</v>
      </c>
      <c r="AP31"/>
      <c r="AQ31"/>
      <c r="AR31"/>
    </row>
    <row r="32" spans="1:44">
      <c r="A32" s="2" t="s">
        <v>55</v>
      </c>
      <c r="B32">
        <v>1922</v>
      </c>
      <c r="C32">
        <v>0</v>
      </c>
      <c r="D32" t="s">
        <v>35</v>
      </c>
      <c r="E32" t="s">
        <v>18</v>
      </c>
      <c r="F32">
        <v>18</v>
      </c>
      <c r="G32" s="10">
        <v>11</v>
      </c>
      <c r="H32">
        <v>5</v>
      </c>
      <c r="I32">
        <v>5</v>
      </c>
      <c r="J32" s="2" t="s">
        <v>24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>
        <v>75</v>
      </c>
      <c r="O32">
        <v>40</v>
      </c>
      <c r="P32" s="2">
        <v>0.34</v>
      </c>
      <c r="Q32" s="6">
        <v>15</v>
      </c>
      <c r="R32" s="10">
        <v>0</v>
      </c>
      <c r="S32" s="10">
        <v>0</v>
      </c>
      <c r="T32" s="10"/>
      <c r="U32" t="str">
        <f>"RUNNING_COST_"&amp;IF(PROPERTIES[[#This Row],[ENGINE_CLASS]]="MAGLEV","ELECTRIC",PROPERTIES[[#This Row],[ENGINE_CLASS]])</f>
        <v>RUNNING_COST_DIESEL</v>
      </c>
      <c r="V32" s="10" t="s">
        <v>994</v>
      </c>
      <c r="W32" s="10" t="s">
        <v>995</v>
      </c>
      <c r="X32" s="10" t="str">
        <f>SUBSTITUTE(SUBSTITUTE(PROPERTIES[[#This Row],[PURCHASECOST_VALUE]], "PURCHASECOST_", ""), "_VALUE", "")</f>
        <v>DIESELRAILBUS</v>
      </c>
      <c r="AP32"/>
      <c r="AQ32"/>
      <c r="AR32"/>
    </row>
    <row r="33" spans="1:44">
      <c r="A33" s="2" t="s">
        <v>56</v>
      </c>
      <c r="B33">
        <v>1928</v>
      </c>
      <c r="C33">
        <v>0</v>
      </c>
      <c r="D33" t="s">
        <v>35</v>
      </c>
      <c r="E33" t="s">
        <v>18</v>
      </c>
      <c r="F33">
        <v>40</v>
      </c>
      <c r="G33" s="10">
        <v>34</v>
      </c>
      <c r="H33">
        <v>7</v>
      </c>
      <c r="I33">
        <v>7</v>
      </c>
      <c r="J33" s="2" t="s">
        <v>24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>
        <v>255</v>
      </c>
      <c r="O33">
        <v>60</v>
      </c>
      <c r="P33" s="2">
        <v>0.34</v>
      </c>
      <c r="Q33" s="6">
        <v>15</v>
      </c>
      <c r="R33" s="10">
        <v>0</v>
      </c>
      <c r="S33" s="10">
        <v>0</v>
      </c>
      <c r="T33" s="10"/>
      <c r="U33" t="str">
        <f>"RUNNING_COST_"&amp;IF(PROPERTIES[[#This Row],[ENGINE_CLASS]]="MAGLEV","ELECTRIC",PROPERTIES[[#This Row],[ENGINE_CLASS]])</f>
        <v>RUNNING_COST_DIESEL</v>
      </c>
      <c r="V33" s="10" t="s">
        <v>994</v>
      </c>
      <c r="W33" s="10" t="s">
        <v>995</v>
      </c>
      <c r="X33" s="10" t="str">
        <f>SUBSTITUTE(SUBSTITUTE(PROPERTIES[[#This Row],[PURCHASECOST_VALUE]], "PURCHASECOST_", ""), "_VALUE", "")</f>
        <v>DIESELRAILBUS</v>
      </c>
      <c r="AP33"/>
      <c r="AQ33"/>
      <c r="AR33"/>
    </row>
    <row r="34" spans="1:44">
      <c r="A34" s="2" t="s">
        <v>57</v>
      </c>
      <c r="B34">
        <v>1930</v>
      </c>
      <c r="C34">
        <v>0</v>
      </c>
      <c r="D34" t="s">
        <v>35</v>
      </c>
      <c r="E34" t="s">
        <v>18</v>
      </c>
      <c r="F34">
        <v>38</v>
      </c>
      <c r="G34" s="10">
        <v>13</v>
      </c>
      <c r="H34">
        <v>5</v>
      </c>
      <c r="I34">
        <v>5</v>
      </c>
      <c r="J34" s="2" t="s">
        <v>24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>
        <v>120</v>
      </c>
      <c r="O34">
        <v>60</v>
      </c>
      <c r="P34" s="2">
        <v>0.35</v>
      </c>
      <c r="Q34" s="6">
        <v>15</v>
      </c>
      <c r="R34" s="10">
        <v>0</v>
      </c>
      <c r="S34" s="10">
        <v>0</v>
      </c>
      <c r="T34" s="10"/>
      <c r="U34" t="str">
        <f>"RUNNING_COST_"&amp;IF(PROPERTIES[[#This Row],[ENGINE_CLASS]]="MAGLEV","ELECTRIC",PROPERTIES[[#This Row],[ENGINE_CLASS]])</f>
        <v>RUNNING_COST_DIESEL</v>
      </c>
      <c r="V34" s="10" t="s">
        <v>994</v>
      </c>
      <c r="W34" s="10" t="s">
        <v>995</v>
      </c>
      <c r="X34" s="10" t="str">
        <f>SUBSTITUTE(SUBSTITUTE(PROPERTIES[[#This Row],[PURCHASECOST_VALUE]], "PURCHASECOST_", ""), "_VALUE", "")</f>
        <v>DIESELRAILBUS</v>
      </c>
      <c r="AP34"/>
      <c r="AQ34"/>
      <c r="AR34"/>
    </row>
    <row r="35" spans="1:44">
      <c r="A35" s="2" t="s">
        <v>58</v>
      </c>
      <c r="B35">
        <v>1930</v>
      </c>
      <c r="C35">
        <v>0</v>
      </c>
      <c r="D35" t="s">
        <v>35</v>
      </c>
      <c r="E35" t="s">
        <v>18</v>
      </c>
      <c r="F35">
        <v>40</v>
      </c>
      <c r="G35" s="10">
        <v>20</v>
      </c>
      <c r="H35">
        <v>8</v>
      </c>
      <c r="I35">
        <v>8</v>
      </c>
      <c r="J35" s="2" t="s">
        <v>24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>
        <v>600</v>
      </c>
      <c r="O35">
        <v>230</v>
      </c>
      <c r="P35" s="2">
        <v>0.39</v>
      </c>
      <c r="Q35" s="6">
        <v>15</v>
      </c>
      <c r="R35" s="10">
        <v>0</v>
      </c>
      <c r="S35" s="10">
        <v>0</v>
      </c>
      <c r="T35" s="10"/>
      <c r="U35" t="str">
        <f>"RUNNING_COST_"&amp;IF(PROPERTIES[[#This Row],[ENGINE_CLASS]]="MAGLEV","ELECTRIC",PROPERTIES[[#This Row],[ENGINE_CLASS]])</f>
        <v>RUNNING_COST_DIESEL</v>
      </c>
      <c r="V35" s="10" t="s">
        <v>994</v>
      </c>
      <c r="W35" s="10" t="s">
        <v>995</v>
      </c>
      <c r="X35" s="10" t="str">
        <f>SUBSTITUTE(SUBSTITUTE(PROPERTIES[[#This Row],[PURCHASECOST_VALUE]], "PURCHASECOST_", ""), "_VALUE", "")</f>
        <v>DIESELRAILBUS</v>
      </c>
      <c r="AP35"/>
      <c r="AQ35"/>
      <c r="AR35"/>
    </row>
    <row r="36" spans="1:44">
      <c r="A36" s="2" t="s">
        <v>59</v>
      </c>
      <c r="B36">
        <v>1935</v>
      </c>
      <c r="C36">
        <v>0</v>
      </c>
      <c r="D36" t="s">
        <v>35</v>
      </c>
      <c r="E36" t="s">
        <v>18</v>
      </c>
      <c r="F36">
        <v>52</v>
      </c>
      <c r="G36" s="10">
        <v>58</v>
      </c>
      <c r="H36">
        <v>8</v>
      </c>
      <c r="I36">
        <v>8</v>
      </c>
      <c r="J36" s="2" t="s">
        <v>24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>
        <v>500</v>
      </c>
      <c r="O36">
        <v>120</v>
      </c>
      <c r="P36" s="2">
        <v>0.31</v>
      </c>
      <c r="Q36" s="6">
        <v>15</v>
      </c>
      <c r="R36" s="10">
        <v>0</v>
      </c>
      <c r="S36" s="10">
        <v>0</v>
      </c>
      <c r="T36" s="10"/>
      <c r="U36" t="str">
        <f>"RUNNING_COST_"&amp;IF(PROPERTIES[[#This Row],[ENGINE_CLASS]]="MAGLEV","ELECTRIC",PROPERTIES[[#This Row],[ENGINE_CLASS]])</f>
        <v>RUNNING_COST_DIESEL</v>
      </c>
      <c r="V36" s="10" t="s">
        <v>994</v>
      </c>
      <c r="W36" s="10" t="s">
        <v>995</v>
      </c>
      <c r="X36" s="10" t="str">
        <f>SUBSTITUTE(SUBSTITUTE(PROPERTIES[[#This Row],[PURCHASECOST_VALUE]], "PURCHASECOST_", ""), "_VALUE", "")</f>
        <v>DIESELRAILBUS</v>
      </c>
      <c r="AP36"/>
      <c r="AQ36"/>
      <c r="AR36"/>
    </row>
    <row r="37" spans="1:44">
      <c r="A37" s="2" t="s">
        <v>60</v>
      </c>
      <c r="B37">
        <v>1935</v>
      </c>
      <c r="C37">
        <v>0</v>
      </c>
      <c r="D37" t="s">
        <v>35</v>
      </c>
      <c r="E37" t="s">
        <v>18</v>
      </c>
      <c r="F37">
        <v>45</v>
      </c>
      <c r="G37" s="10">
        <v>10</v>
      </c>
      <c r="H37">
        <v>6</v>
      </c>
      <c r="I37">
        <v>6</v>
      </c>
      <c r="J37" s="2" t="s">
        <v>24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>
        <v>120</v>
      </c>
      <c r="O37">
        <v>100</v>
      </c>
      <c r="P37" s="2">
        <v>0.41</v>
      </c>
      <c r="Q37" s="6">
        <v>15</v>
      </c>
      <c r="R37" s="10">
        <v>0</v>
      </c>
      <c r="S37" s="10">
        <v>0</v>
      </c>
      <c r="T37" s="10"/>
      <c r="U37" t="str">
        <f>"RUNNING_COST_"&amp;IF(PROPERTIES[[#This Row],[ENGINE_CLASS]]="MAGLEV","ELECTRIC",PROPERTIES[[#This Row],[ENGINE_CLASS]])</f>
        <v>RUNNING_COST_DIESEL</v>
      </c>
      <c r="V37" s="10" t="s">
        <v>994</v>
      </c>
      <c r="W37" s="10" t="s">
        <v>995</v>
      </c>
      <c r="X37" s="10" t="str">
        <f>SUBSTITUTE(SUBSTITUTE(PROPERTIES[[#This Row],[PURCHASECOST_VALUE]], "PURCHASECOST_", ""), "_VALUE", "")</f>
        <v>DIESELRAILBUS</v>
      </c>
      <c r="AP37"/>
      <c r="AQ37"/>
      <c r="AR37"/>
    </row>
    <row r="38" spans="1:44">
      <c r="A38" s="2" t="s">
        <v>61</v>
      </c>
      <c r="B38">
        <v>1936</v>
      </c>
      <c r="C38">
        <v>0</v>
      </c>
      <c r="D38" t="s">
        <v>35</v>
      </c>
      <c r="E38" t="s">
        <v>18</v>
      </c>
      <c r="F38">
        <v>72</v>
      </c>
      <c r="G38" s="10">
        <v>36</v>
      </c>
      <c r="H38">
        <v>7</v>
      </c>
      <c r="I38">
        <v>7</v>
      </c>
      <c r="J38" s="2" t="s">
        <v>24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>
        <v>330</v>
      </c>
      <c r="O38">
        <v>148</v>
      </c>
      <c r="P38" s="2">
        <v>0.33</v>
      </c>
      <c r="Q38" s="6">
        <v>15</v>
      </c>
      <c r="R38" s="10">
        <v>0</v>
      </c>
      <c r="S38" s="10">
        <v>0</v>
      </c>
      <c r="T38" s="10"/>
      <c r="U38" t="str">
        <f>"RUNNING_COST_"&amp;IF(PROPERTIES[[#This Row],[ENGINE_CLASS]]="MAGLEV","ELECTRIC",PROPERTIES[[#This Row],[ENGINE_CLASS]])</f>
        <v>RUNNING_COST_DIESEL</v>
      </c>
      <c r="V38" s="10" t="s">
        <v>994</v>
      </c>
      <c r="W38" s="10" t="s">
        <v>995</v>
      </c>
      <c r="X38" s="10" t="str">
        <f>SUBSTITUTE(SUBSTITUTE(PROPERTIES[[#This Row],[PURCHASECOST_VALUE]], "PURCHASECOST_", ""), "_VALUE", "")</f>
        <v>DIESELRAILBUS</v>
      </c>
      <c r="AP38"/>
      <c r="AQ38"/>
      <c r="AR38"/>
    </row>
    <row r="39" spans="1:44">
      <c r="A39" s="2" t="s">
        <v>62</v>
      </c>
      <c r="B39">
        <v>1937</v>
      </c>
      <c r="C39">
        <v>0</v>
      </c>
      <c r="D39" t="s">
        <v>35</v>
      </c>
      <c r="E39" t="s">
        <v>18</v>
      </c>
      <c r="F39">
        <v>63</v>
      </c>
      <c r="G39" s="10">
        <v>53</v>
      </c>
      <c r="H39">
        <v>8</v>
      </c>
      <c r="I39">
        <v>8</v>
      </c>
      <c r="J39" s="2" t="s">
        <v>24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>
        <v>294</v>
      </c>
      <c r="O39">
        <v>105</v>
      </c>
      <c r="P39" s="2">
        <v>0.34</v>
      </c>
      <c r="Q39" s="6">
        <v>15</v>
      </c>
      <c r="R39" s="10">
        <v>0</v>
      </c>
      <c r="S39" s="10">
        <v>0</v>
      </c>
      <c r="T39" s="10"/>
      <c r="U39" t="str">
        <f>"RUNNING_COST_"&amp;IF(PROPERTIES[[#This Row],[ENGINE_CLASS]]="MAGLEV","ELECTRIC",PROPERTIES[[#This Row],[ENGINE_CLASS]])</f>
        <v>RUNNING_COST_DIESEL</v>
      </c>
      <c r="V39" s="10" t="s">
        <v>994</v>
      </c>
      <c r="W39" s="10" t="s">
        <v>995</v>
      </c>
      <c r="X39" s="10" t="str">
        <f>SUBSTITUTE(SUBSTITUTE(PROPERTIES[[#This Row],[PURCHASECOST_VALUE]], "PURCHASECOST_", ""), "_VALUE", "")</f>
        <v>DIESELRAILBUS</v>
      </c>
      <c r="AP39"/>
      <c r="AQ39"/>
      <c r="AR39"/>
    </row>
    <row r="40" spans="1:44">
      <c r="A40" s="2" t="s">
        <v>63</v>
      </c>
      <c r="B40">
        <v>1938</v>
      </c>
      <c r="C40">
        <v>0</v>
      </c>
      <c r="D40" t="s">
        <v>35</v>
      </c>
      <c r="E40" t="s">
        <v>18</v>
      </c>
      <c r="F40">
        <v>56</v>
      </c>
      <c r="G40" s="10">
        <v>48</v>
      </c>
      <c r="H40">
        <v>7</v>
      </c>
      <c r="I40">
        <v>7</v>
      </c>
      <c r="J40" s="2" t="s">
        <v>24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>
        <v>300</v>
      </c>
      <c r="O40">
        <v>100</v>
      </c>
      <c r="P40" s="2">
        <v>0.34</v>
      </c>
      <c r="Q40" s="6">
        <v>15</v>
      </c>
      <c r="R40" s="10">
        <v>0</v>
      </c>
      <c r="S40" s="10">
        <v>0</v>
      </c>
      <c r="T40" s="10"/>
      <c r="U40" t="str">
        <f>"RUNNING_COST_"&amp;IF(PROPERTIES[[#This Row],[ENGINE_CLASS]]="MAGLEV","ELECTRIC",PROPERTIES[[#This Row],[ENGINE_CLASS]])</f>
        <v>RUNNING_COST_DIESEL</v>
      </c>
      <c r="V40" s="10" t="s">
        <v>994</v>
      </c>
      <c r="W40" s="10" t="s">
        <v>995</v>
      </c>
      <c r="X40" s="10" t="str">
        <f>SUBSTITUTE(SUBSTITUTE(PROPERTIES[[#This Row],[PURCHASECOST_VALUE]], "PURCHASECOST_", ""), "_VALUE", "")</f>
        <v>DIESELRAILBUS</v>
      </c>
      <c r="AP40"/>
      <c r="AQ40"/>
      <c r="AR40"/>
    </row>
    <row r="41" spans="1:44">
      <c r="A41" s="2" t="s">
        <v>64</v>
      </c>
      <c r="B41">
        <v>1941</v>
      </c>
      <c r="C41">
        <v>0</v>
      </c>
      <c r="D41" t="s">
        <v>35</v>
      </c>
      <c r="E41" t="s">
        <v>18</v>
      </c>
      <c r="F41">
        <v>25</v>
      </c>
      <c r="G41" s="10">
        <v>8</v>
      </c>
      <c r="H41">
        <v>5</v>
      </c>
      <c r="I41">
        <v>5</v>
      </c>
      <c r="J41" s="2" t="s">
        <v>24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>
        <v>90</v>
      </c>
      <c r="O41">
        <v>89</v>
      </c>
      <c r="P41" s="2">
        <v>0.2</v>
      </c>
      <c r="Q41" s="6">
        <v>15</v>
      </c>
      <c r="R41" s="10">
        <v>0</v>
      </c>
      <c r="S41" s="10">
        <v>0</v>
      </c>
      <c r="T41" s="10"/>
      <c r="U41" t="str">
        <f>"RUNNING_COST_"&amp;IF(PROPERTIES[[#This Row],[ENGINE_CLASS]]="MAGLEV","ELECTRIC",PROPERTIES[[#This Row],[ENGINE_CLASS]])</f>
        <v>RUNNING_COST_DIESEL</v>
      </c>
      <c r="V41" s="10" t="s">
        <v>994</v>
      </c>
      <c r="W41" s="10" t="s">
        <v>995</v>
      </c>
      <c r="X41" s="10" t="str">
        <f>SUBSTITUTE(SUBSTITUTE(PROPERTIES[[#This Row],[PURCHASECOST_VALUE]], "PURCHASECOST_", ""), "_VALUE", "")</f>
        <v>DIESELRAILBUS</v>
      </c>
      <c r="AP41"/>
      <c r="AQ41"/>
      <c r="AR41"/>
    </row>
    <row r="42" spans="1:44">
      <c r="A42" s="2" t="s">
        <v>65</v>
      </c>
      <c r="B42">
        <v>1954</v>
      </c>
      <c r="C42">
        <v>0</v>
      </c>
      <c r="D42" t="s">
        <v>35</v>
      </c>
      <c r="E42" t="s">
        <v>18</v>
      </c>
      <c r="F42">
        <v>99</v>
      </c>
      <c r="G42" s="10">
        <v>54</v>
      </c>
      <c r="H42">
        <v>7</v>
      </c>
      <c r="I42">
        <v>7</v>
      </c>
      <c r="J42" s="2" t="s">
        <v>24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>
        <v>400</v>
      </c>
      <c r="O42">
        <v>90</v>
      </c>
      <c r="P42" s="2">
        <v>0.34</v>
      </c>
      <c r="Q42" s="6">
        <v>15</v>
      </c>
      <c r="R42" s="10">
        <v>0</v>
      </c>
      <c r="S42" s="10">
        <v>0</v>
      </c>
      <c r="T42" s="10"/>
      <c r="U42" t="str">
        <f>"RUNNING_COST_"&amp;IF(PROPERTIES[[#This Row],[ENGINE_CLASS]]="MAGLEV","ELECTRIC",PROPERTIES[[#This Row],[ENGINE_CLASS]])</f>
        <v>RUNNING_COST_DIESEL</v>
      </c>
      <c r="V42" s="10" t="s">
        <v>994</v>
      </c>
      <c r="W42" s="10" t="s">
        <v>995</v>
      </c>
      <c r="X42" s="10" t="str">
        <f>SUBSTITUTE(SUBSTITUTE(PROPERTIES[[#This Row],[PURCHASECOST_VALUE]], "PURCHASECOST_", ""), "_VALUE", "")</f>
        <v>DIESELRAILBUS</v>
      </c>
      <c r="AP42"/>
      <c r="AQ42"/>
      <c r="AR42"/>
    </row>
    <row r="43" spans="1:44">
      <c r="A43" s="2" t="s">
        <v>66</v>
      </c>
      <c r="B43">
        <v>1960</v>
      </c>
      <c r="C43">
        <v>0</v>
      </c>
      <c r="D43" t="s">
        <v>35</v>
      </c>
      <c r="E43" t="s">
        <v>18</v>
      </c>
      <c r="F43">
        <v>37</v>
      </c>
      <c r="G43" s="10">
        <v>52</v>
      </c>
      <c r="H43">
        <v>8</v>
      </c>
      <c r="I43">
        <v>8</v>
      </c>
      <c r="J43" s="2" t="s">
        <v>24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>
        <v>550</v>
      </c>
      <c r="O43">
        <v>125</v>
      </c>
      <c r="P43" s="2">
        <v>0.2</v>
      </c>
      <c r="Q43" s="6">
        <v>15</v>
      </c>
      <c r="R43" s="10">
        <v>0</v>
      </c>
      <c r="S43" s="10">
        <v>0</v>
      </c>
      <c r="T43" s="10"/>
      <c r="U43" t="str">
        <f>"RUNNING_COST_"&amp;IF(PROPERTIES[[#This Row],[ENGINE_CLASS]]="MAGLEV","ELECTRIC",PROPERTIES[[#This Row],[ENGINE_CLASS]])</f>
        <v>RUNNING_COST_DIESEL</v>
      </c>
      <c r="V43" s="10" t="s">
        <v>994</v>
      </c>
      <c r="W43" s="10" t="s">
        <v>995</v>
      </c>
      <c r="X43" s="10" t="str">
        <f>SUBSTITUTE(SUBSTITUTE(PROPERTIES[[#This Row],[PURCHASECOST_VALUE]], "PURCHASECOST_", ""), "_VALUE", "")</f>
        <v>DIESELRAILBUS</v>
      </c>
      <c r="AP43"/>
      <c r="AQ43"/>
      <c r="AR43"/>
    </row>
    <row r="44" spans="1:44">
      <c r="A44" s="2" t="s">
        <v>67</v>
      </c>
      <c r="B44">
        <v>1962</v>
      </c>
      <c r="C44">
        <v>0</v>
      </c>
      <c r="D44" t="s">
        <v>35</v>
      </c>
      <c r="E44" t="s">
        <v>18</v>
      </c>
      <c r="F44">
        <v>68</v>
      </c>
      <c r="G44" s="10">
        <v>48</v>
      </c>
      <c r="H44">
        <v>8</v>
      </c>
      <c r="I44">
        <v>8</v>
      </c>
      <c r="J44" s="2" t="s">
        <v>24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>
        <v>790</v>
      </c>
      <c r="O44">
        <v>105</v>
      </c>
      <c r="P44" s="2">
        <v>0.19</v>
      </c>
      <c r="Q44" s="6">
        <v>15</v>
      </c>
      <c r="R44" s="10">
        <v>0</v>
      </c>
      <c r="S44" s="10">
        <v>0</v>
      </c>
      <c r="T44" s="10"/>
      <c r="U44" t="str">
        <f>"RUNNING_COST_"&amp;IF(PROPERTIES[[#This Row],[ENGINE_CLASS]]="MAGLEV","ELECTRIC",PROPERTIES[[#This Row],[ENGINE_CLASS]])</f>
        <v>RUNNING_COST_DIESEL</v>
      </c>
      <c r="V44" s="10" t="s">
        <v>994</v>
      </c>
      <c r="W44" s="10" t="s">
        <v>995</v>
      </c>
      <c r="X44" s="10" t="str">
        <f>SUBSTITUTE(SUBSTITUTE(PROPERTIES[[#This Row],[PURCHASECOST_VALUE]], "PURCHASECOST_", ""), "_VALUE", "")</f>
        <v>DIESELRAILBUS</v>
      </c>
      <c r="AP44"/>
      <c r="AQ44"/>
      <c r="AR44"/>
    </row>
    <row r="45" spans="1:44">
      <c r="A45" s="2" t="s">
        <v>68</v>
      </c>
      <c r="B45">
        <v>1975</v>
      </c>
      <c r="C45">
        <v>0</v>
      </c>
      <c r="D45" t="s">
        <v>35</v>
      </c>
      <c r="E45" t="s">
        <v>18</v>
      </c>
      <c r="F45">
        <v>54</v>
      </c>
      <c r="G45" s="10">
        <v>60</v>
      </c>
      <c r="H45">
        <v>8</v>
      </c>
      <c r="I45">
        <v>8</v>
      </c>
      <c r="J45" s="2" t="s">
        <v>24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>
        <v>1045</v>
      </c>
      <c r="O45">
        <v>130</v>
      </c>
      <c r="P45" s="2">
        <v>0.38</v>
      </c>
      <c r="Q45" s="6">
        <v>15</v>
      </c>
      <c r="R45" s="10">
        <v>0</v>
      </c>
      <c r="S45" s="10">
        <v>0</v>
      </c>
      <c r="T45" s="10"/>
      <c r="U45" t="str">
        <f>"RUNNING_COST_"&amp;IF(PROPERTIES[[#This Row],[ENGINE_CLASS]]="MAGLEV","ELECTRIC",PROPERTIES[[#This Row],[ENGINE_CLASS]])</f>
        <v>RUNNING_COST_DIESEL</v>
      </c>
      <c r="V45" s="10" t="s">
        <v>994</v>
      </c>
      <c r="W45" s="10" t="s">
        <v>995</v>
      </c>
      <c r="X45" s="10" t="str">
        <f>SUBSTITUTE(SUBSTITUTE(PROPERTIES[[#This Row],[PURCHASECOST_VALUE]], "PURCHASECOST_", ""), "_VALUE", "")</f>
        <v>DIESELRAILBUS</v>
      </c>
      <c r="AP45"/>
      <c r="AQ45"/>
      <c r="AR45"/>
    </row>
    <row r="46" spans="1:44">
      <c r="A46" s="2" t="s">
        <v>69</v>
      </c>
      <c r="B46">
        <v>1979</v>
      </c>
      <c r="C46">
        <v>0</v>
      </c>
      <c r="D46" t="s">
        <v>35</v>
      </c>
      <c r="E46" t="s">
        <v>18</v>
      </c>
      <c r="F46">
        <v>86</v>
      </c>
      <c r="G46" s="10">
        <v>58</v>
      </c>
      <c r="H46">
        <v>8</v>
      </c>
      <c r="I46">
        <v>8</v>
      </c>
      <c r="J46" s="2" t="s">
        <v>24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>
        <v>360</v>
      </c>
      <c r="O46">
        <v>130</v>
      </c>
      <c r="P46" s="2">
        <v>0.26</v>
      </c>
      <c r="Q46" s="6">
        <v>15</v>
      </c>
      <c r="R46" s="10">
        <v>0</v>
      </c>
      <c r="S46" s="10">
        <v>0</v>
      </c>
      <c r="T46" s="10"/>
      <c r="U46" t="str">
        <f>"RUNNING_COST_"&amp;IF(PROPERTIES[[#This Row],[ENGINE_CLASS]]="MAGLEV","ELECTRIC",PROPERTIES[[#This Row],[ENGINE_CLASS]])</f>
        <v>RUNNING_COST_DIESEL</v>
      </c>
      <c r="V46" s="10" t="s">
        <v>994</v>
      </c>
      <c r="W46" s="10" t="s">
        <v>995</v>
      </c>
      <c r="X46" s="10" t="str">
        <f>SUBSTITUTE(SUBSTITUTE(PROPERTIES[[#This Row],[PURCHASECOST_VALUE]], "PURCHASECOST_", ""), "_VALUE", "")</f>
        <v>DIESELRAILBUS</v>
      </c>
      <c r="AP46"/>
      <c r="AQ46"/>
      <c r="AR46"/>
    </row>
    <row r="47" spans="1:44">
      <c r="A47" s="2" t="s">
        <v>70</v>
      </c>
      <c r="B47">
        <v>2005</v>
      </c>
      <c r="C47">
        <v>0</v>
      </c>
      <c r="D47" t="s">
        <v>35</v>
      </c>
      <c r="E47" t="s">
        <v>18</v>
      </c>
      <c r="F47">
        <v>63</v>
      </c>
      <c r="G47" s="10">
        <v>48</v>
      </c>
      <c r="H47">
        <v>8</v>
      </c>
      <c r="I47">
        <v>8</v>
      </c>
      <c r="J47" s="2" t="s">
        <v>24</v>
      </c>
      <c r="K47">
        <f>_xlfn.XLOOKUP("LOADINGSPEEDDEF_"&amp;PROPERTIES[[#This Row],[LOADINGSPEED]],LOADINGSPEEDDEF[TYPE],LOADINGSPEEDDEF[SPEED])</f>
        <v>40</v>
      </c>
      <c r="L47" t="s">
        <v>21</v>
      </c>
      <c r="M47">
        <v>1</v>
      </c>
      <c r="N47">
        <v>710</v>
      </c>
      <c r="O47">
        <v>120</v>
      </c>
      <c r="P47" s="2">
        <v>0.35</v>
      </c>
      <c r="Q47" s="6">
        <v>15</v>
      </c>
      <c r="R47" s="10">
        <v>0</v>
      </c>
      <c r="S47" s="10">
        <v>0</v>
      </c>
      <c r="T47" s="10"/>
      <c r="U47" t="str">
        <f>"RUNNING_COST_"&amp;IF(PROPERTIES[[#This Row],[ENGINE_CLASS]]="MAGLEV","ELECTRIC",PROPERTIES[[#This Row],[ENGINE_CLASS]])</f>
        <v>RUNNING_COST_DIESEL</v>
      </c>
      <c r="V47" s="10" t="s">
        <v>994</v>
      </c>
      <c r="W47" s="10" t="s">
        <v>995</v>
      </c>
      <c r="X47" s="10" t="str">
        <f>SUBSTITUTE(SUBSTITUTE(PROPERTIES[[#This Row],[PURCHASECOST_VALUE]], "PURCHASECOST_", ""), "_VALUE", "")</f>
        <v>DIESELRAILBUS</v>
      </c>
      <c r="AP47"/>
      <c r="AQ47"/>
      <c r="AR47"/>
    </row>
    <row r="48" spans="1:44">
      <c r="A48" s="2" t="s">
        <v>71</v>
      </c>
      <c r="B48">
        <v>2011</v>
      </c>
      <c r="C48">
        <v>0</v>
      </c>
      <c r="D48" t="s">
        <v>35</v>
      </c>
      <c r="E48" t="s">
        <v>18</v>
      </c>
      <c r="F48">
        <v>71</v>
      </c>
      <c r="G48" s="10">
        <v>43</v>
      </c>
      <c r="H48">
        <v>8</v>
      </c>
      <c r="I48">
        <v>8</v>
      </c>
      <c r="J48" s="2" t="s">
        <v>24</v>
      </c>
      <c r="K48">
        <f>_xlfn.XLOOKUP("LOADINGSPEEDDEF_"&amp;PROPERTIES[[#This Row],[LOADINGSPEED]],LOADINGSPEEDDEF[TYPE],LOADINGSPEEDDEF[SPEED])</f>
        <v>40</v>
      </c>
      <c r="L48" t="s">
        <v>21</v>
      </c>
      <c r="M48">
        <v>1</v>
      </c>
      <c r="N48">
        <v>710</v>
      </c>
      <c r="O48">
        <v>120</v>
      </c>
      <c r="P48" s="2">
        <v>0.37</v>
      </c>
      <c r="Q48" s="6">
        <v>15</v>
      </c>
      <c r="R48" s="10">
        <v>0</v>
      </c>
      <c r="S48" s="10">
        <v>0</v>
      </c>
      <c r="T48" s="10"/>
      <c r="U48" t="str">
        <f>"RUNNING_COST_"&amp;IF(PROPERTIES[[#This Row],[ENGINE_CLASS]]="MAGLEV","ELECTRIC",PROPERTIES[[#This Row],[ENGINE_CLASS]])</f>
        <v>RUNNING_COST_DIESEL</v>
      </c>
      <c r="V48" s="10" t="s">
        <v>994</v>
      </c>
      <c r="W48" s="10" t="s">
        <v>995</v>
      </c>
      <c r="X48" s="10" t="str">
        <f>SUBSTITUTE(SUBSTITUTE(PROPERTIES[[#This Row],[PURCHASECOST_VALUE]], "PURCHASECOST_", ""), "_VALUE", "")</f>
        <v>DIESELRAILBUS</v>
      </c>
      <c r="AP48"/>
      <c r="AQ48"/>
      <c r="AR48"/>
    </row>
    <row r="49" spans="1:44">
      <c r="A49" s="2" t="s">
        <v>72</v>
      </c>
      <c r="B49">
        <v>1956</v>
      </c>
      <c r="C49">
        <v>0</v>
      </c>
      <c r="D49" t="s">
        <v>35</v>
      </c>
      <c r="E49" t="s">
        <v>18</v>
      </c>
      <c r="F49">
        <v>68</v>
      </c>
      <c r="G49" s="10">
        <v>32</v>
      </c>
      <c r="H49">
        <v>8</v>
      </c>
      <c r="I49">
        <v>8</v>
      </c>
      <c r="J49" s="2" t="s">
        <v>24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>
        <v>335</v>
      </c>
      <c r="O49">
        <v>110</v>
      </c>
      <c r="P49" s="2">
        <v>0.23</v>
      </c>
      <c r="Q49" s="6">
        <v>25</v>
      </c>
      <c r="R49" s="10">
        <v>0</v>
      </c>
      <c r="S49" s="10">
        <v>0</v>
      </c>
      <c r="T49" s="10"/>
      <c r="U49" t="str">
        <f>"RUNNING_COST_"&amp;IF(PROPERTIES[[#This Row],[ENGINE_CLASS]]="MAGLEV","ELECTRIC",PROPERTIES[[#This Row],[ENGINE_CLASS]])</f>
        <v>RUNNING_COST_DIESEL</v>
      </c>
      <c r="V49" s="10" t="s">
        <v>994</v>
      </c>
      <c r="W49" s="10" t="s">
        <v>995</v>
      </c>
      <c r="X49" s="10" t="str">
        <f>SUBSTITUTE(SUBSTITUTE(PROPERTIES[[#This Row],[PURCHASECOST_VALUE]], "PURCHASECOST_", ""), "_VALUE", "")</f>
        <v>DIESELRAILBUS</v>
      </c>
      <c r="AP49"/>
      <c r="AQ49"/>
      <c r="AR49"/>
    </row>
    <row r="50" spans="1:44">
      <c r="A50" s="2" t="s">
        <v>73</v>
      </c>
      <c r="B50">
        <v>1903</v>
      </c>
      <c r="C50">
        <v>0</v>
      </c>
      <c r="D50" t="s">
        <v>74</v>
      </c>
      <c r="E50" t="s">
        <v>18</v>
      </c>
      <c r="F50">
        <v>40</v>
      </c>
      <c r="G50" s="10">
        <v>23</v>
      </c>
      <c r="H50">
        <v>7</v>
      </c>
      <c r="I50">
        <v>7</v>
      </c>
      <c r="J50" s="2" t="s">
        <v>24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>
        <v>150</v>
      </c>
      <c r="O50">
        <v>35</v>
      </c>
      <c r="P50" s="2">
        <v>0.33</v>
      </c>
      <c r="Q50" s="6">
        <v>15</v>
      </c>
      <c r="R50" s="10">
        <v>0</v>
      </c>
      <c r="S50" s="10">
        <v>0</v>
      </c>
      <c r="T50" s="10"/>
      <c r="U50" t="str">
        <f>"RUNNING_COST_"&amp;IF(PROPERTIES[[#This Row],[ENGINE_CLASS]]="MAGLEV","ELECTRIC",PROPERTIES[[#This Row],[ENGINE_CLASS]])</f>
        <v>RUNNING_COST_ELECTRIC</v>
      </c>
      <c r="V50" s="10" t="s">
        <v>996</v>
      </c>
      <c r="W50" s="10" t="s">
        <v>997</v>
      </c>
      <c r="X50" s="10" t="str">
        <f>SUBSTITUTE(SUBSTITUTE(PROPERTIES[[#This Row],[PURCHASECOST_VALUE]], "PURCHASECOST_", ""), "_VALUE", "")</f>
        <v>ELECTRICRAILBUS</v>
      </c>
      <c r="AP50"/>
      <c r="AQ50"/>
      <c r="AR50"/>
    </row>
    <row r="51" spans="1:44">
      <c r="A51" s="2" t="s">
        <v>75</v>
      </c>
      <c r="B51">
        <v>1960</v>
      </c>
      <c r="C51">
        <v>0</v>
      </c>
      <c r="D51" t="s">
        <v>74</v>
      </c>
      <c r="E51" t="s">
        <v>18</v>
      </c>
      <c r="F51">
        <v>70</v>
      </c>
      <c r="G51" s="10">
        <v>58</v>
      </c>
      <c r="H51">
        <v>8</v>
      </c>
      <c r="I51">
        <v>8</v>
      </c>
      <c r="J51" s="2" t="s">
        <v>24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>
        <v>1260</v>
      </c>
      <c r="O51">
        <v>130</v>
      </c>
      <c r="P51" s="2">
        <v>0.21</v>
      </c>
      <c r="Q51" s="6">
        <v>15</v>
      </c>
      <c r="R51" s="10">
        <v>0</v>
      </c>
      <c r="S51" s="10">
        <v>0</v>
      </c>
      <c r="T51" s="10"/>
      <c r="U51" t="str">
        <f>"RUNNING_COST_"&amp;IF(PROPERTIES[[#This Row],[ENGINE_CLASS]]="MAGLEV","ELECTRIC",PROPERTIES[[#This Row],[ENGINE_CLASS]])</f>
        <v>RUNNING_COST_ELECTRIC</v>
      </c>
      <c r="V51" s="10" t="s">
        <v>996</v>
      </c>
      <c r="W51" s="10" t="s">
        <v>997</v>
      </c>
      <c r="X51" s="10" t="str">
        <f>SUBSTITUTE(SUBSTITUTE(PROPERTIES[[#This Row],[PURCHASECOST_VALUE]], "PURCHASECOST_", ""), "_VALUE", "")</f>
        <v>ELECTRICRAILBUS</v>
      </c>
      <c r="AP51"/>
      <c r="AQ51"/>
      <c r="AR51"/>
    </row>
    <row r="52" spans="1:44">
      <c r="A52" s="2" t="s">
        <v>76</v>
      </c>
      <c r="B52">
        <v>1930</v>
      </c>
      <c r="C52">
        <v>0</v>
      </c>
      <c r="D52" t="s">
        <v>74</v>
      </c>
      <c r="E52" t="s">
        <v>18</v>
      </c>
      <c r="F52">
        <v>50</v>
      </c>
      <c r="G52" s="10">
        <v>23</v>
      </c>
      <c r="H52">
        <v>4</v>
      </c>
      <c r="I52">
        <v>4</v>
      </c>
      <c r="J52" s="2" t="s">
        <v>24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>
        <v>175</v>
      </c>
      <c r="O52">
        <v>50</v>
      </c>
      <c r="P52" s="2">
        <v>0.08</v>
      </c>
      <c r="Q52" s="6">
        <v>15</v>
      </c>
      <c r="R52" s="10">
        <v>0</v>
      </c>
      <c r="S52" s="10">
        <v>0</v>
      </c>
      <c r="T52" s="10"/>
      <c r="U52" t="str">
        <f>"RUNNING_COST_"&amp;IF(PROPERTIES[[#This Row],[ENGINE_CLASS]]="MAGLEV","ELECTRIC",PROPERTIES[[#This Row],[ENGINE_CLASS]])</f>
        <v>RUNNING_COST_ELECTRIC</v>
      </c>
      <c r="V52" s="10" t="s">
        <v>996</v>
      </c>
      <c r="W52" s="10" t="s">
        <v>997</v>
      </c>
      <c r="X52" s="10" t="str">
        <f>SUBSTITUTE(SUBSTITUTE(PROPERTIES[[#This Row],[PURCHASECOST_VALUE]], "PURCHASECOST_", ""), "_VALUE", "")</f>
        <v>ELECTRICRAILBUS</v>
      </c>
      <c r="AP52"/>
      <c r="AQ52"/>
      <c r="AR52"/>
    </row>
    <row r="53" spans="1:44">
      <c r="A53" s="2" t="s">
        <v>77</v>
      </c>
      <c r="B53">
        <v>1982</v>
      </c>
      <c r="C53">
        <v>0</v>
      </c>
      <c r="D53" t="s">
        <v>74</v>
      </c>
      <c r="E53" t="s">
        <v>18</v>
      </c>
      <c r="F53">
        <v>24</v>
      </c>
      <c r="G53" s="10">
        <v>20</v>
      </c>
      <c r="H53">
        <v>5</v>
      </c>
      <c r="I53">
        <v>5</v>
      </c>
      <c r="J53" s="2" t="s">
        <v>24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>
        <v>160</v>
      </c>
      <c r="O53">
        <v>50</v>
      </c>
      <c r="P53" s="2">
        <v>0.13</v>
      </c>
      <c r="Q53" s="6">
        <v>15</v>
      </c>
      <c r="R53" s="10">
        <v>0</v>
      </c>
      <c r="S53" s="10">
        <v>0</v>
      </c>
      <c r="T53" s="10"/>
      <c r="U53" t="str">
        <f>"RUNNING_COST_"&amp;IF(PROPERTIES[[#This Row],[ENGINE_CLASS]]="MAGLEV","ELECTRIC",PROPERTIES[[#This Row],[ENGINE_CLASS]])</f>
        <v>RUNNING_COST_ELECTRIC</v>
      </c>
      <c r="V53" s="10" t="s">
        <v>996</v>
      </c>
      <c r="W53" s="10" t="s">
        <v>997</v>
      </c>
      <c r="X53" s="10" t="str">
        <f>SUBSTITUTE(SUBSTITUTE(PROPERTIES[[#This Row],[PURCHASECOST_VALUE]], "PURCHASECOST_", ""), "_VALUE", "")</f>
        <v>ELECTRICRAILBUS</v>
      </c>
      <c r="AP53"/>
      <c r="AQ53"/>
      <c r="AR53"/>
    </row>
    <row r="54" spans="1:44">
      <c r="A54" s="2" t="s">
        <v>78</v>
      </c>
      <c r="B54">
        <v>1930</v>
      </c>
      <c r="C54">
        <v>0</v>
      </c>
      <c r="D54" t="s">
        <v>74</v>
      </c>
      <c r="E54" t="s">
        <v>18</v>
      </c>
      <c r="F54">
        <v>48</v>
      </c>
      <c r="G54" s="10">
        <v>45</v>
      </c>
      <c r="H54">
        <v>7</v>
      </c>
      <c r="I54">
        <v>7</v>
      </c>
      <c r="J54" s="2" t="s">
        <v>24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>
        <v>270</v>
      </c>
      <c r="O54">
        <v>40</v>
      </c>
      <c r="P54" s="2">
        <v>0.08</v>
      </c>
      <c r="Q54" s="6">
        <v>15</v>
      </c>
      <c r="R54" s="10">
        <v>0</v>
      </c>
      <c r="S54" s="10">
        <v>0</v>
      </c>
      <c r="T54" s="10"/>
      <c r="U54" t="str">
        <f>"RUNNING_COST_"&amp;IF(PROPERTIES[[#This Row],[ENGINE_CLASS]]="MAGLEV","ELECTRIC",PROPERTIES[[#This Row],[ENGINE_CLASS]])</f>
        <v>RUNNING_COST_ELECTRIC</v>
      </c>
      <c r="V54" s="10" t="s">
        <v>996</v>
      </c>
      <c r="W54" s="10" t="s">
        <v>997</v>
      </c>
      <c r="X54" s="10" t="str">
        <f>SUBSTITUTE(SUBSTITUTE(PROPERTIES[[#This Row],[PURCHASECOST_VALUE]], "PURCHASECOST_", ""), "_VALUE", "")</f>
        <v>ELECTRICRAILBUS</v>
      </c>
      <c r="AP54"/>
      <c r="AQ54"/>
      <c r="AR54"/>
    </row>
    <row r="55" spans="1:44">
      <c r="A55" s="2" t="s">
        <v>79</v>
      </c>
      <c r="B55">
        <v>1949</v>
      </c>
      <c r="C55">
        <v>0</v>
      </c>
      <c r="D55" t="s">
        <v>74</v>
      </c>
      <c r="E55" t="s">
        <v>18</v>
      </c>
      <c r="F55">
        <v>84</v>
      </c>
      <c r="G55" s="10">
        <v>58</v>
      </c>
      <c r="H55">
        <v>8</v>
      </c>
      <c r="I55">
        <v>8</v>
      </c>
      <c r="J55" s="2" t="s">
        <v>24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>
        <v>800</v>
      </c>
      <c r="O55">
        <v>150</v>
      </c>
      <c r="P55" s="2">
        <v>0.21</v>
      </c>
      <c r="Q55" s="6">
        <v>15</v>
      </c>
      <c r="R55" s="10">
        <v>0</v>
      </c>
      <c r="S55" s="10">
        <v>0</v>
      </c>
      <c r="T55" s="10"/>
      <c r="U55" t="str">
        <f>"RUNNING_COST_"&amp;IF(PROPERTIES[[#This Row],[ENGINE_CLASS]]="MAGLEV","ELECTRIC",PROPERTIES[[#This Row],[ENGINE_CLASS]])</f>
        <v>RUNNING_COST_ELECTRIC</v>
      </c>
      <c r="V55" s="10" t="s">
        <v>996</v>
      </c>
      <c r="W55" s="10" t="s">
        <v>997</v>
      </c>
      <c r="X55" s="10" t="str">
        <f>SUBSTITUTE(SUBSTITUTE(PROPERTIES[[#This Row],[PURCHASECOST_VALUE]], "PURCHASECOST_", ""), "_VALUE", "")</f>
        <v>ELECTRICRAILBUS</v>
      </c>
      <c r="AP55"/>
      <c r="AQ55"/>
      <c r="AR55"/>
    </row>
    <row r="56" spans="1:44">
      <c r="A56" s="2" t="s">
        <v>80</v>
      </c>
      <c r="B56">
        <v>1981</v>
      </c>
      <c r="C56">
        <v>0</v>
      </c>
      <c r="D56" t="s">
        <v>74</v>
      </c>
      <c r="E56" t="s">
        <v>18</v>
      </c>
      <c r="F56">
        <v>80</v>
      </c>
      <c r="G56" s="10">
        <v>49</v>
      </c>
      <c r="H56">
        <v>7</v>
      </c>
      <c r="I56">
        <v>7</v>
      </c>
      <c r="J56" s="2" t="s">
        <v>24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>
        <v>720</v>
      </c>
      <c r="O56">
        <v>120</v>
      </c>
      <c r="P56" s="2">
        <v>0.17</v>
      </c>
      <c r="Q56" s="6">
        <v>15</v>
      </c>
      <c r="R56" s="10">
        <v>0</v>
      </c>
      <c r="S56" s="10">
        <v>0</v>
      </c>
      <c r="T56" s="10"/>
      <c r="U56" t="str">
        <f>"RUNNING_COST_"&amp;IF(PROPERTIES[[#This Row],[ENGINE_CLASS]]="MAGLEV","ELECTRIC",PROPERTIES[[#This Row],[ENGINE_CLASS]])</f>
        <v>RUNNING_COST_ELECTRIC</v>
      </c>
      <c r="V56" s="10" t="s">
        <v>996</v>
      </c>
      <c r="W56" s="10" t="s">
        <v>997</v>
      </c>
      <c r="X56" s="10" t="str">
        <f>SUBSTITUTE(SUBSTITUTE(PROPERTIES[[#This Row],[PURCHASECOST_VALUE]], "PURCHASECOST_", ""), "_VALUE", "")</f>
        <v>ELECTRICRAILBUS</v>
      </c>
      <c r="AP56"/>
      <c r="AQ56"/>
      <c r="AR56"/>
    </row>
    <row r="57" spans="1:44">
      <c r="A57" s="2" t="s">
        <v>81</v>
      </c>
      <c r="B57">
        <v>1950</v>
      </c>
      <c r="C57">
        <v>0</v>
      </c>
      <c r="D57" t="s">
        <v>74</v>
      </c>
      <c r="E57" t="s">
        <v>18</v>
      </c>
      <c r="F57">
        <v>54</v>
      </c>
      <c r="G57" s="10">
        <v>66</v>
      </c>
      <c r="H57">
        <v>8</v>
      </c>
      <c r="I57">
        <v>8</v>
      </c>
      <c r="J57" s="2" t="s">
        <v>24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>
        <v>965</v>
      </c>
      <c r="O57">
        <v>110</v>
      </c>
      <c r="P57" s="2">
        <v>0.08</v>
      </c>
      <c r="Q57" s="6">
        <v>15</v>
      </c>
      <c r="R57" s="10">
        <v>0</v>
      </c>
      <c r="S57" s="10">
        <v>0</v>
      </c>
      <c r="T57" s="10"/>
      <c r="U57" t="str">
        <f>"RUNNING_COST_"&amp;IF(PROPERTIES[[#This Row],[ENGINE_CLASS]]="MAGLEV","ELECTRIC",PROPERTIES[[#This Row],[ENGINE_CLASS]])</f>
        <v>RUNNING_COST_ELECTRIC</v>
      </c>
      <c r="V57" s="10" t="s">
        <v>996</v>
      </c>
      <c r="W57" s="10" t="s">
        <v>997</v>
      </c>
      <c r="X57" s="10" t="str">
        <f>SUBSTITUTE(SUBSTITUTE(PROPERTIES[[#This Row],[PURCHASECOST_VALUE]], "PURCHASECOST_", ""), "_VALUE", "")</f>
        <v>ELECTRICRAILBUS</v>
      </c>
      <c r="AP57"/>
      <c r="AQ57"/>
      <c r="AR57"/>
    </row>
    <row r="58" spans="1:44">
      <c r="A58" s="2" t="s">
        <v>82</v>
      </c>
      <c r="B58">
        <v>1925</v>
      </c>
      <c r="C58">
        <v>0</v>
      </c>
      <c r="D58" t="s">
        <v>74</v>
      </c>
      <c r="E58" t="s">
        <v>18</v>
      </c>
      <c r="F58">
        <v>44</v>
      </c>
      <c r="G58" s="10">
        <v>40</v>
      </c>
      <c r="H58">
        <v>8</v>
      </c>
      <c r="I58">
        <v>8</v>
      </c>
      <c r="J58" s="2" t="s">
        <v>24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>
        <v>480</v>
      </c>
      <c r="O58">
        <v>85</v>
      </c>
      <c r="P58" s="2">
        <v>0.13</v>
      </c>
      <c r="Q58" s="6">
        <v>15</v>
      </c>
      <c r="R58" s="10">
        <v>0</v>
      </c>
      <c r="S58" s="10">
        <v>0</v>
      </c>
      <c r="T58" s="10"/>
      <c r="U58" t="str">
        <f>"RUNNING_COST_"&amp;IF(PROPERTIES[[#This Row],[ENGINE_CLASS]]="MAGLEV","ELECTRIC",PROPERTIES[[#This Row],[ENGINE_CLASS]])</f>
        <v>RUNNING_COST_ELECTRIC</v>
      </c>
      <c r="V58" s="10" t="s">
        <v>996</v>
      </c>
      <c r="W58" s="10" t="s">
        <v>997</v>
      </c>
      <c r="X58" s="10" t="str">
        <f>SUBSTITUTE(SUBSTITUTE(PROPERTIES[[#This Row],[PURCHASECOST_VALUE]], "PURCHASECOST_", ""), "_VALUE", "")</f>
        <v>ELECTRICRAILBUS</v>
      </c>
      <c r="AP58"/>
      <c r="AQ58"/>
      <c r="AR58"/>
    </row>
    <row r="59" spans="1:44">
      <c r="A59" s="2" t="s">
        <v>83</v>
      </c>
      <c r="B59">
        <v>2005</v>
      </c>
      <c r="C59">
        <v>0</v>
      </c>
      <c r="D59" t="s">
        <v>74</v>
      </c>
      <c r="E59" t="s">
        <v>18</v>
      </c>
      <c r="F59">
        <v>60</v>
      </c>
      <c r="G59" s="10">
        <v>53</v>
      </c>
      <c r="H59">
        <v>8</v>
      </c>
      <c r="I59">
        <v>8</v>
      </c>
      <c r="J59" s="2" t="s">
        <v>24</v>
      </c>
      <c r="K59">
        <f>_xlfn.XLOOKUP("LOADINGSPEEDDEF_"&amp;PROPERTIES[[#This Row],[LOADINGSPEED]],LOADINGSPEEDDEF[TYPE],LOADINGSPEEDDEF[SPEED])</f>
        <v>40</v>
      </c>
      <c r="L59" t="s">
        <v>21</v>
      </c>
      <c r="M59">
        <v>1</v>
      </c>
      <c r="N59">
        <v>750</v>
      </c>
      <c r="O59">
        <v>120</v>
      </c>
      <c r="P59" s="2">
        <v>0.08</v>
      </c>
      <c r="Q59" s="6">
        <v>15</v>
      </c>
      <c r="R59" s="10">
        <v>0</v>
      </c>
      <c r="S59" s="10">
        <v>0</v>
      </c>
      <c r="T59" s="10"/>
      <c r="U59" t="str">
        <f>"RUNNING_COST_"&amp;IF(PROPERTIES[[#This Row],[ENGINE_CLASS]]="MAGLEV","ELECTRIC",PROPERTIES[[#This Row],[ENGINE_CLASS]])</f>
        <v>RUNNING_COST_ELECTRIC</v>
      </c>
      <c r="V59" s="10" t="s">
        <v>996</v>
      </c>
      <c r="W59" s="10" t="s">
        <v>997</v>
      </c>
      <c r="X59" s="10" t="str">
        <f>SUBSTITUTE(SUBSTITUTE(PROPERTIES[[#This Row],[PURCHASECOST_VALUE]], "PURCHASECOST_", ""), "_VALUE", "")</f>
        <v>ELECTRICRAILBUS</v>
      </c>
      <c r="AP59"/>
      <c r="AQ59"/>
      <c r="AR59"/>
    </row>
    <row r="60" spans="1:44">
      <c r="A60" s="2" t="s">
        <v>84</v>
      </c>
      <c r="B60">
        <v>1989</v>
      </c>
      <c r="C60">
        <v>0</v>
      </c>
      <c r="D60" t="s">
        <v>74</v>
      </c>
      <c r="E60" t="s">
        <v>18</v>
      </c>
      <c r="F60">
        <v>64</v>
      </c>
      <c r="G60" s="10">
        <v>42</v>
      </c>
      <c r="H60">
        <v>8</v>
      </c>
      <c r="I60">
        <v>8</v>
      </c>
      <c r="J60" s="2" t="s">
        <v>24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>
        <v>643</v>
      </c>
      <c r="O60">
        <v>120</v>
      </c>
      <c r="P60" s="2">
        <v>0.21</v>
      </c>
      <c r="Q60" s="6">
        <v>15</v>
      </c>
      <c r="R60" s="10">
        <v>0</v>
      </c>
      <c r="S60" s="10">
        <v>0</v>
      </c>
      <c r="T60" s="10"/>
      <c r="U60" t="str">
        <f>"RUNNING_COST_"&amp;IF(PROPERTIES[[#This Row],[ENGINE_CLASS]]="MAGLEV","ELECTRIC",PROPERTIES[[#This Row],[ENGINE_CLASS]])</f>
        <v>RUNNING_COST_ELECTRIC</v>
      </c>
      <c r="V60" s="10" t="s">
        <v>996</v>
      </c>
      <c r="W60" s="10" t="s">
        <v>997</v>
      </c>
      <c r="X60" s="10" t="str">
        <f>SUBSTITUTE(SUBSTITUTE(PROPERTIES[[#This Row],[PURCHASECOST_VALUE]], "PURCHASECOST_", ""), "_VALUE", "")</f>
        <v>ELECTRICRAILBUS</v>
      </c>
      <c r="AP60"/>
      <c r="AQ60"/>
      <c r="AR60"/>
    </row>
    <row r="61" spans="1:44">
      <c r="A61" s="2" t="s">
        <v>85</v>
      </c>
      <c r="B61">
        <v>2001</v>
      </c>
      <c r="C61">
        <v>0</v>
      </c>
      <c r="D61" t="s">
        <v>74</v>
      </c>
      <c r="E61" t="s">
        <v>18</v>
      </c>
      <c r="F61">
        <v>56</v>
      </c>
      <c r="G61" s="10">
        <v>25</v>
      </c>
      <c r="H61">
        <v>8</v>
      </c>
      <c r="I61">
        <v>8</v>
      </c>
      <c r="J61" s="2" t="s">
        <v>24</v>
      </c>
      <c r="K61">
        <f>_xlfn.XLOOKUP("LOADINGSPEEDDEF_"&amp;PROPERTIES[[#This Row],[LOADINGSPEED]],LOADINGSPEEDDEF[TYPE],LOADINGSPEEDDEF[SPEED])</f>
        <v>40</v>
      </c>
      <c r="L61" t="s">
        <v>21</v>
      </c>
      <c r="M61">
        <v>1</v>
      </c>
      <c r="N61">
        <v>1180</v>
      </c>
      <c r="O61">
        <v>140</v>
      </c>
      <c r="P61" s="2">
        <v>0.28999999999999998</v>
      </c>
      <c r="Q61" s="6">
        <v>15</v>
      </c>
      <c r="R61" s="10">
        <v>0</v>
      </c>
      <c r="S61" s="10">
        <v>0</v>
      </c>
      <c r="T61" s="10"/>
      <c r="U61" t="str">
        <f>"RUNNING_COST_"&amp;IF(PROPERTIES[[#This Row],[ENGINE_CLASS]]="MAGLEV","ELECTRIC",PROPERTIES[[#This Row],[ENGINE_CLASS]])</f>
        <v>RUNNING_COST_ELECTRIC</v>
      </c>
      <c r="V61" s="10" t="s">
        <v>996</v>
      </c>
      <c r="W61" s="10" t="s">
        <v>997</v>
      </c>
      <c r="X61" s="10" t="str">
        <f>SUBSTITUTE(SUBSTITUTE(PROPERTIES[[#This Row],[PURCHASECOST_VALUE]], "PURCHASECOST_", ""), "_VALUE", "")</f>
        <v>ELECTRICRAILBUS</v>
      </c>
      <c r="AP61"/>
      <c r="AQ61"/>
      <c r="AR61"/>
    </row>
    <row r="62" spans="1:44">
      <c r="A62" s="2" t="s">
        <v>86</v>
      </c>
      <c r="B62">
        <v>1927</v>
      </c>
      <c r="C62">
        <v>0</v>
      </c>
      <c r="D62" t="s">
        <v>74</v>
      </c>
      <c r="E62" t="s">
        <v>18</v>
      </c>
      <c r="F62">
        <v>75</v>
      </c>
      <c r="G62" s="10">
        <v>61</v>
      </c>
      <c r="H62">
        <v>8</v>
      </c>
      <c r="I62">
        <v>8</v>
      </c>
      <c r="J62" s="2" t="s">
        <v>24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>
        <v>740</v>
      </c>
      <c r="O62">
        <v>75</v>
      </c>
      <c r="P62" s="2">
        <v>0.16</v>
      </c>
      <c r="Q62" s="6">
        <v>15</v>
      </c>
      <c r="R62" s="10">
        <v>0</v>
      </c>
      <c r="S62" s="10">
        <v>0</v>
      </c>
      <c r="T62" s="10"/>
      <c r="U62" t="str">
        <f>"RUNNING_COST_"&amp;IF(PROPERTIES[[#This Row],[ENGINE_CLASS]]="MAGLEV","ELECTRIC",PROPERTIES[[#This Row],[ENGINE_CLASS]])</f>
        <v>RUNNING_COST_ELECTRIC</v>
      </c>
      <c r="V62" s="10" t="s">
        <v>996</v>
      </c>
      <c r="W62" s="10" t="s">
        <v>997</v>
      </c>
      <c r="X62" s="10" t="str">
        <f>SUBSTITUTE(SUBSTITUTE(PROPERTIES[[#This Row],[PURCHASECOST_VALUE]], "PURCHASECOST_", ""), "_VALUE", "")</f>
        <v>ELECTRICRAILBUS</v>
      </c>
      <c r="AP62"/>
      <c r="AQ62"/>
      <c r="AR62"/>
    </row>
    <row r="63" spans="1:44">
      <c r="A63" s="2" t="s">
        <v>87</v>
      </c>
      <c r="B63">
        <v>1955</v>
      </c>
      <c r="C63">
        <v>0</v>
      </c>
      <c r="D63" t="s">
        <v>74</v>
      </c>
      <c r="E63" t="s">
        <v>18</v>
      </c>
      <c r="F63">
        <v>55</v>
      </c>
      <c r="G63" s="10">
        <v>21</v>
      </c>
      <c r="H63">
        <v>6</v>
      </c>
      <c r="I63">
        <v>6</v>
      </c>
      <c r="J63" s="2" t="s">
        <v>24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>
        <v>230</v>
      </c>
      <c r="O63">
        <v>110</v>
      </c>
      <c r="P63" s="2">
        <v>0.34</v>
      </c>
      <c r="Q63" s="6">
        <v>15</v>
      </c>
      <c r="R63" s="10">
        <v>0</v>
      </c>
      <c r="S63" s="10">
        <v>0</v>
      </c>
      <c r="T63" s="10"/>
      <c r="U63" t="str">
        <f>"RUNNING_COST_"&amp;IF(PROPERTIES[[#This Row],[ENGINE_CLASS]]="MAGLEV","ELECTRIC",PROPERTIES[[#This Row],[ENGINE_CLASS]])</f>
        <v>RUNNING_COST_ELECTRIC</v>
      </c>
      <c r="V63" s="10" t="s">
        <v>996</v>
      </c>
      <c r="W63" s="10" t="s">
        <v>997</v>
      </c>
      <c r="X63" s="10" t="str">
        <f>SUBSTITUTE(SUBSTITUTE(PROPERTIES[[#This Row],[PURCHASECOST_VALUE]], "PURCHASECOST_", ""), "_VALUE", "")</f>
        <v>ELECTRICRAILBUS</v>
      </c>
      <c r="AP63"/>
      <c r="AQ63"/>
      <c r="AR63"/>
    </row>
    <row r="64" spans="1:44">
      <c r="A64" s="2" t="s">
        <v>88</v>
      </c>
      <c r="B64">
        <v>1963</v>
      </c>
      <c r="C64">
        <v>0</v>
      </c>
      <c r="D64" t="s">
        <v>74</v>
      </c>
      <c r="E64" t="s">
        <v>18</v>
      </c>
      <c r="F64">
        <v>124</v>
      </c>
      <c r="G64" s="10">
        <v>46</v>
      </c>
      <c r="H64">
        <v>8</v>
      </c>
      <c r="I64">
        <v>8</v>
      </c>
      <c r="J64" s="2" t="s">
        <v>24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>
        <v>550</v>
      </c>
      <c r="O64">
        <v>160</v>
      </c>
      <c r="P64" s="2">
        <v>0.18</v>
      </c>
      <c r="Q64" s="6">
        <v>15</v>
      </c>
      <c r="R64" s="10">
        <v>0</v>
      </c>
      <c r="S64" s="10">
        <v>0</v>
      </c>
      <c r="T64" s="10"/>
      <c r="U64" t="str">
        <f>"RUNNING_COST_"&amp;IF(PROPERTIES[[#This Row],[ENGINE_CLASS]]="MAGLEV","ELECTRIC",PROPERTIES[[#This Row],[ENGINE_CLASS]])</f>
        <v>RUNNING_COST_ELECTRIC</v>
      </c>
      <c r="V64" s="10" t="s">
        <v>996</v>
      </c>
      <c r="W64" s="10" t="s">
        <v>997</v>
      </c>
      <c r="X64" s="10" t="str">
        <f>SUBSTITUTE(SUBSTITUTE(PROPERTIES[[#This Row],[PURCHASECOST_VALUE]], "PURCHASECOST_", ""), "_VALUE", "")</f>
        <v>ELECTRICRAILBUS</v>
      </c>
      <c r="AP64"/>
      <c r="AQ64"/>
      <c r="AR64"/>
    </row>
    <row r="65" spans="1:44">
      <c r="A65" s="2" t="s">
        <v>89</v>
      </c>
      <c r="B65">
        <v>2010</v>
      </c>
      <c r="C65">
        <v>0</v>
      </c>
      <c r="D65" t="s">
        <v>74</v>
      </c>
      <c r="E65" t="s">
        <v>18</v>
      </c>
      <c r="F65">
        <v>110</v>
      </c>
      <c r="G65" s="10">
        <v>66</v>
      </c>
      <c r="H65">
        <v>8</v>
      </c>
      <c r="I65">
        <v>8</v>
      </c>
      <c r="J65" s="2" t="s">
        <v>24</v>
      </c>
      <c r="K65">
        <f>_xlfn.XLOOKUP("LOADINGSPEEDDEF_"&amp;PROPERTIES[[#This Row],[LOADINGSPEED]],LOADINGSPEEDDEF[TYPE],LOADINGSPEEDDEF[SPEED])</f>
        <v>40</v>
      </c>
      <c r="L65" t="s">
        <v>21</v>
      </c>
      <c r="M65">
        <v>1</v>
      </c>
      <c r="N65">
        <v>680</v>
      </c>
      <c r="O65">
        <v>180</v>
      </c>
      <c r="P65" s="2">
        <v>0.17</v>
      </c>
      <c r="Q65" s="6">
        <v>15</v>
      </c>
      <c r="R65" s="10">
        <v>0</v>
      </c>
      <c r="S65" s="10">
        <v>0</v>
      </c>
      <c r="T65" s="10"/>
      <c r="U65" t="str">
        <f>"RUNNING_COST_"&amp;IF(PROPERTIES[[#This Row],[ENGINE_CLASS]]="MAGLEV","ELECTRIC",PROPERTIES[[#This Row],[ENGINE_CLASS]])</f>
        <v>RUNNING_COST_ELECTRIC</v>
      </c>
      <c r="V65" s="10" t="s">
        <v>996</v>
      </c>
      <c r="W65" s="10" t="s">
        <v>997</v>
      </c>
      <c r="X65" s="10" t="str">
        <f>SUBSTITUTE(SUBSTITUTE(PROPERTIES[[#This Row],[PURCHASECOST_VALUE]], "PURCHASECOST_", ""), "_VALUE", "")</f>
        <v>ELECTRICRAILBUS</v>
      </c>
      <c r="AP65"/>
      <c r="AQ65"/>
      <c r="AR65"/>
    </row>
    <row r="66" spans="1:44">
      <c r="A66" s="2" t="s">
        <v>90</v>
      </c>
      <c r="B66">
        <v>1835</v>
      </c>
      <c r="C66">
        <v>0</v>
      </c>
      <c r="D66" t="s">
        <v>23</v>
      </c>
      <c r="E66" t="s">
        <v>20</v>
      </c>
      <c r="F66">
        <v>0</v>
      </c>
      <c r="G66" s="10">
        <v>16</v>
      </c>
      <c r="H66">
        <v>7</v>
      </c>
      <c r="I66">
        <v>7</v>
      </c>
      <c r="J66" s="2" t="s">
        <v>20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>
        <v>50</v>
      </c>
      <c r="O66">
        <v>35</v>
      </c>
      <c r="P66" s="2">
        <v>0.09</v>
      </c>
      <c r="Q66" s="6">
        <v>40</v>
      </c>
      <c r="R66" s="10">
        <v>0</v>
      </c>
      <c r="S66" s="10">
        <v>0</v>
      </c>
      <c r="T66" s="10"/>
      <c r="U66" t="str">
        <f>"RUNNING_COST_"&amp;IF(PROPERTIES[[#This Row],[ENGINE_CLASS]]="MAGLEV","ELECTRIC",PROPERTIES[[#This Row],[ENGINE_CLASS]])</f>
        <v>RUNNING_COST_STEAM</v>
      </c>
      <c r="V66" s="10" t="s">
        <v>998</v>
      </c>
      <c r="W66" s="10" t="s">
        <v>999</v>
      </c>
      <c r="X66" s="10" t="str">
        <f>SUBSTITUTE(SUBSTITUTE(PROPERTIES[[#This Row],[PURCHASECOST_VALUE]], "PURCHASECOST_", ""), "_VALUE", "")</f>
        <v>STEAMENGINE</v>
      </c>
      <c r="AP66"/>
      <c r="AQ66"/>
      <c r="AR66"/>
    </row>
    <row r="67" spans="1:44">
      <c r="A67" s="2" t="s">
        <v>91</v>
      </c>
      <c r="B67">
        <v>1848</v>
      </c>
      <c r="C67">
        <v>0</v>
      </c>
      <c r="D67" t="s">
        <v>23</v>
      </c>
      <c r="E67" t="s">
        <v>20</v>
      </c>
      <c r="F67">
        <v>0</v>
      </c>
      <c r="G67" s="10">
        <v>60</v>
      </c>
      <c r="H67">
        <v>6</v>
      </c>
      <c r="I67">
        <v>8</v>
      </c>
      <c r="J67" s="2" t="s">
        <v>20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>
        <v>650</v>
      </c>
      <c r="O67">
        <v>96</v>
      </c>
      <c r="P67" s="2">
        <v>7.0000000000000007E-2</v>
      </c>
      <c r="Q67" s="6">
        <v>40</v>
      </c>
      <c r="R67" s="10">
        <v>0</v>
      </c>
      <c r="S67" s="10">
        <v>4</v>
      </c>
      <c r="T67" s="10"/>
      <c r="U67" t="str">
        <f>"RUNNING_COST_"&amp;IF(PROPERTIES[[#This Row],[ENGINE_CLASS]]="MAGLEV","ELECTRIC",PROPERTIES[[#This Row],[ENGINE_CLASS]])</f>
        <v>RUNNING_COST_STEAM</v>
      </c>
      <c r="V67" s="10" t="s">
        <v>998</v>
      </c>
      <c r="W67" s="10" t="s">
        <v>999</v>
      </c>
      <c r="X67" s="10" t="str">
        <f>SUBSTITUTE(SUBSTITUTE(PROPERTIES[[#This Row],[PURCHASECOST_VALUE]], "PURCHASECOST_", ""), "_VALUE", "")</f>
        <v>STEAMENGINE</v>
      </c>
      <c r="AP67"/>
      <c r="AQ67"/>
      <c r="AR67"/>
    </row>
    <row r="68" spans="1:44">
      <c r="A68" s="2" t="s">
        <v>92</v>
      </c>
      <c r="B68">
        <v>1854</v>
      </c>
      <c r="C68">
        <v>0</v>
      </c>
      <c r="D68" t="s">
        <v>23</v>
      </c>
      <c r="E68" t="s">
        <v>20</v>
      </c>
      <c r="F68">
        <v>0</v>
      </c>
      <c r="G68" s="10">
        <v>46</v>
      </c>
      <c r="H68">
        <v>5</v>
      </c>
      <c r="I68">
        <v>5</v>
      </c>
      <c r="J68" s="2" t="s">
        <v>20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>
        <v>400</v>
      </c>
      <c r="O68">
        <v>60</v>
      </c>
      <c r="P68" s="2">
        <v>0.1</v>
      </c>
      <c r="Q68" s="6">
        <v>40</v>
      </c>
      <c r="R68" s="10">
        <v>0</v>
      </c>
      <c r="S68" s="10">
        <v>0</v>
      </c>
      <c r="T68" s="10"/>
      <c r="U68" t="str">
        <f>"RUNNING_COST_"&amp;IF(PROPERTIES[[#This Row],[ENGINE_CLASS]]="MAGLEV","ELECTRIC",PROPERTIES[[#This Row],[ENGINE_CLASS]])</f>
        <v>RUNNING_COST_STEAM</v>
      </c>
      <c r="V68" s="10" t="s">
        <v>998</v>
      </c>
      <c r="W68" s="10" t="s">
        <v>999</v>
      </c>
      <c r="X68" s="10" t="str">
        <f>SUBSTITUTE(SUBSTITUTE(PROPERTIES[[#This Row],[PURCHASECOST_VALUE]], "PURCHASECOST_", ""), "_VALUE", "")</f>
        <v>STEAMENGINE</v>
      </c>
      <c r="AP68"/>
      <c r="AQ68"/>
      <c r="AR68"/>
    </row>
    <row r="69" spans="1:44">
      <c r="A69" s="2" t="s">
        <v>93</v>
      </c>
      <c r="B69">
        <v>1869</v>
      </c>
      <c r="C69">
        <v>0</v>
      </c>
      <c r="D69" t="s">
        <v>23</v>
      </c>
      <c r="E69" t="s">
        <v>20</v>
      </c>
      <c r="F69">
        <v>0</v>
      </c>
      <c r="G69" s="10">
        <v>69</v>
      </c>
      <c r="H69">
        <v>7</v>
      </c>
      <c r="I69">
        <v>8</v>
      </c>
      <c r="J69" s="2" t="s">
        <v>20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>
        <v>700</v>
      </c>
      <c r="O69">
        <v>96</v>
      </c>
      <c r="P69" s="2">
        <v>0.08</v>
      </c>
      <c r="Q69" s="6">
        <v>40</v>
      </c>
      <c r="R69" s="10">
        <v>0</v>
      </c>
      <c r="S69" s="10">
        <v>4</v>
      </c>
      <c r="T69" s="10"/>
      <c r="U69" t="str">
        <f>"RUNNING_COST_"&amp;IF(PROPERTIES[[#This Row],[ENGINE_CLASS]]="MAGLEV","ELECTRIC",PROPERTIES[[#This Row],[ENGINE_CLASS]])</f>
        <v>RUNNING_COST_STEAM</v>
      </c>
      <c r="V69" s="10" t="s">
        <v>998</v>
      </c>
      <c r="W69" s="10" t="s">
        <v>999</v>
      </c>
      <c r="X69" s="10" t="str">
        <f>SUBSTITUTE(SUBSTITUTE(PROPERTIES[[#This Row],[PURCHASECOST_VALUE]], "PURCHASECOST_", ""), "_VALUE", "")</f>
        <v>STEAMENGINE</v>
      </c>
      <c r="AP69"/>
      <c r="AQ69"/>
      <c r="AR69"/>
    </row>
    <row r="70" spans="1:44">
      <c r="A70" s="2" t="s">
        <v>94</v>
      </c>
      <c r="B70">
        <v>1875</v>
      </c>
      <c r="C70">
        <v>0</v>
      </c>
      <c r="D70" t="s">
        <v>23</v>
      </c>
      <c r="E70" t="s">
        <v>20</v>
      </c>
      <c r="F70">
        <v>0</v>
      </c>
      <c r="G70" s="10">
        <v>126</v>
      </c>
      <c r="H70">
        <v>8</v>
      </c>
      <c r="I70">
        <v>10</v>
      </c>
      <c r="J70" s="2" t="s">
        <v>20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>
        <v>1000</v>
      </c>
      <c r="O70">
        <v>80</v>
      </c>
      <c r="P70" s="2">
        <v>0.13</v>
      </c>
      <c r="Q70" s="6">
        <v>40</v>
      </c>
      <c r="R70" s="10">
        <v>0</v>
      </c>
      <c r="S70" s="10">
        <v>5</v>
      </c>
      <c r="T70" s="10"/>
      <c r="U70" t="str">
        <f>"RUNNING_COST_"&amp;IF(PROPERTIES[[#This Row],[ENGINE_CLASS]]="MAGLEV","ELECTRIC",PROPERTIES[[#This Row],[ENGINE_CLASS]])</f>
        <v>RUNNING_COST_STEAM</v>
      </c>
      <c r="V70" s="10" t="s">
        <v>998</v>
      </c>
      <c r="W70" s="10" t="s">
        <v>999</v>
      </c>
      <c r="X70" s="10" t="str">
        <f>SUBSTITUTE(SUBSTITUTE(PROPERTIES[[#This Row],[PURCHASECOST_VALUE]], "PURCHASECOST_", ""), "_VALUE", "")</f>
        <v>STEAMENGINE</v>
      </c>
      <c r="AP70"/>
      <c r="AQ70"/>
      <c r="AR70"/>
    </row>
    <row r="71" spans="1:44">
      <c r="A71" s="2" t="s">
        <v>95</v>
      </c>
      <c r="B71">
        <v>1885</v>
      </c>
      <c r="C71">
        <v>0</v>
      </c>
      <c r="D71" t="s">
        <v>23</v>
      </c>
      <c r="E71" t="s">
        <v>20</v>
      </c>
      <c r="F71">
        <v>0</v>
      </c>
      <c r="G71" s="10">
        <v>27</v>
      </c>
      <c r="H71">
        <v>6</v>
      </c>
      <c r="I71">
        <v>6</v>
      </c>
      <c r="J71" s="2" t="s">
        <v>20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>
        <v>300</v>
      </c>
      <c r="O71">
        <v>45</v>
      </c>
      <c r="P71" s="2">
        <v>0.21</v>
      </c>
      <c r="Q71" s="6">
        <v>40</v>
      </c>
      <c r="R71" s="10">
        <v>0</v>
      </c>
      <c r="S71" s="10">
        <v>0</v>
      </c>
      <c r="T71" s="10"/>
      <c r="U71" t="str">
        <f>"RUNNING_COST_"&amp;IF(PROPERTIES[[#This Row],[ENGINE_CLASS]]="MAGLEV","ELECTRIC",PROPERTIES[[#This Row],[ENGINE_CLASS]])</f>
        <v>RUNNING_COST_STEAM</v>
      </c>
      <c r="V71" s="10" t="s">
        <v>998</v>
      </c>
      <c r="W71" s="10" t="s">
        <v>999</v>
      </c>
      <c r="X71" s="10" t="str">
        <f>SUBSTITUTE(SUBSTITUTE(PROPERTIES[[#This Row],[PURCHASECOST_VALUE]], "PURCHASECOST_", ""), "_VALUE", "")</f>
        <v>STEAMENGINE</v>
      </c>
      <c r="AP71"/>
      <c r="AQ71"/>
      <c r="AR71"/>
    </row>
    <row r="72" spans="1:44">
      <c r="A72" s="2" t="s">
        <v>96</v>
      </c>
      <c r="B72">
        <v>1897</v>
      </c>
      <c r="C72">
        <v>0</v>
      </c>
      <c r="D72" t="s">
        <v>23</v>
      </c>
      <c r="E72" t="s">
        <v>20</v>
      </c>
      <c r="F72">
        <v>0</v>
      </c>
      <c r="G72" s="10">
        <v>52</v>
      </c>
      <c r="H72">
        <v>6</v>
      </c>
      <c r="I72">
        <v>6</v>
      </c>
      <c r="J72" s="2" t="s">
        <v>20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>
        <v>575</v>
      </c>
      <c r="O72">
        <v>50</v>
      </c>
      <c r="P72" s="2">
        <v>0.23</v>
      </c>
      <c r="Q72" s="6">
        <v>40</v>
      </c>
      <c r="R72" s="10">
        <v>0</v>
      </c>
      <c r="S72" s="10">
        <v>0</v>
      </c>
      <c r="T72" s="10"/>
      <c r="U72" t="str">
        <f>"RUNNING_COST_"&amp;IF(PROPERTIES[[#This Row],[ENGINE_CLASS]]="MAGLEV","ELECTRIC",PROPERTIES[[#This Row],[ENGINE_CLASS]])</f>
        <v>RUNNING_COST_STEAM</v>
      </c>
      <c r="V72" s="10" t="s">
        <v>998</v>
      </c>
      <c r="W72" s="10" t="s">
        <v>999</v>
      </c>
      <c r="X72" s="10" t="str">
        <f>SUBSTITUTE(SUBSTITUTE(PROPERTIES[[#This Row],[PURCHASECOST_VALUE]], "PURCHASECOST_", ""), "_VALUE", "")</f>
        <v>STEAMENGINE</v>
      </c>
      <c r="AP72"/>
      <c r="AQ72"/>
      <c r="AR72"/>
    </row>
    <row r="73" spans="1:44">
      <c r="A73" s="2" t="s">
        <v>97</v>
      </c>
      <c r="B73">
        <v>1899</v>
      </c>
      <c r="C73">
        <v>0</v>
      </c>
      <c r="D73" t="s">
        <v>23</v>
      </c>
      <c r="E73" t="s">
        <v>20</v>
      </c>
      <c r="F73">
        <v>0</v>
      </c>
      <c r="G73" s="10">
        <v>53</v>
      </c>
      <c r="H73">
        <v>7</v>
      </c>
      <c r="I73">
        <v>7</v>
      </c>
      <c r="J73" s="2" t="s">
        <v>20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>
        <v>540</v>
      </c>
      <c r="O73">
        <v>80</v>
      </c>
      <c r="P73" s="2">
        <v>0.16</v>
      </c>
      <c r="Q73" s="6">
        <v>40</v>
      </c>
      <c r="R73" s="10">
        <v>0</v>
      </c>
      <c r="S73" s="10">
        <v>0</v>
      </c>
      <c r="T73" s="10"/>
      <c r="U73" t="str">
        <f>"RUNNING_COST_"&amp;IF(PROPERTIES[[#This Row],[ENGINE_CLASS]]="MAGLEV","ELECTRIC",PROPERTIES[[#This Row],[ENGINE_CLASS]])</f>
        <v>RUNNING_COST_STEAM</v>
      </c>
      <c r="V73" s="10" t="s">
        <v>998</v>
      </c>
      <c r="W73" s="10" t="s">
        <v>999</v>
      </c>
      <c r="X73" s="10" t="str">
        <f>SUBSTITUTE(SUBSTITUTE(PROPERTIES[[#This Row],[PURCHASECOST_VALUE]], "PURCHASECOST_", ""), "_VALUE", "")</f>
        <v>STEAMENGINE</v>
      </c>
      <c r="AP73"/>
      <c r="AQ73"/>
      <c r="AR73"/>
    </row>
    <row r="74" spans="1:44">
      <c r="A74" s="2" t="s">
        <v>98</v>
      </c>
      <c r="B74">
        <v>1902</v>
      </c>
      <c r="C74">
        <v>0</v>
      </c>
      <c r="D74" t="s">
        <v>23</v>
      </c>
      <c r="E74" t="s">
        <v>20</v>
      </c>
      <c r="F74">
        <v>0</v>
      </c>
      <c r="G74" s="10">
        <v>106</v>
      </c>
      <c r="H74">
        <v>8</v>
      </c>
      <c r="I74">
        <v>8</v>
      </c>
      <c r="J74" s="2" t="s">
        <v>20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>
        <v>1340</v>
      </c>
      <c r="O74">
        <v>100</v>
      </c>
      <c r="P74" s="2">
        <v>0.12</v>
      </c>
      <c r="Q74" s="6">
        <v>40</v>
      </c>
      <c r="R74" s="10">
        <v>0</v>
      </c>
      <c r="S74" s="10">
        <v>4</v>
      </c>
      <c r="T74" s="10"/>
      <c r="U74" t="str">
        <f>"RUNNING_COST_"&amp;IF(PROPERTIES[[#This Row],[ENGINE_CLASS]]="MAGLEV","ELECTRIC",PROPERTIES[[#This Row],[ENGINE_CLASS]])</f>
        <v>RUNNING_COST_STEAM</v>
      </c>
      <c r="V74" s="10" t="s">
        <v>998</v>
      </c>
      <c r="W74" s="10" t="s">
        <v>999</v>
      </c>
      <c r="X74" s="10" t="str">
        <f>SUBSTITUTE(SUBSTITUTE(PROPERTIES[[#This Row],[PURCHASECOST_VALUE]], "PURCHASECOST_", ""), "_VALUE", "")</f>
        <v>STEAMENGINE</v>
      </c>
      <c r="AP74"/>
      <c r="AQ74"/>
      <c r="AR74"/>
    </row>
    <row r="75" spans="1:44">
      <c r="A75" s="2" t="s">
        <v>99</v>
      </c>
      <c r="B75">
        <v>1902</v>
      </c>
      <c r="C75">
        <v>0</v>
      </c>
      <c r="D75" t="s">
        <v>23</v>
      </c>
      <c r="E75" t="s">
        <v>20</v>
      </c>
      <c r="F75">
        <v>0</v>
      </c>
      <c r="G75" s="10">
        <v>35</v>
      </c>
      <c r="H75">
        <v>6</v>
      </c>
      <c r="I75">
        <v>6</v>
      </c>
      <c r="J75" s="2" t="s">
        <v>20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>
        <v>350</v>
      </c>
      <c r="O75">
        <v>45</v>
      </c>
      <c r="P75" s="2">
        <v>0.19</v>
      </c>
      <c r="Q75" s="6">
        <v>40</v>
      </c>
      <c r="R75" s="10">
        <v>0</v>
      </c>
      <c r="S75" s="10">
        <v>0</v>
      </c>
      <c r="T75" s="10"/>
      <c r="U75" t="str">
        <f>"RUNNING_COST_"&amp;IF(PROPERTIES[[#This Row],[ENGINE_CLASS]]="MAGLEV","ELECTRIC",PROPERTIES[[#This Row],[ENGINE_CLASS]])</f>
        <v>RUNNING_COST_STEAM</v>
      </c>
      <c r="V75" s="10" t="s">
        <v>998</v>
      </c>
      <c r="W75" s="10" t="s">
        <v>999</v>
      </c>
      <c r="X75" s="10" t="str">
        <f>SUBSTITUTE(SUBSTITUTE(PROPERTIES[[#This Row],[PURCHASECOST_VALUE]], "PURCHASECOST_", ""), "_VALUE", "")</f>
        <v>STEAMENGINE</v>
      </c>
      <c r="AP75"/>
      <c r="AQ75"/>
      <c r="AR75"/>
    </row>
    <row r="76" spans="1:44">
      <c r="A76" s="2" t="s">
        <v>100</v>
      </c>
      <c r="B76">
        <v>1904</v>
      </c>
      <c r="C76">
        <v>0</v>
      </c>
      <c r="D76" t="s">
        <v>23</v>
      </c>
      <c r="E76" t="s">
        <v>20</v>
      </c>
      <c r="F76">
        <v>0</v>
      </c>
      <c r="G76" s="10">
        <v>67</v>
      </c>
      <c r="H76">
        <v>7</v>
      </c>
      <c r="I76">
        <v>7</v>
      </c>
      <c r="J76" s="2" t="s">
        <v>20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>
        <v>820</v>
      </c>
      <c r="O76">
        <v>80</v>
      </c>
      <c r="P76" s="2">
        <v>0.14000000000000001</v>
      </c>
      <c r="Q76" s="6">
        <v>40</v>
      </c>
      <c r="R76" s="10">
        <v>0</v>
      </c>
      <c r="S76" s="10">
        <v>0</v>
      </c>
      <c r="T76" s="10"/>
      <c r="U76" t="str">
        <f>"RUNNING_COST_"&amp;IF(PROPERTIES[[#This Row],[ENGINE_CLASS]]="MAGLEV","ELECTRIC",PROPERTIES[[#This Row],[ENGINE_CLASS]])</f>
        <v>RUNNING_COST_STEAM</v>
      </c>
      <c r="V76" s="10" t="s">
        <v>998</v>
      </c>
      <c r="W76" s="10" t="s">
        <v>999</v>
      </c>
      <c r="X76" s="10" t="str">
        <f>SUBSTITUTE(SUBSTITUTE(PROPERTIES[[#This Row],[PURCHASECOST_VALUE]], "PURCHASECOST_", ""), "_VALUE", "")</f>
        <v>STEAMENGINE</v>
      </c>
      <c r="AP76"/>
      <c r="AQ76"/>
      <c r="AR76"/>
    </row>
    <row r="77" spans="1:44">
      <c r="A77" s="2" t="s">
        <v>101</v>
      </c>
      <c r="B77">
        <v>1908</v>
      </c>
      <c r="C77">
        <v>0</v>
      </c>
      <c r="D77" t="s">
        <v>23</v>
      </c>
      <c r="E77" t="s">
        <v>20</v>
      </c>
      <c r="F77">
        <v>0</v>
      </c>
      <c r="G77" s="10">
        <v>94</v>
      </c>
      <c r="H77">
        <v>8</v>
      </c>
      <c r="I77">
        <v>12</v>
      </c>
      <c r="J77" s="2" t="s">
        <v>20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>
        <v>1500</v>
      </c>
      <c r="O77">
        <v>50</v>
      </c>
      <c r="P77" s="2">
        <v>0.15</v>
      </c>
      <c r="Q77" s="6">
        <v>40</v>
      </c>
      <c r="R77" s="10">
        <v>0</v>
      </c>
      <c r="S77" s="10">
        <v>6</v>
      </c>
      <c r="T77" s="10"/>
      <c r="U77" t="str">
        <f>"RUNNING_COST_"&amp;IF(PROPERTIES[[#This Row],[ENGINE_CLASS]]="MAGLEV","ELECTRIC",PROPERTIES[[#This Row],[ENGINE_CLASS]])</f>
        <v>RUNNING_COST_STEAM</v>
      </c>
      <c r="V77" s="10" t="s">
        <v>998</v>
      </c>
      <c r="W77" s="10" t="s">
        <v>999</v>
      </c>
      <c r="X77" s="10" t="str">
        <f>SUBSTITUTE(SUBSTITUTE(PROPERTIES[[#This Row],[PURCHASECOST_VALUE]], "PURCHASECOST_", ""), "_VALUE", "")</f>
        <v>STEAMENGINE</v>
      </c>
      <c r="AP77"/>
      <c r="AQ77"/>
      <c r="AR77"/>
    </row>
    <row r="78" spans="1:44">
      <c r="A78" s="2" t="s">
        <v>102</v>
      </c>
      <c r="B78">
        <v>1914</v>
      </c>
      <c r="C78">
        <v>0</v>
      </c>
      <c r="D78" t="s">
        <v>23</v>
      </c>
      <c r="E78" t="s">
        <v>20</v>
      </c>
      <c r="F78">
        <v>0</v>
      </c>
      <c r="G78" s="10">
        <v>52</v>
      </c>
      <c r="H78">
        <v>6</v>
      </c>
      <c r="I78">
        <v>6</v>
      </c>
      <c r="J78" s="2" t="s">
        <v>20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>
        <v>570</v>
      </c>
      <c r="O78">
        <v>60</v>
      </c>
      <c r="P78" s="2">
        <v>0.11</v>
      </c>
      <c r="Q78" s="6">
        <v>40</v>
      </c>
      <c r="R78" s="10">
        <v>0</v>
      </c>
      <c r="S78" s="10">
        <v>0</v>
      </c>
      <c r="T78" s="10"/>
      <c r="U78" t="str">
        <f>"RUNNING_COST_"&amp;IF(PROPERTIES[[#This Row],[ENGINE_CLASS]]="MAGLEV","ELECTRIC",PROPERTIES[[#This Row],[ENGINE_CLASS]])</f>
        <v>RUNNING_COST_STEAM</v>
      </c>
      <c r="V78" s="10" t="s">
        <v>998</v>
      </c>
      <c r="W78" s="10" t="s">
        <v>999</v>
      </c>
      <c r="X78" s="10" t="str">
        <f>SUBSTITUTE(SUBSTITUTE(PROPERTIES[[#This Row],[PURCHASECOST_VALUE]], "PURCHASECOST_", ""), "_VALUE", "")</f>
        <v>STEAMENGINE</v>
      </c>
      <c r="AP78"/>
      <c r="AQ78"/>
      <c r="AR78"/>
    </row>
    <row r="79" spans="1:44">
      <c r="A79" s="2" t="s">
        <v>103</v>
      </c>
      <c r="B79">
        <v>1916</v>
      </c>
      <c r="C79">
        <v>0</v>
      </c>
      <c r="D79" t="s">
        <v>23</v>
      </c>
      <c r="E79" t="s">
        <v>20</v>
      </c>
      <c r="F79">
        <v>0</v>
      </c>
      <c r="G79" s="10">
        <v>144</v>
      </c>
      <c r="H79">
        <v>6</v>
      </c>
      <c r="I79">
        <v>6</v>
      </c>
      <c r="J79" s="2" t="s">
        <v>20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>
        <v>500</v>
      </c>
      <c r="O79">
        <v>75</v>
      </c>
      <c r="P79" s="2">
        <v>0.1</v>
      </c>
      <c r="Q79" s="6">
        <v>40</v>
      </c>
      <c r="R79" s="10">
        <v>0</v>
      </c>
      <c r="S79" s="10">
        <v>0</v>
      </c>
      <c r="T79" s="10"/>
      <c r="U79" t="str">
        <f>"RUNNING_COST_"&amp;IF(PROPERTIES[[#This Row],[ENGINE_CLASS]]="MAGLEV","ELECTRIC",PROPERTIES[[#This Row],[ENGINE_CLASS]])</f>
        <v>RUNNING_COST_STEAM</v>
      </c>
      <c r="V79" s="10" t="s">
        <v>998</v>
      </c>
      <c r="W79" s="10" t="s">
        <v>999</v>
      </c>
      <c r="X79" s="10" t="str">
        <f>SUBSTITUTE(SUBSTITUTE(PROPERTIES[[#This Row],[PURCHASECOST_VALUE]], "PURCHASECOST_", ""), "_VALUE", "")</f>
        <v>STEAMENGINE</v>
      </c>
      <c r="AP79"/>
      <c r="AQ79"/>
      <c r="AR79"/>
    </row>
    <row r="80" spans="1:44">
      <c r="A80" s="2" t="s">
        <v>104</v>
      </c>
      <c r="B80">
        <v>1920</v>
      </c>
      <c r="C80">
        <v>0</v>
      </c>
      <c r="D80" t="s">
        <v>23</v>
      </c>
      <c r="E80" t="s">
        <v>20</v>
      </c>
      <c r="F80">
        <v>0</v>
      </c>
      <c r="G80" s="10">
        <v>97</v>
      </c>
      <c r="H80">
        <v>7</v>
      </c>
      <c r="I80">
        <v>8</v>
      </c>
      <c r="J80" s="2" t="s">
        <v>20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>
        <v>930</v>
      </c>
      <c r="O80">
        <v>64</v>
      </c>
      <c r="P80" s="2">
        <v>0.11</v>
      </c>
      <c r="Q80" s="6">
        <v>40</v>
      </c>
      <c r="R80" s="10">
        <v>0</v>
      </c>
      <c r="S80" s="10">
        <v>4</v>
      </c>
      <c r="T80" s="10"/>
      <c r="U80" t="str">
        <f>"RUNNING_COST_"&amp;IF(PROPERTIES[[#This Row],[ENGINE_CLASS]]="MAGLEV","ELECTRIC",PROPERTIES[[#This Row],[ENGINE_CLASS]])</f>
        <v>RUNNING_COST_STEAM</v>
      </c>
      <c r="V80" s="10" t="s">
        <v>998</v>
      </c>
      <c r="W80" s="10" t="s">
        <v>999</v>
      </c>
      <c r="X80" s="10" t="str">
        <f>SUBSTITUTE(SUBSTITUTE(PROPERTIES[[#This Row],[PURCHASECOST_VALUE]], "PURCHASECOST_", ""), "_VALUE", "")</f>
        <v>STEAMENGINE</v>
      </c>
      <c r="AP80"/>
      <c r="AQ80"/>
      <c r="AR80"/>
    </row>
    <row r="81" spans="1:44">
      <c r="A81" s="2" t="s">
        <v>105</v>
      </c>
      <c r="B81">
        <v>1920</v>
      </c>
      <c r="C81">
        <v>0</v>
      </c>
      <c r="D81" t="s">
        <v>23</v>
      </c>
      <c r="E81" t="s">
        <v>20</v>
      </c>
      <c r="F81">
        <v>0</v>
      </c>
      <c r="G81" s="10">
        <v>126</v>
      </c>
      <c r="H81">
        <v>6</v>
      </c>
      <c r="I81">
        <v>8</v>
      </c>
      <c r="J81" s="2" t="s">
        <v>20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>
        <v>1500</v>
      </c>
      <c r="O81">
        <v>80</v>
      </c>
      <c r="P81" s="2">
        <v>0.16</v>
      </c>
      <c r="Q81" s="6">
        <v>40</v>
      </c>
      <c r="R81" s="10">
        <v>0</v>
      </c>
      <c r="S81" s="10">
        <v>4</v>
      </c>
      <c r="T81" s="10"/>
      <c r="U81" t="str">
        <f>"RUNNING_COST_"&amp;IF(PROPERTIES[[#This Row],[ENGINE_CLASS]]="MAGLEV","ELECTRIC",PROPERTIES[[#This Row],[ENGINE_CLASS]])</f>
        <v>RUNNING_COST_STEAM</v>
      </c>
      <c r="V81" s="10" t="s">
        <v>998</v>
      </c>
      <c r="W81" s="10" t="s">
        <v>999</v>
      </c>
      <c r="X81" s="10" t="str">
        <f>SUBSTITUTE(SUBSTITUTE(PROPERTIES[[#This Row],[PURCHASECOST_VALUE]], "PURCHASECOST_", ""), "_VALUE", "")</f>
        <v>STEAMENGINE</v>
      </c>
      <c r="AP81"/>
      <c r="AQ81"/>
      <c r="AR81"/>
    </row>
    <row r="82" spans="1:44">
      <c r="A82" s="2" t="s">
        <v>106</v>
      </c>
      <c r="B82">
        <v>1922</v>
      </c>
      <c r="C82">
        <v>0</v>
      </c>
      <c r="D82" t="s">
        <v>23</v>
      </c>
      <c r="E82" t="s">
        <v>20</v>
      </c>
      <c r="F82">
        <v>0</v>
      </c>
      <c r="G82" s="10">
        <v>94</v>
      </c>
      <c r="H82">
        <v>6</v>
      </c>
      <c r="I82">
        <v>6</v>
      </c>
      <c r="J82" s="2" t="s">
        <v>20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>
        <v>1360</v>
      </c>
      <c r="O82">
        <v>70</v>
      </c>
      <c r="P82" s="2">
        <v>0.25</v>
      </c>
      <c r="Q82" s="6">
        <v>40</v>
      </c>
      <c r="R82" s="10">
        <v>0</v>
      </c>
      <c r="S82" s="10">
        <v>0</v>
      </c>
      <c r="T82" s="10"/>
      <c r="U82" t="str">
        <f>"RUNNING_COST_"&amp;IF(PROPERTIES[[#This Row],[ENGINE_CLASS]]="MAGLEV","ELECTRIC",PROPERTIES[[#This Row],[ENGINE_CLASS]])</f>
        <v>RUNNING_COST_STEAM</v>
      </c>
      <c r="V82" s="10" t="s">
        <v>998</v>
      </c>
      <c r="W82" s="10" t="s">
        <v>999</v>
      </c>
      <c r="X82" s="10" t="str">
        <f>SUBSTITUTE(SUBSTITUTE(PROPERTIES[[#This Row],[PURCHASECOST_VALUE]], "PURCHASECOST_", ""), "_VALUE", "")</f>
        <v>STEAMENGINE</v>
      </c>
      <c r="AP82"/>
      <c r="AQ82"/>
      <c r="AR82"/>
    </row>
    <row r="83" spans="1:44">
      <c r="A83" s="2" t="s">
        <v>107</v>
      </c>
      <c r="B83">
        <v>1924</v>
      </c>
      <c r="C83">
        <v>0</v>
      </c>
      <c r="D83" t="s">
        <v>23</v>
      </c>
      <c r="E83" t="s">
        <v>20</v>
      </c>
      <c r="F83">
        <v>0</v>
      </c>
      <c r="G83" s="10">
        <v>122</v>
      </c>
      <c r="H83">
        <v>8</v>
      </c>
      <c r="I83">
        <v>12</v>
      </c>
      <c r="J83" s="2" t="s">
        <v>20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>
        <v>1750</v>
      </c>
      <c r="O83">
        <v>96</v>
      </c>
      <c r="P83" s="2">
        <v>0.1</v>
      </c>
      <c r="Q83" s="6">
        <v>40</v>
      </c>
      <c r="R83" s="10">
        <v>0</v>
      </c>
      <c r="S83" s="10">
        <v>6</v>
      </c>
      <c r="T83" s="10"/>
      <c r="U83" t="str">
        <f>"RUNNING_COST_"&amp;IF(PROPERTIES[[#This Row],[ENGINE_CLASS]]="MAGLEV","ELECTRIC",PROPERTIES[[#This Row],[ENGINE_CLASS]])</f>
        <v>RUNNING_COST_STEAM</v>
      </c>
      <c r="V83" s="10" t="s">
        <v>998</v>
      </c>
      <c r="W83" s="10" t="s">
        <v>999</v>
      </c>
      <c r="X83" s="10" t="str">
        <f>SUBSTITUTE(SUBSTITUTE(PROPERTIES[[#This Row],[PURCHASECOST_VALUE]], "PURCHASECOST_", ""), "_VALUE", "")</f>
        <v>STEAMENGINE</v>
      </c>
      <c r="AP83"/>
      <c r="AQ83"/>
      <c r="AR83"/>
    </row>
    <row r="84" spans="1:44">
      <c r="A84" s="2" t="s">
        <v>108</v>
      </c>
      <c r="B84">
        <v>1929</v>
      </c>
      <c r="C84">
        <v>0</v>
      </c>
      <c r="D84" t="s">
        <v>23</v>
      </c>
      <c r="E84" t="s">
        <v>20</v>
      </c>
      <c r="F84">
        <v>0</v>
      </c>
      <c r="G84" s="10">
        <v>48</v>
      </c>
      <c r="H84">
        <v>6</v>
      </c>
      <c r="I84">
        <v>6</v>
      </c>
      <c r="J84" s="2" t="s">
        <v>20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>
        <v>700</v>
      </c>
      <c r="O84">
        <v>72</v>
      </c>
      <c r="P84" s="2">
        <v>0.21</v>
      </c>
      <c r="Q84" s="6">
        <v>40</v>
      </c>
      <c r="R84" s="10">
        <v>0</v>
      </c>
      <c r="S84" s="10">
        <v>0</v>
      </c>
      <c r="T84" s="10"/>
      <c r="U84" t="str">
        <f>"RUNNING_COST_"&amp;IF(PROPERTIES[[#This Row],[ENGINE_CLASS]]="MAGLEV","ELECTRIC",PROPERTIES[[#This Row],[ENGINE_CLASS]])</f>
        <v>RUNNING_COST_STEAM</v>
      </c>
      <c r="V84" s="10" t="s">
        <v>998</v>
      </c>
      <c r="W84" s="10" t="s">
        <v>999</v>
      </c>
      <c r="X84" s="10" t="str">
        <f>SUBSTITUTE(SUBSTITUTE(PROPERTIES[[#This Row],[PURCHASECOST_VALUE]], "PURCHASECOST_", ""), "_VALUE", "")</f>
        <v>STEAMENGINE</v>
      </c>
      <c r="AP84"/>
      <c r="AQ84"/>
      <c r="AR84"/>
    </row>
    <row r="85" spans="1:44">
      <c r="A85" s="2" t="s">
        <v>109</v>
      </c>
      <c r="B85">
        <v>1930</v>
      </c>
      <c r="C85">
        <v>0</v>
      </c>
      <c r="D85" t="s">
        <v>23</v>
      </c>
      <c r="E85" t="s">
        <v>20</v>
      </c>
      <c r="F85">
        <v>0</v>
      </c>
      <c r="G85" s="10">
        <v>127</v>
      </c>
      <c r="H85">
        <v>8</v>
      </c>
      <c r="I85">
        <v>8</v>
      </c>
      <c r="J85" s="2" t="s">
        <v>20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>
        <v>1609</v>
      </c>
      <c r="O85">
        <v>90</v>
      </c>
      <c r="P85" s="2">
        <v>0.11</v>
      </c>
      <c r="Q85" s="6">
        <v>40</v>
      </c>
      <c r="R85" s="10">
        <v>0</v>
      </c>
      <c r="S85" s="10">
        <v>0</v>
      </c>
      <c r="T85" s="10"/>
      <c r="U85" t="str">
        <f>"RUNNING_COST_"&amp;IF(PROPERTIES[[#This Row],[ENGINE_CLASS]]="MAGLEV","ELECTRIC",PROPERTIES[[#This Row],[ENGINE_CLASS]])</f>
        <v>RUNNING_COST_STEAM</v>
      </c>
      <c r="V85" s="10" t="s">
        <v>998</v>
      </c>
      <c r="W85" s="10" t="s">
        <v>999</v>
      </c>
      <c r="X85" s="10" t="str">
        <f>SUBSTITUTE(SUBSTITUTE(PROPERTIES[[#This Row],[PURCHASECOST_VALUE]], "PURCHASECOST_", ""), "_VALUE", "")</f>
        <v>STEAMENGINE</v>
      </c>
      <c r="AP85"/>
      <c r="AQ85"/>
      <c r="AR85"/>
    </row>
    <row r="86" spans="1:44">
      <c r="A86" s="2" t="s">
        <v>110</v>
      </c>
      <c r="B86">
        <v>1930</v>
      </c>
      <c r="C86">
        <v>0</v>
      </c>
      <c r="D86" t="s">
        <v>23</v>
      </c>
      <c r="E86" t="s">
        <v>20</v>
      </c>
      <c r="F86">
        <v>0</v>
      </c>
      <c r="G86" s="10">
        <v>398</v>
      </c>
      <c r="H86">
        <v>8</v>
      </c>
      <c r="I86">
        <v>12</v>
      </c>
      <c r="J86" s="2" t="s">
        <v>20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>
        <v>5700</v>
      </c>
      <c r="O86">
        <v>100</v>
      </c>
      <c r="P86" s="2">
        <v>0.12</v>
      </c>
      <c r="Q86" s="6">
        <v>40</v>
      </c>
      <c r="R86" s="10">
        <v>0</v>
      </c>
      <c r="S86" s="10">
        <v>6</v>
      </c>
      <c r="T86" s="10"/>
      <c r="U86" t="str">
        <f>"RUNNING_COST_"&amp;IF(PROPERTIES[[#This Row],[ENGINE_CLASS]]="MAGLEV","ELECTRIC",PROPERTIES[[#This Row],[ENGINE_CLASS]])</f>
        <v>RUNNING_COST_STEAM</v>
      </c>
      <c r="V86" s="10" t="s">
        <v>998</v>
      </c>
      <c r="W86" s="10" t="s">
        <v>999</v>
      </c>
      <c r="X86" s="10" t="str">
        <f>SUBSTITUTE(SUBSTITUTE(PROPERTIES[[#This Row],[PURCHASECOST_VALUE]], "PURCHASECOST_", ""), "_VALUE", "")</f>
        <v>STEAMENGINE</v>
      </c>
      <c r="AP86"/>
      <c r="AQ86"/>
      <c r="AR86"/>
    </row>
    <row r="87" spans="1:44">
      <c r="A87" s="2" t="s">
        <v>111</v>
      </c>
      <c r="B87">
        <v>1910</v>
      </c>
      <c r="C87">
        <v>0</v>
      </c>
      <c r="D87" t="s">
        <v>23</v>
      </c>
      <c r="E87" t="s">
        <v>20</v>
      </c>
      <c r="F87">
        <v>0</v>
      </c>
      <c r="G87" s="10">
        <v>77</v>
      </c>
      <c r="H87">
        <v>8</v>
      </c>
      <c r="I87">
        <v>8</v>
      </c>
      <c r="J87" s="2" t="s">
        <v>20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>
        <v>1155</v>
      </c>
      <c r="O87">
        <v>110</v>
      </c>
      <c r="P87" s="2">
        <v>0.1</v>
      </c>
      <c r="Q87" s="6">
        <v>40</v>
      </c>
      <c r="R87" s="10">
        <v>0</v>
      </c>
      <c r="S87" s="10">
        <v>4</v>
      </c>
      <c r="T87" s="10"/>
      <c r="U87" t="str">
        <f>"RUNNING_COST_"&amp;IF(PROPERTIES[[#This Row],[ENGINE_CLASS]]="MAGLEV","ELECTRIC",PROPERTIES[[#This Row],[ENGINE_CLASS]])</f>
        <v>RUNNING_COST_STEAM</v>
      </c>
      <c r="V87" s="10" t="s">
        <v>998</v>
      </c>
      <c r="W87" s="10" t="s">
        <v>999</v>
      </c>
      <c r="X87" s="10" t="str">
        <f>SUBSTITUTE(SUBSTITUTE(PROPERTIES[[#This Row],[PURCHASECOST_VALUE]], "PURCHASECOST_", ""), "_VALUE", "")</f>
        <v>STEAMENGINE</v>
      </c>
      <c r="AP87"/>
      <c r="AQ87"/>
      <c r="AR87"/>
    </row>
    <row r="88" spans="1:44">
      <c r="A88" s="2" t="s">
        <v>112</v>
      </c>
      <c r="B88">
        <v>1934</v>
      </c>
      <c r="C88">
        <v>0</v>
      </c>
      <c r="D88" t="s">
        <v>23</v>
      </c>
      <c r="E88" t="s">
        <v>20</v>
      </c>
      <c r="F88">
        <v>0</v>
      </c>
      <c r="G88" s="10">
        <v>75</v>
      </c>
      <c r="H88">
        <v>8</v>
      </c>
      <c r="I88">
        <v>10</v>
      </c>
      <c r="J88" s="2" t="s">
        <v>20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>
        <v>1600</v>
      </c>
      <c r="O88">
        <v>115</v>
      </c>
      <c r="P88" s="2">
        <v>0.15</v>
      </c>
      <c r="Q88" s="6">
        <v>40</v>
      </c>
      <c r="R88" s="10">
        <v>0</v>
      </c>
      <c r="S88" s="10">
        <v>5</v>
      </c>
      <c r="T88" s="10"/>
      <c r="U88" t="str">
        <f>"RUNNING_COST_"&amp;IF(PROPERTIES[[#This Row],[ENGINE_CLASS]]="MAGLEV","ELECTRIC",PROPERTIES[[#This Row],[ENGINE_CLASS]])</f>
        <v>RUNNING_COST_STEAM</v>
      </c>
      <c r="V88" s="10" t="s">
        <v>998</v>
      </c>
      <c r="W88" s="10" t="s">
        <v>999</v>
      </c>
      <c r="X88" s="10" t="str">
        <f>SUBSTITUTE(SUBSTITUTE(PROPERTIES[[#This Row],[PURCHASECOST_VALUE]], "PURCHASECOST_", ""), "_VALUE", "")</f>
        <v>STEAMENGINE</v>
      </c>
      <c r="AP88"/>
      <c r="AQ88"/>
      <c r="AR88"/>
    </row>
    <row r="89" spans="1:44">
      <c r="A89" s="2" t="s">
        <v>113</v>
      </c>
      <c r="B89">
        <v>1934</v>
      </c>
      <c r="C89">
        <v>0</v>
      </c>
      <c r="D89" t="s">
        <v>23</v>
      </c>
      <c r="E89" t="s">
        <v>20</v>
      </c>
      <c r="F89">
        <v>0</v>
      </c>
      <c r="G89" s="10">
        <v>52</v>
      </c>
      <c r="H89">
        <v>6</v>
      </c>
      <c r="I89">
        <v>6</v>
      </c>
      <c r="J89" s="2" t="s">
        <v>20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>
        <v>320</v>
      </c>
      <c r="O89">
        <v>35</v>
      </c>
      <c r="P89" s="2">
        <v>0.13</v>
      </c>
      <c r="Q89" s="6">
        <v>40</v>
      </c>
      <c r="R89" s="10">
        <v>0</v>
      </c>
      <c r="S89" s="10">
        <v>0</v>
      </c>
      <c r="T89" s="10"/>
      <c r="U89" t="str">
        <f>"RUNNING_COST_"&amp;IF(PROPERTIES[[#This Row],[ENGINE_CLASS]]="MAGLEV","ELECTRIC",PROPERTIES[[#This Row],[ENGINE_CLASS]])</f>
        <v>RUNNING_COST_STEAM</v>
      </c>
      <c r="V89" s="10" t="s">
        <v>998</v>
      </c>
      <c r="W89" s="10" t="s">
        <v>999</v>
      </c>
      <c r="X89" s="10" t="str">
        <f>SUBSTITUTE(SUBSTITUTE(PROPERTIES[[#This Row],[PURCHASECOST_VALUE]], "PURCHASECOST_", ""), "_VALUE", "")</f>
        <v>STEAMENGINE</v>
      </c>
      <c r="AP89"/>
      <c r="AQ89"/>
      <c r="AR89"/>
    </row>
    <row r="90" spans="1:44">
      <c r="A90" s="2" t="s">
        <v>114</v>
      </c>
      <c r="B90">
        <v>1935</v>
      </c>
      <c r="C90">
        <v>0</v>
      </c>
      <c r="D90" t="s">
        <v>23</v>
      </c>
      <c r="E90" t="s">
        <v>20</v>
      </c>
      <c r="F90">
        <v>0</v>
      </c>
      <c r="G90" s="10">
        <v>170</v>
      </c>
      <c r="H90">
        <v>8</v>
      </c>
      <c r="I90">
        <v>12</v>
      </c>
      <c r="J90" s="2" t="s">
        <v>20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>
        <v>2000</v>
      </c>
      <c r="O90">
        <v>160</v>
      </c>
      <c r="P90" s="2">
        <v>0.09</v>
      </c>
      <c r="Q90" s="6">
        <v>40</v>
      </c>
      <c r="R90" s="10">
        <v>0</v>
      </c>
      <c r="S90" s="10">
        <v>6</v>
      </c>
      <c r="T90" s="10"/>
      <c r="U90" t="str">
        <f>"RUNNING_COST_"&amp;IF(PROPERTIES[[#This Row],[ENGINE_CLASS]]="MAGLEV","ELECTRIC",PROPERTIES[[#This Row],[ENGINE_CLASS]])</f>
        <v>RUNNING_COST_STEAM</v>
      </c>
      <c r="V90" s="10" t="s">
        <v>998</v>
      </c>
      <c r="W90" s="10" t="s">
        <v>999</v>
      </c>
      <c r="X90" s="10" t="str">
        <f>SUBSTITUTE(SUBSTITUTE(PROPERTIES[[#This Row],[PURCHASECOST_VALUE]], "PURCHASECOST_", ""), "_VALUE", "")</f>
        <v>STEAMENGINE</v>
      </c>
      <c r="AP90"/>
      <c r="AQ90"/>
      <c r="AR90"/>
    </row>
    <row r="91" spans="1:44">
      <c r="A91" s="2" t="s">
        <v>115</v>
      </c>
      <c r="B91">
        <v>1937</v>
      </c>
      <c r="C91">
        <v>0</v>
      </c>
      <c r="D91" t="s">
        <v>23</v>
      </c>
      <c r="E91" t="s">
        <v>20</v>
      </c>
      <c r="F91">
        <v>0</v>
      </c>
      <c r="G91" s="10">
        <v>294</v>
      </c>
      <c r="H91">
        <v>8</v>
      </c>
      <c r="I91">
        <v>12</v>
      </c>
      <c r="J91" s="2" t="s">
        <v>20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>
        <v>4500</v>
      </c>
      <c r="O91">
        <v>144</v>
      </c>
      <c r="P91" s="2">
        <v>0.06</v>
      </c>
      <c r="Q91" s="6">
        <v>40</v>
      </c>
      <c r="R91" s="10">
        <v>0</v>
      </c>
      <c r="S91" s="10">
        <v>6</v>
      </c>
      <c r="T91" s="10"/>
      <c r="U91" t="str">
        <f>"RUNNING_COST_"&amp;IF(PROPERTIES[[#This Row],[ENGINE_CLASS]]="MAGLEV","ELECTRIC",PROPERTIES[[#This Row],[ENGINE_CLASS]])</f>
        <v>RUNNING_COST_STEAM</v>
      </c>
      <c r="V91" s="10" t="s">
        <v>998</v>
      </c>
      <c r="W91" s="10" t="s">
        <v>999</v>
      </c>
      <c r="X91" s="10" t="str">
        <f>SUBSTITUTE(SUBSTITUTE(PROPERTIES[[#This Row],[PURCHASECOST_VALUE]], "PURCHASECOST_", ""), "_VALUE", "")</f>
        <v>STEAMENGINE</v>
      </c>
      <c r="AP91"/>
      <c r="AQ91"/>
      <c r="AR91"/>
    </row>
    <row r="92" spans="1:44">
      <c r="A92" s="2" t="s">
        <v>116</v>
      </c>
      <c r="B92">
        <v>1937</v>
      </c>
      <c r="C92">
        <v>0</v>
      </c>
      <c r="D92" t="s">
        <v>23</v>
      </c>
      <c r="E92" t="s">
        <v>20</v>
      </c>
      <c r="F92">
        <v>0</v>
      </c>
      <c r="G92" s="10">
        <v>137</v>
      </c>
      <c r="H92">
        <v>6</v>
      </c>
      <c r="I92">
        <v>8</v>
      </c>
      <c r="J92" s="2" t="s">
        <v>20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>
        <v>1529</v>
      </c>
      <c r="O92">
        <v>110</v>
      </c>
      <c r="P92" s="2">
        <v>0.06</v>
      </c>
      <c r="Q92" s="6">
        <v>40</v>
      </c>
      <c r="R92" s="10">
        <v>0</v>
      </c>
      <c r="S92" s="10">
        <v>4</v>
      </c>
      <c r="T92" s="10"/>
      <c r="U92" t="str">
        <f>"RUNNING_COST_"&amp;IF(PROPERTIES[[#This Row],[ENGINE_CLASS]]="MAGLEV","ELECTRIC",PROPERTIES[[#This Row],[ENGINE_CLASS]])</f>
        <v>RUNNING_COST_STEAM</v>
      </c>
      <c r="V92" s="10" t="s">
        <v>998</v>
      </c>
      <c r="W92" s="10" t="s">
        <v>999</v>
      </c>
      <c r="X92" s="10" t="str">
        <f>SUBSTITUTE(SUBSTITUTE(PROPERTIES[[#This Row],[PURCHASECOST_VALUE]], "PURCHASECOST_", ""), "_VALUE", "")</f>
        <v>STEAMENGINE</v>
      </c>
      <c r="AP92"/>
      <c r="AQ92"/>
      <c r="AR92"/>
    </row>
    <row r="93" spans="1:44">
      <c r="A93" s="2" t="s">
        <v>117</v>
      </c>
      <c r="B93">
        <v>1937</v>
      </c>
      <c r="C93">
        <v>0</v>
      </c>
      <c r="D93" t="s">
        <v>23</v>
      </c>
      <c r="E93" t="s">
        <v>20</v>
      </c>
      <c r="F93">
        <v>0</v>
      </c>
      <c r="G93" s="10">
        <v>103</v>
      </c>
      <c r="H93">
        <v>8</v>
      </c>
      <c r="I93">
        <v>12</v>
      </c>
      <c r="J93" s="2" t="s">
        <v>20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>
        <v>1600</v>
      </c>
      <c r="O93">
        <v>80</v>
      </c>
      <c r="P93" s="2">
        <v>0.16</v>
      </c>
      <c r="Q93" s="6">
        <v>40</v>
      </c>
      <c r="R93" s="10">
        <v>0</v>
      </c>
      <c r="S93" s="10">
        <v>6</v>
      </c>
      <c r="T93" s="10"/>
      <c r="U93" t="str">
        <f>"RUNNING_COST_"&amp;IF(PROPERTIES[[#This Row],[ENGINE_CLASS]]="MAGLEV","ELECTRIC",PROPERTIES[[#This Row],[ENGINE_CLASS]])</f>
        <v>RUNNING_COST_STEAM</v>
      </c>
      <c r="V93" s="10" t="s">
        <v>998</v>
      </c>
      <c r="W93" s="10" t="s">
        <v>999</v>
      </c>
      <c r="X93" s="10" t="str">
        <f>SUBSTITUTE(SUBSTITUTE(PROPERTIES[[#This Row],[PURCHASECOST_VALUE]], "PURCHASECOST_", ""), "_VALUE", "")</f>
        <v>STEAMENGINE</v>
      </c>
      <c r="AP93"/>
      <c r="AQ93"/>
      <c r="AR93"/>
    </row>
    <row r="94" spans="1:44">
      <c r="A94" s="2" t="s">
        <v>118</v>
      </c>
      <c r="B94">
        <v>1948</v>
      </c>
      <c r="C94">
        <v>0</v>
      </c>
      <c r="D94" t="s">
        <v>23</v>
      </c>
      <c r="E94" t="s">
        <v>20</v>
      </c>
      <c r="F94">
        <v>0</v>
      </c>
      <c r="G94" s="10">
        <v>168</v>
      </c>
      <c r="H94">
        <v>8</v>
      </c>
      <c r="I94">
        <v>10</v>
      </c>
      <c r="J94" s="2" t="s">
        <v>20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>
        <v>2680</v>
      </c>
      <c r="O94">
        <v>160</v>
      </c>
      <c r="P94" s="2">
        <v>0.1</v>
      </c>
      <c r="Q94" s="6">
        <v>40</v>
      </c>
      <c r="R94" s="10">
        <v>0</v>
      </c>
      <c r="S94" s="10">
        <v>5</v>
      </c>
      <c r="T94" s="10"/>
      <c r="U94" t="str">
        <f>"RUNNING_COST_"&amp;IF(PROPERTIES[[#This Row],[ENGINE_CLASS]]="MAGLEV","ELECTRIC",PROPERTIES[[#This Row],[ENGINE_CLASS]])</f>
        <v>RUNNING_COST_STEAM</v>
      </c>
      <c r="V94" s="10" t="s">
        <v>998</v>
      </c>
      <c r="W94" s="10" t="s">
        <v>999</v>
      </c>
      <c r="X94" s="10" t="str">
        <f>SUBSTITUTE(SUBSTITUTE(PROPERTIES[[#This Row],[PURCHASECOST_VALUE]], "PURCHASECOST_", ""), "_VALUE", "")</f>
        <v>STEAMENGINE</v>
      </c>
      <c r="AP94"/>
      <c r="AQ94"/>
      <c r="AR94"/>
    </row>
    <row r="95" spans="1:44">
      <c r="A95" s="2" t="s">
        <v>119</v>
      </c>
      <c r="B95">
        <v>1953</v>
      </c>
      <c r="C95">
        <v>0</v>
      </c>
      <c r="D95" t="s">
        <v>23</v>
      </c>
      <c r="E95" t="s">
        <v>20</v>
      </c>
      <c r="F95">
        <v>0</v>
      </c>
      <c r="G95" s="10">
        <v>236</v>
      </c>
      <c r="H95">
        <v>8</v>
      </c>
      <c r="I95">
        <v>10</v>
      </c>
      <c r="J95" s="2" t="s">
        <v>20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>
        <v>5100</v>
      </c>
      <c r="O95">
        <v>110</v>
      </c>
      <c r="P95" s="2">
        <v>0.1</v>
      </c>
      <c r="Q95" s="6">
        <v>40</v>
      </c>
      <c r="R95" s="10">
        <v>0</v>
      </c>
      <c r="S95" s="10">
        <v>5</v>
      </c>
      <c r="T95" s="10"/>
      <c r="U95" t="str">
        <f>"RUNNING_COST_"&amp;IF(PROPERTIES[[#This Row],[ENGINE_CLASS]]="MAGLEV","ELECTRIC",PROPERTIES[[#This Row],[ENGINE_CLASS]])</f>
        <v>RUNNING_COST_STEAM</v>
      </c>
      <c r="V95" s="10" t="s">
        <v>998</v>
      </c>
      <c r="W95" s="10" t="s">
        <v>999</v>
      </c>
      <c r="X95" s="10" t="str">
        <f>SUBSTITUTE(SUBSTITUTE(PROPERTIES[[#This Row],[PURCHASECOST_VALUE]], "PURCHASECOST_", ""), "_VALUE", "")</f>
        <v>STEAMENGINE</v>
      </c>
      <c r="AP95"/>
      <c r="AQ95"/>
      <c r="AR95"/>
    </row>
    <row r="96" spans="1:44">
      <c r="A96" s="2" t="s">
        <v>120</v>
      </c>
      <c r="B96">
        <v>1953</v>
      </c>
      <c r="C96">
        <v>0</v>
      </c>
      <c r="D96" t="s">
        <v>23</v>
      </c>
      <c r="E96" t="s">
        <v>20</v>
      </c>
      <c r="F96">
        <v>0</v>
      </c>
      <c r="G96" s="10">
        <v>245</v>
      </c>
      <c r="H96">
        <v>8</v>
      </c>
      <c r="I96">
        <v>12</v>
      </c>
      <c r="J96" s="2" t="s">
        <v>20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>
        <v>3125</v>
      </c>
      <c r="O96">
        <v>125</v>
      </c>
      <c r="P96" s="2">
        <v>0.06</v>
      </c>
      <c r="Q96" s="6">
        <v>40</v>
      </c>
      <c r="R96" s="10">
        <v>0</v>
      </c>
      <c r="S96" s="10">
        <v>6</v>
      </c>
      <c r="T96" s="10"/>
      <c r="U96" t="str">
        <f>"RUNNING_COST_"&amp;IF(PROPERTIES[[#This Row],[ENGINE_CLASS]]="MAGLEV","ELECTRIC",PROPERTIES[[#This Row],[ENGINE_CLASS]])</f>
        <v>RUNNING_COST_STEAM</v>
      </c>
      <c r="V96" s="10" t="s">
        <v>998</v>
      </c>
      <c r="W96" s="10" t="s">
        <v>999</v>
      </c>
      <c r="X96" s="10" t="str">
        <f>SUBSTITUTE(SUBSTITUTE(PROPERTIES[[#This Row],[PURCHASECOST_VALUE]], "PURCHASECOST_", ""), "_VALUE", "")</f>
        <v>STEAMENGINE</v>
      </c>
      <c r="AP96"/>
      <c r="AQ96"/>
      <c r="AR96"/>
    </row>
    <row r="97" spans="1:44">
      <c r="A97" s="2" t="s">
        <v>121</v>
      </c>
      <c r="B97">
        <v>1934</v>
      </c>
      <c r="C97">
        <v>0</v>
      </c>
      <c r="D97" t="s">
        <v>23</v>
      </c>
      <c r="E97" t="s">
        <v>20</v>
      </c>
      <c r="F97">
        <v>0</v>
      </c>
      <c r="G97" s="10">
        <v>119</v>
      </c>
      <c r="H97">
        <v>8</v>
      </c>
      <c r="I97">
        <v>10</v>
      </c>
      <c r="J97" s="2" t="s">
        <v>20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>
        <v>2260</v>
      </c>
      <c r="O97">
        <v>105</v>
      </c>
      <c r="P97" s="2">
        <v>0.22</v>
      </c>
      <c r="Q97" s="6">
        <v>40</v>
      </c>
      <c r="R97" s="10">
        <v>0</v>
      </c>
      <c r="S97" s="10">
        <v>5</v>
      </c>
      <c r="T97" s="10"/>
      <c r="U97" t="str">
        <f>"RUNNING_COST_"&amp;IF(PROPERTIES[[#This Row],[ENGINE_CLASS]]="MAGLEV","ELECTRIC",PROPERTIES[[#This Row],[ENGINE_CLASS]])</f>
        <v>RUNNING_COST_STEAM</v>
      </c>
      <c r="V97" s="10" t="s">
        <v>998</v>
      </c>
      <c r="W97" s="10" t="s">
        <v>999</v>
      </c>
      <c r="X97" s="10" t="str">
        <f>SUBSTITUTE(SUBSTITUTE(PROPERTIES[[#This Row],[PURCHASECOST_VALUE]], "PURCHASECOST_", ""), "_VALUE", "")</f>
        <v>STEAMENGINE</v>
      </c>
      <c r="AP97"/>
      <c r="AQ97"/>
      <c r="AR97"/>
    </row>
    <row r="98" spans="1:44">
      <c r="A98" s="2" t="s">
        <v>122</v>
      </c>
      <c r="B98">
        <v>1908</v>
      </c>
      <c r="C98">
        <v>0</v>
      </c>
      <c r="D98" t="s">
        <v>23</v>
      </c>
      <c r="E98" t="s">
        <v>20</v>
      </c>
      <c r="F98">
        <v>0</v>
      </c>
      <c r="G98" s="10">
        <v>59</v>
      </c>
      <c r="H98">
        <v>5</v>
      </c>
      <c r="I98">
        <v>5</v>
      </c>
      <c r="J98" s="2" t="s">
        <v>20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>
        <v>500</v>
      </c>
      <c r="O98">
        <v>40</v>
      </c>
      <c r="P98" s="2">
        <v>0.21</v>
      </c>
      <c r="Q98" s="6">
        <v>40</v>
      </c>
      <c r="R98" s="10">
        <v>0</v>
      </c>
      <c r="S98" s="10">
        <v>0</v>
      </c>
      <c r="T98" s="10"/>
      <c r="U98" t="str">
        <f>"RUNNING_COST_"&amp;IF(PROPERTIES[[#This Row],[ENGINE_CLASS]]="MAGLEV","ELECTRIC",PROPERTIES[[#This Row],[ENGINE_CLASS]])</f>
        <v>RUNNING_COST_STEAM</v>
      </c>
      <c r="V98" s="10" t="s">
        <v>998</v>
      </c>
      <c r="W98" s="10" t="s">
        <v>999</v>
      </c>
      <c r="X98" s="10" t="str">
        <f>SUBSTITUTE(SUBSTITUTE(PROPERTIES[[#This Row],[PURCHASECOST_VALUE]], "PURCHASECOST_", ""), "_VALUE", "")</f>
        <v>STEAMENGINE</v>
      </c>
      <c r="AP98"/>
      <c r="AQ98"/>
      <c r="AR98"/>
    </row>
    <row r="99" spans="1:44">
      <c r="A99" s="2" t="s">
        <v>123</v>
      </c>
      <c r="B99">
        <v>1934</v>
      </c>
      <c r="C99">
        <v>0</v>
      </c>
      <c r="D99" t="s">
        <v>23</v>
      </c>
      <c r="E99" t="s">
        <v>20</v>
      </c>
      <c r="F99">
        <v>0</v>
      </c>
      <c r="G99" s="10">
        <v>111</v>
      </c>
      <c r="H99">
        <v>7</v>
      </c>
      <c r="I99">
        <v>7</v>
      </c>
      <c r="J99" s="2" t="s">
        <v>20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>
        <v>1868</v>
      </c>
      <c r="O99">
        <v>75</v>
      </c>
      <c r="P99" s="2">
        <v>0.11</v>
      </c>
      <c r="Q99" s="6">
        <v>40</v>
      </c>
      <c r="R99" s="10">
        <v>0</v>
      </c>
      <c r="S99" s="10">
        <v>0</v>
      </c>
      <c r="T99" s="10"/>
      <c r="U99" t="str">
        <f>"RUNNING_COST_"&amp;IF(PROPERTIES[[#This Row],[ENGINE_CLASS]]="MAGLEV","ELECTRIC",PROPERTIES[[#This Row],[ENGINE_CLASS]])</f>
        <v>RUNNING_COST_STEAM</v>
      </c>
      <c r="V99" s="10" t="s">
        <v>998</v>
      </c>
      <c r="W99" s="10" t="s">
        <v>999</v>
      </c>
      <c r="X99" s="10" t="str">
        <f>SUBSTITUTE(SUBSTITUTE(PROPERTIES[[#This Row],[PURCHASECOST_VALUE]], "PURCHASECOST_", ""), "_VALUE", "")</f>
        <v>STEAMENGINE</v>
      </c>
      <c r="AP99"/>
      <c r="AQ99"/>
      <c r="AR99"/>
    </row>
    <row r="100" spans="1:44">
      <c r="A100" s="2" t="s">
        <v>124</v>
      </c>
      <c r="B100">
        <v>1913</v>
      </c>
      <c r="C100">
        <v>0</v>
      </c>
      <c r="D100" t="s">
        <v>23</v>
      </c>
      <c r="E100" t="s">
        <v>20</v>
      </c>
      <c r="F100">
        <v>0</v>
      </c>
      <c r="G100" s="10">
        <v>128</v>
      </c>
      <c r="H100">
        <v>8</v>
      </c>
      <c r="I100">
        <v>8</v>
      </c>
      <c r="J100" s="2" t="s">
        <v>20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>
        <v>1620</v>
      </c>
      <c r="O100">
        <v>65</v>
      </c>
      <c r="P100" s="2">
        <v>0.17</v>
      </c>
      <c r="Q100" s="6">
        <v>40</v>
      </c>
      <c r="R100" s="10">
        <v>0</v>
      </c>
      <c r="S100" s="10">
        <v>4</v>
      </c>
      <c r="T100" s="10"/>
      <c r="U100" t="str">
        <f>"RUNNING_COST_"&amp;IF(PROPERTIES[[#This Row],[ENGINE_CLASS]]="MAGLEV","ELECTRIC",PROPERTIES[[#This Row],[ENGINE_CLASS]])</f>
        <v>RUNNING_COST_STEAM</v>
      </c>
      <c r="V100" s="10" t="s">
        <v>998</v>
      </c>
      <c r="W100" s="10" t="s">
        <v>999</v>
      </c>
      <c r="X100" s="10" t="str">
        <f>SUBSTITUTE(SUBSTITUTE(PROPERTIES[[#This Row],[PURCHASECOST_VALUE]], "PURCHASECOST_", ""), "_VALUE", "")</f>
        <v>STEAMENGINE</v>
      </c>
      <c r="AP100"/>
      <c r="AQ100"/>
      <c r="AR100"/>
    </row>
    <row r="101" spans="1:44">
      <c r="A101" s="2" t="s">
        <v>125</v>
      </c>
      <c r="B101">
        <v>1941</v>
      </c>
      <c r="C101">
        <v>0</v>
      </c>
      <c r="D101" t="s">
        <v>23</v>
      </c>
      <c r="E101" t="s">
        <v>20</v>
      </c>
      <c r="F101">
        <v>0</v>
      </c>
      <c r="G101" s="10">
        <v>603</v>
      </c>
      <c r="H101">
        <v>8</v>
      </c>
      <c r="I101">
        <v>6</v>
      </c>
      <c r="J101" s="2" t="s">
        <v>20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>
        <v>6290</v>
      </c>
      <c r="O101">
        <v>128</v>
      </c>
      <c r="P101" s="2">
        <v>0.1</v>
      </c>
      <c r="Q101" s="6">
        <v>40</v>
      </c>
      <c r="R101" s="10">
        <v>0</v>
      </c>
      <c r="S101" s="10">
        <v>0</v>
      </c>
      <c r="T101" s="10"/>
      <c r="U101" t="str">
        <f>"RUNNING_COST_"&amp;IF(PROPERTIES[[#This Row],[ENGINE_CLASS]]="MAGLEV","ELECTRIC",PROPERTIES[[#This Row],[ENGINE_CLASS]])</f>
        <v>RUNNING_COST_STEAM</v>
      </c>
      <c r="V101" s="10" t="s">
        <v>998</v>
      </c>
      <c r="W101" s="10" t="s">
        <v>999</v>
      </c>
      <c r="X101" s="10" t="str">
        <f>SUBSTITUTE(SUBSTITUTE(PROPERTIES[[#This Row],[PURCHASECOST_VALUE]], "PURCHASECOST_", ""), "_VALUE", "")</f>
        <v>STEAMENGINE</v>
      </c>
      <c r="AP101"/>
      <c r="AQ101"/>
      <c r="AR101"/>
    </row>
    <row r="102" spans="1:44">
      <c r="A102" s="2" t="s">
        <v>126</v>
      </c>
      <c r="B102">
        <v>1844</v>
      </c>
      <c r="C102">
        <v>0</v>
      </c>
      <c r="D102" t="s">
        <v>23</v>
      </c>
      <c r="E102" t="s">
        <v>18</v>
      </c>
      <c r="F102">
        <v>0</v>
      </c>
      <c r="G102" s="10">
        <v>31</v>
      </c>
      <c r="H102">
        <v>4</v>
      </c>
      <c r="I102">
        <v>6</v>
      </c>
      <c r="J102" s="2" t="s">
        <v>20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>
        <v>218</v>
      </c>
      <c r="O102">
        <v>40</v>
      </c>
      <c r="P102" s="2">
        <v>0.03</v>
      </c>
      <c r="Q102" s="6">
        <v>40</v>
      </c>
      <c r="R102" s="10">
        <v>0</v>
      </c>
      <c r="S102" s="10">
        <v>3</v>
      </c>
      <c r="T102" s="10"/>
      <c r="U102" t="str">
        <f>"RUNNING_COST_"&amp;IF(PROPERTIES[[#This Row],[ENGINE_CLASS]]="MAGLEV","ELECTRIC",PROPERTIES[[#This Row],[ENGINE_CLASS]])</f>
        <v>RUNNING_COST_STEAM</v>
      </c>
      <c r="V102" s="10" t="s">
        <v>998</v>
      </c>
      <c r="W102" s="10" t="s">
        <v>999</v>
      </c>
      <c r="X102" s="10" t="str">
        <f>SUBSTITUTE(SUBSTITUTE(PROPERTIES[[#This Row],[PURCHASECOST_VALUE]], "PURCHASECOST_", ""), "_VALUE", "")</f>
        <v>STEAMENGINE</v>
      </c>
      <c r="AP102"/>
      <c r="AQ102"/>
      <c r="AR102"/>
    </row>
    <row r="103" spans="1:44">
      <c r="A103" s="2" t="s">
        <v>127</v>
      </c>
      <c r="B103">
        <v>1846</v>
      </c>
      <c r="C103">
        <v>0</v>
      </c>
      <c r="D103" t="s">
        <v>23</v>
      </c>
      <c r="E103" t="s">
        <v>18</v>
      </c>
      <c r="F103">
        <v>0</v>
      </c>
      <c r="G103" s="10">
        <v>44</v>
      </c>
      <c r="H103">
        <v>8</v>
      </c>
      <c r="I103">
        <v>8</v>
      </c>
      <c r="J103" s="2" t="s">
        <v>20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>
        <v>507</v>
      </c>
      <c r="O103">
        <v>128</v>
      </c>
      <c r="P103" s="2">
        <v>0.1</v>
      </c>
      <c r="Q103" s="6">
        <v>40</v>
      </c>
      <c r="R103" s="10">
        <v>0</v>
      </c>
      <c r="S103" s="10">
        <v>4</v>
      </c>
      <c r="T103" s="10"/>
      <c r="U103" t="str">
        <f>"RUNNING_COST_"&amp;IF(PROPERTIES[[#This Row],[ENGINE_CLASS]]="MAGLEV","ELECTRIC",PROPERTIES[[#This Row],[ENGINE_CLASS]])</f>
        <v>RUNNING_COST_STEAM</v>
      </c>
      <c r="V103" s="10" t="s">
        <v>998</v>
      </c>
      <c r="W103" s="10" t="s">
        <v>999</v>
      </c>
      <c r="X103" s="10" t="str">
        <f>SUBSTITUTE(SUBSTITUTE(PROPERTIES[[#This Row],[PURCHASECOST_VALUE]], "PURCHASECOST_", ""), "_VALUE", "")</f>
        <v>STEAMENGINE</v>
      </c>
      <c r="AP103"/>
      <c r="AQ103"/>
      <c r="AR103"/>
    </row>
    <row r="104" spans="1:44">
      <c r="A104" s="2" t="s">
        <v>128</v>
      </c>
      <c r="B104">
        <v>1855</v>
      </c>
      <c r="C104">
        <v>0</v>
      </c>
      <c r="D104" t="s">
        <v>23</v>
      </c>
      <c r="E104" t="s">
        <v>18</v>
      </c>
      <c r="F104">
        <v>0</v>
      </c>
      <c r="G104" s="10">
        <v>38</v>
      </c>
      <c r="H104">
        <v>5</v>
      </c>
      <c r="I104">
        <v>8</v>
      </c>
      <c r="J104" s="2" t="s">
        <v>20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>
        <v>119</v>
      </c>
      <c r="O104">
        <v>25</v>
      </c>
      <c r="P104" s="2">
        <v>0.1</v>
      </c>
      <c r="Q104" s="6">
        <v>40</v>
      </c>
      <c r="R104" s="10">
        <v>0</v>
      </c>
      <c r="S104" s="10">
        <v>4</v>
      </c>
      <c r="T104" s="10"/>
      <c r="U104" t="str">
        <f>"RUNNING_COST_"&amp;IF(PROPERTIES[[#This Row],[ENGINE_CLASS]]="MAGLEV","ELECTRIC",PROPERTIES[[#This Row],[ENGINE_CLASS]])</f>
        <v>RUNNING_COST_STEAM</v>
      </c>
      <c r="V104" s="10" t="s">
        <v>998</v>
      </c>
      <c r="W104" s="10" t="s">
        <v>999</v>
      </c>
      <c r="X104" s="10" t="str">
        <f>SUBSTITUTE(SUBSTITUTE(PROPERTIES[[#This Row],[PURCHASECOST_VALUE]], "PURCHASECOST_", ""), "_VALUE", "")</f>
        <v>STEAMENGINE</v>
      </c>
      <c r="AP104"/>
      <c r="AQ104"/>
      <c r="AR104"/>
    </row>
    <row r="105" spans="1:44">
      <c r="A105" s="2" t="s">
        <v>129</v>
      </c>
      <c r="B105">
        <v>1863</v>
      </c>
      <c r="C105">
        <v>0</v>
      </c>
      <c r="D105" t="s">
        <v>23</v>
      </c>
      <c r="E105" t="s">
        <v>18</v>
      </c>
      <c r="F105">
        <v>0</v>
      </c>
      <c r="G105" s="10">
        <v>18</v>
      </c>
      <c r="H105">
        <v>5</v>
      </c>
      <c r="I105">
        <v>6</v>
      </c>
      <c r="J105" s="2" t="s">
        <v>20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>
        <v>126</v>
      </c>
      <c r="O105">
        <v>80</v>
      </c>
      <c r="P105" s="2">
        <v>0.14000000000000001</v>
      </c>
      <c r="Q105" s="6">
        <v>40</v>
      </c>
      <c r="R105" s="10">
        <v>0</v>
      </c>
      <c r="S105" s="10">
        <v>3</v>
      </c>
      <c r="T105" s="10"/>
      <c r="U105" t="str">
        <f>"RUNNING_COST_"&amp;IF(PROPERTIES[[#This Row],[ENGINE_CLASS]]="MAGLEV","ELECTRIC",PROPERTIES[[#This Row],[ENGINE_CLASS]])</f>
        <v>RUNNING_COST_STEAM</v>
      </c>
      <c r="V105" s="10" t="s">
        <v>998</v>
      </c>
      <c r="W105" s="10" t="s">
        <v>999</v>
      </c>
      <c r="X105" s="10" t="str">
        <f>SUBSTITUTE(SUBSTITUTE(PROPERTIES[[#This Row],[PURCHASECOST_VALUE]], "PURCHASECOST_", ""), "_VALUE", "")</f>
        <v>STEAMENGINE</v>
      </c>
      <c r="AP105"/>
      <c r="AQ105"/>
      <c r="AR105"/>
    </row>
    <row r="106" spans="1:44">
      <c r="A106" s="2" t="s">
        <v>130</v>
      </c>
      <c r="B106">
        <v>1865</v>
      </c>
      <c r="C106">
        <v>0</v>
      </c>
      <c r="D106" t="s">
        <v>23</v>
      </c>
      <c r="E106" t="s">
        <v>18</v>
      </c>
      <c r="F106">
        <v>0</v>
      </c>
      <c r="G106" s="10">
        <v>49</v>
      </c>
      <c r="H106">
        <v>5</v>
      </c>
      <c r="I106">
        <v>6</v>
      </c>
      <c r="J106" s="2" t="s">
        <v>20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>
        <v>320</v>
      </c>
      <c r="O106">
        <v>80</v>
      </c>
      <c r="P106" s="2">
        <v>7.0000000000000007E-2</v>
      </c>
      <c r="Q106" s="6">
        <v>40</v>
      </c>
      <c r="R106" s="10">
        <v>0</v>
      </c>
      <c r="S106" s="10">
        <v>3</v>
      </c>
      <c r="T106" s="10"/>
      <c r="U106" t="str">
        <f>"RUNNING_COST_"&amp;IF(PROPERTIES[[#This Row],[ENGINE_CLASS]]="MAGLEV","ELECTRIC",PROPERTIES[[#This Row],[ENGINE_CLASS]])</f>
        <v>RUNNING_COST_STEAM</v>
      </c>
      <c r="V106" s="10" t="s">
        <v>998</v>
      </c>
      <c r="W106" s="10" t="s">
        <v>999</v>
      </c>
      <c r="X106" s="10" t="str">
        <f>SUBSTITUTE(SUBSTITUTE(PROPERTIES[[#This Row],[PURCHASECOST_VALUE]], "PURCHASECOST_", ""), "_VALUE", "")</f>
        <v>STEAMENGINE</v>
      </c>
      <c r="AP106"/>
      <c r="AQ106"/>
      <c r="AR106"/>
    </row>
    <row r="107" spans="1:44">
      <c r="A107" s="2" t="s">
        <v>131</v>
      </c>
      <c r="B107">
        <v>1876</v>
      </c>
      <c r="C107">
        <v>0</v>
      </c>
      <c r="D107" t="s">
        <v>23</v>
      </c>
      <c r="E107" t="s">
        <v>18</v>
      </c>
      <c r="F107">
        <v>0</v>
      </c>
      <c r="G107" s="10">
        <v>26</v>
      </c>
      <c r="H107">
        <v>5</v>
      </c>
      <c r="I107">
        <v>5</v>
      </c>
      <c r="J107" s="2" t="s">
        <v>20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>
        <v>96</v>
      </c>
      <c r="O107">
        <v>15</v>
      </c>
      <c r="P107" s="2">
        <v>0.17</v>
      </c>
      <c r="Q107" s="6">
        <v>40</v>
      </c>
      <c r="R107" s="10">
        <v>0</v>
      </c>
      <c r="S107" s="10">
        <v>0</v>
      </c>
      <c r="T107" s="10"/>
      <c r="U107" t="str">
        <f>"RUNNING_COST_"&amp;IF(PROPERTIES[[#This Row],[ENGINE_CLASS]]="MAGLEV","ELECTRIC",PROPERTIES[[#This Row],[ENGINE_CLASS]])</f>
        <v>RUNNING_COST_STEAM</v>
      </c>
      <c r="V107" s="10" t="s">
        <v>998</v>
      </c>
      <c r="W107" s="10" t="s">
        <v>999</v>
      </c>
      <c r="X107" s="10" t="str">
        <f>SUBSTITUTE(SUBSTITUTE(PROPERTIES[[#This Row],[PURCHASECOST_VALUE]], "PURCHASECOST_", ""), "_VALUE", "")</f>
        <v>STEAMENGINE</v>
      </c>
      <c r="AP107"/>
      <c r="AQ107"/>
      <c r="AR107"/>
    </row>
    <row r="108" spans="1:44">
      <c r="A108" s="2" t="s">
        <v>132</v>
      </c>
      <c r="B108">
        <v>1881</v>
      </c>
      <c r="C108">
        <v>0</v>
      </c>
      <c r="D108" t="s">
        <v>23</v>
      </c>
      <c r="E108" t="s">
        <v>18</v>
      </c>
      <c r="F108">
        <v>0</v>
      </c>
      <c r="G108" s="10">
        <v>43</v>
      </c>
      <c r="H108">
        <v>7</v>
      </c>
      <c r="I108">
        <v>8</v>
      </c>
      <c r="J108" s="2" t="s">
        <v>20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>
        <v>650</v>
      </c>
      <c r="O108">
        <v>80</v>
      </c>
      <c r="P108" s="2">
        <v>0.23</v>
      </c>
      <c r="Q108" s="6">
        <v>40</v>
      </c>
      <c r="R108" s="10">
        <v>0</v>
      </c>
      <c r="S108" s="10">
        <v>4</v>
      </c>
      <c r="T108" s="10"/>
      <c r="U108" t="str">
        <f>"RUNNING_COST_"&amp;IF(PROPERTIES[[#This Row],[ENGINE_CLASS]]="MAGLEV","ELECTRIC",PROPERTIES[[#This Row],[ENGINE_CLASS]])</f>
        <v>RUNNING_COST_STEAM</v>
      </c>
      <c r="V108" s="10" t="s">
        <v>998</v>
      </c>
      <c r="W108" s="10" t="s">
        <v>999</v>
      </c>
      <c r="X108" s="10" t="str">
        <f>SUBSTITUTE(SUBSTITUTE(PROPERTIES[[#This Row],[PURCHASECOST_VALUE]], "PURCHASECOST_", ""), "_VALUE", "")</f>
        <v>STEAMENGINE</v>
      </c>
      <c r="AP108"/>
      <c r="AQ108"/>
      <c r="AR108"/>
    </row>
    <row r="109" spans="1:44">
      <c r="A109" s="2" t="s">
        <v>133</v>
      </c>
      <c r="B109">
        <v>1886</v>
      </c>
      <c r="C109">
        <v>0</v>
      </c>
      <c r="D109" t="s">
        <v>23</v>
      </c>
      <c r="E109" t="s">
        <v>18</v>
      </c>
      <c r="F109">
        <v>0</v>
      </c>
      <c r="G109" s="10">
        <v>52</v>
      </c>
      <c r="H109">
        <v>6</v>
      </c>
      <c r="I109">
        <v>8</v>
      </c>
      <c r="J109" s="2" t="s">
        <v>20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>
        <v>670</v>
      </c>
      <c r="O109">
        <v>104</v>
      </c>
      <c r="P109" s="2">
        <v>0.13</v>
      </c>
      <c r="Q109" s="6">
        <v>40</v>
      </c>
      <c r="R109" s="10">
        <v>0</v>
      </c>
      <c r="S109" s="10">
        <v>4</v>
      </c>
      <c r="T109" s="10"/>
      <c r="U109" t="str">
        <f>"RUNNING_COST_"&amp;IF(PROPERTIES[[#This Row],[ENGINE_CLASS]]="MAGLEV","ELECTRIC",PROPERTIES[[#This Row],[ENGINE_CLASS]])</f>
        <v>RUNNING_COST_STEAM</v>
      </c>
      <c r="V109" s="10" t="s">
        <v>998</v>
      </c>
      <c r="W109" s="10" t="s">
        <v>999</v>
      </c>
      <c r="X109" s="10" t="str">
        <f>SUBSTITUTE(SUBSTITUTE(PROPERTIES[[#This Row],[PURCHASECOST_VALUE]], "PURCHASECOST_", ""), "_VALUE", "")</f>
        <v>STEAMENGINE</v>
      </c>
      <c r="AP109"/>
      <c r="AQ109"/>
      <c r="AR109"/>
    </row>
    <row r="110" spans="1:44">
      <c r="A110" s="2" t="s">
        <v>134</v>
      </c>
      <c r="B110">
        <v>1887</v>
      </c>
      <c r="C110">
        <v>0</v>
      </c>
      <c r="D110" t="s">
        <v>23</v>
      </c>
      <c r="E110" t="s">
        <v>18</v>
      </c>
      <c r="F110">
        <v>0</v>
      </c>
      <c r="G110" s="10">
        <v>36</v>
      </c>
      <c r="H110">
        <v>5</v>
      </c>
      <c r="I110">
        <v>5</v>
      </c>
      <c r="J110" s="2" t="s">
        <v>20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>
        <v>88</v>
      </c>
      <c r="O110">
        <v>60</v>
      </c>
      <c r="P110" s="2">
        <v>0.12</v>
      </c>
      <c r="Q110" s="6">
        <v>40</v>
      </c>
      <c r="R110" s="10">
        <v>0</v>
      </c>
      <c r="S110" s="10">
        <v>0</v>
      </c>
      <c r="T110" s="10"/>
      <c r="U110" t="str">
        <f>"RUNNING_COST_"&amp;IF(PROPERTIES[[#This Row],[ENGINE_CLASS]]="MAGLEV","ELECTRIC",PROPERTIES[[#This Row],[ENGINE_CLASS]])</f>
        <v>RUNNING_COST_STEAM</v>
      </c>
      <c r="V110" s="10" t="s">
        <v>998</v>
      </c>
      <c r="W110" s="10" t="s">
        <v>999</v>
      </c>
      <c r="X110" s="10" t="str">
        <f>SUBSTITUTE(SUBSTITUTE(PROPERTIES[[#This Row],[PURCHASECOST_VALUE]], "PURCHASECOST_", ""), "_VALUE", "")</f>
        <v>STEAMENGINE</v>
      </c>
      <c r="AP110"/>
      <c r="AQ110"/>
      <c r="AR110"/>
    </row>
    <row r="111" spans="1:44">
      <c r="A111" s="2" t="s">
        <v>135</v>
      </c>
      <c r="B111">
        <v>1891</v>
      </c>
      <c r="C111">
        <v>0</v>
      </c>
      <c r="D111" t="s">
        <v>23</v>
      </c>
      <c r="E111" t="s">
        <v>18</v>
      </c>
      <c r="F111">
        <v>0</v>
      </c>
      <c r="G111" s="10">
        <v>73</v>
      </c>
      <c r="H111">
        <v>6</v>
      </c>
      <c r="I111">
        <v>6</v>
      </c>
      <c r="J111" s="2" t="s">
        <v>20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>
        <v>665</v>
      </c>
      <c r="O111">
        <v>80</v>
      </c>
      <c r="P111" s="2">
        <v>0.1</v>
      </c>
      <c r="Q111" s="6">
        <v>40</v>
      </c>
      <c r="R111" s="10">
        <v>0</v>
      </c>
      <c r="S111" s="10">
        <v>3</v>
      </c>
      <c r="T111" s="10"/>
      <c r="U111" t="str">
        <f>"RUNNING_COST_"&amp;IF(PROPERTIES[[#This Row],[ENGINE_CLASS]]="MAGLEV","ELECTRIC",PROPERTIES[[#This Row],[ENGINE_CLASS]])</f>
        <v>RUNNING_COST_STEAM</v>
      </c>
      <c r="V111" s="10" t="s">
        <v>998</v>
      </c>
      <c r="W111" s="10" t="s">
        <v>999</v>
      </c>
      <c r="X111" s="10" t="str">
        <f>SUBSTITUTE(SUBSTITUTE(PROPERTIES[[#This Row],[PURCHASECOST_VALUE]], "PURCHASECOST_", ""), "_VALUE", "")</f>
        <v>STEAMENGINE</v>
      </c>
      <c r="AP111"/>
      <c r="AQ111"/>
      <c r="AR111"/>
    </row>
    <row r="112" spans="1:44">
      <c r="A112" s="2" t="s">
        <v>136</v>
      </c>
      <c r="B112">
        <v>1892</v>
      </c>
      <c r="C112">
        <v>0</v>
      </c>
      <c r="D112" t="s">
        <v>23</v>
      </c>
      <c r="E112" t="s">
        <v>18</v>
      </c>
      <c r="F112">
        <v>0</v>
      </c>
      <c r="G112" s="10">
        <v>27</v>
      </c>
      <c r="H112">
        <v>6</v>
      </c>
      <c r="I112">
        <v>6</v>
      </c>
      <c r="J112" s="2" t="s">
        <v>20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>
        <v>206</v>
      </c>
      <c r="O112">
        <v>30</v>
      </c>
      <c r="P112" s="2">
        <v>0.14000000000000001</v>
      </c>
      <c r="Q112" s="6">
        <v>40</v>
      </c>
      <c r="R112" s="10">
        <v>0</v>
      </c>
      <c r="S112" s="10">
        <v>0</v>
      </c>
      <c r="T112" s="10"/>
      <c r="U112" t="str">
        <f>"RUNNING_COST_"&amp;IF(PROPERTIES[[#This Row],[ENGINE_CLASS]]="MAGLEV","ELECTRIC",PROPERTIES[[#This Row],[ENGINE_CLASS]])</f>
        <v>RUNNING_COST_STEAM</v>
      </c>
      <c r="V112" s="10" t="s">
        <v>998</v>
      </c>
      <c r="W112" s="10" t="s">
        <v>999</v>
      </c>
      <c r="X112" s="10" t="str">
        <f>SUBSTITUTE(SUBSTITUTE(PROPERTIES[[#This Row],[PURCHASECOST_VALUE]], "PURCHASECOST_", ""), "_VALUE", "")</f>
        <v>STEAMENGINE</v>
      </c>
      <c r="AP112"/>
      <c r="AQ112"/>
      <c r="AR112"/>
    </row>
    <row r="113" spans="1:44">
      <c r="A113" s="2" t="s">
        <v>137</v>
      </c>
      <c r="B113">
        <v>1893</v>
      </c>
      <c r="C113">
        <v>0</v>
      </c>
      <c r="D113" t="s">
        <v>23</v>
      </c>
      <c r="E113" t="s">
        <v>18</v>
      </c>
      <c r="F113">
        <v>0</v>
      </c>
      <c r="G113" s="10">
        <v>50</v>
      </c>
      <c r="H113">
        <v>7</v>
      </c>
      <c r="I113">
        <v>8</v>
      </c>
      <c r="J113" s="2" t="s">
        <v>20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>
        <v>580</v>
      </c>
      <c r="O113">
        <v>100</v>
      </c>
      <c r="P113" s="2">
        <v>0.13</v>
      </c>
      <c r="Q113" s="6">
        <v>40</v>
      </c>
      <c r="R113" s="10">
        <v>0</v>
      </c>
      <c r="S113" s="10">
        <v>4</v>
      </c>
      <c r="T113" s="10"/>
      <c r="U113" t="str">
        <f>"RUNNING_COST_"&amp;IF(PROPERTIES[[#This Row],[ENGINE_CLASS]]="MAGLEV","ELECTRIC",PROPERTIES[[#This Row],[ENGINE_CLASS]])</f>
        <v>RUNNING_COST_STEAM</v>
      </c>
      <c r="V113" s="10" t="s">
        <v>998</v>
      </c>
      <c r="W113" s="10" t="s">
        <v>999</v>
      </c>
      <c r="X113" s="10" t="str">
        <f>SUBSTITUTE(SUBSTITUTE(PROPERTIES[[#This Row],[PURCHASECOST_VALUE]], "PURCHASECOST_", ""), "_VALUE", "")</f>
        <v>STEAMENGINE</v>
      </c>
      <c r="AP113"/>
      <c r="AQ113"/>
      <c r="AR113"/>
    </row>
    <row r="114" spans="1:44">
      <c r="A114" s="2" t="s">
        <v>138</v>
      </c>
      <c r="B114">
        <v>1894</v>
      </c>
      <c r="C114">
        <v>0</v>
      </c>
      <c r="D114" t="s">
        <v>23</v>
      </c>
      <c r="E114" t="s">
        <v>18</v>
      </c>
      <c r="F114">
        <v>0</v>
      </c>
      <c r="G114" s="10">
        <v>19</v>
      </c>
      <c r="H114">
        <v>7</v>
      </c>
      <c r="I114">
        <v>7</v>
      </c>
      <c r="J114" s="2" t="s">
        <v>20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>
        <v>98</v>
      </c>
      <c r="O114">
        <v>40</v>
      </c>
      <c r="P114" s="2">
        <v>0.17</v>
      </c>
      <c r="Q114" s="6">
        <v>40</v>
      </c>
      <c r="R114" s="10">
        <v>0</v>
      </c>
      <c r="S114" s="10">
        <v>0</v>
      </c>
      <c r="T114" s="10"/>
      <c r="U114" t="str">
        <f>"RUNNING_COST_"&amp;IF(PROPERTIES[[#This Row],[ENGINE_CLASS]]="MAGLEV","ELECTRIC",PROPERTIES[[#This Row],[ENGINE_CLASS]])</f>
        <v>RUNNING_COST_STEAM</v>
      </c>
      <c r="V114" s="10" t="s">
        <v>998</v>
      </c>
      <c r="W114" s="10" t="s">
        <v>999</v>
      </c>
      <c r="X114" s="10" t="str">
        <f>SUBSTITUTE(SUBSTITUTE(PROPERTIES[[#This Row],[PURCHASECOST_VALUE]], "PURCHASECOST_", ""), "_VALUE", "")</f>
        <v>STEAMENGINE</v>
      </c>
      <c r="AP114"/>
      <c r="AQ114"/>
      <c r="AR114"/>
    </row>
    <row r="115" spans="1:44">
      <c r="A115" s="2" t="s">
        <v>139</v>
      </c>
      <c r="B115">
        <v>1895</v>
      </c>
      <c r="C115">
        <v>0</v>
      </c>
      <c r="D115" t="s">
        <v>23</v>
      </c>
      <c r="E115" t="s">
        <v>18</v>
      </c>
      <c r="F115">
        <v>0</v>
      </c>
      <c r="G115" s="10">
        <v>64</v>
      </c>
      <c r="H115">
        <v>7</v>
      </c>
      <c r="I115">
        <v>8</v>
      </c>
      <c r="J115" s="2" t="s">
        <v>20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>
        <v>1090</v>
      </c>
      <c r="O115">
        <v>128</v>
      </c>
      <c r="P115" s="2">
        <v>0.17</v>
      </c>
      <c r="Q115" s="6">
        <v>40</v>
      </c>
      <c r="R115" s="10">
        <v>0</v>
      </c>
      <c r="S115" s="10">
        <v>4</v>
      </c>
      <c r="T115" s="10"/>
      <c r="U115" t="str">
        <f>"RUNNING_COST_"&amp;IF(PROPERTIES[[#This Row],[ENGINE_CLASS]]="MAGLEV","ELECTRIC",PROPERTIES[[#This Row],[ENGINE_CLASS]])</f>
        <v>RUNNING_COST_STEAM</v>
      </c>
      <c r="V115" s="10" t="s">
        <v>998</v>
      </c>
      <c r="W115" s="10" t="s">
        <v>999</v>
      </c>
      <c r="X115" s="10" t="str">
        <f>SUBSTITUTE(SUBSTITUTE(PROPERTIES[[#This Row],[PURCHASECOST_VALUE]], "PURCHASECOST_", ""), "_VALUE", "")</f>
        <v>STEAMENGINE</v>
      </c>
      <c r="AP115"/>
      <c r="AQ115"/>
      <c r="AR115"/>
    </row>
    <row r="116" spans="1:44">
      <c r="A116" s="2" t="s">
        <v>140</v>
      </c>
      <c r="B116">
        <v>1901</v>
      </c>
      <c r="C116">
        <v>0</v>
      </c>
      <c r="D116" t="s">
        <v>23</v>
      </c>
      <c r="E116" t="s">
        <v>18</v>
      </c>
      <c r="F116">
        <v>0</v>
      </c>
      <c r="G116" s="10">
        <v>33</v>
      </c>
      <c r="H116">
        <v>4</v>
      </c>
      <c r="I116">
        <v>4</v>
      </c>
      <c r="J116" s="2" t="s">
        <v>20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>
        <v>290</v>
      </c>
      <c r="O116">
        <v>45</v>
      </c>
      <c r="P116" s="2">
        <v>0.14000000000000001</v>
      </c>
      <c r="Q116" s="6">
        <v>40</v>
      </c>
      <c r="R116" s="10">
        <v>0</v>
      </c>
      <c r="S116" s="10">
        <v>0</v>
      </c>
      <c r="T116" s="10"/>
      <c r="U116" t="str">
        <f>"RUNNING_COST_"&amp;IF(PROPERTIES[[#This Row],[ENGINE_CLASS]]="MAGLEV","ELECTRIC",PROPERTIES[[#This Row],[ENGINE_CLASS]])</f>
        <v>RUNNING_COST_STEAM</v>
      </c>
      <c r="V116" s="10" t="s">
        <v>998</v>
      </c>
      <c r="W116" s="10" t="s">
        <v>999</v>
      </c>
      <c r="X116" s="10" t="str">
        <f>SUBSTITUTE(SUBSTITUTE(PROPERTIES[[#This Row],[PURCHASECOST_VALUE]], "PURCHASECOST_", ""), "_VALUE", "")</f>
        <v>STEAMENGINE</v>
      </c>
      <c r="AP116"/>
      <c r="AQ116"/>
      <c r="AR116"/>
    </row>
    <row r="117" spans="1:44">
      <c r="A117" s="2" t="s">
        <v>141</v>
      </c>
      <c r="B117">
        <v>1910</v>
      </c>
      <c r="C117">
        <v>0</v>
      </c>
      <c r="D117" t="s">
        <v>23</v>
      </c>
      <c r="E117" t="s">
        <v>18</v>
      </c>
      <c r="F117">
        <v>0</v>
      </c>
      <c r="G117" s="10">
        <v>102</v>
      </c>
      <c r="H117">
        <v>8</v>
      </c>
      <c r="I117">
        <v>10</v>
      </c>
      <c r="J117" s="2" t="s">
        <v>20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>
        <v>1360</v>
      </c>
      <c r="O117">
        <v>65</v>
      </c>
      <c r="P117" s="2">
        <v>0.2</v>
      </c>
      <c r="Q117" s="6">
        <v>40</v>
      </c>
      <c r="R117" s="10">
        <v>0</v>
      </c>
      <c r="S117" s="10">
        <v>5</v>
      </c>
      <c r="T117" s="10"/>
      <c r="U117" t="str">
        <f>"RUNNING_COST_"&amp;IF(PROPERTIES[[#This Row],[ENGINE_CLASS]]="MAGLEV","ELECTRIC",PROPERTIES[[#This Row],[ENGINE_CLASS]])</f>
        <v>RUNNING_COST_STEAM</v>
      </c>
      <c r="V117" s="10" t="s">
        <v>998</v>
      </c>
      <c r="W117" s="10" t="s">
        <v>999</v>
      </c>
      <c r="X117" s="10" t="str">
        <f>SUBSTITUTE(SUBSTITUTE(PROPERTIES[[#This Row],[PURCHASECOST_VALUE]], "PURCHASECOST_", ""), "_VALUE", "")</f>
        <v>STEAMENGINE</v>
      </c>
      <c r="AP117"/>
      <c r="AQ117"/>
      <c r="AR117"/>
    </row>
    <row r="118" spans="1:44">
      <c r="A118" s="2" t="s">
        <v>142</v>
      </c>
      <c r="B118">
        <v>1911</v>
      </c>
      <c r="C118">
        <v>0</v>
      </c>
      <c r="D118" t="s">
        <v>23</v>
      </c>
      <c r="E118" t="s">
        <v>18</v>
      </c>
      <c r="F118">
        <v>0</v>
      </c>
      <c r="G118" s="10">
        <v>67</v>
      </c>
      <c r="H118">
        <v>6</v>
      </c>
      <c r="I118">
        <v>8</v>
      </c>
      <c r="J118" s="2" t="s">
        <v>20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>
        <v>640</v>
      </c>
      <c r="O118">
        <v>60</v>
      </c>
      <c r="P118" s="2">
        <v>0.09</v>
      </c>
      <c r="Q118" s="6">
        <v>40</v>
      </c>
      <c r="R118" s="10">
        <v>0</v>
      </c>
      <c r="S118" s="10">
        <v>4</v>
      </c>
      <c r="T118" s="10"/>
      <c r="U118" t="str">
        <f>"RUNNING_COST_"&amp;IF(PROPERTIES[[#This Row],[ENGINE_CLASS]]="MAGLEV","ELECTRIC",PROPERTIES[[#This Row],[ENGINE_CLASS]])</f>
        <v>RUNNING_COST_STEAM</v>
      </c>
      <c r="V118" s="10" t="s">
        <v>998</v>
      </c>
      <c r="W118" s="10" t="s">
        <v>999</v>
      </c>
      <c r="X118" s="10" t="str">
        <f>SUBSTITUTE(SUBSTITUTE(PROPERTIES[[#This Row],[PURCHASECOST_VALUE]], "PURCHASECOST_", ""), "_VALUE", "")</f>
        <v>STEAMENGINE</v>
      </c>
      <c r="AP118"/>
      <c r="AQ118"/>
      <c r="AR118"/>
    </row>
    <row r="119" spans="1:44">
      <c r="A119" s="2" t="s">
        <v>143</v>
      </c>
      <c r="B119">
        <v>1915</v>
      </c>
      <c r="C119">
        <v>0</v>
      </c>
      <c r="D119" t="s">
        <v>23</v>
      </c>
      <c r="E119" t="s">
        <v>18</v>
      </c>
      <c r="F119">
        <v>0</v>
      </c>
      <c r="G119" s="10">
        <v>63</v>
      </c>
      <c r="H119">
        <v>6</v>
      </c>
      <c r="I119">
        <v>6</v>
      </c>
      <c r="J119" s="2" t="s">
        <v>20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>
        <v>680</v>
      </c>
      <c r="O119">
        <v>90</v>
      </c>
      <c r="P119" s="2">
        <v>0.14000000000000001</v>
      </c>
      <c r="Q119" s="6">
        <v>40</v>
      </c>
      <c r="R119" s="10">
        <v>0</v>
      </c>
      <c r="S119" s="10">
        <v>0</v>
      </c>
      <c r="T119" s="10"/>
      <c r="U119" t="str">
        <f>"RUNNING_COST_"&amp;IF(PROPERTIES[[#This Row],[ENGINE_CLASS]]="MAGLEV","ELECTRIC",PROPERTIES[[#This Row],[ENGINE_CLASS]])</f>
        <v>RUNNING_COST_STEAM</v>
      </c>
      <c r="V119" s="10" t="s">
        <v>998</v>
      </c>
      <c r="W119" s="10" t="s">
        <v>999</v>
      </c>
      <c r="X119" s="10" t="str">
        <f>SUBSTITUTE(SUBSTITUTE(PROPERTIES[[#This Row],[PURCHASECOST_VALUE]], "PURCHASECOST_", ""), "_VALUE", "")</f>
        <v>STEAMENGINE</v>
      </c>
      <c r="AP119"/>
      <c r="AQ119"/>
      <c r="AR119"/>
    </row>
    <row r="120" spans="1:44">
      <c r="A120" s="2" t="s">
        <v>144</v>
      </c>
      <c r="B120">
        <v>1918</v>
      </c>
      <c r="C120">
        <v>0</v>
      </c>
      <c r="D120" t="s">
        <v>23</v>
      </c>
      <c r="E120" t="s">
        <v>18</v>
      </c>
      <c r="F120">
        <v>0</v>
      </c>
      <c r="G120" s="10">
        <v>91</v>
      </c>
      <c r="H120">
        <v>8</v>
      </c>
      <c r="I120">
        <v>12</v>
      </c>
      <c r="J120" s="2" t="s">
        <v>20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>
        <v>1800</v>
      </c>
      <c r="O120">
        <v>120</v>
      </c>
      <c r="P120" s="2">
        <v>0.23</v>
      </c>
      <c r="Q120" s="6">
        <v>40</v>
      </c>
      <c r="R120" s="10">
        <v>0</v>
      </c>
      <c r="S120" s="10">
        <v>6</v>
      </c>
      <c r="T120" s="10"/>
      <c r="U120" t="str">
        <f>"RUNNING_COST_"&amp;IF(PROPERTIES[[#This Row],[ENGINE_CLASS]]="MAGLEV","ELECTRIC",PROPERTIES[[#This Row],[ENGINE_CLASS]])</f>
        <v>RUNNING_COST_STEAM</v>
      </c>
      <c r="V120" s="10" t="s">
        <v>998</v>
      </c>
      <c r="W120" s="10" t="s">
        <v>999</v>
      </c>
      <c r="X120" s="10" t="str">
        <f>SUBSTITUTE(SUBSTITUTE(PROPERTIES[[#This Row],[PURCHASECOST_VALUE]], "PURCHASECOST_", ""), "_VALUE", "")</f>
        <v>STEAMENGINE</v>
      </c>
      <c r="AP120"/>
      <c r="AQ120"/>
      <c r="AR120"/>
    </row>
    <row r="121" spans="1:44">
      <c r="A121" s="2" t="s">
        <v>145</v>
      </c>
      <c r="B121">
        <v>1921</v>
      </c>
      <c r="C121">
        <v>0</v>
      </c>
      <c r="D121" t="s">
        <v>23</v>
      </c>
      <c r="E121" t="s">
        <v>18</v>
      </c>
      <c r="F121">
        <v>0</v>
      </c>
      <c r="G121" s="10">
        <v>133</v>
      </c>
      <c r="H121">
        <v>8</v>
      </c>
      <c r="I121">
        <v>8</v>
      </c>
      <c r="J121" s="2" t="s">
        <v>20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>
        <v>2000</v>
      </c>
      <c r="O121">
        <v>110</v>
      </c>
      <c r="P121" s="2">
        <v>0.12</v>
      </c>
      <c r="Q121" s="6">
        <v>40</v>
      </c>
      <c r="R121" s="10">
        <v>0</v>
      </c>
      <c r="S121" s="10">
        <v>4</v>
      </c>
      <c r="T121" s="10"/>
      <c r="U121" t="str">
        <f>"RUNNING_COST_"&amp;IF(PROPERTIES[[#This Row],[ENGINE_CLASS]]="MAGLEV","ELECTRIC",PROPERTIES[[#This Row],[ENGINE_CLASS]])</f>
        <v>RUNNING_COST_STEAM</v>
      </c>
      <c r="V121" s="10" t="s">
        <v>998</v>
      </c>
      <c r="W121" s="10" t="s">
        <v>999</v>
      </c>
      <c r="X121" s="10" t="str">
        <f>SUBSTITUTE(SUBSTITUTE(PROPERTIES[[#This Row],[PURCHASECOST_VALUE]], "PURCHASECOST_", ""), "_VALUE", "")</f>
        <v>STEAMENGINE</v>
      </c>
      <c r="AP121"/>
      <c r="AQ121"/>
      <c r="AR121"/>
    </row>
    <row r="122" spans="1:44">
      <c r="A122" s="2" t="s">
        <v>146</v>
      </c>
      <c r="B122">
        <v>1922</v>
      </c>
      <c r="C122">
        <v>0</v>
      </c>
      <c r="D122" t="s">
        <v>23</v>
      </c>
      <c r="E122" t="s">
        <v>18</v>
      </c>
      <c r="F122">
        <v>0</v>
      </c>
      <c r="G122" s="10">
        <v>84</v>
      </c>
      <c r="H122">
        <v>7</v>
      </c>
      <c r="I122">
        <v>8</v>
      </c>
      <c r="J122" s="2" t="s">
        <v>20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>
        <v>1160</v>
      </c>
      <c r="O122">
        <v>120</v>
      </c>
      <c r="P122" s="2">
        <v>0.12</v>
      </c>
      <c r="Q122" s="6">
        <v>40</v>
      </c>
      <c r="R122" s="10">
        <v>0</v>
      </c>
      <c r="S122" s="10">
        <v>4</v>
      </c>
      <c r="T122" s="10"/>
      <c r="U122" t="str">
        <f>"RUNNING_COST_"&amp;IF(PROPERTIES[[#This Row],[ENGINE_CLASS]]="MAGLEV","ELECTRIC",PROPERTIES[[#This Row],[ENGINE_CLASS]])</f>
        <v>RUNNING_COST_STEAM</v>
      </c>
      <c r="V122" s="10" t="s">
        <v>998</v>
      </c>
      <c r="W122" s="10" t="s">
        <v>999</v>
      </c>
      <c r="X122" s="10" t="str">
        <f>SUBSTITUTE(SUBSTITUTE(PROPERTIES[[#This Row],[PURCHASECOST_VALUE]], "PURCHASECOST_", ""), "_VALUE", "")</f>
        <v>STEAMENGINE</v>
      </c>
      <c r="AP122"/>
      <c r="AQ122"/>
      <c r="AR122"/>
    </row>
    <row r="123" spans="1:44">
      <c r="A123" s="2" t="s">
        <v>147</v>
      </c>
      <c r="B123">
        <v>1922</v>
      </c>
      <c r="C123">
        <v>0</v>
      </c>
      <c r="D123" t="s">
        <v>23</v>
      </c>
      <c r="E123" t="s">
        <v>18</v>
      </c>
      <c r="F123">
        <v>0</v>
      </c>
      <c r="G123" s="10">
        <v>64</v>
      </c>
      <c r="H123">
        <v>6</v>
      </c>
      <c r="I123">
        <v>8</v>
      </c>
      <c r="J123" s="2" t="s">
        <v>20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>
        <v>1622</v>
      </c>
      <c r="O123">
        <v>104</v>
      </c>
      <c r="P123" s="2">
        <v>0.21</v>
      </c>
      <c r="Q123" s="6">
        <v>40</v>
      </c>
      <c r="R123" s="10">
        <v>0</v>
      </c>
      <c r="S123" s="10">
        <v>4</v>
      </c>
      <c r="T123" s="10"/>
      <c r="U123" t="str">
        <f>"RUNNING_COST_"&amp;IF(PROPERTIES[[#This Row],[ENGINE_CLASS]]="MAGLEV","ELECTRIC",PROPERTIES[[#This Row],[ENGINE_CLASS]])</f>
        <v>RUNNING_COST_STEAM</v>
      </c>
      <c r="V123" s="10" t="s">
        <v>998</v>
      </c>
      <c r="W123" s="10" t="s">
        <v>999</v>
      </c>
      <c r="X123" s="10" t="str">
        <f>SUBSTITUTE(SUBSTITUTE(PROPERTIES[[#This Row],[PURCHASECOST_VALUE]], "PURCHASECOST_", ""), "_VALUE", "")</f>
        <v>STEAMENGINE</v>
      </c>
      <c r="AP123"/>
      <c r="AQ123"/>
      <c r="AR123"/>
    </row>
    <row r="124" spans="1:44">
      <c r="A124" s="2" t="s">
        <v>148</v>
      </c>
      <c r="B124">
        <v>1923</v>
      </c>
      <c r="C124">
        <v>0</v>
      </c>
      <c r="D124" t="s">
        <v>23</v>
      </c>
      <c r="E124" t="s">
        <v>18</v>
      </c>
      <c r="F124">
        <v>0</v>
      </c>
      <c r="G124" s="10">
        <v>273</v>
      </c>
      <c r="H124">
        <v>8</v>
      </c>
      <c r="I124">
        <v>12</v>
      </c>
      <c r="J124" s="2" t="s">
        <v>20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>
        <v>2250</v>
      </c>
      <c r="O124">
        <v>130</v>
      </c>
      <c r="P124" s="2">
        <v>0.08</v>
      </c>
      <c r="Q124" s="6">
        <v>40</v>
      </c>
      <c r="R124" s="10">
        <v>0</v>
      </c>
      <c r="S124" s="10">
        <v>6</v>
      </c>
      <c r="T124" s="10"/>
      <c r="U124" t="str">
        <f>"RUNNING_COST_"&amp;IF(PROPERTIES[[#This Row],[ENGINE_CLASS]]="MAGLEV","ELECTRIC",PROPERTIES[[#This Row],[ENGINE_CLASS]])</f>
        <v>RUNNING_COST_STEAM</v>
      </c>
      <c r="V124" s="10" t="s">
        <v>998</v>
      </c>
      <c r="W124" s="10" t="s">
        <v>999</v>
      </c>
      <c r="X124" s="10" t="str">
        <f>SUBSTITUTE(SUBSTITUTE(PROPERTIES[[#This Row],[PURCHASECOST_VALUE]], "PURCHASECOST_", ""), "_VALUE", "")</f>
        <v>STEAMENGINE</v>
      </c>
      <c r="AP124"/>
      <c r="AQ124"/>
      <c r="AR124"/>
    </row>
    <row r="125" spans="1:44">
      <c r="A125" s="2" t="s">
        <v>149</v>
      </c>
      <c r="B125">
        <v>1927</v>
      </c>
      <c r="C125">
        <v>0</v>
      </c>
      <c r="D125" t="s">
        <v>23</v>
      </c>
      <c r="E125" t="s">
        <v>18</v>
      </c>
      <c r="F125">
        <v>0</v>
      </c>
      <c r="G125" s="10">
        <v>142</v>
      </c>
      <c r="H125">
        <v>8</v>
      </c>
      <c r="I125">
        <v>14</v>
      </c>
      <c r="J125" s="2" t="s">
        <v>20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>
        <v>1510</v>
      </c>
      <c r="O125">
        <v>116</v>
      </c>
      <c r="P125" s="2">
        <v>0.08</v>
      </c>
      <c r="Q125" s="6">
        <v>40</v>
      </c>
      <c r="R125" s="10">
        <v>0</v>
      </c>
      <c r="S125" s="10">
        <v>7</v>
      </c>
      <c r="T125" s="10"/>
      <c r="U125" t="str">
        <f>"RUNNING_COST_"&amp;IF(PROPERTIES[[#This Row],[ENGINE_CLASS]]="MAGLEV","ELECTRIC",PROPERTIES[[#This Row],[ENGINE_CLASS]])</f>
        <v>RUNNING_COST_STEAM</v>
      </c>
      <c r="V125" s="10" t="s">
        <v>998</v>
      </c>
      <c r="W125" s="10" t="s">
        <v>999</v>
      </c>
      <c r="X125" s="10" t="str">
        <f>SUBSTITUTE(SUBSTITUTE(PROPERTIES[[#This Row],[PURCHASECOST_VALUE]], "PURCHASECOST_", ""), "_VALUE", "")</f>
        <v>STEAMENGINE</v>
      </c>
      <c r="AP125"/>
      <c r="AQ125"/>
      <c r="AR125"/>
    </row>
    <row r="126" spans="1:44">
      <c r="A126" s="2" t="s">
        <v>150</v>
      </c>
      <c r="B126">
        <v>1940</v>
      </c>
      <c r="C126">
        <v>0</v>
      </c>
      <c r="D126" t="s">
        <v>23</v>
      </c>
      <c r="E126" t="s">
        <v>18</v>
      </c>
      <c r="F126">
        <v>0</v>
      </c>
      <c r="G126" s="10">
        <v>100</v>
      </c>
      <c r="H126">
        <v>8</v>
      </c>
      <c r="I126">
        <v>12</v>
      </c>
      <c r="J126" s="2" t="s">
        <v>20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>
        <v>1640</v>
      </c>
      <c r="O126">
        <v>140</v>
      </c>
      <c r="P126" s="2">
        <v>0.14000000000000001</v>
      </c>
      <c r="Q126" s="6">
        <v>40</v>
      </c>
      <c r="R126" s="10">
        <v>0</v>
      </c>
      <c r="S126" s="10">
        <v>6</v>
      </c>
      <c r="T126" s="10"/>
      <c r="U126" t="str">
        <f>"RUNNING_COST_"&amp;IF(PROPERTIES[[#This Row],[ENGINE_CLASS]]="MAGLEV","ELECTRIC",PROPERTIES[[#This Row],[ENGINE_CLASS]])</f>
        <v>RUNNING_COST_STEAM</v>
      </c>
      <c r="V126" s="10" t="s">
        <v>998</v>
      </c>
      <c r="W126" s="10" t="s">
        <v>999</v>
      </c>
      <c r="X126" s="10" t="str">
        <f>SUBSTITUTE(SUBSTITUTE(PROPERTIES[[#This Row],[PURCHASECOST_VALUE]], "PURCHASECOST_", ""), "_VALUE", "")</f>
        <v>STEAMENGINE</v>
      </c>
      <c r="AP126"/>
      <c r="AQ126"/>
      <c r="AR126"/>
    </row>
    <row r="127" spans="1:44">
      <c r="A127" s="2" t="s">
        <v>151</v>
      </c>
      <c r="B127">
        <v>1942</v>
      </c>
      <c r="C127">
        <v>0</v>
      </c>
      <c r="D127" t="s">
        <v>23</v>
      </c>
      <c r="E127" t="s">
        <v>18</v>
      </c>
      <c r="F127">
        <v>0</v>
      </c>
      <c r="G127" s="10">
        <v>46</v>
      </c>
      <c r="H127">
        <v>6</v>
      </c>
      <c r="I127">
        <v>6</v>
      </c>
      <c r="J127" s="2" t="s">
        <v>20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>
        <v>560</v>
      </c>
      <c r="O127">
        <v>65</v>
      </c>
      <c r="P127" s="2">
        <v>0.21</v>
      </c>
      <c r="Q127" s="6">
        <v>40</v>
      </c>
      <c r="R127" s="10">
        <v>0</v>
      </c>
      <c r="S127" s="10">
        <v>0</v>
      </c>
      <c r="T127" s="10"/>
      <c r="U127" t="str">
        <f>"RUNNING_COST_"&amp;IF(PROPERTIES[[#This Row],[ENGINE_CLASS]]="MAGLEV","ELECTRIC",PROPERTIES[[#This Row],[ENGINE_CLASS]])</f>
        <v>RUNNING_COST_STEAM</v>
      </c>
      <c r="V127" s="10" t="s">
        <v>998</v>
      </c>
      <c r="W127" s="10" t="s">
        <v>999</v>
      </c>
      <c r="X127" s="10" t="str">
        <f>SUBSTITUTE(SUBSTITUTE(PROPERTIES[[#This Row],[PURCHASECOST_VALUE]], "PURCHASECOST_", ""), "_VALUE", "")</f>
        <v>STEAMENGINE</v>
      </c>
      <c r="AP127"/>
      <c r="AQ127"/>
      <c r="AR127"/>
    </row>
    <row r="128" spans="1:44">
      <c r="A128" s="2" t="s">
        <v>152</v>
      </c>
      <c r="B128">
        <v>1949</v>
      </c>
      <c r="C128">
        <v>0</v>
      </c>
      <c r="D128" t="s">
        <v>23</v>
      </c>
      <c r="E128" t="s">
        <v>18</v>
      </c>
      <c r="F128">
        <v>0</v>
      </c>
      <c r="G128" s="10">
        <v>42</v>
      </c>
      <c r="H128">
        <v>6</v>
      </c>
      <c r="I128">
        <v>6</v>
      </c>
      <c r="J128" s="2" t="s">
        <v>20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>
        <v>690</v>
      </c>
      <c r="O128">
        <v>80</v>
      </c>
      <c r="P128" s="2">
        <v>0.2</v>
      </c>
      <c r="Q128" s="6">
        <v>40</v>
      </c>
      <c r="R128" s="10">
        <v>0</v>
      </c>
      <c r="S128" s="10">
        <v>0</v>
      </c>
      <c r="T128" s="10"/>
      <c r="U128" t="str">
        <f>"RUNNING_COST_"&amp;IF(PROPERTIES[[#This Row],[ENGINE_CLASS]]="MAGLEV","ELECTRIC",PROPERTIES[[#This Row],[ENGINE_CLASS]])</f>
        <v>RUNNING_COST_STEAM</v>
      </c>
      <c r="V128" s="10" t="s">
        <v>998</v>
      </c>
      <c r="W128" s="10" t="s">
        <v>999</v>
      </c>
      <c r="X128" s="10" t="str">
        <f>SUBSTITUTE(SUBSTITUTE(PROPERTIES[[#This Row],[PURCHASECOST_VALUE]], "PURCHASECOST_", ""), "_VALUE", "")</f>
        <v>STEAMENGINE</v>
      </c>
      <c r="AP128"/>
      <c r="AQ128"/>
      <c r="AR128"/>
    </row>
    <row r="129" spans="1:44">
      <c r="A129" s="2" t="s">
        <v>153</v>
      </c>
      <c r="B129">
        <v>1951</v>
      </c>
      <c r="C129">
        <v>0</v>
      </c>
      <c r="D129" t="s">
        <v>23</v>
      </c>
      <c r="E129" t="s">
        <v>18</v>
      </c>
      <c r="F129">
        <v>0</v>
      </c>
      <c r="G129" s="10">
        <v>190</v>
      </c>
      <c r="H129">
        <v>8</v>
      </c>
      <c r="I129">
        <v>10</v>
      </c>
      <c r="J129" s="2" t="s">
        <v>20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>
        <v>2300</v>
      </c>
      <c r="O129">
        <v>120</v>
      </c>
      <c r="P129" s="2">
        <v>7.0000000000000007E-2</v>
      </c>
      <c r="Q129" s="6">
        <v>40</v>
      </c>
      <c r="R129" s="10">
        <v>0</v>
      </c>
      <c r="S129" s="10">
        <v>5</v>
      </c>
      <c r="T129" s="10"/>
      <c r="U129" t="str">
        <f>"RUNNING_COST_"&amp;IF(PROPERTIES[[#This Row],[ENGINE_CLASS]]="MAGLEV","ELECTRIC",PROPERTIES[[#This Row],[ENGINE_CLASS]])</f>
        <v>RUNNING_COST_STEAM</v>
      </c>
      <c r="V129" s="10" t="s">
        <v>998</v>
      </c>
      <c r="W129" s="10" t="s">
        <v>999</v>
      </c>
      <c r="X129" s="10" t="str">
        <f>SUBSTITUTE(SUBSTITUTE(PROPERTIES[[#This Row],[PURCHASECOST_VALUE]], "PURCHASECOST_", ""), "_VALUE", "")</f>
        <v>STEAMENGINE</v>
      </c>
      <c r="AP129"/>
      <c r="AQ129"/>
      <c r="AR129"/>
    </row>
    <row r="130" spans="1:44">
      <c r="A130" s="2" t="s">
        <v>154</v>
      </c>
      <c r="B130">
        <v>1952</v>
      </c>
      <c r="C130">
        <v>0</v>
      </c>
      <c r="D130" t="s">
        <v>23</v>
      </c>
      <c r="E130" t="s">
        <v>18</v>
      </c>
      <c r="F130">
        <v>0</v>
      </c>
      <c r="G130" s="10">
        <v>42</v>
      </c>
      <c r="H130">
        <v>7</v>
      </c>
      <c r="I130">
        <v>7</v>
      </c>
      <c r="J130" s="2" t="s">
        <v>20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>
        <v>600</v>
      </c>
      <c r="O130">
        <v>30</v>
      </c>
      <c r="P130" s="2">
        <v>0.2</v>
      </c>
      <c r="Q130" s="6">
        <v>40</v>
      </c>
      <c r="R130" s="10">
        <v>0</v>
      </c>
      <c r="S130" s="10">
        <v>0</v>
      </c>
      <c r="T130" s="10"/>
      <c r="U130" t="str">
        <f>"RUNNING_COST_"&amp;IF(PROPERTIES[[#This Row],[ENGINE_CLASS]]="MAGLEV","ELECTRIC",PROPERTIES[[#This Row],[ENGINE_CLASS]])</f>
        <v>RUNNING_COST_STEAM</v>
      </c>
      <c r="V130" s="10" t="s">
        <v>998</v>
      </c>
      <c r="W130" s="10" t="s">
        <v>999</v>
      </c>
      <c r="X130" s="10" t="str">
        <f>SUBSTITUTE(SUBSTITUTE(PROPERTIES[[#This Row],[PURCHASECOST_VALUE]], "PURCHASECOST_", ""), "_VALUE", "")</f>
        <v>STEAMENGINE</v>
      </c>
      <c r="AP130"/>
      <c r="AQ130"/>
      <c r="AR130"/>
    </row>
    <row r="131" spans="1:44">
      <c r="A131" s="2" t="s">
        <v>155</v>
      </c>
      <c r="B131">
        <v>1961</v>
      </c>
      <c r="C131">
        <v>0</v>
      </c>
      <c r="D131" t="s">
        <v>23</v>
      </c>
      <c r="E131" t="s">
        <v>18</v>
      </c>
      <c r="F131">
        <v>0</v>
      </c>
      <c r="G131" s="10">
        <v>172</v>
      </c>
      <c r="H131">
        <v>8</v>
      </c>
      <c r="I131">
        <v>12</v>
      </c>
      <c r="J131" s="2" t="s">
        <v>20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>
        <v>2120</v>
      </c>
      <c r="O131">
        <v>180</v>
      </c>
      <c r="P131" s="2">
        <v>0.06</v>
      </c>
      <c r="Q131" s="6">
        <v>40</v>
      </c>
      <c r="R131" s="10">
        <v>0</v>
      </c>
      <c r="S131" s="10">
        <v>6</v>
      </c>
      <c r="T131" s="10"/>
      <c r="U131" t="str">
        <f>"RUNNING_COST_"&amp;IF(PROPERTIES[[#This Row],[ENGINE_CLASS]]="MAGLEV","ELECTRIC",PROPERTIES[[#This Row],[ENGINE_CLASS]])</f>
        <v>RUNNING_COST_STEAM</v>
      </c>
      <c r="V131" s="10" t="s">
        <v>998</v>
      </c>
      <c r="W131" s="10" t="s">
        <v>999</v>
      </c>
      <c r="X131" s="10" t="str">
        <f>SUBSTITUTE(SUBSTITUTE(PROPERTIES[[#This Row],[PURCHASECOST_VALUE]], "PURCHASECOST_", ""), "_VALUE", "")</f>
        <v>STEAMENGINE</v>
      </c>
      <c r="AP131"/>
      <c r="AQ131"/>
      <c r="AR131"/>
    </row>
    <row r="132" spans="1:44">
      <c r="A132" s="2" t="s">
        <v>156</v>
      </c>
      <c r="B132">
        <v>1923</v>
      </c>
      <c r="C132">
        <v>0</v>
      </c>
      <c r="D132" t="s">
        <v>23</v>
      </c>
      <c r="E132" t="s">
        <v>20</v>
      </c>
      <c r="F132">
        <v>0</v>
      </c>
      <c r="G132" s="10">
        <v>73</v>
      </c>
      <c r="H132">
        <v>6</v>
      </c>
      <c r="I132">
        <v>6</v>
      </c>
      <c r="J132" s="2" t="s">
        <v>24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>
        <v>1000</v>
      </c>
      <c r="O132">
        <v>97</v>
      </c>
      <c r="P132" s="2">
        <v>0.14000000000000001</v>
      </c>
      <c r="Q132" s="6">
        <v>40</v>
      </c>
      <c r="R132" s="10">
        <v>0</v>
      </c>
      <c r="S132" s="10">
        <v>0</v>
      </c>
      <c r="T132" s="10"/>
      <c r="U132" t="str">
        <f>"RUNNING_COST_"&amp;IF(PROPERTIES[[#This Row],[ENGINE_CLASS]]="MAGLEV","ELECTRIC",PROPERTIES[[#This Row],[ENGINE_CLASS]])</f>
        <v>RUNNING_COST_STEAM</v>
      </c>
      <c r="V132" s="10" t="s">
        <v>998</v>
      </c>
      <c r="W132" s="10" t="s">
        <v>999</v>
      </c>
      <c r="X132" s="10" t="str">
        <f>SUBSTITUTE(SUBSTITUTE(PROPERTIES[[#This Row],[PURCHASECOST_VALUE]], "PURCHASECOST_", ""), "_VALUE", "")</f>
        <v>STEAMENGINE</v>
      </c>
      <c r="AP132"/>
      <c r="AQ132"/>
      <c r="AR132"/>
    </row>
    <row r="133" spans="1:44">
      <c r="A133" s="2" t="s">
        <v>157</v>
      </c>
      <c r="B133">
        <v>1929</v>
      </c>
      <c r="C133">
        <v>0</v>
      </c>
      <c r="D133" t="s">
        <v>23</v>
      </c>
      <c r="E133" t="s">
        <v>20</v>
      </c>
      <c r="F133">
        <v>0</v>
      </c>
      <c r="G133" s="10">
        <v>231</v>
      </c>
      <c r="H133">
        <v>8</v>
      </c>
      <c r="I133">
        <v>10</v>
      </c>
      <c r="J133" s="2" t="s">
        <v>24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>
        <v>1950</v>
      </c>
      <c r="O133">
        <v>80</v>
      </c>
      <c r="P133" s="2">
        <v>0.12</v>
      </c>
      <c r="Q133" s="6">
        <v>40</v>
      </c>
      <c r="R133" s="10">
        <v>0</v>
      </c>
      <c r="S133" s="10">
        <v>5</v>
      </c>
      <c r="T133" s="10"/>
      <c r="U133" t="str">
        <f>"RUNNING_COST_"&amp;IF(PROPERTIES[[#This Row],[ENGINE_CLASS]]="MAGLEV","ELECTRIC",PROPERTIES[[#This Row],[ENGINE_CLASS]])</f>
        <v>RUNNING_COST_STEAM</v>
      </c>
      <c r="V133" s="10" t="s">
        <v>998</v>
      </c>
      <c r="W133" s="10" t="s">
        <v>999</v>
      </c>
      <c r="X133" s="10" t="str">
        <f>SUBSTITUTE(SUBSTITUTE(PROPERTIES[[#This Row],[PURCHASECOST_VALUE]], "PURCHASECOST_", ""), "_VALUE", "")</f>
        <v>STEAMENGINE</v>
      </c>
      <c r="AP133"/>
      <c r="AQ133"/>
      <c r="AR133"/>
    </row>
    <row r="134" spans="1:44">
      <c r="A134" s="2" t="s">
        <v>158</v>
      </c>
      <c r="B134">
        <v>1943</v>
      </c>
      <c r="C134">
        <v>0</v>
      </c>
      <c r="D134" t="s">
        <v>23</v>
      </c>
      <c r="E134" t="s">
        <v>20</v>
      </c>
      <c r="F134">
        <v>0</v>
      </c>
      <c r="G134" s="10">
        <v>204</v>
      </c>
      <c r="H134">
        <v>8</v>
      </c>
      <c r="I134">
        <v>10</v>
      </c>
      <c r="J134" s="2" t="s">
        <v>24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>
        <v>2600</v>
      </c>
      <c r="O134">
        <v>126</v>
      </c>
      <c r="P134" s="2">
        <v>7.0000000000000007E-2</v>
      </c>
      <c r="Q134" s="6">
        <v>40</v>
      </c>
      <c r="R134" s="10">
        <v>0</v>
      </c>
      <c r="S134" s="10">
        <v>5</v>
      </c>
      <c r="T134" s="10"/>
      <c r="U134" t="str">
        <f>"RUNNING_COST_"&amp;IF(PROPERTIES[[#This Row],[ENGINE_CLASS]]="MAGLEV","ELECTRIC",PROPERTIES[[#This Row],[ENGINE_CLASS]])</f>
        <v>RUNNING_COST_STEAM</v>
      </c>
      <c r="V134" s="10" t="s">
        <v>998</v>
      </c>
      <c r="W134" s="10" t="s">
        <v>999</v>
      </c>
      <c r="X134" s="10" t="str">
        <f>SUBSTITUTE(SUBSTITUTE(PROPERTIES[[#This Row],[PURCHASECOST_VALUE]], "PURCHASECOST_", ""), "_VALUE", "")</f>
        <v>STEAMENGINE</v>
      </c>
      <c r="AP134"/>
      <c r="AQ134"/>
      <c r="AR134"/>
    </row>
    <row r="135" spans="1:44">
      <c r="A135" s="2" t="s">
        <v>159</v>
      </c>
      <c r="B135">
        <v>1952</v>
      </c>
      <c r="C135">
        <v>0</v>
      </c>
      <c r="D135" t="s">
        <v>23</v>
      </c>
      <c r="E135" t="s">
        <v>20</v>
      </c>
      <c r="F135">
        <v>0</v>
      </c>
      <c r="G135" s="10">
        <v>255</v>
      </c>
      <c r="H135">
        <v>4</v>
      </c>
      <c r="I135">
        <v>12</v>
      </c>
      <c r="J135" s="2" t="s">
        <v>24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>
        <v>2980</v>
      </c>
      <c r="O135">
        <v>95</v>
      </c>
      <c r="P135" s="2">
        <v>0.11</v>
      </c>
      <c r="Q135" s="6">
        <v>40</v>
      </c>
      <c r="R135" s="10">
        <v>0</v>
      </c>
      <c r="S135" s="10">
        <v>0</v>
      </c>
      <c r="T135" s="10"/>
      <c r="U135" t="str">
        <f>"RUNNING_COST_"&amp;IF(PROPERTIES[[#This Row],[ENGINE_CLASS]]="MAGLEV","ELECTRIC",PROPERTIES[[#This Row],[ENGINE_CLASS]])</f>
        <v>RUNNING_COST_STEAM</v>
      </c>
      <c r="V135" s="10" t="s">
        <v>998</v>
      </c>
      <c r="W135" s="10" t="s">
        <v>999</v>
      </c>
      <c r="X135" s="10" t="str">
        <f>SUBSTITUTE(SUBSTITUTE(PROPERTIES[[#This Row],[PURCHASECOST_VALUE]], "PURCHASECOST_", ""), "_VALUE", "")</f>
        <v>STEAMENGINE</v>
      </c>
      <c r="AP135"/>
      <c r="AQ135"/>
      <c r="AR135"/>
    </row>
    <row r="136" spans="1:44">
      <c r="A136" s="2" t="s">
        <v>160</v>
      </c>
      <c r="B136">
        <v>1910</v>
      </c>
      <c r="C136">
        <v>0</v>
      </c>
      <c r="D136" t="s">
        <v>23</v>
      </c>
      <c r="E136" t="s">
        <v>20</v>
      </c>
      <c r="F136">
        <v>0</v>
      </c>
      <c r="G136" s="10">
        <v>84</v>
      </c>
      <c r="H136">
        <v>5</v>
      </c>
      <c r="I136">
        <v>6</v>
      </c>
      <c r="J136" s="2" t="s">
        <v>24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>
        <v>700</v>
      </c>
      <c r="O136">
        <v>80</v>
      </c>
      <c r="P136" s="2">
        <v>0.1</v>
      </c>
      <c r="Q136" s="6">
        <v>40</v>
      </c>
      <c r="R136" s="10">
        <v>0</v>
      </c>
      <c r="S136" s="10">
        <v>3</v>
      </c>
      <c r="T136" s="10"/>
      <c r="U136" t="str">
        <f>"RUNNING_COST_"&amp;IF(PROPERTIES[[#This Row],[ENGINE_CLASS]]="MAGLEV","ELECTRIC",PROPERTIES[[#This Row],[ENGINE_CLASS]])</f>
        <v>RUNNING_COST_STEAM</v>
      </c>
      <c r="V136" s="10" t="s">
        <v>998</v>
      </c>
      <c r="W136" s="10" t="s">
        <v>999</v>
      </c>
      <c r="X136" s="10" t="str">
        <f>SUBSTITUTE(SUBSTITUTE(PROPERTIES[[#This Row],[PURCHASECOST_VALUE]], "PURCHASECOST_", ""), "_VALUE", "")</f>
        <v>STEAMENGINE</v>
      </c>
      <c r="AP136"/>
      <c r="AQ136"/>
      <c r="AR136"/>
    </row>
    <row r="137" spans="1:44">
      <c r="A137" s="2" t="s">
        <v>161</v>
      </c>
      <c r="B137">
        <v>1930</v>
      </c>
      <c r="C137">
        <v>0</v>
      </c>
      <c r="D137" t="s">
        <v>23</v>
      </c>
      <c r="E137" t="s">
        <v>20</v>
      </c>
      <c r="F137">
        <v>0</v>
      </c>
      <c r="G137" s="10">
        <v>203</v>
      </c>
      <c r="H137">
        <v>8</v>
      </c>
      <c r="I137">
        <v>10</v>
      </c>
      <c r="J137" s="2" t="s">
        <v>24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>
        <v>1500</v>
      </c>
      <c r="O137">
        <v>160</v>
      </c>
      <c r="P137" s="2">
        <v>0.08</v>
      </c>
      <c r="Q137" s="6">
        <v>40</v>
      </c>
      <c r="R137" s="10">
        <v>0</v>
      </c>
      <c r="S137" s="10">
        <v>5</v>
      </c>
      <c r="T137" s="10"/>
      <c r="U137" t="str">
        <f>"RUNNING_COST_"&amp;IF(PROPERTIES[[#This Row],[ENGINE_CLASS]]="MAGLEV","ELECTRIC",PROPERTIES[[#This Row],[ENGINE_CLASS]])</f>
        <v>RUNNING_COST_STEAM</v>
      </c>
      <c r="V137" s="10" t="s">
        <v>998</v>
      </c>
      <c r="W137" s="10" t="s">
        <v>999</v>
      </c>
      <c r="X137" s="10" t="str">
        <f>SUBSTITUTE(SUBSTITUTE(PROPERTIES[[#This Row],[PURCHASECOST_VALUE]], "PURCHASECOST_", ""), "_VALUE", "")</f>
        <v>STEAMENGINE</v>
      </c>
      <c r="AP137"/>
      <c r="AQ137"/>
      <c r="AR137"/>
    </row>
    <row r="138" spans="1:44">
      <c r="A138" s="2" t="s">
        <v>162</v>
      </c>
      <c r="B138">
        <v>1873</v>
      </c>
      <c r="C138">
        <v>0</v>
      </c>
      <c r="D138" t="s">
        <v>23</v>
      </c>
      <c r="E138" t="s">
        <v>20</v>
      </c>
      <c r="F138">
        <v>0</v>
      </c>
      <c r="G138" s="10">
        <v>7</v>
      </c>
      <c r="H138">
        <v>3</v>
      </c>
      <c r="I138">
        <v>3</v>
      </c>
      <c r="J138" s="2" t="s">
        <v>24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>
        <v>15</v>
      </c>
      <c r="O138">
        <v>16</v>
      </c>
      <c r="P138" s="2">
        <v>0.06</v>
      </c>
      <c r="Q138" s="6">
        <v>40</v>
      </c>
      <c r="R138" s="10">
        <v>0</v>
      </c>
      <c r="S138" s="10">
        <v>0</v>
      </c>
      <c r="T138" s="10"/>
      <c r="U138" t="str">
        <f>"RUNNING_COST_"&amp;IF(PROPERTIES[[#This Row],[ENGINE_CLASS]]="MAGLEV","ELECTRIC",PROPERTIES[[#This Row],[ENGINE_CLASS]])</f>
        <v>RUNNING_COST_STEAM</v>
      </c>
      <c r="V138" s="10" t="s">
        <v>998</v>
      </c>
      <c r="W138" s="10" t="s">
        <v>999</v>
      </c>
      <c r="X138" s="10" t="str">
        <f>SUBSTITUTE(SUBSTITUTE(PROPERTIES[[#This Row],[PURCHASECOST_VALUE]], "PURCHASECOST_", ""), "_VALUE", "")</f>
        <v>STEAMENGINE</v>
      </c>
      <c r="AP138"/>
      <c r="AQ138"/>
      <c r="AR138"/>
    </row>
    <row r="139" spans="1:44">
      <c r="A139" s="2" t="s">
        <v>163</v>
      </c>
      <c r="B139">
        <v>1895</v>
      </c>
      <c r="C139">
        <v>0</v>
      </c>
      <c r="D139" t="s">
        <v>23</v>
      </c>
      <c r="E139" t="s">
        <v>20</v>
      </c>
      <c r="F139">
        <v>0</v>
      </c>
      <c r="G139" s="10">
        <v>18</v>
      </c>
      <c r="H139">
        <v>4</v>
      </c>
      <c r="I139">
        <v>6</v>
      </c>
      <c r="J139" s="2" t="s">
        <v>24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>
        <v>140</v>
      </c>
      <c r="O139">
        <v>40</v>
      </c>
      <c r="P139" s="2">
        <v>0.08</v>
      </c>
      <c r="Q139" s="6">
        <v>40</v>
      </c>
      <c r="R139" s="10">
        <v>0</v>
      </c>
      <c r="S139" s="10">
        <v>3</v>
      </c>
      <c r="T139" s="10"/>
      <c r="U139" t="str">
        <f>"RUNNING_COST_"&amp;IF(PROPERTIES[[#This Row],[ENGINE_CLASS]]="MAGLEV","ELECTRIC",PROPERTIES[[#This Row],[ENGINE_CLASS]])</f>
        <v>RUNNING_COST_STEAM</v>
      </c>
      <c r="V139" s="10" t="s">
        <v>998</v>
      </c>
      <c r="W139" s="10" t="s">
        <v>999</v>
      </c>
      <c r="X139" s="10" t="str">
        <f>SUBSTITUTE(SUBSTITUTE(PROPERTIES[[#This Row],[PURCHASECOST_VALUE]], "PURCHASECOST_", ""), "_VALUE", "")</f>
        <v>STEAMENGINE</v>
      </c>
      <c r="AP139"/>
      <c r="AQ139"/>
      <c r="AR139"/>
    </row>
    <row r="140" spans="1:44">
      <c r="A140" s="2" t="s">
        <v>164</v>
      </c>
      <c r="B140">
        <v>1911</v>
      </c>
      <c r="C140">
        <v>0</v>
      </c>
      <c r="D140" t="s">
        <v>23</v>
      </c>
      <c r="E140" t="s">
        <v>20</v>
      </c>
      <c r="F140">
        <v>0</v>
      </c>
      <c r="G140" s="10">
        <v>35</v>
      </c>
      <c r="H140">
        <v>5</v>
      </c>
      <c r="I140">
        <v>5</v>
      </c>
      <c r="J140" s="2" t="s">
        <v>24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>
        <v>250</v>
      </c>
      <c r="O140">
        <v>40</v>
      </c>
      <c r="P140" s="2">
        <v>0.14000000000000001</v>
      </c>
      <c r="Q140" s="6">
        <v>40</v>
      </c>
      <c r="R140" s="10">
        <v>0</v>
      </c>
      <c r="S140" s="10">
        <v>0</v>
      </c>
      <c r="T140" s="10"/>
      <c r="U140" t="str">
        <f>"RUNNING_COST_"&amp;IF(PROPERTIES[[#This Row],[ENGINE_CLASS]]="MAGLEV","ELECTRIC",PROPERTIES[[#This Row],[ENGINE_CLASS]])</f>
        <v>RUNNING_COST_STEAM</v>
      </c>
      <c r="V140" s="10" t="s">
        <v>998</v>
      </c>
      <c r="W140" s="10" t="s">
        <v>999</v>
      </c>
      <c r="X140" s="10" t="str">
        <f>SUBSTITUTE(SUBSTITUTE(PROPERTIES[[#This Row],[PURCHASECOST_VALUE]], "PURCHASECOST_", ""), "_VALUE", "")</f>
        <v>STEAMENGINE</v>
      </c>
      <c r="AP140"/>
      <c r="AQ140"/>
      <c r="AR140"/>
    </row>
    <row r="141" spans="1:44">
      <c r="A141" s="2" t="s">
        <v>165</v>
      </c>
      <c r="B141">
        <v>1923</v>
      </c>
      <c r="C141">
        <v>0</v>
      </c>
      <c r="D141" t="s">
        <v>23</v>
      </c>
      <c r="E141" t="s">
        <v>20</v>
      </c>
      <c r="F141">
        <v>0</v>
      </c>
      <c r="G141" s="10">
        <v>79</v>
      </c>
      <c r="H141">
        <v>5</v>
      </c>
      <c r="I141">
        <v>6</v>
      </c>
      <c r="J141" s="2" t="s">
        <v>24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>
        <v>339</v>
      </c>
      <c r="O141">
        <v>70</v>
      </c>
      <c r="P141" s="2">
        <v>0.14000000000000001</v>
      </c>
      <c r="Q141" s="6">
        <v>40</v>
      </c>
      <c r="R141" s="10">
        <v>0</v>
      </c>
      <c r="S141" s="10">
        <v>3</v>
      </c>
      <c r="T141" s="10"/>
      <c r="U141" t="str">
        <f>"RUNNING_COST_"&amp;IF(PROPERTIES[[#This Row],[ENGINE_CLASS]]="MAGLEV","ELECTRIC",PROPERTIES[[#This Row],[ENGINE_CLASS]])</f>
        <v>RUNNING_COST_STEAM</v>
      </c>
      <c r="V141" s="10" t="s">
        <v>998</v>
      </c>
      <c r="W141" s="10" t="s">
        <v>999</v>
      </c>
      <c r="X141" s="10" t="str">
        <f>SUBSTITUTE(SUBSTITUTE(PROPERTIES[[#This Row],[PURCHASECOST_VALUE]], "PURCHASECOST_", ""), "_VALUE", "")</f>
        <v>STEAMENGINE</v>
      </c>
      <c r="AP141"/>
      <c r="AQ141"/>
      <c r="AR141"/>
    </row>
    <row r="142" spans="1:44">
      <c r="A142" s="2" t="s">
        <v>166</v>
      </c>
      <c r="B142">
        <v>1928</v>
      </c>
      <c r="C142">
        <v>0</v>
      </c>
      <c r="D142" t="s">
        <v>23</v>
      </c>
      <c r="E142" t="s">
        <v>20</v>
      </c>
      <c r="F142">
        <v>0</v>
      </c>
      <c r="G142" s="10">
        <v>85</v>
      </c>
      <c r="H142">
        <v>6</v>
      </c>
      <c r="I142">
        <v>6</v>
      </c>
      <c r="J142" s="2" t="s">
        <v>24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>
        <v>565</v>
      </c>
      <c r="O142">
        <v>75</v>
      </c>
      <c r="P142" s="2">
        <v>0.13</v>
      </c>
      <c r="Q142" s="6">
        <v>40</v>
      </c>
      <c r="R142" s="10">
        <v>0</v>
      </c>
      <c r="S142" s="10">
        <v>3</v>
      </c>
      <c r="T142" s="10"/>
      <c r="U142" t="str">
        <f>"RUNNING_COST_"&amp;IF(PROPERTIES[[#This Row],[ENGINE_CLASS]]="MAGLEV","ELECTRIC",PROPERTIES[[#This Row],[ENGINE_CLASS]])</f>
        <v>RUNNING_COST_STEAM</v>
      </c>
      <c r="V142" s="10" t="s">
        <v>998</v>
      </c>
      <c r="W142" s="10" t="s">
        <v>999</v>
      </c>
      <c r="X142" s="10" t="str">
        <f>SUBSTITUTE(SUBSTITUTE(PROPERTIES[[#This Row],[PURCHASECOST_VALUE]], "PURCHASECOST_", ""), "_VALUE", "")</f>
        <v>STEAMENGINE</v>
      </c>
      <c r="AP142"/>
      <c r="AQ142"/>
      <c r="AR142"/>
    </row>
    <row r="143" spans="1:44">
      <c r="A143" s="2" t="s">
        <v>167</v>
      </c>
      <c r="B143">
        <v>1940</v>
      </c>
      <c r="C143">
        <v>0</v>
      </c>
      <c r="D143" t="s">
        <v>23</v>
      </c>
      <c r="E143" t="s">
        <v>20</v>
      </c>
      <c r="F143">
        <v>0</v>
      </c>
      <c r="G143" s="10">
        <v>183</v>
      </c>
      <c r="H143">
        <v>4</v>
      </c>
      <c r="I143">
        <v>12</v>
      </c>
      <c r="J143" s="2" t="s">
        <v>24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>
        <v>1150</v>
      </c>
      <c r="O143">
        <v>70</v>
      </c>
      <c r="P143" s="2">
        <v>0.1</v>
      </c>
      <c r="Q143" s="6">
        <v>40</v>
      </c>
      <c r="R143" s="10">
        <v>0</v>
      </c>
      <c r="S143" s="10">
        <v>0</v>
      </c>
      <c r="T143" s="10"/>
      <c r="U143" t="str">
        <f>"RUNNING_COST_"&amp;IF(PROPERTIES[[#This Row],[ENGINE_CLASS]]="MAGLEV","ELECTRIC",PROPERTIES[[#This Row],[ENGINE_CLASS]])</f>
        <v>RUNNING_COST_STEAM</v>
      </c>
      <c r="V143" s="10" t="s">
        <v>998</v>
      </c>
      <c r="W143" s="10" t="s">
        <v>999</v>
      </c>
      <c r="X143" s="10" t="str">
        <f>SUBSTITUTE(SUBSTITUTE(PROPERTIES[[#This Row],[PURCHASECOST_VALUE]], "PURCHASECOST_", ""), "_VALUE", "")</f>
        <v>STEAMENGINE</v>
      </c>
      <c r="AP143"/>
      <c r="AQ143"/>
      <c r="AR143"/>
    </row>
    <row r="144" spans="1:44">
      <c r="A144" s="2" t="s">
        <v>168</v>
      </c>
      <c r="B144">
        <v>1953</v>
      </c>
      <c r="C144">
        <v>0</v>
      </c>
      <c r="D144" t="s">
        <v>23</v>
      </c>
      <c r="E144" t="s">
        <v>20</v>
      </c>
      <c r="F144">
        <v>0</v>
      </c>
      <c r="G144" s="10">
        <v>212</v>
      </c>
      <c r="H144">
        <v>7</v>
      </c>
      <c r="I144">
        <v>12</v>
      </c>
      <c r="J144" s="2" t="s">
        <v>24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>
        <v>3390</v>
      </c>
      <c r="O144">
        <v>95</v>
      </c>
      <c r="P144" s="2">
        <v>0.13</v>
      </c>
      <c r="Q144" s="6">
        <v>40</v>
      </c>
      <c r="R144" s="10">
        <v>0</v>
      </c>
      <c r="S144" s="10">
        <v>0</v>
      </c>
      <c r="T144" s="10"/>
      <c r="U144" t="str">
        <f>"RUNNING_COST_"&amp;IF(PROPERTIES[[#This Row],[ENGINE_CLASS]]="MAGLEV","ELECTRIC",PROPERTIES[[#This Row],[ENGINE_CLASS]])</f>
        <v>RUNNING_COST_STEAM</v>
      </c>
      <c r="V144" s="10" t="s">
        <v>998</v>
      </c>
      <c r="W144" s="10" t="s">
        <v>999</v>
      </c>
      <c r="X144" s="10" t="str">
        <f>SUBSTITUTE(SUBSTITUTE(PROPERTIES[[#This Row],[PURCHASECOST_VALUE]], "PURCHASECOST_", ""), "_VALUE", "")</f>
        <v>STEAMENGINE</v>
      </c>
      <c r="AP144"/>
      <c r="AQ144"/>
      <c r="AR144"/>
    </row>
    <row r="145" spans="1:44">
      <c r="A145" s="2" t="s">
        <v>169</v>
      </c>
      <c r="B145">
        <v>1955</v>
      </c>
      <c r="C145">
        <v>0</v>
      </c>
      <c r="D145" t="s">
        <v>23</v>
      </c>
      <c r="E145" t="s">
        <v>20</v>
      </c>
      <c r="F145">
        <v>0</v>
      </c>
      <c r="G145" s="10">
        <v>115</v>
      </c>
      <c r="H145">
        <v>7</v>
      </c>
      <c r="I145">
        <v>8</v>
      </c>
      <c r="J145" s="2" t="s">
        <v>24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>
        <v>1220</v>
      </c>
      <c r="O145">
        <v>80</v>
      </c>
      <c r="P145" s="2">
        <v>0.1</v>
      </c>
      <c r="Q145" s="6">
        <v>40</v>
      </c>
      <c r="R145" s="10">
        <v>0</v>
      </c>
      <c r="S145" s="10">
        <v>4</v>
      </c>
      <c r="T145" s="10"/>
      <c r="U145" t="str">
        <f>"RUNNING_COST_"&amp;IF(PROPERTIES[[#This Row],[ENGINE_CLASS]]="MAGLEV","ELECTRIC",PROPERTIES[[#This Row],[ENGINE_CLASS]])</f>
        <v>RUNNING_COST_STEAM</v>
      </c>
      <c r="V145" s="10" t="s">
        <v>998</v>
      </c>
      <c r="W145" s="10" t="s">
        <v>999</v>
      </c>
      <c r="X145" s="10" t="str">
        <f>SUBSTITUTE(SUBSTITUTE(PROPERTIES[[#This Row],[PURCHASECOST_VALUE]], "PURCHASECOST_", ""), "_VALUE", "")</f>
        <v>STEAMENGINE</v>
      </c>
      <c r="AP145"/>
      <c r="AQ145"/>
      <c r="AR145"/>
    </row>
    <row r="146" spans="1:44">
      <c r="A146" s="2" t="s">
        <v>170</v>
      </c>
      <c r="B146">
        <v>1855</v>
      </c>
      <c r="C146">
        <v>0</v>
      </c>
      <c r="D146" t="s">
        <v>23</v>
      </c>
      <c r="E146" t="s">
        <v>20</v>
      </c>
      <c r="F146">
        <v>0</v>
      </c>
      <c r="G146" s="10">
        <v>28</v>
      </c>
      <c r="H146">
        <v>5</v>
      </c>
      <c r="I146">
        <v>5</v>
      </c>
      <c r="J146" s="2" t="s">
        <v>24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>
        <v>130</v>
      </c>
      <c r="O146">
        <v>40</v>
      </c>
      <c r="P146" s="2">
        <v>0.16</v>
      </c>
      <c r="Q146" s="6">
        <v>40</v>
      </c>
      <c r="R146" s="10">
        <v>0</v>
      </c>
      <c r="S146" s="10">
        <v>0</v>
      </c>
      <c r="T146" s="10"/>
      <c r="U146" t="str">
        <f>"RUNNING_COST_"&amp;IF(PROPERTIES[[#This Row],[ENGINE_CLASS]]="MAGLEV","ELECTRIC",PROPERTIES[[#This Row],[ENGINE_CLASS]])</f>
        <v>RUNNING_COST_STEAM</v>
      </c>
      <c r="V146" s="10" t="s">
        <v>998</v>
      </c>
      <c r="W146" s="10" t="s">
        <v>999</v>
      </c>
      <c r="X146" s="10" t="str">
        <f>SUBSTITUTE(SUBSTITUTE(PROPERTIES[[#This Row],[PURCHASECOST_VALUE]], "PURCHASECOST_", ""), "_VALUE", "")</f>
        <v>STEAMENGINE</v>
      </c>
      <c r="AP146"/>
      <c r="AQ146"/>
      <c r="AR146"/>
    </row>
    <row r="147" spans="1:44">
      <c r="A147" s="2" t="s">
        <v>171</v>
      </c>
      <c r="B147">
        <v>1889</v>
      </c>
      <c r="C147">
        <v>0</v>
      </c>
      <c r="D147" t="s">
        <v>23</v>
      </c>
      <c r="E147" t="s">
        <v>20</v>
      </c>
      <c r="F147">
        <v>0</v>
      </c>
      <c r="G147" s="10">
        <v>20</v>
      </c>
      <c r="H147">
        <v>5</v>
      </c>
      <c r="I147">
        <v>4</v>
      </c>
      <c r="J147" s="2" t="s">
        <v>24</v>
      </c>
      <c r="K147">
        <f>_xlfn.XLOOKUP("LOADINGSPEEDDEF_"&amp;PROPERTIES[[#This Row],[LOADINGSPEED]],LOADINGSPEEDDEF[TYPE],LOADINGSPEEDDEF[SPEED])</f>
        <v>40</v>
      </c>
      <c r="L147">
        <v>45</v>
      </c>
      <c r="M147">
        <v>1</v>
      </c>
      <c r="N147">
        <v>165</v>
      </c>
      <c r="O147">
        <v>42</v>
      </c>
      <c r="P147" s="2">
        <v>0.18</v>
      </c>
      <c r="Q147" s="6">
        <v>40</v>
      </c>
      <c r="R147" s="10">
        <v>0</v>
      </c>
      <c r="S147" s="10">
        <v>2</v>
      </c>
      <c r="T147" s="10"/>
      <c r="U147" t="str">
        <f>"RUNNING_COST_"&amp;IF(PROPERTIES[[#This Row],[ENGINE_CLASS]]="MAGLEV","ELECTRIC",PROPERTIES[[#This Row],[ENGINE_CLASS]])</f>
        <v>RUNNING_COST_STEAM</v>
      </c>
      <c r="V147" s="10" t="s">
        <v>998</v>
      </c>
      <c r="W147" s="10" t="s">
        <v>999</v>
      </c>
      <c r="X147" s="10" t="str">
        <f>SUBSTITUTE(SUBSTITUTE(PROPERTIES[[#This Row],[PURCHASECOST_VALUE]], "PURCHASECOST_", ""), "_VALUE", "")</f>
        <v>STEAMENGINE</v>
      </c>
      <c r="AP147"/>
      <c r="AQ147"/>
      <c r="AR147"/>
    </row>
    <row r="148" spans="1:44">
      <c r="A148" s="2" t="s">
        <v>172</v>
      </c>
      <c r="B148">
        <v>1895</v>
      </c>
      <c r="C148">
        <v>0</v>
      </c>
      <c r="D148" t="s">
        <v>23</v>
      </c>
      <c r="E148" t="s">
        <v>20</v>
      </c>
      <c r="F148">
        <v>0</v>
      </c>
      <c r="G148" s="10">
        <v>58</v>
      </c>
      <c r="H148">
        <v>5</v>
      </c>
      <c r="I148">
        <v>6</v>
      </c>
      <c r="J148" s="2" t="s">
        <v>24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>
        <v>720</v>
      </c>
      <c r="O148">
        <v>50</v>
      </c>
      <c r="P148" s="2">
        <v>0.16</v>
      </c>
      <c r="Q148" s="6">
        <v>40</v>
      </c>
      <c r="R148" s="10">
        <v>0</v>
      </c>
      <c r="S148" s="10">
        <v>3</v>
      </c>
      <c r="T148" s="10"/>
      <c r="U148" t="str">
        <f>"RUNNING_COST_"&amp;IF(PROPERTIES[[#This Row],[ENGINE_CLASS]]="MAGLEV","ELECTRIC",PROPERTIES[[#This Row],[ENGINE_CLASS]])</f>
        <v>RUNNING_COST_STEAM</v>
      </c>
      <c r="V148" s="10" t="s">
        <v>998</v>
      </c>
      <c r="W148" s="10" t="s">
        <v>999</v>
      </c>
      <c r="X148" s="10" t="str">
        <f>SUBSTITUTE(SUBSTITUTE(PROPERTIES[[#This Row],[PURCHASECOST_VALUE]], "PURCHASECOST_", ""), "_VALUE", "")</f>
        <v>STEAMENGINE</v>
      </c>
      <c r="AP148"/>
      <c r="AQ148"/>
      <c r="AR148"/>
    </row>
    <row r="149" spans="1:44">
      <c r="A149" s="2" t="s">
        <v>173</v>
      </c>
      <c r="B149">
        <v>1906</v>
      </c>
      <c r="C149">
        <v>0</v>
      </c>
      <c r="D149" t="s">
        <v>23</v>
      </c>
      <c r="E149" t="s">
        <v>20</v>
      </c>
      <c r="F149">
        <v>0</v>
      </c>
      <c r="G149" s="10">
        <v>72</v>
      </c>
      <c r="H149">
        <v>5</v>
      </c>
      <c r="I149">
        <v>6</v>
      </c>
      <c r="J149" s="2" t="s">
        <v>24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>
        <v>820</v>
      </c>
      <c r="O149">
        <v>115</v>
      </c>
      <c r="P149" s="2">
        <v>0.13</v>
      </c>
      <c r="Q149" s="6">
        <v>40</v>
      </c>
      <c r="R149" s="10">
        <v>0</v>
      </c>
      <c r="S149" s="10">
        <v>3</v>
      </c>
      <c r="T149" s="10"/>
      <c r="U149" t="str">
        <f>"RUNNING_COST_"&amp;IF(PROPERTIES[[#This Row],[ENGINE_CLASS]]="MAGLEV","ELECTRIC",PROPERTIES[[#This Row],[ENGINE_CLASS]])</f>
        <v>RUNNING_COST_STEAM</v>
      </c>
      <c r="V149" s="10" t="s">
        <v>998</v>
      </c>
      <c r="W149" s="10" t="s">
        <v>999</v>
      </c>
      <c r="X149" s="10" t="str">
        <f>SUBSTITUTE(SUBSTITUTE(PROPERTIES[[#This Row],[PURCHASECOST_VALUE]], "PURCHASECOST_", ""), "_VALUE", "")</f>
        <v>STEAMENGINE</v>
      </c>
      <c r="AP149"/>
      <c r="AQ149"/>
      <c r="AR149"/>
    </row>
    <row r="150" spans="1:44">
      <c r="A150" s="2" t="s">
        <v>174</v>
      </c>
      <c r="B150">
        <v>1912</v>
      </c>
      <c r="C150">
        <v>0</v>
      </c>
      <c r="D150" t="s">
        <v>23</v>
      </c>
      <c r="E150" t="s">
        <v>20</v>
      </c>
      <c r="F150">
        <v>0</v>
      </c>
      <c r="G150" s="10">
        <v>82</v>
      </c>
      <c r="H150">
        <v>5</v>
      </c>
      <c r="I150">
        <v>6</v>
      </c>
      <c r="J150" s="2" t="s">
        <v>24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>
        <v>920</v>
      </c>
      <c r="O150">
        <v>55</v>
      </c>
      <c r="P150" s="2">
        <v>0.22</v>
      </c>
      <c r="Q150" s="6">
        <v>40</v>
      </c>
      <c r="R150" s="10">
        <v>0</v>
      </c>
      <c r="S150" s="10">
        <v>3</v>
      </c>
      <c r="T150" s="10"/>
      <c r="U150" t="str">
        <f>"RUNNING_COST_"&amp;IF(PROPERTIES[[#This Row],[ENGINE_CLASS]]="MAGLEV","ELECTRIC",PROPERTIES[[#This Row],[ENGINE_CLASS]])</f>
        <v>RUNNING_COST_STEAM</v>
      </c>
      <c r="V150" s="10" t="s">
        <v>998</v>
      </c>
      <c r="W150" s="10" t="s">
        <v>999</v>
      </c>
      <c r="X150" s="10" t="str">
        <f>SUBSTITUTE(SUBSTITUTE(PROPERTIES[[#This Row],[PURCHASECOST_VALUE]], "PURCHASECOST_", ""), "_VALUE", "")</f>
        <v>STEAMENGINE</v>
      </c>
      <c r="AP150"/>
      <c r="AQ150"/>
      <c r="AR150"/>
    </row>
    <row r="151" spans="1:44">
      <c r="A151" s="2" t="s">
        <v>175</v>
      </c>
      <c r="B151">
        <v>1918</v>
      </c>
      <c r="C151">
        <v>0</v>
      </c>
      <c r="D151" t="s">
        <v>23</v>
      </c>
      <c r="E151" t="s">
        <v>20</v>
      </c>
      <c r="F151">
        <v>0</v>
      </c>
      <c r="G151" s="10">
        <v>119</v>
      </c>
      <c r="H151">
        <v>5</v>
      </c>
      <c r="I151">
        <v>6</v>
      </c>
      <c r="J151" s="2" t="s">
        <v>24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>
        <v>572</v>
      </c>
      <c r="O151">
        <v>68</v>
      </c>
      <c r="P151" s="2">
        <v>0.09</v>
      </c>
      <c r="Q151" s="6">
        <v>40</v>
      </c>
      <c r="R151" s="10">
        <v>0</v>
      </c>
      <c r="S151" s="10">
        <v>3</v>
      </c>
      <c r="T151" s="10"/>
      <c r="U151" t="str">
        <f>"RUNNING_COST_"&amp;IF(PROPERTIES[[#This Row],[ENGINE_CLASS]]="MAGLEV","ELECTRIC",PROPERTIES[[#This Row],[ENGINE_CLASS]])</f>
        <v>RUNNING_COST_STEAM</v>
      </c>
      <c r="V151" s="10" t="s">
        <v>998</v>
      </c>
      <c r="W151" s="10" t="s">
        <v>999</v>
      </c>
      <c r="X151" s="10" t="str">
        <f>SUBSTITUTE(SUBSTITUTE(PROPERTIES[[#This Row],[PURCHASECOST_VALUE]], "PURCHASECOST_", ""), "_VALUE", "")</f>
        <v>STEAMENGINE</v>
      </c>
      <c r="AP151"/>
      <c r="AQ151"/>
      <c r="AR151"/>
    </row>
    <row r="152" spans="1:44">
      <c r="A152" s="2" t="s">
        <v>176</v>
      </c>
      <c r="B152">
        <v>1923</v>
      </c>
      <c r="C152">
        <v>0</v>
      </c>
      <c r="D152" t="s">
        <v>23</v>
      </c>
      <c r="E152" t="s">
        <v>20</v>
      </c>
      <c r="F152">
        <v>0</v>
      </c>
      <c r="G152" s="10">
        <v>134</v>
      </c>
      <c r="H152">
        <v>6</v>
      </c>
      <c r="I152">
        <v>8</v>
      </c>
      <c r="J152" s="2" t="s">
        <v>24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>
        <v>1500</v>
      </c>
      <c r="O152">
        <v>70</v>
      </c>
      <c r="P152" s="2">
        <v>0.13</v>
      </c>
      <c r="Q152" s="6">
        <v>40</v>
      </c>
      <c r="R152" s="10">
        <v>0</v>
      </c>
      <c r="S152" s="10">
        <v>4</v>
      </c>
      <c r="T152" s="10"/>
      <c r="U152" t="str">
        <f>"RUNNING_COST_"&amp;IF(PROPERTIES[[#This Row],[ENGINE_CLASS]]="MAGLEV","ELECTRIC",PROPERTIES[[#This Row],[ENGINE_CLASS]])</f>
        <v>RUNNING_COST_STEAM</v>
      </c>
      <c r="V152" s="10" t="s">
        <v>998</v>
      </c>
      <c r="W152" s="10" t="s">
        <v>999</v>
      </c>
      <c r="X152" s="10" t="str">
        <f>SUBSTITUTE(SUBSTITUTE(PROPERTIES[[#This Row],[PURCHASECOST_VALUE]], "PURCHASECOST_", ""), "_VALUE", "")</f>
        <v>STEAMENGINE</v>
      </c>
      <c r="AP152"/>
      <c r="AQ152"/>
      <c r="AR152"/>
    </row>
    <row r="153" spans="1:44">
      <c r="A153" s="2" t="s">
        <v>177</v>
      </c>
      <c r="B153">
        <v>1928</v>
      </c>
      <c r="C153">
        <v>0</v>
      </c>
      <c r="D153" t="s">
        <v>23</v>
      </c>
      <c r="E153" t="s">
        <v>20</v>
      </c>
      <c r="F153">
        <v>0</v>
      </c>
      <c r="G153" s="10">
        <v>144</v>
      </c>
      <c r="H153">
        <v>6</v>
      </c>
      <c r="I153">
        <v>8</v>
      </c>
      <c r="J153" s="2" t="s">
        <v>24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>
        <v>1820</v>
      </c>
      <c r="O153">
        <v>130</v>
      </c>
      <c r="P153" s="2">
        <v>0.1</v>
      </c>
      <c r="Q153" s="6">
        <v>40</v>
      </c>
      <c r="R153" s="10">
        <v>0</v>
      </c>
      <c r="S153" s="10">
        <v>4</v>
      </c>
      <c r="T153" s="10"/>
      <c r="U153" t="str">
        <f>"RUNNING_COST_"&amp;IF(PROPERTIES[[#This Row],[ENGINE_CLASS]]="MAGLEV","ELECTRIC",PROPERTIES[[#This Row],[ENGINE_CLASS]])</f>
        <v>RUNNING_COST_STEAM</v>
      </c>
      <c r="V153" s="10" t="s">
        <v>998</v>
      </c>
      <c r="W153" s="10" t="s">
        <v>999</v>
      </c>
      <c r="X153" s="10" t="str">
        <f>SUBSTITUTE(SUBSTITUTE(PROPERTIES[[#This Row],[PURCHASECOST_VALUE]], "PURCHASECOST_", ""), "_VALUE", "")</f>
        <v>STEAMENGINE</v>
      </c>
      <c r="AP153"/>
      <c r="AQ153"/>
      <c r="AR153"/>
    </row>
    <row r="154" spans="1:44">
      <c r="A154" s="2" t="s">
        <v>178</v>
      </c>
      <c r="B154">
        <v>1943</v>
      </c>
      <c r="C154">
        <v>0</v>
      </c>
      <c r="D154" t="s">
        <v>23</v>
      </c>
      <c r="E154" t="s">
        <v>20</v>
      </c>
      <c r="F154">
        <v>0</v>
      </c>
      <c r="G154" s="10">
        <v>136</v>
      </c>
      <c r="H154">
        <v>7</v>
      </c>
      <c r="I154">
        <v>8</v>
      </c>
      <c r="J154" s="2" t="s">
        <v>24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>
        <v>1250</v>
      </c>
      <c r="O154">
        <v>65</v>
      </c>
      <c r="P154" s="2">
        <v>0.11</v>
      </c>
      <c r="Q154" s="6">
        <v>40</v>
      </c>
      <c r="R154" s="10">
        <v>0</v>
      </c>
      <c r="S154" s="10">
        <v>4</v>
      </c>
      <c r="T154" s="10"/>
      <c r="U154" t="str">
        <f>"RUNNING_COST_"&amp;IF(PROPERTIES[[#This Row],[ENGINE_CLASS]]="MAGLEV","ELECTRIC",PROPERTIES[[#This Row],[ENGINE_CLASS]])</f>
        <v>RUNNING_COST_STEAM</v>
      </c>
      <c r="V154" s="10" t="s">
        <v>998</v>
      </c>
      <c r="W154" s="10" t="s">
        <v>999</v>
      </c>
      <c r="X154" s="10" t="str">
        <f>SUBSTITUTE(SUBSTITUTE(PROPERTIES[[#This Row],[PURCHASECOST_VALUE]], "PURCHASECOST_", ""), "_VALUE", "")</f>
        <v>STEAMENGINE</v>
      </c>
      <c r="AP154"/>
      <c r="AQ154"/>
      <c r="AR154"/>
    </row>
    <row r="155" spans="1:44">
      <c r="A155" s="2" t="s">
        <v>179</v>
      </c>
      <c r="B155">
        <v>1951</v>
      </c>
      <c r="C155">
        <v>0</v>
      </c>
      <c r="D155" t="s">
        <v>23</v>
      </c>
      <c r="E155" t="s">
        <v>20</v>
      </c>
      <c r="F155">
        <v>0</v>
      </c>
      <c r="G155" s="10">
        <v>78</v>
      </c>
      <c r="H155">
        <v>5</v>
      </c>
      <c r="I155">
        <v>5</v>
      </c>
      <c r="J155" s="2" t="s">
        <v>24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>
        <v>1060</v>
      </c>
      <c r="O155">
        <v>80</v>
      </c>
      <c r="P155" s="2">
        <v>0.14000000000000001</v>
      </c>
      <c r="Q155" s="6">
        <v>40</v>
      </c>
      <c r="R155" s="10">
        <v>0</v>
      </c>
      <c r="S155" s="10">
        <v>0</v>
      </c>
      <c r="T155" s="10"/>
      <c r="U155" t="str">
        <f>"RUNNING_COST_"&amp;IF(PROPERTIES[[#This Row],[ENGINE_CLASS]]="MAGLEV","ELECTRIC",PROPERTIES[[#This Row],[ENGINE_CLASS]])</f>
        <v>RUNNING_COST_STEAM</v>
      </c>
      <c r="V155" s="10" t="s">
        <v>998</v>
      </c>
      <c r="W155" s="10" t="s">
        <v>999</v>
      </c>
      <c r="X155" s="10" t="str">
        <f>SUBSTITUTE(SUBSTITUTE(PROPERTIES[[#This Row],[PURCHASECOST_VALUE]], "PURCHASECOST_", ""), "_VALUE", "")</f>
        <v>STEAMENGINE</v>
      </c>
      <c r="AP155"/>
      <c r="AQ155"/>
      <c r="AR155"/>
    </row>
    <row r="156" spans="1:44">
      <c r="A156" s="2" t="s">
        <v>180</v>
      </c>
      <c r="B156">
        <v>1955</v>
      </c>
      <c r="C156">
        <v>0</v>
      </c>
      <c r="D156" t="s">
        <v>23</v>
      </c>
      <c r="E156" t="s">
        <v>20</v>
      </c>
      <c r="F156">
        <v>0</v>
      </c>
      <c r="G156" s="10">
        <v>143</v>
      </c>
      <c r="H156">
        <v>8</v>
      </c>
      <c r="I156">
        <v>10</v>
      </c>
      <c r="J156" s="2" t="s">
        <v>24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>
        <v>2780</v>
      </c>
      <c r="O156">
        <v>150</v>
      </c>
      <c r="P156" s="2">
        <v>0.11</v>
      </c>
      <c r="Q156" s="6">
        <v>40</v>
      </c>
      <c r="R156" s="10">
        <v>0</v>
      </c>
      <c r="S156" s="10">
        <v>5</v>
      </c>
      <c r="T156" s="10"/>
      <c r="U156" t="str">
        <f>"RUNNING_COST_"&amp;IF(PROPERTIES[[#This Row],[ENGINE_CLASS]]="MAGLEV","ELECTRIC",PROPERTIES[[#This Row],[ENGINE_CLASS]])</f>
        <v>RUNNING_COST_STEAM</v>
      </c>
      <c r="V156" s="10" t="s">
        <v>998</v>
      </c>
      <c r="W156" s="10" t="s">
        <v>999</v>
      </c>
      <c r="X156" s="10" t="str">
        <f>SUBSTITUTE(SUBSTITUTE(PROPERTIES[[#This Row],[PURCHASECOST_VALUE]], "PURCHASECOST_", ""), "_VALUE", "")</f>
        <v>STEAMENGINE</v>
      </c>
      <c r="AP156"/>
      <c r="AQ156"/>
      <c r="AR156"/>
    </row>
    <row r="157" spans="1:44">
      <c r="A157" s="2" t="s">
        <v>181</v>
      </c>
      <c r="B157">
        <v>1910</v>
      </c>
      <c r="C157">
        <v>0</v>
      </c>
      <c r="D157" t="s">
        <v>23</v>
      </c>
      <c r="E157" t="s">
        <v>20</v>
      </c>
      <c r="F157">
        <v>0</v>
      </c>
      <c r="G157" s="10">
        <v>107</v>
      </c>
      <c r="H157">
        <v>7</v>
      </c>
      <c r="I157">
        <v>6</v>
      </c>
      <c r="J157" s="2" t="s">
        <v>24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>
        <v>1100</v>
      </c>
      <c r="O157">
        <v>60</v>
      </c>
      <c r="P157" s="2">
        <v>0.31</v>
      </c>
      <c r="Q157" s="6">
        <v>40</v>
      </c>
      <c r="R157" s="10">
        <v>0</v>
      </c>
      <c r="S157" s="10">
        <v>3</v>
      </c>
      <c r="T157" s="10"/>
      <c r="U157" t="str">
        <f>"RUNNING_COST_"&amp;IF(PROPERTIES[[#This Row],[ENGINE_CLASS]]="MAGLEV","ELECTRIC",PROPERTIES[[#This Row],[ENGINE_CLASS]])</f>
        <v>RUNNING_COST_STEAM</v>
      </c>
      <c r="V157" s="10" t="s">
        <v>998</v>
      </c>
      <c r="W157" s="10" t="s">
        <v>999</v>
      </c>
      <c r="X157" s="10" t="str">
        <f>SUBSTITUTE(SUBSTITUTE(PROPERTIES[[#This Row],[PURCHASECOST_VALUE]], "PURCHASECOST_", ""), "_VALUE", "")</f>
        <v>STEAMENGINE</v>
      </c>
      <c r="AP157"/>
      <c r="AQ157"/>
      <c r="AR157"/>
    </row>
    <row r="158" spans="1:44">
      <c r="A158" s="2" t="s">
        <v>182</v>
      </c>
      <c r="B158">
        <v>1923</v>
      </c>
      <c r="C158">
        <v>0</v>
      </c>
      <c r="D158" t="s">
        <v>23</v>
      </c>
      <c r="E158" t="s">
        <v>20</v>
      </c>
      <c r="F158">
        <v>0</v>
      </c>
      <c r="G158" s="10">
        <v>133</v>
      </c>
      <c r="H158">
        <v>6</v>
      </c>
      <c r="I158">
        <v>6</v>
      </c>
      <c r="J158" s="2" t="s">
        <v>24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>
        <v>980</v>
      </c>
      <c r="O158">
        <v>100</v>
      </c>
      <c r="P158" s="2">
        <v>0.06</v>
      </c>
      <c r="Q158" s="6">
        <v>40</v>
      </c>
      <c r="R158" s="10">
        <v>0</v>
      </c>
      <c r="S158" s="10">
        <v>3</v>
      </c>
      <c r="T158" s="10"/>
      <c r="U158" t="str">
        <f>"RUNNING_COST_"&amp;IF(PROPERTIES[[#This Row],[ENGINE_CLASS]]="MAGLEV","ELECTRIC",PROPERTIES[[#This Row],[ENGINE_CLASS]])</f>
        <v>RUNNING_COST_STEAM</v>
      </c>
      <c r="V158" s="10" t="s">
        <v>998</v>
      </c>
      <c r="W158" s="10" t="s">
        <v>999</v>
      </c>
      <c r="X158" s="10" t="str">
        <f>SUBSTITUTE(SUBSTITUTE(PROPERTIES[[#This Row],[PURCHASECOST_VALUE]], "PURCHASECOST_", ""), "_VALUE", "")</f>
        <v>STEAMENGINE</v>
      </c>
      <c r="AP158"/>
      <c r="AQ158"/>
      <c r="AR158"/>
    </row>
    <row r="159" spans="1:44">
      <c r="A159" s="2" t="s">
        <v>183</v>
      </c>
      <c r="B159">
        <v>1924</v>
      </c>
      <c r="C159">
        <v>0</v>
      </c>
      <c r="D159" t="s">
        <v>23</v>
      </c>
      <c r="E159" t="s">
        <v>20</v>
      </c>
      <c r="F159">
        <v>0</v>
      </c>
      <c r="G159" s="10">
        <v>137</v>
      </c>
      <c r="H159">
        <v>7</v>
      </c>
      <c r="I159">
        <v>8</v>
      </c>
      <c r="J159" s="2" t="s">
        <v>24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>
        <v>1160</v>
      </c>
      <c r="O159">
        <v>90</v>
      </c>
      <c r="P159" s="2">
        <v>0.13</v>
      </c>
      <c r="Q159" s="6">
        <v>40</v>
      </c>
      <c r="R159" s="10">
        <v>0</v>
      </c>
      <c r="S159" s="10">
        <v>4</v>
      </c>
      <c r="T159" s="10"/>
      <c r="U159" t="str">
        <f>"RUNNING_COST_"&amp;IF(PROPERTIES[[#This Row],[ENGINE_CLASS]]="MAGLEV","ELECTRIC",PROPERTIES[[#This Row],[ENGINE_CLASS]])</f>
        <v>RUNNING_COST_STEAM</v>
      </c>
      <c r="V159" s="10" t="s">
        <v>998</v>
      </c>
      <c r="W159" s="10" t="s">
        <v>999</v>
      </c>
      <c r="X159" s="10" t="str">
        <f>SUBSTITUTE(SUBSTITUTE(PROPERTIES[[#This Row],[PURCHASECOST_VALUE]], "PURCHASECOST_", ""), "_VALUE", "")</f>
        <v>STEAMENGINE</v>
      </c>
      <c r="AP159"/>
      <c r="AQ159"/>
      <c r="AR159"/>
    </row>
    <row r="160" spans="1:44">
      <c r="A160" s="2" t="s">
        <v>184</v>
      </c>
      <c r="B160">
        <v>1936</v>
      </c>
      <c r="C160">
        <v>0</v>
      </c>
      <c r="D160" t="s">
        <v>23</v>
      </c>
      <c r="E160" t="s">
        <v>20</v>
      </c>
      <c r="F160">
        <v>0</v>
      </c>
      <c r="G160" s="10">
        <v>85</v>
      </c>
      <c r="H160">
        <v>7</v>
      </c>
      <c r="I160">
        <v>7</v>
      </c>
      <c r="J160" s="2" t="s">
        <v>24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>
        <v>618</v>
      </c>
      <c r="O160">
        <v>120</v>
      </c>
      <c r="P160" s="2">
        <v>0.08</v>
      </c>
      <c r="Q160" s="6">
        <v>40</v>
      </c>
      <c r="R160" s="10">
        <v>0</v>
      </c>
      <c r="S160" s="10">
        <v>0</v>
      </c>
      <c r="T160" s="10"/>
      <c r="U160" t="str">
        <f>"RUNNING_COST_"&amp;IF(PROPERTIES[[#This Row],[ENGINE_CLASS]]="MAGLEV","ELECTRIC",PROPERTIES[[#This Row],[ENGINE_CLASS]])</f>
        <v>RUNNING_COST_STEAM</v>
      </c>
      <c r="V160" s="10" t="s">
        <v>998</v>
      </c>
      <c r="W160" s="10" t="s">
        <v>999</v>
      </c>
      <c r="X160" s="10" t="str">
        <f>SUBSTITUTE(SUBSTITUTE(PROPERTIES[[#This Row],[PURCHASECOST_VALUE]], "PURCHASECOST_", ""), "_VALUE", "")</f>
        <v>STEAMENGINE</v>
      </c>
      <c r="AP160"/>
      <c r="AQ160"/>
      <c r="AR160"/>
    </row>
    <row r="161" spans="1:44">
      <c r="A161" s="2" t="s">
        <v>185</v>
      </c>
      <c r="B161">
        <v>1946</v>
      </c>
      <c r="C161">
        <v>0</v>
      </c>
      <c r="D161" t="s">
        <v>23</v>
      </c>
      <c r="E161" t="s">
        <v>20</v>
      </c>
      <c r="F161">
        <v>0</v>
      </c>
      <c r="G161" s="10">
        <v>103</v>
      </c>
      <c r="H161">
        <v>5</v>
      </c>
      <c r="I161">
        <v>6</v>
      </c>
      <c r="J161" s="2" t="s">
        <v>24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>
        <v>1857</v>
      </c>
      <c r="O161">
        <v>80</v>
      </c>
      <c r="P161" s="2">
        <v>0.2</v>
      </c>
      <c r="Q161" s="6">
        <v>40</v>
      </c>
      <c r="R161" s="10">
        <v>0</v>
      </c>
      <c r="S161" s="10">
        <v>3</v>
      </c>
      <c r="T161" s="10"/>
      <c r="U161" t="str">
        <f>"RUNNING_COST_"&amp;IF(PROPERTIES[[#This Row],[ENGINE_CLASS]]="MAGLEV","ELECTRIC",PROPERTIES[[#This Row],[ENGINE_CLASS]])</f>
        <v>RUNNING_COST_STEAM</v>
      </c>
      <c r="V161" s="10" t="s">
        <v>998</v>
      </c>
      <c r="W161" s="10" t="s">
        <v>999</v>
      </c>
      <c r="X161" s="10" t="str">
        <f>SUBSTITUTE(SUBSTITUTE(PROPERTIES[[#This Row],[PURCHASECOST_VALUE]], "PURCHASECOST_", ""), "_VALUE", "")</f>
        <v>STEAMENGINE</v>
      </c>
      <c r="AP161"/>
      <c r="AQ161"/>
      <c r="AR161"/>
    </row>
    <row r="162" spans="1:44">
      <c r="A162" s="2" t="s">
        <v>186</v>
      </c>
      <c r="B162">
        <v>1951</v>
      </c>
      <c r="C162">
        <v>0</v>
      </c>
      <c r="D162" t="s">
        <v>23</v>
      </c>
      <c r="E162" t="s">
        <v>20</v>
      </c>
      <c r="F162">
        <v>0</v>
      </c>
      <c r="G162" s="10">
        <v>125</v>
      </c>
      <c r="H162">
        <v>7</v>
      </c>
      <c r="I162">
        <v>8</v>
      </c>
      <c r="J162" s="2" t="s">
        <v>24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>
        <v>1290</v>
      </c>
      <c r="O162">
        <v>100</v>
      </c>
      <c r="P162" s="2">
        <v>0.1</v>
      </c>
      <c r="Q162" s="6">
        <v>40</v>
      </c>
      <c r="R162" s="10">
        <v>0</v>
      </c>
      <c r="S162" s="10">
        <v>4</v>
      </c>
      <c r="T162" s="10"/>
      <c r="U162" t="str">
        <f>"RUNNING_COST_"&amp;IF(PROPERTIES[[#This Row],[ENGINE_CLASS]]="MAGLEV","ELECTRIC",PROPERTIES[[#This Row],[ENGINE_CLASS]])</f>
        <v>RUNNING_COST_STEAM</v>
      </c>
      <c r="V162" s="10" t="s">
        <v>998</v>
      </c>
      <c r="W162" s="10" t="s">
        <v>999</v>
      </c>
      <c r="X162" s="10" t="str">
        <f>SUBSTITUTE(SUBSTITUTE(PROPERTIES[[#This Row],[PURCHASECOST_VALUE]], "PURCHASECOST_", ""), "_VALUE", "")</f>
        <v>STEAMENGINE</v>
      </c>
      <c r="AP162"/>
      <c r="AQ162"/>
      <c r="AR162"/>
    </row>
    <row r="163" spans="1:44">
      <c r="A163" s="2" t="s">
        <v>187</v>
      </c>
      <c r="B163">
        <v>1911</v>
      </c>
      <c r="C163">
        <v>0</v>
      </c>
      <c r="D163" t="s">
        <v>23</v>
      </c>
      <c r="E163" t="s">
        <v>20</v>
      </c>
      <c r="F163">
        <v>0</v>
      </c>
      <c r="G163" s="10">
        <v>138</v>
      </c>
      <c r="H163">
        <v>7</v>
      </c>
      <c r="I163">
        <v>8</v>
      </c>
      <c r="J163" s="2" t="s">
        <v>24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>
        <v>1885</v>
      </c>
      <c r="O163">
        <v>100</v>
      </c>
      <c r="P163" s="2">
        <v>0.17</v>
      </c>
      <c r="Q163" s="6">
        <v>40</v>
      </c>
      <c r="R163" s="10">
        <v>0</v>
      </c>
      <c r="S163" s="10">
        <v>4</v>
      </c>
      <c r="T163" s="10"/>
      <c r="U163" t="str">
        <f>"RUNNING_COST_"&amp;IF(PROPERTIES[[#This Row],[ENGINE_CLASS]]="MAGLEV","ELECTRIC",PROPERTIES[[#This Row],[ENGINE_CLASS]])</f>
        <v>RUNNING_COST_STEAM</v>
      </c>
      <c r="V163" s="10" t="s">
        <v>998</v>
      </c>
      <c r="W163" s="10" t="s">
        <v>999</v>
      </c>
      <c r="X163" s="10" t="str">
        <f>SUBSTITUTE(SUBSTITUTE(PROPERTIES[[#This Row],[PURCHASECOST_VALUE]], "PURCHASECOST_", ""), "_VALUE", "")</f>
        <v>STEAMENGINE</v>
      </c>
      <c r="AP163"/>
      <c r="AQ163"/>
      <c r="AR163"/>
    </row>
    <row r="164" spans="1:44">
      <c r="A164" s="2" t="s">
        <v>188</v>
      </c>
      <c r="B164">
        <v>1941</v>
      </c>
      <c r="C164">
        <v>0</v>
      </c>
      <c r="D164" t="s">
        <v>23</v>
      </c>
      <c r="E164" t="s">
        <v>20</v>
      </c>
      <c r="F164">
        <v>0</v>
      </c>
      <c r="G164" s="10">
        <v>390</v>
      </c>
      <c r="H164">
        <v>8</v>
      </c>
      <c r="I164">
        <v>12</v>
      </c>
      <c r="J164" s="2" t="s">
        <v>24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>
        <v>5500</v>
      </c>
      <c r="O164">
        <v>177</v>
      </c>
      <c r="P164" s="2">
        <v>0.09</v>
      </c>
      <c r="Q164" s="6">
        <v>40</v>
      </c>
      <c r="R164" s="10">
        <v>0</v>
      </c>
      <c r="S164" s="10">
        <v>6</v>
      </c>
      <c r="T164" s="10"/>
      <c r="U164" t="str">
        <f>"RUNNING_COST_"&amp;IF(PROPERTIES[[#This Row],[ENGINE_CLASS]]="MAGLEV","ELECTRIC",PROPERTIES[[#This Row],[ENGINE_CLASS]])</f>
        <v>RUNNING_COST_STEAM</v>
      </c>
      <c r="V164" s="10" t="s">
        <v>998</v>
      </c>
      <c r="W164" s="10" t="s">
        <v>999</v>
      </c>
      <c r="X164" s="10" t="str">
        <f>SUBSTITUTE(SUBSTITUTE(PROPERTIES[[#This Row],[PURCHASECOST_VALUE]], "PURCHASECOST_", ""), "_VALUE", "")</f>
        <v>STEAMENGINE</v>
      </c>
      <c r="AP164"/>
      <c r="AQ164"/>
      <c r="AR164"/>
    </row>
    <row r="165" spans="1:44">
      <c r="A165" s="2" t="s">
        <v>189</v>
      </c>
      <c r="B165">
        <v>1866</v>
      </c>
      <c r="C165">
        <v>0</v>
      </c>
      <c r="D165" t="s">
        <v>23</v>
      </c>
      <c r="E165" t="s">
        <v>20</v>
      </c>
      <c r="F165">
        <v>0</v>
      </c>
      <c r="G165" s="10">
        <v>57</v>
      </c>
      <c r="H165">
        <v>5</v>
      </c>
      <c r="I165">
        <v>6</v>
      </c>
      <c r="J165" s="2" t="s">
        <v>20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>
        <v>355</v>
      </c>
      <c r="O165">
        <v>60</v>
      </c>
      <c r="P165" s="2">
        <v>0.13</v>
      </c>
      <c r="Q165" s="6">
        <v>40</v>
      </c>
      <c r="R165" s="10">
        <v>0</v>
      </c>
      <c r="S165" s="10">
        <v>3</v>
      </c>
      <c r="T165" s="10"/>
      <c r="U165" t="str">
        <f>"RUNNING_COST_"&amp;IF(PROPERTIES[[#This Row],[ENGINE_CLASS]]="MAGLEV","ELECTRIC",PROPERTIES[[#This Row],[ENGINE_CLASS]])</f>
        <v>RUNNING_COST_STEAM</v>
      </c>
      <c r="V165" s="10" t="s">
        <v>998</v>
      </c>
      <c r="W165" s="10" t="s">
        <v>999</v>
      </c>
      <c r="X165" s="10" t="str">
        <f>SUBSTITUTE(SUBSTITUTE(PROPERTIES[[#This Row],[PURCHASECOST_VALUE]], "PURCHASECOST_", ""), "_VALUE", "")</f>
        <v>STEAMENGINE</v>
      </c>
      <c r="AP165"/>
      <c r="AQ165"/>
      <c r="AR165"/>
    </row>
    <row r="166" spans="1:44">
      <c r="A166" s="2" t="s">
        <v>190</v>
      </c>
      <c r="B166">
        <v>1914</v>
      </c>
      <c r="C166">
        <v>0</v>
      </c>
      <c r="D166" t="s">
        <v>23</v>
      </c>
      <c r="E166" t="s">
        <v>20</v>
      </c>
      <c r="F166">
        <v>0</v>
      </c>
      <c r="G166" s="10">
        <v>217</v>
      </c>
      <c r="H166">
        <v>6</v>
      </c>
      <c r="I166">
        <v>8</v>
      </c>
      <c r="J166" s="2" t="s">
        <v>20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>
        <v>2000</v>
      </c>
      <c r="O166">
        <v>96</v>
      </c>
      <c r="P166" s="2">
        <v>0.11</v>
      </c>
      <c r="Q166" s="6">
        <v>40</v>
      </c>
      <c r="R166" s="10">
        <v>0</v>
      </c>
      <c r="S166" s="10">
        <v>4</v>
      </c>
      <c r="T166" s="10"/>
      <c r="U166" t="str">
        <f>"RUNNING_COST_"&amp;IF(PROPERTIES[[#This Row],[ENGINE_CLASS]]="MAGLEV","ELECTRIC",PROPERTIES[[#This Row],[ENGINE_CLASS]])</f>
        <v>RUNNING_COST_STEAM</v>
      </c>
      <c r="V166" s="10" t="s">
        <v>998</v>
      </c>
      <c r="W166" s="10" t="s">
        <v>999</v>
      </c>
      <c r="X166" s="10" t="str">
        <f>SUBSTITUTE(SUBSTITUTE(PROPERTIES[[#This Row],[PURCHASECOST_VALUE]], "PURCHASECOST_", ""), "_VALUE", "")</f>
        <v>STEAMENGINE</v>
      </c>
      <c r="AP166"/>
      <c r="AQ166"/>
      <c r="AR166"/>
    </row>
    <row r="167" spans="1:44">
      <c r="A167" s="2" t="s">
        <v>191</v>
      </c>
      <c r="B167">
        <v>1871</v>
      </c>
      <c r="C167">
        <v>0</v>
      </c>
      <c r="D167" t="s">
        <v>23</v>
      </c>
      <c r="E167" t="s">
        <v>20</v>
      </c>
      <c r="F167">
        <v>0</v>
      </c>
      <c r="G167" s="10">
        <v>48</v>
      </c>
      <c r="H167">
        <v>4</v>
      </c>
      <c r="I167">
        <v>4</v>
      </c>
      <c r="J167" s="2" t="s">
        <v>20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>
        <v>145</v>
      </c>
      <c r="O167">
        <v>45</v>
      </c>
      <c r="P167" s="2">
        <v>0.04</v>
      </c>
      <c r="Q167" s="6">
        <v>40</v>
      </c>
      <c r="R167" s="10">
        <v>0</v>
      </c>
      <c r="S167" s="10">
        <v>0</v>
      </c>
      <c r="T167" s="10"/>
      <c r="U167" t="str">
        <f>"RUNNING_COST_"&amp;IF(PROPERTIES[[#This Row],[ENGINE_CLASS]]="MAGLEV","ELECTRIC",PROPERTIES[[#This Row],[ENGINE_CLASS]])</f>
        <v>RUNNING_COST_STEAM</v>
      </c>
      <c r="V167" s="10" t="s">
        <v>998</v>
      </c>
      <c r="W167" s="10" t="s">
        <v>999</v>
      </c>
      <c r="X167" s="10" t="str">
        <f>SUBSTITUTE(SUBSTITUTE(PROPERTIES[[#This Row],[PURCHASECOST_VALUE]], "PURCHASECOST_", ""), "_VALUE", "")</f>
        <v>STEAMENGINE</v>
      </c>
      <c r="AP167"/>
      <c r="AQ167"/>
      <c r="AR167"/>
    </row>
    <row r="168" spans="1:44">
      <c r="A168" s="2" t="s">
        <v>192</v>
      </c>
      <c r="B168">
        <v>1914</v>
      </c>
      <c r="C168">
        <v>0</v>
      </c>
      <c r="D168" t="s">
        <v>23</v>
      </c>
      <c r="E168" t="s">
        <v>20</v>
      </c>
      <c r="F168">
        <v>0</v>
      </c>
      <c r="G168" s="10">
        <v>126</v>
      </c>
      <c r="H168">
        <v>6</v>
      </c>
      <c r="I168">
        <v>8</v>
      </c>
      <c r="J168" s="2" t="s">
        <v>20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>
        <v>1150</v>
      </c>
      <c r="O168">
        <v>80</v>
      </c>
      <c r="P168" s="2">
        <v>0.1</v>
      </c>
      <c r="Q168" s="6">
        <v>40</v>
      </c>
      <c r="R168" s="10">
        <v>0</v>
      </c>
      <c r="S168" s="10">
        <v>4</v>
      </c>
      <c r="T168" s="10"/>
      <c r="U168" t="str">
        <f>"RUNNING_COST_"&amp;IF(PROPERTIES[[#This Row],[ENGINE_CLASS]]="MAGLEV","ELECTRIC",PROPERTIES[[#This Row],[ENGINE_CLASS]])</f>
        <v>RUNNING_COST_STEAM</v>
      </c>
      <c r="V168" s="10" t="s">
        <v>998</v>
      </c>
      <c r="W168" s="10" t="s">
        <v>999</v>
      </c>
      <c r="X168" s="10" t="str">
        <f>SUBSTITUTE(SUBSTITUTE(PROPERTIES[[#This Row],[PURCHASECOST_VALUE]], "PURCHASECOST_", ""), "_VALUE", "")</f>
        <v>STEAMENGINE</v>
      </c>
      <c r="AP168"/>
      <c r="AQ168"/>
      <c r="AR168"/>
    </row>
    <row r="169" spans="1:44">
      <c r="A169" s="2" t="s">
        <v>193</v>
      </c>
      <c r="B169">
        <v>1945</v>
      </c>
      <c r="C169">
        <v>0</v>
      </c>
      <c r="D169" t="s">
        <v>23</v>
      </c>
      <c r="E169" t="s">
        <v>20</v>
      </c>
      <c r="F169">
        <v>0</v>
      </c>
      <c r="G169" s="10">
        <v>127</v>
      </c>
      <c r="H169">
        <v>7</v>
      </c>
      <c r="I169">
        <v>8</v>
      </c>
      <c r="J169" s="2" t="s">
        <v>20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>
        <v>2000</v>
      </c>
      <c r="O169">
        <v>96</v>
      </c>
      <c r="P169" s="2">
        <v>0.15</v>
      </c>
      <c r="Q169" s="6">
        <v>40</v>
      </c>
      <c r="R169" s="10">
        <v>0</v>
      </c>
      <c r="S169" s="10">
        <v>4</v>
      </c>
      <c r="T169" s="10"/>
      <c r="U169" t="str">
        <f>"RUNNING_COST_"&amp;IF(PROPERTIES[[#This Row],[ENGINE_CLASS]]="MAGLEV","ELECTRIC",PROPERTIES[[#This Row],[ENGINE_CLASS]])</f>
        <v>RUNNING_COST_STEAM</v>
      </c>
      <c r="V169" s="10" t="s">
        <v>998</v>
      </c>
      <c r="W169" s="10" t="s">
        <v>999</v>
      </c>
      <c r="X169" s="10" t="str">
        <f>SUBSTITUTE(SUBSTITUTE(PROPERTIES[[#This Row],[PURCHASECOST_VALUE]], "PURCHASECOST_", ""), "_VALUE", "")</f>
        <v>STEAMENGINE</v>
      </c>
      <c r="AP169"/>
      <c r="AQ169"/>
      <c r="AR169"/>
    </row>
    <row r="170" spans="1:44">
      <c r="A170" s="2" t="s">
        <v>194</v>
      </c>
      <c r="B170">
        <v>1954</v>
      </c>
      <c r="C170">
        <v>0</v>
      </c>
      <c r="D170" t="s">
        <v>23</v>
      </c>
      <c r="E170" t="s">
        <v>20</v>
      </c>
      <c r="F170">
        <v>0</v>
      </c>
      <c r="G170" s="10">
        <v>146</v>
      </c>
      <c r="H170">
        <v>7</v>
      </c>
      <c r="I170">
        <v>8</v>
      </c>
      <c r="J170" s="2" t="s">
        <v>20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>
        <v>1457</v>
      </c>
      <c r="O170">
        <v>85</v>
      </c>
      <c r="P170" s="2">
        <v>0.1</v>
      </c>
      <c r="Q170" s="6">
        <v>40</v>
      </c>
      <c r="R170" s="10">
        <v>0</v>
      </c>
      <c r="S170" s="10">
        <v>4</v>
      </c>
      <c r="T170" s="10"/>
      <c r="U170" t="str">
        <f>"RUNNING_COST_"&amp;IF(PROPERTIES[[#This Row],[ENGINE_CLASS]]="MAGLEV","ELECTRIC",PROPERTIES[[#This Row],[ENGINE_CLASS]])</f>
        <v>RUNNING_COST_STEAM</v>
      </c>
      <c r="V170" s="10" t="s">
        <v>998</v>
      </c>
      <c r="W170" s="10" t="s">
        <v>999</v>
      </c>
      <c r="X170" s="10" t="str">
        <f>SUBSTITUTE(SUBSTITUTE(PROPERTIES[[#This Row],[PURCHASECOST_VALUE]], "PURCHASECOST_", ""), "_VALUE", "")</f>
        <v>STEAMENGINE</v>
      </c>
      <c r="AP170"/>
      <c r="AQ170"/>
      <c r="AR170"/>
    </row>
    <row r="171" spans="1:44">
      <c r="A171" s="2" t="s">
        <v>195</v>
      </c>
      <c r="B171">
        <v>1956</v>
      </c>
      <c r="C171">
        <v>0</v>
      </c>
      <c r="D171" t="s">
        <v>23</v>
      </c>
      <c r="E171" t="s">
        <v>20</v>
      </c>
      <c r="F171">
        <v>0</v>
      </c>
      <c r="G171" s="10">
        <v>133</v>
      </c>
      <c r="H171">
        <v>8</v>
      </c>
      <c r="I171">
        <v>12</v>
      </c>
      <c r="J171" s="2" t="s">
        <v>24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>
        <v>3580</v>
      </c>
      <c r="O171">
        <v>80</v>
      </c>
      <c r="P171" s="2">
        <v>0.21</v>
      </c>
      <c r="Q171" s="6">
        <v>40</v>
      </c>
      <c r="R171" s="10">
        <v>0</v>
      </c>
      <c r="S171" s="10">
        <v>6</v>
      </c>
      <c r="T171" s="10"/>
      <c r="U171" t="str">
        <f>"RUNNING_COST_"&amp;IF(PROPERTIES[[#This Row],[ENGINE_CLASS]]="MAGLEV","ELECTRIC",PROPERTIES[[#This Row],[ENGINE_CLASS]])</f>
        <v>RUNNING_COST_STEAM</v>
      </c>
      <c r="V171" s="10" t="s">
        <v>998</v>
      </c>
      <c r="W171" s="10" t="s">
        <v>999</v>
      </c>
      <c r="X171" s="10" t="str">
        <f>SUBSTITUTE(SUBSTITUTE(PROPERTIES[[#This Row],[PURCHASECOST_VALUE]], "PURCHASECOST_", ""), "_VALUE", "")</f>
        <v>STEAMENGINE</v>
      </c>
      <c r="AP171"/>
      <c r="AQ171"/>
      <c r="AR171"/>
    </row>
    <row r="172" spans="1:44">
      <c r="A172" s="2" t="s">
        <v>196</v>
      </c>
      <c r="B172">
        <v>1930</v>
      </c>
      <c r="C172">
        <v>0</v>
      </c>
      <c r="D172" t="s">
        <v>35</v>
      </c>
      <c r="E172" t="s">
        <v>20</v>
      </c>
      <c r="F172">
        <v>0</v>
      </c>
      <c r="G172" s="10">
        <v>18</v>
      </c>
      <c r="H172">
        <v>4</v>
      </c>
      <c r="I172">
        <v>4</v>
      </c>
      <c r="J172" s="2" t="s">
        <v>20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>
        <v>95</v>
      </c>
      <c r="O172">
        <v>30</v>
      </c>
      <c r="P172" s="2">
        <v>0.39</v>
      </c>
      <c r="Q172" s="6">
        <v>40</v>
      </c>
      <c r="R172" s="10">
        <v>0</v>
      </c>
      <c r="S172" s="10">
        <v>0</v>
      </c>
      <c r="T172" s="10"/>
      <c r="U172" t="str">
        <f>"RUNNING_COST_"&amp;IF(PROPERTIES[[#This Row],[ENGINE_CLASS]]="MAGLEV","ELECTRIC",PROPERTIES[[#This Row],[ENGINE_CLASS]])</f>
        <v>RUNNING_COST_DIESEL</v>
      </c>
      <c r="V172" s="10" t="s">
        <v>1000</v>
      </c>
      <c r="W172" s="10" t="s">
        <v>1001</v>
      </c>
      <c r="X172" s="10" t="str">
        <f>SUBSTITUTE(SUBSTITUTE(PROPERTIES[[#This Row],[PURCHASECOST_VALUE]], "PURCHASECOST_", ""), "_VALUE", "")</f>
        <v>DIESELENGINE</v>
      </c>
      <c r="AP172"/>
      <c r="AQ172"/>
      <c r="AR172"/>
    </row>
    <row r="173" spans="1:44">
      <c r="A173" s="2" t="s">
        <v>197</v>
      </c>
      <c r="B173">
        <v>1931</v>
      </c>
      <c r="C173">
        <v>0</v>
      </c>
      <c r="D173" t="s">
        <v>35</v>
      </c>
      <c r="E173" t="s">
        <v>20</v>
      </c>
      <c r="F173">
        <v>0</v>
      </c>
      <c r="G173" s="10">
        <v>61</v>
      </c>
      <c r="H173">
        <v>4</v>
      </c>
      <c r="I173">
        <v>4</v>
      </c>
      <c r="J173" s="2" t="s">
        <v>20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>
        <v>300</v>
      </c>
      <c r="O173">
        <v>100</v>
      </c>
      <c r="P173" s="2">
        <v>0.11</v>
      </c>
      <c r="Q173" s="6">
        <v>40</v>
      </c>
      <c r="R173" s="10">
        <v>0</v>
      </c>
      <c r="S173" s="10">
        <v>0</v>
      </c>
      <c r="T173" s="10"/>
      <c r="U173" t="str">
        <f>"RUNNING_COST_"&amp;IF(PROPERTIES[[#This Row],[ENGINE_CLASS]]="MAGLEV","ELECTRIC",PROPERTIES[[#This Row],[ENGINE_CLASS]])</f>
        <v>RUNNING_COST_DIESEL</v>
      </c>
      <c r="V173" s="10" t="s">
        <v>1000</v>
      </c>
      <c r="W173" s="10" t="s">
        <v>1001</v>
      </c>
      <c r="X173" s="10" t="str">
        <f>SUBSTITUTE(SUBSTITUTE(PROPERTIES[[#This Row],[PURCHASECOST_VALUE]], "PURCHASECOST_", ""), "_VALUE", "")</f>
        <v>DIESELENGINE</v>
      </c>
      <c r="AP173"/>
      <c r="AQ173"/>
      <c r="AR173"/>
    </row>
    <row r="174" spans="1:44">
      <c r="A174" s="2" t="s">
        <v>198</v>
      </c>
      <c r="B174">
        <v>1934</v>
      </c>
      <c r="C174">
        <v>0</v>
      </c>
      <c r="D174" t="s">
        <v>35</v>
      </c>
      <c r="E174" t="s">
        <v>20</v>
      </c>
      <c r="F174">
        <v>0</v>
      </c>
      <c r="G174" s="10">
        <v>21</v>
      </c>
      <c r="H174">
        <v>4</v>
      </c>
      <c r="I174">
        <v>4</v>
      </c>
      <c r="J174" s="2" t="s">
        <v>20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>
        <v>72</v>
      </c>
      <c r="O174">
        <v>60</v>
      </c>
      <c r="P174" s="2">
        <v>0.19</v>
      </c>
      <c r="Q174" s="6">
        <v>40</v>
      </c>
      <c r="R174" s="10">
        <v>0</v>
      </c>
      <c r="S174" s="10">
        <v>0</v>
      </c>
      <c r="T174" s="10"/>
      <c r="U174" t="str">
        <f>"RUNNING_COST_"&amp;IF(PROPERTIES[[#This Row],[ENGINE_CLASS]]="MAGLEV","ELECTRIC",PROPERTIES[[#This Row],[ENGINE_CLASS]])</f>
        <v>RUNNING_COST_DIESEL</v>
      </c>
      <c r="V174" s="10" t="s">
        <v>1000</v>
      </c>
      <c r="W174" s="10" t="s">
        <v>1001</v>
      </c>
      <c r="X174" s="10" t="str">
        <f>SUBSTITUTE(SUBSTITUTE(PROPERTIES[[#This Row],[PURCHASECOST_VALUE]], "PURCHASECOST_", ""), "_VALUE", "")</f>
        <v>DIESELENGINE</v>
      </c>
      <c r="AP174"/>
      <c r="AQ174"/>
      <c r="AR174"/>
    </row>
    <row r="175" spans="1:44">
      <c r="A175" s="2" t="s">
        <v>199</v>
      </c>
      <c r="B175">
        <v>1936</v>
      </c>
      <c r="C175">
        <v>0</v>
      </c>
      <c r="D175" t="s">
        <v>35</v>
      </c>
      <c r="E175" t="s">
        <v>20</v>
      </c>
      <c r="F175">
        <v>0</v>
      </c>
      <c r="G175" s="10">
        <v>26</v>
      </c>
      <c r="H175">
        <v>5</v>
      </c>
      <c r="I175">
        <v>5</v>
      </c>
      <c r="J175" s="2" t="s">
        <v>20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>
        <v>200</v>
      </c>
      <c r="O175">
        <v>55</v>
      </c>
      <c r="P175" s="2">
        <v>0.31</v>
      </c>
      <c r="Q175" s="6">
        <v>40</v>
      </c>
      <c r="R175" s="10">
        <v>0</v>
      </c>
      <c r="S175" s="10">
        <v>0</v>
      </c>
      <c r="T175" s="10"/>
      <c r="U175" t="str">
        <f>"RUNNING_COST_"&amp;IF(PROPERTIES[[#This Row],[ENGINE_CLASS]]="MAGLEV","ELECTRIC",PROPERTIES[[#This Row],[ENGINE_CLASS]])</f>
        <v>RUNNING_COST_DIESEL</v>
      </c>
      <c r="V175" s="10" t="s">
        <v>1000</v>
      </c>
      <c r="W175" s="10" t="s">
        <v>1001</v>
      </c>
      <c r="X175" s="10" t="str">
        <f>SUBSTITUTE(SUBSTITUTE(PROPERTIES[[#This Row],[PURCHASECOST_VALUE]], "PURCHASECOST_", ""), "_VALUE", "")</f>
        <v>DIESELENGINE</v>
      </c>
      <c r="AP175"/>
      <c r="AQ175"/>
      <c r="AR175"/>
    </row>
    <row r="176" spans="1:44">
      <c r="A176" s="2" t="s">
        <v>200</v>
      </c>
      <c r="B176">
        <v>1938</v>
      </c>
      <c r="C176">
        <v>0</v>
      </c>
      <c r="D176" t="s">
        <v>35</v>
      </c>
      <c r="E176" t="s">
        <v>20</v>
      </c>
      <c r="F176">
        <v>0</v>
      </c>
      <c r="G176" s="10">
        <v>92</v>
      </c>
      <c r="H176">
        <v>8</v>
      </c>
      <c r="I176">
        <v>8</v>
      </c>
      <c r="J176" s="2" t="s">
        <v>20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>
        <v>2170</v>
      </c>
      <c r="O176">
        <v>110</v>
      </c>
      <c r="P176" s="2">
        <v>0.14000000000000001</v>
      </c>
      <c r="Q176" s="6">
        <v>40</v>
      </c>
      <c r="R176" s="10">
        <v>0</v>
      </c>
      <c r="S176" s="10">
        <v>0</v>
      </c>
      <c r="T176" s="10"/>
      <c r="U176" t="str">
        <f>"RUNNING_COST_"&amp;IF(PROPERTIES[[#This Row],[ENGINE_CLASS]]="MAGLEV","ELECTRIC",PROPERTIES[[#This Row],[ENGINE_CLASS]])</f>
        <v>RUNNING_COST_DIESEL</v>
      </c>
      <c r="V176" s="10" t="s">
        <v>1000</v>
      </c>
      <c r="W176" s="10" t="s">
        <v>1001</v>
      </c>
      <c r="X176" s="10" t="str">
        <f>SUBSTITUTE(SUBSTITUTE(PROPERTIES[[#This Row],[PURCHASECOST_VALUE]], "PURCHASECOST_", ""), "_VALUE", "")</f>
        <v>DIESELENGINE</v>
      </c>
      <c r="AP176"/>
      <c r="AQ176"/>
      <c r="AR176"/>
    </row>
    <row r="177" spans="1:44">
      <c r="A177" s="2" t="s">
        <v>201</v>
      </c>
      <c r="B177">
        <v>1940</v>
      </c>
      <c r="C177">
        <v>0</v>
      </c>
      <c r="D177" t="s">
        <v>35</v>
      </c>
      <c r="E177" t="s">
        <v>20</v>
      </c>
      <c r="F177">
        <v>0</v>
      </c>
      <c r="G177" s="10">
        <v>40</v>
      </c>
      <c r="H177">
        <v>5</v>
      </c>
      <c r="I177">
        <v>5</v>
      </c>
      <c r="J177" s="2" t="s">
        <v>20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>
        <v>380</v>
      </c>
      <c r="O177">
        <v>56</v>
      </c>
      <c r="P177" s="2">
        <v>0.15</v>
      </c>
      <c r="Q177" s="6">
        <v>40</v>
      </c>
      <c r="R177" s="10">
        <v>0</v>
      </c>
      <c r="S177" s="10">
        <v>0</v>
      </c>
      <c r="T177" s="10"/>
      <c r="U177" t="str">
        <f>"RUNNING_COST_"&amp;IF(PROPERTIES[[#This Row],[ENGINE_CLASS]]="MAGLEV","ELECTRIC",PROPERTIES[[#This Row],[ENGINE_CLASS]])</f>
        <v>RUNNING_COST_DIESEL</v>
      </c>
      <c r="V177" s="10" t="s">
        <v>1000</v>
      </c>
      <c r="W177" s="10" t="s">
        <v>1001</v>
      </c>
      <c r="X177" s="10" t="str">
        <f>SUBSTITUTE(SUBSTITUTE(PROPERTIES[[#This Row],[PURCHASECOST_VALUE]], "PURCHASECOST_", ""), "_VALUE", "")</f>
        <v>DIESELENGINE</v>
      </c>
      <c r="AP177"/>
      <c r="AQ177"/>
      <c r="AR177"/>
    </row>
    <row r="178" spans="1:44">
      <c r="A178" s="2" t="s">
        <v>202</v>
      </c>
      <c r="B178">
        <v>1940</v>
      </c>
      <c r="C178">
        <v>0</v>
      </c>
      <c r="D178" t="s">
        <v>35</v>
      </c>
      <c r="E178" t="s">
        <v>20</v>
      </c>
      <c r="F178">
        <v>0</v>
      </c>
      <c r="G178" s="10">
        <v>104</v>
      </c>
      <c r="H178">
        <v>6</v>
      </c>
      <c r="I178">
        <v>6</v>
      </c>
      <c r="J178" s="2" t="s">
        <v>20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>
        <v>1000</v>
      </c>
      <c r="O178">
        <v>96</v>
      </c>
      <c r="P178" s="2">
        <v>0.15</v>
      </c>
      <c r="Q178" s="6">
        <v>40</v>
      </c>
      <c r="R178" s="10">
        <v>0</v>
      </c>
      <c r="S178" s="10">
        <v>0</v>
      </c>
      <c r="T178" s="10"/>
      <c r="U178" t="str">
        <f>"RUNNING_COST_"&amp;IF(PROPERTIES[[#This Row],[ENGINE_CLASS]]="MAGLEV","ELECTRIC",PROPERTIES[[#This Row],[ENGINE_CLASS]])</f>
        <v>RUNNING_COST_DIESEL</v>
      </c>
      <c r="V178" s="10" t="s">
        <v>1000</v>
      </c>
      <c r="W178" s="10" t="s">
        <v>1001</v>
      </c>
      <c r="X178" s="10" t="str">
        <f>SUBSTITUTE(SUBSTITUTE(PROPERTIES[[#This Row],[PURCHASECOST_VALUE]], "PURCHASECOST_", ""), "_VALUE", "")</f>
        <v>DIESELENGINE</v>
      </c>
      <c r="AP178"/>
      <c r="AQ178"/>
      <c r="AR178"/>
    </row>
    <row r="179" spans="1:44">
      <c r="A179" s="2" t="s">
        <v>203</v>
      </c>
      <c r="B179">
        <v>1946</v>
      </c>
      <c r="C179">
        <v>0</v>
      </c>
      <c r="D179" t="s">
        <v>35</v>
      </c>
      <c r="E179" t="s">
        <v>20</v>
      </c>
      <c r="F179">
        <v>0</v>
      </c>
      <c r="G179" s="10">
        <v>139</v>
      </c>
      <c r="H179">
        <v>7</v>
      </c>
      <c r="I179">
        <v>7</v>
      </c>
      <c r="J179" s="2" t="s">
        <v>20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>
        <v>1500</v>
      </c>
      <c r="O179">
        <v>105</v>
      </c>
      <c r="P179" s="2">
        <v>0.16</v>
      </c>
      <c r="Q179" s="6">
        <v>40</v>
      </c>
      <c r="R179" s="10">
        <v>0</v>
      </c>
      <c r="S179" s="10">
        <v>0</v>
      </c>
      <c r="T179" s="10"/>
      <c r="U179" t="str">
        <f>"RUNNING_COST_"&amp;IF(PROPERTIES[[#This Row],[ENGINE_CLASS]]="MAGLEV","ELECTRIC",PROPERTIES[[#This Row],[ENGINE_CLASS]])</f>
        <v>RUNNING_COST_DIESEL</v>
      </c>
      <c r="V179" s="10" t="s">
        <v>1000</v>
      </c>
      <c r="W179" s="10" t="s">
        <v>1001</v>
      </c>
      <c r="X179" s="10" t="str">
        <f>SUBSTITUTE(SUBSTITUTE(PROPERTIES[[#This Row],[PURCHASECOST_VALUE]], "PURCHASECOST_", ""), "_VALUE", "")</f>
        <v>DIESELENGINE</v>
      </c>
      <c r="AP179"/>
      <c r="AQ179"/>
      <c r="AR179"/>
    </row>
    <row r="180" spans="1:44">
      <c r="A180" s="2" t="s">
        <v>204</v>
      </c>
      <c r="B180">
        <v>1949</v>
      </c>
      <c r="C180">
        <v>0</v>
      </c>
      <c r="D180" t="s">
        <v>35</v>
      </c>
      <c r="E180" t="s">
        <v>20</v>
      </c>
      <c r="F180">
        <v>0</v>
      </c>
      <c r="G180" s="10">
        <v>155</v>
      </c>
      <c r="H180">
        <v>8</v>
      </c>
      <c r="I180">
        <v>8</v>
      </c>
      <c r="J180" s="2" t="s">
        <v>20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>
        <v>2250</v>
      </c>
      <c r="O180">
        <v>152</v>
      </c>
      <c r="P180" s="2">
        <v>0.13</v>
      </c>
      <c r="Q180" s="6">
        <v>40</v>
      </c>
      <c r="R180" s="10">
        <v>0</v>
      </c>
      <c r="S180" s="10">
        <v>0</v>
      </c>
      <c r="T180" s="10"/>
      <c r="U180" t="str">
        <f>"RUNNING_COST_"&amp;IF(PROPERTIES[[#This Row],[ENGINE_CLASS]]="MAGLEV","ELECTRIC",PROPERTIES[[#This Row],[ENGINE_CLASS]])</f>
        <v>RUNNING_COST_DIESEL</v>
      </c>
      <c r="V180" s="10" t="s">
        <v>1000</v>
      </c>
      <c r="W180" s="10" t="s">
        <v>1001</v>
      </c>
      <c r="X180" s="10" t="str">
        <f>SUBSTITUTE(SUBSTITUTE(PROPERTIES[[#This Row],[PURCHASECOST_VALUE]], "PURCHASECOST_", ""), "_VALUE", "")</f>
        <v>DIESELENGINE</v>
      </c>
      <c r="AP180"/>
      <c r="AQ180"/>
      <c r="AR180"/>
    </row>
    <row r="181" spans="1:44">
      <c r="A181" s="2" t="s">
        <v>205</v>
      </c>
      <c r="B181">
        <v>1950</v>
      </c>
      <c r="C181">
        <v>0</v>
      </c>
      <c r="D181" t="s">
        <v>35</v>
      </c>
      <c r="E181" t="s">
        <v>20</v>
      </c>
      <c r="F181">
        <v>0</v>
      </c>
      <c r="G181" s="10">
        <v>103</v>
      </c>
      <c r="H181">
        <v>7</v>
      </c>
      <c r="I181">
        <v>7</v>
      </c>
      <c r="J181" s="2" t="s">
        <v>20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>
        <v>1600</v>
      </c>
      <c r="O181">
        <v>104</v>
      </c>
      <c r="P181" s="2">
        <v>0.1</v>
      </c>
      <c r="Q181" s="6">
        <v>40</v>
      </c>
      <c r="R181" s="10">
        <v>0</v>
      </c>
      <c r="S181" s="10">
        <v>0</v>
      </c>
      <c r="T181" s="10"/>
      <c r="U181" t="str">
        <f>"RUNNING_COST_"&amp;IF(PROPERTIES[[#This Row],[ENGINE_CLASS]]="MAGLEV","ELECTRIC",PROPERTIES[[#This Row],[ENGINE_CLASS]])</f>
        <v>RUNNING_COST_DIESEL</v>
      </c>
      <c r="V181" s="10" t="s">
        <v>1000</v>
      </c>
      <c r="W181" s="10" t="s">
        <v>1001</v>
      </c>
      <c r="X181" s="10" t="str">
        <f>SUBSTITUTE(SUBSTITUTE(PROPERTIES[[#This Row],[PURCHASECOST_VALUE]], "PURCHASECOST_", ""), "_VALUE", "")</f>
        <v>DIESELENGINE</v>
      </c>
      <c r="AP181"/>
      <c r="AQ181"/>
      <c r="AR181"/>
    </row>
    <row r="182" spans="1:44">
      <c r="A182" s="2" t="s">
        <v>206</v>
      </c>
      <c r="B182">
        <v>1950</v>
      </c>
      <c r="C182">
        <v>0</v>
      </c>
      <c r="D182" t="s">
        <v>35</v>
      </c>
      <c r="E182" t="s">
        <v>20</v>
      </c>
      <c r="F182">
        <v>0</v>
      </c>
      <c r="G182" s="10">
        <v>47</v>
      </c>
      <c r="H182">
        <v>5</v>
      </c>
      <c r="I182">
        <v>5</v>
      </c>
      <c r="J182" s="2" t="s">
        <v>20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>
        <v>400</v>
      </c>
      <c r="O182">
        <v>30</v>
      </c>
      <c r="P182" s="2">
        <v>0.3</v>
      </c>
      <c r="Q182" s="6">
        <v>40</v>
      </c>
      <c r="R182" s="10">
        <v>0</v>
      </c>
      <c r="S182" s="10">
        <v>0</v>
      </c>
      <c r="T182" s="10"/>
      <c r="U182" t="str">
        <f>"RUNNING_COST_"&amp;IF(PROPERTIES[[#This Row],[ENGINE_CLASS]]="MAGLEV","ELECTRIC",PROPERTIES[[#This Row],[ENGINE_CLASS]])</f>
        <v>RUNNING_COST_DIESEL</v>
      </c>
      <c r="V182" s="10" t="s">
        <v>1000</v>
      </c>
      <c r="W182" s="10" t="s">
        <v>1001</v>
      </c>
      <c r="X182" s="10" t="str">
        <f>SUBSTITUTE(SUBSTITUTE(PROPERTIES[[#This Row],[PURCHASECOST_VALUE]], "PURCHASECOST_", ""), "_VALUE", "")</f>
        <v>DIESELENGINE</v>
      </c>
      <c r="AP182"/>
      <c r="AQ182"/>
      <c r="AR182"/>
    </row>
    <row r="183" spans="1:44">
      <c r="A183" s="2" t="s">
        <v>207</v>
      </c>
      <c r="B183">
        <v>1950</v>
      </c>
      <c r="C183">
        <v>0</v>
      </c>
      <c r="D183" t="s">
        <v>35</v>
      </c>
      <c r="E183" t="s">
        <v>20</v>
      </c>
      <c r="F183">
        <v>0</v>
      </c>
      <c r="G183" s="10">
        <v>121</v>
      </c>
      <c r="H183">
        <v>7</v>
      </c>
      <c r="I183">
        <v>7</v>
      </c>
      <c r="J183" s="2" t="s">
        <v>20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>
        <v>1600</v>
      </c>
      <c r="O183">
        <v>140</v>
      </c>
      <c r="P183" s="2">
        <v>0.16</v>
      </c>
      <c r="Q183" s="6">
        <v>40</v>
      </c>
      <c r="R183" s="10">
        <v>0</v>
      </c>
      <c r="S183" s="10">
        <v>0</v>
      </c>
      <c r="T183" s="10"/>
      <c r="U183" t="str">
        <f>"RUNNING_COST_"&amp;IF(PROPERTIES[[#This Row],[ENGINE_CLASS]]="MAGLEV","ELECTRIC",PROPERTIES[[#This Row],[ENGINE_CLASS]])</f>
        <v>RUNNING_COST_DIESEL</v>
      </c>
      <c r="V183" s="10" t="s">
        <v>1000</v>
      </c>
      <c r="W183" s="10" t="s">
        <v>1001</v>
      </c>
      <c r="X183" s="10" t="str">
        <f>SUBSTITUTE(SUBSTITUTE(PROPERTIES[[#This Row],[PURCHASECOST_VALUE]], "PURCHASECOST_", ""), "_VALUE", "")</f>
        <v>DIESELENGINE</v>
      </c>
      <c r="AP183"/>
      <c r="AQ183"/>
      <c r="AR183"/>
    </row>
    <row r="184" spans="1:44">
      <c r="A184" s="2" t="s">
        <v>208</v>
      </c>
      <c r="B184">
        <v>1952</v>
      </c>
      <c r="C184">
        <v>0</v>
      </c>
      <c r="D184" t="s">
        <v>35</v>
      </c>
      <c r="E184" t="s">
        <v>20</v>
      </c>
      <c r="F184">
        <v>0</v>
      </c>
      <c r="G184" s="10">
        <v>112</v>
      </c>
      <c r="H184">
        <v>8</v>
      </c>
      <c r="I184">
        <v>8</v>
      </c>
      <c r="J184" s="2" t="s">
        <v>20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>
        <v>1500</v>
      </c>
      <c r="O184">
        <v>110</v>
      </c>
      <c r="P184" s="2">
        <v>0.18</v>
      </c>
      <c r="Q184" s="6">
        <v>40</v>
      </c>
      <c r="R184" s="10">
        <v>0</v>
      </c>
      <c r="S184" s="10">
        <v>0</v>
      </c>
      <c r="T184" s="10"/>
      <c r="U184" t="str">
        <f>"RUNNING_COST_"&amp;IF(PROPERTIES[[#This Row],[ENGINE_CLASS]]="MAGLEV","ELECTRIC",PROPERTIES[[#This Row],[ENGINE_CLASS]])</f>
        <v>RUNNING_COST_DIESEL</v>
      </c>
      <c r="V184" s="10" t="s">
        <v>1000</v>
      </c>
      <c r="W184" s="10" t="s">
        <v>1001</v>
      </c>
      <c r="X184" s="10" t="str">
        <f>SUBSTITUTE(SUBSTITUTE(PROPERTIES[[#This Row],[PURCHASECOST_VALUE]], "PURCHASECOST_", ""), "_VALUE", "")</f>
        <v>DIESELENGINE</v>
      </c>
      <c r="AP184"/>
      <c r="AQ184"/>
      <c r="AR184"/>
    </row>
    <row r="185" spans="1:44">
      <c r="A185" s="2" t="s">
        <v>209</v>
      </c>
      <c r="B185">
        <v>1953</v>
      </c>
      <c r="C185">
        <v>0</v>
      </c>
      <c r="D185" t="s">
        <v>35</v>
      </c>
      <c r="E185" t="s">
        <v>20</v>
      </c>
      <c r="F185">
        <v>0</v>
      </c>
      <c r="G185" s="10">
        <v>170</v>
      </c>
      <c r="H185">
        <v>8</v>
      </c>
      <c r="I185">
        <v>8</v>
      </c>
      <c r="J185" s="2" t="s">
        <v>20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>
        <v>2400</v>
      </c>
      <c r="O185">
        <v>105</v>
      </c>
      <c r="P185" s="2">
        <v>0.28999999999999998</v>
      </c>
      <c r="Q185" s="6">
        <v>40</v>
      </c>
      <c r="R185" s="10">
        <v>0</v>
      </c>
      <c r="S185" s="10">
        <v>0</v>
      </c>
      <c r="T185" s="10"/>
      <c r="U185" t="str">
        <f>"RUNNING_COST_"&amp;IF(PROPERTIES[[#This Row],[ENGINE_CLASS]]="MAGLEV","ELECTRIC",PROPERTIES[[#This Row],[ENGINE_CLASS]])</f>
        <v>RUNNING_COST_DIESEL</v>
      </c>
      <c r="V185" s="10" t="s">
        <v>1000</v>
      </c>
      <c r="W185" s="10" t="s">
        <v>1001</v>
      </c>
      <c r="X185" s="10" t="str">
        <f>SUBSTITUTE(SUBSTITUTE(PROPERTIES[[#This Row],[PURCHASECOST_VALUE]], "PURCHASECOST_", ""), "_VALUE", "")</f>
        <v>DIESELENGINE</v>
      </c>
      <c r="AP185"/>
      <c r="AQ185"/>
      <c r="AR185"/>
    </row>
    <row r="186" spans="1:44">
      <c r="A186" s="2" t="s">
        <v>210</v>
      </c>
      <c r="B186">
        <v>1953</v>
      </c>
      <c r="C186">
        <v>0</v>
      </c>
      <c r="D186" t="s">
        <v>35</v>
      </c>
      <c r="E186" t="s">
        <v>20</v>
      </c>
      <c r="F186">
        <v>0</v>
      </c>
      <c r="G186" s="10">
        <v>50</v>
      </c>
      <c r="H186">
        <v>5</v>
      </c>
      <c r="I186">
        <v>5</v>
      </c>
      <c r="J186" s="2" t="s">
        <v>20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>
        <v>350</v>
      </c>
      <c r="O186">
        <v>35</v>
      </c>
      <c r="P186" s="2">
        <v>0.32</v>
      </c>
      <c r="Q186" s="6">
        <v>40</v>
      </c>
      <c r="R186" s="10">
        <v>0</v>
      </c>
      <c r="S186" s="10">
        <v>0</v>
      </c>
      <c r="T186" s="10"/>
      <c r="U186" t="str">
        <f>"RUNNING_COST_"&amp;IF(PROPERTIES[[#This Row],[ENGINE_CLASS]]="MAGLEV","ELECTRIC",PROPERTIES[[#This Row],[ENGINE_CLASS]])</f>
        <v>RUNNING_COST_DIESEL</v>
      </c>
      <c r="V186" s="10" t="s">
        <v>1000</v>
      </c>
      <c r="W186" s="10" t="s">
        <v>1001</v>
      </c>
      <c r="X186" s="10" t="str">
        <f>SUBSTITUTE(SUBSTITUTE(PROPERTIES[[#This Row],[PURCHASECOST_VALUE]], "PURCHASECOST_", ""), "_VALUE", "")</f>
        <v>DIESELENGINE</v>
      </c>
      <c r="AP186"/>
      <c r="AQ186"/>
      <c r="AR186"/>
    </row>
    <row r="187" spans="1:44">
      <c r="A187" s="2" t="s">
        <v>211</v>
      </c>
      <c r="B187">
        <v>1954</v>
      </c>
      <c r="C187">
        <v>0</v>
      </c>
      <c r="D187" t="s">
        <v>35</v>
      </c>
      <c r="E187" t="s">
        <v>20</v>
      </c>
      <c r="F187">
        <v>0</v>
      </c>
      <c r="G187" s="10">
        <v>28</v>
      </c>
      <c r="H187">
        <v>5</v>
      </c>
      <c r="I187">
        <v>5</v>
      </c>
      <c r="J187" s="2" t="s">
        <v>20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>
        <v>200</v>
      </c>
      <c r="O187">
        <v>60</v>
      </c>
      <c r="P187" s="2">
        <v>0.28000000000000003</v>
      </c>
      <c r="Q187" s="6">
        <v>40</v>
      </c>
      <c r="R187" s="10">
        <v>0</v>
      </c>
      <c r="S187" s="10">
        <v>0</v>
      </c>
      <c r="T187" s="10"/>
      <c r="U187" t="str">
        <f>"RUNNING_COST_"&amp;IF(PROPERTIES[[#This Row],[ENGINE_CLASS]]="MAGLEV","ELECTRIC",PROPERTIES[[#This Row],[ENGINE_CLASS]])</f>
        <v>RUNNING_COST_DIESEL</v>
      </c>
      <c r="V187" s="10" t="s">
        <v>1000</v>
      </c>
      <c r="W187" s="10" t="s">
        <v>1001</v>
      </c>
      <c r="X187" s="10" t="str">
        <f>SUBSTITUTE(SUBSTITUTE(PROPERTIES[[#This Row],[PURCHASECOST_VALUE]], "PURCHASECOST_", ""), "_VALUE", "")</f>
        <v>DIESELENGINE</v>
      </c>
      <c r="AP187"/>
      <c r="AQ187"/>
      <c r="AR187"/>
    </row>
    <row r="188" spans="1:44">
      <c r="A188" s="2" t="s">
        <v>212</v>
      </c>
      <c r="B188">
        <v>1954</v>
      </c>
      <c r="C188">
        <v>0</v>
      </c>
      <c r="D188" t="s">
        <v>35</v>
      </c>
      <c r="E188" t="s">
        <v>20</v>
      </c>
      <c r="F188">
        <v>0</v>
      </c>
      <c r="G188" s="10">
        <v>111</v>
      </c>
      <c r="H188">
        <v>6</v>
      </c>
      <c r="I188">
        <v>6</v>
      </c>
      <c r="J188" s="2" t="s">
        <v>20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>
        <v>1200</v>
      </c>
      <c r="O188">
        <v>104</v>
      </c>
      <c r="P188" s="2">
        <v>0.14000000000000001</v>
      </c>
      <c r="Q188" s="6">
        <v>40</v>
      </c>
      <c r="R188" s="10">
        <v>0</v>
      </c>
      <c r="S188" s="10">
        <v>0</v>
      </c>
      <c r="T188" s="10"/>
      <c r="U188" t="str">
        <f>"RUNNING_COST_"&amp;IF(PROPERTIES[[#This Row],[ENGINE_CLASS]]="MAGLEV","ELECTRIC",PROPERTIES[[#This Row],[ENGINE_CLASS]])</f>
        <v>RUNNING_COST_DIESEL</v>
      </c>
      <c r="V188" s="10" t="s">
        <v>1000</v>
      </c>
      <c r="W188" s="10" t="s">
        <v>1001</v>
      </c>
      <c r="X188" s="10" t="str">
        <f>SUBSTITUTE(SUBSTITUTE(PROPERTIES[[#This Row],[PURCHASECOST_VALUE]], "PURCHASECOST_", ""), "_VALUE", "")</f>
        <v>DIESELENGINE</v>
      </c>
      <c r="AP188"/>
      <c r="AQ188"/>
      <c r="AR188"/>
    </row>
    <row r="189" spans="1:44">
      <c r="A189" s="2" t="s">
        <v>213</v>
      </c>
      <c r="B189">
        <v>1954</v>
      </c>
      <c r="C189">
        <v>0</v>
      </c>
      <c r="D189" t="s">
        <v>35</v>
      </c>
      <c r="E189" t="s">
        <v>20</v>
      </c>
      <c r="F189">
        <v>0</v>
      </c>
      <c r="G189" s="10">
        <v>104</v>
      </c>
      <c r="H189">
        <v>8</v>
      </c>
      <c r="I189">
        <v>8</v>
      </c>
      <c r="J189" s="2" t="s">
        <v>20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>
        <v>1750</v>
      </c>
      <c r="O189">
        <v>144</v>
      </c>
      <c r="P189" s="2">
        <v>0.19</v>
      </c>
      <c r="Q189" s="6">
        <v>40</v>
      </c>
      <c r="R189" s="10">
        <v>0</v>
      </c>
      <c r="S189" s="10">
        <v>0</v>
      </c>
      <c r="T189" s="10">
        <v>55</v>
      </c>
      <c r="U189" t="str">
        <f>"RUNNING_COST_"&amp;IF(PROPERTIES[[#This Row],[ENGINE_CLASS]]="MAGLEV","ELECTRIC",PROPERTIES[[#This Row],[ENGINE_CLASS]])</f>
        <v>RUNNING_COST_DIESEL</v>
      </c>
      <c r="V189" s="10" t="s">
        <v>1000</v>
      </c>
      <c r="W189" s="10" t="s">
        <v>1001</v>
      </c>
      <c r="X189" s="10" t="str">
        <f>SUBSTITUTE(SUBSTITUTE(PROPERTIES[[#This Row],[PURCHASECOST_VALUE]], "PURCHASECOST_", ""), "_VALUE", "")</f>
        <v>DIESELENGINE</v>
      </c>
      <c r="AP189"/>
      <c r="AQ189"/>
      <c r="AR189"/>
    </row>
    <row r="190" spans="1:44">
      <c r="A190" s="2" t="s">
        <v>214</v>
      </c>
      <c r="B190">
        <v>1954</v>
      </c>
      <c r="C190">
        <v>0</v>
      </c>
      <c r="D190" t="s">
        <v>35</v>
      </c>
      <c r="E190" t="s">
        <v>20</v>
      </c>
      <c r="F190">
        <v>0</v>
      </c>
      <c r="G190" s="10">
        <v>55</v>
      </c>
      <c r="H190">
        <v>6</v>
      </c>
      <c r="I190">
        <v>6</v>
      </c>
      <c r="J190" s="2" t="s">
        <v>20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>
        <v>590</v>
      </c>
      <c r="O190">
        <v>80</v>
      </c>
      <c r="P190" s="2">
        <v>0.3</v>
      </c>
      <c r="Q190" s="6">
        <v>40</v>
      </c>
      <c r="R190" s="10">
        <v>0</v>
      </c>
      <c r="S190" s="10">
        <v>0</v>
      </c>
      <c r="T190" s="10"/>
      <c r="U190" t="str">
        <f>"RUNNING_COST_"&amp;IF(PROPERTIES[[#This Row],[ENGINE_CLASS]]="MAGLEV","ELECTRIC",PROPERTIES[[#This Row],[ENGINE_CLASS]])</f>
        <v>RUNNING_COST_DIESEL</v>
      </c>
      <c r="V190" s="10" t="s">
        <v>1000</v>
      </c>
      <c r="W190" s="10" t="s">
        <v>1001</v>
      </c>
      <c r="X190" s="10" t="str">
        <f>SUBSTITUTE(SUBSTITUTE(PROPERTIES[[#This Row],[PURCHASECOST_VALUE]], "PURCHASECOST_", ""), "_VALUE", "")</f>
        <v>DIESELENGINE</v>
      </c>
      <c r="AP190"/>
      <c r="AQ190"/>
      <c r="AR190"/>
    </row>
    <row r="191" spans="1:44">
      <c r="A191" s="2" t="s">
        <v>215</v>
      </c>
      <c r="B191">
        <v>1955</v>
      </c>
      <c r="C191">
        <v>0</v>
      </c>
      <c r="D191" t="s">
        <v>35</v>
      </c>
      <c r="E191" t="s">
        <v>20</v>
      </c>
      <c r="F191">
        <v>0</v>
      </c>
      <c r="G191" s="10">
        <v>19</v>
      </c>
      <c r="H191">
        <v>4</v>
      </c>
      <c r="I191">
        <v>4</v>
      </c>
      <c r="J191" s="2" t="s">
        <v>20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>
        <v>197</v>
      </c>
      <c r="O191">
        <v>50</v>
      </c>
      <c r="P191" s="2">
        <v>0.32</v>
      </c>
      <c r="Q191" s="6">
        <v>40</v>
      </c>
      <c r="R191" s="10">
        <v>0</v>
      </c>
      <c r="S191" s="10">
        <v>0</v>
      </c>
      <c r="T191" s="10"/>
      <c r="U191" t="str">
        <f>"RUNNING_COST_"&amp;IF(PROPERTIES[[#This Row],[ENGINE_CLASS]]="MAGLEV","ELECTRIC",PROPERTIES[[#This Row],[ENGINE_CLASS]])</f>
        <v>RUNNING_COST_DIESEL</v>
      </c>
      <c r="V191" s="10" t="s">
        <v>1000</v>
      </c>
      <c r="W191" s="10" t="s">
        <v>1001</v>
      </c>
      <c r="X191" s="10" t="str">
        <f>SUBSTITUTE(SUBSTITUTE(PROPERTIES[[#This Row],[PURCHASECOST_VALUE]], "PURCHASECOST_", ""), "_VALUE", "")</f>
        <v>DIESELENGINE</v>
      </c>
      <c r="AP191"/>
      <c r="AQ191"/>
      <c r="AR191"/>
    </row>
    <row r="192" spans="1:44">
      <c r="A192" s="2" t="s">
        <v>216</v>
      </c>
      <c r="B192">
        <v>1956</v>
      </c>
      <c r="C192">
        <v>0</v>
      </c>
      <c r="D192" t="s">
        <v>35</v>
      </c>
      <c r="E192" t="s">
        <v>20</v>
      </c>
      <c r="F192">
        <v>0</v>
      </c>
      <c r="G192" s="10">
        <v>40</v>
      </c>
      <c r="H192">
        <v>5</v>
      </c>
      <c r="I192">
        <v>5</v>
      </c>
      <c r="J192" s="2" t="s">
        <v>20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>
        <v>440</v>
      </c>
      <c r="O192">
        <v>50</v>
      </c>
      <c r="P192" s="2">
        <v>0.39</v>
      </c>
      <c r="Q192" s="6">
        <v>40</v>
      </c>
      <c r="R192" s="10">
        <v>0</v>
      </c>
      <c r="S192" s="10">
        <v>0</v>
      </c>
      <c r="T192" s="10"/>
      <c r="U192" t="str">
        <f>"RUNNING_COST_"&amp;IF(PROPERTIES[[#This Row],[ENGINE_CLASS]]="MAGLEV","ELECTRIC",PROPERTIES[[#This Row],[ENGINE_CLASS]])</f>
        <v>RUNNING_COST_DIESEL</v>
      </c>
      <c r="V192" s="10" t="s">
        <v>1000</v>
      </c>
      <c r="W192" s="10" t="s">
        <v>1001</v>
      </c>
      <c r="X192" s="10" t="str">
        <f>SUBSTITUTE(SUBSTITUTE(PROPERTIES[[#This Row],[PURCHASECOST_VALUE]], "PURCHASECOST_", ""), "_VALUE", "")</f>
        <v>DIESELENGINE</v>
      </c>
      <c r="AP192"/>
      <c r="AQ192"/>
      <c r="AR192"/>
    </row>
    <row r="193" spans="1:44">
      <c r="A193" s="2" t="s">
        <v>217</v>
      </c>
      <c r="B193">
        <v>1956</v>
      </c>
      <c r="C193">
        <v>0</v>
      </c>
      <c r="D193" t="s">
        <v>35</v>
      </c>
      <c r="E193" t="s">
        <v>20</v>
      </c>
      <c r="F193">
        <v>0</v>
      </c>
      <c r="G193" s="10">
        <v>81</v>
      </c>
      <c r="H193">
        <v>8</v>
      </c>
      <c r="I193">
        <v>8</v>
      </c>
      <c r="J193" s="2" t="s">
        <v>20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>
        <v>2169</v>
      </c>
      <c r="O193">
        <v>140</v>
      </c>
      <c r="P193" s="2">
        <v>0.28999999999999998</v>
      </c>
      <c r="Q193" s="6">
        <v>40</v>
      </c>
      <c r="R193" s="10">
        <v>0</v>
      </c>
      <c r="S193" s="10">
        <v>0</v>
      </c>
      <c r="T193" s="10"/>
      <c r="U193" t="str">
        <f>"RUNNING_COST_"&amp;IF(PROPERTIES[[#This Row],[ENGINE_CLASS]]="MAGLEV","ELECTRIC",PROPERTIES[[#This Row],[ENGINE_CLASS]])</f>
        <v>RUNNING_COST_DIESEL</v>
      </c>
      <c r="V193" s="10" t="s">
        <v>1000</v>
      </c>
      <c r="W193" s="10" t="s">
        <v>1001</v>
      </c>
      <c r="X193" s="10" t="str">
        <f>SUBSTITUTE(SUBSTITUTE(PROPERTIES[[#This Row],[PURCHASECOST_VALUE]], "PURCHASECOST_", ""), "_VALUE", "")</f>
        <v>DIESELENGINE</v>
      </c>
      <c r="AP193"/>
      <c r="AQ193"/>
      <c r="AR193"/>
    </row>
    <row r="194" spans="1:44">
      <c r="A194" s="2" t="s">
        <v>218</v>
      </c>
      <c r="B194">
        <v>1956</v>
      </c>
      <c r="C194">
        <v>0</v>
      </c>
      <c r="D194" t="s">
        <v>35</v>
      </c>
      <c r="E194" t="s">
        <v>20</v>
      </c>
      <c r="F194">
        <v>0</v>
      </c>
      <c r="G194" s="10">
        <v>130</v>
      </c>
      <c r="H194">
        <v>8</v>
      </c>
      <c r="I194">
        <v>8</v>
      </c>
      <c r="J194" s="2" t="s">
        <v>20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>
        <v>1750</v>
      </c>
      <c r="O194">
        <v>144</v>
      </c>
      <c r="P194" s="2">
        <v>0.2</v>
      </c>
      <c r="Q194" s="6">
        <v>40</v>
      </c>
      <c r="R194" s="10">
        <v>0</v>
      </c>
      <c r="S194" s="10">
        <v>0</v>
      </c>
      <c r="T194" s="10"/>
      <c r="U194" t="str">
        <f>"RUNNING_COST_"&amp;IF(PROPERTIES[[#This Row],[ENGINE_CLASS]]="MAGLEV","ELECTRIC",PROPERTIES[[#This Row],[ENGINE_CLASS]])</f>
        <v>RUNNING_COST_DIESEL</v>
      </c>
      <c r="V194" s="10" t="s">
        <v>1000</v>
      </c>
      <c r="W194" s="10" t="s">
        <v>1001</v>
      </c>
      <c r="X194" s="10" t="str">
        <f>SUBSTITUTE(SUBSTITUTE(PROPERTIES[[#This Row],[PURCHASECOST_VALUE]], "PURCHASECOST_", ""), "_VALUE", "")</f>
        <v>DIESELENGINE</v>
      </c>
      <c r="AP194"/>
      <c r="AQ194"/>
      <c r="AR194"/>
    </row>
    <row r="195" spans="1:44">
      <c r="A195" s="2" t="s">
        <v>219</v>
      </c>
      <c r="B195">
        <v>1958</v>
      </c>
      <c r="C195">
        <v>0</v>
      </c>
      <c r="D195" t="s">
        <v>35</v>
      </c>
      <c r="E195" t="s">
        <v>20</v>
      </c>
      <c r="F195">
        <v>0</v>
      </c>
      <c r="G195" s="10">
        <v>61</v>
      </c>
      <c r="H195">
        <v>6</v>
      </c>
      <c r="I195">
        <v>6</v>
      </c>
      <c r="J195" s="2" t="s">
        <v>20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>
        <v>740</v>
      </c>
      <c r="O195">
        <v>80</v>
      </c>
      <c r="P195" s="2">
        <v>0.28000000000000003</v>
      </c>
      <c r="Q195" s="6">
        <v>40</v>
      </c>
      <c r="R195" s="10">
        <v>0</v>
      </c>
      <c r="S195" s="10">
        <v>0</v>
      </c>
      <c r="T195" s="10"/>
      <c r="U195" t="str">
        <f>"RUNNING_COST_"&amp;IF(PROPERTIES[[#This Row],[ENGINE_CLASS]]="MAGLEV","ELECTRIC",PROPERTIES[[#This Row],[ENGINE_CLASS]])</f>
        <v>RUNNING_COST_DIESEL</v>
      </c>
      <c r="V195" s="10" t="s">
        <v>1000</v>
      </c>
      <c r="W195" s="10" t="s">
        <v>1001</v>
      </c>
      <c r="X195" s="10" t="str">
        <f>SUBSTITUTE(SUBSTITUTE(PROPERTIES[[#This Row],[PURCHASECOST_VALUE]], "PURCHASECOST_", ""), "_VALUE", "")</f>
        <v>DIESELENGINE</v>
      </c>
      <c r="AP195"/>
      <c r="AQ195"/>
      <c r="AR195"/>
    </row>
    <row r="196" spans="1:44">
      <c r="A196" s="2" t="s">
        <v>220</v>
      </c>
      <c r="B196">
        <v>1959</v>
      </c>
      <c r="C196">
        <v>0</v>
      </c>
      <c r="D196" t="s">
        <v>35</v>
      </c>
      <c r="E196" t="s">
        <v>20</v>
      </c>
      <c r="F196">
        <v>0</v>
      </c>
      <c r="G196" s="10">
        <v>122</v>
      </c>
      <c r="H196">
        <v>8</v>
      </c>
      <c r="I196">
        <v>8</v>
      </c>
      <c r="J196" s="2" t="s">
        <v>20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>
        <v>1900</v>
      </c>
      <c r="O196">
        <v>120</v>
      </c>
      <c r="P196" s="2">
        <v>0.18</v>
      </c>
      <c r="Q196" s="6">
        <v>40</v>
      </c>
      <c r="R196" s="10">
        <v>0</v>
      </c>
      <c r="S196" s="10">
        <v>0</v>
      </c>
      <c r="T196" s="10"/>
      <c r="U196" t="str">
        <f>"RUNNING_COST_"&amp;IF(PROPERTIES[[#This Row],[ENGINE_CLASS]]="MAGLEV","ELECTRIC",PROPERTIES[[#This Row],[ENGINE_CLASS]])</f>
        <v>RUNNING_COST_DIESEL</v>
      </c>
      <c r="V196" s="10" t="s">
        <v>1000</v>
      </c>
      <c r="W196" s="10" t="s">
        <v>1001</v>
      </c>
      <c r="X196" s="10" t="str">
        <f>SUBSTITUTE(SUBSTITUTE(PROPERTIES[[#This Row],[PURCHASECOST_VALUE]], "PURCHASECOST_", ""), "_VALUE", "")</f>
        <v>DIESELENGINE</v>
      </c>
      <c r="AP196"/>
      <c r="AQ196"/>
      <c r="AR196"/>
    </row>
    <row r="197" spans="1:44">
      <c r="A197" s="2" t="s">
        <v>221</v>
      </c>
      <c r="B197">
        <v>1959</v>
      </c>
      <c r="C197">
        <v>0</v>
      </c>
      <c r="D197" t="s">
        <v>35</v>
      </c>
      <c r="E197" t="s">
        <v>20</v>
      </c>
      <c r="F197">
        <v>0</v>
      </c>
      <c r="G197" s="10">
        <v>116</v>
      </c>
      <c r="H197">
        <v>8</v>
      </c>
      <c r="I197">
        <v>8</v>
      </c>
      <c r="J197" s="2" t="s">
        <v>20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>
        <v>2070</v>
      </c>
      <c r="O197">
        <v>100</v>
      </c>
      <c r="P197" s="2">
        <v>0.27</v>
      </c>
      <c r="Q197" s="6">
        <v>40</v>
      </c>
      <c r="R197" s="10">
        <v>0</v>
      </c>
      <c r="S197" s="10">
        <v>0</v>
      </c>
      <c r="T197" s="10"/>
      <c r="U197" t="str">
        <f>"RUNNING_COST_"&amp;IF(PROPERTIES[[#This Row],[ENGINE_CLASS]]="MAGLEV","ELECTRIC",PROPERTIES[[#This Row],[ENGINE_CLASS]])</f>
        <v>RUNNING_COST_DIESEL</v>
      </c>
      <c r="V197" s="10" t="s">
        <v>1000</v>
      </c>
      <c r="W197" s="10" t="s">
        <v>1001</v>
      </c>
      <c r="X197" s="10" t="str">
        <f>SUBSTITUTE(SUBSTITUTE(PROPERTIES[[#This Row],[PURCHASECOST_VALUE]], "PURCHASECOST_", ""), "_VALUE", "")</f>
        <v>DIESELENGINE</v>
      </c>
      <c r="AP197"/>
      <c r="AQ197"/>
      <c r="AR197"/>
    </row>
    <row r="198" spans="1:44">
      <c r="A198" s="2" t="s">
        <v>222</v>
      </c>
      <c r="B198">
        <v>1960</v>
      </c>
      <c r="C198">
        <v>0</v>
      </c>
      <c r="D198" t="s">
        <v>35</v>
      </c>
      <c r="E198" t="s">
        <v>20</v>
      </c>
      <c r="F198">
        <v>0</v>
      </c>
      <c r="G198" s="10">
        <v>64</v>
      </c>
      <c r="H198">
        <v>5</v>
      </c>
      <c r="I198">
        <v>5</v>
      </c>
      <c r="J198" s="2" t="s">
        <v>20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>
        <v>875</v>
      </c>
      <c r="O198">
        <v>124</v>
      </c>
      <c r="P198" s="2">
        <v>0.13</v>
      </c>
      <c r="Q198" s="6">
        <v>40</v>
      </c>
      <c r="R198" s="10">
        <v>0</v>
      </c>
      <c r="S198" s="10">
        <v>0</v>
      </c>
      <c r="T198" s="10"/>
      <c r="U198" t="str">
        <f>"RUNNING_COST_"&amp;IF(PROPERTIES[[#This Row],[ENGINE_CLASS]]="MAGLEV","ELECTRIC",PROPERTIES[[#This Row],[ENGINE_CLASS]])</f>
        <v>RUNNING_COST_DIESEL</v>
      </c>
      <c r="V198" s="10" t="s">
        <v>1000</v>
      </c>
      <c r="W198" s="10" t="s">
        <v>1001</v>
      </c>
      <c r="X198" s="10" t="str">
        <f>SUBSTITUTE(SUBSTITUTE(PROPERTIES[[#This Row],[PURCHASECOST_VALUE]], "PURCHASECOST_", ""), "_VALUE", "")</f>
        <v>DIESELENGINE</v>
      </c>
      <c r="AP198"/>
      <c r="AQ198"/>
      <c r="AR198"/>
    </row>
    <row r="199" spans="1:44">
      <c r="A199" s="2" t="s">
        <v>223</v>
      </c>
      <c r="B199">
        <v>1960</v>
      </c>
      <c r="C199">
        <v>0</v>
      </c>
      <c r="D199" t="s">
        <v>35</v>
      </c>
      <c r="E199" t="s">
        <v>20</v>
      </c>
      <c r="F199">
        <v>0</v>
      </c>
      <c r="G199" s="10">
        <v>156</v>
      </c>
      <c r="H199">
        <v>8</v>
      </c>
      <c r="I199">
        <v>8</v>
      </c>
      <c r="J199" s="2" t="s">
        <v>20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>
        <v>4000</v>
      </c>
      <c r="O199">
        <v>110</v>
      </c>
      <c r="P199" s="2">
        <v>0.28999999999999998</v>
      </c>
      <c r="Q199" s="6">
        <v>40</v>
      </c>
      <c r="R199" s="10">
        <v>0</v>
      </c>
      <c r="S199" s="10">
        <v>0</v>
      </c>
      <c r="T199" s="10"/>
      <c r="U199" t="str">
        <f>"RUNNING_COST_"&amp;IF(PROPERTIES[[#This Row],[ENGINE_CLASS]]="MAGLEV","ELECTRIC",PROPERTIES[[#This Row],[ENGINE_CLASS]])</f>
        <v>RUNNING_COST_DIESEL</v>
      </c>
      <c r="V199" s="10" t="s">
        <v>1000</v>
      </c>
      <c r="W199" s="10" t="s">
        <v>1001</v>
      </c>
      <c r="X199" s="10" t="str">
        <f>SUBSTITUTE(SUBSTITUTE(PROPERTIES[[#This Row],[PURCHASECOST_VALUE]], "PURCHASECOST_", ""), "_VALUE", "")</f>
        <v>DIESELENGINE</v>
      </c>
      <c r="AP199"/>
      <c r="AQ199"/>
      <c r="AR199"/>
    </row>
    <row r="200" spans="1:44">
      <c r="A200" s="2" t="s">
        <v>224</v>
      </c>
      <c r="B200">
        <v>1960</v>
      </c>
      <c r="C200">
        <v>0</v>
      </c>
      <c r="D200" t="s">
        <v>35</v>
      </c>
      <c r="E200" t="s">
        <v>20</v>
      </c>
      <c r="F200">
        <v>0</v>
      </c>
      <c r="G200" s="10">
        <v>130</v>
      </c>
      <c r="H200">
        <v>8</v>
      </c>
      <c r="I200">
        <v>8</v>
      </c>
      <c r="J200" s="2" t="s">
        <v>20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>
        <v>2960</v>
      </c>
      <c r="O200">
        <v>160</v>
      </c>
      <c r="P200" s="2">
        <v>0.15</v>
      </c>
      <c r="Q200" s="6">
        <v>40</v>
      </c>
      <c r="R200" s="10">
        <v>0</v>
      </c>
      <c r="S200" s="10">
        <v>0</v>
      </c>
      <c r="T200" s="10"/>
      <c r="U200" t="str">
        <f>"RUNNING_COST_"&amp;IF(PROPERTIES[[#This Row],[ENGINE_CLASS]]="MAGLEV","ELECTRIC",PROPERTIES[[#This Row],[ENGINE_CLASS]])</f>
        <v>RUNNING_COST_DIESEL</v>
      </c>
      <c r="V200" s="10" t="s">
        <v>1000</v>
      </c>
      <c r="W200" s="10" t="s">
        <v>1001</v>
      </c>
      <c r="X200" s="10" t="str">
        <f>SUBSTITUTE(SUBSTITUTE(PROPERTIES[[#This Row],[PURCHASECOST_VALUE]], "PURCHASECOST_", ""), "_VALUE", "")</f>
        <v>DIESELENGINE</v>
      </c>
      <c r="AP200"/>
      <c r="AQ200"/>
      <c r="AR200"/>
    </row>
    <row r="201" spans="1:44">
      <c r="A201" s="2" t="s">
        <v>225</v>
      </c>
      <c r="B201">
        <v>1961</v>
      </c>
      <c r="C201">
        <v>0</v>
      </c>
      <c r="D201" t="s">
        <v>35</v>
      </c>
      <c r="E201" t="s">
        <v>20</v>
      </c>
      <c r="F201">
        <v>0</v>
      </c>
      <c r="G201" s="10">
        <v>80</v>
      </c>
      <c r="H201">
        <v>8</v>
      </c>
      <c r="I201">
        <v>8</v>
      </c>
      <c r="J201" s="2" t="s">
        <v>20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>
        <v>1408</v>
      </c>
      <c r="O201">
        <v>120</v>
      </c>
      <c r="P201" s="2">
        <v>0.27</v>
      </c>
      <c r="Q201" s="6">
        <v>40</v>
      </c>
      <c r="R201" s="10">
        <v>0</v>
      </c>
      <c r="S201" s="10">
        <v>0</v>
      </c>
      <c r="T201" s="10"/>
      <c r="U201" t="str">
        <f>"RUNNING_COST_"&amp;IF(PROPERTIES[[#This Row],[ENGINE_CLASS]]="MAGLEV","ELECTRIC",PROPERTIES[[#This Row],[ENGINE_CLASS]])</f>
        <v>RUNNING_COST_DIESEL</v>
      </c>
      <c r="V201" s="10" t="s">
        <v>1000</v>
      </c>
      <c r="W201" s="10" t="s">
        <v>1001</v>
      </c>
      <c r="X201" s="10" t="str">
        <f>SUBSTITUTE(SUBSTITUTE(PROPERTIES[[#This Row],[PURCHASECOST_VALUE]], "PURCHASECOST_", ""), "_VALUE", "")</f>
        <v>DIESELENGINE</v>
      </c>
      <c r="AP201"/>
      <c r="AQ201"/>
      <c r="AR201"/>
    </row>
    <row r="202" spans="1:44">
      <c r="A202" s="2" t="s">
        <v>226</v>
      </c>
      <c r="B202">
        <v>1962</v>
      </c>
      <c r="C202">
        <v>0</v>
      </c>
      <c r="D202" t="s">
        <v>35</v>
      </c>
      <c r="E202" t="s">
        <v>20</v>
      </c>
      <c r="F202">
        <v>0</v>
      </c>
      <c r="G202" s="10">
        <v>45</v>
      </c>
      <c r="H202">
        <v>7</v>
      </c>
      <c r="I202">
        <v>7</v>
      </c>
      <c r="J202" s="2" t="s">
        <v>20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>
        <v>650</v>
      </c>
      <c r="O202">
        <v>75</v>
      </c>
      <c r="P202" s="2">
        <v>0.21</v>
      </c>
      <c r="Q202" s="6">
        <v>40</v>
      </c>
      <c r="R202" s="10">
        <v>0</v>
      </c>
      <c r="S202" s="10">
        <v>0</v>
      </c>
      <c r="T202" s="10"/>
      <c r="U202" t="str">
        <f>"RUNNING_COST_"&amp;IF(PROPERTIES[[#This Row],[ENGINE_CLASS]]="MAGLEV","ELECTRIC",PROPERTIES[[#This Row],[ENGINE_CLASS]])</f>
        <v>RUNNING_COST_DIESEL</v>
      </c>
      <c r="V202" s="10" t="s">
        <v>1000</v>
      </c>
      <c r="W202" s="10" t="s">
        <v>1001</v>
      </c>
      <c r="X202" s="10" t="str">
        <f>SUBSTITUTE(SUBSTITUTE(PROPERTIES[[#This Row],[PURCHASECOST_VALUE]], "PURCHASECOST_", ""), "_VALUE", "")</f>
        <v>DIESELENGINE</v>
      </c>
      <c r="AP202"/>
      <c r="AQ202"/>
      <c r="AR202"/>
    </row>
    <row r="203" spans="1:44">
      <c r="A203" s="2" t="s">
        <v>227</v>
      </c>
      <c r="B203">
        <v>1963</v>
      </c>
      <c r="C203">
        <v>0</v>
      </c>
      <c r="D203" t="s">
        <v>35</v>
      </c>
      <c r="E203" t="s">
        <v>20</v>
      </c>
      <c r="F203">
        <v>0</v>
      </c>
      <c r="G203" s="10">
        <v>113</v>
      </c>
      <c r="H203">
        <v>7</v>
      </c>
      <c r="I203">
        <v>7</v>
      </c>
      <c r="J203" s="2" t="s">
        <v>20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>
        <v>2400</v>
      </c>
      <c r="O203">
        <v>120</v>
      </c>
      <c r="P203" s="2">
        <v>0.27</v>
      </c>
      <c r="Q203" s="6">
        <v>40</v>
      </c>
      <c r="R203" s="10">
        <v>0</v>
      </c>
      <c r="S203" s="10">
        <v>0</v>
      </c>
      <c r="T203" s="10"/>
      <c r="U203" t="str">
        <f>"RUNNING_COST_"&amp;IF(PROPERTIES[[#This Row],[ENGINE_CLASS]]="MAGLEV","ELECTRIC",PROPERTIES[[#This Row],[ENGINE_CLASS]])</f>
        <v>RUNNING_COST_DIESEL</v>
      </c>
      <c r="V203" s="10" t="s">
        <v>1000</v>
      </c>
      <c r="W203" s="10" t="s">
        <v>1001</v>
      </c>
      <c r="X203" s="10" t="str">
        <f>SUBSTITUTE(SUBSTITUTE(PROPERTIES[[#This Row],[PURCHASECOST_VALUE]], "PURCHASECOST_", ""), "_VALUE", "")</f>
        <v>DIESELENGINE</v>
      </c>
      <c r="AP203"/>
      <c r="AQ203"/>
      <c r="AR203"/>
    </row>
    <row r="204" spans="1:44">
      <c r="A204" s="2" t="s">
        <v>228</v>
      </c>
      <c r="B204">
        <v>1964</v>
      </c>
      <c r="C204">
        <v>0</v>
      </c>
      <c r="D204" t="s">
        <v>35</v>
      </c>
      <c r="E204" t="s">
        <v>20</v>
      </c>
      <c r="F204">
        <v>0</v>
      </c>
      <c r="G204" s="10">
        <v>49</v>
      </c>
      <c r="H204">
        <v>6</v>
      </c>
      <c r="I204">
        <v>6</v>
      </c>
      <c r="J204" s="2" t="s">
        <v>20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>
        <v>650</v>
      </c>
      <c r="O204">
        <v>64</v>
      </c>
      <c r="P204" s="2">
        <v>0.28000000000000003</v>
      </c>
      <c r="Q204" s="6">
        <v>40</v>
      </c>
      <c r="R204" s="10">
        <v>0</v>
      </c>
      <c r="S204" s="10">
        <v>0</v>
      </c>
      <c r="T204" s="10"/>
      <c r="U204" t="str">
        <f>"RUNNING_COST_"&amp;IF(PROPERTIES[[#This Row],[ENGINE_CLASS]]="MAGLEV","ELECTRIC",PROPERTIES[[#This Row],[ENGINE_CLASS]])</f>
        <v>RUNNING_COST_DIESEL</v>
      </c>
      <c r="V204" s="10" t="s">
        <v>1000</v>
      </c>
      <c r="W204" s="10" t="s">
        <v>1001</v>
      </c>
      <c r="X204" s="10" t="str">
        <f>SUBSTITUTE(SUBSTITUTE(PROPERTIES[[#This Row],[PURCHASECOST_VALUE]], "PURCHASECOST_", ""), "_VALUE", "")</f>
        <v>DIESELENGINE</v>
      </c>
      <c r="AP204"/>
      <c r="AQ204"/>
      <c r="AR204"/>
    </row>
    <row r="205" spans="1:44">
      <c r="A205" s="2" t="s">
        <v>229</v>
      </c>
      <c r="B205">
        <v>1964</v>
      </c>
      <c r="C205">
        <v>0</v>
      </c>
      <c r="D205" t="s">
        <v>35</v>
      </c>
      <c r="E205" t="s">
        <v>20</v>
      </c>
      <c r="F205">
        <v>0</v>
      </c>
      <c r="G205" s="10">
        <v>123</v>
      </c>
      <c r="H205">
        <v>8</v>
      </c>
      <c r="I205">
        <v>8</v>
      </c>
      <c r="J205" s="2" t="s">
        <v>20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>
        <v>1250</v>
      </c>
      <c r="O205">
        <v>95</v>
      </c>
      <c r="P205" s="2">
        <v>0.28999999999999998</v>
      </c>
      <c r="Q205" s="6">
        <v>40</v>
      </c>
      <c r="R205" s="10">
        <v>0</v>
      </c>
      <c r="S205" s="10">
        <v>0</v>
      </c>
      <c r="T205" s="10"/>
      <c r="U205" t="str">
        <f>"RUNNING_COST_"&amp;IF(PROPERTIES[[#This Row],[ENGINE_CLASS]]="MAGLEV","ELECTRIC",PROPERTIES[[#This Row],[ENGINE_CLASS]])</f>
        <v>RUNNING_COST_DIESEL</v>
      </c>
      <c r="V205" s="10" t="s">
        <v>1000</v>
      </c>
      <c r="W205" s="10" t="s">
        <v>1001</v>
      </c>
      <c r="X205" s="10" t="str">
        <f>SUBSTITUTE(SUBSTITUTE(PROPERTIES[[#This Row],[PURCHASECOST_VALUE]], "PURCHASECOST_", ""), "_VALUE", "")</f>
        <v>DIESELENGINE</v>
      </c>
      <c r="AP205"/>
      <c r="AQ205"/>
      <c r="AR205"/>
    </row>
    <row r="206" spans="1:44">
      <c r="A206" s="2" t="s">
        <v>230</v>
      </c>
      <c r="B206">
        <v>1965</v>
      </c>
      <c r="C206">
        <v>0</v>
      </c>
      <c r="D206" t="s">
        <v>35</v>
      </c>
      <c r="E206" t="s">
        <v>20</v>
      </c>
      <c r="F206">
        <v>0</v>
      </c>
      <c r="G206" s="10">
        <v>112</v>
      </c>
      <c r="H206">
        <v>8</v>
      </c>
      <c r="I206">
        <v>8</v>
      </c>
      <c r="J206" s="2" t="s">
        <v>20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>
        <v>1870</v>
      </c>
      <c r="O206">
        <v>120</v>
      </c>
      <c r="P206" s="2">
        <v>0.21</v>
      </c>
      <c r="Q206" s="6">
        <v>40</v>
      </c>
      <c r="R206" s="10">
        <v>0</v>
      </c>
      <c r="S206" s="10">
        <v>0</v>
      </c>
      <c r="T206" s="10"/>
      <c r="U206" t="str">
        <f>"RUNNING_COST_"&amp;IF(PROPERTIES[[#This Row],[ENGINE_CLASS]]="MAGLEV","ELECTRIC",PROPERTIES[[#This Row],[ENGINE_CLASS]])</f>
        <v>RUNNING_COST_DIESEL</v>
      </c>
      <c r="V206" s="10" t="s">
        <v>1000</v>
      </c>
      <c r="W206" s="10" t="s">
        <v>1001</v>
      </c>
      <c r="X206" s="10" t="str">
        <f>SUBSTITUTE(SUBSTITUTE(PROPERTIES[[#This Row],[PURCHASECOST_VALUE]], "PURCHASECOST_", ""), "_VALUE", "")</f>
        <v>DIESELENGINE</v>
      </c>
      <c r="AP206"/>
      <c r="AQ206"/>
      <c r="AR206"/>
    </row>
    <row r="207" spans="1:44">
      <c r="A207" s="2" t="s">
        <v>231</v>
      </c>
      <c r="B207">
        <v>1965</v>
      </c>
      <c r="C207">
        <v>0</v>
      </c>
      <c r="D207" t="s">
        <v>35</v>
      </c>
      <c r="E207" t="s">
        <v>20</v>
      </c>
      <c r="F207">
        <v>0</v>
      </c>
      <c r="G207" s="10">
        <v>116</v>
      </c>
      <c r="H207">
        <v>8</v>
      </c>
      <c r="I207">
        <v>8</v>
      </c>
      <c r="J207" s="2" t="s">
        <v>20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>
        <v>1970</v>
      </c>
      <c r="O207">
        <v>100</v>
      </c>
      <c r="P207" s="2">
        <v>0.3</v>
      </c>
      <c r="Q207" s="6">
        <v>40</v>
      </c>
      <c r="R207" s="10">
        <v>0</v>
      </c>
      <c r="S207" s="10">
        <v>0</v>
      </c>
      <c r="T207" s="10"/>
      <c r="U207" t="str">
        <f>"RUNNING_COST_"&amp;IF(PROPERTIES[[#This Row],[ENGINE_CLASS]]="MAGLEV","ELECTRIC",PROPERTIES[[#This Row],[ENGINE_CLASS]])</f>
        <v>RUNNING_COST_DIESEL</v>
      </c>
      <c r="V207" s="10" t="s">
        <v>1000</v>
      </c>
      <c r="W207" s="10" t="s">
        <v>1001</v>
      </c>
      <c r="X207" s="10" t="str">
        <f>SUBSTITUTE(SUBSTITUTE(PROPERTIES[[#This Row],[PURCHASECOST_VALUE]], "PURCHASECOST_", ""), "_VALUE", "")</f>
        <v>DIESELENGINE</v>
      </c>
      <c r="AP207"/>
      <c r="AQ207"/>
      <c r="AR207"/>
    </row>
    <row r="208" spans="1:44">
      <c r="A208" s="2" t="s">
        <v>232</v>
      </c>
      <c r="B208">
        <v>1969</v>
      </c>
      <c r="C208">
        <v>0</v>
      </c>
      <c r="D208" t="s">
        <v>35</v>
      </c>
      <c r="E208" t="s">
        <v>20</v>
      </c>
      <c r="F208">
        <v>0</v>
      </c>
      <c r="G208" s="10">
        <v>110</v>
      </c>
      <c r="H208">
        <v>8</v>
      </c>
      <c r="I208">
        <v>8</v>
      </c>
      <c r="J208" s="2" t="s">
        <v>20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>
        <v>2200</v>
      </c>
      <c r="O208">
        <v>124</v>
      </c>
      <c r="P208" s="2">
        <v>0.25</v>
      </c>
      <c r="Q208" s="6">
        <v>40</v>
      </c>
      <c r="R208" s="10">
        <v>0</v>
      </c>
      <c r="S208" s="10">
        <v>0</v>
      </c>
      <c r="T208" s="10"/>
      <c r="U208" t="str">
        <f>"RUNNING_COST_"&amp;IF(PROPERTIES[[#This Row],[ENGINE_CLASS]]="MAGLEV","ELECTRIC",PROPERTIES[[#This Row],[ENGINE_CLASS]])</f>
        <v>RUNNING_COST_DIESEL</v>
      </c>
      <c r="V208" s="10" t="s">
        <v>1000</v>
      </c>
      <c r="W208" s="10" t="s">
        <v>1001</v>
      </c>
      <c r="X208" s="10" t="str">
        <f>SUBSTITUTE(SUBSTITUTE(PROPERTIES[[#This Row],[PURCHASECOST_VALUE]], "PURCHASECOST_", ""), "_VALUE", "")</f>
        <v>DIESELENGINE</v>
      </c>
      <c r="AP208"/>
      <c r="AQ208"/>
      <c r="AR208"/>
    </row>
    <row r="209" spans="1:44">
      <c r="A209" s="2" t="s">
        <v>233</v>
      </c>
      <c r="B209">
        <v>1969</v>
      </c>
      <c r="C209">
        <v>0</v>
      </c>
      <c r="D209" t="s">
        <v>35</v>
      </c>
      <c r="E209" t="s">
        <v>20</v>
      </c>
      <c r="F209">
        <v>0</v>
      </c>
      <c r="G209" s="10">
        <v>72</v>
      </c>
      <c r="H209">
        <v>8</v>
      </c>
      <c r="I209">
        <v>8</v>
      </c>
      <c r="J209" s="2" t="s">
        <v>20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>
        <v>1650</v>
      </c>
      <c r="O209">
        <v>160</v>
      </c>
      <c r="P209" s="2">
        <v>0.21</v>
      </c>
      <c r="Q209" s="6">
        <v>40</v>
      </c>
      <c r="R209" s="10">
        <v>0</v>
      </c>
      <c r="S209" s="10">
        <v>0</v>
      </c>
      <c r="T209" s="10"/>
      <c r="U209" t="str">
        <f>"RUNNING_COST_"&amp;IF(PROPERTIES[[#This Row],[ENGINE_CLASS]]="MAGLEV","ELECTRIC",PROPERTIES[[#This Row],[ENGINE_CLASS]])</f>
        <v>RUNNING_COST_DIESEL</v>
      </c>
      <c r="V209" s="10" t="s">
        <v>1000</v>
      </c>
      <c r="W209" s="10" t="s">
        <v>1001</v>
      </c>
      <c r="X209" s="10" t="str">
        <f>SUBSTITUTE(SUBSTITUTE(PROPERTIES[[#This Row],[PURCHASECOST_VALUE]], "PURCHASECOST_", ""), "_VALUE", "")</f>
        <v>DIESELENGINE</v>
      </c>
      <c r="AP209"/>
      <c r="AQ209"/>
      <c r="AR209"/>
    </row>
    <row r="210" spans="1:44">
      <c r="A210" s="2" t="s">
        <v>234</v>
      </c>
      <c r="B210">
        <v>1969</v>
      </c>
      <c r="C210">
        <v>0</v>
      </c>
      <c r="D210" t="s">
        <v>35</v>
      </c>
      <c r="E210" t="s">
        <v>20</v>
      </c>
      <c r="F210">
        <v>0</v>
      </c>
      <c r="G210" s="10">
        <v>261</v>
      </c>
      <c r="H210">
        <v>8</v>
      </c>
      <c r="I210">
        <v>4</v>
      </c>
      <c r="J210" s="2" t="s">
        <v>20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>
        <v>6600</v>
      </c>
      <c r="O210">
        <v>144</v>
      </c>
      <c r="P210" s="2">
        <v>0.19</v>
      </c>
      <c r="Q210" s="6">
        <v>40</v>
      </c>
      <c r="R210" s="10">
        <v>0</v>
      </c>
      <c r="S210" s="10">
        <v>2</v>
      </c>
      <c r="T210" s="10"/>
      <c r="U210" t="str">
        <f>"RUNNING_COST_"&amp;IF(PROPERTIES[[#This Row],[ENGINE_CLASS]]="MAGLEV","ELECTRIC",PROPERTIES[[#This Row],[ENGINE_CLASS]])</f>
        <v>RUNNING_COST_DIESEL</v>
      </c>
      <c r="V210" s="10" t="s">
        <v>1000</v>
      </c>
      <c r="W210" s="10" t="s">
        <v>1001</v>
      </c>
      <c r="X210" s="10" t="str">
        <f>SUBSTITUTE(SUBSTITUTE(PROPERTIES[[#This Row],[PURCHASECOST_VALUE]], "PURCHASECOST_", ""), "_VALUE", "")</f>
        <v>DIESELENGINE</v>
      </c>
      <c r="AP210"/>
      <c r="AQ210"/>
      <c r="AR210"/>
    </row>
    <row r="211" spans="1:44">
      <c r="A211" s="2" t="s">
        <v>235</v>
      </c>
      <c r="B211">
        <v>1970</v>
      </c>
      <c r="C211">
        <v>0</v>
      </c>
      <c r="D211" t="s">
        <v>35</v>
      </c>
      <c r="E211" t="s">
        <v>20</v>
      </c>
      <c r="F211">
        <v>0</v>
      </c>
      <c r="G211" s="10">
        <v>98</v>
      </c>
      <c r="H211">
        <v>8</v>
      </c>
      <c r="I211">
        <v>8</v>
      </c>
      <c r="J211" s="2" t="s">
        <v>20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>
        <v>1950</v>
      </c>
      <c r="O211">
        <v>80</v>
      </c>
      <c r="P211" s="2">
        <v>0.28999999999999998</v>
      </c>
      <c r="Q211" s="6">
        <v>40</v>
      </c>
      <c r="R211" s="10">
        <v>0</v>
      </c>
      <c r="S211" s="10">
        <v>0</v>
      </c>
      <c r="T211" s="10"/>
      <c r="U211" t="str">
        <f>"RUNNING_COST_"&amp;IF(PROPERTIES[[#This Row],[ENGINE_CLASS]]="MAGLEV","ELECTRIC",PROPERTIES[[#This Row],[ENGINE_CLASS]])</f>
        <v>RUNNING_COST_DIESEL</v>
      </c>
      <c r="V211" s="10" t="s">
        <v>1000</v>
      </c>
      <c r="W211" s="10" t="s">
        <v>1001</v>
      </c>
      <c r="X211" s="10" t="str">
        <f>SUBSTITUTE(SUBSTITUTE(PROPERTIES[[#This Row],[PURCHASECOST_VALUE]], "PURCHASECOST_", ""), "_VALUE", "")</f>
        <v>DIESELENGINE</v>
      </c>
      <c r="AP211"/>
      <c r="AQ211"/>
      <c r="AR211"/>
    </row>
    <row r="212" spans="1:44">
      <c r="A212" s="2" t="s">
        <v>236</v>
      </c>
      <c r="B212">
        <v>1972</v>
      </c>
      <c r="C212">
        <v>0</v>
      </c>
      <c r="D212" t="s">
        <v>35</v>
      </c>
      <c r="E212" t="s">
        <v>20</v>
      </c>
      <c r="F212">
        <v>0</v>
      </c>
      <c r="G212" s="10">
        <v>103</v>
      </c>
      <c r="H212">
        <v>8</v>
      </c>
      <c r="I212">
        <v>8</v>
      </c>
      <c r="J212" s="2" t="s">
        <v>20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>
        <v>2200</v>
      </c>
      <c r="O212">
        <v>124</v>
      </c>
      <c r="P212" s="2">
        <v>0.26</v>
      </c>
      <c r="Q212" s="6">
        <v>40</v>
      </c>
      <c r="R212" s="10">
        <v>0</v>
      </c>
      <c r="S212" s="10">
        <v>0</v>
      </c>
      <c r="T212" s="10"/>
      <c r="U212" t="str">
        <f>"RUNNING_COST_"&amp;IF(PROPERTIES[[#This Row],[ENGINE_CLASS]]="MAGLEV","ELECTRIC",PROPERTIES[[#This Row],[ENGINE_CLASS]])</f>
        <v>RUNNING_COST_DIESEL</v>
      </c>
      <c r="V212" s="10" t="s">
        <v>1000</v>
      </c>
      <c r="W212" s="10" t="s">
        <v>1001</v>
      </c>
      <c r="X212" s="10" t="str">
        <f>SUBSTITUTE(SUBSTITUTE(PROPERTIES[[#This Row],[PURCHASECOST_VALUE]], "PURCHASECOST_", ""), "_VALUE", "")</f>
        <v>DIESELENGINE</v>
      </c>
      <c r="AP212"/>
      <c r="AQ212"/>
      <c r="AR212"/>
    </row>
    <row r="213" spans="1:44">
      <c r="A213" s="2" t="s">
        <v>237</v>
      </c>
      <c r="B213">
        <v>1972</v>
      </c>
      <c r="C213">
        <v>0</v>
      </c>
      <c r="D213" t="s">
        <v>35</v>
      </c>
      <c r="E213" t="s">
        <v>20</v>
      </c>
      <c r="F213">
        <v>0</v>
      </c>
      <c r="G213" s="10">
        <v>46</v>
      </c>
      <c r="H213">
        <v>6</v>
      </c>
      <c r="I213">
        <v>6</v>
      </c>
      <c r="J213" s="2" t="s">
        <v>20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>
        <v>620</v>
      </c>
      <c r="O213">
        <v>70</v>
      </c>
      <c r="P213" s="2">
        <v>0.3</v>
      </c>
      <c r="Q213" s="6">
        <v>40</v>
      </c>
      <c r="R213" s="10">
        <v>0</v>
      </c>
      <c r="S213" s="10">
        <v>0</v>
      </c>
      <c r="T213" s="10"/>
      <c r="U213" t="str">
        <f>"RUNNING_COST_"&amp;IF(PROPERTIES[[#This Row],[ENGINE_CLASS]]="MAGLEV","ELECTRIC",PROPERTIES[[#This Row],[ENGINE_CLASS]])</f>
        <v>RUNNING_COST_DIESEL</v>
      </c>
      <c r="V213" s="10" t="s">
        <v>1000</v>
      </c>
      <c r="W213" s="10" t="s">
        <v>1001</v>
      </c>
      <c r="X213" s="10" t="str">
        <f>SUBSTITUTE(SUBSTITUTE(PROPERTIES[[#This Row],[PURCHASECOST_VALUE]], "PURCHASECOST_", ""), "_VALUE", "")</f>
        <v>DIESELENGINE</v>
      </c>
      <c r="AP213"/>
      <c r="AQ213"/>
      <c r="AR213"/>
    </row>
    <row r="214" spans="1:44">
      <c r="A214" s="2" t="s">
        <v>238</v>
      </c>
      <c r="B214">
        <v>1973</v>
      </c>
      <c r="C214">
        <v>0</v>
      </c>
      <c r="D214" t="s">
        <v>35</v>
      </c>
      <c r="E214" t="s">
        <v>20</v>
      </c>
      <c r="F214">
        <v>0</v>
      </c>
      <c r="G214" s="10">
        <v>125</v>
      </c>
      <c r="H214">
        <v>8</v>
      </c>
      <c r="I214">
        <v>8</v>
      </c>
      <c r="J214" s="2" t="s">
        <v>20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>
        <v>2400</v>
      </c>
      <c r="O214">
        <v>108</v>
      </c>
      <c r="P214" s="2">
        <v>0.13</v>
      </c>
      <c r="Q214" s="6">
        <v>40</v>
      </c>
      <c r="R214" s="10">
        <v>0</v>
      </c>
      <c r="S214" s="10">
        <v>0</v>
      </c>
      <c r="T214" s="10"/>
      <c r="U214" t="str">
        <f>"RUNNING_COST_"&amp;IF(PROPERTIES[[#This Row],[ENGINE_CLASS]]="MAGLEV","ELECTRIC",PROPERTIES[[#This Row],[ENGINE_CLASS]])</f>
        <v>RUNNING_COST_DIESEL</v>
      </c>
      <c r="V214" s="10" t="s">
        <v>1000</v>
      </c>
      <c r="W214" s="10" t="s">
        <v>1001</v>
      </c>
      <c r="X214" s="10" t="str">
        <f>SUBSTITUTE(SUBSTITUTE(PROPERTIES[[#This Row],[PURCHASECOST_VALUE]], "PURCHASECOST_", ""), "_VALUE", "")</f>
        <v>DIESELENGINE</v>
      </c>
      <c r="AP214"/>
      <c r="AQ214"/>
      <c r="AR214"/>
    </row>
    <row r="215" spans="1:44">
      <c r="A215" s="2" t="s">
        <v>936</v>
      </c>
      <c r="B215">
        <v>1973</v>
      </c>
      <c r="C215">
        <v>0</v>
      </c>
      <c r="D215" t="s">
        <v>35</v>
      </c>
      <c r="E215" t="s">
        <v>20</v>
      </c>
      <c r="F215">
        <v>0</v>
      </c>
      <c r="G215" s="10">
        <v>131</v>
      </c>
      <c r="H215">
        <v>8</v>
      </c>
      <c r="I215">
        <v>8</v>
      </c>
      <c r="J215" s="2" t="s">
        <v>20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>
        <v>3000</v>
      </c>
      <c r="O215">
        <v>153</v>
      </c>
      <c r="P215" s="2">
        <v>0.15</v>
      </c>
      <c r="Q215" s="6">
        <v>40</v>
      </c>
      <c r="R215" s="10">
        <v>0</v>
      </c>
      <c r="S215" s="10">
        <v>0</v>
      </c>
      <c r="T215" s="10"/>
      <c r="U215" t="str">
        <f>"RUNNING_COST_"&amp;IF(PROPERTIES[[#This Row],[ENGINE_CLASS]]="MAGLEV","ELECTRIC",PROPERTIES[[#This Row],[ENGINE_CLASS]])</f>
        <v>RUNNING_COST_DIESEL</v>
      </c>
      <c r="V215" s="10" t="s">
        <v>1000</v>
      </c>
      <c r="W215" s="10" t="s">
        <v>1001</v>
      </c>
      <c r="X215" s="10" t="str">
        <f>SUBSTITUTE(SUBSTITUTE(PROPERTIES[[#This Row],[PURCHASECOST_VALUE]], "PURCHASECOST_", ""), "_VALUE", "")</f>
        <v>DIESELENGINE</v>
      </c>
      <c r="AP215"/>
      <c r="AQ215"/>
      <c r="AR215"/>
    </row>
    <row r="216" spans="1:44">
      <c r="A216" s="2" t="s">
        <v>239</v>
      </c>
      <c r="B216">
        <v>1976</v>
      </c>
      <c r="C216">
        <v>0</v>
      </c>
      <c r="D216" t="s">
        <v>35</v>
      </c>
      <c r="E216" t="s">
        <v>20</v>
      </c>
      <c r="F216">
        <v>0</v>
      </c>
      <c r="G216" s="10">
        <v>92</v>
      </c>
      <c r="H216">
        <v>8</v>
      </c>
      <c r="I216">
        <v>8</v>
      </c>
      <c r="J216" s="2" t="s">
        <v>20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>
        <v>2200</v>
      </c>
      <c r="O216">
        <v>120</v>
      </c>
      <c r="P216" s="2">
        <v>0.28999999999999998</v>
      </c>
      <c r="Q216" s="6">
        <v>40</v>
      </c>
      <c r="R216" s="10">
        <v>0</v>
      </c>
      <c r="S216" s="10">
        <v>0</v>
      </c>
      <c r="T216" s="10"/>
      <c r="U216" t="str">
        <f>"RUNNING_COST_"&amp;IF(PROPERTIES[[#This Row],[ENGINE_CLASS]]="MAGLEV","ELECTRIC",PROPERTIES[[#This Row],[ENGINE_CLASS]])</f>
        <v>RUNNING_COST_DIESEL</v>
      </c>
      <c r="V216" s="10" t="s">
        <v>1000</v>
      </c>
      <c r="W216" s="10" t="s">
        <v>1001</v>
      </c>
      <c r="X216" s="10" t="str">
        <f>SUBSTITUTE(SUBSTITUTE(PROPERTIES[[#This Row],[PURCHASECOST_VALUE]], "PURCHASECOST_", ""), "_VALUE", "")</f>
        <v>DIESELENGINE</v>
      </c>
      <c r="AP216"/>
      <c r="AQ216"/>
      <c r="AR216"/>
    </row>
    <row r="217" spans="1:44">
      <c r="A217" s="2" t="s">
        <v>240</v>
      </c>
      <c r="B217">
        <v>1977</v>
      </c>
      <c r="C217">
        <v>0</v>
      </c>
      <c r="D217" t="s">
        <v>35</v>
      </c>
      <c r="E217" t="s">
        <v>20</v>
      </c>
      <c r="F217">
        <v>0</v>
      </c>
      <c r="G217" s="10">
        <v>115</v>
      </c>
      <c r="H217">
        <v>7</v>
      </c>
      <c r="I217">
        <v>7</v>
      </c>
      <c r="J217" s="2" t="s">
        <v>20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>
        <v>3000</v>
      </c>
      <c r="O217">
        <v>165</v>
      </c>
      <c r="P217" s="2">
        <v>0.1</v>
      </c>
      <c r="Q217" s="6">
        <v>40</v>
      </c>
      <c r="R217" s="10">
        <v>0</v>
      </c>
      <c r="S217" s="10">
        <v>0</v>
      </c>
      <c r="T217" s="10"/>
      <c r="U217" t="str">
        <f>"RUNNING_COST_"&amp;IF(PROPERTIES[[#This Row],[ENGINE_CLASS]]="MAGLEV","ELECTRIC",PROPERTIES[[#This Row],[ENGINE_CLASS]])</f>
        <v>RUNNING_COST_DIESEL</v>
      </c>
      <c r="V217" s="10" t="s">
        <v>1000</v>
      </c>
      <c r="W217" s="10" t="s">
        <v>1001</v>
      </c>
      <c r="X217" s="10" t="str">
        <f>SUBSTITUTE(SUBSTITUTE(PROPERTIES[[#This Row],[PURCHASECOST_VALUE]], "PURCHASECOST_", ""), "_VALUE", "")</f>
        <v>DIESELENGINE</v>
      </c>
      <c r="AP217"/>
      <c r="AQ217"/>
      <c r="AR217"/>
    </row>
    <row r="218" spans="1:44">
      <c r="A218" s="2" t="s">
        <v>241</v>
      </c>
      <c r="B218">
        <v>1981</v>
      </c>
      <c r="C218">
        <v>0</v>
      </c>
      <c r="D218" t="s">
        <v>35</v>
      </c>
      <c r="E218" t="s">
        <v>20</v>
      </c>
      <c r="F218">
        <v>0</v>
      </c>
      <c r="G218" s="10">
        <v>115</v>
      </c>
      <c r="H218">
        <v>8</v>
      </c>
      <c r="I218">
        <v>8</v>
      </c>
      <c r="J218" s="2" t="s">
        <v>20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>
        <v>2260</v>
      </c>
      <c r="O218">
        <v>100</v>
      </c>
      <c r="P218" s="2">
        <v>0.34</v>
      </c>
      <c r="Q218" s="6">
        <v>40</v>
      </c>
      <c r="R218" s="10">
        <v>0</v>
      </c>
      <c r="S218" s="10">
        <v>0</v>
      </c>
      <c r="T218" s="10"/>
      <c r="U218" t="str">
        <f>"RUNNING_COST_"&amp;IF(PROPERTIES[[#This Row],[ENGINE_CLASS]]="MAGLEV","ELECTRIC",PROPERTIES[[#This Row],[ENGINE_CLASS]])</f>
        <v>RUNNING_COST_DIESEL</v>
      </c>
      <c r="V218" s="10" t="s">
        <v>1000</v>
      </c>
      <c r="W218" s="10" t="s">
        <v>1001</v>
      </c>
      <c r="X218" s="10" t="str">
        <f>SUBSTITUTE(SUBSTITUTE(PROPERTIES[[#This Row],[PURCHASECOST_VALUE]], "PURCHASECOST_", ""), "_VALUE", "")</f>
        <v>DIESELENGINE</v>
      </c>
      <c r="AP218"/>
      <c r="AQ218"/>
      <c r="AR218"/>
    </row>
    <row r="219" spans="1:44">
      <c r="A219" s="2" t="s">
        <v>242</v>
      </c>
      <c r="B219">
        <v>1985</v>
      </c>
      <c r="C219">
        <v>0</v>
      </c>
      <c r="D219" t="s">
        <v>35</v>
      </c>
      <c r="E219" t="s">
        <v>20</v>
      </c>
      <c r="F219">
        <v>0</v>
      </c>
      <c r="G219" s="10">
        <v>82</v>
      </c>
      <c r="H219">
        <v>8</v>
      </c>
      <c r="I219">
        <v>8</v>
      </c>
      <c r="J219" s="2" t="s">
        <v>20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>
        <v>2250</v>
      </c>
      <c r="O219">
        <v>140</v>
      </c>
      <c r="P219" s="2">
        <v>0.33</v>
      </c>
      <c r="Q219" s="6">
        <v>40</v>
      </c>
      <c r="R219" s="10">
        <v>0</v>
      </c>
      <c r="S219" s="10">
        <v>0</v>
      </c>
      <c r="T219" s="10"/>
      <c r="U219" t="str">
        <f>"RUNNING_COST_"&amp;IF(PROPERTIES[[#This Row],[ENGINE_CLASS]]="MAGLEV","ELECTRIC",PROPERTIES[[#This Row],[ENGINE_CLASS]])</f>
        <v>RUNNING_COST_DIESEL</v>
      </c>
      <c r="V219" s="10" t="s">
        <v>1000</v>
      </c>
      <c r="W219" s="10" t="s">
        <v>1001</v>
      </c>
      <c r="X219" s="10" t="str">
        <f>SUBSTITUTE(SUBSTITUTE(PROPERTIES[[#This Row],[PURCHASECOST_VALUE]], "PURCHASECOST_", ""), "_VALUE", "")</f>
        <v>DIESELENGINE</v>
      </c>
      <c r="AP219"/>
      <c r="AQ219"/>
      <c r="AR219"/>
    </row>
    <row r="220" spans="1:44">
      <c r="A220" s="2" t="s">
        <v>243</v>
      </c>
      <c r="B220">
        <v>1988</v>
      </c>
      <c r="C220">
        <v>0</v>
      </c>
      <c r="D220" t="s">
        <v>35</v>
      </c>
      <c r="E220" t="s">
        <v>20</v>
      </c>
      <c r="F220">
        <v>0</v>
      </c>
      <c r="G220" s="10">
        <v>180</v>
      </c>
      <c r="H220">
        <v>8</v>
      </c>
      <c r="I220">
        <v>8</v>
      </c>
      <c r="J220" s="2" t="s">
        <v>20</v>
      </c>
      <c r="K220">
        <f>_xlfn.XLOOKUP("LOADINGSPEEDDEF_"&amp;PROPERTIES[[#This Row],[LOADINGSPEED]],LOADINGSPEEDDEF[TYPE],LOADINGSPEEDDEF[SPEED])</f>
        <v>0</v>
      </c>
      <c r="L220" t="s">
        <v>21</v>
      </c>
      <c r="M220">
        <v>1</v>
      </c>
      <c r="N220">
        <v>6000</v>
      </c>
      <c r="O220">
        <v>160</v>
      </c>
      <c r="P220" s="2">
        <v>0.13</v>
      </c>
      <c r="Q220" s="6">
        <v>40</v>
      </c>
      <c r="R220" s="10">
        <v>0</v>
      </c>
      <c r="S220" s="10">
        <v>0</v>
      </c>
      <c r="T220" s="10"/>
      <c r="U220" t="str">
        <f>"RUNNING_COST_"&amp;IF(PROPERTIES[[#This Row],[ENGINE_CLASS]]="MAGLEV","ELECTRIC",PROPERTIES[[#This Row],[ENGINE_CLASS]])</f>
        <v>RUNNING_COST_DIESEL</v>
      </c>
      <c r="V220" s="10" t="s">
        <v>1000</v>
      </c>
      <c r="W220" s="10" t="s">
        <v>1001</v>
      </c>
      <c r="X220" s="10" t="str">
        <f>SUBSTITUTE(SUBSTITUTE(PROPERTIES[[#This Row],[PURCHASECOST_VALUE]], "PURCHASECOST_", ""), "_VALUE", "")</f>
        <v>DIESELENGINE</v>
      </c>
      <c r="AP220"/>
      <c r="AQ220"/>
      <c r="AR220"/>
    </row>
    <row r="221" spans="1:44">
      <c r="A221" s="2" t="s">
        <v>244</v>
      </c>
      <c r="B221">
        <v>1992</v>
      </c>
      <c r="C221">
        <v>0</v>
      </c>
      <c r="D221" t="s">
        <v>35</v>
      </c>
      <c r="E221" t="s">
        <v>20</v>
      </c>
      <c r="F221">
        <v>0</v>
      </c>
      <c r="G221" s="10">
        <v>128</v>
      </c>
      <c r="H221">
        <v>8</v>
      </c>
      <c r="I221">
        <v>8</v>
      </c>
      <c r="J221" s="2" t="s">
        <v>20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>
        <v>4120</v>
      </c>
      <c r="O221">
        <v>150</v>
      </c>
      <c r="P221" s="2">
        <v>0.25</v>
      </c>
      <c r="Q221" s="6">
        <v>40</v>
      </c>
      <c r="R221" s="10">
        <v>0</v>
      </c>
      <c r="S221" s="10">
        <v>0</v>
      </c>
      <c r="T221" s="10"/>
      <c r="U221" t="str">
        <f>"RUNNING_COST_"&amp;IF(PROPERTIES[[#This Row],[ENGINE_CLASS]]="MAGLEV","ELECTRIC",PROPERTIES[[#This Row],[ENGINE_CLASS]])</f>
        <v>RUNNING_COST_DIESEL</v>
      </c>
      <c r="V221" s="10" t="s">
        <v>1000</v>
      </c>
      <c r="W221" s="10" t="s">
        <v>1001</v>
      </c>
      <c r="X221" s="10" t="str">
        <f>SUBSTITUTE(SUBSTITUTE(PROPERTIES[[#This Row],[PURCHASECOST_VALUE]], "PURCHASECOST_", ""), "_VALUE", "")</f>
        <v>DIESELENGINE</v>
      </c>
      <c r="AP221"/>
      <c r="AQ221"/>
      <c r="AR221"/>
    </row>
    <row r="222" spans="1:44">
      <c r="A222" s="2" t="s">
        <v>245</v>
      </c>
      <c r="B222">
        <v>1992</v>
      </c>
      <c r="C222">
        <v>0</v>
      </c>
      <c r="D222" t="s">
        <v>35</v>
      </c>
      <c r="E222" t="s">
        <v>20</v>
      </c>
      <c r="F222">
        <v>0</v>
      </c>
      <c r="G222" s="10">
        <v>134</v>
      </c>
      <c r="H222">
        <v>8</v>
      </c>
      <c r="I222">
        <v>8</v>
      </c>
      <c r="J222" s="2" t="s">
        <v>20</v>
      </c>
      <c r="K222">
        <f>_xlfn.XLOOKUP("LOADINGSPEEDDEF_"&amp;PROPERTIES[[#This Row],[LOADINGSPEED]],LOADINGSPEEDDEF[TYPE],LOADINGSPEEDDEF[SPEED])</f>
        <v>0</v>
      </c>
      <c r="L222" t="s">
        <v>21</v>
      </c>
      <c r="M222">
        <v>1</v>
      </c>
      <c r="N222">
        <v>4250</v>
      </c>
      <c r="O222">
        <v>177</v>
      </c>
      <c r="P222" s="2">
        <v>0.19</v>
      </c>
      <c r="Q222" s="6">
        <v>40</v>
      </c>
      <c r="R222" s="10">
        <v>0</v>
      </c>
      <c r="S222" s="10">
        <v>0</v>
      </c>
      <c r="T222" s="10"/>
      <c r="U222" t="str">
        <f>"RUNNING_COST_"&amp;IF(PROPERTIES[[#This Row],[ENGINE_CLASS]]="MAGLEV","ELECTRIC",PROPERTIES[[#This Row],[ENGINE_CLASS]])</f>
        <v>RUNNING_COST_DIESEL</v>
      </c>
      <c r="V222" s="10" t="s">
        <v>1000</v>
      </c>
      <c r="W222" s="10" t="s">
        <v>1001</v>
      </c>
      <c r="X222" s="10" t="str">
        <f>SUBSTITUTE(SUBSTITUTE(PROPERTIES[[#This Row],[PURCHASECOST_VALUE]], "PURCHASECOST_", ""), "_VALUE", "")</f>
        <v>DIESELENGINE</v>
      </c>
      <c r="AP222"/>
      <c r="AQ222"/>
      <c r="AR222"/>
    </row>
    <row r="223" spans="1:44">
      <c r="A223" s="2" t="s">
        <v>246</v>
      </c>
      <c r="B223">
        <v>1994</v>
      </c>
      <c r="C223">
        <v>0</v>
      </c>
      <c r="D223" t="s">
        <v>35</v>
      </c>
      <c r="E223" t="s">
        <v>20</v>
      </c>
      <c r="F223">
        <v>0</v>
      </c>
      <c r="G223" s="10">
        <v>51</v>
      </c>
      <c r="H223">
        <v>6</v>
      </c>
      <c r="I223">
        <v>6</v>
      </c>
      <c r="J223" s="2" t="s">
        <v>20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>
        <v>700</v>
      </c>
      <c r="O223">
        <v>40</v>
      </c>
      <c r="P223" s="2">
        <v>0.28000000000000003</v>
      </c>
      <c r="Q223" s="6">
        <v>40</v>
      </c>
      <c r="R223" s="10">
        <v>0</v>
      </c>
      <c r="S223" s="10">
        <v>0</v>
      </c>
      <c r="T223" s="10"/>
      <c r="U223" t="str">
        <f>"RUNNING_COST_"&amp;IF(PROPERTIES[[#This Row],[ENGINE_CLASS]]="MAGLEV","ELECTRIC",PROPERTIES[[#This Row],[ENGINE_CLASS]])</f>
        <v>RUNNING_COST_DIESEL</v>
      </c>
      <c r="V223" s="10" t="s">
        <v>1000</v>
      </c>
      <c r="W223" s="10" t="s">
        <v>1001</v>
      </c>
      <c r="X223" s="10" t="str">
        <f>SUBSTITUTE(SUBSTITUTE(PROPERTIES[[#This Row],[PURCHASECOST_VALUE]], "PURCHASECOST_", ""), "_VALUE", "")</f>
        <v>DIESELENGINE</v>
      </c>
      <c r="AP223"/>
      <c r="AQ223"/>
      <c r="AR223"/>
    </row>
    <row r="224" spans="1:44">
      <c r="A224" s="2" t="s">
        <v>247</v>
      </c>
      <c r="B224">
        <v>1995</v>
      </c>
      <c r="C224">
        <v>0</v>
      </c>
      <c r="D224" t="s">
        <v>35</v>
      </c>
      <c r="E224" t="s">
        <v>20</v>
      </c>
      <c r="F224">
        <v>0</v>
      </c>
      <c r="G224" s="10">
        <v>89</v>
      </c>
      <c r="H224">
        <v>8</v>
      </c>
      <c r="I224">
        <v>8</v>
      </c>
      <c r="J224" s="2" t="s">
        <v>20</v>
      </c>
      <c r="K224">
        <f>_xlfn.XLOOKUP("LOADINGSPEEDDEF_"&amp;PROPERTIES[[#This Row],[LOADINGSPEED]],LOADINGSPEEDDEF[TYPE],LOADINGSPEEDDEF[SPEED])</f>
        <v>0</v>
      </c>
      <c r="L224" t="s">
        <v>21</v>
      </c>
      <c r="M224">
        <v>1</v>
      </c>
      <c r="N224">
        <v>2000</v>
      </c>
      <c r="O224">
        <v>104</v>
      </c>
      <c r="P224" s="2">
        <v>0.28999999999999998</v>
      </c>
      <c r="Q224" s="6">
        <v>40</v>
      </c>
      <c r="R224" s="10">
        <v>0</v>
      </c>
      <c r="S224" s="10">
        <v>0</v>
      </c>
      <c r="T224" s="10"/>
      <c r="U224" t="str">
        <f>"RUNNING_COST_"&amp;IF(PROPERTIES[[#This Row],[ENGINE_CLASS]]="MAGLEV","ELECTRIC",PROPERTIES[[#This Row],[ENGINE_CLASS]])</f>
        <v>RUNNING_COST_DIESEL</v>
      </c>
      <c r="V224" s="10" t="s">
        <v>1000</v>
      </c>
      <c r="W224" s="10" t="s">
        <v>1001</v>
      </c>
      <c r="X224" s="10" t="str">
        <f>SUBSTITUTE(SUBSTITUTE(PROPERTIES[[#This Row],[PURCHASECOST_VALUE]], "PURCHASECOST_", ""), "_VALUE", "")</f>
        <v>DIESELENGINE</v>
      </c>
      <c r="AP224"/>
      <c r="AQ224"/>
      <c r="AR224"/>
    </row>
    <row r="225" spans="1:44">
      <c r="A225" s="2" t="s">
        <v>248</v>
      </c>
      <c r="B225">
        <v>1997</v>
      </c>
      <c r="C225">
        <v>0</v>
      </c>
      <c r="D225" t="s">
        <v>35</v>
      </c>
      <c r="E225" t="s">
        <v>20</v>
      </c>
      <c r="F225">
        <v>0</v>
      </c>
      <c r="G225" s="10">
        <v>83</v>
      </c>
      <c r="H225">
        <v>7</v>
      </c>
      <c r="I225">
        <v>7</v>
      </c>
      <c r="J225" s="2" t="s">
        <v>20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>
        <v>1500</v>
      </c>
      <c r="O225">
        <v>80</v>
      </c>
      <c r="P225" s="2">
        <v>0.34</v>
      </c>
      <c r="Q225" s="6">
        <v>40</v>
      </c>
      <c r="R225" s="10">
        <v>0</v>
      </c>
      <c r="S225" s="10">
        <v>0</v>
      </c>
      <c r="T225" s="10"/>
      <c r="U225" t="str">
        <f>"RUNNING_COST_"&amp;IF(PROPERTIES[[#This Row],[ENGINE_CLASS]]="MAGLEV","ELECTRIC",PROPERTIES[[#This Row],[ENGINE_CLASS]])</f>
        <v>RUNNING_COST_DIESEL</v>
      </c>
      <c r="V225" s="10" t="s">
        <v>1000</v>
      </c>
      <c r="W225" s="10" t="s">
        <v>1001</v>
      </c>
      <c r="X225" s="10" t="str">
        <f>SUBSTITUTE(SUBSTITUTE(PROPERTIES[[#This Row],[PURCHASECOST_VALUE]], "PURCHASECOST_", ""), "_VALUE", "")</f>
        <v>DIESELENGINE</v>
      </c>
      <c r="AP225"/>
      <c r="AQ225"/>
      <c r="AR225"/>
    </row>
    <row r="226" spans="1:44">
      <c r="A226" s="2" t="s">
        <v>249</v>
      </c>
      <c r="B226">
        <v>1998</v>
      </c>
      <c r="C226">
        <v>0</v>
      </c>
      <c r="D226" t="s">
        <v>35</v>
      </c>
      <c r="E226" t="s">
        <v>20</v>
      </c>
      <c r="F226">
        <v>0</v>
      </c>
      <c r="G226" s="10">
        <v>126</v>
      </c>
      <c r="H226">
        <v>8</v>
      </c>
      <c r="I226">
        <v>8</v>
      </c>
      <c r="J226" s="2" t="s">
        <v>20</v>
      </c>
      <c r="K226">
        <f>_xlfn.XLOOKUP("LOADINGSPEEDDEF_"&amp;PROPERTIES[[#This Row],[LOADINGSPEED]],LOADINGSPEEDDEF[TYPE],LOADINGSPEEDDEF[SPEED])</f>
        <v>0</v>
      </c>
      <c r="L226" t="s">
        <v>21</v>
      </c>
      <c r="M226">
        <v>0</v>
      </c>
      <c r="N226">
        <v>3298</v>
      </c>
      <c r="O226">
        <v>120</v>
      </c>
      <c r="P226" s="2">
        <v>0.32</v>
      </c>
      <c r="Q226" s="6">
        <v>40</v>
      </c>
      <c r="R226" s="10">
        <v>0</v>
      </c>
      <c r="S226" s="10">
        <v>0</v>
      </c>
      <c r="T226" s="10"/>
      <c r="U226" t="str">
        <f>"RUNNING_COST_"&amp;IF(PROPERTIES[[#This Row],[ENGINE_CLASS]]="MAGLEV","ELECTRIC",PROPERTIES[[#This Row],[ENGINE_CLASS]])</f>
        <v>RUNNING_COST_DIESEL</v>
      </c>
      <c r="V226" s="10" t="s">
        <v>1000</v>
      </c>
      <c r="W226" s="10" t="s">
        <v>1001</v>
      </c>
      <c r="X226" s="10" t="str">
        <f>SUBSTITUTE(SUBSTITUTE(PROPERTIES[[#This Row],[PURCHASECOST_VALUE]], "PURCHASECOST_", ""), "_VALUE", "")</f>
        <v>DIESELENGINE</v>
      </c>
      <c r="AP226"/>
      <c r="AQ226"/>
      <c r="AR226"/>
    </row>
    <row r="227" spans="1:44">
      <c r="A227" s="2" t="s">
        <v>250</v>
      </c>
      <c r="B227">
        <v>1999</v>
      </c>
      <c r="C227">
        <v>0</v>
      </c>
      <c r="D227" t="s">
        <v>35</v>
      </c>
      <c r="E227" t="s">
        <v>20</v>
      </c>
      <c r="F227">
        <v>0</v>
      </c>
      <c r="G227" s="10">
        <v>88</v>
      </c>
      <c r="H227">
        <v>8</v>
      </c>
      <c r="I227">
        <v>8</v>
      </c>
      <c r="J227" s="2" t="s">
        <v>20</v>
      </c>
      <c r="K227">
        <f>_xlfn.XLOOKUP("LOADINGSPEEDDEF_"&amp;PROPERTIES[[#This Row],[LOADINGSPEED]],LOADINGSPEEDDEF[TYPE],LOADINGSPEEDDEF[SPEED])</f>
        <v>0</v>
      </c>
      <c r="L227" t="s">
        <v>21</v>
      </c>
      <c r="M227">
        <v>1</v>
      </c>
      <c r="N227">
        <v>3200</v>
      </c>
      <c r="O227">
        <v>200</v>
      </c>
      <c r="P227" s="2">
        <v>0.2</v>
      </c>
      <c r="Q227" s="6">
        <v>40</v>
      </c>
      <c r="R227" s="10">
        <v>0</v>
      </c>
      <c r="S227" s="10">
        <v>0</v>
      </c>
      <c r="T227" s="10"/>
      <c r="U227" t="str">
        <f>"RUNNING_COST_"&amp;IF(PROPERTIES[[#This Row],[ENGINE_CLASS]]="MAGLEV","ELECTRIC",PROPERTIES[[#This Row],[ENGINE_CLASS]])</f>
        <v>RUNNING_COST_DIESEL</v>
      </c>
      <c r="V227" s="10" t="s">
        <v>1000</v>
      </c>
      <c r="W227" s="10" t="s">
        <v>1001</v>
      </c>
      <c r="X227" s="10" t="str">
        <f>SUBSTITUTE(SUBSTITUTE(PROPERTIES[[#This Row],[PURCHASECOST_VALUE]], "PURCHASECOST_", ""), "_VALUE", "")</f>
        <v>DIESELENGINE</v>
      </c>
      <c r="AP227"/>
      <c r="AQ227"/>
      <c r="AR227"/>
    </row>
    <row r="228" spans="1:44">
      <c r="A228" s="2" t="s">
        <v>251</v>
      </c>
      <c r="B228">
        <v>2002</v>
      </c>
      <c r="C228">
        <v>0</v>
      </c>
      <c r="D228" t="s">
        <v>35</v>
      </c>
      <c r="E228" t="s">
        <v>20</v>
      </c>
      <c r="F228">
        <v>0</v>
      </c>
      <c r="G228" s="10">
        <v>108</v>
      </c>
      <c r="H228">
        <v>8</v>
      </c>
      <c r="I228">
        <v>8</v>
      </c>
      <c r="J228" s="2" t="s">
        <v>20</v>
      </c>
      <c r="K228">
        <f>_xlfn.XLOOKUP("LOADINGSPEEDDEF_"&amp;PROPERTIES[[#This Row],[LOADINGSPEED]],LOADINGSPEEDDEF[TYPE],LOADINGSPEEDDEF[SPEED])</f>
        <v>0</v>
      </c>
      <c r="L228" t="s">
        <v>21</v>
      </c>
      <c r="M228">
        <v>1</v>
      </c>
      <c r="N228">
        <v>4300</v>
      </c>
      <c r="O228">
        <v>160</v>
      </c>
      <c r="P228" s="2">
        <v>0.21</v>
      </c>
      <c r="Q228" s="6">
        <v>40</v>
      </c>
      <c r="R228" s="10">
        <v>0</v>
      </c>
      <c r="S228" s="10">
        <v>0</v>
      </c>
      <c r="T228" s="10"/>
      <c r="U228" t="str">
        <f>"RUNNING_COST_"&amp;IF(PROPERTIES[[#This Row],[ENGINE_CLASS]]="MAGLEV","ELECTRIC",PROPERTIES[[#This Row],[ENGINE_CLASS]])</f>
        <v>RUNNING_COST_DIESEL</v>
      </c>
      <c r="V228" s="10" t="s">
        <v>1000</v>
      </c>
      <c r="W228" s="10" t="s">
        <v>1001</v>
      </c>
      <c r="X228" s="10" t="str">
        <f>SUBSTITUTE(SUBSTITUTE(PROPERTIES[[#This Row],[PURCHASECOST_VALUE]], "PURCHASECOST_", ""), "_VALUE", "")</f>
        <v>DIESELENGINE</v>
      </c>
      <c r="AP228"/>
      <c r="AQ228"/>
      <c r="AR228"/>
    </row>
    <row r="229" spans="1:44">
      <c r="A229" s="2" t="s">
        <v>252</v>
      </c>
      <c r="B229">
        <v>2006</v>
      </c>
      <c r="C229">
        <v>0</v>
      </c>
      <c r="D229" t="s">
        <v>35</v>
      </c>
      <c r="E229" t="s">
        <v>20</v>
      </c>
      <c r="F229">
        <v>0</v>
      </c>
      <c r="G229" s="10">
        <v>135</v>
      </c>
      <c r="H229">
        <v>8</v>
      </c>
      <c r="I229">
        <v>8</v>
      </c>
      <c r="J229" s="2" t="s">
        <v>20</v>
      </c>
      <c r="K229">
        <f>_xlfn.XLOOKUP("LOADINGSPEEDDEF_"&amp;PROPERTIES[[#This Row],[LOADINGSPEED]],LOADINGSPEEDDEF[TYPE],LOADINGSPEEDDEF[SPEED])</f>
        <v>0</v>
      </c>
      <c r="L229" t="s">
        <v>21</v>
      </c>
      <c r="M229">
        <v>1</v>
      </c>
      <c r="N229">
        <v>4216</v>
      </c>
      <c r="O229">
        <v>160</v>
      </c>
      <c r="P229" s="2">
        <v>0.12</v>
      </c>
      <c r="Q229" s="6">
        <v>40</v>
      </c>
      <c r="R229" s="10">
        <v>0</v>
      </c>
      <c r="S229" s="10">
        <v>0</v>
      </c>
      <c r="T229" s="10"/>
      <c r="U229" t="str">
        <f>"RUNNING_COST_"&amp;IF(PROPERTIES[[#This Row],[ENGINE_CLASS]]="MAGLEV","ELECTRIC",PROPERTIES[[#This Row],[ENGINE_CLASS]])</f>
        <v>RUNNING_COST_DIESEL</v>
      </c>
      <c r="V229" s="10" t="s">
        <v>1000</v>
      </c>
      <c r="W229" s="10" t="s">
        <v>1001</v>
      </c>
      <c r="X229" s="10" t="str">
        <f>SUBSTITUTE(SUBSTITUTE(PROPERTIES[[#This Row],[PURCHASECOST_VALUE]], "PURCHASECOST_", ""), "_VALUE", "")</f>
        <v>DIESELENGINE</v>
      </c>
      <c r="AP229"/>
      <c r="AQ229"/>
      <c r="AR229"/>
    </row>
    <row r="230" spans="1:44">
      <c r="A230" s="2" t="s">
        <v>253</v>
      </c>
      <c r="B230">
        <v>2008</v>
      </c>
      <c r="C230">
        <v>0</v>
      </c>
      <c r="D230" t="s">
        <v>35</v>
      </c>
      <c r="E230" t="s">
        <v>20</v>
      </c>
      <c r="F230">
        <v>0</v>
      </c>
      <c r="G230" s="10">
        <v>150</v>
      </c>
      <c r="H230">
        <v>8</v>
      </c>
      <c r="I230">
        <v>8</v>
      </c>
      <c r="J230" s="2" t="s">
        <v>20</v>
      </c>
      <c r="K230">
        <f>_xlfn.XLOOKUP("LOADINGSPEEDDEF_"&amp;PROPERTIES[[#This Row],[LOADINGSPEED]],LOADINGSPEEDDEF[TYPE],LOADINGSPEEDDEF[SPEED])</f>
        <v>0</v>
      </c>
      <c r="L230" t="s">
        <v>21</v>
      </c>
      <c r="M230">
        <v>1</v>
      </c>
      <c r="N230">
        <v>6250</v>
      </c>
      <c r="O230">
        <v>120</v>
      </c>
      <c r="P230" s="2">
        <v>0.41</v>
      </c>
      <c r="Q230" s="6">
        <v>40</v>
      </c>
      <c r="R230" s="10">
        <v>0</v>
      </c>
      <c r="S230" s="10">
        <v>0</v>
      </c>
      <c r="T230" s="10"/>
      <c r="U230" t="str">
        <f>"RUNNING_COST_"&amp;IF(PROPERTIES[[#This Row],[ENGINE_CLASS]]="MAGLEV","ELECTRIC",PROPERTIES[[#This Row],[ENGINE_CLASS]])</f>
        <v>RUNNING_COST_DIESEL</v>
      </c>
      <c r="V230" s="10" t="s">
        <v>1000</v>
      </c>
      <c r="W230" s="10" t="s">
        <v>1001</v>
      </c>
      <c r="X230" s="10" t="str">
        <f>SUBSTITUTE(SUBSTITUTE(PROPERTIES[[#This Row],[PURCHASECOST_VALUE]], "PURCHASECOST_", ""), "_VALUE", "")</f>
        <v>DIESELENGINE</v>
      </c>
      <c r="AP230"/>
      <c r="AQ230"/>
      <c r="AR230"/>
    </row>
    <row r="231" spans="1:44">
      <c r="A231" s="2" t="s">
        <v>254</v>
      </c>
      <c r="B231">
        <v>2010</v>
      </c>
      <c r="C231">
        <v>0</v>
      </c>
      <c r="D231" t="s">
        <v>35</v>
      </c>
      <c r="E231" t="s">
        <v>20</v>
      </c>
      <c r="F231">
        <v>0</v>
      </c>
      <c r="G231" s="10">
        <v>80</v>
      </c>
      <c r="H231">
        <v>8</v>
      </c>
      <c r="I231">
        <v>8</v>
      </c>
      <c r="J231" s="2" t="s">
        <v>20</v>
      </c>
      <c r="K231">
        <f>_xlfn.XLOOKUP("LOADINGSPEEDDEF_"&amp;PROPERTIES[[#This Row],[LOADINGSPEED]],LOADINGSPEEDDEF[TYPE],LOADINGSPEEDDEF[SPEED])</f>
        <v>0</v>
      </c>
      <c r="L231" t="s">
        <v>21</v>
      </c>
      <c r="M231">
        <v>1</v>
      </c>
      <c r="N231">
        <v>1350</v>
      </c>
      <c r="O231">
        <v>100</v>
      </c>
      <c r="P231" s="2">
        <v>0.32</v>
      </c>
      <c r="Q231" s="6">
        <v>40</v>
      </c>
      <c r="R231" s="10">
        <v>0</v>
      </c>
      <c r="S231" s="10">
        <v>0</v>
      </c>
      <c r="T231" s="10"/>
      <c r="U231" t="str">
        <f>"RUNNING_COST_"&amp;IF(PROPERTIES[[#This Row],[ENGINE_CLASS]]="MAGLEV","ELECTRIC",PROPERTIES[[#This Row],[ENGINE_CLASS]])</f>
        <v>RUNNING_COST_DIESEL</v>
      </c>
      <c r="V231" s="10" t="s">
        <v>1000</v>
      </c>
      <c r="W231" s="10" t="s">
        <v>1001</v>
      </c>
      <c r="X231" s="10" t="str">
        <f>SUBSTITUTE(SUBSTITUTE(PROPERTIES[[#This Row],[PURCHASECOST_VALUE]], "PURCHASECOST_", ""), "_VALUE", "")</f>
        <v>DIESELENGINE</v>
      </c>
      <c r="AP231"/>
      <c r="AQ231"/>
      <c r="AR231"/>
    </row>
    <row r="232" spans="1:44">
      <c r="A232" s="2" t="s">
        <v>255</v>
      </c>
      <c r="B232">
        <v>2011</v>
      </c>
      <c r="C232">
        <v>0</v>
      </c>
      <c r="D232" t="s">
        <v>35</v>
      </c>
      <c r="E232" t="s">
        <v>20</v>
      </c>
      <c r="F232">
        <v>0</v>
      </c>
      <c r="G232" s="10">
        <v>300</v>
      </c>
      <c r="H232">
        <v>8</v>
      </c>
      <c r="I232">
        <v>16</v>
      </c>
      <c r="J232" s="2" t="s">
        <v>20</v>
      </c>
      <c r="K232">
        <f>_xlfn.XLOOKUP("LOADINGSPEEDDEF_"&amp;PROPERTIES[[#This Row],[LOADINGSPEED]],LOADINGSPEEDDEF[TYPE],LOADINGSPEEDDEF[SPEED])</f>
        <v>0</v>
      </c>
      <c r="L232" t="s">
        <v>21</v>
      </c>
      <c r="M232">
        <v>1</v>
      </c>
      <c r="N232">
        <v>11130</v>
      </c>
      <c r="O232">
        <v>100</v>
      </c>
      <c r="P232" s="2">
        <v>0.23</v>
      </c>
      <c r="Q232" s="6">
        <v>40</v>
      </c>
      <c r="R232" s="10">
        <v>0</v>
      </c>
      <c r="S232" s="10">
        <v>8</v>
      </c>
      <c r="T232" s="10"/>
      <c r="U232" t="str">
        <f>"RUNNING_COST_"&amp;IF(PROPERTIES[[#This Row],[ENGINE_CLASS]]="MAGLEV","ELECTRIC",PROPERTIES[[#This Row],[ENGINE_CLASS]])</f>
        <v>RUNNING_COST_DIESEL</v>
      </c>
      <c r="V232" s="10" t="s">
        <v>1000</v>
      </c>
      <c r="W232" s="10" t="s">
        <v>1001</v>
      </c>
      <c r="X232" s="10" t="str">
        <f>SUBSTITUTE(SUBSTITUTE(PROPERTIES[[#This Row],[PURCHASECOST_VALUE]], "PURCHASECOST_", ""), "_VALUE", "")</f>
        <v>DIESELENGINE</v>
      </c>
      <c r="AP232"/>
      <c r="AQ232"/>
      <c r="AR232"/>
    </row>
    <row r="233" spans="1:44">
      <c r="A233" s="2" t="s">
        <v>256</v>
      </c>
      <c r="B233">
        <v>2003</v>
      </c>
      <c r="C233">
        <v>0</v>
      </c>
      <c r="D233" t="s">
        <v>35</v>
      </c>
      <c r="E233" t="s">
        <v>20</v>
      </c>
      <c r="F233">
        <v>0</v>
      </c>
      <c r="G233" s="10">
        <v>80</v>
      </c>
      <c r="H233">
        <v>8</v>
      </c>
      <c r="I233">
        <v>8</v>
      </c>
      <c r="J233" s="2" t="s">
        <v>20</v>
      </c>
      <c r="K233">
        <f>_xlfn.XLOOKUP("LOADINGSPEEDDEF_"&amp;PROPERTIES[[#This Row],[LOADINGSPEED]],LOADINGSPEEDDEF[TYPE],LOADINGSPEEDDEF[SPEED])</f>
        <v>0</v>
      </c>
      <c r="L233" t="s">
        <v>21</v>
      </c>
      <c r="M233">
        <v>1</v>
      </c>
      <c r="N233">
        <v>2680</v>
      </c>
      <c r="O233">
        <v>140</v>
      </c>
      <c r="P233" s="2">
        <v>0.28999999999999998</v>
      </c>
      <c r="Q233" s="6">
        <v>40</v>
      </c>
      <c r="R233" s="10">
        <v>0</v>
      </c>
      <c r="S233" s="10">
        <v>0</v>
      </c>
      <c r="T233" s="10"/>
      <c r="U233" t="str">
        <f>"RUNNING_COST_"&amp;IF(PROPERTIES[[#This Row],[ENGINE_CLASS]]="MAGLEV","ELECTRIC",PROPERTIES[[#This Row],[ENGINE_CLASS]])</f>
        <v>RUNNING_COST_DIESEL</v>
      </c>
      <c r="V233" s="10" t="s">
        <v>1000</v>
      </c>
      <c r="W233" s="10" t="s">
        <v>1001</v>
      </c>
      <c r="X233" s="10" t="str">
        <f>SUBSTITUTE(SUBSTITUTE(PROPERTIES[[#This Row],[PURCHASECOST_VALUE]], "PURCHASECOST_", ""), "_VALUE", "")</f>
        <v>DIESELENGINE</v>
      </c>
      <c r="AP233"/>
      <c r="AQ233"/>
      <c r="AR233"/>
    </row>
    <row r="234" spans="1:44">
      <c r="A234" s="2" t="s">
        <v>257</v>
      </c>
      <c r="B234">
        <v>2010</v>
      </c>
      <c r="C234">
        <v>0</v>
      </c>
      <c r="D234" t="s">
        <v>35</v>
      </c>
      <c r="E234" t="s">
        <v>20</v>
      </c>
      <c r="F234">
        <v>0</v>
      </c>
      <c r="G234" s="10">
        <v>130</v>
      </c>
      <c r="H234">
        <v>8</v>
      </c>
      <c r="I234">
        <v>8</v>
      </c>
      <c r="J234" s="2" t="s">
        <v>20</v>
      </c>
      <c r="K234">
        <f>_xlfn.XLOOKUP("LOADINGSPEEDDEF_"&amp;PROPERTIES[[#This Row],[LOADINGSPEED]],LOADINGSPEEDDEF[TYPE],LOADINGSPEEDDEF[SPEED])</f>
        <v>0</v>
      </c>
      <c r="L234" t="s">
        <v>21</v>
      </c>
      <c r="M234">
        <v>1</v>
      </c>
      <c r="N234">
        <v>4900</v>
      </c>
      <c r="O234">
        <v>140</v>
      </c>
      <c r="P234" s="2">
        <v>0.35</v>
      </c>
      <c r="Q234" s="6">
        <v>40</v>
      </c>
      <c r="R234" s="10">
        <v>0</v>
      </c>
      <c r="S234" s="10">
        <v>0</v>
      </c>
      <c r="T234" s="10"/>
      <c r="U234" t="str">
        <f>"RUNNING_COST_"&amp;IF(PROPERTIES[[#This Row],[ENGINE_CLASS]]="MAGLEV","ELECTRIC",PROPERTIES[[#This Row],[ENGINE_CLASS]])</f>
        <v>RUNNING_COST_DIESEL</v>
      </c>
      <c r="V234" s="10" t="s">
        <v>1000</v>
      </c>
      <c r="W234" s="10" t="s">
        <v>1001</v>
      </c>
      <c r="X234" s="10" t="str">
        <f>SUBSTITUTE(SUBSTITUTE(PROPERTIES[[#This Row],[PURCHASECOST_VALUE]], "PURCHASECOST_", ""), "_VALUE", "")</f>
        <v>DIESELENGINE</v>
      </c>
      <c r="AP234"/>
      <c r="AQ234"/>
      <c r="AR234"/>
    </row>
    <row r="235" spans="1:44">
      <c r="A235" s="2" t="s">
        <v>258</v>
      </c>
      <c r="B235">
        <v>1926</v>
      </c>
      <c r="C235">
        <v>0</v>
      </c>
      <c r="D235" t="s">
        <v>35</v>
      </c>
      <c r="E235" t="s">
        <v>20</v>
      </c>
      <c r="F235">
        <v>0</v>
      </c>
      <c r="G235" s="10">
        <v>125</v>
      </c>
      <c r="H235">
        <v>7</v>
      </c>
      <c r="I235">
        <v>7</v>
      </c>
      <c r="J235" s="2" t="s">
        <v>20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>
        <v>1200</v>
      </c>
      <c r="O235">
        <v>55</v>
      </c>
      <c r="P235" s="2">
        <v>0.12</v>
      </c>
      <c r="Q235" s="6">
        <v>40</v>
      </c>
      <c r="R235" s="10">
        <v>0</v>
      </c>
      <c r="S235" s="10">
        <v>0</v>
      </c>
      <c r="T235" s="10"/>
      <c r="U235" t="str">
        <f>"RUNNING_COST_"&amp;IF(PROPERTIES[[#This Row],[ENGINE_CLASS]]="MAGLEV","ELECTRIC",PROPERTIES[[#This Row],[ENGINE_CLASS]])</f>
        <v>RUNNING_COST_DIESEL</v>
      </c>
      <c r="V235" s="10" t="s">
        <v>1000</v>
      </c>
      <c r="W235" s="10" t="s">
        <v>1001</v>
      </c>
      <c r="X235" s="10" t="str">
        <f>SUBSTITUTE(SUBSTITUTE(PROPERTIES[[#This Row],[PURCHASECOST_VALUE]], "PURCHASECOST_", ""), "_VALUE", "")</f>
        <v>DIESELENGINE</v>
      </c>
      <c r="AP235"/>
      <c r="AQ235"/>
      <c r="AR235"/>
    </row>
    <row r="236" spans="1:44">
      <c r="A236" s="2" t="s">
        <v>259</v>
      </c>
      <c r="B236">
        <v>1928</v>
      </c>
      <c r="C236">
        <v>0</v>
      </c>
      <c r="D236" t="s">
        <v>35</v>
      </c>
      <c r="E236" t="s">
        <v>20</v>
      </c>
      <c r="F236">
        <v>0</v>
      </c>
      <c r="G236" s="10">
        <v>335</v>
      </c>
      <c r="H236">
        <v>7</v>
      </c>
      <c r="I236">
        <v>14</v>
      </c>
      <c r="J236" s="2" t="s">
        <v>20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>
        <v>2660</v>
      </c>
      <c r="O236">
        <v>112</v>
      </c>
      <c r="P236" s="2">
        <v>0.11</v>
      </c>
      <c r="Q236" s="6">
        <v>40</v>
      </c>
      <c r="R236" s="10">
        <v>0</v>
      </c>
      <c r="S236" s="10">
        <v>7</v>
      </c>
      <c r="T236" s="10"/>
      <c r="U236" t="str">
        <f>"RUNNING_COST_"&amp;IF(PROPERTIES[[#This Row],[ENGINE_CLASS]]="MAGLEV","ELECTRIC",PROPERTIES[[#This Row],[ENGINE_CLASS]])</f>
        <v>RUNNING_COST_DIESEL</v>
      </c>
      <c r="V236" s="10" t="s">
        <v>1000</v>
      </c>
      <c r="W236" s="10" t="s">
        <v>1001</v>
      </c>
      <c r="X236" s="10" t="str">
        <f>SUBSTITUTE(SUBSTITUTE(PROPERTIES[[#This Row],[PURCHASECOST_VALUE]], "PURCHASECOST_", ""), "_VALUE", "")</f>
        <v>DIESELENGINE</v>
      </c>
      <c r="AP236"/>
      <c r="AQ236"/>
      <c r="AR236"/>
    </row>
    <row r="237" spans="1:44">
      <c r="A237" s="2" t="s">
        <v>260</v>
      </c>
      <c r="B237">
        <v>1932</v>
      </c>
      <c r="C237">
        <v>0</v>
      </c>
      <c r="D237" t="s">
        <v>35</v>
      </c>
      <c r="E237" t="s">
        <v>20</v>
      </c>
      <c r="F237">
        <v>0</v>
      </c>
      <c r="G237" s="10">
        <v>22</v>
      </c>
      <c r="H237">
        <v>4</v>
      </c>
      <c r="I237">
        <v>4</v>
      </c>
      <c r="J237" s="2" t="s">
        <v>20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>
        <v>150</v>
      </c>
      <c r="O237">
        <v>48</v>
      </c>
      <c r="P237" s="2">
        <v>0.21</v>
      </c>
      <c r="Q237" s="6">
        <v>40</v>
      </c>
      <c r="R237" s="10">
        <v>0</v>
      </c>
      <c r="S237" s="10">
        <v>0</v>
      </c>
      <c r="T237" s="10"/>
      <c r="U237" t="str">
        <f>"RUNNING_COST_"&amp;IF(PROPERTIES[[#This Row],[ENGINE_CLASS]]="MAGLEV","ELECTRIC",PROPERTIES[[#This Row],[ENGINE_CLASS]])</f>
        <v>RUNNING_COST_DIESEL</v>
      </c>
      <c r="V237" s="10" t="s">
        <v>1000</v>
      </c>
      <c r="W237" s="10" t="s">
        <v>1001</v>
      </c>
      <c r="X237" s="10" t="str">
        <f>SUBSTITUTE(SUBSTITUTE(PROPERTIES[[#This Row],[PURCHASECOST_VALUE]], "PURCHASECOST_", ""), "_VALUE", "")</f>
        <v>DIESELENGINE</v>
      </c>
      <c r="AP237"/>
      <c r="AQ237"/>
      <c r="AR237"/>
    </row>
    <row r="238" spans="1:44">
      <c r="A238" s="2" t="s">
        <v>261</v>
      </c>
      <c r="B238">
        <v>1937</v>
      </c>
      <c r="C238">
        <v>0</v>
      </c>
      <c r="D238" t="s">
        <v>35</v>
      </c>
      <c r="E238" t="s">
        <v>20</v>
      </c>
      <c r="F238">
        <v>0</v>
      </c>
      <c r="G238" s="10">
        <v>132</v>
      </c>
      <c r="H238">
        <v>8</v>
      </c>
      <c r="I238">
        <v>8</v>
      </c>
      <c r="J238" s="2" t="s">
        <v>20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>
        <v>1200</v>
      </c>
      <c r="O238">
        <v>180</v>
      </c>
      <c r="P238" s="2">
        <v>0.12</v>
      </c>
      <c r="Q238" s="6">
        <v>40</v>
      </c>
      <c r="R238" s="10">
        <v>0</v>
      </c>
      <c r="S238" s="10">
        <v>0</v>
      </c>
      <c r="T238" s="10"/>
      <c r="U238" t="str">
        <f>"RUNNING_COST_"&amp;IF(PROPERTIES[[#This Row],[ENGINE_CLASS]]="MAGLEV","ELECTRIC",PROPERTIES[[#This Row],[ENGINE_CLASS]])</f>
        <v>RUNNING_COST_DIESEL</v>
      </c>
      <c r="V238" s="10" t="s">
        <v>1000</v>
      </c>
      <c r="W238" s="10" t="s">
        <v>1001</v>
      </c>
      <c r="X238" s="10" t="str">
        <f>SUBSTITUTE(SUBSTITUTE(PROPERTIES[[#This Row],[PURCHASECOST_VALUE]], "PURCHASECOST_", ""), "_VALUE", "")</f>
        <v>DIESELENGINE</v>
      </c>
      <c r="AP238"/>
      <c r="AQ238"/>
      <c r="AR238"/>
    </row>
    <row r="239" spans="1:44">
      <c r="A239" s="2" t="s">
        <v>262</v>
      </c>
      <c r="B239">
        <v>1939</v>
      </c>
      <c r="C239">
        <v>0</v>
      </c>
      <c r="D239" t="s">
        <v>35</v>
      </c>
      <c r="E239" t="s">
        <v>20</v>
      </c>
      <c r="F239">
        <v>0</v>
      </c>
      <c r="G239" s="10">
        <v>92</v>
      </c>
      <c r="H239">
        <v>6</v>
      </c>
      <c r="I239">
        <v>6</v>
      </c>
      <c r="J239" s="2" t="s">
        <v>20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>
        <v>660</v>
      </c>
      <c r="O239">
        <v>64</v>
      </c>
      <c r="P239" s="2">
        <v>0.24</v>
      </c>
      <c r="Q239" s="6">
        <v>40</v>
      </c>
      <c r="R239" s="10">
        <v>0</v>
      </c>
      <c r="S239" s="10">
        <v>0</v>
      </c>
      <c r="T239" s="10"/>
      <c r="U239" t="str">
        <f>"RUNNING_COST_"&amp;IF(PROPERTIES[[#This Row],[ENGINE_CLASS]]="MAGLEV","ELECTRIC",PROPERTIES[[#This Row],[ENGINE_CLASS]])</f>
        <v>RUNNING_COST_DIESEL</v>
      </c>
      <c r="V239" s="10" t="s">
        <v>1000</v>
      </c>
      <c r="W239" s="10" t="s">
        <v>1001</v>
      </c>
      <c r="X239" s="10" t="str">
        <f>SUBSTITUTE(SUBSTITUTE(PROPERTIES[[#This Row],[PURCHASECOST_VALUE]], "PURCHASECOST_", ""), "_VALUE", "")</f>
        <v>DIESELENGINE</v>
      </c>
      <c r="AP239"/>
      <c r="AQ239"/>
      <c r="AR239"/>
    </row>
    <row r="240" spans="1:44">
      <c r="A240" s="2" t="s">
        <v>263</v>
      </c>
      <c r="B240">
        <v>1939</v>
      </c>
      <c r="C240">
        <v>0</v>
      </c>
      <c r="D240" t="s">
        <v>35</v>
      </c>
      <c r="E240" t="s">
        <v>20</v>
      </c>
      <c r="F240">
        <v>0</v>
      </c>
      <c r="G240" s="10">
        <v>55</v>
      </c>
      <c r="H240">
        <v>5</v>
      </c>
      <c r="I240">
        <v>5</v>
      </c>
      <c r="J240" s="2" t="s">
        <v>20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>
        <v>350</v>
      </c>
      <c r="O240">
        <v>32</v>
      </c>
      <c r="P240" s="2">
        <v>0.28999999999999998</v>
      </c>
      <c r="Q240" s="6">
        <v>40</v>
      </c>
      <c r="R240" s="10">
        <v>0</v>
      </c>
      <c r="S240" s="10">
        <v>0</v>
      </c>
      <c r="T240" s="10"/>
      <c r="U240" t="str">
        <f>"RUNNING_COST_"&amp;IF(PROPERTIES[[#This Row],[ENGINE_CLASS]]="MAGLEV","ELECTRIC",PROPERTIES[[#This Row],[ENGINE_CLASS]])</f>
        <v>RUNNING_COST_DIESEL</v>
      </c>
      <c r="V240" s="10" t="s">
        <v>1000</v>
      </c>
      <c r="W240" s="10" t="s">
        <v>1001</v>
      </c>
      <c r="X240" s="10" t="str">
        <f>SUBSTITUTE(SUBSTITUTE(PROPERTIES[[#This Row],[PURCHASECOST_VALUE]], "PURCHASECOST_", ""), "_VALUE", "")</f>
        <v>DIESELENGINE</v>
      </c>
      <c r="AP240"/>
      <c r="AQ240"/>
      <c r="AR240"/>
    </row>
    <row r="241" spans="1:44">
      <c r="A241" s="2" t="s">
        <v>264</v>
      </c>
      <c r="B241">
        <v>1939</v>
      </c>
      <c r="C241">
        <v>0</v>
      </c>
      <c r="D241" t="s">
        <v>35</v>
      </c>
      <c r="E241" t="s">
        <v>20</v>
      </c>
      <c r="F241">
        <v>0</v>
      </c>
      <c r="G241" s="10">
        <v>18</v>
      </c>
      <c r="H241">
        <v>5</v>
      </c>
      <c r="I241">
        <v>5</v>
      </c>
      <c r="J241" s="2" t="s">
        <v>20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>
        <v>150</v>
      </c>
      <c r="O241">
        <v>50</v>
      </c>
      <c r="P241" s="2">
        <v>0.17</v>
      </c>
      <c r="Q241" s="6">
        <v>40</v>
      </c>
      <c r="R241" s="10">
        <v>0</v>
      </c>
      <c r="S241" s="10">
        <v>0</v>
      </c>
      <c r="T241" s="10"/>
      <c r="U241" t="str">
        <f>"RUNNING_COST_"&amp;IF(PROPERTIES[[#This Row],[ENGINE_CLASS]]="MAGLEV","ELECTRIC",PROPERTIES[[#This Row],[ENGINE_CLASS]])</f>
        <v>RUNNING_COST_DIESEL</v>
      </c>
      <c r="V241" s="10" t="s">
        <v>1000</v>
      </c>
      <c r="W241" s="10" t="s">
        <v>1001</v>
      </c>
      <c r="X241" s="10" t="str">
        <f>SUBSTITUTE(SUBSTITUTE(PROPERTIES[[#This Row],[PURCHASECOST_VALUE]], "PURCHASECOST_", ""), "_VALUE", "")</f>
        <v>DIESELENGINE</v>
      </c>
      <c r="AP241"/>
      <c r="AQ241"/>
      <c r="AR241"/>
    </row>
    <row r="242" spans="1:44">
      <c r="A242" s="2" t="s">
        <v>265</v>
      </c>
      <c r="B242">
        <v>1944</v>
      </c>
      <c r="C242">
        <v>0</v>
      </c>
      <c r="D242" t="s">
        <v>35</v>
      </c>
      <c r="E242" t="s">
        <v>20</v>
      </c>
      <c r="F242">
        <v>0</v>
      </c>
      <c r="G242" s="10">
        <v>109</v>
      </c>
      <c r="H242">
        <v>6</v>
      </c>
      <c r="I242">
        <v>6</v>
      </c>
      <c r="J242" s="2" t="s">
        <v>20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>
        <v>1000</v>
      </c>
      <c r="O242">
        <v>97</v>
      </c>
      <c r="P242" s="2">
        <v>0.17</v>
      </c>
      <c r="Q242" s="6">
        <v>40</v>
      </c>
      <c r="R242" s="10">
        <v>0</v>
      </c>
      <c r="S242" s="10">
        <v>0</v>
      </c>
      <c r="T242" s="10"/>
      <c r="U242" t="str">
        <f>"RUNNING_COST_"&amp;IF(PROPERTIES[[#This Row],[ENGINE_CLASS]]="MAGLEV","ELECTRIC",PROPERTIES[[#This Row],[ENGINE_CLASS]])</f>
        <v>RUNNING_COST_DIESEL</v>
      </c>
      <c r="V242" s="10" t="s">
        <v>1000</v>
      </c>
      <c r="W242" s="10" t="s">
        <v>1001</v>
      </c>
      <c r="X242" s="10" t="str">
        <f>SUBSTITUTE(SUBSTITUTE(PROPERTIES[[#This Row],[PURCHASECOST_VALUE]], "PURCHASECOST_", ""), "_VALUE", "")</f>
        <v>DIESELENGINE</v>
      </c>
      <c r="AP242"/>
      <c r="AQ242"/>
      <c r="AR242"/>
    </row>
    <row r="243" spans="1:44">
      <c r="A243" s="2" t="s">
        <v>266</v>
      </c>
      <c r="B243">
        <v>1948</v>
      </c>
      <c r="C243">
        <v>0</v>
      </c>
      <c r="D243" t="s">
        <v>35</v>
      </c>
      <c r="E243" t="s">
        <v>20</v>
      </c>
      <c r="F243">
        <v>0</v>
      </c>
      <c r="G243" s="10">
        <v>92</v>
      </c>
      <c r="H243">
        <v>7</v>
      </c>
      <c r="I243">
        <v>7</v>
      </c>
      <c r="J243" s="2" t="s">
        <v>20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>
        <v>1000</v>
      </c>
      <c r="O243">
        <v>80</v>
      </c>
      <c r="P243" s="2">
        <v>0.14000000000000001</v>
      </c>
      <c r="Q243" s="6">
        <v>40</v>
      </c>
      <c r="R243" s="10">
        <v>0</v>
      </c>
      <c r="S243" s="10">
        <v>0</v>
      </c>
      <c r="T243" s="10"/>
      <c r="U243" t="str">
        <f>"RUNNING_COST_"&amp;IF(PROPERTIES[[#This Row],[ENGINE_CLASS]]="MAGLEV","ELECTRIC",PROPERTIES[[#This Row],[ENGINE_CLASS]])</f>
        <v>RUNNING_COST_DIESEL</v>
      </c>
      <c r="V243" s="10" t="s">
        <v>1000</v>
      </c>
      <c r="W243" s="10" t="s">
        <v>1001</v>
      </c>
      <c r="X243" s="10" t="str">
        <f>SUBSTITUTE(SUBSTITUTE(PROPERTIES[[#This Row],[PURCHASECOST_VALUE]], "PURCHASECOST_", ""), "_VALUE", "")</f>
        <v>DIESELENGINE</v>
      </c>
      <c r="AP243"/>
      <c r="AQ243"/>
      <c r="AR243"/>
    </row>
    <row r="244" spans="1:44">
      <c r="A244" s="2" t="s">
        <v>267</v>
      </c>
      <c r="B244">
        <v>1950</v>
      </c>
      <c r="C244">
        <v>0</v>
      </c>
      <c r="D244" t="s">
        <v>35</v>
      </c>
      <c r="E244" t="s">
        <v>20</v>
      </c>
      <c r="F244">
        <v>0</v>
      </c>
      <c r="G244" s="10">
        <v>81</v>
      </c>
      <c r="H244">
        <v>8</v>
      </c>
      <c r="I244">
        <v>8</v>
      </c>
      <c r="J244" s="2" t="s">
        <v>20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>
        <v>915</v>
      </c>
      <c r="O244">
        <v>88</v>
      </c>
      <c r="P244" s="2">
        <v>0.25</v>
      </c>
      <c r="Q244" s="6">
        <v>40</v>
      </c>
      <c r="R244" s="10">
        <v>0</v>
      </c>
      <c r="S244" s="10">
        <v>0</v>
      </c>
      <c r="T244" s="10"/>
      <c r="U244" t="str">
        <f>"RUNNING_COST_"&amp;IF(PROPERTIES[[#This Row],[ENGINE_CLASS]]="MAGLEV","ELECTRIC",PROPERTIES[[#This Row],[ENGINE_CLASS]])</f>
        <v>RUNNING_COST_DIESEL</v>
      </c>
      <c r="V244" s="10" t="s">
        <v>1000</v>
      </c>
      <c r="W244" s="10" t="s">
        <v>1001</v>
      </c>
      <c r="X244" s="10" t="str">
        <f>SUBSTITUTE(SUBSTITUTE(PROPERTIES[[#This Row],[PURCHASECOST_VALUE]], "PURCHASECOST_", ""), "_VALUE", "")</f>
        <v>DIESELENGINE</v>
      </c>
      <c r="AP244"/>
      <c r="AQ244"/>
      <c r="AR244"/>
    </row>
    <row r="245" spans="1:44">
      <c r="A245" s="2" t="s">
        <v>268</v>
      </c>
      <c r="B245">
        <v>1950</v>
      </c>
      <c r="C245">
        <v>0</v>
      </c>
      <c r="D245" t="s">
        <v>35</v>
      </c>
      <c r="E245" t="s">
        <v>20</v>
      </c>
      <c r="F245">
        <v>0</v>
      </c>
      <c r="G245" s="10">
        <v>148</v>
      </c>
      <c r="H245">
        <v>8</v>
      </c>
      <c r="I245">
        <v>8</v>
      </c>
      <c r="J245" s="2" t="s">
        <v>20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>
        <v>1600</v>
      </c>
      <c r="O245">
        <v>100</v>
      </c>
      <c r="P245" s="2">
        <v>0.24</v>
      </c>
      <c r="Q245" s="6">
        <v>40</v>
      </c>
      <c r="R245" s="10">
        <v>0</v>
      </c>
      <c r="S245" s="10">
        <v>0</v>
      </c>
      <c r="T245" s="10"/>
      <c r="U245" t="str">
        <f>"RUNNING_COST_"&amp;IF(PROPERTIES[[#This Row],[ENGINE_CLASS]]="MAGLEV","ELECTRIC",PROPERTIES[[#This Row],[ENGINE_CLASS]])</f>
        <v>RUNNING_COST_DIESEL</v>
      </c>
      <c r="V245" s="10" t="s">
        <v>1000</v>
      </c>
      <c r="W245" s="10" t="s">
        <v>1001</v>
      </c>
      <c r="X245" s="10" t="str">
        <f>SUBSTITUTE(SUBSTITUTE(PROPERTIES[[#This Row],[PURCHASECOST_VALUE]], "PURCHASECOST_", ""), "_VALUE", "")</f>
        <v>DIESELENGINE</v>
      </c>
      <c r="AP245"/>
      <c r="AQ245"/>
      <c r="AR245"/>
    </row>
    <row r="246" spans="1:44">
      <c r="A246" s="2" t="s">
        <v>269</v>
      </c>
      <c r="B246">
        <v>1950</v>
      </c>
      <c r="C246">
        <v>0</v>
      </c>
      <c r="D246" t="s">
        <v>35</v>
      </c>
      <c r="E246" t="s">
        <v>20</v>
      </c>
      <c r="F246">
        <v>0</v>
      </c>
      <c r="G246" s="10">
        <v>113</v>
      </c>
      <c r="H246">
        <v>8</v>
      </c>
      <c r="I246">
        <v>8</v>
      </c>
      <c r="J246" s="2" t="s">
        <v>20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>
        <v>1600</v>
      </c>
      <c r="O246">
        <v>105</v>
      </c>
      <c r="P246" s="2">
        <v>0.17</v>
      </c>
      <c r="Q246" s="6">
        <v>40</v>
      </c>
      <c r="R246" s="10">
        <v>0</v>
      </c>
      <c r="S246" s="10">
        <v>0</v>
      </c>
      <c r="T246" s="10"/>
      <c r="U246" t="str">
        <f>"RUNNING_COST_"&amp;IF(PROPERTIES[[#This Row],[ENGINE_CLASS]]="MAGLEV","ELECTRIC",PROPERTIES[[#This Row],[ENGINE_CLASS]])</f>
        <v>RUNNING_COST_DIESEL</v>
      </c>
      <c r="V246" s="10" t="s">
        <v>1000</v>
      </c>
      <c r="W246" s="10" t="s">
        <v>1001</v>
      </c>
      <c r="X246" s="10" t="str">
        <f>SUBSTITUTE(SUBSTITUTE(PROPERTIES[[#This Row],[PURCHASECOST_VALUE]], "PURCHASECOST_", ""), "_VALUE", "")</f>
        <v>DIESELENGINE</v>
      </c>
      <c r="AP246"/>
      <c r="AQ246"/>
      <c r="AR246"/>
    </row>
    <row r="247" spans="1:44">
      <c r="A247" s="2" t="s">
        <v>270</v>
      </c>
      <c r="B247">
        <v>1951</v>
      </c>
      <c r="C247">
        <v>0</v>
      </c>
      <c r="D247" t="s">
        <v>35</v>
      </c>
      <c r="E247" t="s">
        <v>20</v>
      </c>
      <c r="F247">
        <v>0</v>
      </c>
      <c r="G247" s="10">
        <v>128</v>
      </c>
      <c r="H247">
        <v>8</v>
      </c>
      <c r="I247">
        <v>8</v>
      </c>
      <c r="J247" s="2" t="s">
        <v>20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>
        <v>1590</v>
      </c>
      <c r="O247">
        <v>119</v>
      </c>
      <c r="P247" s="2">
        <v>0.12</v>
      </c>
      <c r="Q247" s="6">
        <v>40</v>
      </c>
      <c r="R247" s="10">
        <v>0</v>
      </c>
      <c r="S247" s="10">
        <v>0</v>
      </c>
      <c r="T247" s="10"/>
      <c r="U247" t="str">
        <f>"RUNNING_COST_"&amp;IF(PROPERTIES[[#This Row],[ENGINE_CLASS]]="MAGLEV","ELECTRIC",PROPERTIES[[#This Row],[ENGINE_CLASS]])</f>
        <v>RUNNING_COST_DIESEL</v>
      </c>
      <c r="V247" s="10" t="s">
        <v>1000</v>
      </c>
      <c r="W247" s="10" t="s">
        <v>1001</v>
      </c>
      <c r="X247" s="10" t="str">
        <f>SUBSTITUTE(SUBSTITUTE(PROPERTIES[[#This Row],[PURCHASECOST_VALUE]], "PURCHASECOST_", ""), "_VALUE", "")</f>
        <v>DIESELENGINE</v>
      </c>
      <c r="AP247"/>
      <c r="AQ247"/>
      <c r="AR247"/>
    </row>
    <row r="248" spans="1:44">
      <c r="A248" s="2" t="s">
        <v>271</v>
      </c>
      <c r="B248">
        <v>1954</v>
      </c>
      <c r="C248">
        <v>0</v>
      </c>
      <c r="D248" t="s">
        <v>35</v>
      </c>
      <c r="E248" t="s">
        <v>20</v>
      </c>
      <c r="F248">
        <v>0</v>
      </c>
      <c r="G248" s="10">
        <v>79</v>
      </c>
      <c r="H248">
        <v>6</v>
      </c>
      <c r="I248">
        <v>6</v>
      </c>
      <c r="J248" s="2" t="s">
        <v>20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>
        <v>1425</v>
      </c>
      <c r="O248">
        <v>112</v>
      </c>
      <c r="P248" s="2">
        <v>0.24</v>
      </c>
      <c r="Q248" s="6">
        <v>40</v>
      </c>
      <c r="R248" s="10">
        <v>0</v>
      </c>
      <c r="S248" s="10">
        <v>0</v>
      </c>
      <c r="T248" s="10"/>
      <c r="U248" t="str">
        <f>"RUNNING_COST_"&amp;IF(PROPERTIES[[#This Row],[ENGINE_CLASS]]="MAGLEV","ELECTRIC",PROPERTIES[[#This Row],[ENGINE_CLASS]])</f>
        <v>RUNNING_COST_DIESEL</v>
      </c>
      <c r="V248" s="10" t="s">
        <v>1000</v>
      </c>
      <c r="W248" s="10" t="s">
        <v>1001</v>
      </c>
      <c r="X248" s="10" t="str">
        <f>SUBSTITUTE(SUBSTITUTE(PROPERTIES[[#This Row],[PURCHASECOST_VALUE]], "PURCHASECOST_", ""), "_VALUE", "")</f>
        <v>DIESELENGINE</v>
      </c>
      <c r="AP248"/>
      <c r="AQ248"/>
      <c r="AR248"/>
    </row>
    <row r="249" spans="1:44">
      <c r="A249" s="2" t="s">
        <v>272</v>
      </c>
      <c r="B249">
        <v>1955</v>
      </c>
      <c r="C249">
        <v>0</v>
      </c>
      <c r="D249" t="s">
        <v>35</v>
      </c>
      <c r="E249" t="s">
        <v>20</v>
      </c>
      <c r="F249">
        <v>0</v>
      </c>
      <c r="G249" s="10">
        <v>84</v>
      </c>
      <c r="H249">
        <v>7</v>
      </c>
      <c r="I249">
        <v>7</v>
      </c>
      <c r="J249" s="2" t="s">
        <v>20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>
        <v>1325</v>
      </c>
      <c r="O249">
        <v>120</v>
      </c>
      <c r="P249" s="2">
        <v>0.33</v>
      </c>
      <c r="Q249" s="6">
        <v>40</v>
      </c>
      <c r="R249" s="10">
        <v>0</v>
      </c>
      <c r="S249" s="10">
        <v>0</v>
      </c>
      <c r="T249" s="10"/>
      <c r="U249" t="str">
        <f>"RUNNING_COST_"&amp;IF(PROPERTIES[[#This Row],[ENGINE_CLASS]]="MAGLEV","ELECTRIC",PROPERTIES[[#This Row],[ENGINE_CLASS]])</f>
        <v>RUNNING_COST_DIESEL</v>
      </c>
      <c r="V249" s="10" t="s">
        <v>1000</v>
      </c>
      <c r="W249" s="10" t="s">
        <v>1001</v>
      </c>
      <c r="X249" s="10" t="str">
        <f>SUBSTITUTE(SUBSTITUTE(PROPERTIES[[#This Row],[PURCHASECOST_VALUE]], "PURCHASECOST_", ""), "_VALUE", "")</f>
        <v>DIESELENGINE</v>
      </c>
      <c r="AP249"/>
      <c r="AQ249"/>
      <c r="AR249"/>
    </row>
    <row r="250" spans="1:44">
      <c r="A250" s="2" t="s">
        <v>273</v>
      </c>
      <c r="B250">
        <v>1957</v>
      </c>
      <c r="C250">
        <v>0</v>
      </c>
      <c r="D250" t="s">
        <v>35</v>
      </c>
      <c r="E250" t="s">
        <v>20</v>
      </c>
      <c r="F250">
        <v>0</v>
      </c>
      <c r="G250" s="10">
        <v>67</v>
      </c>
      <c r="H250">
        <v>8</v>
      </c>
      <c r="I250">
        <v>8</v>
      </c>
      <c r="J250" s="2" t="s">
        <v>20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>
        <v>1380</v>
      </c>
      <c r="O250">
        <v>110</v>
      </c>
      <c r="P250" s="2">
        <v>0.26</v>
      </c>
      <c r="Q250" s="6">
        <v>40</v>
      </c>
      <c r="R250" s="10">
        <v>0</v>
      </c>
      <c r="S250" s="10">
        <v>0</v>
      </c>
      <c r="T250" s="10"/>
      <c r="U250" t="str">
        <f>"RUNNING_COST_"&amp;IF(PROPERTIES[[#This Row],[ENGINE_CLASS]]="MAGLEV","ELECTRIC",PROPERTIES[[#This Row],[ENGINE_CLASS]])</f>
        <v>RUNNING_COST_DIESEL</v>
      </c>
      <c r="V250" s="10" t="s">
        <v>1000</v>
      </c>
      <c r="W250" s="10" t="s">
        <v>1001</v>
      </c>
      <c r="X250" s="10" t="str">
        <f>SUBSTITUTE(SUBSTITUTE(PROPERTIES[[#This Row],[PURCHASECOST_VALUE]], "PURCHASECOST_", ""), "_VALUE", "")</f>
        <v>DIESELENGINE</v>
      </c>
      <c r="AP250"/>
      <c r="AQ250"/>
      <c r="AR250"/>
    </row>
    <row r="251" spans="1:44">
      <c r="A251" s="2" t="s">
        <v>274</v>
      </c>
      <c r="B251">
        <v>1957</v>
      </c>
      <c r="C251">
        <v>0</v>
      </c>
      <c r="D251" t="s">
        <v>35</v>
      </c>
      <c r="E251" t="s">
        <v>20</v>
      </c>
      <c r="F251">
        <v>0</v>
      </c>
      <c r="G251" s="10">
        <v>112</v>
      </c>
      <c r="H251">
        <v>8</v>
      </c>
      <c r="I251">
        <v>8</v>
      </c>
      <c r="J251" s="2" t="s">
        <v>20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>
        <v>1950</v>
      </c>
      <c r="O251">
        <v>129</v>
      </c>
      <c r="P251" s="2">
        <v>0.19</v>
      </c>
      <c r="Q251" s="6">
        <v>40</v>
      </c>
      <c r="R251" s="10">
        <v>0</v>
      </c>
      <c r="S251" s="10">
        <v>0</v>
      </c>
      <c r="T251" s="10"/>
      <c r="U251" t="str">
        <f>"RUNNING_COST_"&amp;IF(PROPERTIES[[#This Row],[ENGINE_CLASS]]="MAGLEV","ELECTRIC",PROPERTIES[[#This Row],[ENGINE_CLASS]])</f>
        <v>RUNNING_COST_DIESEL</v>
      </c>
      <c r="V251" s="10" t="s">
        <v>1000</v>
      </c>
      <c r="W251" s="10" t="s">
        <v>1001</v>
      </c>
      <c r="X251" s="10" t="str">
        <f>SUBSTITUTE(SUBSTITUTE(PROPERTIES[[#This Row],[PURCHASECOST_VALUE]], "PURCHASECOST_", ""), "_VALUE", "")</f>
        <v>DIESELENGINE</v>
      </c>
      <c r="AP251"/>
      <c r="AQ251"/>
      <c r="AR251"/>
    </row>
    <row r="252" spans="1:44">
      <c r="A252" s="2" t="s">
        <v>275</v>
      </c>
      <c r="B252">
        <v>1959</v>
      </c>
      <c r="C252">
        <v>0</v>
      </c>
      <c r="D252" t="s">
        <v>35</v>
      </c>
      <c r="E252" t="s">
        <v>20</v>
      </c>
      <c r="F252">
        <v>0</v>
      </c>
      <c r="G252" s="10">
        <v>76</v>
      </c>
      <c r="H252">
        <v>8</v>
      </c>
      <c r="I252">
        <v>8</v>
      </c>
      <c r="J252" s="2" t="s">
        <v>20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>
        <v>1316</v>
      </c>
      <c r="O252">
        <v>89</v>
      </c>
      <c r="P252" s="2">
        <v>0.26</v>
      </c>
      <c r="Q252" s="6">
        <v>40</v>
      </c>
      <c r="R252" s="10">
        <v>0</v>
      </c>
      <c r="S252" s="10">
        <v>0</v>
      </c>
      <c r="T252" s="10"/>
      <c r="U252" t="str">
        <f>"RUNNING_COST_"&amp;IF(PROPERTIES[[#This Row],[ENGINE_CLASS]]="MAGLEV","ELECTRIC",PROPERTIES[[#This Row],[ENGINE_CLASS]])</f>
        <v>RUNNING_COST_DIESEL</v>
      </c>
      <c r="V252" s="10" t="s">
        <v>1000</v>
      </c>
      <c r="W252" s="10" t="s">
        <v>1001</v>
      </c>
      <c r="X252" s="10" t="str">
        <f>SUBSTITUTE(SUBSTITUTE(PROPERTIES[[#This Row],[PURCHASECOST_VALUE]], "PURCHASECOST_", ""), "_VALUE", "")</f>
        <v>DIESELENGINE</v>
      </c>
      <c r="AP252"/>
      <c r="AQ252"/>
      <c r="AR252"/>
    </row>
    <row r="253" spans="1:44">
      <c r="A253" s="2" t="s">
        <v>276</v>
      </c>
      <c r="B253">
        <v>1960</v>
      </c>
      <c r="C253">
        <v>0</v>
      </c>
      <c r="D253" t="s">
        <v>35</v>
      </c>
      <c r="E253" t="s">
        <v>20</v>
      </c>
      <c r="F253">
        <v>0</v>
      </c>
      <c r="G253" s="10">
        <v>163</v>
      </c>
      <c r="H253">
        <v>8</v>
      </c>
      <c r="I253">
        <v>8</v>
      </c>
      <c r="J253" s="2" t="s">
        <v>20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>
        <v>1800</v>
      </c>
      <c r="O253">
        <v>104</v>
      </c>
      <c r="P253" s="2">
        <v>0.09</v>
      </c>
      <c r="Q253" s="6">
        <v>40</v>
      </c>
      <c r="R253" s="10">
        <v>0</v>
      </c>
      <c r="S253" s="10">
        <v>0</v>
      </c>
      <c r="T253" s="10"/>
      <c r="U253" t="str">
        <f>"RUNNING_COST_"&amp;IF(PROPERTIES[[#This Row],[ENGINE_CLASS]]="MAGLEV","ELECTRIC",PROPERTIES[[#This Row],[ENGINE_CLASS]])</f>
        <v>RUNNING_COST_DIESEL</v>
      </c>
      <c r="V253" s="10" t="s">
        <v>1000</v>
      </c>
      <c r="W253" s="10" t="s">
        <v>1001</v>
      </c>
      <c r="X253" s="10" t="str">
        <f>SUBSTITUTE(SUBSTITUTE(PROPERTIES[[#This Row],[PURCHASECOST_VALUE]], "PURCHASECOST_", ""), "_VALUE", "")</f>
        <v>DIESELENGINE</v>
      </c>
      <c r="AP253"/>
      <c r="AQ253"/>
      <c r="AR253"/>
    </row>
    <row r="254" spans="1:44">
      <c r="A254" s="2" t="s">
        <v>277</v>
      </c>
      <c r="B254">
        <v>1971</v>
      </c>
      <c r="C254">
        <v>0</v>
      </c>
      <c r="D254" t="s">
        <v>35</v>
      </c>
      <c r="E254" t="s">
        <v>20</v>
      </c>
      <c r="F254">
        <v>0</v>
      </c>
      <c r="G254" s="10">
        <v>62</v>
      </c>
      <c r="H254">
        <v>8</v>
      </c>
      <c r="I254">
        <v>8</v>
      </c>
      <c r="J254" s="2" t="s">
        <v>20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>
        <v>1010</v>
      </c>
      <c r="O254">
        <v>130</v>
      </c>
      <c r="P254" s="2">
        <v>0.3</v>
      </c>
      <c r="Q254" s="6">
        <v>40</v>
      </c>
      <c r="R254" s="10">
        <v>0</v>
      </c>
      <c r="S254" s="10">
        <v>0</v>
      </c>
      <c r="T254" s="10"/>
      <c r="U254" t="str">
        <f>"RUNNING_COST_"&amp;IF(PROPERTIES[[#This Row],[ENGINE_CLASS]]="MAGLEV","ELECTRIC",PROPERTIES[[#This Row],[ENGINE_CLASS]])</f>
        <v>RUNNING_COST_DIESEL</v>
      </c>
      <c r="V254" s="10" t="s">
        <v>1000</v>
      </c>
      <c r="W254" s="10" t="s">
        <v>1001</v>
      </c>
      <c r="X254" s="10" t="str">
        <f>SUBSTITUTE(SUBSTITUTE(PROPERTIES[[#This Row],[PURCHASECOST_VALUE]], "PURCHASECOST_", ""), "_VALUE", "")</f>
        <v>DIESELENGINE</v>
      </c>
      <c r="AP254"/>
      <c r="AQ254"/>
      <c r="AR254"/>
    </row>
    <row r="255" spans="1:44">
      <c r="A255" s="2" t="s">
        <v>278</v>
      </c>
      <c r="B255">
        <v>1980</v>
      </c>
      <c r="C255">
        <v>0</v>
      </c>
      <c r="D255" t="s">
        <v>35</v>
      </c>
      <c r="E255" t="s">
        <v>20</v>
      </c>
      <c r="F255">
        <v>0</v>
      </c>
      <c r="G255" s="10">
        <v>114</v>
      </c>
      <c r="H255">
        <v>8</v>
      </c>
      <c r="I255">
        <v>8</v>
      </c>
      <c r="J255" s="2" t="s">
        <v>20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>
        <v>3290</v>
      </c>
      <c r="O255">
        <v>140</v>
      </c>
      <c r="P255" s="2">
        <v>0.32</v>
      </c>
      <c r="Q255" s="6">
        <v>40</v>
      </c>
      <c r="R255" s="10">
        <v>0</v>
      </c>
      <c r="S255" s="10">
        <v>0</v>
      </c>
      <c r="T255" s="10"/>
      <c r="U255" t="str">
        <f>"RUNNING_COST_"&amp;IF(PROPERTIES[[#This Row],[ENGINE_CLASS]]="MAGLEV","ELECTRIC",PROPERTIES[[#This Row],[ENGINE_CLASS]])</f>
        <v>RUNNING_COST_DIESEL</v>
      </c>
      <c r="V255" s="10" t="s">
        <v>1000</v>
      </c>
      <c r="W255" s="10" t="s">
        <v>1001</v>
      </c>
      <c r="X255" s="10" t="str">
        <f>SUBSTITUTE(SUBSTITUTE(PROPERTIES[[#This Row],[PURCHASECOST_VALUE]], "PURCHASECOST_", ""), "_VALUE", "")</f>
        <v>DIESELENGINE</v>
      </c>
      <c r="AP255"/>
      <c r="AQ255"/>
      <c r="AR255"/>
    </row>
    <row r="256" spans="1:44">
      <c r="A256" s="2" t="s">
        <v>279</v>
      </c>
      <c r="B256">
        <v>1984</v>
      </c>
      <c r="C256">
        <v>0</v>
      </c>
      <c r="D256" t="s">
        <v>35</v>
      </c>
      <c r="E256" t="s">
        <v>20</v>
      </c>
      <c r="F256">
        <v>0</v>
      </c>
      <c r="G256" s="10">
        <v>138</v>
      </c>
      <c r="H256">
        <v>8</v>
      </c>
      <c r="I256">
        <v>8</v>
      </c>
      <c r="J256" s="2" t="s">
        <v>20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>
        <v>4930</v>
      </c>
      <c r="O256">
        <v>100</v>
      </c>
      <c r="P256" s="2">
        <v>0.35</v>
      </c>
      <c r="Q256" s="6">
        <v>40</v>
      </c>
      <c r="R256" s="10">
        <v>0</v>
      </c>
      <c r="S256" s="10">
        <v>0</v>
      </c>
      <c r="T256" s="10"/>
      <c r="U256" t="str">
        <f>"RUNNING_COST_"&amp;IF(PROPERTIES[[#This Row],[ENGINE_CLASS]]="MAGLEV","ELECTRIC",PROPERTIES[[#This Row],[ENGINE_CLASS]])</f>
        <v>RUNNING_COST_DIESEL</v>
      </c>
      <c r="V256" s="10" t="s">
        <v>1000</v>
      </c>
      <c r="W256" s="10" t="s">
        <v>1001</v>
      </c>
      <c r="X256" s="10" t="str">
        <f>SUBSTITUTE(SUBSTITUTE(PROPERTIES[[#This Row],[PURCHASECOST_VALUE]], "PURCHASECOST_", ""), "_VALUE", "")</f>
        <v>DIESELENGINE</v>
      </c>
      <c r="AP256"/>
      <c r="AQ256"/>
      <c r="AR256"/>
    </row>
    <row r="257" spans="1:44">
      <c r="A257" s="2" t="s">
        <v>280</v>
      </c>
      <c r="B257">
        <v>1984</v>
      </c>
      <c r="C257">
        <v>0</v>
      </c>
      <c r="D257" t="s">
        <v>35</v>
      </c>
      <c r="E257" t="s">
        <v>20</v>
      </c>
      <c r="F257">
        <v>0</v>
      </c>
      <c r="G257" s="10">
        <v>127</v>
      </c>
      <c r="H257">
        <v>8</v>
      </c>
      <c r="I257">
        <v>8</v>
      </c>
      <c r="J257" s="2" t="s">
        <v>20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>
        <v>3790</v>
      </c>
      <c r="O257">
        <v>114</v>
      </c>
      <c r="P257" s="2">
        <v>0.27</v>
      </c>
      <c r="Q257" s="6">
        <v>40</v>
      </c>
      <c r="R257" s="10">
        <v>0</v>
      </c>
      <c r="S257" s="10">
        <v>0</v>
      </c>
      <c r="T257" s="10"/>
      <c r="U257" t="str">
        <f>"RUNNING_COST_"&amp;IF(PROPERTIES[[#This Row],[ENGINE_CLASS]]="MAGLEV","ELECTRIC",PROPERTIES[[#This Row],[ENGINE_CLASS]])</f>
        <v>RUNNING_COST_DIESEL</v>
      </c>
      <c r="V257" s="10" t="s">
        <v>1000</v>
      </c>
      <c r="W257" s="10" t="s">
        <v>1001</v>
      </c>
      <c r="X257" s="10" t="str">
        <f>SUBSTITUTE(SUBSTITUTE(PROPERTIES[[#This Row],[PURCHASECOST_VALUE]], "PURCHASECOST_", ""), "_VALUE", "")</f>
        <v>DIESELENGINE</v>
      </c>
      <c r="AP257"/>
      <c r="AQ257"/>
      <c r="AR257"/>
    </row>
    <row r="258" spans="1:44">
      <c r="A258" s="2" t="s">
        <v>281</v>
      </c>
      <c r="B258">
        <v>1989</v>
      </c>
      <c r="C258">
        <v>0</v>
      </c>
      <c r="D258" t="s">
        <v>35</v>
      </c>
      <c r="E258" t="s">
        <v>20</v>
      </c>
      <c r="F258">
        <v>0</v>
      </c>
      <c r="G258" s="10">
        <v>130</v>
      </c>
      <c r="H258">
        <v>8</v>
      </c>
      <c r="I258">
        <v>8</v>
      </c>
      <c r="J258" s="2" t="s">
        <v>20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>
        <v>3100</v>
      </c>
      <c r="O258">
        <v>97</v>
      </c>
      <c r="P258" s="2">
        <v>0.36</v>
      </c>
      <c r="Q258" s="6">
        <v>40</v>
      </c>
      <c r="R258" s="10">
        <v>0</v>
      </c>
      <c r="S258" s="10">
        <v>0</v>
      </c>
      <c r="T258" s="10"/>
      <c r="U258" t="str">
        <f>"RUNNING_COST_"&amp;IF(PROPERTIES[[#This Row],[ENGINE_CLASS]]="MAGLEV","ELECTRIC",PROPERTIES[[#This Row],[ENGINE_CLASS]])</f>
        <v>RUNNING_COST_DIESEL</v>
      </c>
      <c r="V258" s="10" t="s">
        <v>1000</v>
      </c>
      <c r="W258" s="10" t="s">
        <v>1001</v>
      </c>
      <c r="X258" s="10" t="str">
        <f>SUBSTITUTE(SUBSTITUTE(PROPERTIES[[#This Row],[PURCHASECOST_VALUE]], "PURCHASECOST_", ""), "_VALUE", "")</f>
        <v>DIESELENGINE</v>
      </c>
      <c r="AP258"/>
      <c r="AQ258"/>
      <c r="AR258"/>
    </row>
    <row r="259" spans="1:44">
      <c r="A259" s="2" t="s">
        <v>282</v>
      </c>
      <c r="B259">
        <v>1989</v>
      </c>
      <c r="C259">
        <v>0</v>
      </c>
      <c r="D259" t="s">
        <v>35</v>
      </c>
      <c r="E259" t="s">
        <v>20</v>
      </c>
      <c r="F259">
        <v>0</v>
      </c>
      <c r="G259" s="10">
        <v>99</v>
      </c>
      <c r="H259">
        <v>7</v>
      </c>
      <c r="I259">
        <v>7</v>
      </c>
      <c r="J259" s="2" t="s">
        <v>20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>
        <v>2450</v>
      </c>
      <c r="O259">
        <v>90</v>
      </c>
      <c r="P259" s="2">
        <v>0.38</v>
      </c>
      <c r="Q259" s="6">
        <v>40</v>
      </c>
      <c r="R259" s="10">
        <v>0</v>
      </c>
      <c r="S259" s="10">
        <v>0</v>
      </c>
      <c r="T259" s="10"/>
      <c r="U259" t="str">
        <f>"RUNNING_COST_"&amp;IF(PROPERTIES[[#This Row],[ENGINE_CLASS]]="MAGLEV","ELECTRIC",PROPERTIES[[#This Row],[ENGINE_CLASS]])</f>
        <v>RUNNING_COST_DIESEL</v>
      </c>
      <c r="V259" s="10" t="s">
        <v>1000</v>
      </c>
      <c r="W259" s="10" t="s">
        <v>1001</v>
      </c>
      <c r="X259" s="10" t="str">
        <f>SUBSTITUTE(SUBSTITUTE(PROPERTIES[[#This Row],[PURCHASECOST_VALUE]], "PURCHASECOST_", ""), "_VALUE", "")</f>
        <v>DIESELENGINE</v>
      </c>
      <c r="AP259"/>
      <c r="AQ259"/>
      <c r="AR259"/>
    </row>
    <row r="260" spans="1:44">
      <c r="A260" s="2" t="s">
        <v>283</v>
      </c>
      <c r="B260">
        <v>1992</v>
      </c>
      <c r="C260">
        <v>0</v>
      </c>
      <c r="D260" t="s">
        <v>35</v>
      </c>
      <c r="E260" t="s">
        <v>20</v>
      </c>
      <c r="F260">
        <v>0</v>
      </c>
      <c r="G260" s="10">
        <v>170</v>
      </c>
      <c r="H260">
        <v>8</v>
      </c>
      <c r="I260">
        <v>8</v>
      </c>
      <c r="J260" s="2" t="s">
        <v>20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>
        <v>4500</v>
      </c>
      <c r="O260">
        <v>110</v>
      </c>
      <c r="P260" s="2">
        <v>0.5</v>
      </c>
      <c r="Q260" s="6">
        <v>40</v>
      </c>
      <c r="R260" s="10">
        <v>0</v>
      </c>
      <c r="S260" s="10">
        <v>0</v>
      </c>
      <c r="T260" s="10"/>
      <c r="U260" t="str">
        <f>"RUNNING_COST_"&amp;IF(PROPERTIES[[#This Row],[ENGINE_CLASS]]="MAGLEV","ELECTRIC",PROPERTIES[[#This Row],[ENGINE_CLASS]])</f>
        <v>RUNNING_COST_DIESEL</v>
      </c>
      <c r="V260" s="10" t="s">
        <v>1000</v>
      </c>
      <c r="W260" s="10" t="s">
        <v>1001</v>
      </c>
      <c r="X260" s="10" t="str">
        <f>SUBSTITUTE(SUBSTITUTE(PROPERTIES[[#This Row],[PURCHASECOST_VALUE]], "PURCHASECOST_", ""), "_VALUE", "")</f>
        <v>DIESELENGINE</v>
      </c>
      <c r="AP260"/>
      <c r="AQ260"/>
      <c r="AR260"/>
    </row>
    <row r="261" spans="1:44">
      <c r="A261" s="2" t="s">
        <v>284</v>
      </c>
      <c r="B261">
        <v>1994</v>
      </c>
      <c r="C261">
        <v>0</v>
      </c>
      <c r="D261" t="s">
        <v>35</v>
      </c>
      <c r="E261" t="s">
        <v>20</v>
      </c>
      <c r="F261">
        <v>0</v>
      </c>
      <c r="G261" s="10">
        <v>112</v>
      </c>
      <c r="H261">
        <v>8</v>
      </c>
      <c r="I261">
        <v>8</v>
      </c>
      <c r="J261" s="2" t="s">
        <v>20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>
        <v>3200</v>
      </c>
      <c r="O261">
        <v>164</v>
      </c>
      <c r="P261" s="2">
        <v>0.17</v>
      </c>
      <c r="Q261" s="6">
        <v>40</v>
      </c>
      <c r="R261" s="10">
        <v>0</v>
      </c>
      <c r="S261" s="10">
        <v>0</v>
      </c>
      <c r="T261" s="10"/>
      <c r="U261" t="str">
        <f>"RUNNING_COST_"&amp;IF(PROPERTIES[[#This Row],[ENGINE_CLASS]]="MAGLEV","ELECTRIC",PROPERTIES[[#This Row],[ENGINE_CLASS]])</f>
        <v>RUNNING_COST_DIESEL</v>
      </c>
      <c r="V261" s="10" t="s">
        <v>1000</v>
      </c>
      <c r="W261" s="10" t="s">
        <v>1001</v>
      </c>
      <c r="X261" s="10" t="str">
        <f>SUBSTITUTE(SUBSTITUTE(PROPERTIES[[#This Row],[PURCHASECOST_VALUE]], "PURCHASECOST_", ""), "_VALUE", "")</f>
        <v>DIESELENGINE</v>
      </c>
      <c r="AP261"/>
      <c r="AQ261"/>
      <c r="AR261"/>
    </row>
    <row r="262" spans="1:44">
      <c r="A262" s="2" t="s">
        <v>285</v>
      </c>
      <c r="B262">
        <v>1988</v>
      </c>
      <c r="C262">
        <v>0</v>
      </c>
      <c r="D262" t="s">
        <v>35</v>
      </c>
      <c r="E262" t="s">
        <v>20</v>
      </c>
      <c r="F262">
        <v>0</v>
      </c>
      <c r="G262" s="10">
        <v>130</v>
      </c>
      <c r="H262">
        <v>8</v>
      </c>
      <c r="I262">
        <v>8</v>
      </c>
      <c r="J262" s="2" t="s">
        <v>20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>
        <v>3200</v>
      </c>
      <c r="O262">
        <v>177</v>
      </c>
      <c r="P262" s="2">
        <v>0.22</v>
      </c>
      <c r="Q262" s="6">
        <v>40</v>
      </c>
      <c r="R262" s="10">
        <v>0</v>
      </c>
      <c r="S262" s="10">
        <v>0</v>
      </c>
      <c r="T262" s="10"/>
      <c r="U262" t="str">
        <f>"RUNNING_COST_"&amp;IF(PROPERTIES[[#This Row],[ENGINE_CLASS]]="MAGLEV","ELECTRIC",PROPERTIES[[#This Row],[ENGINE_CLASS]])</f>
        <v>RUNNING_COST_DIESEL</v>
      </c>
      <c r="V262" s="10" t="s">
        <v>1000</v>
      </c>
      <c r="W262" s="10" t="s">
        <v>1001</v>
      </c>
      <c r="X262" s="10" t="str">
        <f>SUBSTITUTE(SUBSTITUTE(PROPERTIES[[#This Row],[PURCHASECOST_VALUE]], "PURCHASECOST_", ""), "_VALUE", "")</f>
        <v>DIESELENGINE</v>
      </c>
      <c r="AP262"/>
      <c r="AQ262"/>
      <c r="AR262"/>
    </row>
    <row r="263" spans="1:44">
      <c r="A263" s="2" t="s">
        <v>286</v>
      </c>
      <c r="B263">
        <v>2002</v>
      </c>
      <c r="C263">
        <v>0</v>
      </c>
      <c r="D263" t="s">
        <v>35</v>
      </c>
      <c r="E263" t="s">
        <v>20</v>
      </c>
      <c r="F263">
        <v>0</v>
      </c>
      <c r="G263" s="10">
        <v>86</v>
      </c>
      <c r="H263">
        <v>7</v>
      </c>
      <c r="I263">
        <v>7</v>
      </c>
      <c r="J263" s="2" t="s">
        <v>20</v>
      </c>
      <c r="K263">
        <f>_xlfn.XLOOKUP("LOADINGSPEEDDEF_"&amp;PROPERTIES[[#This Row],[LOADINGSPEED]],LOADINGSPEEDDEF[TYPE],LOADINGSPEEDDEF[SPEED])</f>
        <v>0</v>
      </c>
      <c r="L263" t="s">
        <v>21</v>
      </c>
      <c r="M263">
        <v>1</v>
      </c>
      <c r="N263">
        <v>2010</v>
      </c>
      <c r="O263">
        <v>50</v>
      </c>
      <c r="P263" s="2">
        <v>0.33</v>
      </c>
      <c r="Q263" s="6">
        <v>40</v>
      </c>
      <c r="R263" s="10">
        <v>0</v>
      </c>
      <c r="S263" s="10">
        <v>0</v>
      </c>
      <c r="T263" s="10"/>
      <c r="U263" t="str">
        <f>"RUNNING_COST_"&amp;IF(PROPERTIES[[#This Row],[ENGINE_CLASS]]="MAGLEV","ELECTRIC",PROPERTIES[[#This Row],[ENGINE_CLASS]])</f>
        <v>RUNNING_COST_DIESEL</v>
      </c>
      <c r="V263" s="10" t="s">
        <v>1000</v>
      </c>
      <c r="W263" s="10" t="s">
        <v>1001</v>
      </c>
      <c r="X263" s="10" t="str">
        <f>SUBSTITUTE(SUBSTITUTE(PROPERTIES[[#This Row],[PURCHASECOST_VALUE]], "PURCHASECOST_", ""), "_VALUE", "")</f>
        <v>DIESELENGINE</v>
      </c>
      <c r="AP263"/>
      <c r="AQ263"/>
      <c r="AR263"/>
    </row>
    <row r="264" spans="1:44">
      <c r="A264" s="2" t="s">
        <v>287</v>
      </c>
      <c r="B264">
        <v>2003</v>
      </c>
      <c r="C264">
        <v>0</v>
      </c>
      <c r="D264" t="s">
        <v>35</v>
      </c>
      <c r="E264" t="s">
        <v>20</v>
      </c>
      <c r="F264">
        <v>0</v>
      </c>
      <c r="G264" s="10">
        <v>89</v>
      </c>
      <c r="H264">
        <v>7</v>
      </c>
      <c r="I264">
        <v>7</v>
      </c>
      <c r="J264" s="2" t="s">
        <v>20</v>
      </c>
      <c r="K264">
        <f>_xlfn.XLOOKUP("LOADINGSPEEDDEF_"&amp;PROPERTIES[[#This Row],[LOADINGSPEED]],LOADINGSPEEDDEF[TYPE],LOADINGSPEEDDEF[SPEED])</f>
        <v>0</v>
      </c>
      <c r="L264" t="s">
        <v>21</v>
      </c>
      <c r="M264">
        <v>1</v>
      </c>
      <c r="N264">
        <v>3000</v>
      </c>
      <c r="O264">
        <v>120</v>
      </c>
      <c r="P264" s="2">
        <v>0.32</v>
      </c>
      <c r="Q264" s="6">
        <v>40</v>
      </c>
      <c r="R264" s="10">
        <v>0</v>
      </c>
      <c r="S264" s="10">
        <v>0</v>
      </c>
      <c r="T264" s="10"/>
      <c r="U264" t="str">
        <f>"RUNNING_COST_"&amp;IF(PROPERTIES[[#This Row],[ENGINE_CLASS]]="MAGLEV","ELECTRIC",PROPERTIES[[#This Row],[ENGINE_CLASS]])</f>
        <v>RUNNING_COST_DIESEL</v>
      </c>
      <c r="V264" s="10" t="s">
        <v>1000</v>
      </c>
      <c r="W264" s="10" t="s">
        <v>1001</v>
      </c>
      <c r="X264" s="10" t="str">
        <f>SUBSTITUTE(SUBSTITUTE(PROPERTIES[[#This Row],[PURCHASECOST_VALUE]], "PURCHASECOST_", ""), "_VALUE", "")</f>
        <v>DIESELENGINE</v>
      </c>
      <c r="AP264"/>
      <c r="AQ264"/>
      <c r="AR264"/>
    </row>
    <row r="265" spans="1:44">
      <c r="A265" s="2" t="s">
        <v>288</v>
      </c>
      <c r="B265">
        <v>2003</v>
      </c>
      <c r="C265">
        <v>0</v>
      </c>
      <c r="D265" t="s">
        <v>35</v>
      </c>
      <c r="E265" t="s">
        <v>20</v>
      </c>
      <c r="F265">
        <v>0</v>
      </c>
      <c r="G265" s="10">
        <v>130</v>
      </c>
      <c r="H265">
        <v>8</v>
      </c>
      <c r="I265">
        <v>8</v>
      </c>
      <c r="J265" s="2" t="s">
        <v>20</v>
      </c>
      <c r="K265">
        <f>_xlfn.XLOOKUP("LOADINGSPEEDDEF_"&amp;PROPERTIES[[#This Row],[LOADINGSPEED]],LOADINGSPEEDDEF[TYPE],LOADINGSPEEDDEF[SPEED])</f>
        <v>0</v>
      </c>
      <c r="L265" t="s">
        <v>21</v>
      </c>
      <c r="M265">
        <v>1</v>
      </c>
      <c r="N265">
        <v>4000</v>
      </c>
      <c r="O265">
        <v>174</v>
      </c>
      <c r="P265" s="2">
        <v>0.3</v>
      </c>
      <c r="Q265" s="6">
        <v>40</v>
      </c>
      <c r="R265" s="10">
        <v>0</v>
      </c>
      <c r="S265" s="10">
        <v>0</v>
      </c>
      <c r="T265" s="10"/>
      <c r="U265" t="str">
        <f>"RUNNING_COST_"&amp;IF(PROPERTIES[[#This Row],[ENGINE_CLASS]]="MAGLEV","ELECTRIC",PROPERTIES[[#This Row],[ENGINE_CLASS]])</f>
        <v>RUNNING_COST_DIESEL</v>
      </c>
      <c r="V265" s="10" t="s">
        <v>1000</v>
      </c>
      <c r="W265" s="10" t="s">
        <v>1001</v>
      </c>
      <c r="X265" s="10" t="str">
        <f>SUBSTITUTE(SUBSTITUTE(PROPERTIES[[#This Row],[PURCHASECOST_VALUE]], "PURCHASECOST_", ""), "_VALUE", "")</f>
        <v>DIESELENGINE</v>
      </c>
      <c r="AP265"/>
      <c r="AQ265"/>
      <c r="AR265"/>
    </row>
    <row r="266" spans="1:44">
      <c r="A266" s="2" t="s">
        <v>289</v>
      </c>
      <c r="B266">
        <v>2006</v>
      </c>
      <c r="C266">
        <v>0</v>
      </c>
      <c r="D266" t="s">
        <v>35</v>
      </c>
      <c r="E266" t="s">
        <v>20</v>
      </c>
      <c r="F266">
        <v>0</v>
      </c>
      <c r="G266" s="10">
        <v>90</v>
      </c>
      <c r="H266">
        <v>8</v>
      </c>
      <c r="I266">
        <v>8</v>
      </c>
      <c r="J266" s="2" t="s">
        <v>20</v>
      </c>
      <c r="K266">
        <f>_xlfn.XLOOKUP("LOADINGSPEEDDEF_"&amp;PROPERTIES[[#This Row],[LOADINGSPEED]],LOADINGSPEEDDEF[TYPE],LOADINGSPEEDDEF[SPEED])</f>
        <v>0</v>
      </c>
      <c r="L266" t="s">
        <v>21</v>
      </c>
      <c r="M266">
        <v>1</v>
      </c>
      <c r="N266">
        <v>3300</v>
      </c>
      <c r="O266">
        <v>200</v>
      </c>
      <c r="P266" s="2">
        <v>0.2</v>
      </c>
      <c r="Q266" s="6">
        <v>40</v>
      </c>
      <c r="R266" s="10">
        <v>0</v>
      </c>
      <c r="S266" s="10">
        <v>0</v>
      </c>
      <c r="T266" s="10"/>
      <c r="U266" t="str">
        <f>"RUNNING_COST_"&amp;IF(PROPERTIES[[#This Row],[ENGINE_CLASS]]="MAGLEV","ELECTRIC",PROPERTIES[[#This Row],[ENGINE_CLASS]])</f>
        <v>RUNNING_COST_DIESEL</v>
      </c>
      <c r="V266" s="10" t="s">
        <v>1000</v>
      </c>
      <c r="W266" s="10" t="s">
        <v>1001</v>
      </c>
      <c r="X266" s="10" t="str">
        <f>SUBSTITUTE(SUBSTITUTE(PROPERTIES[[#This Row],[PURCHASECOST_VALUE]], "PURCHASECOST_", ""), "_VALUE", "")</f>
        <v>DIESELENGINE</v>
      </c>
      <c r="AP266"/>
      <c r="AQ266"/>
      <c r="AR266"/>
    </row>
    <row r="267" spans="1:44">
      <c r="A267" s="2" t="s">
        <v>290</v>
      </c>
      <c r="B267">
        <v>2011</v>
      </c>
      <c r="C267">
        <v>0</v>
      </c>
      <c r="D267" t="s">
        <v>35</v>
      </c>
      <c r="E267" t="s">
        <v>20</v>
      </c>
      <c r="F267">
        <v>0</v>
      </c>
      <c r="G267" s="10">
        <v>90</v>
      </c>
      <c r="H267">
        <v>8</v>
      </c>
      <c r="I267">
        <v>8</v>
      </c>
      <c r="J267" s="2" t="s">
        <v>20</v>
      </c>
      <c r="K267">
        <f>_xlfn.XLOOKUP("LOADINGSPEEDDEF_"&amp;PROPERTIES[[#This Row],[LOADINGSPEED]],LOADINGSPEEDDEF[TYPE],LOADINGSPEEDDEF[SPEED])</f>
        <v>0</v>
      </c>
      <c r="L267" t="s">
        <v>21</v>
      </c>
      <c r="M267">
        <v>1</v>
      </c>
      <c r="N267">
        <v>2500</v>
      </c>
      <c r="O267">
        <v>120</v>
      </c>
      <c r="P267" s="2">
        <v>0.3</v>
      </c>
      <c r="Q267" s="6">
        <v>40</v>
      </c>
      <c r="R267" s="10">
        <v>0</v>
      </c>
      <c r="S267" s="10">
        <v>0</v>
      </c>
      <c r="T267" s="10"/>
      <c r="U267" t="str">
        <f>"RUNNING_COST_"&amp;IF(PROPERTIES[[#This Row],[ENGINE_CLASS]]="MAGLEV","ELECTRIC",PROPERTIES[[#This Row],[ENGINE_CLASS]])</f>
        <v>RUNNING_COST_DIESEL</v>
      </c>
      <c r="V267" s="10" t="s">
        <v>1000</v>
      </c>
      <c r="W267" s="10" t="s">
        <v>1001</v>
      </c>
      <c r="X267" s="10" t="str">
        <f>SUBSTITUTE(SUBSTITUTE(PROPERTIES[[#This Row],[PURCHASECOST_VALUE]], "PURCHASECOST_", ""), "_VALUE", "")</f>
        <v>DIESELENGINE</v>
      </c>
      <c r="AP267"/>
      <c r="AQ267"/>
      <c r="AR267"/>
    </row>
    <row r="268" spans="1:44">
      <c r="A268" s="2" t="s">
        <v>291</v>
      </c>
      <c r="B268">
        <v>1930</v>
      </c>
      <c r="C268">
        <v>0</v>
      </c>
      <c r="D268" t="s">
        <v>35</v>
      </c>
      <c r="E268" t="s">
        <v>20</v>
      </c>
      <c r="F268">
        <v>0</v>
      </c>
      <c r="G268" s="10">
        <v>72</v>
      </c>
      <c r="H268">
        <v>6</v>
      </c>
      <c r="I268">
        <v>6</v>
      </c>
      <c r="J268" s="2" t="s">
        <v>20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>
        <v>592</v>
      </c>
      <c r="O268">
        <v>45</v>
      </c>
      <c r="P268" s="2">
        <v>0.15</v>
      </c>
      <c r="Q268" s="6">
        <v>40</v>
      </c>
      <c r="R268" s="10">
        <v>0</v>
      </c>
      <c r="S268" s="10">
        <v>0</v>
      </c>
      <c r="T268" s="10"/>
      <c r="U268" t="str">
        <f>"RUNNING_COST_"&amp;IF(PROPERTIES[[#This Row],[ENGINE_CLASS]]="MAGLEV","ELECTRIC",PROPERTIES[[#This Row],[ENGINE_CLASS]])</f>
        <v>RUNNING_COST_DIESEL</v>
      </c>
      <c r="V268" s="10" t="s">
        <v>1000</v>
      </c>
      <c r="W268" s="10" t="s">
        <v>1001</v>
      </c>
      <c r="X268" s="10" t="str">
        <f>SUBSTITUTE(SUBSTITUTE(PROPERTIES[[#This Row],[PURCHASECOST_VALUE]], "PURCHASECOST_", ""), "_VALUE", "")</f>
        <v>DIESELENGINE</v>
      </c>
      <c r="AP268"/>
      <c r="AQ268"/>
      <c r="AR268"/>
    </row>
    <row r="269" spans="1:44">
      <c r="A269" s="2" t="s">
        <v>292</v>
      </c>
      <c r="B269">
        <v>1938</v>
      </c>
      <c r="C269">
        <v>0</v>
      </c>
      <c r="D269" t="s">
        <v>35</v>
      </c>
      <c r="E269" t="s">
        <v>20</v>
      </c>
      <c r="F269">
        <v>0</v>
      </c>
      <c r="G269" s="10">
        <v>39</v>
      </c>
      <c r="H269">
        <v>4</v>
      </c>
      <c r="I269">
        <v>4</v>
      </c>
      <c r="J269" s="2" t="s">
        <v>20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>
        <v>450</v>
      </c>
      <c r="O269">
        <v>76</v>
      </c>
      <c r="P269" s="2">
        <v>0.22</v>
      </c>
      <c r="Q269" s="6">
        <v>40</v>
      </c>
      <c r="R269" s="10">
        <v>0</v>
      </c>
      <c r="S269" s="10">
        <v>0</v>
      </c>
      <c r="T269" s="10"/>
      <c r="U269" t="str">
        <f>"RUNNING_COST_"&amp;IF(PROPERTIES[[#This Row],[ENGINE_CLASS]]="MAGLEV","ELECTRIC",PROPERTIES[[#This Row],[ENGINE_CLASS]])</f>
        <v>RUNNING_COST_DIESEL</v>
      </c>
      <c r="V269" s="10" t="s">
        <v>1000</v>
      </c>
      <c r="W269" s="10" t="s">
        <v>1001</v>
      </c>
      <c r="X269" s="10" t="str">
        <f>SUBSTITUTE(SUBSTITUTE(PROPERTIES[[#This Row],[PURCHASECOST_VALUE]], "PURCHASECOST_", ""), "_VALUE", "")</f>
        <v>DIESELENGINE</v>
      </c>
      <c r="AP269"/>
      <c r="AQ269"/>
      <c r="AR269"/>
    </row>
    <row r="270" spans="1:44">
      <c r="A270" s="2" t="s">
        <v>293</v>
      </c>
      <c r="B270">
        <v>1961</v>
      </c>
      <c r="C270">
        <v>0</v>
      </c>
      <c r="D270" t="s">
        <v>35</v>
      </c>
      <c r="E270" t="s">
        <v>20</v>
      </c>
      <c r="F270">
        <v>0</v>
      </c>
      <c r="G270" s="10">
        <v>50</v>
      </c>
      <c r="H270">
        <v>5</v>
      </c>
      <c r="I270">
        <v>5</v>
      </c>
      <c r="J270" s="2" t="s">
        <v>20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>
        <v>600</v>
      </c>
      <c r="O270">
        <v>64</v>
      </c>
      <c r="P270" s="2">
        <v>0.18</v>
      </c>
      <c r="Q270" s="6">
        <v>40</v>
      </c>
      <c r="R270" s="10">
        <v>0</v>
      </c>
      <c r="S270" s="10">
        <v>0</v>
      </c>
      <c r="T270" s="10"/>
      <c r="U270" t="str">
        <f>"RUNNING_COST_"&amp;IF(PROPERTIES[[#This Row],[ENGINE_CLASS]]="MAGLEV","ELECTRIC",PROPERTIES[[#This Row],[ENGINE_CLASS]])</f>
        <v>RUNNING_COST_DIESEL</v>
      </c>
      <c r="V270" s="10" t="s">
        <v>1000</v>
      </c>
      <c r="W270" s="10" t="s">
        <v>1001</v>
      </c>
      <c r="X270" s="10" t="str">
        <f>SUBSTITUTE(SUBSTITUTE(PROPERTIES[[#This Row],[PURCHASECOST_VALUE]], "PURCHASECOST_", ""), "_VALUE", "")</f>
        <v>DIESELENGINE</v>
      </c>
      <c r="AP270"/>
      <c r="AQ270"/>
      <c r="AR270"/>
    </row>
    <row r="271" spans="1:44">
      <c r="A271" s="2" t="s">
        <v>294</v>
      </c>
      <c r="B271">
        <v>1965</v>
      </c>
      <c r="C271">
        <v>0</v>
      </c>
      <c r="D271" t="s">
        <v>35</v>
      </c>
      <c r="E271" t="s">
        <v>20</v>
      </c>
      <c r="F271">
        <v>0</v>
      </c>
      <c r="G271" s="10">
        <v>111</v>
      </c>
      <c r="H271">
        <v>6</v>
      </c>
      <c r="I271">
        <v>6</v>
      </c>
      <c r="J271" s="2" t="s">
        <v>20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>
        <v>1350</v>
      </c>
      <c r="O271">
        <v>120</v>
      </c>
      <c r="P271" s="2">
        <v>0.17</v>
      </c>
      <c r="Q271" s="6">
        <v>40</v>
      </c>
      <c r="R271" s="10">
        <v>0</v>
      </c>
      <c r="S271" s="10">
        <v>0</v>
      </c>
      <c r="T271" s="10"/>
      <c r="U271" t="str">
        <f>"RUNNING_COST_"&amp;IF(PROPERTIES[[#This Row],[ENGINE_CLASS]]="MAGLEV","ELECTRIC",PROPERTIES[[#This Row],[ENGINE_CLASS]])</f>
        <v>RUNNING_COST_DIESEL</v>
      </c>
      <c r="V271" s="10" t="s">
        <v>1000</v>
      </c>
      <c r="W271" s="10" t="s">
        <v>1001</v>
      </c>
      <c r="X271" s="10" t="str">
        <f>SUBSTITUTE(SUBSTITUTE(PROPERTIES[[#This Row],[PURCHASECOST_VALUE]], "PURCHASECOST_", ""), "_VALUE", "")</f>
        <v>DIESELENGINE</v>
      </c>
      <c r="AP271"/>
      <c r="AQ271"/>
      <c r="AR271"/>
    </row>
    <row r="272" spans="1:44">
      <c r="A272" s="2" t="s">
        <v>295</v>
      </c>
      <c r="B272">
        <v>1970</v>
      </c>
      <c r="C272">
        <v>0</v>
      </c>
      <c r="D272" t="s">
        <v>35</v>
      </c>
      <c r="E272" t="s">
        <v>20</v>
      </c>
      <c r="F272">
        <v>0</v>
      </c>
      <c r="G272" s="10">
        <v>162</v>
      </c>
      <c r="H272">
        <v>8</v>
      </c>
      <c r="I272">
        <v>8</v>
      </c>
      <c r="J272" s="2" t="s">
        <v>20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>
        <v>3600</v>
      </c>
      <c r="O272">
        <v>85</v>
      </c>
      <c r="P272" s="2">
        <v>0.24</v>
      </c>
      <c r="Q272" s="6">
        <v>40</v>
      </c>
      <c r="R272" s="10">
        <v>0</v>
      </c>
      <c r="S272" s="10">
        <v>0</v>
      </c>
      <c r="T272" s="10"/>
      <c r="U272" t="str">
        <f>"RUNNING_COST_"&amp;IF(PROPERTIES[[#This Row],[ENGINE_CLASS]]="MAGLEV","ELECTRIC",PROPERTIES[[#This Row],[ENGINE_CLASS]])</f>
        <v>RUNNING_COST_DIESEL</v>
      </c>
      <c r="V272" s="10" t="s">
        <v>1000</v>
      </c>
      <c r="W272" s="10" t="s">
        <v>1001</v>
      </c>
      <c r="X272" s="10" t="str">
        <f>SUBSTITUTE(SUBSTITUTE(PROPERTIES[[#This Row],[PURCHASECOST_VALUE]], "PURCHASECOST_", ""), "_VALUE", "")</f>
        <v>DIESELENGINE</v>
      </c>
      <c r="AP272"/>
      <c r="AQ272"/>
      <c r="AR272"/>
    </row>
    <row r="273" spans="1:44">
      <c r="A273" s="2" t="s">
        <v>296</v>
      </c>
      <c r="B273">
        <v>1984</v>
      </c>
      <c r="C273">
        <v>0</v>
      </c>
      <c r="D273" t="s">
        <v>35</v>
      </c>
      <c r="E273" t="s">
        <v>20</v>
      </c>
      <c r="F273">
        <v>0</v>
      </c>
      <c r="G273" s="10">
        <v>166</v>
      </c>
      <c r="H273">
        <v>8</v>
      </c>
      <c r="I273">
        <v>8</v>
      </c>
      <c r="J273" s="2" t="s">
        <v>20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>
        <v>3900</v>
      </c>
      <c r="O273">
        <v>110</v>
      </c>
      <c r="P273" s="2">
        <v>0.28999999999999998</v>
      </c>
      <c r="Q273" s="6">
        <v>40</v>
      </c>
      <c r="R273" s="10">
        <v>0</v>
      </c>
      <c r="S273" s="10">
        <v>0</v>
      </c>
      <c r="T273" s="10"/>
      <c r="U273" t="str">
        <f>"RUNNING_COST_"&amp;IF(PROPERTIES[[#This Row],[ENGINE_CLASS]]="MAGLEV","ELECTRIC",PROPERTIES[[#This Row],[ENGINE_CLASS]])</f>
        <v>RUNNING_COST_DIESEL</v>
      </c>
      <c r="V273" s="10" t="s">
        <v>1000</v>
      </c>
      <c r="W273" s="10" t="s">
        <v>1001</v>
      </c>
      <c r="X273" s="10" t="str">
        <f>SUBSTITUTE(SUBSTITUTE(PROPERTIES[[#This Row],[PURCHASECOST_VALUE]], "PURCHASECOST_", ""), "_VALUE", "")</f>
        <v>DIESELENGINE</v>
      </c>
      <c r="AP273"/>
      <c r="AQ273"/>
      <c r="AR273"/>
    </row>
    <row r="274" spans="1:44">
      <c r="A274" s="2" t="s">
        <v>297</v>
      </c>
      <c r="B274">
        <v>1991</v>
      </c>
      <c r="C274">
        <v>0</v>
      </c>
      <c r="D274" t="s">
        <v>35</v>
      </c>
      <c r="E274" t="s">
        <v>20</v>
      </c>
      <c r="F274">
        <v>0</v>
      </c>
      <c r="G274" s="10">
        <v>117</v>
      </c>
      <c r="H274">
        <v>7</v>
      </c>
      <c r="I274">
        <v>7</v>
      </c>
      <c r="J274" s="2" t="s">
        <v>20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>
        <v>1876</v>
      </c>
      <c r="O274">
        <v>140</v>
      </c>
      <c r="P274" s="2">
        <v>0.18</v>
      </c>
      <c r="Q274" s="6">
        <v>40</v>
      </c>
      <c r="R274" s="10">
        <v>0</v>
      </c>
      <c r="S274" s="10">
        <v>0</v>
      </c>
      <c r="T274" s="10"/>
      <c r="U274" t="str">
        <f>"RUNNING_COST_"&amp;IF(PROPERTIES[[#This Row],[ENGINE_CLASS]]="MAGLEV","ELECTRIC",PROPERTIES[[#This Row],[ENGINE_CLASS]])</f>
        <v>RUNNING_COST_DIESEL</v>
      </c>
      <c r="V274" s="10" t="s">
        <v>1000</v>
      </c>
      <c r="W274" s="10" t="s">
        <v>1001</v>
      </c>
      <c r="X274" s="10" t="str">
        <f>SUBSTITUTE(SUBSTITUTE(PROPERTIES[[#This Row],[PURCHASECOST_VALUE]], "PURCHASECOST_", ""), "_VALUE", "")</f>
        <v>DIESELENGINE</v>
      </c>
      <c r="AP274"/>
      <c r="AQ274"/>
      <c r="AR274"/>
    </row>
    <row r="275" spans="1:44">
      <c r="A275" s="2" t="s">
        <v>298</v>
      </c>
      <c r="B275">
        <v>2013</v>
      </c>
      <c r="C275">
        <v>0</v>
      </c>
      <c r="D275" t="s">
        <v>35</v>
      </c>
      <c r="E275" t="s">
        <v>20</v>
      </c>
      <c r="F275">
        <v>0</v>
      </c>
      <c r="G275" s="10">
        <v>120</v>
      </c>
      <c r="H275">
        <v>8</v>
      </c>
      <c r="I275">
        <v>8</v>
      </c>
      <c r="J275" s="2" t="s">
        <v>20</v>
      </c>
      <c r="K275">
        <f>_xlfn.XLOOKUP("LOADINGSPEEDDEF_"&amp;PROPERTIES[[#This Row],[LOADINGSPEED]],LOADINGSPEEDDEF[TYPE],LOADINGSPEEDDEF[SPEED])</f>
        <v>0</v>
      </c>
      <c r="L275" t="s">
        <v>21</v>
      </c>
      <c r="M275">
        <v>1</v>
      </c>
      <c r="N275">
        <v>2950</v>
      </c>
      <c r="O275">
        <v>160</v>
      </c>
      <c r="P275" s="2">
        <v>0.32</v>
      </c>
      <c r="Q275" s="6">
        <v>40</v>
      </c>
      <c r="R275" s="10">
        <v>0</v>
      </c>
      <c r="S275" s="10">
        <v>0</v>
      </c>
      <c r="T275" s="10"/>
      <c r="U275" t="str">
        <f>"RUNNING_COST_"&amp;IF(PROPERTIES[[#This Row],[ENGINE_CLASS]]="MAGLEV","ELECTRIC",PROPERTIES[[#This Row],[ENGINE_CLASS]])</f>
        <v>RUNNING_COST_DIESEL</v>
      </c>
      <c r="V275" s="10" t="s">
        <v>1000</v>
      </c>
      <c r="W275" s="10" t="s">
        <v>1001</v>
      </c>
      <c r="X275" s="10" t="str">
        <f>SUBSTITUTE(SUBSTITUTE(PROPERTIES[[#This Row],[PURCHASECOST_VALUE]], "PURCHASECOST_", ""), "_VALUE", "")</f>
        <v>DIESELENGINE</v>
      </c>
      <c r="AP275"/>
      <c r="AQ275"/>
      <c r="AR275"/>
    </row>
    <row r="276" spans="1:44">
      <c r="A276" s="2" t="s">
        <v>299</v>
      </c>
      <c r="B276">
        <v>1939</v>
      </c>
      <c r="C276">
        <v>0</v>
      </c>
      <c r="D276" t="s">
        <v>35</v>
      </c>
      <c r="E276" t="s">
        <v>20</v>
      </c>
      <c r="F276">
        <v>0</v>
      </c>
      <c r="G276" s="10">
        <v>68</v>
      </c>
      <c r="H276">
        <v>5</v>
      </c>
      <c r="I276">
        <v>5</v>
      </c>
      <c r="J276" s="2" t="s">
        <v>20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>
        <v>410</v>
      </c>
      <c r="O276">
        <v>60</v>
      </c>
      <c r="P276" s="2">
        <v>0.23</v>
      </c>
      <c r="Q276" s="6">
        <v>40</v>
      </c>
      <c r="R276" s="10">
        <v>0</v>
      </c>
      <c r="S276" s="10">
        <v>0</v>
      </c>
      <c r="T276" s="10"/>
      <c r="U276" t="str">
        <f>"RUNNING_COST_"&amp;IF(PROPERTIES[[#This Row],[ENGINE_CLASS]]="MAGLEV","ELECTRIC",PROPERTIES[[#This Row],[ENGINE_CLASS]])</f>
        <v>RUNNING_COST_DIESEL</v>
      </c>
      <c r="V276" s="10" t="s">
        <v>1000</v>
      </c>
      <c r="W276" s="10" t="s">
        <v>1001</v>
      </c>
      <c r="X276" s="10" t="str">
        <f>SUBSTITUTE(SUBSTITUTE(PROPERTIES[[#This Row],[PURCHASECOST_VALUE]], "PURCHASECOST_", ""), "_VALUE", "")</f>
        <v>DIESELENGINE</v>
      </c>
      <c r="AP276"/>
      <c r="AQ276"/>
      <c r="AR276"/>
    </row>
    <row r="277" spans="1:44">
      <c r="A277" s="2" t="s">
        <v>300</v>
      </c>
      <c r="B277">
        <v>1950</v>
      </c>
      <c r="C277">
        <v>0</v>
      </c>
      <c r="D277" t="s">
        <v>35</v>
      </c>
      <c r="E277" t="s">
        <v>20</v>
      </c>
      <c r="F277">
        <v>0</v>
      </c>
      <c r="G277" s="10">
        <v>115</v>
      </c>
      <c r="H277">
        <v>6</v>
      </c>
      <c r="I277">
        <v>6</v>
      </c>
      <c r="J277" s="2" t="s">
        <v>20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>
        <v>1600</v>
      </c>
      <c r="O277">
        <v>105</v>
      </c>
      <c r="P277" s="2">
        <v>0.16</v>
      </c>
      <c r="Q277" s="6">
        <v>40</v>
      </c>
      <c r="R277" s="10">
        <v>0</v>
      </c>
      <c r="S277" s="10">
        <v>0</v>
      </c>
      <c r="T277" s="10"/>
      <c r="U277" t="str">
        <f>"RUNNING_COST_"&amp;IF(PROPERTIES[[#This Row],[ENGINE_CLASS]]="MAGLEV","ELECTRIC",PROPERTIES[[#This Row],[ENGINE_CLASS]])</f>
        <v>RUNNING_COST_DIESEL</v>
      </c>
      <c r="V277" s="10" t="s">
        <v>1000</v>
      </c>
      <c r="W277" s="10" t="s">
        <v>1001</v>
      </c>
      <c r="X277" s="10" t="str">
        <f>SUBSTITUTE(SUBSTITUTE(PROPERTIES[[#This Row],[PURCHASECOST_VALUE]], "PURCHASECOST_", ""), "_VALUE", "")</f>
        <v>DIESELENGINE</v>
      </c>
      <c r="AP277"/>
      <c r="AQ277"/>
      <c r="AR277"/>
    </row>
    <row r="278" spans="1:44">
      <c r="A278" s="2" t="s">
        <v>301</v>
      </c>
      <c r="B278">
        <v>1960</v>
      </c>
      <c r="C278">
        <v>0</v>
      </c>
      <c r="D278" t="s">
        <v>35</v>
      </c>
      <c r="E278" t="s">
        <v>20</v>
      </c>
      <c r="F278">
        <v>0</v>
      </c>
      <c r="G278" s="10">
        <v>62</v>
      </c>
      <c r="H278">
        <v>5</v>
      </c>
      <c r="I278">
        <v>5</v>
      </c>
      <c r="J278" s="2" t="s">
        <v>20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>
        <v>875</v>
      </c>
      <c r="O278">
        <v>100</v>
      </c>
      <c r="P278" s="2">
        <v>0.25</v>
      </c>
      <c r="Q278" s="6">
        <v>40</v>
      </c>
      <c r="R278" s="10">
        <v>0</v>
      </c>
      <c r="S278" s="10">
        <v>0</v>
      </c>
      <c r="T278" s="10"/>
      <c r="U278" t="str">
        <f>"RUNNING_COST_"&amp;IF(PROPERTIES[[#This Row],[ENGINE_CLASS]]="MAGLEV","ELECTRIC",PROPERTIES[[#This Row],[ENGINE_CLASS]])</f>
        <v>RUNNING_COST_DIESEL</v>
      </c>
      <c r="V278" s="10" t="s">
        <v>1000</v>
      </c>
      <c r="W278" s="10" t="s">
        <v>1001</v>
      </c>
      <c r="X278" s="10" t="str">
        <f>SUBSTITUTE(SUBSTITUTE(PROPERTIES[[#This Row],[PURCHASECOST_VALUE]], "PURCHASECOST_", ""), "_VALUE", "")</f>
        <v>DIESELENGINE</v>
      </c>
      <c r="AP278"/>
      <c r="AQ278"/>
      <c r="AR278"/>
    </row>
    <row r="279" spans="1:44">
      <c r="A279" s="2" t="s">
        <v>302</v>
      </c>
      <c r="B279">
        <v>1974</v>
      </c>
      <c r="C279">
        <v>0</v>
      </c>
      <c r="D279" t="s">
        <v>35</v>
      </c>
      <c r="E279" t="s">
        <v>20</v>
      </c>
      <c r="F279">
        <v>0</v>
      </c>
      <c r="G279" s="10">
        <v>120</v>
      </c>
      <c r="H279">
        <v>7</v>
      </c>
      <c r="I279">
        <v>7</v>
      </c>
      <c r="J279" s="2" t="s">
        <v>20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>
        <v>2600</v>
      </c>
      <c r="O279">
        <v>120</v>
      </c>
      <c r="P279" s="2">
        <v>0.17</v>
      </c>
      <c r="Q279" s="6">
        <v>40</v>
      </c>
      <c r="R279" s="10">
        <v>0</v>
      </c>
      <c r="S279" s="10">
        <v>0</v>
      </c>
      <c r="T279" s="10"/>
      <c r="U279" t="str">
        <f>"RUNNING_COST_"&amp;IF(PROPERTIES[[#This Row],[ENGINE_CLASS]]="MAGLEV","ELECTRIC",PROPERTIES[[#This Row],[ENGINE_CLASS]])</f>
        <v>RUNNING_COST_DIESEL</v>
      </c>
      <c r="V279" s="10" t="s">
        <v>1000</v>
      </c>
      <c r="W279" s="10" t="s">
        <v>1001</v>
      </c>
      <c r="X279" s="10" t="str">
        <f>SUBSTITUTE(SUBSTITUTE(PROPERTIES[[#This Row],[PURCHASECOST_VALUE]], "PURCHASECOST_", ""), "_VALUE", "")</f>
        <v>DIESELENGINE</v>
      </c>
      <c r="AP279"/>
      <c r="AQ279"/>
      <c r="AR279"/>
    </row>
    <row r="280" spans="1:44">
      <c r="A280" s="2" t="s">
        <v>303</v>
      </c>
      <c r="B280">
        <v>1977</v>
      </c>
      <c r="C280">
        <v>0</v>
      </c>
      <c r="D280" t="s">
        <v>35</v>
      </c>
      <c r="E280" t="s">
        <v>20</v>
      </c>
      <c r="F280">
        <v>0</v>
      </c>
      <c r="G280" s="10">
        <v>53</v>
      </c>
      <c r="H280">
        <v>5</v>
      </c>
      <c r="I280">
        <v>5</v>
      </c>
      <c r="J280" s="2" t="s">
        <v>20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>
        <v>700</v>
      </c>
      <c r="O280">
        <v>100</v>
      </c>
      <c r="P280" s="2">
        <v>0.28000000000000003</v>
      </c>
      <c r="Q280" s="6">
        <v>40</v>
      </c>
      <c r="R280" s="10">
        <v>0</v>
      </c>
      <c r="S280" s="10">
        <v>0</v>
      </c>
      <c r="T280" s="10"/>
      <c r="U280" t="str">
        <f>"RUNNING_COST_"&amp;IF(PROPERTIES[[#This Row],[ENGINE_CLASS]]="MAGLEV","ELECTRIC",PROPERTIES[[#This Row],[ENGINE_CLASS]])</f>
        <v>RUNNING_COST_DIESEL</v>
      </c>
      <c r="V280" s="10" t="s">
        <v>1000</v>
      </c>
      <c r="W280" s="10" t="s">
        <v>1001</v>
      </c>
      <c r="X280" s="10" t="str">
        <f>SUBSTITUTE(SUBSTITUTE(PROPERTIES[[#This Row],[PURCHASECOST_VALUE]], "PURCHASECOST_", ""), "_VALUE", "")</f>
        <v>DIESELENGINE</v>
      </c>
      <c r="AP280"/>
      <c r="AQ280"/>
      <c r="AR280"/>
    </row>
    <row r="281" spans="1:44">
      <c r="A281" s="2" t="s">
        <v>304</v>
      </c>
      <c r="B281">
        <v>1989</v>
      </c>
      <c r="C281">
        <v>0</v>
      </c>
      <c r="D281" t="s">
        <v>35</v>
      </c>
      <c r="E281" t="s">
        <v>20</v>
      </c>
      <c r="F281">
        <v>0</v>
      </c>
      <c r="G281" s="10">
        <v>108</v>
      </c>
      <c r="H281">
        <v>8</v>
      </c>
      <c r="I281">
        <v>8</v>
      </c>
      <c r="J281" s="2" t="s">
        <v>20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>
        <v>3400</v>
      </c>
      <c r="O281">
        <v>135</v>
      </c>
      <c r="P281" s="2">
        <v>0.33</v>
      </c>
      <c r="Q281" s="6">
        <v>40</v>
      </c>
      <c r="R281" s="10">
        <v>0</v>
      </c>
      <c r="S281" s="10">
        <v>0</v>
      </c>
      <c r="T281" s="10"/>
      <c r="U281" t="str">
        <f>"RUNNING_COST_"&amp;IF(PROPERTIES[[#This Row],[ENGINE_CLASS]]="MAGLEV","ELECTRIC",PROPERTIES[[#This Row],[ENGINE_CLASS]])</f>
        <v>RUNNING_COST_DIESEL</v>
      </c>
      <c r="V281" s="10" t="s">
        <v>1000</v>
      </c>
      <c r="W281" s="10" t="s">
        <v>1001</v>
      </c>
      <c r="X281" s="10" t="str">
        <f>SUBSTITUTE(SUBSTITUTE(PROPERTIES[[#This Row],[PURCHASECOST_VALUE]], "PURCHASECOST_", ""), "_VALUE", "")</f>
        <v>DIESELENGINE</v>
      </c>
      <c r="AP281"/>
      <c r="AQ281"/>
      <c r="AR281"/>
    </row>
    <row r="282" spans="1:44">
      <c r="A282" s="2" t="s">
        <v>305</v>
      </c>
      <c r="B282">
        <v>1964</v>
      </c>
      <c r="C282">
        <v>0</v>
      </c>
      <c r="D282" t="s">
        <v>35</v>
      </c>
      <c r="E282" t="s">
        <v>20</v>
      </c>
      <c r="F282">
        <v>0</v>
      </c>
      <c r="G282" s="10">
        <v>129</v>
      </c>
      <c r="H282">
        <v>8</v>
      </c>
      <c r="I282">
        <v>8</v>
      </c>
      <c r="J282" s="2" t="s">
        <v>20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>
        <v>2290</v>
      </c>
      <c r="O282">
        <v>140</v>
      </c>
      <c r="P282" s="2">
        <v>0.13</v>
      </c>
      <c r="Q282" s="6">
        <v>40</v>
      </c>
      <c r="R282" s="10">
        <v>0</v>
      </c>
      <c r="S282" s="10">
        <v>0</v>
      </c>
      <c r="T282" s="10"/>
      <c r="U282" t="str">
        <f>"RUNNING_COST_"&amp;IF(PROPERTIES[[#This Row],[ENGINE_CLASS]]="MAGLEV","ELECTRIC",PROPERTIES[[#This Row],[ENGINE_CLASS]])</f>
        <v>RUNNING_COST_DIESEL</v>
      </c>
      <c r="V282" s="10" t="s">
        <v>1000</v>
      </c>
      <c r="W282" s="10" t="s">
        <v>1001</v>
      </c>
      <c r="X282" s="10" t="str">
        <f>SUBSTITUTE(SUBSTITUTE(PROPERTIES[[#This Row],[PURCHASECOST_VALUE]], "PURCHASECOST_", ""), "_VALUE", "")</f>
        <v>DIESELENGINE</v>
      </c>
      <c r="AP282"/>
      <c r="AQ282"/>
      <c r="AR282"/>
    </row>
    <row r="283" spans="1:44">
      <c r="A283" s="2" t="s">
        <v>306</v>
      </c>
      <c r="B283">
        <v>1981</v>
      </c>
      <c r="C283">
        <v>0</v>
      </c>
      <c r="D283" t="s">
        <v>35</v>
      </c>
      <c r="E283" t="s">
        <v>20</v>
      </c>
      <c r="F283">
        <v>0</v>
      </c>
      <c r="G283" s="10">
        <v>276</v>
      </c>
      <c r="H283">
        <v>8</v>
      </c>
      <c r="I283">
        <v>16</v>
      </c>
      <c r="J283" s="2" t="s">
        <v>20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>
        <v>6160</v>
      </c>
      <c r="O283">
        <v>100</v>
      </c>
      <c r="P283" s="2">
        <v>0.18</v>
      </c>
      <c r="Q283" s="6">
        <v>40</v>
      </c>
      <c r="R283" s="10">
        <v>0</v>
      </c>
      <c r="S283" s="10">
        <v>0</v>
      </c>
      <c r="T283" s="10"/>
      <c r="U283" t="str">
        <f>"RUNNING_COST_"&amp;IF(PROPERTIES[[#This Row],[ENGINE_CLASS]]="MAGLEV","ELECTRIC",PROPERTIES[[#This Row],[ENGINE_CLASS]])</f>
        <v>RUNNING_COST_DIESEL</v>
      </c>
      <c r="V283" s="10" t="s">
        <v>1000</v>
      </c>
      <c r="W283" s="10" t="s">
        <v>1001</v>
      </c>
      <c r="X283" s="10" t="str">
        <f>SUBSTITUTE(SUBSTITUTE(PROPERTIES[[#This Row],[PURCHASECOST_VALUE]], "PURCHASECOST_", ""), "_VALUE", "")</f>
        <v>DIESELENGINE</v>
      </c>
      <c r="AP283"/>
      <c r="AQ283"/>
      <c r="AR283"/>
    </row>
    <row r="284" spans="1:44">
      <c r="A284" s="2" t="s">
        <v>307</v>
      </c>
      <c r="B284">
        <v>1985</v>
      </c>
      <c r="C284">
        <v>0</v>
      </c>
      <c r="D284" t="s">
        <v>35</v>
      </c>
      <c r="E284" t="s">
        <v>20</v>
      </c>
      <c r="F284">
        <v>0</v>
      </c>
      <c r="G284" s="10">
        <v>74</v>
      </c>
      <c r="H284">
        <v>6</v>
      </c>
      <c r="I284">
        <v>6</v>
      </c>
      <c r="J284" s="2" t="s">
        <v>20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>
        <v>1340</v>
      </c>
      <c r="O284">
        <v>100</v>
      </c>
      <c r="P284" s="2">
        <v>0.25</v>
      </c>
      <c r="Q284" s="6">
        <v>40</v>
      </c>
      <c r="R284" s="10">
        <v>0</v>
      </c>
      <c r="S284" s="10">
        <v>0</v>
      </c>
      <c r="T284" s="10"/>
      <c r="U284" t="str">
        <f>"RUNNING_COST_"&amp;IF(PROPERTIES[[#This Row],[ENGINE_CLASS]]="MAGLEV","ELECTRIC",PROPERTIES[[#This Row],[ENGINE_CLASS]])</f>
        <v>RUNNING_COST_DIESEL</v>
      </c>
      <c r="V284" s="10" t="s">
        <v>1000</v>
      </c>
      <c r="W284" s="10" t="s">
        <v>1001</v>
      </c>
      <c r="X284" s="10" t="str">
        <f>SUBSTITUTE(SUBSTITUTE(PROPERTIES[[#This Row],[PURCHASECOST_VALUE]], "PURCHASECOST_", ""), "_VALUE", "")</f>
        <v>DIESELENGINE</v>
      </c>
      <c r="AP284"/>
      <c r="AQ284"/>
      <c r="AR284"/>
    </row>
    <row r="285" spans="1:44">
      <c r="A285" s="2" t="s">
        <v>308</v>
      </c>
      <c r="B285">
        <v>1987</v>
      </c>
      <c r="C285">
        <v>0</v>
      </c>
      <c r="D285" t="s">
        <v>35</v>
      </c>
      <c r="E285" t="s">
        <v>20</v>
      </c>
      <c r="F285">
        <v>0</v>
      </c>
      <c r="G285" s="10">
        <v>460</v>
      </c>
      <c r="H285">
        <v>8</v>
      </c>
      <c r="I285">
        <v>8</v>
      </c>
      <c r="J285" s="2" t="s">
        <v>20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>
        <v>12000</v>
      </c>
      <c r="O285">
        <v>100</v>
      </c>
      <c r="P285" s="2">
        <v>0.2</v>
      </c>
      <c r="Q285" s="6">
        <v>40</v>
      </c>
      <c r="R285" s="10">
        <v>0</v>
      </c>
      <c r="S285" s="10">
        <v>0</v>
      </c>
      <c r="T285" s="10"/>
      <c r="U285" t="str">
        <f>"RUNNING_COST_"&amp;IF(PROPERTIES[[#This Row],[ENGINE_CLASS]]="MAGLEV","ELECTRIC",PROPERTIES[[#This Row],[ENGINE_CLASS]])</f>
        <v>RUNNING_COST_DIESEL</v>
      </c>
      <c r="V285" s="10" t="s">
        <v>1000</v>
      </c>
      <c r="W285" s="10" t="s">
        <v>1001</v>
      </c>
      <c r="X285" s="10" t="str">
        <f>SUBSTITUTE(SUBSTITUTE(PROPERTIES[[#This Row],[PURCHASECOST_VALUE]], "PURCHASECOST_", ""), "_VALUE", "")</f>
        <v>DIESELENGINE</v>
      </c>
      <c r="AP285"/>
      <c r="AQ285"/>
      <c r="AR285"/>
    </row>
    <row r="286" spans="1:44">
      <c r="A286" s="2" t="s">
        <v>309</v>
      </c>
      <c r="B286">
        <v>1989</v>
      </c>
      <c r="C286">
        <v>0</v>
      </c>
      <c r="D286" t="s">
        <v>35</v>
      </c>
      <c r="E286" t="s">
        <v>20</v>
      </c>
      <c r="F286">
        <v>0</v>
      </c>
      <c r="G286" s="10">
        <v>276</v>
      </c>
      <c r="H286">
        <v>8</v>
      </c>
      <c r="I286">
        <v>16</v>
      </c>
      <c r="J286" s="2" t="s">
        <v>20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>
        <v>4560</v>
      </c>
      <c r="O286">
        <v>120</v>
      </c>
      <c r="P286" s="2">
        <v>0.15</v>
      </c>
      <c r="Q286" s="6">
        <v>40</v>
      </c>
      <c r="R286" s="10">
        <v>0</v>
      </c>
      <c r="S286" s="10">
        <v>0</v>
      </c>
      <c r="T286" s="10"/>
      <c r="U286" t="str">
        <f>"RUNNING_COST_"&amp;IF(PROPERTIES[[#This Row],[ENGINE_CLASS]]="MAGLEV","ELECTRIC",PROPERTIES[[#This Row],[ENGINE_CLASS]])</f>
        <v>RUNNING_COST_DIESEL</v>
      </c>
      <c r="V286" s="10" t="s">
        <v>1000</v>
      </c>
      <c r="W286" s="10" t="s">
        <v>1001</v>
      </c>
      <c r="X286" s="10" t="str">
        <f>SUBSTITUTE(SUBSTITUTE(PROPERTIES[[#This Row],[PURCHASECOST_VALUE]], "PURCHASECOST_", ""), "_VALUE", "")</f>
        <v>DIESELENGINE</v>
      </c>
      <c r="AP286"/>
      <c r="AQ286"/>
      <c r="AR286"/>
    </row>
    <row r="287" spans="1:44">
      <c r="A287" s="2" t="s">
        <v>310</v>
      </c>
      <c r="B287">
        <v>1992</v>
      </c>
      <c r="C287">
        <v>0</v>
      </c>
      <c r="D287" t="s">
        <v>35</v>
      </c>
      <c r="E287" t="s">
        <v>20</v>
      </c>
      <c r="F287">
        <v>0</v>
      </c>
      <c r="G287" s="10">
        <v>36</v>
      </c>
      <c r="H287">
        <v>4</v>
      </c>
      <c r="I287">
        <v>4</v>
      </c>
      <c r="J287" s="2" t="s">
        <v>20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>
        <v>530</v>
      </c>
      <c r="O287">
        <v>80</v>
      </c>
      <c r="P287" s="2">
        <v>0.3</v>
      </c>
      <c r="Q287" s="6">
        <v>40</v>
      </c>
      <c r="R287" s="10">
        <v>0</v>
      </c>
      <c r="S287" s="10">
        <v>0</v>
      </c>
      <c r="T287" s="10"/>
      <c r="U287" t="str">
        <f>"RUNNING_COST_"&amp;IF(PROPERTIES[[#This Row],[ENGINE_CLASS]]="MAGLEV","ELECTRIC",PROPERTIES[[#This Row],[ENGINE_CLASS]])</f>
        <v>RUNNING_COST_DIESEL</v>
      </c>
      <c r="V287" s="10" t="s">
        <v>1000</v>
      </c>
      <c r="W287" s="10" t="s">
        <v>1001</v>
      </c>
      <c r="X287" s="10" t="str">
        <f>SUBSTITUTE(SUBSTITUTE(PROPERTIES[[#This Row],[PURCHASECOST_VALUE]], "PURCHASECOST_", ""), "_VALUE", "")</f>
        <v>DIESELENGINE</v>
      </c>
      <c r="AP287"/>
      <c r="AQ287"/>
      <c r="AR287"/>
    </row>
    <row r="288" spans="1:44">
      <c r="A288" s="2" t="s">
        <v>311</v>
      </c>
      <c r="B288">
        <v>1931</v>
      </c>
      <c r="C288">
        <v>0</v>
      </c>
      <c r="D288" t="s">
        <v>35</v>
      </c>
      <c r="E288" t="s">
        <v>20</v>
      </c>
      <c r="F288">
        <v>0</v>
      </c>
      <c r="G288" s="10">
        <v>6</v>
      </c>
      <c r="H288">
        <v>2</v>
      </c>
      <c r="I288">
        <v>2</v>
      </c>
      <c r="J288" s="2" t="s">
        <v>20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>
        <v>75</v>
      </c>
      <c r="O288">
        <v>30</v>
      </c>
      <c r="P288" s="2">
        <v>0.27</v>
      </c>
      <c r="Q288" s="6">
        <v>40</v>
      </c>
      <c r="R288" s="10">
        <v>0</v>
      </c>
      <c r="S288" s="10">
        <v>0</v>
      </c>
      <c r="T288" s="10"/>
      <c r="U288" t="str">
        <f>"RUNNING_COST_"&amp;IF(PROPERTIES[[#This Row],[ENGINE_CLASS]]="MAGLEV","ELECTRIC",PROPERTIES[[#This Row],[ENGINE_CLASS]])</f>
        <v>RUNNING_COST_DIESEL</v>
      </c>
      <c r="V288" s="10" t="s">
        <v>1000</v>
      </c>
      <c r="W288" s="10" t="s">
        <v>1001</v>
      </c>
      <c r="X288" s="10" t="str">
        <f>SUBSTITUTE(SUBSTITUTE(PROPERTIES[[#This Row],[PURCHASECOST_VALUE]], "PURCHASECOST_", ""), "_VALUE", "")</f>
        <v>DIESELENGINE</v>
      </c>
      <c r="AP288"/>
      <c r="AQ288"/>
      <c r="AR288"/>
    </row>
    <row r="289" spans="1:44">
      <c r="A289" s="2" t="s">
        <v>312</v>
      </c>
      <c r="B289">
        <v>1945</v>
      </c>
      <c r="C289">
        <v>0</v>
      </c>
      <c r="D289" t="s">
        <v>35</v>
      </c>
      <c r="E289" t="s">
        <v>20</v>
      </c>
      <c r="F289">
        <v>0</v>
      </c>
      <c r="G289" s="10">
        <v>117</v>
      </c>
      <c r="H289">
        <v>8</v>
      </c>
      <c r="I289">
        <v>8</v>
      </c>
      <c r="J289" s="2" t="s">
        <v>20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>
        <v>1000</v>
      </c>
      <c r="O289">
        <v>97</v>
      </c>
      <c r="P289" s="2">
        <v>0.15</v>
      </c>
      <c r="Q289" s="6">
        <v>40</v>
      </c>
      <c r="R289" s="10">
        <v>0</v>
      </c>
      <c r="S289" s="10">
        <v>0</v>
      </c>
      <c r="T289" s="10"/>
      <c r="U289" t="str">
        <f>"RUNNING_COST_"&amp;IF(PROPERTIES[[#This Row],[ENGINE_CLASS]]="MAGLEV","ELECTRIC",PROPERTIES[[#This Row],[ENGINE_CLASS]])</f>
        <v>RUNNING_COST_DIESEL</v>
      </c>
      <c r="V289" s="10" t="s">
        <v>1000</v>
      </c>
      <c r="W289" s="10" t="s">
        <v>1001</v>
      </c>
      <c r="X289" s="10" t="str">
        <f>SUBSTITUTE(SUBSTITUTE(PROPERTIES[[#This Row],[PURCHASECOST_VALUE]], "PURCHASECOST_", ""), "_VALUE", "")</f>
        <v>DIESELENGINE</v>
      </c>
      <c r="AP289"/>
      <c r="AQ289"/>
      <c r="AR289"/>
    </row>
    <row r="290" spans="1:44">
      <c r="A290" s="2" t="s">
        <v>313</v>
      </c>
      <c r="B290">
        <v>1948</v>
      </c>
      <c r="C290">
        <v>0</v>
      </c>
      <c r="D290" t="s">
        <v>35</v>
      </c>
      <c r="E290" t="s">
        <v>20</v>
      </c>
      <c r="F290">
        <v>0</v>
      </c>
      <c r="G290" s="10">
        <v>111</v>
      </c>
      <c r="H290">
        <v>6</v>
      </c>
      <c r="I290">
        <v>6</v>
      </c>
      <c r="J290" s="2" t="s">
        <v>20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>
        <v>1700</v>
      </c>
      <c r="O290">
        <v>120</v>
      </c>
      <c r="P290" s="2">
        <v>0.15</v>
      </c>
      <c r="Q290" s="6">
        <v>40</v>
      </c>
      <c r="R290" s="10">
        <v>0</v>
      </c>
      <c r="S290" s="10">
        <v>0</v>
      </c>
      <c r="T290" s="10"/>
      <c r="U290" t="str">
        <f>"RUNNING_COST_"&amp;IF(PROPERTIES[[#This Row],[ENGINE_CLASS]]="MAGLEV","ELECTRIC",PROPERTIES[[#This Row],[ENGINE_CLASS]])</f>
        <v>RUNNING_COST_DIESEL</v>
      </c>
      <c r="V290" s="10" t="s">
        <v>1000</v>
      </c>
      <c r="W290" s="10" t="s">
        <v>1001</v>
      </c>
      <c r="X290" s="10" t="str">
        <f>SUBSTITUTE(SUBSTITUTE(PROPERTIES[[#This Row],[PURCHASECOST_VALUE]], "PURCHASECOST_", ""), "_VALUE", "")</f>
        <v>DIESELENGINE</v>
      </c>
      <c r="AP290"/>
      <c r="AQ290"/>
      <c r="AR290"/>
    </row>
    <row r="291" spans="1:44">
      <c r="A291" s="2" t="s">
        <v>314</v>
      </c>
      <c r="B291">
        <v>1969</v>
      </c>
      <c r="C291">
        <v>0</v>
      </c>
      <c r="D291" t="s">
        <v>35</v>
      </c>
      <c r="E291" t="s">
        <v>20</v>
      </c>
      <c r="F291">
        <v>0</v>
      </c>
      <c r="G291" s="10">
        <v>83</v>
      </c>
      <c r="H291">
        <v>8</v>
      </c>
      <c r="I291">
        <v>8</v>
      </c>
      <c r="J291" s="2" t="s">
        <v>20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>
        <v>2245</v>
      </c>
      <c r="O291">
        <v>140</v>
      </c>
      <c r="P291" s="2">
        <v>0.34</v>
      </c>
      <c r="Q291" s="6">
        <v>40</v>
      </c>
      <c r="R291" s="10">
        <v>0</v>
      </c>
      <c r="S291" s="10">
        <v>0</v>
      </c>
      <c r="T291" s="10"/>
      <c r="U291" t="str">
        <f>"RUNNING_COST_"&amp;IF(PROPERTIES[[#This Row],[ENGINE_CLASS]]="MAGLEV","ELECTRIC",PROPERTIES[[#This Row],[ENGINE_CLASS]])</f>
        <v>RUNNING_COST_DIESEL</v>
      </c>
      <c r="V291" s="10" t="s">
        <v>1000</v>
      </c>
      <c r="W291" s="10" t="s">
        <v>1001</v>
      </c>
      <c r="X291" s="10" t="str">
        <f>SUBSTITUTE(SUBSTITUTE(PROPERTIES[[#This Row],[PURCHASECOST_VALUE]], "PURCHASECOST_", ""), "_VALUE", "")</f>
        <v>DIESELENGINE</v>
      </c>
      <c r="AP291"/>
      <c r="AQ291"/>
      <c r="AR291"/>
    </row>
    <row r="292" spans="1:44">
      <c r="A292" s="2" t="s">
        <v>315</v>
      </c>
      <c r="B292">
        <v>1988</v>
      </c>
      <c r="C292">
        <v>0</v>
      </c>
      <c r="D292" t="s">
        <v>35</v>
      </c>
      <c r="E292" t="s">
        <v>20</v>
      </c>
      <c r="F292">
        <v>0</v>
      </c>
      <c r="G292" s="10">
        <v>80</v>
      </c>
      <c r="H292">
        <v>6</v>
      </c>
      <c r="I292">
        <v>6</v>
      </c>
      <c r="J292" s="2" t="s">
        <v>20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>
        <v>1581</v>
      </c>
      <c r="O292">
        <v>120</v>
      </c>
      <c r="P292" s="2">
        <v>0.38</v>
      </c>
      <c r="Q292" s="6">
        <v>40</v>
      </c>
      <c r="R292" s="10">
        <v>0</v>
      </c>
      <c r="S292" s="10">
        <v>0</v>
      </c>
      <c r="T292" s="10"/>
      <c r="U292" t="str">
        <f>"RUNNING_COST_"&amp;IF(PROPERTIES[[#This Row],[ENGINE_CLASS]]="MAGLEV","ELECTRIC",PROPERTIES[[#This Row],[ENGINE_CLASS]])</f>
        <v>RUNNING_COST_DIESEL</v>
      </c>
      <c r="V292" s="10" t="s">
        <v>1000</v>
      </c>
      <c r="W292" s="10" t="s">
        <v>1001</v>
      </c>
      <c r="X292" s="10" t="str">
        <f>SUBSTITUTE(SUBSTITUTE(PROPERTIES[[#This Row],[PURCHASECOST_VALUE]], "PURCHASECOST_", ""), "_VALUE", "")</f>
        <v>DIESELENGINE</v>
      </c>
      <c r="AP292"/>
      <c r="AQ292"/>
      <c r="AR292"/>
    </row>
    <row r="293" spans="1:44">
      <c r="A293" s="2" t="s">
        <v>316</v>
      </c>
      <c r="B293">
        <v>2009</v>
      </c>
      <c r="C293">
        <v>0</v>
      </c>
      <c r="D293" t="s">
        <v>35</v>
      </c>
      <c r="E293" t="s">
        <v>20</v>
      </c>
      <c r="F293">
        <v>0</v>
      </c>
      <c r="G293" s="10">
        <v>138</v>
      </c>
      <c r="H293">
        <v>8</v>
      </c>
      <c r="I293">
        <v>8</v>
      </c>
      <c r="J293" s="2" t="s">
        <v>20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>
        <v>4000</v>
      </c>
      <c r="O293">
        <v>120</v>
      </c>
      <c r="P293" s="2">
        <v>0.53</v>
      </c>
      <c r="Q293" s="6">
        <v>40</v>
      </c>
      <c r="R293" s="10">
        <v>0</v>
      </c>
      <c r="S293" s="10">
        <v>0</v>
      </c>
      <c r="T293" s="10"/>
      <c r="U293" t="str">
        <f>"RUNNING_COST_"&amp;IF(PROPERTIES[[#This Row],[ENGINE_CLASS]]="MAGLEV","ELECTRIC",PROPERTIES[[#This Row],[ENGINE_CLASS]])</f>
        <v>RUNNING_COST_DIESEL</v>
      </c>
      <c r="V293" s="10" t="s">
        <v>1000</v>
      </c>
      <c r="W293" s="10" t="s">
        <v>1001</v>
      </c>
      <c r="X293" s="10" t="str">
        <f>SUBSTITUTE(SUBSTITUTE(PROPERTIES[[#This Row],[PURCHASECOST_VALUE]], "PURCHASECOST_", ""), "_VALUE", "")</f>
        <v>DIESELENGINE</v>
      </c>
      <c r="AP293"/>
      <c r="AQ293"/>
      <c r="AR293"/>
    </row>
    <row r="294" spans="1:44">
      <c r="A294" s="2" t="s">
        <v>317</v>
      </c>
      <c r="B294">
        <v>2014</v>
      </c>
      <c r="C294">
        <v>0</v>
      </c>
      <c r="D294" t="s">
        <v>35</v>
      </c>
      <c r="E294" t="s">
        <v>20</v>
      </c>
      <c r="F294">
        <v>0</v>
      </c>
      <c r="G294" s="10">
        <v>123</v>
      </c>
      <c r="H294">
        <v>8</v>
      </c>
      <c r="I294">
        <v>8</v>
      </c>
      <c r="J294" s="2" t="s">
        <v>20</v>
      </c>
      <c r="K294">
        <f>_xlfn.XLOOKUP("LOADINGSPEEDDEF_"&amp;PROPERTIES[[#This Row],[LOADINGSPEED]],LOADINGSPEEDDEF[TYPE],LOADINGSPEEDDEF[SPEED])</f>
        <v>0</v>
      </c>
      <c r="L294" t="s">
        <v>21</v>
      </c>
      <c r="M294">
        <v>1</v>
      </c>
      <c r="N294">
        <v>4262</v>
      </c>
      <c r="O294">
        <v>130</v>
      </c>
      <c r="P294" s="2">
        <v>0.26</v>
      </c>
      <c r="Q294" s="6">
        <v>40</v>
      </c>
      <c r="R294" s="10">
        <v>0</v>
      </c>
      <c r="S294" s="10">
        <v>0</v>
      </c>
      <c r="T294" s="10"/>
      <c r="U294" t="str">
        <f>"RUNNING_COST_"&amp;IF(PROPERTIES[[#This Row],[ENGINE_CLASS]]="MAGLEV","ELECTRIC",PROPERTIES[[#This Row],[ENGINE_CLASS]])</f>
        <v>RUNNING_COST_DIESEL</v>
      </c>
      <c r="V294" s="10" t="s">
        <v>1000</v>
      </c>
      <c r="W294" s="10" t="s">
        <v>1001</v>
      </c>
      <c r="X294" s="10" t="str">
        <f>SUBSTITUTE(SUBSTITUTE(PROPERTIES[[#This Row],[PURCHASECOST_VALUE]], "PURCHASECOST_", ""), "_VALUE", "")</f>
        <v>DIESELENGINE</v>
      </c>
      <c r="AP294"/>
      <c r="AQ294"/>
      <c r="AR294"/>
    </row>
    <row r="295" spans="1:44">
      <c r="A295" s="2" t="s">
        <v>318</v>
      </c>
      <c r="B295">
        <v>1966</v>
      </c>
      <c r="C295">
        <v>0</v>
      </c>
      <c r="D295" t="s">
        <v>35</v>
      </c>
      <c r="E295" t="s">
        <v>20</v>
      </c>
      <c r="F295">
        <v>0</v>
      </c>
      <c r="G295" s="10">
        <v>64</v>
      </c>
      <c r="H295">
        <v>5</v>
      </c>
      <c r="I295">
        <v>5</v>
      </c>
      <c r="J295" s="2" t="s">
        <v>20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>
        <v>710</v>
      </c>
      <c r="O295">
        <v>120</v>
      </c>
      <c r="P295" s="2">
        <v>0.2</v>
      </c>
      <c r="Q295" s="6">
        <v>40</v>
      </c>
      <c r="R295" s="10">
        <v>0</v>
      </c>
      <c r="S295" s="10">
        <v>0</v>
      </c>
      <c r="T295" s="10"/>
      <c r="U295" t="str">
        <f>"RUNNING_COST_"&amp;IF(PROPERTIES[[#This Row],[ENGINE_CLASS]]="MAGLEV","ELECTRIC",PROPERTIES[[#This Row],[ENGINE_CLASS]])</f>
        <v>RUNNING_COST_DIESEL</v>
      </c>
      <c r="V295" s="10" t="s">
        <v>1000</v>
      </c>
      <c r="W295" s="10" t="s">
        <v>1001</v>
      </c>
      <c r="X295" s="10" t="str">
        <f>SUBSTITUTE(SUBSTITUTE(PROPERTIES[[#This Row],[PURCHASECOST_VALUE]], "PURCHASECOST_", ""), "_VALUE", "")</f>
        <v>DIESELENGINE</v>
      </c>
      <c r="AP295"/>
      <c r="AQ295"/>
      <c r="AR295"/>
    </row>
    <row r="296" spans="1:44">
      <c r="A296" s="2" t="s">
        <v>319</v>
      </c>
      <c r="B296">
        <v>2002</v>
      </c>
      <c r="C296">
        <v>0</v>
      </c>
      <c r="D296" t="s">
        <v>35</v>
      </c>
      <c r="E296" t="s">
        <v>20</v>
      </c>
      <c r="F296">
        <v>0</v>
      </c>
      <c r="G296" s="10">
        <v>124</v>
      </c>
      <c r="H296">
        <v>7</v>
      </c>
      <c r="I296">
        <v>7</v>
      </c>
      <c r="J296" s="2" t="s">
        <v>24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>
        <v>3300</v>
      </c>
      <c r="O296">
        <v>115</v>
      </c>
      <c r="P296" s="2">
        <v>0.34</v>
      </c>
      <c r="Q296" s="6">
        <v>40</v>
      </c>
      <c r="R296" s="10">
        <v>0</v>
      </c>
      <c r="S296" s="10">
        <v>0</v>
      </c>
      <c r="T296" s="10"/>
      <c r="U296" t="str">
        <f>"RUNNING_COST_"&amp;IF(PROPERTIES[[#This Row],[ENGINE_CLASS]]="MAGLEV","ELECTRIC",PROPERTIES[[#This Row],[ENGINE_CLASS]])</f>
        <v>RUNNING_COST_DIESEL</v>
      </c>
      <c r="V296" s="10" t="s">
        <v>1000</v>
      </c>
      <c r="W296" s="10" t="s">
        <v>1001</v>
      </c>
      <c r="X296" s="10" t="str">
        <f>SUBSTITUTE(SUBSTITUTE(PROPERTIES[[#This Row],[PURCHASECOST_VALUE]], "PURCHASECOST_", ""), "_VALUE", "")</f>
        <v>DIESELENGINE</v>
      </c>
      <c r="AP296"/>
      <c r="AQ296"/>
      <c r="AR296"/>
    </row>
    <row r="297" spans="1:44">
      <c r="A297" s="2" t="s">
        <v>320</v>
      </c>
      <c r="B297">
        <v>2006</v>
      </c>
      <c r="C297">
        <v>0</v>
      </c>
      <c r="D297" t="s">
        <v>35</v>
      </c>
      <c r="E297" t="s">
        <v>20</v>
      </c>
      <c r="F297">
        <v>0</v>
      </c>
      <c r="G297" s="10">
        <v>123</v>
      </c>
      <c r="H297">
        <v>8</v>
      </c>
      <c r="I297">
        <v>8</v>
      </c>
      <c r="J297" s="2" t="s">
        <v>20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>
        <v>4262</v>
      </c>
      <c r="O297">
        <v>120</v>
      </c>
      <c r="P297" s="2">
        <v>0.33</v>
      </c>
      <c r="Q297" s="6">
        <v>40</v>
      </c>
      <c r="R297" s="10">
        <v>0</v>
      </c>
      <c r="S297" s="10">
        <v>0</v>
      </c>
      <c r="T297" s="10"/>
      <c r="U297" t="str">
        <f>"RUNNING_COST_"&amp;IF(PROPERTIES[[#This Row],[ENGINE_CLASS]]="MAGLEV","ELECTRIC",PROPERTIES[[#This Row],[ENGINE_CLASS]])</f>
        <v>RUNNING_COST_DIESEL</v>
      </c>
      <c r="V297" s="10" t="s">
        <v>1000</v>
      </c>
      <c r="W297" s="10" t="s">
        <v>1001</v>
      </c>
      <c r="X297" s="10" t="str">
        <f>SUBSTITUTE(SUBSTITUTE(PROPERTIES[[#This Row],[PURCHASECOST_VALUE]], "PURCHASECOST_", ""), "_VALUE", "")</f>
        <v>DIESELENGINE</v>
      </c>
      <c r="AP297"/>
      <c r="AQ297"/>
      <c r="AR297"/>
    </row>
    <row r="298" spans="1:44">
      <c r="A298" s="2" t="s">
        <v>321</v>
      </c>
      <c r="B298">
        <v>2008</v>
      </c>
      <c r="C298">
        <v>0</v>
      </c>
      <c r="D298" t="s">
        <v>35</v>
      </c>
      <c r="E298" t="s">
        <v>20</v>
      </c>
      <c r="F298">
        <v>0</v>
      </c>
      <c r="G298" s="10">
        <v>140</v>
      </c>
      <c r="H298">
        <v>8</v>
      </c>
      <c r="I298">
        <v>8</v>
      </c>
      <c r="J298" s="2" t="s">
        <v>24</v>
      </c>
      <c r="K298">
        <f>_xlfn.XLOOKUP("LOADINGSPEEDDEF_"&amp;PROPERTIES[[#This Row],[LOADINGSPEED]],LOADINGSPEEDDEF[TYPE],LOADINGSPEEDDEF[SPEED])</f>
        <v>40</v>
      </c>
      <c r="L298" t="s">
        <v>21</v>
      </c>
      <c r="M298">
        <v>1</v>
      </c>
      <c r="N298">
        <v>4520</v>
      </c>
      <c r="O298">
        <v>115</v>
      </c>
      <c r="P298" s="2">
        <v>0.38</v>
      </c>
      <c r="Q298" s="6">
        <v>40</v>
      </c>
      <c r="R298" s="10">
        <v>0</v>
      </c>
      <c r="S298" s="10">
        <v>0</v>
      </c>
      <c r="T298" s="10"/>
      <c r="U298" t="str">
        <f>"RUNNING_COST_"&amp;IF(PROPERTIES[[#This Row],[ENGINE_CLASS]]="MAGLEV","ELECTRIC",PROPERTIES[[#This Row],[ENGINE_CLASS]])</f>
        <v>RUNNING_COST_DIESEL</v>
      </c>
      <c r="V298" s="10" t="s">
        <v>1000</v>
      </c>
      <c r="W298" s="10" t="s">
        <v>1001</v>
      </c>
      <c r="X298" s="10" t="str">
        <f>SUBSTITUTE(SUBSTITUTE(PROPERTIES[[#This Row],[PURCHASECOST_VALUE]], "PURCHASECOST_", ""), "_VALUE", "")</f>
        <v>DIESELENGINE</v>
      </c>
      <c r="AP298"/>
      <c r="AQ298"/>
      <c r="AR298"/>
    </row>
    <row r="299" spans="1:44">
      <c r="A299" s="2" t="s">
        <v>322</v>
      </c>
      <c r="B299">
        <v>2014</v>
      </c>
      <c r="C299">
        <v>0</v>
      </c>
      <c r="D299" t="s">
        <v>35</v>
      </c>
      <c r="E299" t="s">
        <v>20</v>
      </c>
      <c r="F299">
        <v>0</v>
      </c>
      <c r="G299" s="10">
        <v>85</v>
      </c>
      <c r="H299">
        <v>8</v>
      </c>
      <c r="I299">
        <v>8</v>
      </c>
      <c r="J299" s="2" t="s">
        <v>20</v>
      </c>
      <c r="K299">
        <f>_xlfn.XLOOKUP("LOADINGSPEEDDEF_"&amp;PROPERTIES[[#This Row],[LOADINGSPEED]],LOADINGSPEEDDEF[TYPE],LOADINGSPEEDDEF[SPEED])</f>
        <v>0</v>
      </c>
      <c r="L299" t="s">
        <v>21</v>
      </c>
      <c r="M299">
        <v>1</v>
      </c>
      <c r="N299">
        <v>3800</v>
      </c>
      <c r="O299">
        <v>160</v>
      </c>
      <c r="P299" s="2">
        <v>0.37</v>
      </c>
      <c r="Q299" s="6">
        <v>40</v>
      </c>
      <c r="R299" s="10">
        <v>0</v>
      </c>
      <c r="S299" s="10">
        <v>0</v>
      </c>
      <c r="T299" s="10"/>
      <c r="U299" t="str">
        <f>"RUNNING_COST_"&amp;IF(PROPERTIES[[#This Row],[ENGINE_CLASS]]="MAGLEV","ELECTRIC",PROPERTIES[[#This Row],[ENGINE_CLASS]])</f>
        <v>RUNNING_COST_DIESEL</v>
      </c>
      <c r="V299" s="10" t="s">
        <v>1000</v>
      </c>
      <c r="W299" s="10" t="s">
        <v>1001</v>
      </c>
      <c r="X299" s="10" t="str">
        <f>SUBSTITUTE(SUBSTITUTE(PROPERTIES[[#This Row],[PURCHASECOST_VALUE]], "PURCHASECOST_", ""), "_VALUE", "")</f>
        <v>DIESELENGINE</v>
      </c>
      <c r="AP299"/>
      <c r="AQ299"/>
      <c r="AR299"/>
    </row>
    <row r="300" spans="1:44">
      <c r="A300" s="2" t="s">
        <v>323</v>
      </c>
      <c r="B300">
        <v>2015</v>
      </c>
      <c r="C300">
        <v>0</v>
      </c>
      <c r="D300" t="s">
        <v>35</v>
      </c>
      <c r="E300" t="s">
        <v>20</v>
      </c>
      <c r="F300">
        <v>0</v>
      </c>
      <c r="G300" s="10">
        <v>120</v>
      </c>
      <c r="H300">
        <v>8</v>
      </c>
      <c r="I300">
        <v>8</v>
      </c>
      <c r="J300" s="2" t="s">
        <v>20</v>
      </c>
      <c r="K300">
        <f>_xlfn.XLOOKUP("LOADINGSPEEDDEF_"&amp;PROPERTIES[[#This Row],[LOADINGSPEED]],LOADINGSPEEDDEF[TYPE],LOADINGSPEEDDEF[SPEED])</f>
        <v>0</v>
      </c>
      <c r="L300" t="s">
        <v>21</v>
      </c>
      <c r="M300">
        <v>1</v>
      </c>
      <c r="N300">
        <v>4400</v>
      </c>
      <c r="O300">
        <v>201</v>
      </c>
      <c r="P300" s="2">
        <v>0.24</v>
      </c>
      <c r="Q300" s="6">
        <v>40</v>
      </c>
      <c r="R300" s="10">
        <v>0</v>
      </c>
      <c r="S300" s="10">
        <v>0</v>
      </c>
      <c r="T300" s="10"/>
      <c r="U300" t="str">
        <f>"RUNNING_COST_"&amp;IF(PROPERTIES[[#This Row],[ENGINE_CLASS]]="MAGLEV","ELECTRIC",PROPERTIES[[#This Row],[ENGINE_CLASS]])</f>
        <v>RUNNING_COST_DIESEL</v>
      </c>
      <c r="V300" s="10" t="s">
        <v>1000</v>
      </c>
      <c r="W300" s="10" t="s">
        <v>1001</v>
      </c>
      <c r="X300" s="10" t="str">
        <f>SUBSTITUTE(SUBSTITUTE(PROPERTIES[[#This Row],[PURCHASECOST_VALUE]], "PURCHASECOST_", ""), "_VALUE", "")</f>
        <v>DIESELENGINE</v>
      </c>
      <c r="AP300"/>
      <c r="AQ300"/>
      <c r="AR300"/>
    </row>
    <row r="301" spans="1:44">
      <c r="A301" s="2" t="s">
        <v>324</v>
      </c>
      <c r="B301">
        <v>1911</v>
      </c>
      <c r="C301">
        <v>1</v>
      </c>
      <c r="D301" t="s">
        <v>19</v>
      </c>
      <c r="E301" t="s">
        <v>325</v>
      </c>
      <c r="F301">
        <v>142</v>
      </c>
      <c r="G301" s="10">
        <v>50</v>
      </c>
      <c r="H301">
        <v>7</v>
      </c>
      <c r="I301">
        <v>7</v>
      </c>
      <c r="J301" s="2" t="s">
        <v>326</v>
      </c>
      <c r="K301">
        <f>_xlfn.XLOOKUP("LOADINGSPEEDDEF_"&amp;PROPERTIES[[#This Row],[LOADINGSPEED]],LOADINGSPEEDDEF[TYPE],LOADINGSPEEDDEF[SPEED])</f>
        <v>120</v>
      </c>
      <c r="L301">
        <v>45</v>
      </c>
      <c r="M301">
        <v>1</v>
      </c>
      <c r="N301">
        <v>230</v>
      </c>
      <c r="O301">
        <v>50</v>
      </c>
      <c r="P301" s="2">
        <v>0.16</v>
      </c>
      <c r="Q301" s="6">
        <v>60</v>
      </c>
      <c r="R301" s="10">
        <v>142</v>
      </c>
      <c r="S301" s="10">
        <v>7</v>
      </c>
      <c r="T301" s="10"/>
      <c r="U301" t="str">
        <f>"RUNNING_COST_"&amp;IF(PROPERTIES[[#This Row],[ENGINE_CLASS]]="MAGLEV","ELECTRIC",PROPERTIES[[#This Row],[ENGINE_CLASS]])</f>
        <v>RUNNING_COST_ELECTRIC</v>
      </c>
      <c r="V301" s="10" t="s">
        <v>1002</v>
      </c>
      <c r="W301" s="10" t="s">
        <v>1003</v>
      </c>
      <c r="X301" s="10" t="str">
        <f>SUBSTITUTE(SUBSTITUTE(PROPERTIES[[#This Row],[PURCHASECOST_VALUE]], "PURCHASECOST_", ""), "_VALUE", "")</f>
        <v>METRO</v>
      </c>
      <c r="AP301"/>
      <c r="AQ301"/>
      <c r="AR301"/>
    </row>
    <row r="302" spans="1:44">
      <c r="A302" s="2" t="s">
        <v>327</v>
      </c>
      <c r="B302">
        <v>1930</v>
      </c>
      <c r="C302">
        <v>1</v>
      </c>
      <c r="D302" t="s">
        <v>19</v>
      </c>
      <c r="E302" t="s">
        <v>325</v>
      </c>
      <c r="F302">
        <v>156</v>
      </c>
      <c r="G302" s="10">
        <v>38</v>
      </c>
      <c r="H302">
        <v>8</v>
      </c>
      <c r="I302">
        <v>8</v>
      </c>
      <c r="J302" s="2" t="s">
        <v>326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>
        <v>380</v>
      </c>
      <c r="O302">
        <v>90</v>
      </c>
      <c r="P302" s="2">
        <v>0.32</v>
      </c>
      <c r="Q302" s="6">
        <v>60</v>
      </c>
      <c r="R302" s="10">
        <v>156</v>
      </c>
      <c r="S302" s="10">
        <v>8</v>
      </c>
      <c r="T302" s="10"/>
      <c r="U302" t="str">
        <f>"RUNNING_COST_"&amp;IF(PROPERTIES[[#This Row],[ENGINE_CLASS]]="MAGLEV","ELECTRIC",PROPERTIES[[#This Row],[ENGINE_CLASS]])</f>
        <v>RUNNING_COST_ELECTRIC</v>
      </c>
      <c r="V302" s="10" t="s">
        <v>1002</v>
      </c>
      <c r="W302" s="10" t="s">
        <v>1003</v>
      </c>
      <c r="X302" s="10" t="str">
        <f>SUBSTITUTE(SUBSTITUTE(PROPERTIES[[#This Row],[PURCHASECOST_VALUE]], "PURCHASECOST_", ""), "_VALUE", "")</f>
        <v>METRO</v>
      </c>
      <c r="AP302"/>
      <c r="AQ302"/>
      <c r="AR302"/>
    </row>
    <row r="303" spans="1:44">
      <c r="A303" s="2" t="s">
        <v>328</v>
      </c>
      <c r="B303">
        <v>1942</v>
      </c>
      <c r="C303">
        <v>1</v>
      </c>
      <c r="D303" t="s">
        <v>19</v>
      </c>
      <c r="E303" t="s">
        <v>325</v>
      </c>
      <c r="F303">
        <v>160</v>
      </c>
      <c r="G303" s="10">
        <v>44</v>
      </c>
      <c r="H303">
        <v>8</v>
      </c>
      <c r="I303">
        <v>8</v>
      </c>
      <c r="J303" s="2" t="s">
        <v>326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>
        <v>520</v>
      </c>
      <c r="O303">
        <v>80</v>
      </c>
      <c r="P303" s="2">
        <v>0.32</v>
      </c>
      <c r="Q303" s="6">
        <v>60</v>
      </c>
      <c r="R303" s="10">
        <v>160</v>
      </c>
      <c r="S303" s="10">
        <v>8</v>
      </c>
      <c r="T303" s="10"/>
      <c r="U303" t="str">
        <f>"RUNNING_COST_"&amp;IF(PROPERTIES[[#This Row],[ENGINE_CLASS]]="MAGLEV","ELECTRIC",PROPERTIES[[#This Row],[ENGINE_CLASS]])</f>
        <v>RUNNING_COST_ELECTRIC</v>
      </c>
      <c r="V303" s="10" t="s">
        <v>1002</v>
      </c>
      <c r="W303" s="10" t="s">
        <v>1003</v>
      </c>
      <c r="X303" s="10" t="str">
        <f>SUBSTITUTE(SUBSTITUTE(PROPERTIES[[#This Row],[PURCHASECOST_VALUE]], "PURCHASECOST_", ""), "_VALUE", "")</f>
        <v>METRO</v>
      </c>
      <c r="AP303"/>
      <c r="AQ303"/>
      <c r="AR303"/>
    </row>
    <row r="304" spans="1:44">
      <c r="A304" s="2" t="s">
        <v>329</v>
      </c>
      <c r="B304">
        <v>1957</v>
      </c>
      <c r="C304">
        <v>1</v>
      </c>
      <c r="D304" t="s">
        <v>19</v>
      </c>
      <c r="E304" t="s">
        <v>325</v>
      </c>
      <c r="F304">
        <v>140</v>
      </c>
      <c r="G304" s="10">
        <v>37</v>
      </c>
      <c r="H304">
        <v>7</v>
      </c>
      <c r="I304">
        <v>7</v>
      </c>
      <c r="J304" s="2" t="s">
        <v>326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>
        <v>450</v>
      </c>
      <c r="O304">
        <v>80</v>
      </c>
      <c r="P304" s="2">
        <v>0.32</v>
      </c>
      <c r="Q304" s="6">
        <v>60</v>
      </c>
      <c r="R304" s="10">
        <v>140</v>
      </c>
      <c r="S304" s="10">
        <v>7</v>
      </c>
      <c r="T304" s="10"/>
      <c r="U304" t="str">
        <f>"RUNNING_COST_"&amp;IF(PROPERTIES[[#This Row],[ENGINE_CLASS]]="MAGLEV","ELECTRIC",PROPERTIES[[#This Row],[ENGINE_CLASS]])</f>
        <v>RUNNING_COST_ELECTRIC</v>
      </c>
      <c r="V304" s="10" t="s">
        <v>1002</v>
      </c>
      <c r="W304" s="10" t="s">
        <v>1003</v>
      </c>
      <c r="X304" s="10" t="str">
        <f>SUBSTITUTE(SUBSTITUTE(PROPERTIES[[#This Row],[PURCHASECOST_VALUE]], "PURCHASECOST_", ""), "_VALUE", "")</f>
        <v>METRO</v>
      </c>
      <c r="AP304"/>
      <c r="AQ304"/>
      <c r="AR304"/>
    </row>
    <row r="305" spans="1:44">
      <c r="A305" s="2" t="s">
        <v>330</v>
      </c>
      <c r="B305">
        <v>1959</v>
      </c>
      <c r="C305">
        <v>1</v>
      </c>
      <c r="D305" t="s">
        <v>19</v>
      </c>
      <c r="E305" t="s">
        <v>325</v>
      </c>
      <c r="F305">
        <v>160</v>
      </c>
      <c r="G305" s="10">
        <v>35</v>
      </c>
      <c r="H305">
        <v>8</v>
      </c>
      <c r="I305">
        <v>8</v>
      </c>
      <c r="J305" s="2" t="s">
        <v>326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>
        <v>535</v>
      </c>
      <c r="O305">
        <v>60</v>
      </c>
      <c r="P305" s="2">
        <v>0.48</v>
      </c>
      <c r="Q305" s="6">
        <v>60</v>
      </c>
      <c r="R305" s="10">
        <v>160</v>
      </c>
      <c r="S305" s="10">
        <v>8</v>
      </c>
      <c r="T305" s="10"/>
      <c r="U305" t="str">
        <f>"RUNNING_COST_"&amp;IF(PROPERTIES[[#This Row],[ENGINE_CLASS]]="MAGLEV","ELECTRIC",PROPERTIES[[#This Row],[ENGINE_CLASS]])</f>
        <v>RUNNING_COST_ELECTRIC</v>
      </c>
      <c r="V305" s="10" t="s">
        <v>1002</v>
      </c>
      <c r="W305" s="10" t="s">
        <v>1003</v>
      </c>
      <c r="X305" s="10" t="str">
        <f>SUBSTITUTE(SUBSTITUTE(PROPERTIES[[#This Row],[PURCHASECOST_VALUE]], "PURCHASECOST_", ""), "_VALUE", "")</f>
        <v>METRO</v>
      </c>
      <c r="AP305"/>
      <c r="AQ305"/>
      <c r="AR305"/>
    </row>
    <row r="306" spans="1:44">
      <c r="A306" s="2" t="s">
        <v>331</v>
      </c>
      <c r="B306">
        <v>1960</v>
      </c>
      <c r="C306">
        <v>1</v>
      </c>
      <c r="D306" t="s">
        <v>19</v>
      </c>
      <c r="E306" t="s">
        <v>325</v>
      </c>
      <c r="F306">
        <v>150</v>
      </c>
      <c r="G306" s="10">
        <v>45</v>
      </c>
      <c r="H306">
        <v>8</v>
      </c>
      <c r="I306">
        <v>8</v>
      </c>
      <c r="J306" s="2" t="s">
        <v>326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>
        <v>500</v>
      </c>
      <c r="O306">
        <v>100</v>
      </c>
      <c r="P306" s="2">
        <v>0.22</v>
      </c>
      <c r="Q306" s="6">
        <v>60</v>
      </c>
      <c r="R306" s="10">
        <v>150</v>
      </c>
      <c r="S306" s="10">
        <v>8</v>
      </c>
      <c r="T306" s="10"/>
      <c r="U306" t="str">
        <f>"RUNNING_COST_"&amp;IF(PROPERTIES[[#This Row],[ENGINE_CLASS]]="MAGLEV","ELECTRIC",PROPERTIES[[#This Row],[ENGINE_CLASS]])</f>
        <v>RUNNING_COST_ELECTRIC</v>
      </c>
      <c r="V306" s="10" t="s">
        <v>1002</v>
      </c>
      <c r="W306" s="10" t="s">
        <v>1003</v>
      </c>
      <c r="X306" s="10" t="str">
        <f>SUBSTITUTE(SUBSTITUTE(PROPERTIES[[#This Row],[PURCHASECOST_VALUE]], "PURCHASECOST_", ""), "_VALUE", "")</f>
        <v>METRO</v>
      </c>
      <c r="AP306"/>
      <c r="AQ306"/>
      <c r="AR306"/>
    </row>
    <row r="307" spans="1:44">
      <c r="A307" s="2" t="s">
        <v>332</v>
      </c>
      <c r="B307">
        <v>1964</v>
      </c>
      <c r="C307">
        <v>1</v>
      </c>
      <c r="D307" t="s">
        <v>19</v>
      </c>
      <c r="E307" t="s">
        <v>325</v>
      </c>
      <c r="F307">
        <v>180</v>
      </c>
      <c r="G307" s="10">
        <v>28</v>
      </c>
      <c r="H307">
        <v>7</v>
      </c>
      <c r="I307">
        <v>7</v>
      </c>
      <c r="J307" s="2" t="s">
        <v>326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>
        <v>131</v>
      </c>
      <c r="O307">
        <v>70</v>
      </c>
      <c r="P307" s="2">
        <v>0.55000000000000004</v>
      </c>
      <c r="Q307" s="6">
        <v>60</v>
      </c>
      <c r="R307" s="10">
        <v>180</v>
      </c>
      <c r="S307" s="10">
        <v>7</v>
      </c>
      <c r="T307" s="10"/>
      <c r="U307" t="str">
        <f>"RUNNING_COST_"&amp;IF(PROPERTIES[[#This Row],[ENGINE_CLASS]]="MAGLEV","ELECTRIC",PROPERTIES[[#This Row],[ENGINE_CLASS]])</f>
        <v>RUNNING_COST_ELECTRIC</v>
      </c>
      <c r="V307" s="10" t="s">
        <v>1002</v>
      </c>
      <c r="W307" s="10" t="s">
        <v>1003</v>
      </c>
      <c r="X307" s="10" t="str">
        <f>SUBSTITUTE(SUBSTITUTE(PROPERTIES[[#This Row],[PURCHASECOST_VALUE]], "PURCHASECOST_", ""), "_VALUE", "")</f>
        <v>METRO</v>
      </c>
      <c r="AP307"/>
      <c r="AQ307"/>
      <c r="AR307"/>
    </row>
    <row r="308" spans="1:44">
      <c r="A308" s="2" t="s">
        <v>333</v>
      </c>
      <c r="B308">
        <v>1965</v>
      </c>
      <c r="C308">
        <v>1</v>
      </c>
      <c r="D308" t="s">
        <v>19</v>
      </c>
      <c r="E308" t="s">
        <v>325</v>
      </c>
      <c r="F308">
        <v>210</v>
      </c>
      <c r="G308" s="10">
        <v>51</v>
      </c>
      <c r="H308">
        <v>8</v>
      </c>
      <c r="I308">
        <v>8</v>
      </c>
      <c r="J308" s="2" t="s">
        <v>326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>
        <v>484</v>
      </c>
      <c r="O308">
        <v>88</v>
      </c>
      <c r="P308" s="2">
        <v>0.31</v>
      </c>
      <c r="Q308" s="6">
        <v>60</v>
      </c>
      <c r="R308" s="10">
        <v>210</v>
      </c>
      <c r="S308" s="10">
        <v>8</v>
      </c>
      <c r="T308" s="10"/>
      <c r="U308" t="str">
        <f>"RUNNING_COST_"&amp;IF(PROPERTIES[[#This Row],[ENGINE_CLASS]]="MAGLEV","ELECTRIC",PROPERTIES[[#This Row],[ENGINE_CLASS]])</f>
        <v>RUNNING_COST_ELECTRIC</v>
      </c>
      <c r="V308" s="10" t="s">
        <v>1002</v>
      </c>
      <c r="W308" s="10" t="s">
        <v>1003</v>
      </c>
      <c r="X308" s="10" t="str">
        <f>SUBSTITUTE(SUBSTITUTE(PROPERTIES[[#This Row],[PURCHASECOST_VALUE]], "PURCHASECOST_", ""), "_VALUE", "")</f>
        <v>METRO</v>
      </c>
      <c r="AP308"/>
      <c r="AQ308"/>
      <c r="AR308"/>
    </row>
    <row r="309" spans="1:44">
      <c r="A309" s="2" t="s">
        <v>334</v>
      </c>
      <c r="B309">
        <v>1967</v>
      </c>
      <c r="C309">
        <v>1</v>
      </c>
      <c r="D309" t="s">
        <v>19</v>
      </c>
      <c r="E309" t="s">
        <v>325</v>
      </c>
      <c r="F309">
        <v>195</v>
      </c>
      <c r="G309" s="10">
        <v>26</v>
      </c>
      <c r="H309">
        <v>8</v>
      </c>
      <c r="I309">
        <v>8</v>
      </c>
      <c r="J309" s="2" t="s">
        <v>326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>
        <v>480</v>
      </c>
      <c r="O309">
        <v>80</v>
      </c>
      <c r="P309" s="2">
        <v>0.38</v>
      </c>
      <c r="Q309" s="6">
        <v>60</v>
      </c>
      <c r="R309" s="10">
        <v>195</v>
      </c>
      <c r="S309" s="10">
        <v>8</v>
      </c>
      <c r="T309" s="10"/>
      <c r="U309" t="str">
        <f>"RUNNING_COST_"&amp;IF(PROPERTIES[[#This Row],[ENGINE_CLASS]]="MAGLEV","ELECTRIC",PROPERTIES[[#This Row],[ENGINE_CLASS]])</f>
        <v>RUNNING_COST_ELECTRIC</v>
      </c>
      <c r="V309" s="10" t="s">
        <v>1002</v>
      </c>
      <c r="W309" s="10" t="s">
        <v>1003</v>
      </c>
      <c r="X309" s="10" t="str">
        <f>SUBSTITUTE(SUBSTITUTE(PROPERTIES[[#This Row],[PURCHASECOST_VALUE]], "PURCHASECOST_", ""), "_VALUE", "")</f>
        <v>METRO</v>
      </c>
      <c r="AP309"/>
      <c r="AQ309"/>
      <c r="AR309"/>
    </row>
    <row r="310" spans="1:44">
      <c r="A310" s="2" t="s">
        <v>335</v>
      </c>
      <c r="B310">
        <v>1971</v>
      </c>
      <c r="C310">
        <v>1</v>
      </c>
      <c r="D310" t="s">
        <v>19</v>
      </c>
      <c r="E310" t="s">
        <v>325</v>
      </c>
      <c r="F310">
        <v>162</v>
      </c>
      <c r="G310" s="10">
        <v>40</v>
      </c>
      <c r="H310">
        <v>8</v>
      </c>
      <c r="I310">
        <v>8</v>
      </c>
      <c r="J310" s="2" t="s">
        <v>326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>
        <v>460</v>
      </c>
      <c r="O310">
        <v>90</v>
      </c>
      <c r="P310" s="2">
        <v>0.32</v>
      </c>
      <c r="Q310" s="6">
        <v>60</v>
      </c>
      <c r="R310" s="10">
        <v>162</v>
      </c>
      <c r="S310" s="10">
        <v>8</v>
      </c>
      <c r="T310" s="10"/>
      <c r="U310" t="str">
        <f>"RUNNING_COST_"&amp;IF(PROPERTIES[[#This Row],[ENGINE_CLASS]]="MAGLEV","ELECTRIC",PROPERTIES[[#This Row],[ENGINE_CLASS]])</f>
        <v>RUNNING_COST_ELECTRIC</v>
      </c>
      <c r="V310" s="10" t="s">
        <v>1002</v>
      </c>
      <c r="W310" s="10" t="s">
        <v>1003</v>
      </c>
      <c r="X310" s="10" t="str">
        <f>SUBSTITUTE(SUBSTITUTE(PROPERTIES[[#This Row],[PURCHASECOST_VALUE]], "PURCHASECOST_", ""), "_VALUE", "")</f>
        <v>METRO</v>
      </c>
      <c r="AP310"/>
      <c r="AQ310"/>
      <c r="AR310"/>
    </row>
    <row r="311" spans="1:44">
      <c r="A311" s="2" t="s">
        <v>336</v>
      </c>
      <c r="B311">
        <v>1973</v>
      </c>
      <c r="C311">
        <v>1</v>
      </c>
      <c r="D311" t="s">
        <v>19</v>
      </c>
      <c r="E311" t="s">
        <v>325</v>
      </c>
      <c r="F311">
        <v>174</v>
      </c>
      <c r="G311" s="10">
        <v>31</v>
      </c>
      <c r="H311">
        <v>8</v>
      </c>
      <c r="I311">
        <v>8</v>
      </c>
      <c r="J311" s="2" t="s">
        <v>326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>
        <v>580</v>
      </c>
      <c r="O311">
        <v>90</v>
      </c>
      <c r="P311" s="2">
        <v>0.73</v>
      </c>
      <c r="Q311" s="6">
        <v>60</v>
      </c>
      <c r="R311" s="10">
        <v>174</v>
      </c>
      <c r="S311" s="10">
        <v>7</v>
      </c>
      <c r="T311" s="10"/>
      <c r="U311" t="str">
        <f>"RUNNING_COST_"&amp;IF(PROPERTIES[[#This Row],[ENGINE_CLASS]]="MAGLEV","ELECTRIC",PROPERTIES[[#This Row],[ENGINE_CLASS]])</f>
        <v>RUNNING_COST_ELECTRIC</v>
      </c>
      <c r="V311" s="10" t="s">
        <v>1002</v>
      </c>
      <c r="W311" s="10" t="s">
        <v>1003</v>
      </c>
      <c r="X311" s="10" t="str">
        <f>SUBSTITUTE(SUBSTITUTE(PROPERTIES[[#This Row],[PURCHASECOST_VALUE]], "PURCHASECOST_", ""), "_VALUE", "")</f>
        <v>METRO</v>
      </c>
      <c r="AP311"/>
      <c r="AQ311"/>
      <c r="AR311"/>
    </row>
    <row r="312" spans="1:44">
      <c r="A312" s="2" t="s">
        <v>337</v>
      </c>
      <c r="B312">
        <v>1974</v>
      </c>
      <c r="C312">
        <v>1</v>
      </c>
      <c r="D312" t="s">
        <v>19</v>
      </c>
      <c r="E312" t="s">
        <v>325</v>
      </c>
      <c r="F312">
        <v>158</v>
      </c>
      <c r="G312" s="10">
        <v>23</v>
      </c>
      <c r="H312">
        <v>8</v>
      </c>
      <c r="I312">
        <v>8</v>
      </c>
      <c r="J312" s="2" t="s">
        <v>326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>
        <v>470</v>
      </c>
      <c r="O312">
        <v>90</v>
      </c>
      <c r="P312" s="2">
        <v>0.38</v>
      </c>
      <c r="Q312" s="6">
        <v>60</v>
      </c>
      <c r="R312" s="10">
        <v>158</v>
      </c>
      <c r="S312" s="10">
        <v>8</v>
      </c>
      <c r="T312" s="10"/>
      <c r="U312" t="str">
        <f>"RUNNING_COST_"&amp;IF(PROPERTIES[[#This Row],[ENGINE_CLASS]]="MAGLEV","ELECTRIC",PROPERTIES[[#This Row],[ENGINE_CLASS]])</f>
        <v>RUNNING_COST_ELECTRIC</v>
      </c>
      <c r="V312" s="10" t="s">
        <v>1002</v>
      </c>
      <c r="W312" s="10" t="s">
        <v>1003</v>
      </c>
      <c r="X312" s="10" t="str">
        <f>SUBSTITUTE(SUBSTITUTE(PROPERTIES[[#This Row],[PURCHASECOST_VALUE]], "PURCHASECOST_", ""), "_VALUE", "")</f>
        <v>METRO</v>
      </c>
      <c r="AP312"/>
      <c r="AQ312"/>
      <c r="AR312"/>
    </row>
    <row r="313" spans="1:44">
      <c r="A313" s="2" t="s">
        <v>338</v>
      </c>
      <c r="B313">
        <v>1975</v>
      </c>
      <c r="C313">
        <v>1</v>
      </c>
      <c r="D313" t="s">
        <v>19</v>
      </c>
      <c r="E313" t="s">
        <v>325</v>
      </c>
      <c r="F313">
        <v>180</v>
      </c>
      <c r="G313" s="10">
        <v>40</v>
      </c>
      <c r="H313">
        <v>8</v>
      </c>
      <c r="I313">
        <v>8</v>
      </c>
      <c r="J313" s="2" t="s">
        <v>326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>
        <v>350</v>
      </c>
      <c r="O313">
        <v>100</v>
      </c>
      <c r="P313" s="2">
        <v>0.38</v>
      </c>
      <c r="Q313" s="6">
        <v>60</v>
      </c>
      <c r="R313" s="10">
        <v>180</v>
      </c>
      <c r="S313" s="10">
        <v>8</v>
      </c>
      <c r="T313" s="10"/>
      <c r="U313" t="str">
        <f>"RUNNING_COST_"&amp;IF(PROPERTIES[[#This Row],[ENGINE_CLASS]]="MAGLEV","ELECTRIC",PROPERTIES[[#This Row],[ENGINE_CLASS]])</f>
        <v>RUNNING_COST_ELECTRIC</v>
      </c>
      <c r="V313" s="10" t="s">
        <v>1002</v>
      </c>
      <c r="W313" s="10" t="s">
        <v>1003</v>
      </c>
      <c r="X313" s="10" t="str">
        <f>SUBSTITUTE(SUBSTITUTE(PROPERTIES[[#This Row],[PURCHASECOST_VALUE]], "PURCHASECOST_", ""), "_VALUE", "")</f>
        <v>METRO</v>
      </c>
      <c r="AP313"/>
      <c r="AQ313"/>
      <c r="AR313"/>
    </row>
    <row r="314" spans="1:44">
      <c r="A314" s="2" t="s">
        <v>339</v>
      </c>
      <c r="B314">
        <v>1977</v>
      </c>
      <c r="C314">
        <v>1</v>
      </c>
      <c r="D314" t="s">
        <v>19</v>
      </c>
      <c r="E314" t="s">
        <v>325</v>
      </c>
      <c r="F314">
        <v>165</v>
      </c>
      <c r="G314" s="10">
        <v>31</v>
      </c>
      <c r="H314">
        <v>8</v>
      </c>
      <c r="I314">
        <v>8</v>
      </c>
      <c r="J314" s="2" t="s">
        <v>326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>
        <v>680</v>
      </c>
      <c r="O314">
        <v>90</v>
      </c>
      <c r="P314" s="2">
        <v>0.48</v>
      </c>
      <c r="Q314" s="6">
        <v>60</v>
      </c>
      <c r="R314" s="10">
        <v>165</v>
      </c>
      <c r="S314" s="10">
        <v>8</v>
      </c>
      <c r="T314" s="10"/>
      <c r="U314" t="str">
        <f>"RUNNING_COST_"&amp;IF(PROPERTIES[[#This Row],[ENGINE_CLASS]]="MAGLEV","ELECTRIC",PROPERTIES[[#This Row],[ENGINE_CLASS]])</f>
        <v>RUNNING_COST_ELECTRIC</v>
      </c>
      <c r="V314" s="10" t="s">
        <v>1002</v>
      </c>
      <c r="W314" s="10" t="s">
        <v>1003</v>
      </c>
      <c r="X314" s="10" t="str">
        <f>SUBSTITUTE(SUBSTITUTE(PROPERTIES[[#This Row],[PURCHASECOST_VALUE]], "PURCHASECOST_", ""), "_VALUE", "")</f>
        <v>METRO</v>
      </c>
      <c r="AP314"/>
      <c r="AQ314"/>
      <c r="AR314"/>
    </row>
    <row r="315" spans="1:44">
      <c r="A315" s="2" t="s">
        <v>340</v>
      </c>
      <c r="B315">
        <v>1979</v>
      </c>
      <c r="C315">
        <v>1</v>
      </c>
      <c r="D315" t="s">
        <v>19</v>
      </c>
      <c r="E315" t="s">
        <v>325</v>
      </c>
      <c r="F315">
        <v>230</v>
      </c>
      <c r="G315" s="10">
        <v>37</v>
      </c>
      <c r="H315">
        <v>8</v>
      </c>
      <c r="I315">
        <v>8</v>
      </c>
      <c r="J315" s="2" t="s">
        <v>326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>
        <v>250</v>
      </c>
      <c r="O315">
        <v>90</v>
      </c>
      <c r="P315" s="2">
        <v>0.38</v>
      </c>
      <c r="Q315" s="6">
        <v>60</v>
      </c>
      <c r="R315" s="10">
        <v>230</v>
      </c>
      <c r="S315" s="10">
        <v>8</v>
      </c>
      <c r="T315" s="10"/>
      <c r="U315" t="str">
        <f>"RUNNING_COST_"&amp;IF(PROPERTIES[[#This Row],[ENGINE_CLASS]]="MAGLEV","ELECTRIC",PROPERTIES[[#This Row],[ENGINE_CLASS]])</f>
        <v>RUNNING_COST_ELECTRIC</v>
      </c>
      <c r="V315" s="10" t="s">
        <v>1002</v>
      </c>
      <c r="W315" s="10" t="s">
        <v>1003</v>
      </c>
      <c r="X315" s="10" t="str">
        <f>SUBSTITUTE(SUBSTITUTE(PROPERTIES[[#This Row],[PURCHASECOST_VALUE]], "PURCHASECOST_", ""), "_VALUE", "")</f>
        <v>METRO</v>
      </c>
      <c r="AP315"/>
      <c r="AQ315"/>
      <c r="AR315"/>
    </row>
    <row r="316" spans="1:44">
      <c r="A316" s="2" t="s">
        <v>341</v>
      </c>
      <c r="B316">
        <v>1981</v>
      </c>
      <c r="C316">
        <v>1</v>
      </c>
      <c r="D316" t="s">
        <v>19</v>
      </c>
      <c r="E316" t="s">
        <v>325</v>
      </c>
      <c r="F316">
        <v>144</v>
      </c>
      <c r="G316" s="10">
        <v>34</v>
      </c>
      <c r="H316">
        <v>8</v>
      </c>
      <c r="I316">
        <v>8</v>
      </c>
      <c r="J316" s="2" t="s">
        <v>326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>
        <v>616</v>
      </c>
      <c r="O316">
        <v>100</v>
      </c>
      <c r="P316" s="2">
        <v>0.67</v>
      </c>
      <c r="Q316" s="6">
        <v>60</v>
      </c>
      <c r="R316" s="10">
        <v>144</v>
      </c>
      <c r="S316" s="10">
        <v>8</v>
      </c>
      <c r="T316" s="10"/>
      <c r="U316" t="str">
        <f>"RUNNING_COST_"&amp;IF(PROPERTIES[[#This Row],[ENGINE_CLASS]]="MAGLEV","ELECTRIC",PROPERTIES[[#This Row],[ENGINE_CLASS]])</f>
        <v>RUNNING_COST_ELECTRIC</v>
      </c>
      <c r="V316" s="10" t="s">
        <v>1002</v>
      </c>
      <c r="W316" s="10" t="s">
        <v>1003</v>
      </c>
      <c r="X316" s="10" t="str">
        <f>SUBSTITUTE(SUBSTITUTE(PROPERTIES[[#This Row],[PURCHASECOST_VALUE]], "PURCHASECOST_", ""), "_VALUE", "")</f>
        <v>METRO</v>
      </c>
      <c r="AP316"/>
      <c r="AQ316"/>
      <c r="AR316"/>
    </row>
    <row r="317" spans="1:44">
      <c r="A317" s="2" t="s">
        <v>342</v>
      </c>
      <c r="B317">
        <v>1985</v>
      </c>
      <c r="C317">
        <v>1</v>
      </c>
      <c r="D317" t="s">
        <v>19</v>
      </c>
      <c r="E317" t="s">
        <v>325</v>
      </c>
      <c r="F317">
        <v>120</v>
      </c>
      <c r="G317" s="10">
        <v>35</v>
      </c>
      <c r="H317">
        <v>8</v>
      </c>
      <c r="I317">
        <v>8</v>
      </c>
      <c r="J317" s="2" t="s">
        <v>326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>
        <v>700</v>
      </c>
      <c r="O317">
        <v>120</v>
      </c>
      <c r="P317" s="2">
        <v>0.95</v>
      </c>
      <c r="Q317" s="6">
        <v>60</v>
      </c>
      <c r="R317" s="10">
        <v>120</v>
      </c>
      <c r="S317" s="10">
        <v>8</v>
      </c>
      <c r="T317" s="10"/>
      <c r="U317" t="str">
        <f>"RUNNING_COST_"&amp;IF(PROPERTIES[[#This Row],[ENGINE_CLASS]]="MAGLEV","ELECTRIC",PROPERTIES[[#This Row],[ENGINE_CLASS]])</f>
        <v>RUNNING_COST_ELECTRIC</v>
      </c>
      <c r="V317" s="10" t="s">
        <v>1002</v>
      </c>
      <c r="W317" s="10" t="s">
        <v>1003</v>
      </c>
      <c r="X317" s="10" t="str">
        <f>SUBSTITUTE(SUBSTITUTE(PROPERTIES[[#This Row],[PURCHASECOST_VALUE]], "PURCHASECOST_", ""), "_VALUE", "")</f>
        <v>METRO</v>
      </c>
      <c r="AP317"/>
      <c r="AQ317"/>
      <c r="AR317"/>
    </row>
    <row r="318" spans="1:44">
      <c r="A318" s="2" t="s">
        <v>343</v>
      </c>
      <c r="B318">
        <v>1987</v>
      </c>
      <c r="C318">
        <v>1</v>
      </c>
      <c r="D318" t="s">
        <v>19</v>
      </c>
      <c r="E318" t="s">
        <v>325</v>
      </c>
      <c r="F318">
        <v>250</v>
      </c>
      <c r="G318" s="10">
        <v>34</v>
      </c>
      <c r="H318">
        <v>8</v>
      </c>
      <c r="I318">
        <v>8</v>
      </c>
      <c r="J318" s="2" t="s">
        <v>326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>
        <v>590</v>
      </c>
      <c r="O318">
        <v>90</v>
      </c>
      <c r="P318" s="2">
        <v>0.59</v>
      </c>
      <c r="Q318" s="6">
        <v>60</v>
      </c>
      <c r="R318" s="10">
        <v>250</v>
      </c>
      <c r="S318" s="10">
        <v>8</v>
      </c>
      <c r="T318" s="10"/>
      <c r="U318" t="str">
        <f>"RUNNING_COST_"&amp;IF(PROPERTIES[[#This Row],[ENGINE_CLASS]]="MAGLEV","ELECTRIC",PROPERTIES[[#This Row],[ENGINE_CLASS]])</f>
        <v>RUNNING_COST_ELECTRIC</v>
      </c>
      <c r="V318" s="10" t="s">
        <v>1002</v>
      </c>
      <c r="W318" s="10" t="s">
        <v>1003</v>
      </c>
      <c r="X318" s="10" t="str">
        <f>SUBSTITUTE(SUBSTITUTE(PROPERTIES[[#This Row],[PURCHASECOST_VALUE]], "PURCHASECOST_", ""), "_VALUE", "")</f>
        <v>METRO</v>
      </c>
      <c r="AP318"/>
      <c r="AQ318"/>
      <c r="AR318"/>
    </row>
    <row r="319" spans="1:44">
      <c r="A319" s="2" t="s">
        <v>344</v>
      </c>
      <c r="B319">
        <v>1987</v>
      </c>
      <c r="C319">
        <v>1</v>
      </c>
      <c r="D319" t="s">
        <v>19</v>
      </c>
      <c r="E319" t="s">
        <v>325</v>
      </c>
      <c r="F319">
        <v>200</v>
      </c>
      <c r="G319" s="10">
        <v>40</v>
      </c>
      <c r="H319">
        <v>6</v>
      </c>
      <c r="I319">
        <v>6</v>
      </c>
      <c r="J319" s="2" t="s">
        <v>326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>
        <v>500</v>
      </c>
      <c r="O319">
        <v>80</v>
      </c>
      <c r="P319" s="2">
        <v>0.31</v>
      </c>
      <c r="Q319" s="6">
        <v>60</v>
      </c>
      <c r="R319" s="10">
        <v>200</v>
      </c>
      <c r="S319" s="10">
        <v>6</v>
      </c>
      <c r="T319" s="10"/>
      <c r="U319" t="str">
        <f>"RUNNING_COST_"&amp;IF(PROPERTIES[[#This Row],[ENGINE_CLASS]]="MAGLEV","ELECTRIC",PROPERTIES[[#This Row],[ENGINE_CLASS]])</f>
        <v>RUNNING_COST_ELECTRIC</v>
      </c>
      <c r="V319" s="10" t="s">
        <v>1002</v>
      </c>
      <c r="W319" s="10" t="s">
        <v>1003</v>
      </c>
      <c r="X319" s="10" t="str">
        <f>SUBSTITUTE(SUBSTITUTE(PROPERTIES[[#This Row],[PURCHASECOST_VALUE]], "PURCHASECOST_", ""), "_VALUE", "")</f>
        <v>METRO</v>
      </c>
      <c r="AP319"/>
      <c r="AQ319"/>
      <c r="AR319"/>
    </row>
    <row r="320" spans="1:44">
      <c r="A320" s="2" t="s">
        <v>345</v>
      </c>
      <c r="B320">
        <v>1987</v>
      </c>
      <c r="C320">
        <v>1</v>
      </c>
      <c r="D320" t="s">
        <v>19</v>
      </c>
      <c r="E320" t="s">
        <v>325</v>
      </c>
      <c r="F320">
        <v>147</v>
      </c>
      <c r="G320" s="10">
        <v>18</v>
      </c>
      <c r="H320">
        <v>8</v>
      </c>
      <c r="I320">
        <v>8</v>
      </c>
      <c r="J320" s="2" t="s">
        <v>326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>
        <v>600</v>
      </c>
      <c r="O320">
        <v>80</v>
      </c>
      <c r="P320" s="2">
        <v>0.83</v>
      </c>
      <c r="Q320" s="6">
        <v>60</v>
      </c>
      <c r="R320" s="10">
        <v>147</v>
      </c>
      <c r="S320" s="10">
        <v>8</v>
      </c>
      <c r="T320" s="10"/>
      <c r="U320" t="str">
        <f>"RUNNING_COST_"&amp;IF(PROPERTIES[[#This Row],[ENGINE_CLASS]]="MAGLEV","ELECTRIC",PROPERTIES[[#This Row],[ENGINE_CLASS]])</f>
        <v>RUNNING_COST_ELECTRIC</v>
      </c>
      <c r="V320" s="10" t="s">
        <v>1002</v>
      </c>
      <c r="W320" s="10" t="s">
        <v>1003</v>
      </c>
      <c r="X320" s="10" t="str">
        <f>SUBSTITUTE(SUBSTITUTE(PROPERTIES[[#This Row],[PURCHASECOST_VALUE]], "PURCHASECOST_", ""), "_VALUE", "")</f>
        <v>METRO</v>
      </c>
      <c r="AP320"/>
      <c r="AQ320"/>
      <c r="AR320"/>
    </row>
    <row r="321" spans="1:44">
      <c r="A321" s="2" t="s">
        <v>346</v>
      </c>
      <c r="B321">
        <v>1993</v>
      </c>
      <c r="C321">
        <v>1</v>
      </c>
      <c r="D321" t="s">
        <v>19</v>
      </c>
      <c r="E321" t="s">
        <v>325</v>
      </c>
      <c r="F321">
        <v>150</v>
      </c>
      <c r="G321" s="10">
        <v>31</v>
      </c>
      <c r="H321">
        <v>8</v>
      </c>
      <c r="I321">
        <v>8</v>
      </c>
      <c r="J321" s="2" t="s">
        <v>326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>
        <v>700</v>
      </c>
      <c r="O321">
        <v>80</v>
      </c>
      <c r="P321" s="2">
        <v>0.51</v>
      </c>
      <c r="Q321" s="6">
        <v>60</v>
      </c>
      <c r="R321" s="10">
        <v>150</v>
      </c>
      <c r="S321" s="10">
        <v>8</v>
      </c>
      <c r="T321" s="10"/>
      <c r="U321" t="str">
        <f>"RUNNING_COST_"&amp;IF(PROPERTIES[[#This Row],[ENGINE_CLASS]]="MAGLEV","ELECTRIC",PROPERTIES[[#This Row],[ENGINE_CLASS]])</f>
        <v>RUNNING_COST_ELECTRIC</v>
      </c>
      <c r="V321" s="10" t="s">
        <v>1002</v>
      </c>
      <c r="W321" s="10" t="s">
        <v>1003</v>
      </c>
      <c r="X321" s="10" t="str">
        <f>SUBSTITUTE(SUBSTITUTE(PROPERTIES[[#This Row],[PURCHASECOST_VALUE]], "PURCHASECOST_", ""), "_VALUE", "")</f>
        <v>METRO</v>
      </c>
      <c r="AP321"/>
      <c r="AQ321"/>
      <c r="AR321"/>
    </row>
    <row r="322" spans="1:44">
      <c r="A322" s="2" t="s">
        <v>347</v>
      </c>
      <c r="B322">
        <v>1993</v>
      </c>
      <c r="C322">
        <v>1</v>
      </c>
      <c r="D322" t="s">
        <v>19</v>
      </c>
      <c r="E322" t="s">
        <v>325</v>
      </c>
      <c r="F322">
        <v>170</v>
      </c>
      <c r="G322" s="10">
        <v>37</v>
      </c>
      <c r="H322">
        <v>8</v>
      </c>
      <c r="I322">
        <v>8</v>
      </c>
      <c r="J322" s="2" t="s">
        <v>326</v>
      </c>
      <c r="K322">
        <f>_xlfn.XLOOKUP("LOADINGSPEEDDEF_"&amp;PROPERTIES[[#This Row],[LOADINGSPEED]],LOADINGSPEEDDEF[TYPE],LOADINGSPEEDDEF[SPEED])</f>
        <v>120</v>
      </c>
      <c r="L322" t="s">
        <v>21</v>
      </c>
      <c r="M322">
        <v>1</v>
      </c>
      <c r="N322">
        <v>530</v>
      </c>
      <c r="O322">
        <v>112</v>
      </c>
      <c r="P322" s="2">
        <v>0.47</v>
      </c>
      <c r="Q322" s="6">
        <v>60</v>
      </c>
      <c r="R322" s="10">
        <v>170</v>
      </c>
      <c r="S322" s="10">
        <v>8</v>
      </c>
      <c r="T322" s="10"/>
      <c r="U322" t="str">
        <f>"RUNNING_COST_"&amp;IF(PROPERTIES[[#This Row],[ENGINE_CLASS]]="MAGLEV","ELECTRIC",PROPERTIES[[#This Row],[ENGINE_CLASS]])</f>
        <v>RUNNING_COST_ELECTRIC</v>
      </c>
      <c r="V322" s="10" t="s">
        <v>1002</v>
      </c>
      <c r="W322" s="10" t="s">
        <v>1003</v>
      </c>
      <c r="X322" s="10" t="str">
        <f>SUBSTITUTE(SUBSTITUTE(PROPERTIES[[#This Row],[PURCHASECOST_VALUE]], "PURCHASECOST_", ""), "_VALUE", "")</f>
        <v>METRO</v>
      </c>
      <c r="AP322"/>
      <c r="AQ322"/>
      <c r="AR322"/>
    </row>
    <row r="323" spans="1:44">
      <c r="A323" s="2" t="s">
        <v>348</v>
      </c>
      <c r="B323">
        <v>1996</v>
      </c>
      <c r="C323">
        <v>1</v>
      </c>
      <c r="D323" t="s">
        <v>19</v>
      </c>
      <c r="E323" t="s">
        <v>325</v>
      </c>
      <c r="F323">
        <v>250</v>
      </c>
      <c r="G323" s="10">
        <v>39</v>
      </c>
      <c r="H323">
        <v>8</v>
      </c>
      <c r="I323">
        <v>8</v>
      </c>
      <c r="J323" s="2" t="s">
        <v>326</v>
      </c>
      <c r="K323">
        <f>_xlfn.XLOOKUP("LOADINGSPEEDDEF_"&amp;PROPERTIES[[#This Row],[LOADINGSPEED]],LOADINGSPEEDDEF[TYPE],LOADINGSPEEDDEF[SPEED])</f>
        <v>120</v>
      </c>
      <c r="L323" t="s">
        <v>21</v>
      </c>
      <c r="M323">
        <v>1</v>
      </c>
      <c r="N323">
        <v>200</v>
      </c>
      <c r="O323">
        <v>90</v>
      </c>
      <c r="P323" s="2">
        <v>0.3</v>
      </c>
      <c r="Q323" s="6">
        <v>60</v>
      </c>
      <c r="R323" s="10">
        <v>250</v>
      </c>
      <c r="S323" s="10">
        <v>8</v>
      </c>
      <c r="T323" s="10"/>
      <c r="U323" t="str">
        <f>"RUNNING_COST_"&amp;IF(PROPERTIES[[#This Row],[ENGINE_CLASS]]="MAGLEV","ELECTRIC",PROPERTIES[[#This Row],[ENGINE_CLASS]])</f>
        <v>RUNNING_COST_ELECTRIC</v>
      </c>
      <c r="V323" s="10" t="s">
        <v>1002</v>
      </c>
      <c r="W323" s="10" t="s">
        <v>1003</v>
      </c>
      <c r="X323" s="10" t="str">
        <f>SUBSTITUTE(SUBSTITUTE(PROPERTIES[[#This Row],[PURCHASECOST_VALUE]], "PURCHASECOST_", ""), "_VALUE", "")</f>
        <v>METRO</v>
      </c>
      <c r="AP323"/>
      <c r="AQ323"/>
      <c r="AR323"/>
    </row>
    <row r="324" spans="1:44">
      <c r="A324" s="2" t="s">
        <v>349</v>
      </c>
      <c r="B324">
        <v>1997</v>
      </c>
      <c r="C324">
        <v>1</v>
      </c>
      <c r="D324" t="s">
        <v>19</v>
      </c>
      <c r="E324" t="s">
        <v>325</v>
      </c>
      <c r="F324">
        <v>250</v>
      </c>
      <c r="G324" s="10">
        <v>47</v>
      </c>
      <c r="H324">
        <v>8</v>
      </c>
      <c r="I324">
        <v>8</v>
      </c>
      <c r="J324" s="2" t="s">
        <v>326</v>
      </c>
      <c r="K324">
        <f>_xlfn.XLOOKUP("LOADINGSPEEDDEF_"&amp;PROPERTIES[[#This Row],[LOADINGSPEED]],LOADINGSPEEDDEF[TYPE],LOADINGSPEEDDEF[SPEED])</f>
        <v>120</v>
      </c>
      <c r="L324" t="s">
        <v>21</v>
      </c>
      <c r="M324">
        <v>1</v>
      </c>
      <c r="N324">
        <v>700</v>
      </c>
      <c r="O324">
        <v>70</v>
      </c>
      <c r="P324" s="2">
        <v>0.26</v>
      </c>
      <c r="Q324" s="6">
        <v>60</v>
      </c>
      <c r="R324" s="10">
        <v>250</v>
      </c>
      <c r="S324" s="10">
        <v>8</v>
      </c>
      <c r="T324" s="10"/>
      <c r="U324" t="str">
        <f>"RUNNING_COST_"&amp;IF(PROPERTIES[[#This Row],[ENGINE_CLASS]]="MAGLEV","ELECTRIC",PROPERTIES[[#This Row],[ENGINE_CLASS]])</f>
        <v>RUNNING_COST_ELECTRIC</v>
      </c>
      <c r="V324" s="10" t="s">
        <v>1002</v>
      </c>
      <c r="W324" s="10" t="s">
        <v>1003</v>
      </c>
      <c r="X324" s="10" t="str">
        <f>SUBSTITUTE(SUBSTITUTE(PROPERTIES[[#This Row],[PURCHASECOST_VALUE]], "PURCHASECOST_", ""), "_VALUE", "")</f>
        <v>METRO</v>
      </c>
      <c r="AP324"/>
      <c r="AQ324"/>
      <c r="AR324"/>
    </row>
    <row r="325" spans="1:44">
      <c r="A325" s="2" t="s">
        <v>350</v>
      </c>
      <c r="B325">
        <v>1997</v>
      </c>
      <c r="C325">
        <v>1</v>
      </c>
      <c r="D325" t="s">
        <v>19</v>
      </c>
      <c r="E325" t="s">
        <v>325</v>
      </c>
      <c r="F325">
        <v>120</v>
      </c>
      <c r="G325" s="10">
        <v>28</v>
      </c>
      <c r="H325">
        <v>7</v>
      </c>
      <c r="I325">
        <v>7</v>
      </c>
      <c r="J325" s="2" t="s">
        <v>326</v>
      </c>
      <c r="K325">
        <f>_xlfn.XLOOKUP("LOADINGSPEEDDEF_"&amp;PROPERTIES[[#This Row],[LOADINGSPEED]],LOADINGSPEEDDEF[TYPE],LOADINGSPEEDDEF[SPEED])</f>
        <v>120</v>
      </c>
      <c r="L325" t="s">
        <v>21</v>
      </c>
      <c r="M325">
        <v>1</v>
      </c>
      <c r="N325">
        <v>634</v>
      </c>
      <c r="O325">
        <v>100</v>
      </c>
      <c r="P325" s="2">
        <v>0.36</v>
      </c>
      <c r="Q325" s="6">
        <v>60</v>
      </c>
      <c r="R325" s="10">
        <v>120</v>
      </c>
      <c r="S325" s="10">
        <v>7</v>
      </c>
      <c r="T325" s="10"/>
      <c r="U325" t="str">
        <f>"RUNNING_COST_"&amp;IF(PROPERTIES[[#This Row],[ENGINE_CLASS]]="MAGLEV","ELECTRIC",PROPERTIES[[#This Row],[ENGINE_CLASS]])</f>
        <v>RUNNING_COST_ELECTRIC</v>
      </c>
      <c r="V325" s="10" t="s">
        <v>1002</v>
      </c>
      <c r="W325" s="10" t="s">
        <v>1003</v>
      </c>
      <c r="X325" s="10" t="str">
        <f>SUBSTITUTE(SUBSTITUTE(PROPERTIES[[#This Row],[PURCHASECOST_VALUE]], "PURCHASECOST_", ""), "_VALUE", "")</f>
        <v>METRO</v>
      </c>
      <c r="AP325"/>
      <c r="AQ325"/>
      <c r="AR325"/>
    </row>
    <row r="326" spans="1:44">
      <c r="A326" s="2" t="s">
        <v>351</v>
      </c>
      <c r="B326">
        <v>2003</v>
      </c>
      <c r="C326">
        <v>1</v>
      </c>
      <c r="D326" t="s">
        <v>19</v>
      </c>
      <c r="E326" t="s">
        <v>325</v>
      </c>
      <c r="F326">
        <v>120</v>
      </c>
      <c r="G326" s="10">
        <v>47</v>
      </c>
      <c r="H326">
        <v>7</v>
      </c>
      <c r="I326">
        <v>7</v>
      </c>
      <c r="J326" s="2" t="s">
        <v>326</v>
      </c>
      <c r="K326">
        <f>_xlfn.XLOOKUP("LOADINGSPEEDDEF_"&amp;PROPERTIES[[#This Row],[LOADINGSPEED]],LOADINGSPEEDDEF[TYPE],LOADINGSPEEDDEF[SPEED])</f>
        <v>120</v>
      </c>
      <c r="L326" t="s">
        <v>21</v>
      </c>
      <c r="M326">
        <v>1</v>
      </c>
      <c r="N326">
        <v>860</v>
      </c>
      <c r="O326">
        <v>90</v>
      </c>
      <c r="P326" s="2">
        <v>0.36</v>
      </c>
      <c r="Q326" s="6">
        <v>60</v>
      </c>
      <c r="R326" s="10">
        <v>120</v>
      </c>
      <c r="S326" s="10">
        <v>6</v>
      </c>
      <c r="T326" s="10"/>
      <c r="U326" t="str">
        <f>"RUNNING_COST_"&amp;IF(PROPERTIES[[#This Row],[ENGINE_CLASS]]="MAGLEV","ELECTRIC",PROPERTIES[[#This Row],[ENGINE_CLASS]])</f>
        <v>RUNNING_COST_ELECTRIC</v>
      </c>
      <c r="V326" s="10" t="s">
        <v>1002</v>
      </c>
      <c r="W326" s="10" t="s">
        <v>1003</v>
      </c>
      <c r="X326" s="10" t="str">
        <f>SUBSTITUTE(SUBSTITUTE(PROPERTIES[[#This Row],[PURCHASECOST_VALUE]], "PURCHASECOST_", ""), "_VALUE", "")</f>
        <v>METRO</v>
      </c>
      <c r="AP326"/>
      <c r="AQ326"/>
      <c r="AR326"/>
    </row>
    <row r="327" spans="1:44">
      <c r="A327" s="2" t="s">
        <v>352</v>
      </c>
      <c r="B327">
        <v>2003</v>
      </c>
      <c r="C327">
        <v>1</v>
      </c>
      <c r="D327" t="s">
        <v>19</v>
      </c>
      <c r="E327" t="s">
        <v>325</v>
      </c>
      <c r="F327">
        <v>250</v>
      </c>
      <c r="G327" s="10">
        <v>35</v>
      </c>
      <c r="H327">
        <v>8</v>
      </c>
      <c r="I327">
        <v>8</v>
      </c>
      <c r="J327" s="2" t="s">
        <v>326</v>
      </c>
      <c r="K327">
        <f>_xlfn.XLOOKUP("LOADINGSPEEDDEF_"&amp;PROPERTIES[[#This Row],[LOADINGSPEED]],LOADINGSPEEDDEF[TYPE],LOADINGSPEEDDEF[SPEED])</f>
        <v>120</v>
      </c>
      <c r="L327" t="s">
        <v>21</v>
      </c>
      <c r="M327">
        <v>1</v>
      </c>
      <c r="N327">
        <v>740</v>
      </c>
      <c r="O327">
        <v>100</v>
      </c>
      <c r="P327" s="2">
        <v>0.86</v>
      </c>
      <c r="Q327" s="6">
        <v>60</v>
      </c>
      <c r="R327" s="10">
        <v>250</v>
      </c>
      <c r="S327" s="10">
        <v>8</v>
      </c>
      <c r="T327" s="10"/>
      <c r="U327" t="str">
        <f>"RUNNING_COST_"&amp;IF(PROPERTIES[[#This Row],[ENGINE_CLASS]]="MAGLEV","ELECTRIC",PROPERTIES[[#This Row],[ENGINE_CLASS]])</f>
        <v>RUNNING_COST_ELECTRIC</v>
      </c>
      <c r="V327" s="10" t="s">
        <v>1002</v>
      </c>
      <c r="W327" s="10" t="s">
        <v>1003</v>
      </c>
      <c r="X327" s="10" t="str">
        <f>SUBSTITUTE(SUBSTITUTE(PROPERTIES[[#This Row],[PURCHASECOST_VALUE]], "PURCHASECOST_", ""), "_VALUE", "")</f>
        <v>METRO</v>
      </c>
      <c r="AP327"/>
      <c r="AQ327"/>
      <c r="AR327"/>
    </row>
    <row r="328" spans="1:44">
      <c r="A328" s="2" t="s">
        <v>353</v>
      </c>
      <c r="B328">
        <v>2007</v>
      </c>
      <c r="C328">
        <v>1</v>
      </c>
      <c r="D328" t="s">
        <v>19</v>
      </c>
      <c r="E328" t="s">
        <v>325</v>
      </c>
      <c r="F328">
        <v>164</v>
      </c>
      <c r="G328" s="10">
        <v>33</v>
      </c>
      <c r="H328">
        <v>7</v>
      </c>
      <c r="I328">
        <v>7</v>
      </c>
      <c r="J328" s="2" t="s">
        <v>326</v>
      </c>
      <c r="K328">
        <f>_xlfn.XLOOKUP("LOADINGSPEEDDEF_"&amp;PROPERTIES[[#This Row],[LOADINGSPEED]],LOADINGSPEEDDEF[TYPE],LOADINGSPEEDDEF[SPEED])</f>
        <v>120</v>
      </c>
      <c r="L328" t="s">
        <v>21</v>
      </c>
      <c r="M328">
        <v>1</v>
      </c>
      <c r="N328">
        <v>760</v>
      </c>
      <c r="O328">
        <v>80</v>
      </c>
      <c r="P328" s="2">
        <v>0.3</v>
      </c>
      <c r="Q328" s="6">
        <v>60</v>
      </c>
      <c r="R328" s="10">
        <v>164</v>
      </c>
      <c r="S328" s="10">
        <v>7</v>
      </c>
      <c r="T328" s="10"/>
      <c r="U328" t="str">
        <f>"RUNNING_COST_"&amp;IF(PROPERTIES[[#This Row],[ENGINE_CLASS]]="MAGLEV","ELECTRIC",PROPERTIES[[#This Row],[ENGINE_CLASS]])</f>
        <v>RUNNING_COST_ELECTRIC</v>
      </c>
      <c r="V328" s="10" t="s">
        <v>1002</v>
      </c>
      <c r="W328" s="10" t="s">
        <v>1003</v>
      </c>
      <c r="X328" s="10" t="str">
        <f>SUBSTITUTE(SUBSTITUTE(PROPERTIES[[#This Row],[PURCHASECOST_VALUE]], "PURCHASECOST_", ""), "_VALUE", "")</f>
        <v>METRO</v>
      </c>
      <c r="AP328"/>
      <c r="AQ328"/>
      <c r="AR328"/>
    </row>
    <row r="329" spans="1:44">
      <c r="A329" s="2" t="s">
        <v>354</v>
      </c>
      <c r="B329">
        <v>2009</v>
      </c>
      <c r="C329">
        <v>1</v>
      </c>
      <c r="D329" t="s">
        <v>19</v>
      </c>
      <c r="E329" t="s">
        <v>325</v>
      </c>
      <c r="F329">
        <v>140</v>
      </c>
      <c r="G329" s="10">
        <v>30</v>
      </c>
      <c r="H329">
        <v>8</v>
      </c>
      <c r="I329">
        <v>8</v>
      </c>
      <c r="J329" s="2" t="s">
        <v>326</v>
      </c>
      <c r="K329">
        <f>_xlfn.XLOOKUP("LOADINGSPEEDDEF_"&amp;PROPERTIES[[#This Row],[LOADINGSPEED]],LOADINGSPEEDDEF[TYPE],LOADINGSPEEDDEF[SPEED])</f>
        <v>120</v>
      </c>
      <c r="L329" t="s">
        <v>21</v>
      </c>
      <c r="M329">
        <v>1</v>
      </c>
      <c r="N329">
        <v>750</v>
      </c>
      <c r="O329">
        <v>70</v>
      </c>
      <c r="P329" s="2">
        <v>0.62</v>
      </c>
      <c r="Q329" s="6">
        <v>60</v>
      </c>
      <c r="R329" s="10">
        <v>140</v>
      </c>
      <c r="S329" s="10">
        <v>8</v>
      </c>
      <c r="T329" s="10"/>
      <c r="U329" t="str">
        <f>"RUNNING_COST_"&amp;IF(PROPERTIES[[#This Row],[ENGINE_CLASS]]="MAGLEV","ELECTRIC",PROPERTIES[[#This Row],[ENGINE_CLASS]])</f>
        <v>RUNNING_COST_ELECTRIC</v>
      </c>
      <c r="V329" s="10" t="s">
        <v>1002</v>
      </c>
      <c r="W329" s="10" t="s">
        <v>1003</v>
      </c>
      <c r="X329" s="10" t="str">
        <f>SUBSTITUTE(SUBSTITUTE(PROPERTIES[[#This Row],[PURCHASECOST_VALUE]], "PURCHASECOST_", ""), "_VALUE", "")</f>
        <v>METRO</v>
      </c>
      <c r="AP329"/>
      <c r="AQ329"/>
      <c r="AR329"/>
    </row>
    <row r="330" spans="1:44">
      <c r="A330" s="2" t="s">
        <v>355</v>
      </c>
      <c r="B330">
        <v>2012</v>
      </c>
      <c r="C330">
        <v>1</v>
      </c>
      <c r="D330" t="s">
        <v>19</v>
      </c>
      <c r="E330" t="s">
        <v>325</v>
      </c>
      <c r="F330">
        <v>250</v>
      </c>
      <c r="G330" s="10">
        <v>35</v>
      </c>
      <c r="H330">
        <v>8</v>
      </c>
      <c r="I330">
        <v>8</v>
      </c>
      <c r="J330" s="2" t="s">
        <v>326</v>
      </c>
      <c r="K330">
        <f>_xlfn.XLOOKUP("LOADINGSPEEDDEF_"&amp;PROPERTIES[[#This Row],[LOADINGSPEED]],LOADINGSPEEDDEF[TYPE],LOADINGSPEEDDEF[SPEED])</f>
        <v>120</v>
      </c>
      <c r="L330" t="s">
        <v>21</v>
      </c>
      <c r="M330">
        <v>1</v>
      </c>
      <c r="N330">
        <v>720</v>
      </c>
      <c r="O330">
        <v>90</v>
      </c>
      <c r="P330" s="2">
        <v>0.81</v>
      </c>
      <c r="Q330" s="6">
        <v>60</v>
      </c>
      <c r="R330" s="10">
        <v>250</v>
      </c>
      <c r="S330" s="10">
        <v>8</v>
      </c>
      <c r="T330" s="10"/>
      <c r="U330" t="str">
        <f>"RUNNING_COST_"&amp;IF(PROPERTIES[[#This Row],[ENGINE_CLASS]]="MAGLEV","ELECTRIC",PROPERTIES[[#This Row],[ENGINE_CLASS]])</f>
        <v>RUNNING_COST_ELECTRIC</v>
      </c>
      <c r="V330" s="10" t="s">
        <v>1002</v>
      </c>
      <c r="W330" s="10" t="s">
        <v>1003</v>
      </c>
      <c r="X330" s="10" t="str">
        <f>SUBSTITUTE(SUBSTITUTE(PROPERTIES[[#This Row],[PURCHASECOST_VALUE]], "PURCHASECOST_", ""), "_VALUE", "")</f>
        <v>METRO</v>
      </c>
      <c r="AP330"/>
      <c r="AQ330"/>
      <c r="AR330"/>
    </row>
    <row r="331" spans="1:44">
      <c r="A331" s="2" t="s">
        <v>356</v>
      </c>
      <c r="B331">
        <v>2013</v>
      </c>
      <c r="C331">
        <v>1</v>
      </c>
      <c r="D331" t="s">
        <v>19</v>
      </c>
      <c r="E331" t="s">
        <v>325</v>
      </c>
      <c r="F331">
        <v>184</v>
      </c>
      <c r="G331" s="10">
        <v>36</v>
      </c>
      <c r="H331">
        <v>8</v>
      </c>
      <c r="I331">
        <v>8</v>
      </c>
      <c r="J331" s="2" t="s">
        <v>326</v>
      </c>
      <c r="K331">
        <f>_xlfn.XLOOKUP("LOADINGSPEEDDEF_"&amp;PROPERTIES[[#This Row],[LOADINGSPEED]],LOADINGSPEEDDEF[TYPE],LOADINGSPEEDDEF[SPEED])</f>
        <v>120</v>
      </c>
      <c r="L331" t="s">
        <v>21</v>
      </c>
      <c r="M331">
        <v>1</v>
      </c>
      <c r="N331">
        <v>720</v>
      </c>
      <c r="O331">
        <v>126</v>
      </c>
      <c r="P331" s="2">
        <v>0.64</v>
      </c>
      <c r="Q331" s="6">
        <v>60</v>
      </c>
      <c r="R331" s="10">
        <v>184</v>
      </c>
      <c r="S331" s="10">
        <v>8</v>
      </c>
      <c r="T331" s="10"/>
      <c r="U331" t="str">
        <f>"RUNNING_COST_"&amp;IF(PROPERTIES[[#This Row],[ENGINE_CLASS]]="MAGLEV","ELECTRIC",PROPERTIES[[#This Row],[ENGINE_CLASS]])</f>
        <v>RUNNING_COST_ELECTRIC</v>
      </c>
      <c r="V331" s="10" t="s">
        <v>1002</v>
      </c>
      <c r="W331" s="10" t="s">
        <v>1003</v>
      </c>
      <c r="X331" s="10" t="str">
        <f>SUBSTITUTE(SUBSTITUTE(PROPERTIES[[#This Row],[PURCHASECOST_VALUE]], "PURCHASECOST_", ""), "_VALUE", "")</f>
        <v>METRO</v>
      </c>
      <c r="AP331"/>
      <c r="AQ331"/>
      <c r="AR331"/>
    </row>
    <row r="332" spans="1:44">
      <c r="A332" s="2" t="s">
        <v>357</v>
      </c>
      <c r="B332">
        <v>2014</v>
      </c>
      <c r="C332">
        <v>1</v>
      </c>
      <c r="D332" t="s">
        <v>19</v>
      </c>
      <c r="E332" t="s">
        <v>325</v>
      </c>
      <c r="F332">
        <v>110</v>
      </c>
      <c r="G332" s="10">
        <v>18</v>
      </c>
      <c r="H332">
        <v>6</v>
      </c>
      <c r="I332">
        <v>6</v>
      </c>
      <c r="J332" s="2" t="s">
        <v>326</v>
      </c>
      <c r="K332">
        <f>_xlfn.XLOOKUP("LOADINGSPEEDDEF_"&amp;PROPERTIES[[#This Row],[LOADINGSPEED]],LOADINGSPEEDDEF[TYPE],LOADINGSPEEDDEF[SPEED])</f>
        <v>120</v>
      </c>
      <c r="L332" t="s">
        <v>21</v>
      </c>
      <c r="M332">
        <v>1</v>
      </c>
      <c r="N332">
        <v>255</v>
      </c>
      <c r="O332">
        <v>90</v>
      </c>
      <c r="P332" s="2">
        <v>0.97</v>
      </c>
      <c r="Q332" s="6">
        <v>60</v>
      </c>
      <c r="R332" s="10">
        <v>110</v>
      </c>
      <c r="S332" s="10">
        <v>6</v>
      </c>
      <c r="T332" s="10"/>
      <c r="U332" t="str">
        <f>"RUNNING_COST_"&amp;IF(PROPERTIES[[#This Row],[ENGINE_CLASS]]="MAGLEV","ELECTRIC",PROPERTIES[[#This Row],[ENGINE_CLASS]])</f>
        <v>RUNNING_COST_ELECTRIC</v>
      </c>
      <c r="V332" s="10" t="s">
        <v>1002</v>
      </c>
      <c r="W332" s="10" t="s">
        <v>1003</v>
      </c>
      <c r="X332" s="10" t="str">
        <f>SUBSTITUTE(SUBSTITUTE(PROPERTIES[[#This Row],[PURCHASECOST_VALUE]], "PURCHASECOST_", ""), "_VALUE", "")</f>
        <v>METRO</v>
      </c>
      <c r="AP332"/>
      <c r="AQ332"/>
      <c r="AR332"/>
    </row>
    <row r="333" spans="1:44">
      <c r="A333" s="2" t="s">
        <v>358</v>
      </c>
      <c r="B333">
        <v>1901</v>
      </c>
      <c r="C333">
        <v>1</v>
      </c>
      <c r="D333" t="s">
        <v>19</v>
      </c>
      <c r="E333" t="s">
        <v>325</v>
      </c>
      <c r="F333">
        <v>88</v>
      </c>
      <c r="G333" s="10">
        <v>29</v>
      </c>
      <c r="H333">
        <v>5</v>
      </c>
      <c r="I333">
        <v>5</v>
      </c>
      <c r="J333" s="2" t="s">
        <v>326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>
        <v>321</v>
      </c>
      <c r="O333">
        <v>50</v>
      </c>
      <c r="P333" s="2">
        <v>0.14000000000000001</v>
      </c>
      <c r="Q333" s="6">
        <v>60</v>
      </c>
      <c r="R333" s="10">
        <v>88</v>
      </c>
      <c r="S333" s="10">
        <v>5</v>
      </c>
      <c r="T333" s="10"/>
      <c r="U333" t="str">
        <f>"RUNNING_COST_"&amp;IF(PROPERTIES[[#This Row],[ENGINE_CLASS]]="MAGLEV","ELECTRIC",PROPERTIES[[#This Row],[ENGINE_CLASS]])</f>
        <v>RUNNING_COST_ELECTRIC</v>
      </c>
      <c r="V333" s="10" t="s">
        <v>1002</v>
      </c>
      <c r="W333" s="10" t="s">
        <v>1003</v>
      </c>
      <c r="X333" s="10" t="str">
        <f>SUBSTITUTE(SUBSTITUTE(PROPERTIES[[#This Row],[PURCHASECOST_VALUE]], "PURCHASECOST_", ""), "_VALUE", "")</f>
        <v>METRO</v>
      </c>
      <c r="AP333"/>
      <c r="AQ333"/>
      <c r="AR333"/>
    </row>
    <row r="334" spans="1:44">
      <c r="A334" s="2" t="s">
        <v>359</v>
      </c>
      <c r="B334">
        <v>1910</v>
      </c>
      <c r="C334">
        <v>1</v>
      </c>
      <c r="D334" t="s">
        <v>19</v>
      </c>
      <c r="E334" t="s">
        <v>325</v>
      </c>
      <c r="F334">
        <v>128</v>
      </c>
      <c r="G334" s="10">
        <v>36</v>
      </c>
      <c r="H334">
        <v>8</v>
      </c>
      <c r="I334">
        <v>8</v>
      </c>
      <c r="J334" s="2" t="s">
        <v>326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>
        <v>400</v>
      </c>
      <c r="O334">
        <v>90</v>
      </c>
      <c r="P334" s="2">
        <v>0.2</v>
      </c>
      <c r="Q334" s="6">
        <v>60</v>
      </c>
      <c r="R334" s="10">
        <v>128</v>
      </c>
      <c r="S334" s="10">
        <v>8</v>
      </c>
      <c r="T334" s="10"/>
      <c r="U334" t="str">
        <f>"RUNNING_COST_"&amp;IF(PROPERTIES[[#This Row],[ENGINE_CLASS]]="MAGLEV","ELECTRIC",PROPERTIES[[#This Row],[ENGINE_CLASS]])</f>
        <v>RUNNING_COST_ELECTRIC</v>
      </c>
      <c r="V334" s="10" t="s">
        <v>1002</v>
      </c>
      <c r="W334" s="10" t="s">
        <v>1003</v>
      </c>
      <c r="X334" s="10" t="str">
        <f>SUBSTITUTE(SUBSTITUTE(PROPERTIES[[#This Row],[PURCHASECOST_VALUE]], "PURCHASECOST_", ""), "_VALUE", "")</f>
        <v>METRO</v>
      </c>
      <c r="AP334"/>
      <c r="AQ334"/>
      <c r="AR334"/>
    </row>
    <row r="335" spans="1:44">
      <c r="A335" s="2" t="s">
        <v>360</v>
      </c>
      <c r="B335">
        <v>1933</v>
      </c>
      <c r="C335">
        <v>1</v>
      </c>
      <c r="D335" t="s">
        <v>19</v>
      </c>
      <c r="E335" t="s">
        <v>325</v>
      </c>
      <c r="F335">
        <v>145</v>
      </c>
      <c r="G335" s="10">
        <v>35</v>
      </c>
      <c r="H335">
        <v>7</v>
      </c>
      <c r="I335">
        <v>7</v>
      </c>
      <c r="J335" s="2" t="s">
        <v>326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>
        <v>200</v>
      </c>
      <c r="O335">
        <v>65</v>
      </c>
      <c r="P335" s="2">
        <v>0.24</v>
      </c>
      <c r="Q335" s="6">
        <v>60</v>
      </c>
      <c r="R335" s="10">
        <v>145</v>
      </c>
      <c r="S335" s="10">
        <v>7</v>
      </c>
      <c r="T335" s="10"/>
      <c r="U335" t="str">
        <f>"RUNNING_COST_"&amp;IF(PROPERTIES[[#This Row],[ENGINE_CLASS]]="MAGLEV","ELECTRIC",PROPERTIES[[#This Row],[ENGINE_CLASS]])</f>
        <v>RUNNING_COST_ELECTRIC</v>
      </c>
      <c r="V335" s="10" t="s">
        <v>1002</v>
      </c>
      <c r="W335" s="10" t="s">
        <v>1003</v>
      </c>
      <c r="X335" s="10" t="str">
        <f>SUBSTITUTE(SUBSTITUTE(PROPERTIES[[#This Row],[PURCHASECOST_VALUE]], "PURCHASECOST_", ""), "_VALUE", "")</f>
        <v>METRO</v>
      </c>
      <c r="AP335"/>
      <c r="AQ335"/>
      <c r="AR335"/>
    </row>
    <row r="336" spans="1:44">
      <c r="A336" s="2" t="s">
        <v>361</v>
      </c>
      <c r="B336">
        <v>1934</v>
      </c>
      <c r="C336">
        <v>1</v>
      </c>
      <c r="D336" t="s">
        <v>19</v>
      </c>
      <c r="E336" t="s">
        <v>325</v>
      </c>
      <c r="F336">
        <v>131</v>
      </c>
      <c r="G336" s="10">
        <v>51</v>
      </c>
      <c r="H336">
        <v>7</v>
      </c>
      <c r="I336">
        <v>7</v>
      </c>
      <c r="J336" s="2" t="s">
        <v>326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>
        <v>205</v>
      </c>
      <c r="O336">
        <v>65</v>
      </c>
      <c r="P336" s="2">
        <v>0.14000000000000001</v>
      </c>
      <c r="Q336" s="6">
        <v>60</v>
      </c>
      <c r="R336" s="10">
        <v>131</v>
      </c>
      <c r="S336" s="10">
        <v>7</v>
      </c>
      <c r="T336" s="10"/>
      <c r="U336" t="str">
        <f>"RUNNING_COST_"&amp;IF(PROPERTIES[[#This Row],[ENGINE_CLASS]]="MAGLEV","ELECTRIC",PROPERTIES[[#This Row],[ENGINE_CLASS]])</f>
        <v>RUNNING_COST_ELECTRIC</v>
      </c>
      <c r="V336" s="10" t="s">
        <v>1002</v>
      </c>
      <c r="W336" s="10" t="s">
        <v>1003</v>
      </c>
      <c r="X336" s="10" t="str">
        <f>SUBSTITUTE(SUBSTITUTE(PROPERTIES[[#This Row],[PURCHASECOST_VALUE]], "PURCHASECOST_", ""), "_VALUE", "")</f>
        <v>METRO</v>
      </c>
      <c r="AP336"/>
      <c r="AQ336"/>
      <c r="AR336"/>
    </row>
    <row r="337" spans="1:44">
      <c r="A337" s="2" t="s">
        <v>362</v>
      </c>
      <c r="B337">
        <v>1948</v>
      </c>
      <c r="C337">
        <v>1</v>
      </c>
      <c r="D337" t="s">
        <v>19</v>
      </c>
      <c r="E337" t="s">
        <v>325</v>
      </c>
      <c r="F337">
        <v>160</v>
      </c>
      <c r="G337" s="10">
        <v>36</v>
      </c>
      <c r="H337">
        <v>8</v>
      </c>
      <c r="I337">
        <v>8</v>
      </c>
      <c r="J337" s="2" t="s">
        <v>326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>
        <v>400</v>
      </c>
      <c r="O337">
        <v>90</v>
      </c>
      <c r="P337" s="2">
        <v>0.2</v>
      </c>
      <c r="Q337" s="6">
        <v>60</v>
      </c>
      <c r="R337" s="10">
        <v>160</v>
      </c>
      <c r="S337" s="10">
        <v>8</v>
      </c>
      <c r="T337" s="10"/>
      <c r="U337" t="str">
        <f>"RUNNING_COST_"&amp;IF(PROPERTIES[[#This Row],[ENGINE_CLASS]]="MAGLEV","ELECTRIC",PROPERTIES[[#This Row],[ENGINE_CLASS]])</f>
        <v>RUNNING_COST_ELECTRIC</v>
      </c>
      <c r="V337" s="10" t="s">
        <v>1002</v>
      </c>
      <c r="W337" s="10" t="s">
        <v>1003</v>
      </c>
      <c r="X337" s="10" t="str">
        <f>SUBSTITUTE(SUBSTITUTE(PROPERTIES[[#This Row],[PURCHASECOST_VALUE]], "PURCHASECOST_", ""), "_VALUE", "")</f>
        <v>METRO</v>
      </c>
      <c r="AP337"/>
      <c r="AQ337"/>
      <c r="AR337"/>
    </row>
    <row r="338" spans="1:44">
      <c r="A338" s="2" t="s">
        <v>363</v>
      </c>
      <c r="B338">
        <v>1954</v>
      </c>
      <c r="C338">
        <v>1</v>
      </c>
      <c r="D338" t="s">
        <v>19</v>
      </c>
      <c r="E338" t="s">
        <v>325</v>
      </c>
      <c r="F338">
        <v>156</v>
      </c>
      <c r="G338" s="10">
        <v>40</v>
      </c>
      <c r="H338">
        <v>7</v>
      </c>
      <c r="I338">
        <v>7</v>
      </c>
      <c r="J338" s="2" t="s">
        <v>326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>
        <v>237</v>
      </c>
      <c r="O338">
        <v>100</v>
      </c>
      <c r="P338" s="2">
        <v>0.15</v>
      </c>
      <c r="Q338" s="6">
        <v>60</v>
      </c>
      <c r="R338" s="10">
        <v>156</v>
      </c>
      <c r="S338" s="10">
        <v>7</v>
      </c>
      <c r="T338" s="10"/>
      <c r="U338" t="str">
        <f>"RUNNING_COST_"&amp;IF(PROPERTIES[[#This Row],[ENGINE_CLASS]]="MAGLEV","ELECTRIC",PROPERTIES[[#This Row],[ENGINE_CLASS]])</f>
        <v>RUNNING_COST_ELECTRIC</v>
      </c>
      <c r="V338" s="10" t="s">
        <v>1002</v>
      </c>
      <c r="W338" s="10" t="s">
        <v>1003</v>
      </c>
      <c r="X338" s="10" t="str">
        <f>SUBSTITUTE(SUBSTITUTE(PROPERTIES[[#This Row],[PURCHASECOST_VALUE]], "PURCHASECOST_", ""), "_VALUE", "")</f>
        <v>METRO</v>
      </c>
      <c r="AP338"/>
      <c r="AQ338"/>
      <c r="AR338"/>
    </row>
    <row r="339" spans="1:44">
      <c r="A339" s="2" t="s">
        <v>364</v>
      </c>
      <c r="B339">
        <v>1955</v>
      </c>
      <c r="C339">
        <v>1</v>
      </c>
      <c r="D339" t="s">
        <v>19</v>
      </c>
      <c r="E339" t="s">
        <v>325</v>
      </c>
      <c r="F339">
        <v>132</v>
      </c>
      <c r="G339" s="10">
        <v>36</v>
      </c>
      <c r="H339">
        <v>8</v>
      </c>
      <c r="I339">
        <v>8</v>
      </c>
      <c r="J339" s="2" t="s">
        <v>326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>
        <v>192</v>
      </c>
      <c r="O339">
        <v>75</v>
      </c>
      <c r="P339" s="2">
        <v>0.21</v>
      </c>
      <c r="Q339" s="6">
        <v>60</v>
      </c>
      <c r="R339" s="10">
        <v>132</v>
      </c>
      <c r="S339" s="10">
        <v>8</v>
      </c>
      <c r="T339" s="10"/>
      <c r="U339" t="str">
        <f>"RUNNING_COST_"&amp;IF(PROPERTIES[[#This Row],[ENGINE_CLASS]]="MAGLEV","ELECTRIC",PROPERTIES[[#This Row],[ENGINE_CLASS]])</f>
        <v>RUNNING_COST_ELECTRIC</v>
      </c>
      <c r="V339" s="10" t="s">
        <v>1002</v>
      </c>
      <c r="W339" s="10" t="s">
        <v>1003</v>
      </c>
      <c r="X339" s="10" t="str">
        <f>SUBSTITUTE(SUBSTITUTE(PROPERTIES[[#This Row],[PURCHASECOST_VALUE]], "PURCHASECOST_", ""), "_VALUE", "")</f>
        <v>METRO</v>
      </c>
      <c r="AP339"/>
      <c r="AQ339"/>
      <c r="AR339"/>
    </row>
    <row r="340" spans="1:44">
      <c r="A340" s="2" t="s">
        <v>365</v>
      </c>
      <c r="B340">
        <v>1968</v>
      </c>
      <c r="C340">
        <v>1</v>
      </c>
      <c r="D340" t="s">
        <v>19</v>
      </c>
      <c r="E340" t="s">
        <v>325</v>
      </c>
      <c r="F340">
        <v>235</v>
      </c>
      <c r="G340" s="10">
        <v>20</v>
      </c>
      <c r="H340">
        <v>7</v>
      </c>
      <c r="I340">
        <v>7</v>
      </c>
      <c r="J340" s="2" t="s">
        <v>326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>
        <v>197</v>
      </c>
      <c r="O340">
        <v>80</v>
      </c>
      <c r="P340" s="2">
        <v>0.3</v>
      </c>
      <c r="Q340" s="6">
        <v>60</v>
      </c>
      <c r="R340" s="10">
        <v>235</v>
      </c>
      <c r="S340" s="10">
        <v>7</v>
      </c>
      <c r="T340" s="10"/>
      <c r="U340" t="str">
        <f>"RUNNING_COST_"&amp;IF(PROPERTIES[[#This Row],[ENGINE_CLASS]]="MAGLEV","ELECTRIC",PROPERTIES[[#This Row],[ENGINE_CLASS]])</f>
        <v>RUNNING_COST_ELECTRIC</v>
      </c>
      <c r="V340" s="10" t="s">
        <v>1002</v>
      </c>
      <c r="W340" s="10" t="s">
        <v>1003</v>
      </c>
      <c r="X340" s="10" t="str">
        <f>SUBSTITUTE(SUBSTITUTE(PROPERTIES[[#This Row],[PURCHASECOST_VALUE]], "PURCHASECOST_", ""), "_VALUE", "")</f>
        <v>METRO</v>
      </c>
      <c r="AP340"/>
      <c r="AQ340"/>
      <c r="AR340"/>
    </row>
    <row r="341" spans="1:44">
      <c r="A341" s="2" t="s">
        <v>366</v>
      </c>
      <c r="B341">
        <v>1972</v>
      </c>
      <c r="C341">
        <v>1</v>
      </c>
      <c r="D341" t="s">
        <v>19</v>
      </c>
      <c r="E341" t="s">
        <v>325</v>
      </c>
      <c r="F341">
        <v>150</v>
      </c>
      <c r="G341" s="10">
        <v>33</v>
      </c>
      <c r="H341">
        <v>8</v>
      </c>
      <c r="I341">
        <v>8</v>
      </c>
      <c r="J341" s="2" t="s">
        <v>326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>
        <v>192</v>
      </c>
      <c r="O341">
        <v>80</v>
      </c>
      <c r="P341" s="2">
        <v>0.16</v>
      </c>
      <c r="Q341" s="6">
        <v>60</v>
      </c>
      <c r="R341" s="10">
        <v>150</v>
      </c>
      <c r="S341" s="10">
        <v>8</v>
      </c>
      <c r="T341" s="10"/>
      <c r="U341" t="str">
        <f>"RUNNING_COST_"&amp;IF(PROPERTIES[[#This Row],[ENGINE_CLASS]]="MAGLEV","ELECTRIC",PROPERTIES[[#This Row],[ENGINE_CLASS]])</f>
        <v>RUNNING_COST_ELECTRIC</v>
      </c>
      <c r="V341" s="10" t="s">
        <v>1002</v>
      </c>
      <c r="W341" s="10" t="s">
        <v>1003</v>
      </c>
      <c r="X341" s="10" t="str">
        <f>SUBSTITUTE(SUBSTITUTE(PROPERTIES[[#This Row],[PURCHASECOST_VALUE]], "PURCHASECOST_", ""), "_VALUE", "")</f>
        <v>METRO</v>
      </c>
      <c r="AP341"/>
      <c r="AQ341"/>
      <c r="AR341"/>
    </row>
    <row r="342" spans="1:44">
      <c r="A342" s="2" t="s">
        <v>367</v>
      </c>
      <c r="B342">
        <v>1954</v>
      </c>
      <c r="C342">
        <v>1</v>
      </c>
      <c r="D342" t="s">
        <v>19</v>
      </c>
      <c r="E342" t="s">
        <v>325</v>
      </c>
      <c r="F342">
        <v>162</v>
      </c>
      <c r="G342" s="10">
        <v>21</v>
      </c>
      <c r="H342">
        <v>7</v>
      </c>
      <c r="I342">
        <v>7</v>
      </c>
      <c r="J342" s="2" t="s">
        <v>326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>
        <v>224</v>
      </c>
      <c r="O342">
        <v>75</v>
      </c>
      <c r="P342" s="2">
        <v>0.25</v>
      </c>
      <c r="Q342" s="6">
        <v>40</v>
      </c>
      <c r="R342" s="10">
        <v>162</v>
      </c>
      <c r="S342" s="10">
        <v>7</v>
      </c>
      <c r="T342" s="10"/>
      <c r="U342" t="str">
        <f>"RUNNING_COST_"&amp;IF(PROPERTIES[[#This Row],[ENGINE_CLASS]]="MAGLEV","ELECTRIC",PROPERTIES[[#This Row],[ENGINE_CLASS]])</f>
        <v>RUNNING_COST_ELECTRIC</v>
      </c>
      <c r="V342" s="10" t="s">
        <v>1002</v>
      </c>
      <c r="W342" s="10" t="s">
        <v>1003</v>
      </c>
      <c r="X342" s="10" t="str">
        <f>SUBSTITUTE(SUBSTITUTE(PROPERTIES[[#This Row],[PURCHASECOST_VALUE]], "PURCHASECOST_", ""), "_VALUE", "")</f>
        <v>METRO</v>
      </c>
      <c r="AP342"/>
      <c r="AQ342"/>
      <c r="AR342"/>
    </row>
    <row r="343" spans="1:44">
      <c r="A343" s="2" t="s">
        <v>368</v>
      </c>
      <c r="B343">
        <v>1996</v>
      </c>
      <c r="C343">
        <v>1</v>
      </c>
      <c r="D343" t="s">
        <v>19</v>
      </c>
      <c r="E343" t="s">
        <v>325</v>
      </c>
      <c r="F343">
        <v>116</v>
      </c>
      <c r="G343" s="10">
        <v>44</v>
      </c>
      <c r="H343">
        <v>7</v>
      </c>
      <c r="I343">
        <v>7</v>
      </c>
      <c r="J343" s="2" t="s">
        <v>326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>
        <v>1270</v>
      </c>
      <c r="O343">
        <v>100</v>
      </c>
      <c r="P343" s="2">
        <v>0.42</v>
      </c>
      <c r="Q343" s="6">
        <v>40</v>
      </c>
      <c r="R343" s="10">
        <v>116</v>
      </c>
      <c r="S343" s="10">
        <v>7</v>
      </c>
      <c r="T343" s="10"/>
      <c r="U343" t="str">
        <f>"RUNNING_COST_"&amp;IF(PROPERTIES[[#This Row],[ENGINE_CLASS]]="MAGLEV","ELECTRIC",PROPERTIES[[#This Row],[ENGINE_CLASS]])</f>
        <v>RUNNING_COST_ELECTRIC</v>
      </c>
      <c r="V343" s="10" t="s">
        <v>1002</v>
      </c>
      <c r="W343" s="10" t="s">
        <v>1003</v>
      </c>
      <c r="X343" s="10" t="str">
        <f>SUBSTITUTE(SUBSTITUTE(PROPERTIES[[#This Row],[PURCHASECOST_VALUE]], "PURCHASECOST_", ""), "_VALUE", "")</f>
        <v>METRO</v>
      </c>
      <c r="AP343"/>
      <c r="AQ343"/>
      <c r="AR343"/>
    </row>
    <row r="344" spans="1:44">
      <c r="A344" s="2" t="s">
        <v>369</v>
      </c>
      <c r="B344">
        <v>2004</v>
      </c>
      <c r="C344">
        <v>1</v>
      </c>
      <c r="D344" t="s">
        <v>19</v>
      </c>
      <c r="E344" t="s">
        <v>325</v>
      </c>
      <c r="F344">
        <v>196</v>
      </c>
      <c r="G344" s="10">
        <v>42</v>
      </c>
      <c r="H344">
        <v>8</v>
      </c>
      <c r="I344">
        <v>8</v>
      </c>
      <c r="J344" s="2" t="s">
        <v>326</v>
      </c>
      <c r="K344">
        <f>_xlfn.XLOOKUP("LOADINGSPEEDDEF_"&amp;PROPERTIES[[#This Row],[LOADINGSPEED]],LOADINGSPEEDDEF[TYPE],LOADINGSPEEDDEF[SPEED])</f>
        <v>120</v>
      </c>
      <c r="L344" t="s">
        <v>21</v>
      </c>
      <c r="M344">
        <v>1</v>
      </c>
      <c r="N344">
        <v>1500</v>
      </c>
      <c r="O344">
        <v>100</v>
      </c>
      <c r="P344" s="2">
        <v>0.92</v>
      </c>
      <c r="Q344" s="6">
        <v>40</v>
      </c>
      <c r="R344" s="10">
        <v>196</v>
      </c>
      <c r="S344" s="10">
        <v>8</v>
      </c>
      <c r="T344" s="10"/>
      <c r="U344" t="str">
        <f>"RUNNING_COST_"&amp;IF(PROPERTIES[[#This Row],[ENGINE_CLASS]]="MAGLEV","ELECTRIC",PROPERTIES[[#This Row],[ENGINE_CLASS]])</f>
        <v>RUNNING_COST_ELECTRIC</v>
      </c>
      <c r="V344" s="10" t="s">
        <v>1002</v>
      </c>
      <c r="W344" s="10" t="s">
        <v>1003</v>
      </c>
      <c r="X344" s="10" t="str">
        <f>SUBSTITUTE(SUBSTITUTE(PROPERTIES[[#This Row],[PURCHASECOST_VALUE]], "PURCHASECOST_", ""), "_VALUE", "")</f>
        <v>METRO</v>
      </c>
      <c r="AP344"/>
      <c r="AQ344"/>
      <c r="AR344"/>
    </row>
    <row r="345" spans="1:44">
      <c r="A345" s="2" t="s">
        <v>370</v>
      </c>
      <c r="B345">
        <v>2008</v>
      </c>
      <c r="C345">
        <v>1</v>
      </c>
      <c r="D345" t="s">
        <v>19</v>
      </c>
      <c r="E345" t="s">
        <v>325</v>
      </c>
      <c r="F345">
        <v>182</v>
      </c>
      <c r="G345" s="10">
        <v>27</v>
      </c>
      <c r="H345">
        <v>8</v>
      </c>
      <c r="I345">
        <v>8</v>
      </c>
      <c r="J345" s="2" t="s">
        <v>326</v>
      </c>
      <c r="K345">
        <f>_xlfn.XLOOKUP("LOADINGSPEEDDEF_"&amp;PROPERTIES[[#This Row],[LOADINGSPEED]],LOADINGSPEEDDEF[TYPE],LOADINGSPEEDDEF[SPEED])</f>
        <v>120</v>
      </c>
      <c r="L345" t="s">
        <v>21</v>
      </c>
      <c r="M345">
        <v>1</v>
      </c>
      <c r="N345">
        <v>946</v>
      </c>
      <c r="O345">
        <v>80</v>
      </c>
      <c r="P345" s="2">
        <v>0.97</v>
      </c>
      <c r="Q345" s="6">
        <v>40</v>
      </c>
      <c r="R345" s="10">
        <v>182</v>
      </c>
      <c r="S345" s="10">
        <v>8</v>
      </c>
      <c r="T345" s="10"/>
      <c r="U345" t="str">
        <f>"RUNNING_COST_"&amp;IF(PROPERTIES[[#This Row],[ENGINE_CLASS]]="MAGLEV","ELECTRIC",PROPERTIES[[#This Row],[ENGINE_CLASS]])</f>
        <v>RUNNING_COST_ELECTRIC</v>
      </c>
      <c r="V345" s="10" t="s">
        <v>1002</v>
      </c>
      <c r="W345" s="10" t="s">
        <v>1003</v>
      </c>
      <c r="X345" s="10" t="str">
        <f>SUBSTITUTE(SUBSTITUTE(PROPERTIES[[#This Row],[PURCHASECOST_VALUE]], "PURCHASECOST_", ""), "_VALUE", "")</f>
        <v>METRO</v>
      </c>
      <c r="AP345"/>
      <c r="AQ345"/>
      <c r="AR345"/>
    </row>
    <row r="346" spans="1:44">
      <c r="A346" s="2" t="s">
        <v>371</v>
      </c>
      <c r="B346">
        <v>1974</v>
      </c>
      <c r="C346">
        <v>1</v>
      </c>
      <c r="D346" t="s">
        <v>19</v>
      </c>
      <c r="E346" t="s">
        <v>325</v>
      </c>
      <c r="F346">
        <v>192</v>
      </c>
      <c r="G346" s="10">
        <v>41</v>
      </c>
      <c r="H346">
        <v>8</v>
      </c>
      <c r="I346">
        <v>8</v>
      </c>
      <c r="J346" s="2" t="s">
        <v>24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>
        <v>530</v>
      </c>
      <c r="O346">
        <v>80</v>
      </c>
      <c r="P346" s="2">
        <v>0.46</v>
      </c>
      <c r="Q346" s="6">
        <v>40</v>
      </c>
      <c r="R346" s="10">
        <v>192</v>
      </c>
      <c r="S346" s="10">
        <v>8</v>
      </c>
      <c r="T346" s="10"/>
      <c r="U346" t="str">
        <f>"RUNNING_COST_"&amp;IF(PROPERTIES[[#This Row],[ENGINE_CLASS]]="MAGLEV","ELECTRIC",PROPERTIES[[#This Row],[ENGINE_CLASS]])</f>
        <v>RUNNING_COST_ELECTRIC</v>
      </c>
      <c r="V346" s="10" t="s">
        <v>1002</v>
      </c>
      <c r="W346" s="10" t="s">
        <v>1003</v>
      </c>
      <c r="X346" s="10" t="str">
        <f>SUBSTITUTE(SUBSTITUTE(PROPERTIES[[#This Row],[PURCHASECOST_VALUE]], "PURCHASECOST_", ""), "_VALUE", "")</f>
        <v>METRO</v>
      </c>
      <c r="AP346"/>
      <c r="AQ346"/>
      <c r="AR346"/>
    </row>
    <row r="347" spans="1:44">
      <c r="A347" s="2" t="s">
        <v>372</v>
      </c>
      <c r="B347">
        <v>1999</v>
      </c>
      <c r="C347">
        <v>1</v>
      </c>
      <c r="D347" t="s">
        <v>19</v>
      </c>
      <c r="E347" t="s">
        <v>325</v>
      </c>
      <c r="F347">
        <v>194</v>
      </c>
      <c r="G347" s="10">
        <v>30</v>
      </c>
      <c r="H347">
        <v>8</v>
      </c>
      <c r="I347">
        <v>8</v>
      </c>
      <c r="J347" s="2" t="s">
        <v>24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>
        <v>1876</v>
      </c>
      <c r="O347">
        <v>90</v>
      </c>
      <c r="P347" s="2">
        <v>1</v>
      </c>
      <c r="Q347" s="6">
        <v>40</v>
      </c>
      <c r="R347" s="10">
        <v>194</v>
      </c>
      <c r="S347" s="10">
        <v>8</v>
      </c>
      <c r="T347" s="10"/>
      <c r="U347" t="str">
        <f>"RUNNING_COST_"&amp;IF(PROPERTIES[[#This Row],[ENGINE_CLASS]]="MAGLEV","ELECTRIC",PROPERTIES[[#This Row],[ENGINE_CLASS]])</f>
        <v>RUNNING_COST_ELECTRIC</v>
      </c>
      <c r="V347" s="10" t="s">
        <v>1002</v>
      </c>
      <c r="W347" s="10" t="s">
        <v>1003</v>
      </c>
      <c r="X347" s="10" t="str">
        <f>SUBSTITUTE(SUBSTITUTE(PROPERTIES[[#This Row],[PURCHASECOST_VALUE]], "PURCHASECOST_", ""), "_VALUE", "")</f>
        <v>METRO</v>
      </c>
      <c r="AP347"/>
      <c r="AQ347"/>
      <c r="AR347"/>
    </row>
    <row r="348" spans="1:44">
      <c r="A348" s="2" t="s">
        <v>373</v>
      </c>
      <c r="B348">
        <v>2011</v>
      </c>
      <c r="C348">
        <v>1</v>
      </c>
      <c r="D348" t="s">
        <v>19</v>
      </c>
      <c r="E348" t="s">
        <v>325</v>
      </c>
      <c r="F348">
        <v>215</v>
      </c>
      <c r="G348" s="10">
        <v>47</v>
      </c>
      <c r="H348">
        <v>7</v>
      </c>
      <c r="I348">
        <v>7</v>
      </c>
      <c r="J348" s="2" t="s">
        <v>24</v>
      </c>
      <c r="K348">
        <f>_xlfn.XLOOKUP("LOADINGSPEEDDEF_"&amp;PROPERTIES[[#This Row],[LOADINGSPEED]],LOADINGSPEEDDEF[TYPE],LOADINGSPEEDDEF[SPEED])</f>
        <v>40</v>
      </c>
      <c r="L348" t="s">
        <v>21</v>
      </c>
      <c r="M348">
        <v>1</v>
      </c>
      <c r="N348">
        <v>1400</v>
      </c>
      <c r="O348">
        <v>72</v>
      </c>
      <c r="P348" s="2">
        <v>0.51</v>
      </c>
      <c r="Q348" s="6">
        <v>40</v>
      </c>
      <c r="R348" s="10">
        <v>215</v>
      </c>
      <c r="S348" s="10">
        <v>7</v>
      </c>
      <c r="T348" s="10"/>
      <c r="U348" t="str">
        <f>"RUNNING_COST_"&amp;IF(PROPERTIES[[#This Row],[ENGINE_CLASS]]="MAGLEV","ELECTRIC",PROPERTIES[[#This Row],[ENGINE_CLASS]])</f>
        <v>RUNNING_COST_ELECTRIC</v>
      </c>
      <c r="V348" s="10" t="s">
        <v>1002</v>
      </c>
      <c r="W348" s="10" t="s">
        <v>1003</v>
      </c>
      <c r="X348" s="10" t="str">
        <f>SUBSTITUTE(SUBSTITUTE(PROPERTIES[[#This Row],[PURCHASECOST_VALUE]], "PURCHASECOST_", ""), "_VALUE", "")</f>
        <v>METRO</v>
      </c>
      <c r="AP348"/>
      <c r="AQ348"/>
      <c r="AR348"/>
    </row>
    <row r="349" spans="1:44">
      <c r="A349" s="2" t="s">
        <v>374</v>
      </c>
      <c r="B349">
        <v>2015</v>
      </c>
      <c r="C349">
        <v>1</v>
      </c>
      <c r="D349" t="s">
        <v>19</v>
      </c>
      <c r="E349" t="s">
        <v>325</v>
      </c>
      <c r="F349">
        <v>145</v>
      </c>
      <c r="G349" s="10">
        <v>27</v>
      </c>
      <c r="H349">
        <v>8</v>
      </c>
      <c r="I349">
        <v>8</v>
      </c>
      <c r="J349" s="2" t="s">
        <v>24</v>
      </c>
      <c r="K349">
        <f>_xlfn.XLOOKUP("LOADINGSPEEDDEF_"&amp;PROPERTIES[[#This Row],[LOADINGSPEED]],LOADINGSPEEDDEF[TYPE],LOADINGSPEEDDEF[SPEED])</f>
        <v>40</v>
      </c>
      <c r="L349" t="s">
        <v>21</v>
      </c>
      <c r="M349">
        <v>1</v>
      </c>
      <c r="N349">
        <v>1448</v>
      </c>
      <c r="O349">
        <v>70</v>
      </c>
      <c r="P349" s="2">
        <v>0.87</v>
      </c>
      <c r="Q349" s="6">
        <v>40</v>
      </c>
      <c r="R349" s="10">
        <v>145</v>
      </c>
      <c r="S349" s="10">
        <v>8</v>
      </c>
      <c r="T349" s="10"/>
      <c r="U349" t="str">
        <f>"RUNNING_COST_"&amp;IF(PROPERTIES[[#This Row],[ENGINE_CLASS]]="MAGLEV","ELECTRIC",PROPERTIES[[#This Row],[ENGINE_CLASS]])</f>
        <v>RUNNING_COST_ELECTRIC</v>
      </c>
      <c r="V349" s="10" t="s">
        <v>1002</v>
      </c>
      <c r="W349" s="10" t="s">
        <v>1003</v>
      </c>
      <c r="X349" s="10" t="str">
        <f>SUBSTITUTE(SUBSTITUTE(PROPERTIES[[#This Row],[PURCHASECOST_VALUE]], "PURCHASECOST_", ""), "_VALUE", "")</f>
        <v>METRO</v>
      </c>
      <c r="AP349"/>
      <c r="AQ349"/>
      <c r="AR349"/>
    </row>
    <row r="350" spans="1:44">
      <c r="A350" s="2" t="s">
        <v>375</v>
      </c>
      <c r="B350">
        <v>1950</v>
      </c>
      <c r="C350">
        <v>1</v>
      </c>
      <c r="D350" t="s">
        <v>19</v>
      </c>
      <c r="E350" t="s">
        <v>325</v>
      </c>
      <c r="F350">
        <v>130</v>
      </c>
      <c r="G350" s="10">
        <v>10</v>
      </c>
      <c r="H350">
        <v>7</v>
      </c>
      <c r="I350">
        <v>7</v>
      </c>
      <c r="J350" s="2" t="s">
        <v>326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>
        <v>440</v>
      </c>
      <c r="O350">
        <v>80</v>
      </c>
      <c r="P350" s="2">
        <v>1</v>
      </c>
      <c r="Q350" s="6">
        <v>60</v>
      </c>
      <c r="R350" s="10">
        <v>130</v>
      </c>
      <c r="S350" s="10">
        <v>7</v>
      </c>
      <c r="T350" s="10"/>
      <c r="U350" t="str">
        <f>"RUNNING_COST_"&amp;IF(PROPERTIES[[#This Row],[ENGINE_CLASS]]="MAGLEV","ELECTRIC",PROPERTIES[[#This Row],[ENGINE_CLASS]])</f>
        <v>RUNNING_COST_ELECTRIC</v>
      </c>
      <c r="V350" s="10" t="s">
        <v>1002</v>
      </c>
      <c r="W350" s="10" t="s">
        <v>1003</v>
      </c>
      <c r="X350" s="10" t="str">
        <f>SUBSTITUTE(SUBSTITUTE(PROPERTIES[[#This Row],[PURCHASECOST_VALUE]], "PURCHASECOST_", ""), "_VALUE", "")</f>
        <v>METRO</v>
      </c>
      <c r="AP350"/>
      <c r="AQ350"/>
      <c r="AR350"/>
    </row>
    <row r="351" spans="1:44">
      <c r="A351" s="2" t="s">
        <v>376</v>
      </c>
      <c r="B351">
        <v>1903</v>
      </c>
      <c r="C351">
        <v>1</v>
      </c>
      <c r="D351" t="s">
        <v>19</v>
      </c>
      <c r="E351" t="s">
        <v>325</v>
      </c>
      <c r="F351">
        <v>125</v>
      </c>
      <c r="G351" s="10">
        <v>45</v>
      </c>
      <c r="H351">
        <v>8</v>
      </c>
      <c r="I351">
        <v>8</v>
      </c>
      <c r="J351" s="2" t="s">
        <v>326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>
        <v>300</v>
      </c>
      <c r="O351">
        <v>70</v>
      </c>
      <c r="P351" s="2">
        <v>0.22</v>
      </c>
      <c r="Q351" s="6">
        <v>60</v>
      </c>
      <c r="R351" s="10">
        <v>125</v>
      </c>
      <c r="S351" s="10">
        <v>8</v>
      </c>
      <c r="T351" s="10"/>
      <c r="U351" t="str">
        <f>"RUNNING_COST_"&amp;IF(PROPERTIES[[#This Row],[ENGINE_CLASS]]="MAGLEV","ELECTRIC",PROPERTIES[[#This Row],[ENGINE_CLASS]])</f>
        <v>RUNNING_COST_ELECTRIC</v>
      </c>
      <c r="V351" s="10" t="s">
        <v>1002</v>
      </c>
      <c r="W351" s="10" t="s">
        <v>1003</v>
      </c>
      <c r="X351" s="10" t="str">
        <f>SUBSTITUTE(SUBSTITUTE(PROPERTIES[[#This Row],[PURCHASECOST_VALUE]], "PURCHASECOST_", ""), "_VALUE", "")</f>
        <v>METRO</v>
      </c>
      <c r="AP351"/>
      <c r="AQ351"/>
      <c r="AR351"/>
    </row>
    <row r="352" spans="1:44">
      <c r="A352" s="2" t="s">
        <v>377</v>
      </c>
      <c r="B352">
        <v>1938</v>
      </c>
      <c r="C352">
        <v>1</v>
      </c>
      <c r="D352" t="s">
        <v>19</v>
      </c>
      <c r="E352" t="s">
        <v>325</v>
      </c>
      <c r="F352">
        <v>120</v>
      </c>
      <c r="G352" s="10">
        <v>26</v>
      </c>
      <c r="H352">
        <v>7</v>
      </c>
      <c r="I352">
        <v>7</v>
      </c>
      <c r="J352" s="2" t="s">
        <v>326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>
        <v>600</v>
      </c>
      <c r="O352">
        <v>70</v>
      </c>
      <c r="P352" s="2">
        <v>0.77</v>
      </c>
      <c r="Q352" s="6">
        <v>60</v>
      </c>
      <c r="R352" s="10">
        <v>120</v>
      </c>
      <c r="S352" s="10">
        <v>7</v>
      </c>
      <c r="T352" s="10"/>
      <c r="U352" t="str">
        <f>"RUNNING_COST_"&amp;IF(PROPERTIES[[#This Row],[ENGINE_CLASS]]="MAGLEV","ELECTRIC",PROPERTIES[[#This Row],[ENGINE_CLASS]])</f>
        <v>RUNNING_COST_ELECTRIC</v>
      </c>
      <c r="V352" s="10" t="s">
        <v>1002</v>
      </c>
      <c r="W352" s="10" t="s">
        <v>1003</v>
      </c>
      <c r="X352" s="10" t="str">
        <f>SUBSTITUTE(SUBSTITUTE(PROPERTIES[[#This Row],[PURCHASECOST_VALUE]], "PURCHASECOST_", ""), "_VALUE", "")</f>
        <v>METRO</v>
      </c>
      <c r="AP352"/>
      <c r="AQ352"/>
      <c r="AR352"/>
    </row>
    <row r="353" spans="1:44">
      <c r="A353" s="2" t="s">
        <v>378</v>
      </c>
      <c r="B353">
        <v>1914</v>
      </c>
      <c r="C353">
        <v>0</v>
      </c>
      <c r="D353" t="s">
        <v>74</v>
      </c>
      <c r="E353" t="s">
        <v>20</v>
      </c>
      <c r="F353">
        <v>0</v>
      </c>
      <c r="G353" s="10">
        <v>74</v>
      </c>
      <c r="H353">
        <v>7</v>
      </c>
      <c r="I353">
        <v>7</v>
      </c>
      <c r="J353" s="2" t="s">
        <v>20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>
        <v>1100</v>
      </c>
      <c r="O353">
        <v>40</v>
      </c>
      <c r="P353" s="2">
        <v>0.18</v>
      </c>
      <c r="Q353" s="6">
        <v>40</v>
      </c>
      <c r="R353" s="10">
        <v>0</v>
      </c>
      <c r="S353" s="10">
        <v>0</v>
      </c>
      <c r="T353" s="10"/>
      <c r="U353" t="str">
        <f>"RUNNING_COST_"&amp;IF(PROPERTIES[[#This Row],[ENGINE_CLASS]]="MAGLEV","ELECTRIC",PROPERTIES[[#This Row],[ENGINE_CLASS]])</f>
        <v>RUNNING_COST_ELECTRIC</v>
      </c>
      <c r="V353" s="10" t="s">
        <v>1004</v>
      </c>
      <c r="W353" s="10" t="s">
        <v>1005</v>
      </c>
      <c r="X353" s="10" t="str">
        <f>SUBSTITUTE(SUBSTITUTE(PROPERTIES[[#This Row],[PURCHASECOST_VALUE]], "PURCHASECOST_", ""), "_VALUE", "")</f>
        <v>ELECTRICENGINE</v>
      </c>
      <c r="AP353"/>
      <c r="AQ353"/>
      <c r="AR353"/>
    </row>
    <row r="354" spans="1:44">
      <c r="A354" s="2" t="s">
        <v>379</v>
      </c>
      <c r="B354">
        <v>1931</v>
      </c>
      <c r="C354">
        <v>0</v>
      </c>
      <c r="D354" t="s">
        <v>74</v>
      </c>
      <c r="E354" t="s">
        <v>20</v>
      </c>
      <c r="F354">
        <v>0</v>
      </c>
      <c r="G354" s="10">
        <v>22</v>
      </c>
      <c r="H354">
        <v>5</v>
      </c>
      <c r="I354">
        <v>5</v>
      </c>
      <c r="J354" s="2" t="s">
        <v>20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>
        <v>180</v>
      </c>
      <c r="O354">
        <v>40</v>
      </c>
      <c r="P354" s="2">
        <v>0.3</v>
      </c>
      <c r="Q354" s="6">
        <v>40</v>
      </c>
      <c r="R354" s="10">
        <v>0</v>
      </c>
      <c r="S354" s="10">
        <v>0</v>
      </c>
      <c r="T354" s="10"/>
      <c r="U354" t="str">
        <f>"RUNNING_COST_"&amp;IF(PROPERTIES[[#This Row],[ENGINE_CLASS]]="MAGLEV","ELECTRIC",PROPERTIES[[#This Row],[ENGINE_CLASS]])</f>
        <v>RUNNING_COST_ELECTRIC</v>
      </c>
      <c r="V354" s="10" t="s">
        <v>1004</v>
      </c>
      <c r="W354" s="10" t="s">
        <v>1005</v>
      </c>
      <c r="X354" s="10" t="str">
        <f>SUBSTITUTE(SUBSTITUTE(PROPERTIES[[#This Row],[PURCHASECOST_VALUE]], "PURCHASECOST_", ""), "_VALUE", "")</f>
        <v>ELECTRICENGINE</v>
      </c>
      <c r="AP354"/>
      <c r="AQ354"/>
      <c r="AR354"/>
    </row>
    <row r="355" spans="1:44">
      <c r="A355" s="2" t="s">
        <v>380</v>
      </c>
      <c r="B355">
        <v>1936</v>
      </c>
      <c r="C355">
        <v>0</v>
      </c>
      <c r="D355" t="s">
        <v>74</v>
      </c>
      <c r="E355" t="s">
        <v>20</v>
      </c>
      <c r="F355">
        <v>0</v>
      </c>
      <c r="G355" s="10">
        <v>100</v>
      </c>
      <c r="H355">
        <v>8</v>
      </c>
      <c r="I355">
        <v>8</v>
      </c>
      <c r="J355" s="2" t="s">
        <v>20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>
        <v>1810</v>
      </c>
      <c r="O355">
        <v>75</v>
      </c>
      <c r="P355" s="2">
        <v>0.06</v>
      </c>
      <c r="Q355" s="6">
        <v>40</v>
      </c>
      <c r="R355" s="10">
        <v>0</v>
      </c>
      <c r="S355" s="10">
        <v>0</v>
      </c>
      <c r="T355" s="10"/>
      <c r="U355" t="str">
        <f>"RUNNING_COST_"&amp;IF(PROPERTIES[[#This Row],[ENGINE_CLASS]]="MAGLEV","ELECTRIC",PROPERTIES[[#This Row],[ENGINE_CLASS]])</f>
        <v>RUNNING_COST_ELECTRIC</v>
      </c>
      <c r="V355" s="10" t="s">
        <v>1004</v>
      </c>
      <c r="W355" s="10" t="s">
        <v>1005</v>
      </c>
      <c r="X355" s="10" t="str">
        <f>SUBSTITUTE(SUBSTITUTE(PROPERTIES[[#This Row],[PURCHASECOST_VALUE]], "PURCHASECOST_", ""), "_VALUE", "")</f>
        <v>ELECTRICENGINE</v>
      </c>
      <c r="AP355"/>
      <c r="AQ355"/>
      <c r="AR355"/>
    </row>
    <row r="356" spans="1:44">
      <c r="A356" s="2" t="s">
        <v>381</v>
      </c>
      <c r="B356">
        <v>1948</v>
      </c>
      <c r="C356">
        <v>0</v>
      </c>
      <c r="D356" t="s">
        <v>74</v>
      </c>
      <c r="E356" t="s">
        <v>20</v>
      </c>
      <c r="F356">
        <v>0</v>
      </c>
      <c r="G356" s="10">
        <v>100</v>
      </c>
      <c r="H356">
        <v>8</v>
      </c>
      <c r="I356">
        <v>8</v>
      </c>
      <c r="J356" s="2" t="s">
        <v>20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>
        <v>3749</v>
      </c>
      <c r="O356">
        <v>135</v>
      </c>
      <c r="P356" s="2">
        <v>0.18</v>
      </c>
      <c r="Q356" s="6">
        <v>40</v>
      </c>
      <c r="R356" s="10">
        <v>0</v>
      </c>
      <c r="S356" s="10">
        <v>0</v>
      </c>
      <c r="T356" s="10"/>
      <c r="U356" t="str">
        <f>"RUNNING_COST_"&amp;IF(PROPERTIES[[#This Row],[ENGINE_CLASS]]="MAGLEV","ELECTRIC",PROPERTIES[[#This Row],[ENGINE_CLASS]])</f>
        <v>RUNNING_COST_ELECTRIC</v>
      </c>
      <c r="V356" s="10" t="s">
        <v>1004</v>
      </c>
      <c r="W356" s="10" t="s">
        <v>1005</v>
      </c>
      <c r="X356" s="10" t="str">
        <f>SUBSTITUTE(SUBSTITUTE(PROPERTIES[[#This Row],[PURCHASECOST_VALUE]], "PURCHASECOST_", ""), "_VALUE", "")</f>
        <v>ELECTRICENGINE</v>
      </c>
      <c r="AP356"/>
      <c r="AQ356"/>
      <c r="AR356"/>
    </row>
    <row r="357" spans="1:44">
      <c r="A357" s="2" t="s">
        <v>382</v>
      </c>
      <c r="B357">
        <v>1980</v>
      </c>
      <c r="C357">
        <v>0</v>
      </c>
      <c r="D357" t="s">
        <v>74</v>
      </c>
      <c r="E357" t="s">
        <v>20</v>
      </c>
      <c r="F357">
        <v>0</v>
      </c>
      <c r="G357" s="10">
        <v>84</v>
      </c>
      <c r="H357">
        <v>8</v>
      </c>
      <c r="I357">
        <v>8</v>
      </c>
      <c r="J357" s="2" t="s">
        <v>20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>
        <v>4539</v>
      </c>
      <c r="O357">
        <v>180</v>
      </c>
      <c r="P357" s="2">
        <v>0.31</v>
      </c>
      <c r="Q357" s="6">
        <v>40</v>
      </c>
      <c r="R357" s="10">
        <v>0</v>
      </c>
      <c r="S357" s="10">
        <v>0</v>
      </c>
      <c r="T357" s="10"/>
      <c r="U357" t="str">
        <f>"RUNNING_COST_"&amp;IF(PROPERTIES[[#This Row],[ENGINE_CLASS]]="MAGLEV","ELECTRIC",PROPERTIES[[#This Row],[ENGINE_CLASS]])</f>
        <v>RUNNING_COST_ELECTRIC</v>
      </c>
      <c r="V357" s="10" t="s">
        <v>1004</v>
      </c>
      <c r="W357" s="10" t="s">
        <v>1005</v>
      </c>
      <c r="X357" s="10" t="str">
        <f>SUBSTITUTE(SUBSTITUTE(PROPERTIES[[#This Row],[PURCHASECOST_VALUE]], "PURCHASECOST_", ""), "_VALUE", "")</f>
        <v>ELECTRICENGINE</v>
      </c>
      <c r="AP357"/>
      <c r="AQ357"/>
      <c r="AR357"/>
    </row>
    <row r="358" spans="1:44">
      <c r="A358" s="2" t="s">
        <v>383</v>
      </c>
      <c r="B358">
        <v>1923</v>
      </c>
      <c r="C358">
        <v>0</v>
      </c>
      <c r="D358" t="s">
        <v>74</v>
      </c>
      <c r="E358" t="s">
        <v>20</v>
      </c>
      <c r="F358">
        <v>0</v>
      </c>
      <c r="G358" s="10">
        <v>56</v>
      </c>
      <c r="H358">
        <v>7</v>
      </c>
      <c r="I358">
        <v>7</v>
      </c>
      <c r="J358" s="2" t="s">
        <v>20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>
        <v>620</v>
      </c>
      <c r="O358">
        <v>65</v>
      </c>
      <c r="P358" s="2">
        <v>0.11</v>
      </c>
      <c r="Q358" s="6">
        <v>40</v>
      </c>
      <c r="R358" s="10">
        <v>0</v>
      </c>
      <c r="S358" s="10">
        <v>0</v>
      </c>
      <c r="T358" s="10"/>
      <c r="U358" t="str">
        <f>"RUNNING_COST_"&amp;IF(PROPERTIES[[#This Row],[ENGINE_CLASS]]="MAGLEV","ELECTRIC",PROPERTIES[[#This Row],[ENGINE_CLASS]])</f>
        <v>RUNNING_COST_ELECTRIC</v>
      </c>
      <c r="V358" s="10" t="s">
        <v>1004</v>
      </c>
      <c r="W358" s="10" t="s">
        <v>1005</v>
      </c>
      <c r="X358" s="10" t="str">
        <f>SUBSTITUTE(SUBSTITUTE(PROPERTIES[[#This Row],[PURCHASECOST_VALUE]], "PURCHASECOST_", ""), "_VALUE", "")</f>
        <v>ELECTRICENGINE</v>
      </c>
      <c r="AP358"/>
      <c r="AQ358"/>
      <c r="AR358"/>
    </row>
    <row r="359" spans="1:44">
      <c r="A359" s="2" t="s">
        <v>384</v>
      </c>
      <c r="B359">
        <v>1903</v>
      </c>
      <c r="C359">
        <v>0</v>
      </c>
      <c r="D359" t="s">
        <v>74</v>
      </c>
      <c r="E359" t="s">
        <v>20</v>
      </c>
      <c r="F359">
        <v>0</v>
      </c>
      <c r="G359" s="10">
        <v>57</v>
      </c>
      <c r="H359">
        <v>6</v>
      </c>
      <c r="I359">
        <v>6</v>
      </c>
      <c r="J359" s="2" t="s">
        <v>20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>
        <v>640</v>
      </c>
      <c r="O359">
        <v>43</v>
      </c>
      <c r="P359" s="2">
        <v>0.19</v>
      </c>
      <c r="Q359" s="6">
        <v>40</v>
      </c>
      <c r="R359" s="10">
        <v>0</v>
      </c>
      <c r="S359" s="10">
        <v>0</v>
      </c>
      <c r="T359" s="10"/>
      <c r="U359" t="str">
        <f>"RUNNING_COST_"&amp;IF(PROPERTIES[[#This Row],[ENGINE_CLASS]]="MAGLEV","ELECTRIC",PROPERTIES[[#This Row],[ENGINE_CLASS]])</f>
        <v>RUNNING_COST_ELECTRIC</v>
      </c>
      <c r="V359" s="10" t="s">
        <v>1004</v>
      </c>
      <c r="W359" s="10" t="s">
        <v>1005</v>
      </c>
      <c r="X359" s="10" t="str">
        <f>SUBSTITUTE(SUBSTITUTE(PROPERTIES[[#This Row],[PURCHASECOST_VALUE]], "PURCHASECOST_", ""), "_VALUE", "")</f>
        <v>ELECTRICENGINE</v>
      </c>
      <c r="AP359"/>
      <c r="AQ359"/>
      <c r="AR359"/>
    </row>
    <row r="360" spans="1:44">
      <c r="A360" s="2" t="s">
        <v>385</v>
      </c>
      <c r="B360">
        <v>1903</v>
      </c>
      <c r="C360">
        <v>0</v>
      </c>
      <c r="D360" t="s">
        <v>74</v>
      </c>
      <c r="E360" t="s">
        <v>20</v>
      </c>
      <c r="F360">
        <v>0</v>
      </c>
      <c r="G360" s="10">
        <v>103</v>
      </c>
      <c r="H360">
        <v>7</v>
      </c>
      <c r="I360">
        <v>7</v>
      </c>
      <c r="J360" s="2" t="s">
        <v>20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>
        <v>1264</v>
      </c>
      <c r="O360">
        <v>97</v>
      </c>
      <c r="P360" s="2">
        <v>0.16</v>
      </c>
      <c r="Q360" s="6">
        <v>40</v>
      </c>
      <c r="R360" s="10">
        <v>0</v>
      </c>
      <c r="S360" s="10">
        <v>0</v>
      </c>
      <c r="T360" s="10"/>
      <c r="U360" t="str">
        <f>"RUNNING_COST_"&amp;IF(PROPERTIES[[#This Row],[ENGINE_CLASS]]="MAGLEV","ELECTRIC",PROPERTIES[[#This Row],[ENGINE_CLASS]])</f>
        <v>RUNNING_COST_ELECTRIC</v>
      </c>
      <c r="V360" s="10" t="s">
        <v>1004</v>
      </c>
      <c r="W360" s="10" t="s">
        <v>1005</v>
      </c>
      <c r="X360" s="10" t="str">
        <f>SUBSTITUTE(SUBSTITUTE(PROPERTIES[[#This Row],[PURCHASECOST_VALUE]], "PURCHASECOST_", ""), "_VALUE", "")</f>
        <v>ELECTRICENGINE</v>
      </c>
      <c r="AP360"/>
      <c r="AQ360"/>
      <c r="AR360"/>
    </row>
    <row r="361" spans="1:44">
      <c r="A361" s="2" t="s">
        <v>386</v>
      </c>
      <c r="B361">
        <v>1930</v>
      </c>
      <c r="C361">
        <v>0</v>
      </c>
      <c r="D361" t="s">
        <v>74</v>
      </c>
      <c r="E361" t="s">
        <v>20</v>
      </c>
      <c r="F361">
        <v>0</v>
      </c>
      <c r="G361" s="10">
        <v>40</v>
      </c>
      <c r="H361">
        <v>6</v>
      </c>
      <c r="I361">
        <v>6</v>
      </c>
      <c r="J361" s="2" t="s">
        <v>20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>
        <v>482</v>
      </c>
      <c r="O361">
        <v>28</v>
      </c>
      <c r="P361" s="2">
        <v>0.12</v>
      </c>
      <c r="Q361" s="6">
        <v>40</v>
      </c>
      <c r="R361" s="10">
        <v>0</v>
      </c>
      <c r="S361" s="10">
        <v>0</v>
      </c>
      <c r="T361" s="10"/>
      <c r="U361" t="str">
        <f>"RUNNING_COST_"&amp;IF(PROPERTIES[[#This Row],[ENGINE_CLASS]]="MAGLEV","ELECTRIC",PROPERTIES[[#This Row],[ENGINE_CLASS]])</f>
        <v>RUNNING_COST_ELECTRIC</v>
      </c>
      <c r="V361" s="10" t="s">
        <v>1004</v>
      </c>
      <c r="W361" s="10" t="s">
        <v>1005</v>
      </c>
      <c r="X361" s="10" t="str">
        <f>SUBSTITUTE(SUBSTITUTE(PROPERTIES[[#This Row],[PURCHASECOST_VALUE]], "PURCHASECOST_", ""), "_VALUE", "")</f>
        <v>ELECTRICENGINE</v>
      </c>
      <c r="AP361"/>
      <c r="AQ361"/>
      <c r="AR361"/>
    </row>
    <row r="362" spans="1:44">
      <c r="A362" s="2" t="s">
        <v>387</v>
      </c>
      <c r="B362">
        <v>1928</v>
      </c>
      <c r="C362">
        <v>0</v>
      </c>
      <c r="D362" t="s">
        <v>74</v>
      </c>
      <c r="E362" t="s">
        <v>20</v>
      </c>
      <c r="F362">
        <v>0</v>
      </c>
      <c r="G362" s="10">
        <v>55</v>
      </c>
      <c r="H362">
        <v>8</v>
      </c>
      <c r="I362">
        <v>8</v>
      </c>
      <c r="J362" s="2" t="s">
        <v>20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>
        <v>2610</v>
      </c>
      <c r="O362">
        <v>90</v>
      </c>
      <c r="P362" s="2">
        <v>0.6</v>
      </c>
      <c r="Q362" s="6">
        <v>40</v>
      </c>
      <c r="R362" s="10">
        <v>0</v>
      </c>
      <c r="S362" s="10">
        <v>0</v>
      </c>
      <c r="T362" s="10"/>
      <c r="U362" t="str">
        <f>"RUNNING_COST_"&amp;IF(PROPERTIES[[#This Row],[ENGINE_CLASS]]="MAGLEV","ELECTRIC",PROPERTIES[[#This Row],[ENGINE_CLASS]])</f>
        <v>RUNNING_COST_ELECTRIC</v>
      </c>
      <c r="V362" s="10" t="s">
        <v>1004</v>
      </c>
      <c r="W362" s="10" t="s">
        <v>1005</v>
      </c>
      <c r="X362" s="10" t="str">
        <f>SUBSTITUTE(SUBSTITUTE(PROPERTIES[[#This Row],[PURCHASECOST_VALUE]], "PURCHASECOST_", ""), "_VALUE", "")</f>
        <v>ELECTRICENGINE</v>
      </c>
      <c r="AP362"/>
      <c r="AQ362"/>
      <c r="AR362"/>
    </row>
    <row r="363" spans="1:44">
      <c r="A363" s="2" t="s">
        <v>388</v>
      </c>
      <c r="B363">
        <v>1954</v>
      </c>
      <c r="C363">
        <v>0</v>
      </c>
      <c r="D363" t="s">
        <v>74</v>
      </c>
      <c r="E363" t="s">
        <v>20</v>
      </c>
      <c r="F363">
        <v>0</v>
      </c>
      <c r="G363" s="10">
        <v>83</v>
      </c>
      <c r="H363">
        <v>8</v>
      </c>
      <c r="I363">
        <v>8</v>
      </c>
      <c r="J363" s="2" t="s">
        <v>20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>
        <v>4000</v>
      </c>
      <c r="O363">
        <v>140</v>
      </c>
      <c r="P363" s="2">
        <v>0.25</v>
      </c>
      <c r="Q363" s="6">
        <v>40</v>
      </c>
      <c r="R363" s="10">
        <v>0</v>
      </c>
      <c r="S363" s="10">
        <v>0</v>
      </c>
      <c r="T363" s="10"/>
      <c r="U363" t="str">
        <f>"RUNNING_COST_"&amp;IF(PROPERTIES[[#This Row],[ENGINE_CLASS]]="MAGLEV","ELECTRIC",PROPERTIES[[#This Row],[ENGINE_CLASS]])</f>
        <v>RUNNING_COST_ELECTRIC</v>
      </c>
      <c r="V363" s="10" t="s">
        <v>1004</v>
      </c>
      <c r="W363" s="10" t="s">
        <v>1005</v>
      </c>
      <c r="X363" s="10" t="str">
        <f>SUBSTITUTE(SUBSTITUTE(PROPERTIES[[#This Row],[PURCHASECOST_VALUE]], "PURCHASECOST_", ""), "_VALUE", "")</f>
        <v>ELECTRICENGINE</v>
      </c>
      <c r="AP363"/>
      <c r="AQ363"/>
      <c r="AR363"/>
    </row>
    <row r="364" spans="1:44">
      <c r="A364" s="2" t="s">
        <v>389</v>
      </c>
      <c r="B364">
        <v>1925</v>
      </c>
      <c r="C364">
        <v>0</v>
      </c>
      <c r="D364" t="s">
        <v>74</v>
      </c>
      <c r="E364" t="s">
        <v>20</v>
      </c>
      <c r="F364">
        <v>0</v>
      </c>
      <c r="G364" s="10">
        <v>69</v>
      </c>
      <c r="H364">
        <v>6</v>
      </c>
      <c r="I364">
        <v>6</v>
      </c>
      <c r="J364" s="2" t="s">
        <v>20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>
        <v>765</v>
      </c>
      <c r="O364">
        <v>120</v>
      </c>
      <c r="P364" s="2">
        <v>0.23</v>
      </c>
      <c r="Q364" s="6">
        <v>40</v>
      </c>
      <c r="R364" s="10">
        <v>0</v>
      </c>
      <c r="S364" s="10">
        <v>0</v>
      </c>
      <c r="T364" s="10"/>
      <c r="U364" t="str">
        <f>"RUNNING_COST_"&amp;IF(PROPERTIES[[#This Row],[ENGINE_CLASS]]="MAGLEV","ELECTRIC",PROPERTIES[[#This Row],[ENGINE_CLASS]])</f>
        <v>RUNNING_COST_ELECTRIC</v>
      </c>
      <c r="V364" s="10" t="s">
        <v>1004</v>
      </c>
      <c r="W364" s="10" t="s">
        <v>1005</v>
      </c>
      <c r="X364" s="10" t="str">
        <f>SUBSTITUTE(SUBSTITUTE(PROPERTIES[[#This Row],[PURCHASECOST_VALUE]], "PURCHASECOST_", ""), "_VALUE", "")</f>
        <v>ELECTRICENGINE</v>
      </c>
      <c r="AP364"/>
      <c r="AQ364"/>
      <c r="AR364"/>
    </row>
    <row r="365" spans="1:44">
      <c r="A365" s="2" t="s">
        <v>390</v>
      </c>
      <c r="B365">
        <v>1953</v>
      </c>
      <c r="C365">
        <v>0</v>
      </c>
      <c r="D365" t="s">
        <v>74</v>
      </c>
      <c r="E365" t="s">
        <v>20</v>
      </c>
      <c r="F365">
        <v>0</v>
      </c>
      <c r="G365" s="10">
        <v>102</v>
      </c>
      <c r="H365">
        <v>8</v>
      </c>
      <c r="I365">
        <v>8</v>
      </c>
      <c r="J365" s="2" t="s">
        <v>20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>
        <v>2490</v>
      </c>
      <c r="O365">
        <v>145</v>
      </c>
      <c r="P365" s="2">
        <v>0.2</v>
      </c>
      <c r="Q365" s="6">
        <v>40</v>
      </c>
      <c r="R365" s="10">
        <v>0</v>
      </c>
      <c r="S365" s="10">
        <v>0</v>
      </c>
      <c r="T365" s="10"/>
      <c r="U365" t="str">
        <f>"RUNNING_COST_"&amp;IF(PROPERTIES[[#This Row],[ENGINE_CLASS]]="MAGLEV","ELECTRIC",PROPERTIES[[#This Row],[ENGINE_CLASS]])</f>
        <v>RUNNING_COST_ELECTRIC</v>
      </c>
      <c r="V365" s="10" t="s">
        <v>1004</v>
      </c>
      <c r="W365" s="10" t="s">
        <v>1005</v>
      </c>
      <c r="X365" s="10" t="str">
        <f>SUBSTITUTE(SUBSTITUTE(PROPERTIES[[#This Row],[PURCHASECOST_VALUE]], "PURCHASECOST_", ""), "_VALUE", "")</f>
        <v>ELECTRICENGINE</v>
      </c>
      <c r="AP365"/>
      <c r="AQ365"/>
      <c r="AR365"/>
    </row>
    <row r="366" spans="1:44">
      <c r="A366" s="2" t="s">
        <v>391</v>
      </c>
      <c r="B366">
        <v>1922</v>
      </c>
      <c r="C366">
        <v>0</v>
      </c>
      <c r="D366" t="s">
        <v>74</v>
      </c>
      <c r="E366" t="s">
        <v>20</v>
      </c>
      <c r="F366">
        <v>0</v>
      </c>
      <c r="G366" s="10">
        <v>111</v>
      </c>
      <c r="H366">
        <v>8</v>
      </c>
      <c r="I366">
        <v>8</v>
      </c>
      <c r="J366" s="2" t="s">
        <v>20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>
        <v>1800</v>
      </c>
      <c r="O366">
        <v>105</v>
      </c>
      <c r="P366" s="2">
        <v>0.11</v>
      </c>
      <c r="Q366" s="6">
        <v>40</v>
      </c>
      <c r="R366" s="10">
        <v>0</v>
      </c>
      <c r="S366" s="10">
        <v>0</v>
      </c>
      <c r="T366" s="10"/>
      <c r="U366" t="str">
        <f>"RUNNING_COST_"&amp;IF(PROPERTIES[[#This Row],[ENGINE_CLASS]]="MAGLEV","ELECTRIC",PROPERTIES[[#This Row],[ENGINE_CLASS]])</f>
        <v>RUNNING_COST_ELECTRIC</v>
      </c>
      <c r="V366" s="10" t="s">
        <v>1004</v>
      </c>
      <c r="W366" s="10" t="s">
        <v>1005</v>
      </c>
      <c r="X366" s="10" t="str">
        <f>SUBSTITUTE(SUBSTITUTE(PROPERTIES[[#This Row],[PURCHASECOST_VALUE]], "PURCHASECOST_", ""), "_VALUE", "")</f>
        <v>ELECTRICENGINE</v>
      </c>
      <c r="AP366"/>
      <c r="AQ366"/>
      <c r="AR366"/>
    </row>
    <row r="367" spans="1:44">
      <c r="A367" s="2" t="s">
        <v>392</v>
      </c>
      <c r="B367">
        <v>1916</v>
      </c>
      <c r="C367">
        <v>0</v>
      </c>
      <c r="D367" t="s">
        <v>74</v>
      </c>
      <c r="E367" t="s">
        <v>20</v>
      </c>
      <c r="F367">
        <v>0</v>
      </c>
      <c r="G367" s="10">
        <v>74</v>
      </c>
      <c r="H367">
        <v>6</v>
      </c>
      <c r="I367">
        <v>6</v>
      </c>
      <c r="J367" s="2" t="s">
        <v>20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>
        <v>670</v>
      </c>
      <c r="O367">
        <v>72</v>
      </c>
      <c r="P367" s="2">
        <v>0.18</v>
      </c>
      <c r="Q367" s="6">
        <v>40</v>
      </c>
      <c r="R367" s="10">
        <v>0</v>
      </c>
      <c r="S367" s="10">
        <v>0</v>
      </c>
      <c r="T367" s="10"/>
      <c r="U367" t="str">
        <f>"RUNNING_COST_"&amp;IF(PROPERTIES[[#This Row],[ENGINE_CLASS]]="MAGLEV","ELECTRIC",PROPERTIES[[#This Row],[ENGINE_CLASS]])</f>
        <v>RUNNING_COST_ELECTRIC</v>
      </c>
      <c r="V367" s="10" t="s">
        <v>1004</v>
      </c>
      <c r="W367" s="10" t="s">
        <v>1005</v>
      </c>
      <c r="X367" s="10" t="str">
        <f>SUBSTITUTE(SUBSTITUTE(PROPERTIES[[#This Row],[PURCHASECOST_VALUE]], "PURCHASECOST_", ""), "_VALUE", "")</f>
        <v>ELECTRICENGINE</v>
      </c>
      <c r="AP367"/>
      <c r="AQ367"/>
      <c r="AR367"/>
    </row>
    <row r="368" spans="1:44">
      <c r="A368" s="2" t="s">
        <v>393</v>
      </c>
      <c r="B368">
        <v>1919</v>
      </c>
      <c r="C368">
        <v>0</v>
      </c>
      <c r="D368" t="s">
        <v>74</v>
      </c>
      <c r="E368" t="s">
        <v>20</v>
      </c>
      <c r="F368">
        <v>0</v>
      </c>
      <c r="G368" s="10">
        <v>240</v>
      </c>
      <c r="H368">
        <v>8</v>
      </c>
      <c r="I368">
        <v>4</v>
      </c>
      <c r="J368" s="2" t="s">
        <v>20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>
        <v>4400</v>
      </c>
      <c r="O368">
        <v>144</v>
      </c>
      <c r="P368" s="2">
        <v>0.17</v>
      </c>
      <c r="Q368" s="6">
        <v>40</v>
      </c>
      <c r="R368" s="10">
        <v>0</v>
      </c>
      <c r="S368" s="10">
        <v>2</v>
      </c>
      <c r="T368" s="10"/>
      <c r="U368" t="str">
        <f>"RUNNING_COST_"&amp;IF(PROPERTIES[[#This Row],[ENGINE_CLASS]]="MAGLEV","ELECTRIC",PROPERTIES[[#This Row],[ENGINE_CLASS]])</f>
        <v>RUNNING_COST_ELECTRIC</v>
      </c>
      <c r="V368" s="10" t="s">
        <v>1004</v>
      </c>
      <c r="W368" s="10" t="s">
        <v>1005</v>
      </c>
      <c r="X368" s="10" t="str">
        <f>SUBSTITUTE(SUBSTITUTE(PROPERTIES[[#This Row],[PURCHASECOST_VALUE]], "PURCHASECOST_", ""), "_VALUE", "")</f>
        <v>ELECTRICENGINE</v>
      </c>
      <c r="AP368"/>
      <c r="AQ368"/>
      <c r="AR368"/>
    </row>
    <row r="369" spans="1:44">
      <c r="A369" s="2" t="s">
        <v>394</v>
      </c>
      <c r="B369">
        <v>1922</v>
      </c>
      <c r="C369">
        <v>0</v>
      </c>
      <c r="D369" t="s">
        <v>74</v>
      </c>
      <c r="E369" t="s">
        <v>20</v>
      </c>
      <c r="F369">
        <v>0</v>
      </c>
      <c r="G369" s="10">
        <v>115</v>
      </c>
      <c r="H369">
        <v>8</v>
      </c>
      <c r="I369">
        <v>8</v>
      </c>
      <c r="J369" s="2" t="s">
        <v>20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>
        <v>2250</v>
      </c>
      <c r="O369">
        <v>110</v>
      </c>
      <c r="P369" s="2">
        <v>0.19</v>
      </c>
      <c r="Q369" s="6">
        <v>40</v>
      </c>
      <c r="R369" s="10">
        <v>0</v>
      </c>
      <c r="S369" s="10">
        <v>0</v>
      </c>
      <c r="T369" s="10"/>
      <c r="U369" t="str">
        <f>"RUNNING_COST_"&amp;IF(PROPERTIES[[#This Row],[ENGINE_CLASS]]="MAGLEV","ELECTRIC",PROPERTIES[[#This Row],[ENGINE_CLASS]])</f>
        <v>RUNNING_COST_ELECTRIC</v>
      </c>
      <c r="V369" s="10" t="s">
        <v>1004</v>
      </c>
      <c r="W369" s="10" t="s">
        <v>1005</v>
      </c>
      <c r="X369" s="10" t="str">
        <f>SUBSTITUTE(SUBSTITUTE(PROPERTIES[[#This Row],[PURCHASECOST_VALUE]], "PURCHASECOST_", ""), "_VALUE", "")</f>
        <v>ELECTRICENGINE</v>
      </c>
      <c r="AP369"/>
      <c r="AQ369"/>
      <c r="AR369"/>
    </row>
    <row r="370" spans="1:44">
      <c r="A370" s="2" t="s">
        <v>395</v>
      </c>
      <c r="B370">
        <v>1934</v>
      </c>
      <c r="C370">
        <v>0</v>
      </c>
      <c r="D370" t="s">
        <v>74</v>
      </c>
      <c r="E370" t="s">
        <v>20</v>
      </c>
      <c r="F370">
        <v>0</v>
      </c>
      <c r="G370" s="10">
        <v>135</v>
      </c>
      <c r="H370">
        <v>8</v>
      </c>
      <c r="I370">
        <v>8</v>
      </c>
      <c r="J370" s="2" t="s">
        <v>20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>
        <v>3750</v>
      </c>
      <c r="O370">
        <v>130</v>
      </c>
      <c r="P370" s="2">
        <v>0.1</v>
      </c>
      <c r="Q370" s="6">
        <v>40</v>
      </c>
      <c r="R370" s="10">
        <v>0</v>
      </c>
      <c r="S370" s="10">
        <v>0</v>
      </c>
      <c r="T370" s="10"/>
      <c r="U370" t="str">
        <f>"RUNNING_COST_"&amp;IF(PROPERTIES[[#This Row],[ENGINE_CLASS]]="MAGLEV","ELECTRIC",PROPERTIES[[#This Row],[ENGINE_CLASS]])</f>
        <v>RUNNING_COST_ELECTRIC</v>
      </c>
      <c r="V370" s="10" t="s">
        <v>1004</v>
      </c>
      <c r="W370" s="10" t="s">
        <v>1005</v>
      </c>
      <c r="X370" s="10" t="str">
        <f>SUBSTITUTE(SUBSTITUTE(PROPERTIES[[#This Row],[PURCHASECOST_VALUE]], "PURCHASECOST_", ""), "_VALUE", "")</f>
        <v>ELECTRICENGINE</v>
      </c>
      <c r="AP370"/>
      <c r="AQ370"/>
      <c r="AR370"/>
    </row>
    <row r="371" spans="1:44">
      <c r="A371" s="2" t="s">
        <v>396</v>
      </c>
      <c r="B371">
        <v>1936</v>
      </c>
      <c r="C371">
        <v>0</v>
      </c>
      <c r="D371" t="s">
        <v>74</v>
      </c>
      <c r="E371" t="s">
        <v>20</v>
      </c>
      <c r="F371">
        <v>0</v>
      </c>
      <c r="G371" s="10">
        <v>68</v>
      </c>
      <c r="H371">
        <v>8</v>
      </c>
      <c r="I371">
        <v>8</v>
      </c>
      <c r="J371" s="2" t="s">
        <v>20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>
        <v>1200</v>
      </c>
      <c r="O371">
        <v>40</v>
      </c>
      <c r="P371" s="2">
        <v>0.26</v>
      </c>
      <c r="Q371" s="6">
        <v>40</v>
      </c>
      <c r="R371" s="10">
        <v>0</v>
      </c>
      <c r="S371" s="10">
        <v>0</v>
      </c>
      <c r="T371" s="10"/>
      <c r="U371" t="str">
        <f>"RUNNING_COST_"&amp;IF(PROPERTIES[[#This Row],[ENGINE_CLASS]]="MAGLEV","ELECTRIC",PROPERTIES[[#This Row],[ENGINE_CLASS]])</f>
        <v>RUNNING_COST_ELECTRIC</v>
      </c>
      <c r="V371" s="10" t="s">
        <v>1004</v>
      </c>
      <c r="W371" s="10" t="s">
        <v>1005</v>
      </c>
      <c r="X371" s="10" t="str">
        <f>SUBSTITUTE(SUBSTITUTE(PROPERTIES[[#This Row],[PURCHASECOST_VALUE]], "PURCHASECOST_", ""), "_VALUE", "")</f>
        <v>ELECTRICENGINE</v>
      </c>
      <c r="AP371"/>
      <c r="AQ371"/>
      <c r="AR371"/>
    </row>
    <row r="372" spans="1:44">
      <c r="A372" s="2" t="s">
        <v>397</v>
      </c>
      <c r="B372">
        <v>1962</v>
      </c>
      <c r="C372">
        <v>0</v>
      </c>
      <c r="D372" t="s">
        <v>74</v>
      </c>
      <c r="E372" t="s">
        <v>20</v>
      </c>
      <c r="F372">
        <v>0</v>
      </c>
      <c r="G372" s="10">
        <v>81</v>
      </c>
      <c r="H372">
        <v>7</v>
      </c>
      <c r="I372">
        <v>7</v>
      </c>
      <c r="J372" s="2" t="s">
        <v>20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>
        <v>1500</v>
      </c>
      <c r="O372">
        <v>126</v>
      </c>
      <c r="P372" s="2">
        <v>0.35</v>
      </c>
      <c r="Q372" s="6">
        <v>40</v>
      </c>
      <c r="R372" s="10">
        <v>0</v>
      </c>
      <c r="S372" s="10">
        <v>0</v>
      </c>
      <c r="T372" s="10"/>
      <c r="U372" t="str">
        <f>"RUNNING_COST_"&amp;IF(PROPERTIES[[#This Row],[ENGINE_CLASS]]="MAGLEV","ELECTRIC",PROPERTIES[[#This Row],[ENGINE_CLASS]])</f>
        <v>RUNNING_COST_ELECTRIC</v>
      </c>
      <c r="V372" s="10" t="s">
        <v>1004</v>
      </c>
      <c r="W372" s="10" t="s">
        <v>1005</v>
      </c>
      <c r="X372" s="10" t="str">
        <f>SUBSTITUTE(SUBSTITUTE(PROPERTIES[[#This Row],[PURCHASECOST_VALUE]], "PURCHASECOST_", ""), "_VALUE", "")</f>
        <v>ELECTRICENGINE</v>
      </c>
      <c r="AP372"/>
      <c r="AQ372"/>
      <c r="AR372"/>
    </row>
    <row r="373" spans="1:44">
      <c r="A373" s="2" t="s">
        <v>398</v>
      </c>
      <c r="B373">
        <v>1977</v>
      </c>
      <c r="C373">
        <v>0</v>
      </c>
      <c r="D373" t="s">
        <v>74</v>
      </c>
      <c r="E373" t="s">
        <v>20</v>
      </c>
      <c r="F373">
        <v>0</v>
      </c>
      <c r="G373" s="10">
        <v>167</v>
      </c>
      <c r="H373">
        <v>7</v>
      </c>
      <c r="I373">
        <v>14</v>
      </c>
      <c r="J373" s="2" t="s">
        <v>20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>
        <v>5400</v>
      </c>
      <c r="O373">
        <v>125</v>
      </c>
      <c r="P373" s="2">
        <v>0.6</v>
      </c>
      <c r="Q373" s="6">
        <v>40</v>
      </c>
      <c r="R373" s="10">
        <v>0</v>
      </c>
      <c r="S373" s="10">
        <v>7</v>
      </c>
      <c r="T373" s="10"/>
      <c r="U373" t="str">
        <f>"RUNNING_COST_"&amp;IF(PROPERTIES[[#This Row],[ENGINE_CLASS]]="MAGLEV","ELECTRIC",PROPERTIES[[#This Row],[ENGINE_CLASS]])</f>
        <v>RUNNING_COST_ELECTRIC</v>
      </c>
      <c r="V373" s="10" t="s">
        <v>1004</v>
      </c>
      <c r="W373" s="10" t="s">
        <v>1005</v>
      </c>
      <c r="X373" s="10" t="str">
        <f>SUBSTITUTE(SUBSTITUTE(PROPERTIES[[#This Row],[PURCHASECOST_VALUE]], "PURCHASECOST_", ""), "_VALUE", "")</f>
        <v>ELECTRICENGINE</v>
      </c>
      <c r="AP373"/>
      <c r="AQ373"/>
      <c r="AR373"/>
    </row>
    <row r="374" spans="1:44">
      <c r="A374" s="2" t="s">
        <v>399</v>
      </c>
      <c r="B374">
        <v>1986</v>
      </c>
      <c r="C374">
        <v>0</v>
      </c>
      <c r="D374" t="s">
        <v>74</v>
      </c>
      <c r="E374" t="s">
        <v>20</v>
      </c>
      <c r="F374">
        <v>0</v>
      </c>
      <c r="G374" s="10">
        <v>84</v>
      </c>
      <c r="H374">
        <v>7</v>
      </c>
      <c r="I374">
        <v>7</v>
      </c>
      <c r="J374" s="2" t="s">
        <v>20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>
        <v>4452</v>
      </c>
      <c r="O374">
        <v>160</v>
      </c>
      <c r="P374" s="2">
        <v>0.23</v>
      </c>
      <c r="Q374" s="6">
        <v>40</v>
      </c>
      <c r="R374" s="10">
        <v>0</v>
      </c>
      <c r="S374" s="10">
        <v>0</v>
      </c>
      <c r="T374" s="10"/>
      <c r="U374" t="str">
        <f>"RUNNING_COST_"&amp;IF(PROPERTIES[[#This Row],[ENGINE_CLASS]]="MAGLEV","ELECTRIC",PROPERTIES[[#This Row],[ENGINE_CLASS]])</f>
        <v>RUNNING_COST_ELECTRIC</v>
      </c>
      <c r="V374" s="10" t="s">
        <v>1004</v>
      </c>
      <c r="W374" s="10" t="s">
        <v>1005</v>
      </c>
      <c r="X374" s="10" t="str">
        <f>SUBSTITUTE(SUBSTITUTE(PROPERTIES[[#This Row],[PURCHASECOST_VALUE]], "PURCHASECOST_", ""), "_VALUE", "")</f>
        <v>ELECTRICENGINE</v>
      </c>
      <c r="AP374"/>
      <c r="AQ374"/>
      <c r="AR374"/>
    </row>
    <row r="375" spans="1:44">
      <c r="A375" s="2" t="s">
        <v>400</v>
      </c>
      <c r="B375">
        <v>1991</v>
      </c>
      <c r="C375">
        <v>0</v>
      </c>
      <c r="D375" t="s">
        <v>74</v>
      </c>
      <c r="E375" t="s">
        <v>20</v>
      </c>
      <c r="F375">
        <v>0</v>
      </c>
      <c r="G375" s="10">
        <v>85</v>
      </c>
      <c r="H375">
        <v>7</v>
      </c>
      <c r="I375">
        <v>7</v>
      </c>
      <c r="J375" s="2" t="s">
        <v>20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>
        <v>4872</v>
      </c>
      <c r="O375">
        <v>140</v>
      </c>
      <c r="P375" s="2">
        <v>0.3</v>
      </c>
      <c r="Q375" s="6">
        <v>40</v>
      </c>
      <c r="R375" s="10">
        <v>0</v>
      </c>
      <c r="S375" s="10">
        <v>0</v>
      </c>
      <c r="T375" s="10"/>
      <c r="U375" t="str">
        <f>"RUNNING_COST_"&amp;IF(PROPERTIES[[#This Row],[ENGINE_CLASS]]="MAGLEV","ELECTRIC",PROPERTIES[[#This Row],[ENGINE_CLASS]])</f>
        <v>RUNNING_COST_ELECTRIC</v>
      </c>
      <c r="V375" s="10" t="s">
        <v>1004</v>
      </c>
      <c r="W375" s="10" t="s">
        <v>1005</v>
      </c>
      <c r="X375" s="10" t="str">
        <f>SUBSTITUTE(SUBSTITUTE(PROPERTIES[[#This Row],[PURCHASECOST_VALUE]], "PURCHASECOST_", ""), "_VALUE", "")</f>
        <v>ELECTRICENGINE</v>
      </c>
      <c r="AP375"/>
      <c r="AQ375"/>
      <c r="AR375"/>
    </row>
    <row r="376" spans="1:44">
      <c r="A376" s="2" t="s">
        <v>401</v>
      </c>
      <c r="B376">
        <v>1961</v>
      </c>
      <c r="C376">
        <v>0</v>
      </c>
      <c r="D376" t="s">
        <v>74</v>
      </c>
      <c r="E376" t="s">
        <v>20</v>
      </c>
      <c r="F376">
        <v>0</v>
      </c>
      <c r="G376" s="10">
        <v>110</v>
      </c>
      <c r="H376">
        <v>5</v>
      </c>
      <c r="I376">
        <v>10</v>
      </c>
      <c r="J376" s="2" t="s">
        <v>20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>
        <v>6610</v>
      </c>
      <c r="O376">
        <v>140</v>
      </c>
      <c r="P376" s="2">
        <v>0.21</v>
      </c>
      <c r="Q376" s="6">
        <v>40</v>
      </c>
      <c r="R376" s="10">
        <v>0</v>
      </c>
      <c r="S376" s="10">
        <v>5</v>
      </c>
      <c r="T376" s="10"/>
      <c r="U376" t="str">
        <f>"RUNNING_COST_"&amp;IF(PROPERTIES[[#This Row],[ENGINE_CLASS]]="MAGLEV","ELECTRIC",PROPERTIES[[#This Row],[ENGINE_CLASS]])</f>
        <v>RUNNING_COST_ELECTRIC</v>
      </c>
      <c r="V376" s="10" t="s">
        <v>1004</v>
      </c>
      <c r="W376" s="10" t="s">
        <v>1005</v>
      </c>
      <c r="X376" s="10" t="str">
        <f>SUBSTITUTE(SUBSTITUTE(PROPERTIES[[#This Row],[PURCHASECOST_VALUE]], "PURCHASECOST_", ""), "_VALUE", "")</f>
        <v>ELECTRICENGINE</v>
      </c>
      <c r="AP376"/>
      <c r="AQ376"/>
      <c r="AR376"/>
    </row>
    <row r="377" spans="1:44">
      <c r="A377" s="2" t="s">
        <v>402</v>
      </c>
      <c r="B377">
        <v>1943</v>
      </c>
      <c r="C377">
        <v>0</v>
      </c>
      <c r="D377" t="s">
        <v>74</v>
      </c>
      <c r="E377" t="s">
        <v>20</v>
      </c>
      <c r="F377">
        <v>0</v>
      </c>
      <c r="G377" s="10">
        <v>65</v>
      </c>
      <c r="H377">
        <v>8</v>
      </c>
      <c r="I377">
        <v>8</v>
      </c>
      <c r="J377" s="2" t="s">
        <v>20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>
        <v>2000</v>
      </c>
      <c r="O377">
        <v>120</v>
      </c>
      <c r="P377" s="2">
        <v>0.26</v>
      </c>
      <c r="Q377" s="6">
        <v>40</v>
      </c>
      <c r="R377" s="10">
        <v>0</v>
      </c>
      <c r="S377" s="10">
        <v>0</v>
      </c>
      <c r="T377" s="10"/>
      <c r="U377" t="str">
        <f>"RUNNING_COST_"&amp;IF(PROPERTIES[[#This Row],[ENGINE_CLASS]]="MAGLEV","ELECTRIC",PROPERTIES[[#This Row],[ENGINE_CLASS]])</f>
        <v>RUNNING_COST_ELECTRIC</v>
      </c>
      <c r="V377" s="10" t="s">
        <v>1004</v>
      </c>
      <c r="W377" s="10" t="s">
        <v>1005</v>
      </c>
      <c r="X377" s="10" t="str">
        <f>SUBSTITUTE(SUBSTITUTE(PROPERTIES[[#This Row],[PURCHASECOST_VALUE]], "PURCHASECOST_", ""), "_VALUE", "")</f>
        <v>ELECTRICENGINE</v>
      </c>
      <c r="AP377"/>
      <c r="AQ377"/>
      <c r="AR377"/>
    </row>
    <row r="378" spans="1:44">
      <c r="A378" s="2" t="s">
        <v>403</v>
      </c>
      <c r="B378">
        <v>1967</v>
      </c>
      <c r="C378">
        <v>0</v>
      </c>
      <c r="D378" t="s">
        <v>74</v>
      </c>
      <c r="E378" t="s">
        <v>20</v>
      </c>
      <c r="F378">
        <v>0</v>
      </c>
      <c r="G378" s="10">
        <v>83</v>
      </c>
      <c r="H378">
        <v>8</v>
      </c>
      <c r="I378">
        <v>8</v>
      </c>
      <c r="J378" s="2" t="s">
        <v>20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>
        <v>5729</v>
      </c>
      <c r="O378">
        <v>200</v>
      </c>
      <c r="P378" s="2">
        <v>0.24</v>
      </c>
      <c r="Q378" s="6">
        <v>40</v>
      </c>
      <c r="R378" s="10">
        <v>0</v>
      </c>
      <c r="S378" s="10">
        <v>0</v>
      </c>
      <c r="T378" s="10"/>
      <c r="U378" t="str">
        <f>"RUNNING_COST_"&amp;IF(PROPERTIES[[#This Row],[ENGINE_CLASS]]="MAGLEV","ELECTRIC",PROPERTIES[[#This Row],[ENGINE_CLASS]])</f>
        <v>RUNNING_COST_ELECTRIC</v>
      </c>
      <c r="V378" s="10" t="s">
        <v>1004</v>
      </c>
      <c r="W378" s="10" t="s">
        <v>1005</v>
      </c>
      <c r="X378" s="10" t="str">
        <f>SUBSTITUTE(SUBSTITUTE(PROPERTIES[[#This Row],[PURCHASECOST_VALUE]], "PURCHASECOST_", ""), "_VALUE", "")</f>
        <v>ELECTRICENGINE</v>
      </c>
      <c r="AP378"/>
      <c r="AQ378"/>
      <c r="AR378"/>
    </row>
    <row r="379" spans="1:44">
      <c r="A379" s="2" t="s">
        <v>404</v>
      </c>
      <c r="B379">
        <v>1979</v>
      </c>
      <c r="C379">
        <v>0</v>
      </c>
      <c r="D379" t="s">
        <v>74</v>
      </c>
      <c r="E379" t="s">
        <v>20</v>
      </c>
      <c r="F379">
        <v>0</v>
      </c>
      <c r="G379" s="10">
        <v>103</v>
      </c>
      <c r="H379">
        <v>8</v>
      </c>
      <c r="I379">
        <v>8</v>
      </c>
      <c r="J379" s="2" t="s">
        <v>20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>
        <v>5600</v>
      </c>
      <c r="O379">
        <v>130</v>
      </c>
      <c r="P379" s="2">
        <v>0.27</v>
      </c>
      <c r="Q379" s="6">
        <v>40</v>
      </c>
      <c r="R379" s="10">
        <v>0</v>
      </c>
      <c r="S379" s="10">
        <v>0</v>
      </c>
      <c r="T379" s="10"/>
      <c r="U379" t="str">
        <f>"RUNNING_COST_"&amp;IF(PROPERTIES[[#This Row],[ENGINE_CLASS]]="MAGLEV","ELECTRIC",PROPERTIES[[#This Row],[ENGINE_CLASS]])</f>
        <v>RUNNING_COST_ELECTRIC</v>
      </c>
      <c r="V379" s="10" t="s">
        <v>1004</v>
      </c>
      <c r="W379" s="10" t="s">
        <v>1005</v>
      </c>
      <c r="X379" s="10" t="str">
        <f>SUBSTITUTE(SUBSTITUTE(PROPERTIES[[#This Row],[PURCHASECOST_VALUE]], "PURCHASECOST_", ""), "_VALUE", "")</f>
        <v>ELECTRICENGINE</v>
      </c>
      <c r="AP379"/>
      <c r="AQ379"/>
      <c r="AR379"/>
    </row>
    <row r="380" spans="1:44">
      <c r="A380" s="2" t="s">
        <v>405</v>
      </c>
      <c r="B380">
        <v>1960</v>
      </c>
      <c r="C380">
        <v>0</v>
      </c>
      <c r="D380" t="s">
        <v>74</v>
      </c>
      <c r="E380" t="s">
        <v>20</v>
      </c>
      <c r="F380">
        <v>0</v>
      </c>
      <c r="G380" s="10">
        <v>85</v>
      </c>
      <c r="H380">
        <v>8</v>
      </c>
      <c r="I380">
        <v>8</v>
      </c>
      <c r="J380" s="2" t="s">
        <v>20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>
        <v>2520</v>
      </c>
      <c r="O380">
        <v>130</v>
      </c>
      <c r="P380" s="2">
        <v>0.23</v>
      </c>
      <c r="Q380" s="6">
        <v>40</v>
      </c>
      <c r="R380" s="10">
        <v>0</v>
      </c>
      <c r="S380" s="10">
        <v>0</v>
      </c>
      <c r="T380" s="10"/>
      <c r="U380" t="str">
        <f>"RUNNING_COST_"&amp;IF(PROPERTIES[[#This Row],[ENGINE_CLASS]]="MAGLEV","ELECTRIC",PROPERTIES[[#This Row],[ENGINE_CLASS]])</f>
        <v>RUNNING_COST_ELECTRIC</v>
      </c>
      <c r="V380" s="10" t="s">
        <v>1004</v>
      </c>
      <c r="W380" s="10" t="s">
        <v>1005</v>
      </c>
      <c r="X380" s="10" t="str">
        <f>SUBSTITUTE(SUBSTITUTE(PROPERTIES[[#This Row],[PURCHASECOST_VALUE]], "PURCHASECOST_", ""), "_VALUE", "")</f>
        <v>ELECTRICENGINE</v>
      </c>
      <c r="AP380"/>
      <c r="AQ380"/>
      <c r="AR380"/>
    </row>
    <row r="381" spans="1:44">
      <c r="A381" s="2" t="s">
        <v>406</v>
      </c>
      <c r="B381">
        <v>1982</v>
      </c>
      <c r="C381">
        <v>0</v>
      </c>
      <c r="D381" t="s">
        <v>74</v>
      </c>
      <c r="E381" t="s">
        <v>20</v>
      </c>
      <c r="F381">
        <v>0</v>
      </c>
      <c r="G381" s="10">
        <v>124</v>
      </c>
      <c r="H381">
        <v>8</v>
      </c>
      <c r="I381">
        <v>8</v>
      </c>
      <c r="J381" s="2" t="s">
        <v>20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>
        <v>6440</v>
      </c>
      <c r="O381">
        <v>160</v>
      </c>
      <c r="P381" s="2">
        <v>0.16</v>
      </c>
      <c r="Q381" s="6">
        <v>40</v>
      </c>
      <c r="R381" s="10">
        <v>0</v>
      </c>
      <c r="S381" s="10">
        <v>0</v>
      </c>
      <c r="T381" s="10"/>
      <c r="U381" t="str">
        <f>"RUNNING_COST_"&amp;IF(PROPERTIES[[#This Row],[ENGINE_CLASS]]="MAGLEV","ELECTRIC",PROPERTIES[[#This Row],[ENGINE_CLASS]])</f>
        <v>RUNNING_COST_ELECTRIC</v>
      </c>
      <c r="V381" s="10" t="s">
        <v>1004</v>
      </c>
      <c r="W381" s="10" t="s">
        <v>1005</v>
      </c>
      <c r="X381" s="10" t="str">
        <f>SUBSTITUTE(SUBSTITUTE(PROPERTIES[[#This Row],[PURCHASECOST_VALUE]], "PURCHASECOST_", ""), "_VALUE", "")</f>
        <v>ELECTRICENGINE</v>
      </c>
      <c r="AP381"/>
      <c r="AQ381"/>
      <c r="AR381"/>
    </row>
    <row r="382" spans="1:44">
      <c r="A382" s="2" t="s">
        <v>407</v>
      </c>
      <c r="B382">
        <v>1949</v>
      </c>
      <c r="C382">
        <v>0</v>
      </c>
      <c r="D382" t="s">
        <v>74</v>
      </c>
      <c r="E382" t="s">
        <v>20</v>
      </c>
      <c r="F382">
        <v>0</v>
      </c>
      <c r="G382" s="10">
        <v>210</v>
      </c>
      <c r="H382">
        <v>8</v>
      </c>
      <c r="I382">
        <v>2</v>
      </c>
      <c r="J382" s="2" t="s">
        <v>20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>
        <v>4500</v>
      </c>
      <c r="O382">
        <v>120</v>
      </c>
      <c r="P382" s="2">
        <v>0.2</v>
      </c>
      <c r="Q382" s="6">
        <v>40</v>
      </c>
      <c r="R382" s="10">
        <v>0</v>
      </c>
      <c r="S382" s="10">
        <v>1</v>
      </c>
      <c r="T382" s="10"/>
      <c r="U382" t="str">
        <f>"RUNNING_COST_"&amp;IF(PROPERTIES[[#This Row],[ENGINE_CLASS]]="MAGLEV","ELECTRIC",PROPERTIES[[#This Row],[ENGINE_CLASS]])</f>
        <v>RUNNING_COST_ELECTRIC</v>
      </c>
      <c r="V382" s="10" t="s">
        <v>1004</v>
      </c>
      <c r="W382" s="10" t="s">
        <v>1005</v>
      </c>
      <c r="X382" s="10" t="str">
        <f>SUBSTITUTE(SUBSTITUTE(PROPERTIES[[#This Row],[PURCHASECOST_VALUE]], "PURCHASECOST_", ""), "_VALUE", "")</f>
        <v>ELECTRICENGINE</v>
      </c>
      <c r="AP382"/>
      <c r="AQ382"/>
      <c r="AR382"/>
    </row>
    <row r="383" spans="1:44">
      <c r="A383" s="2" t="s">
        <v>408</v>
      </c>
      <c r="B383">
        <v>1974</v>
      </c>
      <c r="C383">
        <v>0</v>
      </c>
      <c r="D383" t="s">
        <v>74</v>
      </c>
      <c r="E383" t="s">
        <v>20</v>
      </c>
      <c r="F383">
        <v>0</v>
      </c>
      <c r="G383" s="10">
        <v>79</v>
      </c>
      <c r="H383">
        <v>6</v>
      </c>
      <c r="I383">
        <v>6</v>
      </c>
      <c r="J383" s="2" t="s">
        <v>24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>
        <v>1640</v>
      </c>
      <c r="O383">
        <v>90</v>
      </c>
      <c r="P383" s="2">
        <v>0.24</v>
      </c>
      <c r="Q383" s="6">
        <v>40</v>
      </c>
      <c r="R383" s="10">
        <v>0</v>
      </c>
      <c r="S383" s="10">
        <v>0</v>
      </c>
      <c r="T383" s="10"/>
      <c r="U383" t="str">
        <f>"RUNNING_COST_"&amp;IF(PROPERTIES[[#This Row],[ENGINE_CLASS]]="MAGLEV","ELECTRIC",PROPERTIES[[#This Row],[ENGINE_CLASS]])</f>
        <v>RUNNING_COST_ELECTRIC</v>
      </c>
      <c r="V383" s="10" t="s">
        <v>1004</v>
      </c>
      <c r="W383" s="10" t="s">
        <v>1005</v>
      </c>
      <c r="X383" s="10" t="str">
        <f>SUBSTITUTE(SUBSTITUTE(PROPERTIES[[#This Row],[PURCHASECOST_VALUE]], "PURCHASECOST_", ""), "_VALUE", "")</f>
        <v>ELECTRICENGINE</v>
      </c>
      <c r="AP383"/>
      <c r="AQ383"/>
      <c r="AR383"/>
    </row>
    <row r="384" spans="1:44">
      <c r="A384" s="2" t="s">
        <v>409</v>
      </c>
      <c r="B384">
        <v>1948</v>
      </c>
      <c r="C384">
        <v>0</v>
      </c>
      <c r="D384" t="s">
        <v>74</v>
      </c>
      <c r="E384" t="s">
        <v>20</v>
      </c>
      <c r="F384">
        <v>0</v>
      </c>
      <c r="G384" s="10">
        <v>92</v>
      </c>
      <c r="H384">
        <v>6</v>
      </c>
      <c r="I384">
        <v>6</v>
      </c>
      <c r="J384" s="2" t="s">
        <v>20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>
        <v>1710</v>
      </c>
      <c r="O384">
        <v>115</v>
      </c>
      <c r="P384" s="2">
        <v>0.17</v>
      </c>
      <c r="Q384" s="6">
        <v>40</v>
      </c>
      <c r="R384" s="10">
        <v>0</v>
      </c>
      <c r="S384" s="10">
        <v>0</v>
      </c>
      <c r="T384" s="10"/>
      <c r="U384" t="str">
        <f>"RUNNING_COST_"&amp;IF(PROPERTIES[[#This Row],[ENGINE_CLASS]]="MAGLEV","ELECTRIC",PROPERTIES[[#This Row],[ENGINE_CLASS]])</f>
        <v>RUNNING_COST_ELECTRIC</v>
      </c>
      <c r="V384" s="10" t="s">
        <v>1004</v>
      </c>
      <c r="W384" s="10" t="s">
        <v>1005</v>
      </c>
      <c r="X384" s="10" t="str">
        <f>SUBSTITUTE(SUBSTITUTE(PROPERTIES[[#This Row],[PURCHASECOST_VALUE]], "PURCHASECOST_", ""), "_VALUE", "")</f>
        <v>ELECTRICENGINE</v>
      </c>
      <c r="AP384"/>
      <c r="AQ384"/>
      <c r="AR384"/>
    </row>
    <row r="385" spans="1:44">
      <c r="A385" s="2" t="s">
        <v>410</v>
      </c>
      <c r="B385">
        <v>1958</v>
      </c>
      <c r="C385">
        <v>0</v>
      </c>
      <c r="D385" t="s">
        <v>74</v>
      </c>
      <c r="E385" t="s">
        <v>20</v>
      </c>
      <c r="F385">
        <v>0</v>
      </c>
      <c r="G385" s="10">
        <v>124</v>
      </c>
      <c r="H385">
        <v>8</v>
      </c>
      <c r="I385">
        <v>8</v>
      </c>
      <c r="J385" s="2" t="s">
        <v>20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>
        <v>3700</v>
      </c>
      <c r="O385">
        <v>104</v>
      </c>
      <c r="P385" s="2">
        <v>0.25</v>
      </c>
      <c r="Q385" s="6">
        <v>40</v>
      </c>
      <c r="R385" s="10">
        <v>0</v>
      </c>
      <c r="S385" s="10">
        <v>0</v>
      </c>
      <c r="T385" s="10"/>
      <c r="U385" t="str">
        <f>"RUNNING_COST_"&amp;IF(PROPERTIES[[#This Row],[ENGINE_CLASS]]="MAGLEV","ELECTRIC",PROPERTIES[[#This Row],[ENGINE_CLASS]])</f>
        <v>RUNNING_COST_ELECTRIC</v>
      </c>
      <c r="V385" s="10" t="s">
        <v>1004</v>
      </c>
      <c r="W385" s="10" t="s">
        <v>1005</v>
      </c>
      <c r="X385" s="10" t="str">
        <f>SUBSTITUTE(SUBSTITUTE(PROPERTIES[[#This Row],[PURCHASECOST_VALUE]], "PURCHASECOST_", ""), "_VALUE", "")</f>
        <v>ELECTRICENGINE</v>
      </c>
      <c r="AP385"/>
      <c r="AQ385"/>
      <c r="AR385"/>
    </row>
    <row r="386" spans="1:44">
      <c r="A386" s="2" t="s">
        <v>411</v>
      </c>
      <c r="B386">
        <v>1992</v>
      </c>
      <c r="C386">
        <v>0</v>
      </c>
      <c r="D386" t="s">
        <v>74</v>
      </c>
      <c r="E386" t="s">
        <v>20</v>
      </c>
      <c r="F386">
        <v>0</v>
      </c>
      <c r="G386" s="10">
        <v>74</v>
      </c>
      <c r="H386">
        <v>6</v>
      </c>
      <c r="I386">
        <v>6</v>
      </c>
      <c r="J386" s="2" t="s">
        <v>24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>
        <v>2028</v>
      </c>
      <c r="O386">
        <v>100</v>
      </c>
      <c r="P386" s="2">
        <v>0.24</v>
      </c>
      <c r="Q386" s="6">
        <v>40</v>
      </c>
      <c r="R386" s="10">
        <v>0</v>
      </c>
      <c r="S386" s="10">
        <v>0</v>
      </c>
      <c r="T386" s="10"/>
      <c r="U386" t="str">
        <f>"RUNNING_COST_"&amp;IF(PROPERTIES[[#This Row],[ENGINE_CLASS]]="MAGLEV","ELECTRIC",PROPERTIES[[#This Row],[ENGINE_CLASS]])</f>
        <v>RUNNING_COST_ELECTRIC</v>
      </c>
      <c r="V386" s="10" t="s">
        <v>1004</v>
      </c>
      <c r="W386" s="10" t="s">
        <v>1005</v>
      </c>
      <c r="X386" s="10" t="str">
        <f>SUBSTITUTE(SUBSTITUTE(PROPERTIES[[#This Row],[PURCHASECOST_VALUE]], "PURCHASECOST_", ""), "_VALUE", "")</f>
        <v>ELECTRICENGINE</v>
      </c>
      <c r="AP386"/>
      <c r="AQ386"/>
      <c r="AR386"/>
    </row>
    <row r="387" spans="1:44">
      <c r="A387" s="2" t="s">
        <v>412</v>
      </c>
      <c r="B387">
        <v>1980</v>
      </c>
      <c r="C387">
        <v>0</v>
      </c>
      <c r="D387" t="s">
        <v>74</v>
      </c>
      <c r="E387" t="s">
        <v>20</v>
      </c>
      <c r="F387">
        <v>0</v>
      </c>
      <c r="G387" s="10">
        <v>88</v>
      </c>
      <c r="H387">
        <v>7</v>
      </c>
      <c r="I387">
        <v>7</v>
      </c>
      <c r="J387" s="2" t="s">
        <v>20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>
        <v>4340</v>
      </c>
      <c r="O387">
        <v>160</v>
      </c>
      <c r="P387" s="2">
        <v>0.16</v>
      </c>
      <c r="Q387" s="6">
        <v>40</v>
      </c>
      <c r="R387" s="10">
        <v>0</v>
      </c>
      <c r="S387" s="10">
        <v>0</v>
      </c>
      <c r="T387" s="10"/>
      <c r="U387" t="str">
        <f>"RUNNING_COST_"&amp;IF(PROPERTIES[[#This Row],[ENGINE_CLASS]]="MAGLEV","ELECTRIC",PROPERTIES[[#This Row],[ENGINE_CLASS]])</f>
        <v>RUNNING_COST_ELECTRIC</v>
      </c>
      <c r="V387" s="10" t="s">
        <v>1004</v>
      </c>
      <c r="W387" s="10" t="s">
        <v>1005</v>
      </c>
      <c r="X387" s="10" t="str">
        <f>SUBSTITUTE(SUBSTITUTE(PROPERTIES[[#This Row],[PURCHASECOST_VALUE]], "PURCHASECOST_", ""), "_VALUE", "")</f>
        <v>ELECTRICENGINE</v>
      </c>
      <c r="AP387"/>
      <c r="AQ387"/>
      <c r="AR387"/>
    </row>
    <row r="388" spans="1:44">
      <c r="A388" s="2" t="s">
        <v>413</v>
      </c>
      <c r="B388">
        <v>1980</v>
      </c>
      <c r="C388">
        <v>0</v>
      </c>
      <c r="D388" t="s">
        <v>74</v>
      </c>
      <c r="E388" t="s">
        <v>20</v>
      </c>
      <c r="F388">
        <v>0</v>
      </c>
      <c r="G388" s="10">
        <v>87</v>
      </c>
      <c r="H388">
        <v>7</v>
      </c>
      <c r="I388">
        <v>7</v>
      </c>
      <c r="J388" s="2" t="s">
        <v>20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>
        <v>4667</v>
      </c>
      <c r="O388">
        <v>120</v>
      </c>
      <c r="P388" s="2">
        <v>0.3</v>
      </c>
      <c r="Q388" s="6">
        <v>40</v>
      </c>
      <c r="R388" s="10">
        <v>0</v>
      </c>
      <c r="S388" s="10">
        <v>0</v>
      </c>
      <c r="T388" s="10"/>
      <c r="U388" t="str">
        <f>"RUNNING_COST_"&amp;IF(PROPERTIES[[#This Row],[ENGINE_CLASS]]="MAGLEV","ELECTRIC",PROPERTIES[[#This Row],[ENGINE_CLASS]])</f>
        <v>RUNNING_COST_ELECTRIC</v>
      </c>
      <c r="V388" s="10" t="s">
        <v>1004</v>
      </c>
      <c r="W388" s="10" t="s">
        <v>1005</v>
      </c>
      <c r="X388" s="10" t="str">
        <f>SUBSTITUTE(SUBSTITUTE(PROPERTIES[[#This Row],[PURCHASECOST_VALUE]], "PURCHASECOST_", ""), "_VALUE", "")</f>
        <v>ELECTRICENGINE</v>
      </c>
      <c r="AP388"/>
      <c r="AQ388"/>
      <c r="AR388"/>
    </row>
    <row r="389" spans="1:44">
      <c r="A389" s="2" t="s">
        <v>414</v>
      </c>
      <c r="B389">
        <v>1911</v>
      </c>
      <c r="C389">
        <v>0</v>
      </c>
      <c r="D389" t="s">
        <v>74</v>
      </c>
      <c r="E389" t="s">
        <v>20</v>
      </c>
      <c r="F389">
        <v>0</v>
      </c>
      <c r="G389" s="10">
        <v>48</v>
      </c>
      <c r="H389">
        <v>6</v>
      </c>
      <c r="I389">
        <v>6</v>
      </c>
      <c r="J389" s="2" t="s">
        <v>20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>
        <v>490</v>
      </c>
      <c r="O389">
        <v>45</v>
      </c>
      <c r="P389" s="2">
        <v>0.22</v>
      </c>
      <c r="Q389" s="6">
        <v>40</v>
      </c>
      <c r="R389" s="10">
        <v>0</v>
      </c>
      <c r="S389" s="10">
        <v>0</v>
      </c>
      <c r="T389" s="10"/>
      <c r="U389" t="str">
        <f>"RUNNING_COST_"&amp;IF(PROPERTIES[[#This Row],[ENGINE_CLASS]]="MAGLEV","ELECTRIC",PROPERTIES[[#This Row],[ENGINE_CLASS]])</f>
        <v>RUNNING_COST_ELECTRIC</v>
      </c>
      <c r="V389" s="10" t="s">
        <v>1004</v>
      </c>
      <c r="W389" s="10" t="s">
        <v>1005</v>
      </c>
      <c r="X389" s="10" t="str">
        <f>SUBSTITUTE(SUBSTITUTE(PROPERTIES[[#This Row],[PURCHASECOST_VALUE]], "PURCHASECOST_", ""), "_VALUE", "")</f>
        <v>ELECTRICENGINE</v>
      </c>
      <c r="AP389"/>
      <c r="AQ389"/>
      <c r="AR389"/>
    </row>
    <row r="390" spans="1:44">
      <c r="A390" s="2" t="s">
        <v>415</v>
      </c>
      <c r="B390">
        <v>1916</v>
      </c>
      <c r="C390">
        <v>0</v>
      </c>
      <c r="D390" t="s">
        <v>74</v>
      </c>
      <c r="E390" t="s">
        <v>20</v>
      </c>
      <c r="F390">
        <v>0</v>
      </c>
      <c r="G390" s="10">
        <v>234</v>
      </c>
      <c r="H390">
        <v>8</v>
      </c>
      <c r="I390">
        <v>4</v>
      </c>
      <c r="J390" s="2" t="s">
        <v>20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>
        <v>4800</v>
      </c>
      <c r="O390">
        <v>40</v>
      </c>
      <c r="P390" s="2">
        <v>0.17</v>
      </c>
      <c r="Q390" s="6">
        <v>40</v>
      </c>
      <c r="R390" s="10">
        <v>0</v>
      </c>
      <c r="S390" s="10">
        <v>2</v>
      </c>
      <c r="T390" s="10"/>
      <c r="U390" t="str">
        <f>"RUNNING_COST_"&amp;IF(PROPERTIES[[#This Row],[ENGINE_CLASS]]="MAGLEV","ELECTRIC",PROPERTIES[[#This Row],[ENGINE_CLASS]])</f>
        <v>RUNNING_COST_ELECTRIC</v>
      </c>
      <c r="V390" s="10" t="s">
        <v>1004</v>
      </c>
      <c r="W390" s="10" t="s">
        <v>1005</v>
      </c>
      <c r="X390" s="10" t="str">
        <f>SUBSTITUTE(SUBSTITUTE(PROPERTIES[[#This Row],[PURCHASECOST_VALUE]], "PURCHASECOST_", ""), "_VALUE", "")</f>
        <v>ELECTRICENGINE</v>
      </c>
      <c r="AP390"/>
      <c r="AQ390"/>
      <c r="AR390"/>
    </row>
    <row r="391" spans="1:44">
      <c r="A391" s="2" t="s">
        <v>416</v>
      </c>
      <c r="B391">
        <v>1928</v>
      </c>
      <c r="C391">
        <v>0</v>
      </c>
      <c r="D391" t="s">
        <v>74</v>
      </c>
      <c r="E391" t="s">
        <v>20</v>
      </c>
      <c r="F391">
        <v>0</v>
      </c>
      <c r="G391" s="10">
        <v>55</v>
      </c>
      <c r="H391">
        <v>5</v>
      </c>
      <c r="I391">
        <v>5</v>
      </c>
      <c r="J391" s="2" t="s">
        <v>20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>
        <v>1000</v>
      </c>
      <c r="O391">
        <v>40</v>
      </c>
      <c r="P391" s="2">
        <v>0.25</v>
      </c>
      <c r="Q391" s="6">
        <v>40</v>
      </c>
      <c r="R391" s="10">
        <v>0</v>
      </c>
      <c r="S391" s="10">
        <v>0</v>
      </c>
      <c r="T391" s="10"/>
      <c r="U391" t="str">
        <f>"RUNNING_COST_"&amp;IF(PROPERTIES[[#This Row],[ENGINE_CLASS]]="MAGLEV","ELECTRIC",PROPERTIES[[#This Row],[ENGINE_CLASS]])</f>
        <v>RUNNING_COST_ELECTRIC</v>
      </c>
      <c r="V391" s="10" t="s">
        <v>1004</v>
      </c>
      <c r="W391" s="10" t="s">
        <v>1005</v>
      </c>
      <c r="X391" s="10" t="str">
        <f>SUBSTITUTE(SUBSTITUTE(PROPERTIES[[#This Row],[PURCHASECOST_VALUE]], "PURCHASECOST_", ""), "_VALUE", "")</f>
        <v>ELECTRICENGINE</v>
      </c>
      <c r="AP391"/>
      <c r="AQ391"/>
      <c r="AR391"/>
    </row>
    <row r="392" spans="1:44">
      <c r="A392" s="2" t="s">
        <v>417</v>
      </c>
      <c r="B392">
        <v>1930</v>
      </c>
      <c r="C392">
        <v>0</v>
      </c>
      <c r="D392" t="s">
        <v>74</v>
      </c>
      <c r="E392" t="s">
        <v>20</v>
      </c>
      <c r="F392">
        <v>0</v>
      </c>
      <c r="G392" s="10">
        <v>32</v>
      </c>
      <c r="H392">
        <v>6</v>
      </c>
      <c r="I392">
        <v>6</v>
      </c>
      <c r="J392" s="2" t="s">
        <v>20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>
        <v>810</v>
      </c>
      <c r="O392">
        <v>50</v>
      </c>
      <c r="P392" s="2">
        <v>0.28999999999999998</v>
      </c>
      <c r="Q392" s="6">
        <v>40</v>
      </c>
      <c r="R392" s="10">
        <v>0</v>
      </c>
      <c r="S392" s="10">
        <v>0</v>
      </c>
      <c r="T392" s="10"/>
      <c r="U392" t="str">
        <f>"RUNNING_COST_"&amp;IF(PROPERTIES[[#This Row],[ENGINE_CLASS]]="MAGLEV","ELECTRIC",PROPERTIES[[#This Row],[ENGINE_CLASS]])</f>
        <v>RUNNING_COST_ELECTRIC</v>
      </c>
      <c r="V392" s="10" t="s">
        <v>1004</v>
      </c>
      <c r="W392" s="10" t="s">
        <v>1005</v>
      </c>
      <c r="X392" s="10" t="str">
        <f>SUBSTITUTE(SUBSTITUTE(PROPERTIES[[#This Row],[PURCHASECOST_VALUE]], "PURCHASECOST_", ""), "_VALUE", "")</f>
        <v>ELECTRICENGINE</v>
      </c>
      <c r="AP392"/>
      <c r="AQ392"/>
      <c r="AR392"/>
    </row>
    <row r="393" spans="1:44">
      <c r="A393" s="2" t="s">
        <v>418</v>
      </c>
      <c r="B393">
        <v>1931</v>
      </c>
      <c r="C393">
        <v>0</v>
      </c>
      <c r="D393" t="s">
        <v>74</v>
      </c>
      <c r="E393" t="s">
        <v>20</v>
      </c>
      <c r="F393">
        <v>0</v>
      </c>
      <c r="G393" s="10">
        <v>47</v>
      </c>
      <c r="H393">
        <v>6</v>
      </c>
      <c r="I393">
        <v>6</v>
      </c>
      <c r="J393" s="2" t="s">
        <v>20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>
        <v>690</v>
      </c>
      <c r="O393">
        <v>45</v>
      </c>
      <c r="P393" s="2">
        <v>0.3</v>
      </c>
      <c r="Q393" s="6">
        <v>40</v>
      </c>
      <c r="R393" s="10">
        <v>0</v>
      </c>
      <c r="S393" s="10">
        <v>0</v>
      </c>
      <c r="T393" s="10"/>
      <c r="U393" t="str">
        <f>"RUNNING_COST_"&amp;IF(PROPERTIES[[#This Row],[ENGINE_CLASS]]="MAGLEV","ELECTRIC",PROPERTIES[[#This Row],[ENGINE_CLASS]])</f>
        <v>RUNNING_COST_ELECTRIC</v>
      </c>
      <c r="V393" s="10" t="s">
        <v>1004</v>
      </c>
      <c r="W393" s="10" t="s">
        <v>1005</v>
      </c>
      <c r="X393" s="10" t="str">
        <f>SUBSTITUTE(SUBSTITUTE(PROPERTIES[[#This Row],[PURCHASECOST_VALUE]], "PURCHASECOST_", ""), "_VALUE", "")</f>
        <v>ELECTRICENGINE</v>
      </c>
      <c r="AP393"/>
      <c r="AQ393"/>
      <c r="AR393"/>
    </row>
    <row r="394" spans="1:44">
      <c r="A394" s="2" t="s">
        <v>419</v>
      </c>
      <c r="B394">
        <v>1933</v>
      </c>
      <c r="C394">
        <v>0</v>
      </c>
      <c r="D394" t="s">
        <v>74</v>
      </c>
      <c r="E394" t="s">
        <v>20</v>
      </c>
      <c r="F394">
        <v>0</v>
      </c>
      <c r="G394" s="10">
        <v>92</v>
      </c>
      <c r="H394">
        <v>8</v>
      </c>
      <c r="I394">
        <v>8</v>
      </c>
      <c r="J394" s="2" t="s">
        <v>20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>
        <v>2935</v>
      </c>
      <c r="O394">
        <v>110</v>
      </c>
      <c r="P394" s="2">
        <v>0.3</v>
      </c>
      <c r="Q394" s="6">
        <v>40</v>
      </c>
      <c r="R394" s="10">
        <v>0</v>
      </c>
      <c r="S394" s="10">
        <v>0</v>
      </c>
      <c r="T394" s="10"/>
      <c r="U394" t="str">
        <f>"RUNNING_COST_"&amp;IF(PROPERTIES[[#This Row],[ENGINE_CLASS]]="MAGLEV","ELECTRIC",PROPERTIES[[#This Row],[ENGINE_CLASS]])</f>
        <v>RUNNING_COST_ELECTRIC</v>
      </c>
      <c r="V394" s="10" t="s">
        <v>1004</v>
      </c>
      <c r="W394" s="10" t="s">
        <v>1005</v>
      </c>
      <c r="X394" s="10" t="str">
        <f>SUBSTITUTE(SUBSTITUTE(PROPERTIES[[#This Row],[PURCHASECOST_VALUE]], "PURCHASECOST_", ""), "_VALUE", "")</f>
        <v>ELECTRICENGINE</v>
      </c>
      <c r="AP394"/>
      <c r="AQ394"/>
      <c r="AR394"/>
    </row>
    <row r="395" spans="1:44">
      <c r="A395" s="2" t="s">
        <v>420</v>
      </c>
      <c r="B395">
        <v>1935</v>
      </c>
      <c r="C395">
        <v>0</v>
      </c>
      <c r="D395" t="s">
        <v>74</v>
      </c>
      <c r="E395" t="s">
        <v>20</v>
      </c>
      <c r="F395">
        <v>0</v>
      </c>
      <c r="G395" s="10">
        <v>215</v>
      </c>
      <c r="H395">
        <v>8</v>
      </c>
      <c r="I395">
        <v>4</v>
      </c>
      <c r="J395" s="2" t="s">
        <v>20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>
        <v>4620</v>
      </c>
      <c r="O395">
        <v>160</v>
      </c>
      <c r="P395" s="2">
        <v>0.15</v>
      </c>
      <c r="Q395" s="6">
        <v>40</v>
      </c>
      <c r="R395" s="10">
        <v>0</v>
      </c>
      <c r="S395" s="10">
        <v>2</v>
      </c>
      <c r="T395" s="10"/>
      <c r="U395" t="str">
        <f>"RUNNING_COST_"&amp;IF(PROPERTIES[[#This Row],[ENGINE_CLASS]]="MAGLEV","ELECTRIC",PROPERTIES[[#This Row],[ENGINE_CLASS]])</f>
        <v>RUNNING_COST_ELECTRIC</v>
      </c>
      <c r="V395" s="10" t="s">
        <v>1004</v>
      </c>
      <c r="W395" s="10" t="s">
        <v>1005</v>
      </c>
      <c r="X395" s="10" t="str">
        <f>SUBSTITUTE(SUBSTITUTE(PROPERTIES[[#This Row],[PURCHASECOST_VALUE]], "PURCHASECOST_", ""), "_VALUE", "")</f>
        <v>ELECTRICENGINE</v>
      </c>
      <c r="AP395"/>
      <c r="AQ395"/>
      <c r="AR395"/>
    </row>
    <row r="396" spans="1:44">
      <c r="A396" s="2" t="s">
        <v>421</v>
      </c>
      <c r="B396">
        <v>1940</v>
      </c>
      <c r="C396">
        <v>0</v>
      </c>
      <c r="D396" t="s">
        <v>74</v>
      </c>
      <c r="E396" t="s">
        <v>20</v>
      </c>
      <c r="F396">
        <v>0</v>
      </c>
      <c r="G396" s="10">
        <v>118</v>
      </c>
      <c r="H396">
        <v>8</v>
      </c>
      <c r="I396">
        <v>8</v>
      </c>
      <c r="J396" s="2" t="s">
        <v>20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>
        <v>4400</v>
      </c>
      <c r="O396">
        <v>100</v>
      </c>
      <c r="P396" s="2">
        <v>0.31</v>
      </c>
      <c r="Q396" s="6">
        <v>40</v>
      </c>
      <c r="R396" s="10">
        <v>0</v>
      </c>
      <c r="S396" s="10">
        <v>0</v>
      </c>
      <c r="T396" s="10"/>
      <c r="U396" t="str">
        <f>"RUNNING_COST_"&amp;IF(PROPERTIES[[#This Row],[ENGINE_CLASS]]="MAGLEV","ELECTRIC",PROPERTIES[[#This Row],[ENGINE_CLASS]])</f>
        <v>RUNNING_COST_ELECTRIC</v>
      </c>
      <c r="V396" s="10" t="s">
        <v>1004</v>
      </c>
      <c r="W396" s="10" t="s">
        <v>1005</v>
      </c>
      <c r="X396" s="10" t="str">
        <f>SUBSTITUTE(SUBSTITUTE(PROPERTIES[[#This Row],[PURCHASECOST_VALUE]], "PURCHASECOST_", ""), "_VALUE", "")</f>
        <v>ELECTRICENGINE</v>
      </c>
      <c r="AP396"/>
      <c r="AQ396"/>
      <c r="AR396"/>
    </row>
    <row r="397" spans="1:44">
      <c r="A397" s="2" t="s">
        <v>422</v>
      </c>
      <c r="B397">
        <v>1970</v>
      </c>
      <c r="C397">
        <v>0</v>
      </c>
      <c r="D397" t="s">
        <v>74</v>
      </c>
      <c r="E397" t="s">
        <v>20</v>
      </c>
      <c r="F397">
        <v>0</v>
      </c>
      <c r="G397" s="10">
        <v>114</v>
      </c>
      <c r="H397">
        <v>8</v>
      </c>
      <c r="I397">
        <v>8</v>
      </c>
      <c r="J397" s="2" t="s">
        <v>20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>
        <v>9980</v>
      </c>
      <c r="O397">
        <v>200</v>
      </c>
      <c r="P397" s="2">
        <v>0.27</v>
      </c>
      <c r="Q397" s="6">
        <v>40</v>
      </c>
      <c r="R397" s="10">
        <v>0</v>
      </c>
      <c r="S397" s="10">
        <v>0</v>
      </c>
      <c r="T397" s="10"/>
      <c r="U397" t="str">
        <f>"RUNNING_COST_"&amp;IF(PROPERTIES[[#This Row],[ENGINE_CLASS]]="MAGLEV","ELECTRIC",PROPERTIES[[#This Row],[ENGINE_CLASS]])</f>
        <v>RUNNING_COST_ELECTRIC</v>
      </c>
      <c r="V397" s="10" t="s">
        <v>1004</v>
      </c>
      <c r="W397" s="10" t="s">
        <v>1005</v>
      </c>
      <c r="X397" s="10" t="str">
        <f>SUBSTITUTE(SUBSTITUTE(PROPERTIES[[#This Row],[PURCHASECOST_VALUE]], "PURCHASECOST_", ""), "_VALUE", "")</f>
        <v>ELECTRICENGINE</v>
      </c>
      <c r="AP397"/>
      <c r="AQ397"/>
      <c r="AR397"/>
    </row>
    <row r="398" spans="1:44">
      <c r="A398" s="2" t="s">
        <v>423</v>
      </c>
      <c r="B398">
        <v>1925</v>
      </c>
      <c r="C398">
        <v>0</v>
      </c>
      <c r="D398" t="s">
        <v>74</v>
      </c>
      <c r="E398" t="s">
        <v>20</v>
      </c>
      <c r="F398">
        <v>0</v>
      </c>
      <c r="G398" s="10">
        <v>124</v>
      </c>
      <c r="H398">
        <v>8</v>
      </c>
      <c r="I398">
        <v>8</v>
      </c>
      <c r="J398" s="2" t="s">
        <v>20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>
        <v>2230</v>
      </c>
      <c r="O398">
        <v>55</v>
      </c>
      <c r="P398" s="2">
        <v>0.24</v>
      </c>
      <c r="Q398" s="6">
        <v>40</v>
      </c>
      <c r="R398" s="10">
        <v>0</v>
      </c>
      <c r="S398" s="10">
        <v>0</v>
      </c>
      <c r="T398" s="10"/>
      <c r="U398" t="str">
        <f>"RUNNING_COST_"&amp;IF(PROPERTIES[[#This Row],[ENGINE_CLASS]]="MAGLEV","ELECTRIC",PROPERTIES[[#This Row],[ENGINE_CLASS]])</f>
        <v>RUNNING_COST_ELECTRIC</v>
      </c>
      <c r="V398" s="10" t="s">
        <v>1004</v>
      </c>
      <c r="W398" s="10" t="s">
        <v>1005</v>
      </c>
      <c r="X398" s="10" t="str">
        <f>SUBSTITUTE(SUBSTITUTE(PROPERTIES[[#This Row],[PURCHASECOST_VALUE]], "PURCHASECOST_", ""), "_VALUE", "")</f>
        <v>ELECTRICENGINE</v>
      </c>
      <c r="AP398"/>
      <c r="AQ398"/>
      <c r="AR398"/>
    </row>
    <row r="399" spans="1:44">
      <c r="A399" s="2" t="s">
        <v>424</v>
      </c>
      <c r="B399">
        <v>1954</v>
      </c>
      <c r="C399">
        <v>0</v>
      </c>
      <c r="D399" t="s">
        <v>74</v>
      </c>
      <c r="E399" t="s">
        <v>20</v>
      </c>
      <c r="F399">
        <v>0</v>
      </c>
      <c r="G399" s="10">
        <v>65</v>
      </c>
      <c r="H399">
        <v>5</v>
      </c>
      <c r="I399">
        <v>5</v>
      </c>
      <c r="J399" s="2" t="s">
        <v>20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>
        <v>1001</v>
      </c>
      <c r="O399">
        <v>65</v>
      </c>
      <c r="P399" s="2">
        <v>0.17</v>
      </c>
      <c r="Q399" s="6">
        <v>40</v>
      </c>
      <c r="R399" s="10">
        <v>0</v>
      </c>
      <c r="S399" s="10">
        <v>0</v>
      </c>
      <c r="T399" s="10"/>
      <c r="U399" t="str">
        <f>"RUNNING_COST_"&amp;IF(PROPERTIES[[#This Row],[ENGINE_CLASS]]="MAGLEV","ELECTRIC",PROPERTIES[[#This Row],[ENGINE_CLASS]])</f>
        <v>RUNNING_COST_ELECTRIC</v>
      </c>
      <c r="V399" s="10" t="s">
        <v>1004</v>
      </c>
      <c r="W399" s="10" t="s">
        <v>1005</v>
      </c>
      <c r="X399" s="10" t="str">
        <f>SUBSTITUTE(SUBSTITUTE(PROPERTIES[[#This Row],[PURCHASECOST_VALUE]], "PURCHASECOST_", ""), "_VALUE", "")</f>
        <v>ELECTRICENGINE</v>
      </c>
      <c r="AP399"/>
      <c r="AQ399"/>
      <c r="AR399"/>
    </row>
    <row r="400" spans="1:44">
      <c r="A400" s="2" t="s">
        <v>425</v>
      </c>
      <c r="B400">
        <v>1955</v>
      </c>
      <c r="C400">
        <v>0</v>
      </c>
      <c r="D400" t="s">
        <v>74</v>
      </c>
      <c r="E400" t="s">
        <v>20</v>
      </c>
      <c r="F400">
        <v>0</v>
      </c>
      <c r="G400" s="10">
        <v>120</v>
      </c>
      <c r="H400">
        <v>8</v>
      </c>
      <c r="I400">
        <v>8</v>
      </c>
      <c r="J400" s="2" t="s">
        <v>20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>
        <v>5842</v>
      </c>
      <c r="O400">
        <v>125</v>
      </c>
      <c r="P400" s="2">
        <v>0.33</v>
      </c>
      <c r="Q400" s="6">
        <v>40</v>
      </c>
      <c r="R400" s="10">
        <v>0</v>
      </c>
      <c r="S400" s="10">
        <v>0</v>
      </c>
      <c r="T400" s="10"/>
      <c r="U400" t="str">
        <f>"RUNNING_COST_"&amp;IF(PROPERTIES[[#This Row],[ENGINE_CLASS]]="MAGLEV","ELECTRIC",PROPERTIES[[#This Row],[ENGINE_CLASS]])</f>
        <v>RUNNING_COST_ELECTRIC</v>
      </c>
      <c r="V400" s="10" t="s">
        <v>1004</v>
      </c>
      <c r="W400" s="10" t="s">
        <v>1005</v>
      </c>
      <c r="X400" s="10" t="str">
        <f>SUBSTITUTE(SUBSTITUTE(PROPERTIES[[#This Row],[PURCHASECOST_VALUE]], "PURCHASECOST_", ""), "_VALUE", "")</f>
        <v>ELECTRICENGINE</v>
      </c>
      <c r="AP400"/>
      <c r="AQ400"/>
      <c r="AR400"/>
    </row>
    <row r="401" spans="1:44">
      <c r="A401" s="2" t="s">
        <v>426</v>
      </c>
      <c r="B401">
        <v>1991</v>
      </c>
      <c r="C401">
        <v>0</v>
      </c>
      <c r="D401" t="s">
        <v>74</v>
      </c>
      <c r="E401" t="s">
        <v>20</v>
      </c>
      <c r="F401">
        <v>0</v>
      </c>
      <c r="G401" s="10">
        <v>84</v>
      </c>
      <c r="H401">
        <v>8</v>
      </c>
      <c r="I401">
        <v>8</v>
      </c>
      <c r="J401" s="2" t="s">
        <v>20</v>
      </c>
      <c r="K401">
        <f>_xlfn.XLOOKUP("LOADINGSPEEDDEF_"&amp;PROPERTIES[[#This Row],[LOADINGSPEED]],LOADINGSPEEDDEF[TYPE],LOADINGSPEEDDEF[SPEED])</f>
        <v>0</v>
      </c>
      <c r="L401" t="s">
        <v>21</v>
      </c>
      <c r="M401">
        <v>1</v>
      </c>
      <c r="N401">
        <v>8174</v>
      </c>
      <c r="O401">
        <v>230</v>
      </c>
      <c r="P401" s="2">
        <v>0.36</v>
      </c>
      <c r="Q401" s="6">
        <v>40</v>
      </c>
      <c r="R401" s="10">
        <v>0</v>
      </c>
      <c r="S401" s="10">
        <v>0</v>
      </c>
      <c r="T401" s="10"/>
      <c r="U401" t="str">
        <f>"RUNNING_COST_"&amp;IF(PROPERTIES[[#This Row],[ENGINE_CLASS]]="MAGLEV","ELECTRIC",PROPERTIES[[#This Row],[ENGINE_CLASS]])</f>
        <v>RUNNING_COST_ELECTRIC</v>
      </c>
      <c r="V401" s="10" t="s">
        <v>1004</v>
      </c>
      <c r="W401" s="10" t="s">
        <v>1005</v>
      </c>
      <c r="X401" s="10" t="str">
        <f>SUBSTITUTE(SUBSTITUTE(PROPERTIES[[#This Row],[PURCHASECOST_VALUE]], "PURCHASECOST_", ""), "_VALUE", "")</f>
        <v>ELECTRICENGINE</v>
      </c>
      <c r="AP401"/>
      <c r="AQ401"/>
      <c r="AR401"/>
    </row>
    <row r="402" spans="1:44">
      <c r="A402" s="2" t="s">
        <v>427</v>
      </c>
      <c r="B402">
        <v>2012</v>
      </c>
      <c r="C402">
        <v>0</v>
      </c>
      <c r="D402" t="s">
        <v>74</v>
      </c>
      <c r="E402" t="s">
        <v>20</v>
      </c>
      <c r="F402">
        <v>0</v>
      </c>
      <c r="G402" s="10">
        <v>45</v>
      </c>
      <c r="H402">
        <v>5</v>
      </c>
      <c r="I402">
        <v>5</v>
      </c>
      <c r="J402" s="2" t="s">
        <v>20</v>
      </c>
      <c r="K402">
        <f>_xlfn.XLOOKUP("LOADINGSPEEDDEF_"&amp;PROPERTIES[[#This Row],[LOADINGSPEED]],LOADINGSPEEDDEF[TYPE],LOADINGSPEEDDEF[SPEED])</f>
        <v>0</v>
      </c>
      <c r="L402" t="s">
        <v>21</v>
      </c>
      <c r="M402">
        <v>1</v>
      </c>
      <c r="N402">
        <v>1000</v>
      </c>
      <c r="O402">
        <v>100</v>
      </c>
      <c r="P402" s="2">
        <v>0.27</v>
      </c>
      <c r="Q402" s="6">
        <v>40</v>
      </c>
      <c r="R402" s="10">
        <v>0</v>
      </c>
      <c r="S402" s="10">
        <v>0</v>
      </c>
      <c r="T402" s="10"/>
      <c r="U402" t="str">
        <f>"RUNNING_COST_"&amp;IF(PROPERTIES[[#This Row],[ENGINE_CLASS]]="MAGLEV","ELECTRIC",PROPERTIES[[#This Row],[ENGINE_CLASS]])</f>
        <v>RUNNING_COST_ELECTRIC</v>
      </c>
      <c r="V402" s="10" t="s">
        <v>1004</v>
      </c>
      <c r="W402" s="10" t="s">
        <v>1005</v>
      </c>
      <c r="X402" s="10" t="str">
        <f>SUBSTITUTE(SUBSTITUTE(PROPERTIES[[#This Row],[PURCHASECOST_VALUE]], "PURCHASECOST_", ""), "_VALUE", "")</f>
        <v>ELECTRICENGINE</v>
      </c>
      <c r="AP402"/>
      <c r="AQ402"/>
      <c r="AR402"/>
    </row>
    <row r="403" spans="1:44">
      <c r="A403" s="2" t="s">
        <v>428</v>
      </c>
      <c r="B403">
        <v>1974</v>
      </c>
      <c r="C403">
        <v>0</v>
      </c>
      <c r="D403" t="s">
        <v>74</v>
      </c>
      <c r="E403" t="s">
        <v>20</v>
      </c>
      <c r="F403">
        <v>0</v>
      </c>
      <c r="G403" s="10">
        <v>84</v>
      </c>
      <c r="H403">
        <v>8</v>
      </c>
      <c r="I403">
        <v>8</v>
      </c>
      <c r="J403" s="2" t="s">
        <v>20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>
        <v>7000</v>
      </c>
      <c r="O403">
        <v>160</v>
      </c>
      <c r="P403" s="2">
        <v>0.39</v>
      </c>
      <c r="Q403" s="6">
        <v>40</v>
      </c>
      <c r="R403" s="10">
        <v>0</v>
      </c>
      <c r="S403" s="10">
        <v>0</v>
      </c>
      <c r="T403" s="10"/>
      <c r="U403" t="str">
        <f>"RUNNING_COST_"&amp;IF(PROPERTIES[[#This Row],[ENGINE_CLASS]]="MAGLEV","ELECTRIC",PROPERTIES[[#This Row],[ENGINE_CLASS]])</f>
        <v>RUNNING_COST_ELECTRIC</v>
      </c>
      <c r="V403" s="10" t="s">
        <v>1004</v>
      </c>
      <c r="W403" s="10" t="s">
        <v>1005</v>
      </c>
      <c r="X403" s="10" t="str">
        <f>SUBSTITUTE(SUBSTITUTE(PROPERTIES[[#This Row],[PURCHASECOST_VALUE]], "PURCHASECOST_", ""), "_VALUE", "")</f>
        <v>ELECTRICENGINE</v>
      </c>
      <c r="AP403"/>
      <c r="AQ403"/>
      <c r="AR403"/>
    </row>
    <row r="404" spans="1:44">
      <c r="A404" s="2" t="s">
        <v>429</v>
      </c>
      <c r="B404">
        <v>1982</v>
      </c>
      <c r="C404">
        <v>0</v>
      </c>
      <c r="D404" t="s">
        <v>74</v>
      </c>
      <c r="E404" t="s">
        <v>20</v>
      </c>
      <c r="F404">
        <v>0</v>
      </c>
      <c r="G404" s="10">
        <v>82</v>
      </c>
      <c r="H404">
        <v>8</v>
      </c>
      <c r="I404">
        <v>8</v>
      </c>
      <c r="J404" s="2" t="s">
        <v>20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>
        <v>2680</v>
      </c>
      <c r="O404">
        <v>100</v>
      </c>
      <c r="P404" s="2">
        <v>0.32</v>
      </c>
      <c r="Q404" s="6">
        <v>40</v>
      </c>
      <c r="R404" s="10">
        <v>0</v>
      </c>
      <c r="S404" s="10">
        <v>0</v>
      </c>
      <c r="T404" s="10"/>
      <c r="U404" t="str">
        <f>"RUNNING_COST_"&amp;IF(PROPERTIES[[#This Row],[ENGINE_CLASS]]="MAGLEV","ELECTRIC",PROPERTIES[[#This Row],[ENGINE_CLASS]])</f>
        <v>RUNNING_COST_ELECTRIC</v>
      </c>
      <c r="V404" s="10" t="s">
        <v>1004</v>
      </c>
      <c r="W404" s="10" t="s">
        <v>1005</v>
      </c>
      <c r="X404" s="10" t="str">
        <f>SUBSTITUTE(SUBSTITUTE(PROPERTIES[[#This Row],[PURCHASECOST_VALUE]], "PURCHASECOST_", ""), "_VALUE", "")</f>
        <v>ELECTRICENGINE</v>
      </c>
      <c r="AP404"/>
      <c r="AQ404"/>
      <c r="AR404"/>
    </row>
    <row r="405" spans="1:44">
      <c r="A405" s="2" t="s">
        <v>430</v>
      </c>
      <c r="B405">
        <v>1953</v>
      </c>
      <c r="C405">
        <v>0</v>
      </c>
      <c r="D405" t="s">
        <v>74</v>
      </c>
      <c r="E405" t="s">
        <v>20</v>
      </c>
      <c r="F405">
        <v>0</v>
      </c>
      <c r="G405" s="10">
        <v>273</v>
      </c>
      <c r="H405">
        <v>7</v>
      </c>
      <c r="I405">
        <v>21</v>
      </c>
      <c r="J405" s="2" t="s">
        <v>20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>
        <v>9648</v>
      </c>
      <c r="O405">
        <v>75</v>
      </c>
      <c r="P405" s="2">
        <v>0.34</v>
      </c>
      <c r="Q405" s="6">
        <v>40</v>
      </c>
      <c r="R405" s="10">
        <v>0</v>
      </c>
      <c r="S405" s="10">
        <v>0</v>
      </c>
      <c r="T405" s="10"/>
      <c r="U405" t="str">
        <f>"RUNNING_COST_"&amp;IF(PROPERTIES[[#This Row],[ENGINE_CLASS]]="MAGLEV","ELECTRIC",PROPERTIES[[#This Row],[ENGINE_CLASS]])</f>
        <v>RUNNING_COST_ELECTRIC</v>
      </c>
      <c r="V405" s="10" t="s">
        <v>1004</v>
      </c>
      <c r="W405" s="10" t="s">
        <v>1005</v>
      </c>
      <c r="X405" s="10" t="str">
        <f>SUBSTITUTE(SUBSTITUTE(PROPERTIES[[#This Row],[PURCHASECOST_VALUE]], "PURCHASECOST_", ""), "_VALUE", "")</f>
        <v>ELECTRICENGINE</v>
      </c>
      <c r="AP405"/>
      <c r="AQ405"/>
      <c r="AR405"/>
    </row>
    <row r="406" spans="1:44">
      <c r="A406" s="2" t="s">
        <v>431</v>
      </c>
      <c r="B406">
        <v>2000</v>
      </c>
      <c r="C406">
        <v>0</v>
      </c>
      <c r="D406" t="s">
        <v>74</v>
      </c>
      <c r="E406" t="s">
        <v>20</v>
      </c>
      <c r="F406">
        <v>0</v>
      </c>
      <c r="G406" s="10">
        <v>360</v>
      </c>
      <c r="H406">
        <v>8</v>
      </c>
      <c r="I406">
        <v>16</v>
      </c>
      <c r="J406" s="2" t="s">
        <v>20</v>
      </c>
      <c r="K406">
        <f>_xlfn.XLOOKUP("LOADINGSPEEDDEF_"&amp;PROPERTIES[[#This Row],[LOADINGSPEED]],LOADINGSPEEDDEF[TYPE],LOADINGSPEEDDEF[SPEED])</f>
        <v>0</v>
      </c>
      <c r="L406" t="s">
        <v>21</v>
      </c>
      <c r="M406">
        <v>0</v>
      </c>
      <c r="N406">
        <v>14478</v>
      </c>
      <c r="O406">
        <v>80</v>
      </c>
      <c r="P406" s="2">
        <v>0.39</v>
      </c>
      <c r="Q406" s="6">
        <v>40</v>
      </c>
      <c r="R406" s="10">
        <v>0</v>
      </c>
      <c r="S406" s="10">
        <v>8</v>
      </c>
      <c r="T406" s="10"/>
      <c r="U406" t="str">
        <f>"RUNNING_COST_"&amp;IF(PROPERTIES[[#This Row],[ENGINE_CLASS]]="MAGLEV","ELECTRIC",PROPERTIES[[#This Row],[ENGINE_CLASS]])</f>
        <v>RUNNING_COST_ELECTRIC</v>
      </c>
      <c r="V406" s="10" t="s">
        <v>1004</v>
      </c>
      <c r="W406" s="10" t="s">
        <v>1005</v>
      </c>
      <c r="X406" s="10" t="str">
        <f>SUBSTITUTE(SUBSTITUTE(PROPERTIES[[#This Row],[PURCHASECOST_VALUE]], "PURCHASECOST_", ""), "_VALUE", "")</f>
        <v>ELECTRICENGINE</v>
      </c>
      <c r="AP406"/>
      <c r="AQ406"/>
      <c r="AR406"/>
    </row>
    <row r="407" spans="1:44">
      <c r="A407" s="2" t="s">
        <v>432</v>
      </c>
      <c r="B407">
        <v>1914</v>
      </c>
      <c r="C407">
        <v>0</v>
      </c>
      <c r="D407" t="s">
        <v>74</v>
      </c>
      <c r="E407" t="s">
        <v>20</v>
      </c>
      <c r="F407">
        <v>0</v>
      </c>
      <c r="G407" s="10">
        <v>125</v>
      </c>
      <c r="H407">
        <v>6</v>
      </c>
      <c r="I407">
        <v>12</v>
      </c>
      <c r="J407" s="2" t="s">
        <v>20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>
        <v>1600</v>
      </c>
      <c r="O407">
        <v>60</v>
      </c>
      <c r="P407" s="2">
        <v>0.2</v>
      </c>
      <c r="Q407" s="6">
        <v>40</v>
      </c>
      <c r="R407" s="10">
        <v>0</v>
      </c>
      <c r="S407" s="10">
        <v>6</v>
      </c>
      <c r="T407" s="10"/>
      <c r="U407" t="str">
        <f>"RUNNING_COST_"&amp;IF(PROPERTIES[[#This Row],[ENGINE_CLASS]]="MAGLEV","ELECTRIC",PROPERTIES[[#This Row],[ENGINE_CLASS]])</f>
        <v>RUNNING_COST_ELECTRIC</v>
      </c>
      <c r="V407" s="10" t="s">
        <v>1004</v>
      </c>
      <c r="W407" s="10" t="s">
        <v>1005</v>
      </c>
      <c r="X407" s="10" t="str">
        <f>SUBSTITUTE(SUBSTITUTE(PROPERTIES[[#This Row],[PURCHASECOST_VALUE]], "PURCHASECOST_", ""), "_VALUE", "")</f>
        <v>ELECTRICENGINE</v>
      </c>
      <c r="AP407"/>
      <c r="AQ407"/>
      <c r="AR407"/>
    </row>
    <row r="408" spans="1:44">
      <c r="A408" s="2" t="s">
        <v>433</v>
      </c>
      <c r="B408">
        <v>1942</v>
      </c>
      <c r="C408">
        <v>0</v>
      </c>
      <c r="D408" t="s">
        <v>74</v>
      </c>
      <c r="E408" t="s">
        <v>20</v>
      </c>
      <c r="F408">
        <v>0</v>
      </c>
      <c r="G408" s="10">
        <v>102</v>
      </c>
      <c r="H408">
        <v>8</v>
      </c>
      <c r="I408">
        <v>8</v>
      </c>
      <c r="J408" s="2" t="s">
        <v>20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>
        <v>3460</v>
      </c>
      <c r="O408">
        <v>135</v>
      </c>
      <c r="P408" s="2">
        <v>0.2</v>
      </c>
      <c r="Q408" s="6">
        <v>40</v>
      </c>
      <c r="R408" s="10">
        <v>0</v>
      </c>
      <c r="S408" s="10">
        <v>0</v>
      </c>
      <c r="T408" s="10"/>
      <c r="U408" t="str">
        <f>"RUNNING_COST_"&amp;IF(PROPERTIES[[#This Row],[ENGINE_CLASS]]="MAGLEV","ELECTRIC",PROPERTIES[[#This Row],[ENGINE_CLASS]])</f>
        <v>RUNNING_COST_ELECTRIC</v>
      </c>
      <c r="V408" s="10" t="s">
        <v>1004</v>
      </c>
      <c r="W408" s="10" t="s">
        <v>1005</v>
      </c>
      <c r="X408" s="10" t="str">
        <f>SUBSTITUTE(SUBSTITUTE(PROPERTIES[[#This Row],[PURCHASECOST_VALUE]], "PURCHASECOST_", ""), "_VALUE", "")</f>
        <v>ELECTRICENGINE</v>
      </c>
      <c r="AP408"/>
      <c r="AQ408"/>
      <c r="AR408"/>
    </row>
    <row r="409" spans="1:44">
      <c r="A409" s="2" t="s">
        <v>434</v>
      </c>
      <c r="B409">
        <v>1982</v>
      </c>
      <c r="C409">
        <v>0</v>
      </c>
      <c r="D409" t="s">
        <v>74</v>
      </c>
      <c r="E409" t="s">
        <v>20</v>
      </c>
      <c r="F409">
        <v>0</v>
      </c>
      <c r="G409" s="10">
        <v>64</v>
      </c>
      <c r="H409">
        <v>7</v>
      </c>
      <c r="I409">
        <v>7</v>
      </c>
      <c r="J409" s="2" t="s">
        <v>24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>
        <v>4000</v>
      </c>
      <c r="O409">
        <v>150</v>
      </c>
      <c r="P409" s="2">
        <v>0.38</v>
      </c>
      <c r="Q409" s="6">
        <v>40</v>
      </c>
      <c r="R409" s="10">
        <v>0</v>
      </c>
      <c r="S409" s="10">
        <v>0</v>
      </c>
      <c r="T409" s="10"/>
      <c r="U409" t="str">
        <f>"RUNNING_COST_"&amp;IF(PROPERTIES[[#This Row],[ENGINE_CLASS]]="MAGLEV","ELECTRIC",PROPERTIES[[#This Row],[ENGINE_CLASS]])</f>
        <v>RUNNING_COST_ELECTRIC</v>
      </c>
      <c r="V409" s="10" t="s">
        <v>1004</v>
      </c>
      <c r="W409" s="10" t="s">
        <v>1005</v>
      </c>
      <c r="X409" s="10" t="str">
        <f>SUBSTITUTE(SUBSTITUTE(PROPERTIES[[#This Row],[PURCHASECOST_VALUE]], "PURCHASECOST_", ""), "_VALUE", "")</f>
        <v>ELECTRICENGINE</v>
      </c>
      <c r="AP409"/>
      <c r="AQ409"/>
      <c r="AR409"/>
    </row>
    <row r="410" spans="1:44">
      <c r="A410" s="2" t="s">
        <v>435</v>
      </c>
      <c r="B410">
        <v>1914</v>
      </c>
      <c r="C410">
        <v>0</v>
      </c>
      <c r="D410" t="s">
        <v>74</v>
      </c>
      <c r="E410" t="s">
        <v>20</v>
      </c>
      <c r="F410">
        <v>0</v>
      </c>
      <c r="G410" s="10">
        <v>81</v>
      </c>
      <c r="H410">
        <v>6</v>
      </c>
      <c r="I410">
        <v>6</v>
      </c>
      <c r="J410" s="2" t="s">
        <v>20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>
        <v>1186</v>
      </c>
      <c r="O410">
        <v>100</v>
      </c>
      <c r="P410" s="2">
        <v>0.1</v>
      </c>
      <c r="Q410" s="6">
        <v>40</v>
      </c>
      <c r="R410" s="10">
        <v>0</v>
      </c>
      <c r="S410" s="10">
        <v>0</v>
      </c>
      <c r="T410" s="10"/>
      <c r="U410" t="str">
        <f>"RUNNING_COST_"&amp;IF(PROPERTIES[[#This Row],[ENGINE_CLASS]]="MAGLEV","ELECTRIC",PROPERTIES[[#This Row],[ENGINE_CLASS]])</f>
        <v>RUNNING_COST_ELECTRIC</v>
      </c>
      <c r="V410" s="10" t="s">
        <v>1004</v>
      </c>
      <c r="W410" s="10" t="s">
        <v>1005</v>
      </c>
      <c r="X410" s="10" t="str">
        <f>SUBSTITUTE(SUBSTITUTE(PROPERTIES[[#This Row],[PURCHASECOST_VALUE]], "PURCHASECOST_", ""), "_VALUE", "")</f>
        <v>ELECTRICENGINE</v>
      </c>
      <c r="AP410"/>
      <c r="AQ410"/>
      <c r="AR410"/>
    </row>
    <row r="411" spans="1:44">
      <c r="A411" s="2" t="s">
        <v>436</v>
      </c>
      <c r="B411">
        <v>1948</v>
      </c>
      <c r="C411">
        <v>0</v>
      </c>
      <c r="D411" t="s">
        <v>74</v>
      </c>
      <c r="E411" t="s">
        <v>20</v>
      </c>
      <c r="F411">
        <v>0</v>
      </c>
      <c r="G411" s="10">
        <v>450</v>
      </c>
      <c r="H411">
        <v>8</v>
      </c>
      <c r="I411">
        <v>16</v>
      </c>
      <c r="J411" s="2" t="s">
        <v>20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>
        <v>6800</v>
      </c>
      <c r="O411">
        <v>80</v>
      </c>
      <c r="P411" s="2">
        <v>0.16</v>
      </c>
      <c r="Q411" s="6">
        <v>40</v>
      </c>
      <c r="R411" s="10">
        <v>0</v>
      </c>
      <c r="S411" s="10">
        <v>0</v>
      </c>
      <c r="T411" s="10"/>
      <c r="U411" t="str">
        <f>"RUNNING_COST_"&amp;IF(PROPERTIES[[#This Row],[ENGINE_CLASS]]="MAGLEV","ELECTRIC",PROPERTIES[[#This Row],[ENGINE_CLASS]])</f>
        <v>RUNNING_COST_ELECTRIC</v>
      </c>
      <c r="V411" s="10" t="s">
        <v>1004</v>
      </c>
      <c r="W411" s="10" t="s">
        <v>1005</v>
      </c>
      <c r="X411" s="10" t="str">
        <f>SUBSTITUTE(SUBSTITUTE(PROPERTIES[[#This Row],[PURCHASECOST_VALUE]], "PURCHASECOST_", ""), "_VALUE", "")</f>
        <v>ELECTRICENGINE</v>
      </c>
      <c r="AP411"/>
      <c r="AQ411"/>
      <c r="AR411"/>
    </row>
    <row r="412" spans="1:44">
      <c r="A412" s="2" t="s">
        <v>437</v>
      </c>
      <c r="B412">
        <v>1947</v>
      </c>
      <c r="C412">
        <v>0</v>
      </c>
      <c r="D412" t="s">
        <v>74</v>
      </c>
      <c r="E412" t="s">
        <v>20</v>
      </c>
      <c r="F412">
        <v>0</v>
      </c>
      <c r="G412" s="10">
        <v>330</v>
      </c>
      <c r="H412">
        <v>8</v>
      </c>
      <c r="I412">
        <v>8</v>
      </c>
      <c r="J412" s="2" t="s">
        <v>20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>
        <v>5000</v>
      </c>
      <c r="O412">
        <v>105</v>
      </c>
      <c r="P412" s="2">
        <v>0.16</v>
      </c>
      <c r="Q412" s="6">
        <v>40</v>
      </c>
      <c r="R412" s="10">
        <v>0</v>
      </c>
      <c r="S412" s="10">
        <v>4</v>
      </c>
      <c r="T412" s="10"/>
      <c r="U412" t="str">
        <f>"RUNNING_COST_"&amp;IF(PROPERTIES[[#This Row],[ENGINE_CLASS]]="MAGLEV","ELECTRIC",PROPERTIES[[#This Row],[ENGINE_CLASS]])</f>
        <v>RUNNING_COST_ELECTRIC</v>
      </c>
      <c r="V412" s="10" t="s">
        <v>1004</v>
      </c>
      <c r="W412" s="10" t="s">
        <v>1005</v>
      </c>
      <c r="X412" s="10" t="str">
        <f>SUBSTITUTE(SUBSTITUTE(PROPERTIES[[#This Row],[PURCHASECOST_VALUE]], "PURCHASECOST_", ""), "_VALUE", "")</f>
        <v>ELECTRICENGINE</v>
      </c>
      <c r="AP412"/>
      <c r="AQ412"/>
      <c r="AR412"/>
    </row>
    <row r="413" spans="1:44">
      <c r="A413" s="2" t="s">
        <v>438</v>
      </c>
      <c r="B413">
        <v>1926</v>
      </c>
      <c r="C413">
        <v>0</v>
      </c>
      <c r="D413" t="s">
        <v>74</v>
      </c>
      <c r="E413" t="s">
        <v>20</v>
      </c>
      <c r="F413">
        <v>0</v>
      </c>
      <c r="G413" s="10">
        <v>71</v>
      </c>
      <c r="H413">
        <v>4</v>
      </c>
      <c r="I413">
        <v>4</v>
      </c>
      <c r="J413" s="2" t="s">
        <v>24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>
        <v>700</v>
      </c>
      <c r="O413">
        <v>40</v>
      </c>
      <c r="P413" s="2">
        <v>0.25</v>
      </c>
      <c r="Q413" s="6">
        <v>40</v>
      </c>
      <c r="R413" s="10">
        <v>0</v>
      </c>
      <c r="S413" s="10">
        <v>0</v>
      </c>
      <c r="T413" s="10"/>
      <c r="U413" t="str">
        <f>"RUNNING_COST_"&amp;IF(PROPERTIES[[#This Row],[ENGINE_CLASS]]="MAGLEV","ELECTRIC",PROPERTIES[[#This Row],[ENGINE_CLASS]])</f>
        <v>RUNNING_COST_ELECTRIC</v>
      </c>
      <c r="V413" s="10" t="s">
        <v>1004</v>
      </c>
      <c r="W413" s="10" t="s">
        <v>1005</v>
      </c>
      <c r="X413" s="10" t="str">
        <f>SUBSTITUTE(SUBSTITUTE(PROPERTIES[[#This Row],[PURCHASECOST_VALUE]], "PURCHASECOST_", ""), "_VALUE", "")</f>
        <v>ELECTRICENGINE</v>
      </c>
      <c r="AP413"/>
      <c r="AQ413"/>
      <c r="AR413"/>
    </row>
    <row r="414" spans="1:44">
      <c r="A414" s="2" t="s">
        <v>439</v>
      </c>
      <c r="B414">
        <v>2008</v>
      </c>
      <c r="C414">
        <v>0</v>
      </c>
      <c r="D414" t="s">
        <v>74</v>
      </c>
      <c r="E414" t="s">
        <v>20</v>
      </c>
      <c r="F414">
        <v>0</v>
      </c>
      <c r="G414" s="10">
        <v>109</v>
      </c>
      <c r="H414">
        <v>8</v>
      </c>
      <c r="I414">
        <v>8</v>
      </c>
      <c r="J414" s="2" t="s">
        <v>20</v>
      </c>
      <c r="K414">
        <f>_xlfn.XLOOKUP("LOADINGSPEEDDEF_"&amp;PROPERTIES[[#This Row],[LOADINGSPEED]],LOADINGSPEEDDEF[TYPE],LOADINGSPEEDDEF[SPEED])</f>
        <v>0</v>
      </c>
      <c r="L414" t="s">
        <v>21</v>
      </c>
      <c r="M414">
        <v>1</v>
      </c>
      <c r="N414">
        <v>5360</v>
      </c>
      <c r="O414">
        <v>80</v>
      </c>
      <c r="P414" s="2">
        <v>0.41</v>
      </c>
      <c r="Q414" s="6">
        <v>40</v>
      </c>
      <c r="R414" s="10">
        <v>0</v>
      </c>
      <c r="S414" s="10">
        <v>0</v>
      </c>
      <c r="T414" s="10"/>
      <c r="U414" t="str">
        <f>"RUNNING_COST_"&amp;IF(PROPERTIES[[#This Row],[ENGINE_CLASS]]="MAGLEV","ELECTRIC",PROPERTIES[[#This Row],[ENGINE_CLASS]])</f>
        <v>RUNNING_COST_ELECTRIC</v>
      </c>
      <c r="V414" s="10" t="s">
        <v>1004</v>
      </c>
      <c r="W414" s="10" t="s">
        <v>1005</v>
      </c>
      <c r="X414" s="10" t="str">
        <f>SUBSTITUTE(SUBSTITUTE(PROPERTIES[[#This Row],[PURCHASECOST_VALUE]], "PURCHASECOST_", ""), "_VALUE", "")</f>
        <v>ELECTRICENGINE</v>
      </c>
      <c r="AP414"/>
      <c r="AQ414"/>
      <c r="AR414"/>
    </row>
    <row r="415" spans="1:44">
      <c r="A415" s="2" t="s">
        <v>440</v>
      </c>
      <c r="B415">
        <v>1991</v>
      </c>
      <c r="C415">
        <v>0</v>
      </c>
      <c r="D415" t="s">
        <v>74</v>
      </c>
      <c r="E415" t="s">
        <v>20</v>
      </c>
      <c r="F415">
        <v>0</v>
      </c>
      <c r="G415" s="10">
        <v>138</v>
      </c>
      <c r="H415">
        <v>8</v>
      </c>
      <c r="I415">
        <v>8</v>
      </c>
      <c r="J415" s="2" t="s">
        <v>20</v>
      </c>
      <c r="K415">
        <f>_xlfn.XLOOKUP("LOADINGSPEEDDEF_"&amp;PROPERTIES[[#This Row],[LOADINGSPEED]],LOADINGSPEEDDEF[TYPE],LOADINGSPEEDDEF[SPEED])</f>
        <v>0</v>
      </c>
      <c r="L415" t="s">
        <v>21</v>
      </c>
      <c r="M415">
        <v>1</v>
      </c>
      <c r="N415">
        <v>6432</v>
      </c>
      <c r="O415">
        <v>100</v>
      </c>
      <c r="P415" s="2">
        <v>0.35</v>
      </c>
      <c r="Q415" s="6">
        <v>40</v>
      </c>
      <c r="R415" s="10">
        <v>0</v>
      </c>
      <c r="S415" s="10">
        <v>0</v>
      </c>
      <c r="T415" s="10"/>
      <c r="U415" t="str">
        <f>"RUNNING_COST_"&amp;IF(PROPERTIES[[#This Row],[ENGINE_CLASS]]="MAGLEV","ELECTRIC",PROPERTIES[[#This Row],[ENGINE_CLASS]])</f>
        <v>RUNNING_COST_ELECTRIC</v>
      </c>
      <c r="V415" s="10" t="s">
        <v>1004</v>
      </c>
      <c r="W415" s="10" t="s">
        <v>1005</v>
      </c>
      <c r="X415" s="10" t="str">
        <f>SUBSTITUTE(SUBSTITUTE(PROPERTIES[[#This Row],[PURCHASECOST_VALUE]], "PURCHASECOST_", ""), "_VALUE", "")</f>
        <v>ELECTRICENGINE</v>
      </c>
      <c r="AP415"/>
      <c r="AQ415"/>
      <c r="AR415"/>
    </row>
    <row r="416" spans="1:44">
      <c r="A416" s="2" t="s">
        <v>441</v>
      </c>
      <c r="B416">
        <v>1978</v>
      </c>
      <c r="C416">
        <v>0</v>
      </c>
      <c r="D416" t="s">
        <v>74</v>
      </c>
      <c r="E416" t="s">
        <v>20</v>
      </c>
      <c r="F416">
        <v>0</v>
      </c>
      <c r="G416" s="10">
        <v>138</v>
      </c>
      <c r="H416">
        <v>8</v>
      </c>
      <c r="I416">
        <v>8</v>
      </c>
      <c r="J416" s="2" t="s">
        <v>24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>
        <v>5793</v>
      </c>
      <c r="O416">
        <v>100</v>
      </c>
      <c r="P416" s="2">
        <v>0.34</v>
      </c>
      <c r="Q416" s="6">
        <v>40</v>
      </c>
      <c r="R416" s="10">
        <v>0</v>
      </c>
      <c r="S416" s="10">
        <v>0</v>
      </c>
      <c r="T416" s="10"/>
      <c r="U416" t="str">
        <f>"RUNNING_COST_"&amp;IF(PROPERTIES[[#This Row],[ENGINE_CLASS]]="MAGLEV","ELECTRIC",PROPERTIES[[#This Row],[ENGINE_CLASS]])</f>
        <v>RUNNING_COST_ELECTRIC</v>
      </c>
      <c r="V416" s="10" t="s">
        <v>1004</v>
      </c>
      <c r="W416" s="10" t="s">
        <v>1005</v>
      </c>
      <c r="X416" s="10" t="str">
        <f>SUBSTITUTE(SUBSTITUTE(PROPERTIES[[#This Row],[PURCHASECOST_VALUE]], "PURCHASECOST_", ""), "_VALUE", "")</f>
        <v>ELECTRICENGINE</v>
      </c>
      <c r="AP416"/>
      <c r="AQ416"/>
      <c r="AR416"/>
    </row>
    <row r="417" spans="1:44">
      <c r="A417" s="2" t="s">
        <v>442</v>
      </c>
      <c r="B417">
        <v>2006</v>
      </c>
      <c r="C417">
        <v>0</v>
      </c>
      <c r="D417" t="s">
        <v>74</v>
      </c>
      <c r="E417" t="s">
        <v>20</v>
      </c>
      <c r="F417">
        <v>0</v>
      </c>
      <c r="G417" s="10">
        <v>150</v>
      </c>
      <c r="H417">
        <v>8</v>
      </c>
      <c r="I417">
        <v>8</v>
      </c>
      <c r="J417" s="2" t="s">
        <v>20</v>
      </c>
      <c r="K417">
        <f>_xlfn.XLOOKUP("LOADINGSPEEDDEF_"&amp;PROPERTIES[[#This Row],[LOADINGSPEED]],LOADINGSPEEDDEF[TYPE],LOADINGSPEEDDEF[SPEED])</f>
        <v>0</v>
      </c>
      <c r="L417" t="s">
        <v>21</v>
      </c>
      <c r="M417">
        <v>1</v>
      </c>
      <c r="N417">
        <v>12800</v>
      </c>
      <c r="O417">
        <v>120</v>
      </c>
      <c r="P417" s="2">
        <v>0.27</v>
      </c>
      <c r="Q417" s="6">
        <v>40</v>
      </c>
      <c r="R417" s="10">
        <v>0</v>
      </c>
      <c r="S417" s="10">
        <v>0</v>
      </c>
      <c r="T417" s="10"/>
      <c r="U417" t="str">
        <f>"RUNNING_COST_"&amp;IF(PROPERTIES[[#This Row],[ENGINE_CLASS]]="MAGLEV","ELECTRIC",PROPERTIES[[#This Row],[ENGINE_CLASS]])</f>
        <v>RUNNING_COST_ELECTRIC</v>
      </c>
      <c r="V417" s="10" t="s">
        <v>1004</v>
      </c>
      <c r="W417" s="10" t="s">
        <v>1005</v>
      </c>
      <c r="X417" s="10" t="str">
        <f>SUBSTITUTE(SUBSTITUTE(PROPERTIES[[#This Row],[PURCHASECOST_VALUE]], "PURCHASECOST_", ""), "_VALUE", "")</f>
        <v>ELECTRICENGINE</v>
      </c>
      <c r="AP417"/>
      <c r="AQ417"/>
      <c r="AR417"/>
    </row>
    <row r="418" spans="1:44">
      <c r="A418" s="2" t="s">
        <v>443</v>
      </c>
      <c r="B418">
        <v>2012</v>
      </c>
      <c r="C418">
        <v>0</v>
      </c>
      <c r="D418" t="s">
        <v>74</v>
      </c>
      <c r="E418" t="s">
        <v>20</v>
      </c>
      <c r="F418">
        <v>0</v>
      </c>
      <c r="G418" s="10">
        <v>126</v>
      </c>
      <c r="H418">
        <v>8</v>
      </c>
      <c r="I418">
        <v>8</v>
      </c>
      <c r="J418" s="2" t="s">
        <v>20</v>
      </c>
      <c r="K418">
        <f>_xlfn.XLOOKUP("LOADINGSPEEDDEF_"&amp;PROPERTIES[[#This Row],[LOADINGSPEED]],LOADINGSPEEDDEF[TYPE],LOADINGSPEEDDEF[SPEED])</f>
        <v>0</v>
      </c>
      <c r="L418" t="s">
        <v>21</v>
      </c>
      <c r="M418">
        <v>1</v>
      </c>
      <c r="N418">
        <v>9700</v>
      </c>
      <c r="O418">
        <v>160</v>
      </c>
      <c r="P418" s="2">
        <v>0.33</v>
      </c>
      <c r="Q418" s="6">
        <v>40</v>
      </c>
      <c r="R418" s="10">
        <v>0</v>
      </c>
      <c r="S418" s="10">
        <v>0</v>
      </c>
      <c r="T418" s="10"/>
      <c r="U418" t="str">
        <f>"RUNNING_COST_"&amp;IF(PROPERTIES[[#This Row],[ENGINE_CLASS]]="MAGLEV","ELECTRIC",PROPERTIES[[#This Row],[ENGINE_CLASS]])</f>
        <v>RUNNING_COST_ELECTRIC</v>
      </c>
      <c r="V418" s="10" t="s">
        <v>1004</v>
      </c>
      <c r="W418" s="10" t="s">
        <v>1005</v>
      </c>
      <c r="X418" s="10" t="str">
        <f>SUBSTITUTE(SUBSTITUTE(PROPERTIES[[#This Row],[PURCHASECOST_VALUE]], "PURCHASECOST_", ""), "_VALUE", "")</f>
        <v>ELECTRICENGINE</v>
      </c>
      <c r="AP418"/>
      <c r="AQ418"/>
      <c r="AR418"/>
    </row>
    <row r="419" spans="1:44">
      <c r="A419" s="2" t="s">
        <v>444</v>
      </c>
      <c r="B419">
        <v>1986</v>
      </c>
      <c r="C419">
        <v>0</v>
      </c>
      <c r="D419" t="s">
        <v>74</v>
      </c>
      <c r="E419" t="s">
        <v>20</v>
      </c>
      <c r="F419">
        <v>0</v>
      </c>
      <c r="G419" s="10">
        <v>138</v>
      </c>
      <c r="H419">
        <v>8</v>
      </c>
      <c r="I419">
        <v>8</v>
      </c>
      <c r="J419" s="2" t="s">
        <v>20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>
        <v>6450</v>
      </c>
      <c r="O419">
        <v>100</v>
      </c>
      <c r="P419" s="2">
        <v>0.35</v>
      </c>
      <c r="Q419" s="6">
        <v>40</v>
      </c>
      <c r="R419" s="10">
        <v>0</v>
      </c>
      <c r="S419" s="10">
        <v>0</v>
      </c>
      <c r="T419" s="10"/>
      <c r="U419" t="str">
        <f>"RUNNING_COST_"&amp;IF(PROPERTIES[[#This Row],[ENGINE_CLASS]]="MAGLEV","ELECTRIC",PROPERTIES[[#This Row],[ENGINE_CLASS]])</f>
        <v>RUNNING_COST_ELECTRIC</v>
      </c>
      <c r="V419" s="10" t="s">
        <v>1004</v>
      </c>
      <c r="W419" s="10" t="s">
        <v>1005</v>
      </c>
      <c r="X419" s="10" t="str">
        <f>SUBSTITUTE(SUBSTITUTE(PROPERTIES[[#This Row],[PURCHASECOST_VALUE]], "PURCHASECOST_", ""), "_VALUE", "")</f>
        <v>ELECTRICENGINE</v>
      </c>
      <c r="AP419"/>
      <c r="AQ419"/>
      <c r="AR419"/>
    </row>
    <row r="420" spans="1:44">
      <c r="A420" s="2" t="s">
        <v>445</v>
      </c>
      <c r="B420">
        <v>1960</v>
      </c>
      <c r="C420">
        <v>0</v>
      </c>
      <c r="D420" t="s">
        <v>74</v>
      </c>
      <c r="E420" t="s">
        <v>20</v>
      </c>
      <c r="F420">
        <v>0</v>
      </c>
      <c r="G420" s="10">
        <v>175</v>
      </c>
      <c r="H420">
        <v>8</v>
      </c>
      <c r="I420">
        <v>8</v>
      </c>
      <c r="J420" s="2" t="s">
        <v>20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>
        <v>4400</v>
      </c>
      <c r="O420">
        <v>113</v>
      </c>
      <c r="P420" s="2">
        <v>0.24</v>
      </c>
      <c r="Q420" s="6">
        <v>40</v>
      </c>
      <c r="R420" s="10">
        <v>0</v>
      </c>
      <c r="S420" s="10">
        <v>0</v>
      </c>
      <c r="T420" s="10"/>
      <c r="U420" t="str">
        <f>"RUNNING_COST_"&amp;IF(PROPERTIES[[#This Row],[ENGINE_CLASS]]="MAGLEV","ELECTRIC",PROPERTIES[[#This Row],[ENGINE_CLASS]])</f>
        <v>RUNNING_COST_ELECTRIC</v>
      </c>
      <c r="V420" s="10" t="s">
        <v>1004</v>
      </c>
      <c r="W420" s="10" t="s">
        <v>1005</v>
      </c>
      <c r="X420" s="10" t="str">
        <f>SUBSTITUTE(SUBSTITUTE(PROPERTIES[[#This Row],[PURCHASECOST_VALUE]], "PURCHASECOST_", ""), "_VALUE", "")</f>
        <v>ELECTRICENGINE</v>
      </c>
      <c r="AP420"/>
      <c r="AQ420"/>
      <c r="AR420"/>
    </row>
    <row r="421" spans="1:44">
      <c r="A421" s="2" t="s">
        <v>446</v>
      </c>
      <c r="B421">
        <v>1967</v>
      </c>
      <c r="C421">
        <v>0</v>
      </c>
      <c r="D421" t="s">
        <v>74</v>
      </c>
      <c r="E421" t="s">
        <v>20</v>
      </c>
      <c r="F421">
        <v>0</v>
      </c>
      <c r="G421" s="10">
        <v>78</v>
      </c>
      <c r="H421">
        <v>8</v>
      </c>
      <c r="I421">
        <v>8</v>
      </c>
      <c r="J421" s="2" t="s">
        <v>20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>
        <v>4624</v>
      </c>
      <c r="O421">
        <v>120</v>
      </c>
      <c r="P421" s="2">
        <v>0.25</v>
      </c>
      <c r="Q421" s="6">
        <v>40</v>
      </c>
      <c r="R421" s="10">
        <v>0</v>
      </c>
      <c r="S421" s="10">
        <v>0</v>
      </c>
      <c r="T421" s="10"/>
      <c r="U421" t="str">
        <f>"RUNNING_COST_"&amp;IF(PROPERTIES[[#This Row],[ENGINE_CLASS]]="MAGLEV","ELECTRIC",PROPERTIES[[#This Row],[ENGINE_CLASS]])</f>
        <v>RUNNING_COST_ELECTRIC</v>
      </c>
      <c r="V421" s="10" t="s">
        <v>1004</v>
      </c>
      <c r="W421" s="10" t="s">
        <v>1005</v>
      </c>
      <c r="X421" s="10" t="str">
        <f>SUBSTITUTE(SUBSTITUTE(PROPERTIES[[#This Row],[PURCHASECOST_VALUE]], "PURCHASECOST_", ""), "_VALUE", "")</f>
        <v>ELECTRICENGINE</v>
      </c>
      <c r="AP421"/>
      <c r="AQ421"/>
      <c r="AR421"/>
    </row>
    <row r="422" spans="1:44">
      <c r="A422" s="2" t="s">
        <v>447</v>
      </c>
      <c r="B422">
        <v>1963</v>
      </c>
      <c r="C422">
        <v>0</v>
      </c>
      <c r="D422" t="s">
        <v>74</v>
      </c>
      <c r="E422" t="s">
        <v>20</v>
      </c>
      <c r="F422">
        <v>0</v>
      </c>
      <c r="G422" s="10">
        <v>80</v>
      </c>
      <c r="H422">
        <v>8</v>
      </c>
      <c r="I422">
        <v>8</v>
      </c>
      <c r="J422" s="2" t="s">
        <v>20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>
        <v>2950</v>
      </c>
      <c r="O422">
        <v>120</v>
      </c>
      <c r="P422" s="2">
        <v>0.34</v>
      </c>
      <c r="Q422" s="6">
        <v>40</v>
      </c>
      <c r="R422" s="10">
        <v>0</v>
      </c>
      <c r="S422" s="10">
        <v>0</v>
      </c>
      <c r="T422" s="10"/>
      <c r="U422" t="str">
        <f>"RUNNING_COST_"&amp;IF(PROPERTIES[[#This Row],[ENGINE_CLASS]]="MAGLEV","ELECTRIC",PROPERTIES[[#This Row],[ENGINE_CLASS]])</f>
        <v>RUNNING_COST_ELECTRIC</v>
      </c>
      <c r="V422" s="10" t="s">
        <v>1004</v>
      </c>
      <c r="W422" s="10" t="s">
        <v>1005</v>
      </c>
      <c r="X422" s="10" t="str">
        <f>SUBSTITUTE(SUBSTITUTE(PROPERTIES[[#This Row],[PURCHASECOST_VALUE]], "PURCHASECOST_", ""), "_VALUE", "")</f>
        <v>ELECTRICENGINE</v>
      </c>
      <c r="AP422"/>
      <c r="AQ422"/>
      <c r="AR422"/>
    </row>
    <row r="423" spans="1:44">
      <c r="A423" s="2" t="s">
        <v>448</v>
      </c>
      <c r="B423">
        <v>1956</v>
      </c>
      <c r="C423">
        <v>0</v>
      </c>
      <c r="D423" t="s">
        <v>74</v>
      </c>
      <c r="E423" t="s">
        <v>20</v>
      </c>
      <c r="F423">
        <v>0</v>
      </c>
      <c r="G423" s="10">
        <v>72</v>
      </c>
      <c r="H423">
        <v>6</v>
      </c>
      <c r="I423">
        <v>6</v>
      </c>
      <c r="J423" s="2" t="s">
        <v>20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>
        <v>2790</v>
      </c>
      <c r="O423">
        <v>120</v>
      </c>
      <c r="P423" s="2">
        <v>0.27</v>
      </c>
      <c r="Q423" s="6">
        <v>40</v>
      </c>
      <c r="R423" s="10">
        <v>0</v>
      </c>
      <c r="S423" s="10">
        <v>0</v>
      </c>
      <c r="T423" s="10"/>
      <c r="U423" t="str">
        <f>"RUNNING_COST_"&amp;IF(PROPERTIES[[#This Row],[ENGINE_CLASS]]="MAGLEV","ELECTRIC",PROPERTIES[[#This Row],[ENGINE_CLASS]])</f>
        <v>RUNNING_COST_ELECTRIC</v>
      </c>
      <c r="V423" s="10" t="s">
        <v>1004</v>
      </c>
      <c r="W423" s="10" t="s">
        <v>1005</v>
      </c>
      <c r="X423" s="10" t="str">
        <f>SUBSTITUTE(SUBSTITUTE(PROPERTIES[[#This Row],[PURCHASECOST_VALUE]], "PURCHASECOST_", ""), "_VALUE", "")</f>
        <v>ELECTRICENGINE</v>
      </c>
      <c r="AP423"/>
      <c r="AQ423"/>
      <c r="AR423"/>
    </row>
    <row r="424" spans="1:44">
      <c r="A424" s="2" t="s">
        <v>449</v>
      </c>
      <c r="B424">
        <v>1974</v>
      </c>
      <c r="C424">
        <v>0</v>
      </c>
      <c r="D424" t="s">
        <v>74</v>
      </c>
      <c r="E424" t="s">
        <v>20</v>
      </c>
      <c r="F424">
        <v>0</v>
      </c>
      <c r="G424" s="10">
        <v>78</v>
      </c>
      <c r="H424">
        <v>8</v>
      </c>
      <c r="I424">
        <v>8</v>
      </c>
      <c r="J424" s="2" t="s">
        <v>20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>
        <v>4020</v>
      </c>
      <c r="O424">
        <v>100</v>
      </c>
      <c r="P424" s="2">
        <v>0.32</v>
      </c>
      <c r="Q424" s="6">
        <v>40</v>
      </c>
      <c r="R424" s="10">
        <v>0</v>
      </c>
      <c r="S424" s="10">
        <v>0</v>
      </c>
      <c r="T424" s="10"/>
      <c r="U424" t="str">
        <f>"RUNNING_COST_"&amp;IF(PROPERTIES[[#This Row],[ENGINE_CLASS]]="MAGLEV","ELECTRIC",PROPERTIES[[#This Row],[ENGINE_CLASS]])</f>
        <v>RUNNING_COST_ELECTRIC</v>
      </c>
      <c r="V424" s="10" t="s">
        <v>1004</v>
      </c>
      <c r="W424" s="10" t="s">
        <v>1005</v>
      </c>
      <c r="X424" s="10" t="str">
        <f>SUBSTITUTE(SUBSTITUTE(PROPERTIES[[#This Row],[PURCHASECOST_VALUE]], "PURCHASECOST_", ""), "_VALUE", "")</f>
        <v>ELECTRICENGINE</v>
      </c>
      <c r="AP424"/>
      <c r="AQ424"/>
      <c r="AR424"/>
    </row>
    <row r="425" spans="1:44">
      <c r="A425" s="2" t="s">
        <v>450</v>
      </c>
      <c r="B425">
        <v>2013</v>
      </c>
      <c r="C425">
        <v>0</v>
      </c>
      <c r="D425" t="s">
        <v>74</v>
      </c>
      <c r="E425" t="s">
        <v>20</v>
      </c>
      <c r="F425">
        <v>0</v>
      </c>
      <c r="G425" s="10">
        <v>86</v>
      </c>
      <c r="H425">
        <v>7</v>
      </c>
      <c r="I425">
        <v>7</v>
      </c>
      <c r="J425" s="2" t="s">
        <v>20</v>
      </c>
      <c r="K425">
        <f>_xlfn.XLOOKUP("LOADINGSPEEDDEF_"&amp;PROPERTIES[[#This Row],[LOADINGSPEED]],LOADINGSPEEDDEF[TYPE],LOADINGSPEEDDEF[SPEED])</f>
        <v>0</v>
      </c>
      <c r="L425" t="s">
        <v>21</v>
      </c>
      <c r="M425">
        <v>1</v>
      </c>
      <c r="N425">
        <v>4155</v>
      </c>
      <c r="O425">
        <v>100</v>
      </c>
      <c r="P425" s="2">
        <v>0.45</v>
      </c>
      <c r="Q425" s="6">
        <v>40</v>
      </c>
      <c r="R425" s="10">
        <v>0</v>
      </c>
      <c r="S425" s="10">
        <v>0</v>
      </c>
      <c r="T425" s="10"/>
      <c r="U425" t="str">
        <f>"RUNNING_COST_"&amp;IF(PROPERTIES[[#This Row],[ENGINE_CLASS]]="MAGLEV","ELECTRIC",PROPERTIES[[#This Row],[ENGINE_CLASS]])</f>
        <v>RUNNING_COST_ELECTRIC</v>
      </c>
      <c r="V425" s="10" t="s">
        <v>1004</v>
      </c>
      <c r="W425" s="10" t="s">
        <v>1005</v>
      </c>
      <c r="X425" s="10" t="str">
        <f>SUBSTITUTE(SUBSTITUTE(PROPERTIES[[#This Row],[PURCHASECOST_VALUE]], "PURCHASECOST_", ""), "_VALUE", "")</f>
        <v>ELECTRICENGINE</v>
      </c>
      <c r="AP425"/>
      <c r="AQ425"/>
      <c r="AR425"/>
    </row>
    <row r="426" spans="1:44">
      <c r="A426" s="2" t="s">
        <v>451</v>
      </c>
      <c r="B426">
        <v>2003</v>
      </c>
      <c r="C426">
        <v>0</v>
      </c>
      <c r="D426" t="s">
        <v>74</v>
      </c>
      <c r="E426" t="s">
        <v>20</v>
      </c>
      <c r="F426">
        <v>0</v>
      </c>
      <c r="G426" s="10">
        <v>80</v>
      </c>
      <c r="H426">
        <v>8</v>
      </c>
      <c r="I426">
        <v>8</v>
      </c>
      <c r="J426" s="2" t="s">
        <v>20</v>
      </c>
      <c r="K426">
        <f>_xlfn.XLOOKUP("LOADINGSPEEDDEF_"&amp;PROPERTIES[[#This Row],[LOADINGSPEED]],LOADINGSPEEDDEF[TYPE],LOADINGSPEEDDEF[SPEED])</f>
        <v>0</v>
      </c>
      <c r="L426" t="s">
        <v>21</v>
      </c>
      <c r="M426">
        <v>1</v>
      </c>
      <c r="N426">
        <v>7000</v>
      </c>
      <c r="O426">
        <v>150</v>
      </c>
      <c r="P426" s="2">
        <v>0.38</v>
      </c>
      <c r="Q426" s="6">
        <v>40</v>
      </c>
      <c r="R426" s="10">
        <v>0</v>
      </c>
      <c r="S426" s="10">
        <v>0</v>
      </c>
      <c r="T426" s="10"/>
      <c r="U426" t="str">
        <f>"RUNNING_COST_"&amp;IF(PROPERTIES[[#This Row],[ENGINE_CLASS]]="MAGLEV","ELECTRIC",PROPERTIES[[#This Row],[ENGINE_CLASS]])</f>
        <v>RUNNING_COST_ELECTRIC</v>
      </c>
      <c r="V426" s="10" t="s">
        <v>1004</v>
      </c>
      <c r="W426" s="10" t="s">
        <v>1005</v>
      </c>
      <c r="X426" s="10" t="str">
        <f>SUBSTITUTE(SUBSTITUTE(PROPERTIES[[#This Row],[PURCHASECOST_VALUE]], "PURCHASECOST_", ""), "_VALUE", "")</f>
        <v>ELECTRICENGINE</v>
      </c>
      <c r="AP426"/>
      <c r="AQ426"/>
      <c r="AR426"/>
    </row>
    <row r="427" spans="1:44">
      <c r="A427" s="2" t="s">
        <v>452</v>
      </c>
      <c r="B427">
        <v>2003</v>
      </c>
      <c r="C427">
        <v>0</v>
      </c>
      <c r="D427" t="s">
        <v>74</v>
      </c>
      <c r="E427" t="s">
        <v>20</v>
      </c>
      <c r="F427">
        <v>0</v>
      </c>
      <c r="G427" s="10">
        <v>90</v>
      </c>
      <c r="H427">
        <v>8</v>
      </c>
      <c r="I427">
        <v>8</v>
      </c>
      <c r="J427" s="2" t="s">
        <v>20</v>
      </c>
      <c r="K427">
        <f>_xlfn.XLOOKUP("LOADINGSPEEDDEF_"&amp;PROPERTIES[[#This Row],[LOADINGSPEED]],LOADINGSPEEDDEF[TYPE],LOADINGSPEEDDEF[SPEED])</f>
        <v>0</v>
      </c>
      <c r="L427" t="s">
        <v>21</v>
      </c>
      <c r="M427">
        <v>1</v>
      </c>
      <c r="N427">
        <v>6450</v>
      </c>
      <c r="O427">
        <v>160</v>
      </c>
      <c r="P427" s="2">
        <v>0.32</v>
      </c>
      <c r="Q427" s="6">
        <v>40</v>
      </c>
      <c r="R427" s="10">
        <v>0</v>
      </c>
      <c r="S427" s="10">
        <v>0</v>
      </c>
      <c r="T427" s="10"/>
      <c r="U427" t="str">
        <f>"RUNNING_COST_"&amp;IF(PROPERTIES[[#This Row],[ENGINE_CLASS]]="MAGLEV","ELECTRIC",PROPERTIES[[#This Row],[ENGINE_CLASS]])</f>
        <v>RUNNING_COST_ELECTRIC</v>
      </c>
      <c r="V427" s="10" t="s">
        <v>1004</v>
      </c>
      <c r="W427" s="10" t="s">
        <v>1005</v>
      </c>
      <c r="X427" s="10" t="str">
        <f>SUBSTITUTE(SUBSTITUTE(PROPERTIES[[#This Row],[PURCHASECOST_VALUE]], "PURCHASECOST_", ""), "_VALUE", "")</f>
        <v>ELECTRICENGINE</v>
      </c>
      <c r="AP427"/>
      <c r="AQ427"/>
      <c r="AR427"/>
    </row>
    <row r="428" spans="1:44">
      <c r="A428" s="2" t="s">
        <v>453</v>
      </c>
      <c r="B428">
        <v>1966</v>
      </c>
      <c r="C428">
        <v>0</v>
      </c>
      <c r="D428" t="s">
        <v>74</v>
      </c>
      <c r="E428" t="s">
        <v>20</v>
      </c>
      <c r="F428">
        <v>0</v>
      </c>
      <c r="G428" s="10">
        <v>85</v>
      </c>
      <c r="H428">
        <v>8</v>
      </c>
      <c r="I428">
        <v>8</v>
      </c>
      <c r="J428" s="2" t="s">
        <v>20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>
        <v>4130</v>
      </c>
      <c r="O428">
        <v>120</v>
      </c>
      <c r="P428" s="2">
        <v>0.28000000000000003</v>
      </c>
      <c r="Q428" s="6">
        <v>40</v>
      </c>
      <c r="R428" s="10">
        <v>0</v>
      </c>
      <c r="S428" s="10">
        <v>0</v>
      </c>
      <c r="T428" s="10"/>
      <c r="U428" t="str">
        <f>"RUNNING_COST_"&amp;IF(PROPERTIES[[#This Row],[ENGINE_CLASS]]="MAGLEV","ELECTRIC",PROPERTIES[[#This Row],[ENGINE_CLASS]])</f>
        <v>RUNNING_COST_ELECTRIC</v>
      </c>
      <c r="V428" s="10" t="s">
        <v>1004</v>
      </c>
      <c r="W428" s="10" t="s">
        <v>1005</v>
      </c>
      <c r="X428" s="10" t="str">
        <f>SUBSTITUTE(SUBSTITUTE(PROPERTIES[[#This Row],[PURCHASECOST_VALUE]], "PURCHASECOST_", ""), "_VALUE", "")</f>
        <v>ELECTRICENGINE</v>
      </c>
      <c r="AP428"/>
      <c r="AQ428"/>
      <c r="AR428"/>
    </row>
    <row r="429" spans="1:44">
      <c r="A429" s="2" t="s">
        <v>454</v>
      </c>
      <c r="B429">
        <v>1988</v>
      </c>
      <c r="C429">
        <v>0</v>
      </c>
      <c r="D429" t="s">
        <v>74</v>
      </c>
      <c r="E429" t="s">
        <v>20</v>
      </c>
      <c r="F429">
        <v>0</v>
      </c>
      <c r="G429" s="10">
        <v>77</v>
      </c>
      <c r="H429">
        <v>8</v>
      </c>
      <c r="I429">
        <v>8</v>
      </c>
      <c r="J429" s="2" t="s">
        <v>20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>
        <v>4600</v>
      </c>
      <c r="O429">
        <v>140</v>
      </c>
      <c r="P429" s="2">
        <v>0.3</v>
      </c>
      <c r="Q429" s="6">
        <v>40</v>
      </c>
      <c r="R429" s="10">
        <v>0</v>
      </c>
      <c r="S429" s="10">
        <v>0</v>
      </c>
      <c r="T429" s="10"/>
      <c r="U429" t="str">
        <f>"RUNNING_COST_"&amp;IF(PROPERTIES[[#This Row],[ENGINE_CLASS]]="MAGLEV","ELECTRIC",PROPERTIES[[#This Row],[ENGINE_CLASS]])</f>
        <v>RUNNING_COST_ELECTRIC</v>
      </c>
      <c r="V429" s="10" t="s">
        <v>1004</v>
      </c>
      <c r="W429" s="10" t="s">
        <v>1005</v>
      </c>
      <c r="X429" s="10" t="str">
        <f>SUBSTITUTE(SUBSTITUTE(PROPERTIES[[#This Row],[PURCHASECOST_VALUE]], "PURCHASECOST_", ""), "_VALUE", "")</f>
        <v>ELECTRICENGINE</v>
      </c>
      <c r="AP429"/>
      <c r="AQ429"/>
      <c r="AR429"/>
    </row>
    <row r="430" spans="1:44">
      <c r="A430" s="2" t="s">
        <v>455</v>
      </c>
      <c r="B430">
        <v>1978</v>
      </c>
      <c r="C430">
        <v>0</v>
      </c>
      <c r="D430" t="s">
        <v>74</v>
      </c>
      <c r="E430" t="s">
        <v>20</v>
      </c>
      <c r="F430">
        <v>0</v>
      </c>
      <c r="G430" s="10">
        <v>120</v>
      </c>
      <c r="H430">
        <v>8</v>
      </c>
      <c r="I430">
        <v>8</v>
      </c>
      <c r="J430" s="2" t="s">
        <v>20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>
        <v>6834</v>
      </c>
      <c r="O430">
        <v>120</v>
      </c>
      <c r="P430" s="2">
        <v>0.33</v>
      </c>
      <c r="Q430" s="6">
        <v>40</v>
      </c>
      <c r="R430" s="10">
        <v>0</v>
      </c>
      <c r="S430" s="10">
        <v>0</v>
      </c>
      <c r="T430" s="10"/>
      <c r="U430" t="str">
        <f>"RUNNING_COST_"&amp;IF(PROPERTIES[[#This Row],[ENGINE_CLASS]]="MAGLEV","ELECTRIC",PROPERTIES[[#This Row],[ENGINE_CLASS]])</f>
        <v>RUNNING_COST_ELECTRIC</v>
      </c>
      <c r="V430" s="10" t="s">
        <v>1004</v>
      </c>
      <c r="W430" s="10" t="s">
        <v>1005</v>
      </c>
      <c r="X430" s="10" t="str">
        <f>SUBSTITUTE(SUBSTITUTE(PROPERTIES[[#This Row],[PURCHASECOST_VALUE]], "PURCHASECOST_", ""), "_VALUE", "")</f>
        <v>ELECTRICENGINE</v>
      </c>
      <c r="AP430"/>
      <c r="AQ430"/>
      <c r="AR430"/>
    </row>
    <row r="431" spans="1:44">
      <c r="A431" s="2" t="s">
        <v>456</v>
      </c>
      <c r="B431">
        <v>1926</v>
      </c>
      <c r="C431">
        <v>0</v>
      </c>
      <c r="D431" t="s">
        <v>74</v>
      </c>
      <c r="E431" t="s">
        <v>20</v>
      </c>
      <c r="F431">
        <v>0</v>
      </c>
      <c r="G431" s="10">
        <v>72</v>
      </c>
      <c r="H431">
        <v>5</v>
      </c>
      <c r="I431">
        <v>5</v>
      </c>
      <c r="J431" s="2" t="s">
        <v>24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>
        <v>986</v>
      </c>
      <c r="O431">
        <v>90</v>
      </c>
      <c r="P431" s="2">
        <v>0.21</v>
      </c>
      <c r="Q431" s="6">
        <v>40</v>
      </c>
      <c r="R431" s="10">
        <v>0</v>
      </c>
      <c r="S431" s="10">
        <v>0</v>
      </c>
      <c r="T431" s="10"/>
      <c r="U431" t="str">
        <f>"RUNNING_COST_"&amp;IF(PROPERTIES[[#This Row],[ENGINE_CLASS]]="MAGLEV","ELECTRIC",PROPERTIES[[#This Row],[ENGINE_CLASS]])</f>
        <v>RUNNING_COST_ELECTRIC</v>
      </c>
      <c r="V431" s="10" t="s">
        <v>1004</v>
      </c>
      <c r="W431" s="10" t="s">
        <v>1005</v>
      </c>
      <c r="X431" s="10" t="str">
        <f>SUBSTITUTE(SUBSTITUTE(PROPERTIES[[#This Row],[PURCHASECOST_VALUE]], "PURCHASECOST_", ""), "_VALUE", "")</f>
        <v>ELECTRICENGINE</v>
      </c>
      <c r="AP431"/>
      <c r="AQ431"/>
      <c r="AR431"/>
    </row>
    <row r="432" spans="1:44">
      <c r="A432" s="2" t="s">
        <v>457</v>
      </c>
      <c r="B432">
        <v>1961</v>
      </c>
      <c r="C432">
        <v>0</v>
      </c>
      <c r="D432" t="s">
        <v>74</v>
      </c>
      <c r="E432" t="s">
        <v>20</v>
      </c>
      <c r="F432">
        <v>0</v>
      </c>
      <c r="G432" s="10">
        <v>81</v>
      </c>
      <c r="H432">
        <v>7</v>
      </c>
      <c r="I432">
        <v>7</v>
      </c>
      <c r="J432" s="2" t="s">
        <v>24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>
        <v>3200</v>
      </c>
      <c r="O432">
        <v>160</v>
      </c>
      <c r="P432" s="2">
        <v>0.27</v>
      </c>
      <c r="Q432" s="6">
        <v>40</v>
      </c>
      <c r="R432" s="10">
        <v>0</v>
      </c>
      <c r="S432" s="10">
        <v>0</v>
      </c>
      <c r="T432" s="10"/>
      <c r="U432" t="str">
        <f>"RUNNING_COST_"&amp;IF(PROPERTIES[[#This Row],[ENGINE_CLASS]]="MAGLEV","ELECTRIC",PROPERTIES[[#This Row],[ENGINE_CLASS]])</f>
        <v>RUNNING_COST_ELECTRIC</v>
      </c>
      <c r="V432" s="10" t="s">
        <v>1004</v>
      </c>
      <c r="W432" s="10" t="s">
        <v>1005</v>
      </c>
      <c r="X432" s="10" t="str">
        <f>SUBSTITUTE(SUBSTITUTE(PROPERTIES[[#This Row],[PURCHASECOST_VALUE]], "PURCHASECOST_", ""), "_VALUE", "")</f>
        <v>ELECTRICENGINE</v>
      </c>
      <c r="AP432"/>
      <c r="AQ432"/>
      <c r="AR432"/>
    </row>
    <row r="433" spans="1:44">
      <c r="A433" s="2" t="s">
        <v>458</v>
      </c>
      <c r="B433">
        <v>1982</v>
      </c>
      <c r="C433">
        <v>0</v>
      </c>
      <c r="D433" t="s">
        <v>74</v>
      </c>
      <c r="E433" t="s">
        <v>20</v>
      </c>
      <c r="F433">
        <v>0</v>
      </c>
      <c r="G433" s="10">
        <v>176</v>
      </c>
      <c r="H433">
        <v>8</v>
      </c>
      <c r="I433">
        <v>8</v>
      </c>
      <c r="J433" s="2" t="s">
        <v>20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>
        <v>6000</v>
      </c>
      <c r="O433">
        <v>145</v>
      </c>
      <c r="P433" s="2">
        <v>0.19</v>
      </c>
      <c r="Q433" s="6">
        <v>40</v>
      </c>
      <c r="R433" s="10">
        <v>0</v>
      </c>
      <c r="S433" s="10">
        <v>0</v>
      </c>
      <c r="T433" s="10"/>
      <c r="U433" t="str">
        <f>"RUNNING_COST_"&amp;IF(PROPERTIES[[#This Row],[ENGINE_CLASS]]="MAGLEV","ELECTRIC",PROPERTIES[[#This Row],[ENGINE_CLASS]])</f>
        <v>RUNNING_COST_ELECTRIC</v>
      </c>
      <c r="V433" s="10" t="s">
        <v>1004</v>
      </c>
      <c r="W433" s="10" t="s">
        <v>1005</v>
      </c>
      <c r="X433" s="10" t="str">
        <f>SUBSTITUTE(SUBSTITUTE(PROPERTIES[[#This Row],[PURCHASECOST_VALUE]], "PURCHASECOST_", ""), "_VALUE", "")</f>
        <v>ELECTRICENGINE</v>
      </c>
      <c r="AP433"/>
      <c r="AQ433"/>
      <c r="AR433"/>
    </row>
    <row r="434" spans="1:44">
      <c r="A434" s="2" t="s">
        <v>459</v>
      </c>
      <c r="B434">
        <v>2010</v>
      </c>
      <c r="C434">
        <v>0</v>
      </c>
      <c r="D434" t="s">
        <v>74</v>
      </c>
      <c r="E434" t="s">
        <v>20</v>
      </c>
      <c r="F434">
        <v>0</v>
      </c>
      <c r="G434" s="10">
        <v>91</v>
      </c>
      <c r="H434">
        <v>8</v>
      </c>
      <c r="I434">
        <v>8</v>
      </c>
      <c r="J434" s="2" t="s">
        <v>20</v>
      </c>
      <c r="K434">
        <f>_xlfn.XLOOKUP("LOADINGSPEEDDEF_"&amp;PROPERTIES[[#This Row],[LOADINGSPEED]],LOADINGSPEEDDEF[TYPE],LOADINGSPEEDDEF[SPEED])</f>
        <v>0</v>
      </c>
      <c r="L434" t="s">
        <v>21</v>
      </c>
      <c r="M434">
        <v>1</v>
      </c>
      <c r="N434">
        <v>7700</v>
      </c>
      <c r="O434">
        <v>200</v>
      </c>
      <c r="P434" s="2">
        <v>0.35</v>
      </c>
      <c r="Q434" s="6">
        <v>40</v>
      </c>
      <c r="R434" s="10">
        <v>0</v>
      </c>
      <c r="S434" s="10">
        <v>0</v>
      </c>
      <c r="T434" s="10"/>
      <c r="U434" t="str">
        <f>"RUNNING_COST_"&amp;IF(PROPERTIES[[#This Row],[ENGINE_CLASS]]="MAGLEV","ELECTRIC",PROPERTIES[[#This Row],[ENGINE_CLASS]])</f>
        <v>RUNNING_COST_ELECTRIC</v>
      </c>
      <c r="V434" s="10" t="s">
        <v>1004</v>
      </c>
      <c r="W434" s="10" t="s">
        <v>1005</v>
      </c>
      <c r="X434" s="10" t="str">
        <f>SUBSTITUTE(SUBSTITUTE(PROPERTIES[[#This Row],[PURCHASECOST_VALUE]], "PURCHASECOST_", ""), "_VALUE", "")</f>
        <v>ELECTRICENGINE</v>
      </c>
      <c r="AP434"/>
      <c r="AQ434"/>
      <c r="AR434"/>
    </row>
    <row r="435" spans="1:44">
      <c r="A435" s="2" t="s">
        <v>460</v>
      </c>
      <c r="B435">
        <v>1968</v>
      </c>
      <c r="C435">
        <v>0</v>
      </c>
      <c r="D435" t="s">
        <v>74</v>
      </c>
      <c r="E435" t="s">
        <v>20</v>
      </c>
      <c r="F435">
        <v>0</v>
      </c>
      <c r="G435" s="10">
        <v>55</v>
      </c>
      <c r="H435">
        <v>6</v>
      </c>
      <c r="I435">
        <v>6</v>
      </c>
      <c r="J435" s="2" t="s">
        <v>20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>
        <v>1290</v>
      </c>
      <c r="O435">
        <v>72</v>
      </c>
      <c r="P435" s="2">
        <v>0.32</v>
      </c>
      <c r="Q435" s="6">
        <v>40</v>
      </c>
      <c r="R435" s="10">
        <v>0</v>
      </c>
      <c r="S435" s="10">
        <v>0</v>
      </c>
      <c r="T435" s="10"/>
      <c r="U435" t="str">
        <f>"RUNNING_COST_"&amp;IF(PROPERTIES[[#This Row],[ENGINE_CLASS]]="MAGLEV","ELECTRIC",PROPERTIES[[#This Row],[ENGINE_CLASS]])</f>
        <v>RUNNING_COST_ELECTRIC</v>
      </c>
      <c r="V435" s="10" t="s">
        <v>1004</v>
      </c>
      <c r="W435" s="10" t="s">
        <v>1005</v>
      </c>
      <c r="X435" s="10" t="str">
        <f>SUBSTITUTE(SUBSTITUTE(PROPERTIES[[#This Row],[PURCHASECOST_VALUE]], "PURCHASECOST_", ""), "_VALUE", "")</f>
        <v>ELECTRICENGINE</v>
      </c>
      <c r="AP435"/>
      <c r="AQ435"/>
      <c r="AR435"/>
    </row>
    <row r="436" spans="1:44">
      <c r="A436" s="2" t="s">
        <v>461</v>
      </c>
      <c r="B436">
        <v>1983</v>
      </c>
      <c r="C436">
        <v>0</v>
      </c>
      <c r="D436" t="s">
        <v>74</v>
      </c>
      <c r="E436" t="s">
        <v>20</v>
      </c>
      <c r="F436">
        <v>0</v>
      </c>
      <c r="G436" s="10">
        <v>180</v>
      </c>
      <c r="H436">
        <v>8</v>
      </c>
      <c r="I436">
        <v>8</v>
      </c>
      <c r="J436" s="2" t="s">
        <v>20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>
        <v>6000</v>
      </c>
      <c r="O436">
        <v>110</v>
      </c>
      <c r="P436" s="2">
        <v>0.22</v>
      </c>
      <c r="Q436" s="6">
        <v>40</v>
      </c>
      <c r="R436" s="10">
        <v>0</v>
      </c>
      <c r="S436" s="10">
        <v>0</v>
      </c>
      <c r="T436" s="10"/>
      <c r="U436" t="str">
        <f>"RUNNING_COST_"&amp;IF(PROPERTIES[[#This Row],[ENGINE_CLASS]]="MAGLEV","ELECTRIC",PROPERTIES[[#This Row],[ENGINE_CLASS]])</f>
        <v>RUNNING_COST_ELECTRIC</v>
      </c>
      <c r="V436" s="10" t="s">
        <v>1004</v>
      </c>
      <c r="W436" s="10" t="s">
        <v>1005</v>
      </c>
      <c r="X436" s="10" t="str">
        <f>SUBSTITUTE(SUBSTITUTE(PROPERTIES[[#This Row],[PURCHASECOST_VALUE]], "PURCHASECOST_", ""), "_VALUE", "")</f>
        <v>ELECTRICENGINE</v>
      </c>
      <c r="AP436"/>
      <c r="AQ436"/>
      <c r="AR436"/>
    </row>
    <row r="437" spans="1:44">
      <c r="A437" s="2" t="s">
        <v>462</v>
      </c>
      <c r="B437">
        <v>1976</v>
      </c>
      <c r="C437">
        <v>0</v>
      </c>
      <c r="D437" t="s">
        <v>74</v>
      </c>
      <c r="E437" t="s">
        <v>20</v>
      </c>
      <c r="F437">
        <v>0</v>
      </c>
      <c r="G437" s="10">
        <v>90</v>
      </c>
      <c r="H437">
        <v>8</v>
      </c>
      <c r="I437">
        <v>8</v>
      </c>
      <c r="J437" s="2" t="s">
        <v>20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>
        <v>5842</v>
      </c>
      <c r="O437">
        <v>160</v>
      </c>
      <c r="P437" s="2">
        <v>0.33</v>
      </c>
      <c r="Q437" s="6">
        <v>40</v>
      </c>
      <c r="R437" s="10">
        <v>0</v>
      </c>
      <c r="S437" s="10">
        <v>0</v>
      </c>
      <c r="T437" s="10"/>
      <c r="U437" t="str">
        <f>"RUNNING_COST_"&amp;IF(PROPERTIES[[#This Row],[ENGINE_CLASS]]="MAGLEV","ELECTRIC",PROPERTIES[[#This Row],[ENGINE_CLASS]])</f>
        <v>RUNNING_COST_ELECTRIC</v>
      </c>
      <c r="V437" s="10" t="s">
        <v>1004</v>
      </c>
      <c r="W437" s="10" t="s">
        <v>1005</v>
      </c>
      <c r="X437" s="10" t="str">
        <f>SUBSTITUTE(SUBSTITUTE(PROPERTIES[[#This Row],[PURCHASECOST_VALUE]], "PURCHASECOST_", ""), "_VALUE", "")</f>
        <v>ELECTRICENGINE</v>
      </c>
      <c r="AP437"/>
      <c r="AQ437"/>
      <c r="AR437"/>
    </row>
    <row r="438" spans="1:44">
      <c r="A438" s="2" t="s">
        <v>463</v>
      </c>
      <c r="B438">
        <v>1989</v>
      </c>
      <c r="C438">
        <v>0</v>
      </c>
      <c r="D438" t="s">
        <v>74</v>
      </c>
      <c r="E438" t="s">
        <v>20</v>
      </c>
      <c r="F438">
        <v>0</v>
      </c>
      <c r="G438" s="10">
        <v>90</v>
      </c>
      <c r="H438">
        <v>8</v>
      </c>
      <c r="I438">
        <v>8</v>
      </c>
      <c r="J438" s="2" t="s">
        <v>20</v>
      </c>
      <c r="K438">
        <f>_xlfn.XLOOKUP("LOADINGSPEEDDEF_"&amp;PROPERTIES[[#This Row],[LOADINGSPEED]],LOADINGSPEEDDEF[TYPE],LOADINGSPEEDDEF[SPEED])</f>
        <v>0</v>
      </c>
      <c r="L438" t="s">
        <v>21</v>
      </c>
      <c r="M438">
        <v>1</v>
      </c>
      <c r="N438">
        <v>7504</v>
      </c>
      <c r="O438">
        <v>200</v>
      </c>
      <c r="P438" s="2">
        <v>0.36</v>
      </c>
      <c r="Q438" s="6">
        <v>40</v>
      </c>
      <c r="R438" s="10">
        <v>0</v>
      </c>
      <c r="S438" s="10">
        <v>0</v>
      </c>
      <c r="T438" s="10"/>
      <c r="U438" t="str">
        <f>"RUNNING_COST_"&amp;IF(PROPERTIES[[#This Row],[ENGINE_CLASS]]="MAGLEV","ELECTRIC",PROPERTIES[[#This Row],[ENGINE_CLASS]])</f>
        <v>RUNNING_COST_ELECTRIC</v>
      </c>
      <c r="V438" s="10" t="s">
        <v>1004</v>
      </c>
      <c r="W438" s="10" t="s">
        <v>1005</v>
      </c>
      <c r="X438" s="10" t="str">
        <f>SUBSTITUTE(SUBSTITUTE(PROPERTIES[[#This Row],[PURCHASECOST_VALUE]], "PURCHASECOST_", ""), "_VALUE", "")</f>
        <v>ELECTRICENGINE</v>
      </c>
      <c r="AP438"/>
      <c r="AQ438"/>
      <c r="AR438"/>
    </row>
    <row r="439" spans="1:44">
      <c r="A439" s="2" t="s">
        <v>464</v>
      </c>
      <c r="B439">
        <v>1964</v>
      </c>
      <c r="C439">
        <v>0</v>
      </c>
      <c r="D439" t="s">
        <v>74</v>
      </c>
      <c r="E439" t="s">
        <v>20</v>
      </c>
      <c r="F439">
        <v>0</v>
      </c>
      <c r="G439" s="10">
        <v>79</v>
      </c>
      <c r="H439">
        <v>8</v>
      </c>
      <c r="I439">
        <v>8</v>
      </c>
      <c r="J439" s="2" t="s">
        <v>20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>
        <v>3940</v>
      </c>
      <c r="O439">
        <v>100</v>
      </c>
      <c r="P439" s="2">
        <v>0.42</v>
      </c>
      <c r="Q439" s="6">
        <v>40</v>
      </c>
      <c r="R439" s="10">
        <v>0</v>
      </c>
      <c r="S439" s="10">
        <v>0</v>
      </c>
      <c r="T439" s="10"/>
      <c r="U439" t="str">
        <f>"RUNNING_COST_"&amp;IF(PROPERTIES[[#This Row],[ENGINE_CLASS]]="MAGLEV","ELECTRIC",PROPERTIES[[#This Row],[ENGINE_CLASS]])</f>
        <v>RUNNING_COST_ELECTRIC</v>
      </c>
      <c r="V439" s="10" t="s">
        <v>1004</v>
      </c>
      <c r="W439" s="10" t="s">
        <v>1005</v>
      </c>
      <c r="X439" s="10" t="str">
        <f>SUBSTITUTE(SUBSTITUTE(PROPERTIES[[#This Row],[PURCHASECOST_VALUE]], "PURCHASECOST_", ""), "_VALUE", "")</f>
        <v>ELECTRICENGINE</v>
      </c>
      <c r="AP439"/>
      <c r="AQ439"/>
      <c r="AR439"/>
    </row>
    <row r="440" spans="1:44">
      <c r="A440" s="2" t="s">
        <v>465</v>
      </c>
      <c r="B440">
        <v>2000</v>
      </c>
      <c r="C440">
        <v>0</v>
      </c>
      <c r="D440" t="s">
        <v>74</v>
      </c>
      <c r="E440" t="s">
        <v>20</v>
      </c>
      <c r="F440">
        <v>0</v>
      </c>
      <c r="G440" s="10">
        <v>86</v>
      </c>
      <c r="H440">
        <v>8</v>
      </c>
      <c r="I440">
        <v>8</v>
      </c>
      <c r="J440" s="2" t="s">
        <v>20</v>
      </c>
      <c r="K440">
        <f>_xlfn.XLOOKUP("LOADINGSPEEDDEF_"&amp;PROPERTIES[[#This Row],[LOADINGSPEED]],LOADINGSPEEDDEF[TYPE],LOADINGSPEEDDEF[SPEED])</f>
        <v>0</v>
      </c>
      <c r="L440" t="s">
        <v>21</v>
      </c>
      <c r="M440">
        <v>1</v>
      </c>
      <c r="N440">
        <v>11266</v>
      </c>
      <c r="O440">
        <v>230</v>
      </c>
      <c r="P440" s="2">
        <v>0.35</v>
      </c>
      <c r="Q440" s="6">
        <v>40</v>
      </c>
      <c r="R440" s="10">
        <v>0</v>
      </c>
      <c r="S440" s="10">
        <v>0</v>
      </c>
      <c r="T440" s="10"/>
      <c r="U440" t="str">
        <f>"RUNNING_COST_"&amp;IF(PROPERTIES[[#This Row],[ENGINE_CLASS]]="MAGLEV","ELECTRIC",PROPERTIES[[#This Row],[ENGINE_CLASS]])</f>
        <v>RUNNING_COST_ELECTRIC</v>
      </c>
      <c r="V440" s="10" t="s">
        <v>1004</v>
      </c>
      <c r="W440" s="10" t="s">
        <v>1005</v>
      </c>
      <c r="X440" s="10" t="str">
        <f>SUBSTITUTE(SUBSTITUTE(PROPERTIES[[#This Row],[PURCHASECOST_VALUE]], "PURCHASECOST_", ""), "_VALUE", "")</f>
        <v>ELECTRICENGINE</v>
      </c>
      <c r="AP440"/>
      <c r="AQ440"/>
      <c r="AR440"/>
    </row>
    <row r="441" spans="1:44">
      <c r="A441" s="2" t="s">
        <v>466</v>
      </c>
      <c r="B441">
        <v>1997</v>
      </c>
      <c r="C441">
        <v>0</v>
      </c>
      <c r="D441" t="s">
        <v>74</v>
      </c>
      <c r="E441" t="s">
        <v>20</v>
      </c>
      <c r="F441">
        <v>0</v>
      </c>
      <c r="G441" s="10">
        <v>134</v>
      </c>
      <c r="H441">
        <v>8</v>
      </c>
      <c r="I441">
        <v>16</v>
      </c>
      <c r="J441" s="2" t="s">
        <v>20</v>
      </c>
      <c r="K441">
        <f>_xlfn.XLOOKUP("LOADINGSPEEDDEF_"&amp;PROPERTIES[[#This Row],[LOADINGSPEED]],LOADINGSPEEDDEF[TYPE],LOADINGSPEEDDEF[SPEED])</f>
        <v>0</v>
      </c>
      <c r="L441" t="s">
        <v>21</v>
      </c>
      <c r="M441">
        <v>1</v>
      </c>
      <c r="N441">
        <v>5350</v>
      </c>
      <c r="O441">
        <v>110</v>
      </c>
      <c r="P441" s="2">
        <v>0.18</v>
      </c>
      <c r="Q441" s="6">
        <v>40</v>
      </c>
      <c r="R441" s="10">
        <v>0</v>
      </c>
      <c r="S441" s="10">
        <v>8</v>
      </c>
      <c r="T441" s="10"/>
      <c r="U441" t="str">
        <f>"RUNNING_COST_"&amp;IF(PROPERTIES[[#This Row],[ENGINE_CLASS]]="MAGLEV","ELECTRIC",PROPERTIES[[#This Row],[ENGINE_CLASS]])</f>
        <v>RUNNING_COST_ELECTRIC</v>
      </c>
      <c r="V441" s="10" t="s">
        <v>1004</v>
      </c>
      <c r="W441" s="10" t="s">
        <v>1005</v>
      </c>
      <c r="X441" s="10" t="str">
        <f>SUBSTITUTE(SUBSTITUTE(PROPERTIES[[#This Row],[PURCHASECOST_VALUE]], "PURCHASECOST_", ""), "_VALUE", "")</f>
        <v>ELECTRICENGINE</v>
      </c>
      <c r="AP441"/>
      <c r="AQ441"/>
      <c r="AR441"/>
    </row>
    <row r="442" spans="1:44">
      <c r="A442" s="2" t="s">
        <v>467</v>
      </c>
      <c r="B442">
        <v>1978</v>
      </c>
      <c r="C442">
        <v>0</v>
      </c>
      <c r="D442" t="s">
        <v>74</v>
      </c>
      <c r="E442" t="s">
        <v>20</v>
      </c>
      <c r="F442">
        <v>0</v>
      </c>
      <c r="G442" s="10">
        <v>92</v>
      </c>
      <c r="H442">
        <v>7</v>
      </c>
      <c r="I442">
        <v>7</v>
      </c>
      <c r="J442" s="2" t="s">
        <v>20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>
        <v>5790</v>
      </c>
      <c r="O442">
        <v>201</v>
      </c>
      <c r="P442" s="2">
        <v>0.26</v>
      </c>
      <c r="Q442" s="6">
        <v>40</v>
      </c>
      <c r="R442" s="10">
        <v>0</v>
      </c>
      <c r="S442" s="10">
        <v>0</v>
      </c>
      <c r="T442" s="10"/>
      <c r="U442" t="str">
        <f>"RUNNING_COST_"&amp;IF(PROPERTIES[[#This Row],[ENGINE_CLASS]]="MAGLEV","ELECTRIC",PROPERTIES[[#This Row],[ENGINE_CLASS]])</f>
        <v>RUNNING_COST_ELECTRIC</v>
      </c>
      <c r="V442" s="10" t="s">
        <v>1004</v>
      </c>
      <c r="W442" s="10" t="s">
        <v>1005</v>
      </c>
      <c r="X442" s="10" t="str">
        <f>SUBSTITUTE(SUBSTITUTE(PROPERTIES[[#This Row],[PURCHASECOST_VALUE]], "PURCHASECOST_", ""), "_VALUE", "")</f>
        <v>ELECTRICENGINE</v>
      </c>
      <c r="AP442"/>
      <c r="AQ442"/>
      <c r="AR442"/>
    </row>
    <row r="443" spans="1:44">
      <c r="A443" s="2" t="s">
        <v>468</v>
      </c>
      <c r="B443">
        <v>1999</v>
      </c>
      <c r="C443">
        <v>0</v>
      </c>
      <c r="D443" t="s">
        <v>74</v>
      </c>
      <c r="E443" t="s">
        <v>20</v>
      </c>
      <c r="F443">
        <v>0</v>
      </c>
      <c r="G443" s="10">
        <v>99</v>
      </c>
      <c r="H443">
        <v>8</v>
      </c>
      <c r="I443">
        <v>8</v>
      </c>
      <c r="J443" s="2" t="s">
        <v>24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>
        <v>8000</v>
      </c>
      <c r="O443">
        <v>217</v>
      </c>
      <c r="P443" s="2">
        <v>0.25</v>
      </c>
      <c r="Q443" s="6">
        <v>40</v>
      </c>
      <c r="R443" s="10">
        <v>0</v>
      </c>
      <c r="S443" s="10">
        <v>0</v>
      </c>
      <c r="T443" s="10"/>
      <c r="U443" t="str">
        <f>"RUNNING_COST_"&amp;IF(PROPERTIES[[#This Row],[ENGINE_CLASS]]="MAGLEV","ELECTRIC",PROPERTIES[[#This Row],[ENGINE_CLASS]])</f>
        <v>RUNNING_COST_ELECTRIC</v>
      </c>
      <c r="V443" s="10" t="s">
        <v>1004</v>
      </c>
      <c r="W443" s="10" t="s">
        <v>1005</v>
      </c>
      <c r="X443" s="10" t="str">
        <f>SUBSTITUTE(SUBSTITUTE(PROPERTIES[[#This Row],[PURCHASECOST_VALUE]], "PURCHASECOST_", ""), "_VALUE", "")</f>
        <v>ELECTRICENGINE</v>
      </c>
      <c r="AP443"/>
      <c r="AQ443"/>
      <c r="AR443"/>
    </row>
    <row r="444" spans="1:44">
      <c r="A444" s="2" t="s">
        <v>469</v>
      </c>
      <c r="B444">
        <v>2008</v>
      </c>
      <c r="C444">
        <v>0</v>
      </c>
      <c r="D444" t="s">
        <v>74</v>
      </c>
      <c r="E444" t="s">
        <v>20</v>
      </c>
      <c r="F444">
        <v>0</v>
      </c>
      <c r="G444" s="10">
        <v>88</v>
      </c>
      <c r="H444">
        <v>8</v>
      </c>
      <c r="I444">
        <v>8</v>
      </c>
      <c r="J444" s="2" t="s">
        <v>20</v>
      </c>
      <c r="K444">
        <f>_xlfn.XLOOKUP("LOADINGSPEEDDEF_"&amp;PROPERTIES[[#This Row],[LOADINGSPEED]],LOADINGSPEEDDEF[TYPE],LOADINGSPEEDDEF[SPEED])</f>
        <v>0</v>
      </c>
      <c r="L444" t="s">
        <v>21</v>
      </c>
      <c r="M444">
        <v>1</v>
      </c>
      <c r="N444">
        <v>8583</v>
      </c>
      <c r="O444">
        <v>200</v>
      </c>
      <c r="P444" s="2">
        <v>0.34</v>
      </c>
      <c r="Q444" s="6">
        <v>40</v>
      </c>
      <c r="R444" s="10">
        <v>0</v>
      </c>
      <c r="S444" s="10">
        <v>0</v>
      </c>
      <c r="T444" s="10"/>
      <c r="U444" t="str">
        <f>"RUNNING_COST_"&amp;IF(PROPERTIES[[#This Row],[ENGINE_CLASS]]="MAGLEV","ELECTRIC",PROPERTIES[[#This Row],[ENGINE_CLASS]])</f>
        <v>RUNNING_COST_ELECTRIC</v>
      </c>
      <c r="V444" s="10" t="s">
        <v>1004</v>
      </c>
      <c r="W444" s="10" t="s">
        <v>1005</v>
      </c>
      <c r="X444" s="10" t="str">
        <f>SUBSTITUTE(SUBSTITUTE(PROPERTIES[[#This Row],[PURCHASECOST_VALUE]], "PURCHASECOST_", ""), "_VALUE", "")</f>
        <v>ELECTRICENGINE</v>
      </c>
      <c r="AP444"/>
      <c r="AQ444"/>
      <c r="AR444"/>
    </row>
    <row r="445" spans="1:44">
      <c r="A445" s="2" t="s">
        <v>470</v>
      </c>
      <c r="B445">
        <v>1992</v>
      </c>
      <c r="C445">
        <v>0</v>
      </c>
      <c r="D445" t="s">
        <v>74</v>
      </c>
      <c r="E445" t="s">
        <v>20</v>
      </c>
      <c r="F445">
        <v>0</v>
      </c>
      <c r="G445" s="10">
        <v>90</v>
      </c>
      <c r="H445">
        <v>8</v>
      </c>
      <c r="I445">
        <v>8</v>
      </c>
      <c r="J445" s="2" t="s">
        <v>20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>
        <v>7700</v>
      </c>
      <c r="O445">
        <v>220</v>
      </c>
      <c r="P445" s="2">
        <v>0.33</v>
      </c>
      <c r="Q445" s="6">
        <v>40</v>
      </c>
      <c r="R445" s="10">
        <v>0</v>
      </c>
      <c r="S445" s="10">
        <v>0</v>
      </c>
      <c r="T445" s="10"/>
      <c r="U445" t="str">
        <f>"RUNNING_COST_"&amp;IF(PROPERTIES[[#This Row],[ENGINE_CLASS]]="MAGLEV","ELECTRIC",PROPERTIES[[#This Row],[ENGINE_CLASS]])</f>
        <v>RUNNING_COST_ELECTRIC</v>
      </c>
      <c r="V445" s="10" t="s">
        <v>1004</v>
      </c>
      <c r="W445" s="10" t="s">
        <v>1005</v>
      </c>
      <c r="X445" s="10" t="str">
        <f>SUBSTITUTE(SUBSTITUTE(PROPERTIES[[#This Row],[PURCHASECOST_VALUE]], "PURCHASECOST_", ""), "_VALUE", "")</f>
        <v>ELECTRICENGINE</v>
      </c>
      <c r="AP445"/>
      <c r="AQ445"/>
      <c r="AR445"/>
    </row>
    <row r="446" spans="1:44">
      <c r="A446" s="2" t="s">
        <v>471</v>
      </c>
      <c r="B446">
        <v>2000</v>
      </c>
      <c r="C446">
        <v>0</v>
      </c>
      <c r="D446" t="s">
        <v>74</v>
      </c>
      <c r="E446" t="s">
        <v>20</v>
      </c>
      <c r="F446">
        <v>0</v>
      </c>
      <c r="G446" s="10">
        <v>84</v>
      </c>
      <c r="H446">
        <v>8</v>
      </c>
      <c r="I446">
        <v>8</v>
      </c>
      <c r="J446" s="2" t="s">
        <v>20</v>
      </c>
      <c r="K446">
        <f>_xlfn.XLOOKUP("LOADINGSPEEDDEF_"&amp;PROPERTIES[[#This Row],[LOADINGSPEED]],LOADINGSPEEDDEF[TYPE],LOADINGSPEEDDEF[SPEED])</f>
        <v>0</v>
      </c>
      <c r="L446" t="s">
        <v>21</v>
      </c>
      <c r="M446">
        <v>1</v>
      </c>
      <c r="N446">
        <v>5600</v>
      </c>
      <c r="O446">
        <v>140</v>
      </c>
      <c r="P446" s="2">
        <v>0.35</v>
      </c>
      <c r="Q446" s="6">
        <v>40</v>
      </c>
      <c r="R446" s="10">
        <v>0</v>
      </c>
      <c r="S446" s="10">
        <v>0</v>
      </c>
      <c r="T446" s="10"/>
      <c r="U446" t="str">
        <f>"RUNNING_COST_"&amp;IF(PROPERTIES[[#This Row],[ENGINE_CLASS]]="MAGLEV","ELECTRIC",PROPERTIES[[#This Row],[ENGINE_CLASS]])</f>
        <v>RUNNING_COST_ELECTRIC</v>
      </c>
      <c r="V446" s="10" t="s">
        <v>1004</v>
      </c>
      <c r="W446" s="10" t="s">
        <v>1005</v>
      </c>
      <c r="X446" s="10" t="str">
        <f>SUBSTITUTE(SUBSTITUTE(PROPERTIES[[#This Row],[PURCHASECOST_VALUE]], "PURCHASECOST_", ""), "_VALUE", "")</f>
        <v>ELECTRICENGINE</v>
      </c>
      <c r="AP446"/>
      <c r="AQ446"/>
      <c r="AR446"/>
    </row>
    <row r="447" spans="1:44">
      <c r="A447" s="2" t="s">
        <v>472</v>
      </c>
      <c r="B447">
        <v>1908</v>
      </c>
      <c r="C447">
        <v>0</v>
      </c>
      <c r="D447" t="s">
        <v>74</v>
      </c>
      <c r="E447" t="s">
        <v>20</v>
      </c>
      <c r="F447">
        <v>0</v>
      </c>
      <c r="G447" s="10">
        <v>63</v>
      </c>
      <c r="H447">
        <v>6</v>
      </c>
      <c r="I447">
        <v>6</v>
      </c>
      <c r="J447" s="2" t="s">
        <v>20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>
        <v>2000</v>
      </c>
      <c r="O447">
        <v>50</v>
      </c>
      <c r="P447" s="2">
        <v>0.16</v>
      </c>
      <c r="Q447" s="6">
        <v>40</v>
      </c>
      <c r="R447" s="10">
        <v>0</v>
      </c>
      <c r="S447" s="10">
        <v>0</v>
      </c>
      <c r="T447" s="10"/>
      <c r="U447" t="str">
        <f>"RUNNING_COST_"&amp;IF(PROPERTIES[[#This Row],[ENGINE_CLASS]]="MAGLEV","ELECTRIC",PROPERTIES[[#This Row],[ENGINE_CLASS]])</f>
        <v>RUNNING_COST_ELECTRIC</v>
      </c>
      <c r="V447" s="10" t="s">
        <v>1004</v>
      </c>
      <c r="W447" s="10" t="s">
        <v>1005</v>
      </c>
      <c r="X447" s="10" t="str">
        <f>SUBSTITUTE(SUBSTITUTE(PROPERTIES[[#This Row],[PURCHASECOST_VALUE]], "PURCHASECOST_", ""), "_VALUE", "")</f>
        <v>ELECTRICENGINE</v>
      </c>
      <c r="AP447"/>
      <c r="AQ447"/>
      <c r="AR447"/>
    </row>
    <row r="448" spans="1:44">
      <c r="A448" s="2" t="s">
        <v>473</v>
      </c>
      <c r="B448">
        <v>1967</v>
      </c>
      <c r="C448">
        <v>0</v>
      </c>
      <c r="D448" t="s">
        <v>74</v>
      </c>
      <c r="E448" t="s">
        <v>20</v>
      </c>
      <c r="F448">
        <v>0</v>
      </c>
      <c r="G448" s="10">
        <v>101</v>
      </c>
      <c r="H448">
        <v>7</v>
      </c>
      <c r="I448">
        <v>7</v>
      </c>
      <c r="J448" s="2" t="s">
        <v>24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>
        <v>3420</v>
      </c>
      <c r="O448">
        <v>110</v>
      </c>
      <c r="P448" s="2">
        <v>0.28999999999999998</v>
      </c>
      <c r="Q448" s="6">
        <v>40</v>
      </c>
      <c r="R448" s="10">
        <v>0</v>
      </c>
      <c r="S448" s="10">
        <v>0</v>
      </c>
      <c r="T448" s="10"/>
      <c r="U448" t="str">
        <f>"RUNNING_COST_"&amp;IF(PROPERTIES[[#This Row],[ENGINE_CLASS]]="MAGLEV","ELECTRIC",PROPERTIES[[#This Row],[ENGINE_CLASS]])</f>
        <v>RUNNING_COST_ELECTRIC</v>
      </c>
      <c r="V448" s="10" t="s">
        <v>1004</v>
      </c>
      <c r="W448" s="10" t="s">
        <v>1005</v>
      </c>
      <c r="X448" s="10" t="str">
        <f>SUBSTITUTE(SUBSTITUTE(PROPERTIES[[#This Row],[PURCHASECOST_VALUE]], "PURCHASECOST_", ""), "_VALUE", "")</f>
        <v>ELECTRICENGINE</v>
      </c>
      <c r="AP448"/>
      <c r="AQ448"/>
      <c r="AR448"/>
    </row>
    <row r="449" spans="1:44">
      <c r="A449" s="2" t="s">
        <v>474</v>
      </c>
      <c r="B449">
        <v>1993</v>
      </c>
      <c r="C449">
        <v>0</v>
      </c>
      <c r="D449" t="s">
        <v>74</v>
      </c>
      <c r="E449" t="s">
        <v>20</v>
      </c>
      <c r="F449">
        <v>0</v>
      </c>
      <c r="G449" s="10">
        <v>126</v>
      </c>
      <c r="H449">
        <v>8</v>
      </c>
      <c r="I449">
        <v>8</v>
      </c>
      <c r="J449" s="2" t="s">
        <v>20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>
        <v>6760</v>
      </c>
      <c r="O449">
        <v>140</v>
      </c>
      <c r="P449" s="2">
        <v>0.28999999999999998</v>
      </c>
      <c r="Q449" s="6">
        <v>40</v>
      </c>
      <c r="R449" s="10">
        <v>0</v>
      </c>
      <c r="S449" s="10">
        <v>0</v>
      </c>
      <c r="T449" s="10"/>
      <c r="U449" t="str">
        <f>"RUNNING_COST_"&amp;IF(PROPERTIES[[#This Row],[ENGINE_CLASS]]="MAGLEV","ELECTRIC",PROPERTIES[[#This Row],[ENGINE_CLASS]])</f>
        <v>RUNNING_COST_ELECTRIC</v>
      </c>
      <c r="V449" s="10" t="s">
        <v>1004</v>
      </c>
      <c r="W449" s="10" t="s">
        <v>1005</v>
      </c>
      <c r="X449" s="10" t="str">
        <f>SUBSTITUTE(SUBSTITUTE(PROPERTIES[[#This Row],[PURCHASECOST_VALUE]], "PURCHASECOST_", ""), "_VALUE", "")</f>
        <v>ELECTRICENGINE</v>
      </c>
      <c r="AP449"/>
      <c r="AQ449"/>
      <c r="AR449"/>
    </row>
    <row r="450" spans="1:44">
      <c r="A450" s="2" t="s">
        <v>475</v>
      </c>
      <c r="B450">
        <v>2012</v>
      </c>
      <c r="C450">
        <v>0</v>
      </c>
      <c r="D450" t="s">
        <v>74</v>
      </c>
      <c r="E450" t="s">
        <v>20</v>
      </c>
      <c r="F450">
        <v>0</v>
      </c>
      <c r="G450" s="10">
        <v>98</v>
      </c>
      <c r="H450">
        <v>8</v>
      </c>
      <c r="I450">
        <v>8</v>
      </c>
      <c r="J450" s="2" t="s">
        <v>20</v>
      </c>
      <c r="K450">
        <f>_xlfn.XLOOKUP("LOADINGSPEEDDEF_"&amp;PROPERTIES[[#This Row],[LOADINGSPEED]],LOADINGSPEEDDEF[TYPE],LOADINGSPEEDDEF[SPEED])</f>
        <v>0</v>
      </c>
      <c r="L450" t="s">
        <v>21</v>
      </c>
      <c r="M450">
        <v>1</v>
      </c>
      <c r="N450">
        <v>8600</v>
      </c>
      <c r="O450">
        <v>220</v>
      </c>
      <c r="P450" s="2">
        <v>0.33</v>
      </c>
      <c r="Q450" s="6">
        <v>40</v>
      </c>
      <c r="R450" s="10">
        <v>0</v>
      </c>
      <c r="S450" s="10">
        <v>0</v>
      </c>
      <c r="T450" s="10"/>
      <c r="U450" t="str">
        <f>"RUNNING_COST_"&amp;IF(PROPERTIES[[#This Row],[ENGINE_CLASS]]="MAGLEV","ELECTRIC",PROPERTIES[[#This Row],[ENGINE_CLASS]])</f>
        <v>RUNNING_COST_ELECTRIC</v>
      </c>
      <c r="V450" s="10" t="s">
        <v>1004</v>
      </c>
      <c r="W450" s="10" t="s">
        <v>1005</v>
      </c>
      <c r="X450" s="10" t="str">
        <f>SUBSTITUTE(SUBSTITUTE(PROPERTIES[[#This Row],[PURCHASECOST_VALUE]], "PURCHASECOST_", ""), "_VALUE", "")</f>
        <v>ELECTRICENGINE</v>
      </c>
      <c r="AP450"/>
      <c r="AQ450"/>
      <c r="AR450"/>
    </row>
    <row r="451" spans="1:44">
      <c r="A451" s="2" t="s">
        <v>476</v>
      </c>
      <c r="B451">
        <v>1964</v>
      </c>
      <c r="C451">
        <v>0</v>
      </c>
      <c r="D451" t="s">
        <v>74</v>
      </c>
      <c r="E451" t="s">
        <v>20</v>
      </c>
      <c r="F451">
        <v>0</v>
      </c>
      <c r="G451" s="10">
        <v>110</v>
      </c>
      <c r="H451">
        <v>8</v>
      </c>
      <c r="I451">
        <v>8</v>
      </c>
      <c r="J451" s="2" t="s">
        <v>20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>
        <v>6000</v>
      </c>
      <c r="O451">
        <v>240</v>
      </c>
      <c r="P451" s="2">
        <v>0.21</v>
      </c>
      <c r="Q451" s="6">
        <v>40</v>
      </c>
      <c r="R451" s="10">
        <v>0</v>
      </c>
      <c r="S451" s="10">
        <v>0</v>
      </c>
      <c r="T451" s="10"/>
      <c r="U451" t="str">
        <f>"RUNNING_COST_"&amp;IF(PROPERTIES[[#This Row],[ENGINE_CLASS]]="MAGLEV","ELECTRIC",PROPERTIES[[#This Row],[ENGINE_CLASS]])</f>
        <v>RUNNING_COST_ELECTRIC</v>
      </c>
      <c r="V451" s="10" t="s">
        <v>1004</v>
      </c>
      <c r="W451" s="10" t="s">
        <v>1005</v>
      </c>
      <c r="X451" s="10" t="str">
        <f>SUBSTITUTE(SUBSTITUTE(PROPERTIES[[#This Row],[PURCHASECOST_VALUE]], "PURCHASECOST_", ""), "_VALUE", "")</f>
        <v>ELECTRICENGINE</v>
      </c>
      <c r="AP451"/>
      <c r="AQ451"/>
      <c r="AR451"/>
    </row>
    <row r="452" spans="1:44">
      <c r="A452" s="2" t="s">
        <v>477</v>
      </c>
      <c r="B452">
        <v>1997</v>
      </c>
      <c r="C452">
        <v>0</v>
      </c>
      <c r="D452" t="s">
        <v>74</v>
      </c>
      <c r="E452" t="s">
        <v>20</v>
      </c>
      <c r="F452">
        <v>0</v>
      </c>
      <c r="G452" s="10">
        <v>90</v>
      </c>
      <c r="H452">
        <v>8</v>
      </c>
      <c r="I452">
        <v>8</v>
      </c>
      <c r="J452" s="2" t="s">
        <v>20</v>
      </c>
      <c r="K452">
        <f>_xlfn.XLOOKUP("LOADINGSPEEDDEF_"&amp;PROPERTIES[[#This Row],[LOADINGSPEED]],LOADINGSPEEDDEF[TYPE],LOADINGSPEEDDEF[SPEED])</f>
        <v>0</v>
      </c>
      <c r="L452" t="s">
        <v>21</v>
      </c>
      <c r="M452">
        <v>1</v>
      </c>
      <c r="N452">
        <v>6968</v>
      </c>
      <c r="O452">
        <v>200</v>
      </c>
      <c r="P452" s="2">
        <v>0.32</v>
      </c>
      <c r="Q452" s="6">
        <v>40</v>
      </c>
      <c r="R452" s="10">
        <v>0</v>
      </c>
      <c r="S452" s="10">
        <v>0</v>
      </c>
      <c r="T452" s="10"/>
      <c r="U452" t="str">
        <f>"RUNNING_COST_"&amp;IF(PROPERTIES[[#This Row],[ENGINE_CLASS]]="MAGLEV","ELECTRIC",PROPERTIES[[#This Row],[ENGINE_CLASS]])</f>
        <v>RUNNING_COST_ELECTRIC</v>
      </c>
      <c r="V452" s="10" t="s">
        <v>1004</v>
      </c>
      <c r="W452" s="10" t="s">
        <v>1005</v>
      </c>
      <c r="X452" s="10" t="str">
        <f>SUBSTITUTE(SUBSTITUTE(PROPERTIES[[#This Row],[PURCHASECOST_VALUE]], "PURCHASECOST_", ""), "_VALUE", "")</f>
        <v>ELECTRICENGINE</v>
      </c>
      <c r="AP452"/>
      <c r="AQ452"/>
      <c r="AR452"/>
    </row>
    <row r="453" spans="1:44">
      <c r="A453" s="2" t="s">
        <v>478</v>
      </c>
      <c r="B453">
        <v>1932</v>
      </c>
      <c r="C453">
        <v>1</v>
      </c>
      <c r="D453" t="s">
        <v>35</v>
      </c>
      <c r="E453" t="s">
        <v>18</v>
      </c>
      <c r="F453">
        <v>50</v>
      </c>
      <c r="G453" s="10">
        <v>39</v>
      </c>
      <c r="H453">
        <v>8</v>
      </c>
      <c r="I453">
        <v>8</v>
      </c>
      <c r="J453" s="2" t="s">
        <v>479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>
        <v>400</v>
      </c>
      <c r="O453">
        <v>160</v>
      </c>
      <c r="P453" s="2">
        <v>0.19</v>
      </c>
      <c r="Q453" s="6">
        <v>25</v>
      </c>
      <c r="R453" s="10">
        <v>50</v>
      </c>
      <c r="S453" s="10">
        <v>8</v>
      </c>
      <c r="T453" s="10"/>
      <c r="U453" t="str">
        <f>"RUNNING_COST_"&amp;IF(PROPERTIES[[#This Row],[ENGINE_CLASS]]="MAGLEV","ELECTRIC",PROPERTIES[[#This Row],[ENGINE_CLASS]])</f>
        <v>RUNNING_COST_DIESEL</v>
      </c>
      <c r="V453" s="10" t="s">
        <v>1006</v>
      </c>
      <c r="W453" s="10" t="s">
        <v>1007</v>
      </c>
      <c r="X453" s="10" t="str">
        <f>SUBSTITUTE(SUBSTITUTE(PROPERTIES[[#This Row],[PURCHASECOST_VALUE]], "PURCHASECOST_", ""), "_VALUE", "")</f>
        <v>DMU</v>
      </c>
      <c r="AP453"/>
      <c r="AQ453"/>
      <c r="AR453"/>
    </row>
    <row r="454" spans="1:44">
      <c r="A454" s="2" t="s">
        <v>480</v>
      </c>
      <c r="B454">
        <v>1937</v>
      </c>
      <c r="C454">
        <v>1</v>
      </c>
      <c r="D454" t="s">
        <v>35</v>
      </c>
      <c r="E454" t="s">
        <v>18</v>
      </c>
      <c r="F454">
        <v>0</v>
      </c>
      <c r="G454" s="10">
        <v>55</v>
      </c>
      <c r="H454">
        <v>7</v>
      </c>
      <c r="I454">
        <v>7</v>
      </c>
      <c r="J454" s="2" t="s">
        <v>479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>
        <v>660</v>
      </c>
      <c r="O454">
        <v>160</v>
      </c>
      <c r="P454" s="2">
        <v>0.2</v>
      </c>
      <c r="Q454" s="6">
        <v>25</v>
      </c>
      <c r="R454" s="10">
        <v>45</v>
      </c>
      <c r="S454" s="10">
        <v>7</v>
      </c>
      <c r="T454" s="10">
        <v>45</v>
      </c>
      <c r="U454" t="str">
        <f>"RUNNING_COST_"&amp;IF(PROPERTIES[[#This Row],[ENGINE_CLASS]]="MAGLEV","ELECTRIC",PROPERTIES[[#This Row],[ENGINE_CLASS]])</f>
        <v>RUNNING_COST_DIESEL</v>
      </c>
      <c r="V454" s="10" t="s">
        <v>1006</v>
      </c>
      <c r="W454" s="10" t="s">
        <v>1007</v>
      </c>
      <c r="X454" s="10" t="str">
        <f>SUBSTITUTE(SUBSTITUTE(PROPERTIES[[#This Row],[PURCHASECOST_VALUE]], "PURCHASECOST_", ""), "_VALUE", "")</f>
        <v>DMU</v>
      </c>
      <c r="AP454"/>
      <c r="AQ454"/>
      <c r="AR454"/>
    </row>
    <row r="455" spans="1:44">
      <c r="A455" s="2" t="s">
        <v>481</v>
      </c>
      <c r="B455">
        <v>1948</v>
      </c>
      <c r="C455">
        <v>1</v>
      </c>
      <c r="D455" t="s">
        <v>35</v>
      </c>
      <c r="E455" t="s">
        <v>18</v>
      </c>
      <c r="F455">
        <v>48</v>
      </c>
      <c r="G455" s="10">
        <v>42</v>
      </c>
      <c r="H455">
        <v>6</v>
      </c>
      <c r="I455">
        <v>6</v>
      </c>
      <c r="J455" s="2" t="s">
        <v>479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>
        <v>152</v>
      </c>
      <c r="O455">
        <v>60</v>
      </c>
      <c r="P455" s="2">
        <v>0.21</v>
      </c>
      <c r="Q455" s="6">
        <v>25</v>
      </c>
      <c r="R455" s="10">
        <v>48</v>
      </c>
      <c r="S455" s="10">
        <v>6</v>
      </c>
      <c r="T455" s="10"/>
      <c r="U455" t="str">
        <f>"RUNNING_COST_"&amp;IF(PROPERTIES[[#This Row],[ENGINE_CLASS]]="MAGLEV","ELECTRIC",PROPERTIES[[#This Row],[ENGINE_CLASS]])</f>
        <v>RUNNING_COST_DIESEL</v>
      </c>
      <c r="V455" s="10" t="s">
        <v>1006</v>
      </c>
      <c r="W455" s="10" t="s">
        <v>1007</v>
      </c>
      <c r="X455" s="10" t="str">
        <f>SUBSTITUTE(SUBSTITUTE(PROPERTIES[[#This Row],[PURCHASECOST_VALUE]], "PURCHASECOST_", ""), "_VALUE", "")</f>
        <v>DMU</v>
      </c>
      <c r="AP455"/>
      <c r="AQ455"/>
      <c r="AR455"/>
    </row>
    <row r="456" spans="1:44">
      <c r="A456" s="2" t="s">
        <v>482</v>
      </c>
      <c r="B456">
        <v>1952</v>
      </c>
      <c r="C456">
        <v>1</v>
      </c>
      <c r="D456" t="s">
        <v>35</v>
      </c>
      <c r="E456" t="s">
        <v>18</v>
      </c>
      <c r="F456">
        <v>45</v>
      </c>
      <c r="G456" s="10">
        <v>42</v>
      </c>
      <c r="H456">
        <v>8</v>
      </c>
      <c r="I456">
        <v>8</v>
      </c>
      <c r="J456" s="2" t="s">
        <v>479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>
        <v>986</v>
      </c>
      <c r="O456">
        <v>140</v>
      </c>
      <c r="P456" s="2">
        <v>0.43</v>
      </c>
      <c r="Q456" s="6">
        <v>25</v>
      </c>
      <c r="R456" s="10">
        <v>45</v>
      </c>
      <c r="S456" s="10">
        <v>8</v>
      </c>
      <c r="T456" s="10"/>
      <c r="U456" t="str">
        <f>"RUNNING_COST_"&amp;IF(PROPERTIES[[#This Row],[ENGINE_CLASS]]="MAGLEV","ELECTRIC",PROPERTIES[[#This Row],[ENGINE_CLASS]])</f>
        <v>RUNNING_COST_DIESEL</v>
      </c>
      <c r="V456" s="10" t="s">
        <v>1006</v>
      </c>
      <c r="W456" s="10" t="s">
        <v>1007</v>
      </c>
      <c r="X456" s="10" t="str">
        <f>SUBSTITUTE(SUBSTITUTE(PROPERTIES[[#This Row],[PURCHASECOST_VALUE]], "PURCHASECOST_", ""), "_VALUE", "")</f>
        <v>DMU</v>
      </c>
      <c r="AP456"/>
      <c r="AQ456"/>
      <c r="AR456"/>
    </row>
    <row r="457" spans="1:44">
      <c r="A457" s="2" t="s">
        <v>483</v>
      </c>
      <c r="B457">
        <v>1955</v>
      </c>
      <c r="C457">
        <v>1</v>
      </c>
      <c r="D457" t="s">
        <v>35</v>
      </c>
      <c r="E457" t="s">
        <v>18</v>
      </c>
      <c r="F457">
        <v>80</v>
      </c>
      <c r="G457" s="10">
        <v>43</v>
      </c>
      <c r="H457">
        <v>8</v>
      </c>
      <c r="I457">
        <v>8</v>
      </c>
      <c r="J457" s="2" t="s">
        <v>479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>
        <v>220</v>
      </c>
      <c r="O457">
        <v>90</v>
      </c>
      <c r="P457" s="2">
        <v>0.18</v>
      </c>
      <c r="Q457" s="6">
        <v>25</v>
      </c>
      <c r="R457" s="10">
        <v>80</v>
      </c>
      <c r="S457" s="10">
        <v>8</v>
      </c>
      <c r="T457" s="10"/>
      <c r="U457" t="str">
        <f>"RUNNING_COST_"&amp;IF(PROPERTIES[[#This Row],[ENGINE_CLASS]]="MAGLEV","ELECTRIC",PROPERTIES[[#This Row],[ENGINE_CLASS]])</f>
        <v>RUNNING_COST_DIESEL</v>
      </c>
      <c r="V457" s="10" t="s">
        <v>1006</v>
      </c>
      <c r="W457" s="10" t="s">
        <v>1007</v>
      </c>
      <c r="X457" s="10" t="str">
        <f>SUBSTITUTE(SUBSTITUTE(PROPERTIES[[#This Row],[PURCHASECOST_VALUE]], "PURCHASECOST_", ""), "_VALUE", "")</f>
        <v>DMU</v>
      </c>
      <c r="AP457"/>
      <c r="AQ457"/>
      <c r="AR457"/>
    </row>
    <row r="458" spans="1:44">
      <c r="A458" s="2" t="s">
        <v>484</v>
      </c>
      <c r="B458">
        <v>1957</v>
      </c>
      <c r="C458">
        <v>1</v>
      </c>
      <c r="D458" t="s">
        <v>35</v>
      </c>
      <c r="E458" t="s">
        <v>18</v>
      </c>
      <c r="F458">
        <v>0</v>
      </c>
      <c r="G458" s="10">
        <v>33</v>
      </c>
      <c r="H458">
        <v>8</v>
      </c>
      <c r="I458">
        <v>8</v>
      </c>
      <c r="J458" s="2" t="s">
        <v>479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>
        <v>1475</v>
      </c>
      <c r="O458">
        <v>160</v>
      </c>
      <c r="P458" s="2">
        <v>0.77</v>
      </c>
      <c r="Q458" s="6">
        <v>25</v>
      </c>
      <c r="R458" s="10">
        <v>34</v>
      </c>
      <c r="S458" s="10">
        <v>8</v>
      </c>
      <c r="T458" s="10"/>
      <c r="U458" t="str">
        <f>"RUNNING_COST_"&amp;IF(PROPERTIES[[#This Row],[ENGINE_CLASS]]="MAGLEV","ELECTRIC",PROPERTIES[[#This Row],[ENGINE_CLASS]])</f>
        <v>RUNNING_COST_DIESEL</v>
      </c>
      <c r="V458" s="10" t="s">
        <v>1006</v>
      </c>
      <c r="W458" s="10" t="s">
        <v>1007</v>
      </c>
      <c r="X458" s="10" t="str">
        <f>SUBSTITUTE(SUBSTITUTE(PROPERTIES[[#This Row],[PURCHASECOST_VALUE]], "PURCHASECOST_", ""), "_VALUE", "")</f>
        <v>DMU</v>
      </c>
      <c r="AP458"/>
      <c r="AQ458"/>
      <c r="AR458"/>
    </row>
    <row r="459" spans="1:44">
      <c r="A459" s="2" t="s">
        <v>485</v>
      </c>
      <c r="B459">
        <v>1960</v>
      </c>
      <c r="C459">
        <v>1</v>
      </c>
      <c r="D459" t="s">
        <v>35</v>
      </c>
      <c r="E459" t="s">
        <v>18</v>
      </c>
      <c r="F459">
        <v>64</v>
      </c>
      <c r="G459" s="10">
        <v>64</v>
      </c>
      <c r="H459">
        <v>8</v>
      </c>
      <c r="I459">
        <v>8</v>
      </c>
      <c r="J459" s="2" t="s">
        <v>24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>
        <v>987</v>
      </c>
      <c r="O459">
        <v>125</v>
      </c>
      <c r="P459" s="2">
        <v>0.21</v>
      </c>
      <c r="Q459" s="6">
        <v>25</v>
      </c>
      <c r="R459" s="10">
        <v>64</v>
      </c>
      <c r="S459" s="10">
        <v>8</v>
      </c>
      <c r="T459" s="10"/>
      <c r="U459" t="str">
        <f>"RUNNING_COST_"&amp;IF(PROPERTIES[[#This Row],[ENGINE_CLASS]]="MAGLEV","ELECTRIC",PROPERTIES[[#This Row],[ENGINE_CLASS]])</f>
        <v>RUNNING_COST_DIESEL</v>
      </c>
      <c r="V459" s="10" t="s">
        <v>1006</v>
      </c>
      <c r="W459" s="10" t="s">
        <v>1007</v>
      </c>
      <c r="X459" s="10" t="str">
        <f>SUBSTITUTE(SUBSTITUTE(PROPERTIES[[#This Row],[PURCHASECOST_VALUE]], "PURCHASECOST_", ""), "_VALUE", "")</f>
        <v>DMU</v>
      </c>
      <c r="AP459"/>
      <c r="AQ459"/>
      <c r="AR459"/>
    </row>
    <row r="460" spans="1:44">
      <c r="A460" s="2" t="s">
        <v>486</v>
      </c>
      <c r="B460">
        <v>1967</v>
      </c>
      <c r="C460">
        <v>1</v>
      </c>
      <c r="D460" t="s">
        <v>35</v>
      </c>
      <c r="E460" t="s">
        <v>18</v>
      </c>
      <c r="F460">
        <v>44</v>
      </c>
      <c r="G460" s="10">
        <v>40</v>
      </c>
      <c r="H460">
        <v>8</v>
      </c>
      <c r="I460">
        <v>8</v>
      </c>
      <c r="J460" s="2" t="s">
        <v>479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>
        <v>2400</v>
      </c>
      <c r="O460">
        <v>225</v>
      </c>
      <c r="P460" s="2">
        <v>0.45</v>
      </c>
      <c r="Q460" s="6">
        <v>25</v>
      </c>
      <c r="R460" s="10">
        <v>44</v>
      </c>
      <c r="S460" s="10">
        <v>8</v>
      </c>
      <c r="T460" s="10">
        <v>50</v>
      </c>
      <c r="U460" t="str">
        <f>"RUNNING_COST_"&amp;IF(PROPERTIES[[#This Row],[ENGINE_CLASS]]="MAGLEV","ELECTRIC",PROPERTIES[[#This Row],[ENGINE_CLASS]])</f>
        <v>RUNNING_COST_DIESEL</v>
      </c>
      <c r="V460" s="10" t="s">
        <v>1006</v>
      </c>
      <c r="W460" s="10" t="s">
        <v>1007</v>
      </c>
      <c r="X460" s="10" t="str">
        <f>SUBSTITUTE(SUBSTITUTE(PROPERTIES[[#This Row],[PURCHASECOST_VALUE]], "PURCHASECOST_", ""), "_VALUE", "")</f>
        <v>DMU</v>
      </c>
      <c r="AP460"/>
      <c r="AQ460"/>
      <c r="AR460"/>
    </row>
    <row r="461" spans="1:44">
      <c r="A461" s="2" t="s">
        <v>487</v>
      </c>
      <c r="B461">
        <v>1974</v>
      </c>
      <c r="C461">
        <v>1</v>
      </c>
      <c r="D461" t="s">
        <v>35</v>
      </c>
      <c r="E461" t="s">
        <v>18</v>
      </c>
      <c r="F461">
        <v>38</v>
      </c>
      <c r="G461" s="10">
        <v>55</v>
      </c>
      <c r="H461">
        <v>8</v>
      </c>
      <c r="I461">
        <v>8</v>
      </c>
      <c r="J461" s="2" t="s">
        <v>24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>
        <v>735</v>
      </c>
      <c r="O461">
        <v>118</v>
      </c>
      <c r="P461" s="2">
        <v>0.2</v>
      </c>
      <c r="Q461" s="6">
        <v>20</v>
      </c>
      <c r="R461" s="10">
        <v>38</v>
      </c>
      <c r="S461" s="10">
        <v>8</v>
      </c>
      <c r="T461" s="10"/>
      <c r="U461" t="str">
        <f>"RUNNING_COST_"&amp;IF(PROPERTIES[[#This Row],[ENGINE_CLASS]]="MAGLEV","ELECTRIC",PROPERTIES[[#This Row],[ENGINE_CLASS]])</f>
        <v>RUNNING_COST_DIESEL</v>
      </c>
      <c r="V461" s="10" t="s">
        <v>1006</v>
      </c>
      <c r="W461" s="10" t="s">
        <v>1007</v>
      </c>
      <c r="X461" s="10" t="str">
        <f>SUBSTITUTE(SUBSTITUTE(PROPERTIES[[#This Row],[PURCHASECOST_VALUE]], "PURCHASECOST_", ""), "_VALUE", "")</f>
        <v>DMU</v>
      </c>
      <c r="AP461"/>
      <c r="AQ461"/>
      <c r="AR461"/>
    </row>
    <row r="462" spans="1:44">
      <c r="A462" s="2" t="s">
        <v>488</v>
      </c>
      <c r="B462">
        <v>1976</v>
      </c>
      <c r="C462">
        <v>1</v>
      </c>
      <c r="D462" t="s">
        <v>35</v>
      </c>
      <c r="E462" t="s">
        <v>18</v>
      </c>
      <c r="F462">
        <v>52</v>
      </c>
      <c r="G462" s="10">
        <v>70</v>
      </c>
      <c r="H462">
        <v>8</v>
      </c>
      <c r="I462">
        <v>8</v>
      </c>
      <c r="J462" s="2" t="s">
        <v>479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>
        <v>4500</v>
      </c>
      <c r="O462">
        <v>201</v>
      </c>
      <c r="P462" s="2">
        <v>0.57999999999999996</v>
      </c>
      <c r="Q462" s="6">
        <v>25</v>
      </c>
      <c r="R462" s="10">
        <v>52</v>
      </c>
      <c r="S462" s="10">
        <v>8</v>
      </c>
      <c r="T462" s="10"/>
      <c r="U462" t="str">
        <f>"RUNNING_COST_"&amp;IF(PROPERTIES[[#This Row],[ENGINE_CLASS]]="MAGLEV","ELECTRIC",PROPERTIES[[#This Row],[ENGINE_CLASS]])</f>
        <v>RUNNING_COST_DIESEL</v>
      </c>
      <c r="V462" s="10" t="s">
        <v>1006</v>
      </c>
      <c r="W462" s="10" t="s">
        <v>1007</v>
      </c>
      <c r="X462" s="10" t="str">
        <f>SUBSTITUTE(SUBSTITUTE(PROPERTIES[[#This Row],[PURCHASECOST_VALUE]], "PURCHASECOST_", ""), "_VALUE", "")</f>
        <v>DMU</v>
      </c>
      <c r="AP462"/>
      <c r="AQ462"/>
      <c r="AR462"/>
    </row>
    <row r="463" spans="1:44">
      <c r="A463" s="2" t="s">
        <v>489</v>
      </c>
      <c r="B463">
        <v>1980</v>
      </c>
      <c r="C463">
        <v>1</v>
      </c>
      <c r="D463" t="s">
        <v>35</v>
      </c>
      <c r="E463" t="s">
        <v>18</v>
      </c>
      <c r="F463">
        <v>0</v>
      </c>
      <c r="G463" s="10">
        <v>65</v>
      </c>
      <c r="H463">
        <v>8</v>
      </c>
      <c r="I463">
        <v>8</v>
      </c>
      <c r="J463" s="2" t="s">
        <v>479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>
        <v>5400</v>
      </c>
      <c r="O463">
        <v>180</v>
      </c>
      <c r="P463" s="2">
        <v>0.54</v>
      </c>
      <c r="Q463" s="6">
        <v>25</v>
      </c>
      <c r="R463" s="10">
        <v>55</v>
      </c>
      <c r="S463" s="10">
        <v>8</v>
      </c>
      <c r="T463" s="10">
        <v>55</v>
      </c>
      <c r="U463" t="str">
        <f>"RUNNING_COST_"&amp;IF(PROPERTIES[[#This Row],[ENGINE_CLASS]]="MAGLEV","ELECTRIC",PROPERTIES[[#This Row],[ENGINE_CLASS]])</f>
        <v>RUNNING_COST_DIESEL</v>
      </c>
      <c r="V463" s="10" t="s">
        <v>1006</v>
      </c>
      <c r="W463" s="10" t="s">
        <v>1007</v>
      </c>
      <c r="X463" s="10" t="str">
        <f>SUBSTITUTE(SUBSTITUTE(PROPERTIES[[#This Row],[PURCHASECOST_VALUE]], "PURCHASECOST_", ""), "_VALUE", "")</f>
        <v>DMU</v>
      </c>
      <c r="AP463"/>
      <c r="AQ463"/>
      <c r="AR463"/>
    </row>
    <row r="464" spans="1:44">
      <c r="A464" s="2" t="s">
        <v>490</v>
      </c>
      <c r="B464">
        <v>1990</v>
      </c>
      <c r="C464">
        <v>1</v>
      </c>
      <c r="D464" t="s">
        <v>35</v>
      </c>
      <c r="E464" t="s">
        <v>18</v>
      </c>
      <c r="F464">
        <v>48</v>
      </c>
      <c r="G464" s="10">
        <v>32</v>
      </c>
      <c r="H464">
        <v>8</v>
      </c>
      <c r="I464">
        <v>8</v>
      </c>
      <c r="J464" s="2" t="s">
        <v>479</v>
      </c>
      <c r="K464">
        <f>_xlfn.XLOOKUP("LOADINGSPEEDDEF_"&amp;PROPERTIES[[#This Row],[LOADINGSPEED]],LOADINGSPEEDDEF[TYPE],LOADINGSPEEDDEF[SPEED])</f>
        <v>16</v>
      </c>
      <c r="L464" t="s">
        <v>21</v>
      </c>
      <c r="M464">
        <v>1</v>
      </c>
      <c r="N464">
        <v>600</v>
      </c>
      <c r="O464">
        <v>180</v>
      </c>
      <c r="P464" s="2">
        <v>0.63</v>
      </c>
      <c r="Q464" s="6">
        <v>25</v>
      </c>
      <c r="R464" s="10">
        <v>48</v>
      </c>
      <c r="S464" s="10">
        <v>8</v>
      </c>
      <c r="T464" s="10"/>
      <c r="U464" t="str">
        <f>"RUNNING_COST_"&amp;IF(PROPERTIES[[#This Row],[ENGINE_CLASS]]="MAGLEV","ELECTRIC",PROPERTIES[[#This Row],[ENGINE_CLASS]])</f>
        <v>RUNNING_COST_DIESEL</v>
      </c>
      <c r="V464" s="10" t="s">
        <v>1006</v>
      </c>
      <c r="W464" s="10" t="s">
        <v>1007</v>
      </c>
      <c r="X464" s="10" t="str">
        <f>SUBSTITUTE(SUBSTITUTE(PROPERTIES[[#This Row],[PURCHASECOST_VALUE]], "PURCHASECOST_", ""), "_VALUE", "")</f>
        <v>DMU</v>
      </c>
      <c r="AP464"/>
      <c r="AQ464"/>
      <c r="AR464"/>
    </row>
    <row r="465" spans="1:44">
      <c r="A465" s="2" t="s">
        <v>491</v>
      </c>
      <c r="B465">
        <v>1997</v>
      </c>
      <c r="C465">
        <v>1</v>
      </c>
      <c r="D465" t="s">
        <v>35</v>
      </c>
      <c r="E465" t="s">
        <v>18</v>
      </c>
      <c r="F465">
        <v>63</v>
      </c>
      <c r="G465" s="10">
        <v>49</v>
      </c>
      <c r="H465">
        <v>8</v>
      </c>
      <c r="I465">
        <v>8</v>
      </c>
      <c r="J465" s="2" t="s">
        <v>24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>
        <v>804</v>
      </c>
      <c r="O465">
        <v>160</v>
      </c>
      <c r="P465" s="2">
        <v>0.24</v>
      </c>
      <c r="Q465" s="6">
        <v>20</v>
      </c>
      <c r="R465" s="10">
        <v>63</v>
      </c>
      <c r="S465" s="10">
        <v>8</v>
      </c>
      <c r="T465" s="10"/>
      <c r="U465" t="str">
        <f>"RUNNING_COST_"&amp;IF(PROPERTIES[[#This Row],[ENGINE_CLASS]]="MAGLEV","ELECTRIC",PROPERTIES[[#This Row],[ENGINE_CLASS]])</f>
        <v>RUNNING_COST_DIESEL</v>
      </c>
      <c r="V465" s="10" t="s">
        <v>1006</v>
      </c>
      <c r="W465" s="10" t="s">
        <v>1007</v>
      </c>
      <c r="X465" s="10" t="str">
        <f>SUBSTITUTE(SUBSTITUTE(PROPERTIES[[#This Row],[PURCHASECOST_VALUE]], "PURCHASECOST_", ""), "_VALUE", "")</f>
        <v>DMU</v>
      </c>
      <c r="AP465"/>
      <c r="AQ465"/>
      <c r="AR465"/>
    </row>
    <row r="466" spans="1:44">
      <c r="A466" s="2" t="s">
        <v>492</v>
      </c>
      <c r="B466">
        <v>1997</v>
      </c>
      <c r="C466">
        <v>1</v>
      </c>
      <c r="D466" t="s">
        <v>35</v>
      </c>
      <c r="E466" t="s">
        <v>18</v>
      </c>
      <c r="F466">
        <v>42</v>
      </c>
      <c r="G466" s="10">
        <v>50</v>
      </c>
      <c r="H466">
        <v>8</v>
      </c>
      <c r="I466">
        <v>8</v>
      </c>
      <c r="J466" s="2" t="s">
        <v>24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>
        <v>1300</v>
      </c>
      <c r="O466">
        <v>160</v>
      </c>
      <c r="P466" s="2">
        <v>0.39</v>
      </c>
      <c r="Q466" s="6">
        <v>20</v>
      </c>
      <c r="R466" s="10">
        <v>42</v>
      </c>
      <c r="S466" s="10">
        <v>8</v>
      </c>
      <c r="T466" s="10">
        <v>52</v>
      </c>
      <c r="U466" t="str">
        <f>"RUNNING_COST_"&amp;IF(PROPERTIES[[#This Row],[ENGINE_CLASS]]="MAGLEV","ELECTRIC",PROPERTIES[[#This Row],[ENGINE_CLASS]])</f>
        <v>RUNNING_COST_DIESEL</v>
      </c>
      <c r="V466" s="10" t="s">
        <v>1006</v>
      </c>
      <c r="W466" s="10" t="s">
        <v>1007</v>
      </c>
      <c r="X466" s="10" t="str">
        <f>SUBSTITUTE(SUBSTITUTE(PROPERTIES[[#This Row],[PURCHASECOST_VALUE]], "PURCHASECOST_", ""), "_VALUE", "")</f>
        <v>DMU</v>
      </c>
      <c r="AP466"/>
      <c r="AQ466"/>
      <c r="AR466"/>
    </row>
    <row r="467" spans="1:44">
      <c r="A467" s="2" t="s">
        <v>493</v>
      </c>
      <c r="B467">
        <v>1998</v>
      </c>
      <c r="C467">
        <v>1</v>
      </c>
      <c r="D467" t="s">
        <v>35</v>
      </c>
      <c r="E467" t="s">
        <v>18</v>
      </c>
      <c r="F467">
        <v>73</v>
      </c>
      <c r="G467" s="10">
        <v>58</v>
      </c>
      <c r="H467">
        <v>8</v>
      </c>
      <c r="I467">
        <v>8</v>
      </c>
      <c r="J467" s="2" t="s">
        <v>24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>
        <v>1520</v>
      </c>
      <c r="O467">
        <v>160</v>
      </c>
      <c r="P467" s="2">
        <v>0.38</v>
      </c>
      <c r="Q467" s="6">
        <v>20</v>
      </c>
      <c r="R467" s="10">
        <v>73</v>
      </c>
      <c r="S467" s="10">
        <v>8</v>
      </c>
      <c r="T467" s="10"/>
      <c r="U467" t="str">
        <f>"RUNNING_COST_"&amp;IF(PROPERTIES[[#This Row],[ENGINE_CLASS]]="MAGLEV","ELECTRIC",PROPERTIES[[#This Row],[ENGINE_CLASS]])</f>
        <v>RUNNING_COST_DIESEL</v>
      </c>
      <c r="V467" s="10" t="s">
        <v>1006</v>
      </c>
      <c r="W467" s="10" t="s">
        <v>1007</v>
      </c>
      <c r="X467" s="10" t="str">
        <f>SUBSTITUTE(SUBSTITUTE(PROPERTIES[[#This Row],[PURCHASECOST_VALUE]], "PURCHASECOST_", ""), "_VALUE", "")</f>
        <v>DMU</v>
      </c>
      <c r="AP467"/>
      <c r="AQ467"/>
      <c r="AR467"/>
    </row>
    <row r="468" spans="1:44">
      <c r="A468" s="2" t="s">
        <v>494</v>
      </c>
      <c r="B468">
        <v>2000</v>
      </c>
      <c r="C468">
        <v>1</v>
      </c>
      <c r="D468" t="s">
        <v>35</v>
      </c>
      <c r="E468" t="s">
        <v>18</v>
      </c>
      <c r="F468">
        <v>55</v>
      </c>
      <c r="G468" s="10">
        <v>60</v>
      </c>
      <c r="H468">
        <v>8</v>
      </c>
      <c r="I468">
        <v>8</v>
      </c>
      <c r="J468" s="2" t="s">
        <v>24</v>
      </c>
      <c r="K468">
        <f>_xlfn.XLOOKUP("LOADINGSPEEDDEF_"&amp;PROPERTIES[[#This Row],[LOADINGSPEED]],LOADINGSPEEDDEF[TYPE],LOADINGSPEEDDEF[SPEED])</f>
        <v>40</v>
      </c>
      <c r="L468" t="s">
        <v>21</v>
      </c>
      <c r="M468">
        <v>1</v>
      </c>
      <c r="N468">
        <v>368</v>
      </c>
      <c r="O468">
        <v>120</v>
      </c>
      <c r="P468" s="2">
        <v>0.18</v>
      </c>
      <c r="Q468" s="6">
        <v>25</v>
      </c>
      <c r="R468" s="10">
        <v>55</v>
      </c>
      <c r="S468" s="10">
        <v>8</v>
      </c>
      <c r="T468" s="10"/>
      <c r="U468" t="str">
        <f>"RUNNING_COST_"&amp;IF(PROPERTIES[[#This Row],[ENGINE_CLASS]]="MAGLEV","ELECTRIC",PROPERTIES[[#This Row],[ENGINE_CLASS]])</f>
        <v>RUNNING_COST_DIESEL</v>
      </c>
      <c r="V468" s="10" t="s">
        <v>1006</v>
      </c>
      <c r="W468" s="10" t="s">
        <v>1007</v>
      </c>
      <c r="X468" s="10" t="str">
        <f>SUBSTITUTE(SUBSTITUTE(PROPERTIES[[#This Row],[PURCHASECOST_VALUE]], "PURCHASECOST_", ""), "_VALUE", "")</f>
        <v>DMU</v>
      </c>
      <c r="AP468"/>
      <c r="AQ468"/>
      <c r="AR468"/>
    </row>
    <row r="469" spans="1:44">
      <c r="A469" s="2" t="s">
        <v>495</v>
      </c>
      <c r="B469">
        <v>2001</v>
      </c>
      <c r="C469">
        <v>1</v>
      </c>
      <c r="D469" t="s">
        <v>35</v>
      </c>
      <c r="E469" t="s">
        <v>18</v>
      </c>
      <c r="F469">
        <v>73</v>
      </c>
      <c r="G469" s="10">
        <v>31</v>
      </c>
      <c r="H469">
        <v>8</v>
      </c>
      <c r="I469">
        <v>8</v>
      </c>
      <c r="J469" s="2" t="s">
        <v>24</v>
      </c>
      <c r="K469">
        <f>_xlfn.XLOOKUP("LOADINGSPEEDDEF_"&amp;PROPERTIES[[#This Row],[LOADINGSPEED]],LOADINGSPEEDDEF[TYPE],LOADINGSPEEDDEF[SPEED])</f>
        <v>40</v>
      </c>
      <c r="L469" t="s">
        <v>21</v>
      </c>
      <c r="M469">
        <v>1</v>
      </c>
      <c r="N469">
        <v>422</v>
      </c>
      <c r="O469">
        <v>120</v>
      </c>
      <c r="P469" s="2">
        <v>0.39</v>
      </c>
      <c r="Q469" s="6">
        <v>20</v>
      </c>
      <c r="R469" s="10">
        <v>73</v>
      </c>
      <c r="S469" s="10">
        <v>8</v>
      </c>
      <c r="T469" s="10"/>
      <c r="U469" t="str">
        <f>"RUNNING_COST_"&amp;IF(PROPERTIES[[#This Row],[ENGINE_CLASS]]="MAGLEV","ELECTRIC",PROPERTIES[[#This Row],[ENGINE_CLASS]])</f>
        <v>RUNNING_COST_DIESEL</v>
      </c>
      <c r="V469" s="10" t="s">
        <v>1006</v>
      </c>
      <c r="W469" s="10" t="s">
        <v>1007</v>
      </c>
      <c r="X469" s="10" t="str">
        <f>SUBSTITUTE(SUBSTITUTE(PROPERTIES[[#This Row],[PURCHASECOST_VALUE]], "PURCHASECOST_", ""), "_VALUE", "")</f>
        <v>DMU</v>
      </c>
      <c r="AP469"/>
      <c r="AQ469"/>
      <c r="AR469"/>
    </row>
    <row r="470" spans="1:44">
      <c r="A470" s="2" t="s">
        <v>496</v>
      </c>
      <c r="B470">
        <v>2001</v>
      </c>
      <c r="C470">
        <v>1</v>
      </c>
      <c r="D470" t="s">
        <v>35</v>
      </c>
      <c r="E470" t="s">
        <v>18</v>
      </c>
      <c r="F470">
        <v>55</v>
      </c>
      <c r="G470" s="10">
        <v>29</v>
      </c>
      <c r="H470">
        <v>8</v>
      </c>
      <c r="I470">
        <v>8</v>
      </c>
      <c r="J470" s="2" t="s">
        <v>24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>
        <v>410</v>
      </c>
      <c r="O470">
        <v>140</v>
      </c>
      <c r="P470" s="2">
        <v>0.21</v>
      </c>
      <c r="Q470" s="6">
        <v>20</v>
      </c>
      <c r="R470" s="10">
        <v>55</v>
      </c>
      <c r="S470" s="10">
        <v>8</v>
      </c>
      <c r="T470" s="10"/>
      <c r="U470" t="str">
        <f>"RUNNING_COST_"&amp;IF(PROPERTIES[[#This Row],[ENGINE_CLASS]]="MAGLEV","ELECTRIC",PROPERTIES[[#This Row],[ENGINE_CLASS]])</f>
        <v>RUNNING_COST_DIESEL</v>
      </c>
      <c r="V470" s="10" t="s">
        <v>1006</v>
      </c>
      <c r="W470" s="10" t="s">
        <v>1007</v>
      </c>
      <c r="X470" s="10" t="str">
        <f>SUBSTITUTE(SUBSTITUTE(PROPERTIES[[#This Row],[PURCHASECOST_VALUE]], "PURCHASECOST_", ""), "_VALUE", "")</f>
        <v>DMU</v>
      </c>
      <c r="AP470"/>
      <c r="AQ470"/>
      <c r="AR470"/>
    </row>
    <row r="471" spans="1:44">
      <c r="A471" s="2" t="s">
        <v>497</v>
      </c>
      <c r="B471">
        <v>2004</v>
      </c>
      <c r="C471">
        <v>1</v>
      </c>
      <c r="D471" t="s">
        <v>35</v>
      </c>
      <c r="E471" t="s">
        <v>18</v>
      </c>
      <c r="F471">
        <v>68</v>
      </c>
      <c r="G471" s="10">
        <v>33</v>
      </c>
      <c r="H471">
        <v>8</v>
      </c>
      <c r="I471">
        <v>8</v>
      </c>
      <c r="J471" s="2" t="s">
        <v>479</v>
      </c>
      <c r="K471">
        <f>_xlfn.XLOOKUP("LOADINGSPEEDDEF_"&amp;PROPERTIES[[#This Row],[LOADINGSPEED]],LOADINGSPEEDDEF[TYPE],LOADINGSPEEDDEF[SPEED])</f>
        <v>16</v>
      </c>
      <c r="L471" t="s">
        <v>21</v>
      </c>
      <c r="M471">
        <v>1</v>
      </c>
      <c r="N471">
        <v>520</v>
      </c>
      <c r="O471">
        <v>200</v>
      </c>
      <c r="P471" s="2">
        <v>0.33</v>
      </c>
      <c r="Q471" s="6">
        <v>25</v>
      </c>
      <c r="R471" s="10">
        <v>68</v>
      </c>
      <c r="S471" s="10">
        <v>8</v>
      </c>
      <c r="T471" s="10"/>
      <c r="U471" t="str">
        <f>"RUNNING_COST_"&amp;IF(PROPERTIES[[#This Row],[ENGINE_CLASS]]="MAGLEV","ELECTRIC",PROPERTIES[[#This Row],[ENGINE_CLASS]])</f>
        <v>RUNNING_COST_DIESEL</v>
      </c>
      <c r="V471" s="10" t="s">
        <v>1006</v>
      </c>
      <c r="W471" s="10" t="s">
        <v>1007</v>
      </c>
      <c r="X471" s="10" t="str">
        <f>SUBSTITUTE(SUBSTITUTE(PROPERTIES[[#This Row],[PURCHASECOST_VALUE]], "PURCHASECOST_", ""), "_VALUE", "")</f>
        <v>DMU</v>
      </c>
      <c r="AP471"/>
      <c r="AQ471"/>
      <c r="AR471"/>
    </row>
    <row r="472" spans="1:44">
      <c r="A472" s="2" t="s">
        <v>498</v>
      </c>
      <c r="B472">
        <v>2006</v>
      </c>
      <c r="C472">
        <v>1</v>
      </c>
      <c r="D472" t="s">
        <v>35</v>
      </c>
      <c r="E472" t="s">
        <v>18</v>
      </c>
      <c r="F472">
        <v>70</v>
      </c>
      <c r="G472" s="10">
        <v>30</v>
      </c>
      <c r="H472">
        <v>8</v>
      </c>
      <c r="I472">
        <v>8</v>
      </c>
      <c r="J472" s="2" t="s">
        <v>24</v>
      </c>
      <c r="K472">
        <f>_xlfn.XLOOKUP("LOADINGSPEEDDEF_"&amp;PROPERTIES[[#This Row],[LOADINGSPEED]],LOADINGSPEEDDEF[TYPE],LOADINGSPEEDDEF[SPEED])</f>
        <v>40</v>
      </c>
      <c r="L472" t="s">
        <v>21</v>
      </c>
      <c r="M472">
        <v>1</v>
      </c>
      <c r="N472">
        <v>750</v>
      </c>
      <c r="O472">
        <v>160</v>
      </c>
      <c r="P472" s="2">
        <v>0.33</v>
      </c>
      <c r="Q472" s="6">
        <v>25</v>
      </c>
      <c r="R472" s="10">
        <v>70</v>
      </c>
      <c r="S472" s="10">
        <v>8</v>
      </c>
      <c r="T472" s="10"/>
      <c r="U472" t="str">
        <f>"RUNNING_COST_"&amp;IF(PROPERTIES[[#This Row],[ENGINE_CLASS]]="MAGLEV","ELECTRIC",PROPERTIES[[#This Row],[ENGINE_CLASS]])</f>
        <v>RUNNING_COST_DIESEL</v>
      </c>
      <c r="V472" s="10" t="s">
        <v>1006</v>
      </c>
      <c r="W472" s="10" t="s">
        <v>1007</v>
      </c>
      <c r="X472" s="10" t="str">
        <f>SUBSTITUTE(SUBSTITUTE(PROPERTIES[[#This Row],[PURCHASECOST_VALUE]], "PURCHASECOST_", ""), "_VALUE", "")</f>
        <v>DMU</v>
      </c>
      <c r="AP472"/>
      <c r="AQ472"/>
      <c r="AR472"/>
    </row>
    <row r="473" spans="1:44">
      <c r="A473" s="2" t="s">
        <v>499</v>
      </c>
      <c r="B473">
        <v>2006</v>
      </c>
      <c r="C473">
        <v>1</v>
      </c>
      <c r="D473" t="s">
        <v>35</v>
      </c>
      <c r="E473" t="s">
        <v>18</v>
      </c>
      <c r="F473">
        <v>74</v>
      </c>
      <c r="G473" s="10">
        <v>44</v>
      </c>
      <c r="H473">
        <v>8</v>
      </c>
      <c r="I473">
        <v>8</v>
      </c>
      <c r="J473" s="2" t="s">
        <v>24</v>
      </c>
      <c r="K473">
        <f>_xlfn.XLOOKUP("LOADINGSPEEDDEF_"&amp;PROPERTIES[[#This Row],[LOADINGSPEED]],LOADINGSPEEDDEF[TYPE],LOADINGSPEEDDEF[SPEED])</f>
        <v>40</v>
      </c>
      <c r="L473" t="s">
        <v>21</v>
      </c>
      <c r="M473">
        <v>1</v>
      </c>
      <c r="N473">
        <v>840</v>
      </c>
      <c r="O473">
        <v>100</v>
      </c>
      <c r="P473" s="2">
        <v>0.28000000000000003</v>
      </c>
      <c r="Q473" s="6">
        <v>25</v>
      </c>
      <c r="R473" s="10">
        <v>74</v>
      </c>
      <c r="S473" s="10">
        <v>8</v>
      </c>
      <c r="T473" s="10"/>
      <c r="U473" t="str">
        <f>"RUNNING_COST_"&amp;IF(PROPERTIES[[#This Row],[ENGINE_CLASS]]="MAGLEV","ELECTRIC",PROPERTIES[[#This Row],[ENGINE_CLASS]])</f>
        <v>RUNNING_COST_DIESEL</v>
      </c>
      <c r="V473" s="10" t="s">
        <v>1006</v>
      </c>
      <c r="W473" s="10" t="s">
        <v>1007</v>
      </c>
      <c r="X473" s="10" t="str">
        <f>SUBSTITUTE(SUBSTITUTE(PROPERTIES[[#This Row],[PURCHASECOST_VALUE]], "PURCHASECOST_", ""), "_VALUE", "")</f>
        <v>DMU</v>
      </c>
      <c r="AP473"/>
      <c r="AQ473"/>
      <c r="AR473"/>
    </row>
    <row r="474" spans="1:44">
      <c r="A474" s="2" t="s">
        <v>500</v>
      </c>
      <c r="B474">
        <v>2007</v>
      </c>
      <c r="C474">
        <v>1</v>
      </c>
      <c r="D474" t="s">
        <v>35</v>
      </c>
      <c r="E474" t="s">
        <v>18</v>
      </c>
      <c r="F474">
        <v>52</v>
      </c>
      <c r="G474" s="10">
        <v>36</v>
      </c>
      <c r="H474">
        <v>8</v>
      </c>
      <c r="I474">
        <v>8</v>
      </c>
      <c r="J474" s="2" t="s">
        <v>479</v>
      </c>
      <c r="K474">
        <f>_xlfn.XLOOKUP("LOADINGSPEEDDEF_"&amp;PROPERTIES[[#This Row],[LOADINGSPEED]],LOADINGSPEEDDEF[TYPE],LOADINGSPEEDDEF[SPEED])</f>
        <v>16</v>
      </c>
      <c r="L474" t="s">
        <v>21</v>
      </c>
      <c r="M474">
        <v>1</v>
      </c>
      <c r="N474">
        <v>750</v>
      </c>
      <c r="O474">
        <v>200</v>
      </c>
      <c r="P474" s="2">
        <v>0.62</v>
      </c>
      <c r="Q474" s="6">
        <v>25</v>
      </c>
      <c r="R474" s="10">
        <v>52</v>
      </c>
      <c r="S474" s="10">
        <v>8</v>
      </c>
      <c r="T474" s="10"/>
      <c r="U474" t="str">
        <f>"RUNNING_COST_"&amp;IF(PROPERTIES[[#This Row],[ENGINE_CLASS]]="MAGLEV","ELECTRIC",PROPERTIES[[#This Row],[ENGINE_CLASS]])</f>
        <v>RUNNING_COST_DIESEL</v>
      </c>
      <c r="V474" s="10" t="s">
        <v>1006</v>
      </c>
      <c r="W474" s="10" t="s">
        <v>1007</v>
      </c>
      <c r="X474" s="10" t="str">
        <f>SUBSTITUTE(SUBSTITUTE(PROPERTIES[[#This Row],[PURCHASECOST_VALUE]], "PURCHASECOST_", ""), "_VALUE", "")</f>
        <v>DMU</v>
      </c>
      <c r="AP474"/>
      <c r="AQ474"/>
      <c r="AR474"/>
    </row>
    <row r="475" spans="1:44">
      <c r="A475" s="2" t="s">
        <v>501</v>
      </c>
      <c r="B475">
        <v>2011</v>
      </c>
      <c r="C475">
        <v>1</v>
      </c>
      <c r="D475" t="s">
        <v>35</v>
      </c>
      <c r="E475" t="s">
        <v>18</v>
      </c>
      <c r="F475">
        <v>66</v>
      </c>
      <c r="G475" s="10">
        <v>38</v>
      </c>
      <c r="H475">
        <v>8</v>
      </c>
      <c r="I475">
        <v>8</v>
      </c>
      <c r="J475" s="2" t="s">
        <v>479</v>
      </c>
      <c r="K475">
        <f>_xlfn.XLOOKUP("LOADINGSPEEDDEF_"&amp;PROPERTIES[[#This Row],[LOADINGSPEED]],LOADINGSPEEDDEF[TYPE],LOADINGSPEEDDEF[SPEED])</f>
        <v>16</v>
      </c>
      <c r="L475" t="s">
        <v>21</v>
      </c>
      <c r="M475">
        <v>1</v>
      </c>
      <c r="N475">
        <v>1350</v>
      </c>
      <c r="O475">
        <v>160</v>
      </c>
      <c r="P475" s="2">
        <v>0.53</v>
      </c>
      <c r="Q475" s="6">
        <v>25</v>
      </c>
      <c r="R475" s="10">
        <v>66</v>
      </c>
      <c r="S475" s="10">
        <v>8</v>
      </c>
      <c r="T475" s="10"/>
      <c r="U475" t="str">
        <f>"RUNNING_COST_"&amp;IF(PROPERTIES[[#This Row],[ENGINE_CLASS]]="MAGLEV","ELECTRIC",PROPERTIES[[#This Row],[ENGINE_CLASS]])</f>
        <v>RUNNING_COST_DIESEL</v>
      </c>
      <c r="V475" s="10" t="s">
        <v>1006</v>
      </c>
      <c r="W475" s="10" t="s">
        <v>1007</v>
      </c>
      <c r="X475" s="10" t="str">
        <f>SUBSTITUTE(SUBSTITUTE(PROPERTIES[[#This Row],[PURCHASECOST_VALUE]], "PURCHASECOST_", ""), "_VALUE", "")</f>
        <v>DMU</v>
      </c>
      <c r="AP475"/>
      <c r="AQ475"/>
      <c r="AR475"/>
    </row>
    <row r="476" spans="1:44">
      <c r="A476" s="2" t="s">
        <v>502</v>
      </c>
      <c r="B476">
        <v>1961</v>
      </c>
      <c r="C476">
        <v>1</v>
      </c>
      <c r="D476" t="s">
        <v>35</v>
      </c>
      <c r="E476" t="s">
        <v>18</v>
      </c>
      <c r="F476">
        <v>76</v>
      </c>
      <c r="G476" s="10">
        <v>35</v>
      </c>
      <c r="H476">
        <v>8</v>
      </c>
      <c r="I476">
        <v>8</v>
      </c>
      <c r="J476" s="2" t="s">
        <v>24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>
        <v>390</v>
      </c>
      <c r="O476">
        <v>90</v>
      </c>
      <c r="P476" s="2">
        <v>0.23</v>
      </c>
      <c r="Q476" s="6">
        <v>20</v>
      </c>
      <c r="R476" s="10">
        <v>76</v>
      </c>
      <c r="S476" s="10">
        <v>8</v>
      </c>
      <c r="T476" s="10"/>
      <c r="U476" t="str">
        <f>"RUNNING_COST_"&amp;IF(PROPERTIES[[#This Row],[ENGINE_CLASS]]="MAGLEV","ELECTRIC",PROPERTIES[[#This Row],[ENGINE_CLASS]])</f>
        <v>RUNNING_COST_DIESEL</v>
      </c>
      <c r="V476" s="10" t="s">
        <v>1006</v>
      </c>
      <c r="W476" s="10" t="s">
        <v>1007</v>
      </c>
      <c r="X476" s="10" t="str">
        <f>SUBSTITUTE(SUBSTITUTE(PROPERTIES[[#This Row],[PURCHASECOST_VALUE]], "PURCHASECOST_", ""), "_VALUE", "")</f>
        <v>DMU</v>
      </c>
      <c r="AP476"/>
      <c r="AQ476"/>
      <c r="AR476"/>
    </row>
    <row r="477" spans="1:44">
      <c r="A477" s="2" t="s">
        <v>503</v>
      </c>
      <c r="B477">
        <v>1968</v>
      </c>
      <c r="C477">
        <v>1</v>
      </c>
      <c r="D477" t="s">
        <v>35</v>
      </c>
      <c r="E477" t="s">
        <v>18</v>
      </c>
      <c r="F477">
        <v>52</v>
      </c>
      <c r="G477" s="10">
        <v>44</v>
      </c>
      <c r="H477">
        <v>8</v>
      </c>
      <c r="I477">
        <v>8</v>
      </c>
      <c r="J477" s="2" t="s">
        <v>24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>
        <v>500</v>
      </c>
      <c r="O477">
        <v>120</v>
      </c>
      <c r="P477" s="2">
        <v>0.34</v>
      </c>
      <c r="Q477" s="6">
        <v>20</v>
      </c>
      <c r="R477" s="10">
        <v>52</v>
      </c>
      <c r="S477" s="10">
        <v>8</v>
      </c>
      <c r="T477" s="10"/>
      <c r="U477" t="str">
        <f>"RUNNING_COST_"&amp;IF(PROPERTIES[[#This Row],[ENGINE_CLASS]]="MAGLEV","ELECTRIC",PROPERTIES[[#This Row],[ENGINE_CLASS]])</f>
        <v>RUNNING_COST_DIESEL</v>
      </c>
      <c r="V477" s="10" t="s">
        <v>1006</v>
      </c>
      <c r="W477" s="10" t="s">
        <v>1007</v>
      </c>
      <c r="X477" s="10" t="str">
        <f>SUBSTITUTE(SUBSTITUTE(PROPERTIES[[#This Row],[PURCHASECOST_VALUE]], "PURCHASECOST_", ""), "_VALUE", "")</f>
        <v>DMU</v>
      </c>
      <c r="AP477"/>
      <c r="AQ477"/>
      <c r="AR477"/>
    </row>
    <row r="478" spans="1:44">
      <c r="A478" s="2" t="s">
        <v>504</v>
      </c>
      <c r="B478">
        <v>1973</v>
      </c>
      <c r="C478">
        <v>1</v>
      </c>
      <c r="D478" t="s">
        <v>35</v>
      </c>
      <c r="E478" t="s">
        <v>18</v>
      </c>
      <c r="F478">
        <v>42</v>
      </c>
      <c r="G478" s="10">
        <v>22</v>
      </c>
      <c r="H478">
        <v>6</v>
      </c>
      <c r="I478">
        <v>6</v>
      </c>
      <c r="J478" s="2" t="s">
        <v>24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>
        <v>325</v>
      </c>
      <c r="O478">
        <v>80</v>
      </c>
      <c r="P478" s="2">
        <v>0.25</v>
      </c>
      <c r="Q478" s="6">
        <v>20</v>
      </c>
      <c r="R478" s="10">
        <v>42</v>
      </c>
      <c r="S478" s="10">
        <v>6</v>
      </c>
      <c r="T478" s="10"/>
      <c r="U478" t="str">
        <f>"RUNNING_COST_"&amp;IF(PROPERTIES[[#This Row],[ENGINE_CLASS]]="MAGLEV","ELECTRIC",PROPERTIES[[#This Row],[ENGINE_CLASS]])</f>
        <v>RUNNING_COST_DIESEL</v>
      </c>
      <c r="V478" s="10" t="s">
        <v>1006</v>
      </c>
      <c r="W478" s="10" t="s">
        <v>1007</v>
      </c>
      <c r="X478" s="10" t="str">
        <f>SUBSTITUTE(SUBSTITUTE(PROPERTIES[[#This Row],[PURCHASECOST_VALUE]], "PURCHASECOST_", ""), "_VALUE", "")</f>
        <v>DMU</v>
      </c>
      <c r="AP478"/>
      <c r="AQ478"/>
      <c r="AR478"/>
    </row>
    <row r="479" spans="1:44">
      <c r="A479" s="2" t="s">
        <v>505</v>
      </c>
      <c r="B479">
        <v>1984</v>
      </c>
      <c r="C479">
        <v>1</v>
      </c>
      <c r="D479" t="s">
        <v>35</v>
      </c>
      <c r="E479" t="s">
        <v>18</v>
      </c>
      <c r="F479">
        <v>80</v>
      </c>
      <c r="G479" s="10">
        <v>36</v>
      </c>
      <c r="H479">
        <v>7</v>
      </c>
      <c r="I479">
        <v>7</v>
      </c>
      <c r="J479" s="2" t="s">
        <v>24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>
        <v>389</v>
      </c>
      <c r="O479">
        <v>121</v>
      </c>
      <c r="P479" s="2">
        <v>0.26</v>
      </c>
      <c r="Q479" s="6">
        <v>20</v>
      </c>
      <c r="R479" s="10">
        <v>80</v>
      </c>
      <c r="S479" s="10">
        <v>7</v>
      </c>
      <c r="T479" s="10"/>
      <c r="U479" t="str">
        <f>"RUNNING_COST_"&amp;IF(PROPERTIES[[#This Row],[ENGINE_CLASS]]="MAGLEV","ELECTRIC",PROPERTIES[[#This Row],[ENGINE_CLASS]])</f>
        <v>RUNNING_COST_DIESEL</v>
      </c>
      <c r="V479" s="10" t="s">
        <v>1006</v>
      </c>
      <c r="W479" s="10" t="s">
        <v>1007</v>
      </c>
      <c r="X479" s="10" t="str">
        <f>SUBSTITUTE(SUBSTITUTE(PROPERTIES[[#This Row],[PURCHASECOST_VALUE]], "PURCHASECOST_", ""), "_VALUE", "")</f>
        <v>DMU</v>
      </c>
      <c r="AP479"/>
      <c r="AQ479"/>
      <c r="AR479"/>
    </row>
    <row r="480" spans="1:44">
      <c r="A480" s="2" t="s">
        <v>506</v>
      </c>
      <c r="B480">
        <v>1984</v>
      </c>
      <c r="C480">
        <v>1</v>
      </c>
      <c r="D480" t="s">
        <v>35</v>
      </c>
      <c r="E480" t="s">
        <v>18</v>
      </c>
      <c r="F480">
        <v>47</v>
      </c>
      <c r="G480" s="10">
        <v>42</v>
      </c>
      <c r="H480">
        <v>6</v>
      </c>
      <c r="I480">
        <v>6</v>
      </c>
      <c r="J480" s="2" t="s">
        <v>24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>
        <v>204</v>
      </c>
      <c r="O480">
        <v>121</v>
      </c>
      <c r="P480" s="2">
        <v>0.21</v>
      </c>
      <c r="Q480" s="6">
        <v>20</v>
      </c>
      <c r="R480" s="10">
        <v>47</v>
      </c>
      <c r="S480" s="10">
        <v>6</v>
      </c>
      <c r="T480" s="10"/>
      <c r="U480" t="str">
        <f>"RUNNING_COST_"&amp;IF(PROPERTIES[[#This Row],[ENGINE_CLASS]]="MAGLEV","ELECTRIC",PROPERTIES[[#This Row],[ENGINE_CLASS]])</f>
        <v>RUNNING_COST_DIESEL</v>
      </c>
      <c r="V480" s="10" t="s">
        <v>1006</v>
      </c>
      <c r="W480" s="10" t="s">
        <v>1007</v>
      </c>
      <c r="X480" s="10" t="str">
        <f>SUBSTITUTE(SUBSTITUTE(PROPERTIES[[#This Row],[PURCHASECOST_VALUE]], "PURCHASECOST_", ""), "_VALUE", "")</f>
        <v>DMU</v>
      </c>
      <c r="AP480"/>
      <c r="AQ480"/>
      <c r="AR480"/>
    </row>
    <row r="481" spans="1:44">
      <c r="A481" s="2" t="s">
        <v>507</v>
      </c>
      <c r="B481">
        <v>1986</v>
      </c>
      <c r="C481">
        <v>1</v>
      </c>
      <c r="D481" t="s">
        <v>35</v>
      </c>
      <c r="E481" t="s">
        <v>18</v>
      </c>
      <c r="F481">
        <v>46</v>
      </c>
      <c r="G481" s="10">
        <v>34</v>
      </c>
      <c r="H481">
        <v>8</v>
      </c>
      <c r="I481">
        <v>8</v>
      </c>
      <c r="J481" s="2" t="s">
        <v>24</v>
      </c>
      <c r="K481">
        <f>_xlfn.XLOOKUP("LOADINGSPEEDDEF_"&amp;PROPERTIES[[#This Row],[LOADINGSPEED]],LOADINGSPEEDDEF[TYPE],LOADINGSPEEDDEF[SPEED])</f>
        <v>40</v>
      </c>
      <c r="L481">
        <v>45</v>
      </c>
      <c r="M481">
        <v>1</v>
      </c>
      <c r="N481">
        <v>540</v>
      </c>
      <c r="O481">
        <v>180</v>
      </c>
      <c r="P481" s="2">
        <v>0.31</v>
      </c>
      <c r="Q481" s="6">
        <v>20</v>
      </c>
      <c r="R481" s="10">
        <v>46</v>
      </c>
      <c r="S481" s="10">
        <v>8</v>
      </c>
      <c r="T481" s="10"/>
      <c r="U481" t="str">
        <f>"RUNNING_COST_"&amp;IF(PROPERTIES[[#This Row],[ENGINE_CLASS]]="MAGLEV","ELECTRIC",PROPERTIES[[#This Row],[ENGINE_CLASS]])</f>
        <v>RUNNING_COST_DIESEL</v>
      </c>
      <c r="V481" s="10" t="s">
        <v>1006</v>
      </c>
      <c r="W481" s="10" t="s">
        <v>1007</v>
      </c>
      <c r="X481" s="10" t="str">
        <f>SUBSTITUTE(SUBSTITUTE(PROPERTIES[[#This Row],[PURCHASECOST_VALUE]], "PURCHASECOST_", ""), "_VALUE", "")</f>
        <v>DMU</v>
      </c>
      <c r="AP481"/>
      <c r="AQ481"/>
      <c r="AR481"/>
    </row>
    <row r="482" spans="1:44">
      <c r="A482" s="2" t="s">
        <v>508</v>
      </c>
      <c r="B482">
        <v>1987</v>
      </c>
      <c r="C482">
        <v>1</v>
      </c>
      <c r="D482" t="s">
        <v>35</v>
      </c>
      <c r="E482" t="s">
        <v>18</v>
      </c>
      <c r="F482">
        <v>53</v>
      </c>
      <c r="G482" s="10">
        <v>48</v>
      </c>
      <c r="H482">
        <v>7</v>
      </c>
      <c r="I482">
        <v>7</v>
      </c>
      <c r="J482" s="2" t="s">
        <v>24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>
        <v>475</v>
      </c>
      <c r="O482">
        <v>90</v>
      </c>
      <c r="P482" s="2">
        <v>0.22</v>
      </c>
      <c r="Q482" s="6">
        <v>20</v>
      </c>
      <c r="R482" s="10">
        <v>53</v>
      </c>
      <c r="S482" s="10">
        <v>7</v>
      </c>
      <c r="T482" s="10"/>
      <c r="U482" t="str">
        <f>"RUNNING_COST_"&amp;IF(PROPERTIES[[#This Row],[ENGINE_CLASS]]="MAGLEV","ELECTRIC",PROPERTIES[[#This Row],[ENGINE_CLASS]])</f>
        <v>RUNNING_COST_DIESEL</v>
      </c>
      <c r="V482" s="10" t="s">
        <v>1006</v>
      </c>
      <c r="W482" s="10" t="s">
        <v>1007</v>
      </c>
      <c r="X482" s="10" t="str">
        <f>SUBSTITUTE(SUBSTITUTE(PROPERTIES[[#This Row],[PURCHASECOST_VALUE]], "PURCHASECOST_", ""), "_VALUE", "")</f>
        <v>DMU</v>
      </c>
      <c r="AP482"/>
      <c r="AQ482"/>
      <c r="AR482"/>
    </row>
    <row r="483" spans="1:44">
      <c r="A483" s="2" t="s">
        <v>509</v>
      </c>
      <c r="B483">
        <v>1993</v>
      </c>
      <c r="C483">
        <v>1</v>
      </c>
      <c r="D483" t="s">
        <v>35</v>
      </c>
      <c r="E483" t="s">
        <v>18</v>
      </c>
      <c r="F483">
        <v>66</v>
      </c>
      <c r="G483" s="10">
        <v>57</v>
      </c>
      <c r="H483">
        <v>8</v>
      </c>
      <c r="I483">
        <v>8</v>
      </c>
      <c r="J483" s="2" t="s">
        <v>24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>
        <v>514</v>
      </c>
      <c r="O483">
        <v>160</v>
      </c>
      <c r="P483" s="2">
        <v>0.13</v>
      </c>
      <c r="Q483" s="6">
        <v>20</v>
      </c>
      <c r="R483" s="10">
        <v>66</v>
      </c>
      <c r="S483" s="10">
        <v>8</v>
      </c>
      <c r="T483" s="10"/>
      <c r="U483" t="str">
        <f>"RUNNING_COST_"&amp;IF(PROPERTIES[[#This Row],[ENGINE_CLASS]]="MAGLEV","ELECTRIC",PROPERTIES[[#This Row],[ENGINE_CLASS]])</f>
        <v>RUNNING_COST_DIESEL</v>
      </c>
      <c r="V483" s="10" t="s">
        <v>1006</v>
      </c>
      <c r="W483" s="10" t="s">
        <v>1007</v>
      </c>
      <c r="X483" s="10" t="str">
        <f>SUBSTITUTE(SUBSTITUTE(PROPERTIES[[#This Row],[PURCHASECOST_VALUE]], "PURCHASECOST_", ""), "_VALUE", "")</f>
        <v>DMU</v>
      </c>
      <c r="AP483"/>
      <c r="AQ483"/>
      <c r="AR483"/>
    </row>
    <row r="484" spans="1:44">
      <c r="A484" s="2" t="s">
        <v>510</v>
      </c>
      <c r="B484">
        <v>2010</v>
      </c>
      <c r="C484">
        <v>1</v>
      </c>
      <c r="D484" t="s">
        <v>35</v>
      </c>
      <c r="E484" t="s">
        <v>18</v>
      </c>
      <c r="F484">
        <v>56</v>
      </c>
      <c r="G484" s="10">
        <v>49</v>
      </c>
      <c r="H484">
        <v>7</v>
      </c>
      <c r="I484">
        <v>7</v>
      </c>
      <c r="J484" s="2" t="s">
        <v>24</v>
      </c>
      <c r="K484">
        <f>_xlfn.XLOOKUP("LOADINGSPEEDDEF_"&amp;PROPERTIES[[#This Row],[LOADINGSPEED]],LOADINGSPEEDDEF[TYPE],LOADINGSPEEDDEF[SPEED])</f>
        <v>40</v>
      </c>
      <c r="L484" t="s">
        <v>21</v>
      </c>
      <c r="M484">
        <v>1</v>
      </c>
      <c r="N484">
        <v>900</v>
      </c>
      <c r="O484">
        <v>130</v>
      </c>
      <c r="P484" s="2">
        <v>0.21</v>
      </c>
      <c r="Q484" s="6">
        <v>20</v>
      </c>
      <c r="R484" s="10">
        <v>56</v>
      </c>
      <c r="S484" s="10">
        <v>7</v>
      </c>
      <c r="T484" s="10"/>
      <c r="U484" t="str">
        <f>"RUNNING_COST_"&amp;IF(PROPERTIES[[#This Row],[ENGINE_CLASS]]="MAGLEV","ELECTRIC",PROPERTIES[[#This Row],[ENGINE_CLASS]])</f>
        <v>RUNNING_COST_DIESEL</v>
      </c>
      <c r="V484" s="10" t="s">
        <v>1006</v>
      </c>
      <c r="W484" s="10" t="s">
        <v>1007</v>
      </c>
      <c r="X484" s="10" t="str">
        <f>SUBSTITUTE(SUBSTITUTE(PROPERTIES[[#This Row],[PURCHASECOST_VALUE]], "PURCHASECOST_", ""), "_VALUE", "")</f>
        <v>DMU</v>
      </c>
      <c r="AP484"/>
      <c r="AQ484"/>
      <c r="AR484"/>
    </row>
    <row r="485" spans="1:44">
      <c r="A485" s="2" t="s">
        <v>511</v>
      </c>
      <c r="B485">
        <v>2011</v>
      </c>
      <c r="C485">
        <v>1</v>
      </c>
      <c r="D485" t="s">
        <v>35</v>
      </c>
      <c r="E485" t="s">
        <v>18</v>
      </c>
      <c r="F485">
        <v>72</v>
      </c>
      <c r="G485" s="10">
        <v>20</v>
      </c>
      <c r="H485">
        <v>8</v>
      </c>
      <c r="I485">
        <v>8</v>
      </c>
      <c r="J485" s="2" t="s">
        <v>24</v>
      </c>
      <c r="K485">
        <f>_xlfn.XLOOKUP("LOADINGSPEEDDEF_"&amp;PROPERTIES[[#This Row],[LOADINGSPEED]],LOADINGSPEEDDEF[TYPE],LOADINGSPEEDDEF[SPEED])</f>
        <v>40</v>
      </c>
      <c r="L485" t="s">
        <v>21</v>
      </c>
      <c r="M485">
        <v>1</v>
      </c>
      <c r="N485">
        <v>680</v>
      </c>
      <c r="O485">
        <v>110</v>
      </c>
      <c r="P485" s="2">
        <v>0.57999999999999996</v>
      </c>
      <c r="Q485" s="6">
        <v>20</v>
      </c>
      <c r="R485" s="10">
        <v>72</v>
      </c>
      <c r="S485" s="10">
        <v>8</v>
      </c>
      <c r="T485" s="10"/>
      <c r="U485" t="str">
        <f>"RUNNING_COST_"&amp;IF(PROPERTIES[[#This Row],[ENGINE_CLASS]]="MAGLEV","ELECTRIC",PROPERTIES[[#This Row],[ENGINE_CLASS]])</f>
        <v>RUNNING_COST_DIESEL</v>
      </c>
      <c r="V485" s="10" t="s">
        <v>1006</v>
      </c>
      <c r="W485" s="10" t="s">
        <v>1007</v>
      </c>
      <c r="X485" s="10" t="str">
        <f>SUBSTITUTE(SUBSTITUTE(PROPERTIES[[#This Row],[PURCHASECOST_VALUE]], "PURCHASECOST_", ""), "_VALUE", "")</f>
        <v>DMU</v>
      </c>
      <c r="AP485"/>
      <c r="AQ485"/>
      <c r="AR485"/>
    </row>
    <row r="486" spans="1:44">
      <c r="A486" s="2" t="s">
        <v>512</v>
      </c>
      <c r="B486">
        <v>2011</v>
      </c>
      <c r="C486">
        <v>1</v>
      </c>
      <c r="D486" t="s">
        <v>35</v>
      </c>
      <c r="E486" t="s">
        <v>18</v>
      </c>
      <c r="F486">
        <v>60</v>
      </c>
      <c r="G486" s="10">
        <v>45</v>
      </c>
      <c r="H486">
        <v>8</v>
      </c>
      <c r="I486">
        <v>8</v>
      </c>
      <c r="J486" s="2" t="s">
        <v>24</v>
      </c>
      <c r="K486">
        <f>_xlfn.XLOOKUP("LOADINGSPEEDDEF_"&amp;PROPERTIES[[#This Row],[LOADINGSPEED]],LOADINGSPEEDDEF[TYPE],LOADINGSPEEDDEF[SPEED])</f>
        <v>40</v>
      </c>
      <c r="L486" t="s">
        <v>21</v>
      </c>
      <c r="M486">
        <v>1</v>
      </c>
      <c r="N486">
        <v>1580</v>
      </c>
      <c r="O486">
        <v>140</v>
      </c>
      <c r="P486" s="2">
        <v>0.34</v>
      </c>
      <c r="Q486" s="6">
        <v>20</v>
      </c>
      <c r="R486" s="10">
        <v>60</v>
      </c>
      <c r="S486" s="10">
        <v>7</v>
      </c>
      <c r="T486" s="10"/>
      <c r="U486" t="str">
        <f>"RUNNING_COST_"&amp;IF(PROPERTIES[[#This Row],[ENGINE_CLASS]]="MAGLEV","ELECTRIC",PROPERTIES[[#This Row],[ENGINE_CLASS]])</f>
        <v>RUNNING_COST_DIESEL</v>
      </c>
      <c r="V486" s="10" t="s">
        <v>1006</v>
      </c>
      <c r="W486" s="10" t="s">
        <v>1007</v>
      </c>
      <c r="X486" s="10" t="str">
        <f>SUBSTITUTE(SUBSTITUTE(PROPERTIES[[#This Row],[PURCHASECOST_VALUE]], "PURCHASECOST_", ""), "_VALUE", "")</f>
        <v>DMU</v>
      </c>
      <c r="AP486"/>
      <c r="AQ486"/>
      <c r="AR486"/>
    </row>
    <row r="487" spans="1:44">
      <c r="A487" s="2" t="s">
        <v>513</v>
      </c>
      <c r="B487">
        <v>1982</v>
      </c>
      <c r="C487">
        <v>1</v>
      </c>
      <c r="D487" t="s">
        <v>35</v>
      </c>
      <c r="E487" t="s">
        <v>18</v>
      </c>
      <c r="F487">
        <v>84</v>
      </c>
      <c r="G487" s="10">
        <v>68</v>
      </c>
      <c r="H487">
        <v>8</v>
      </c>
      <c r="I487">
        <v>8</v>
      </c>
      <c r="J487" s="2" t="s">
        <v>24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>
        <v>220</v>
      </c>
      <c r="O487">
        <v>120</v>
      </c>
      <c r="P487" s="2">
        <v>0.13</v>
      </c>
      <c r="Q487" s="6">
        <v>40</v>
      </c>
      <c r="R487" s="10">
        <v>84</v>
      </c>
      <c r="S487" s="10">
        <v>8</v>
      </c>
      <c r="T487" s="10"/>
      <c r="U487" t="str">
        <f>"RUNNING_COST_"&amp;IF(PROPERTIES[[#This Row],[ENGINE_CLASS]]="MAGLEV","ELECTRIC",PROPERTIES[[#This Row],[ENGINE_CLASS]])</f>
        <v>RUNNING_COST_DIESEL</v>
      </c>
      <c r="V487" s="10" t="s">
        <v>1006</v>
      </c>
      <c r="W487" s="10" t="s">
        <v>1007</v>
      </c>
      <c r="X487" s="10" t="str">
        <f>SUBSTITUTE(SUBSTITUTE(PROPERTIES[[#This Row],[PURCHASECOST_VALUE]], "PURCHASECOST_", ""), "_VALUE", "")</f>
        <v>DMU</v>
      </c>
      <c r="AP487"/>
      <c r="AQ487"/>
      <c r="AR487"/>
    </row>
    <row r="488" spans="1:44">
      <c r="A488" s="2" t="s">
        <v>514</v>
      </c>
      <c r="B488">
        <v>1976</v>
      </c>
      <c r="C488">
        <v>1</v>
      </c>
      <c r="D488" t="s">
        <v>35</v>
      </c>
      <c r="E488" t="s">
        <v>18</v>
      </c>
      <c r="F488">
        <v>62</v>
      </c>
      <c r="G488" s="10">
        <v>38</v>
      </c>
      <c r="H488">
        <v>8</v>
      </c>
      <c r="I488">
        <v>8</v>
      </c>
      <c r="J488" s="2" t="s">
        <v>24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>
        <v>400</v>
      </c>
      <c r="O488">
        <v>90</v>
      </c>
      <c r="P488" s="2">
        <v>0.22</v>
      </c>
      <c r="Q488" s="6">
        <v>40</v>
      </c>
      <c r="R488" s="10">
        <v>62</v>
      </c>
      <c r="S488" s="10">
        <v>8</v>
      </c>
      <c r="T488" s="10"/>
      <c r="U488" t="str">
        <f>"RUNNING_COST_"&amp;IF(PROPERTIES[[#This Row],[ENGINE_CLASS]]="MAGLEV","ELECTRIC",PROPERTIES[[#This Row],[ENGINE_CLASS]])</f>
        <v>RUNNING_COST_DIESEL</v>
      </c>
      <c r="V488" s="10" t="s">
        <v>1006</v>
      </c>
      <c r="W488" s="10" t="s">
        <v>1007</v>
      </c>
      <c r="X488" s="10" t="str">
        <f>SUBSTITUTE(SUBSTITUTE(PROPERTIES[[#This Row],[PURCHASECOST_VALUE]], "PURCHASECOST_", ""), "_VALUE", "")</f>
        <v>DMU</v>
      </c>
      <c r="AP488"/>
      <c r="AQ488"/>
      <c r="AR488"/>
    </row>
    <row r="489" spans="1:44">
      <c r="A489" s="2" t="s">
        <v>515</v>
      </c>
      <c r="B489">
        <v>1960</v>
      </c>
      <c r="C489">
        <v>1</v>
      </c>
      <c r="D489" t="s">
        <v>35</v>
      </c>
      <c r="E489" t="s">
        <v>18</v>
      </c>
      <c r="F489">
        <v>42</v>
      </c>
      <c r="G489" s="10">
        <v>50</v>
      </c>
      <c r="H489">
        <v>7</v>
      </c>
      <c r="I489">
        <v>7</v>
      </c>
      <c r="J489" s="2" t="s">
        <v>24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>
        <v>398</v>
      </c>
      <c r="O489">
        <v>145</v>
      </c>
      <c r="P489" s="2">
        <v>0.24</v>
      </c>
      <c r="Q489" s="6">
        <v>40</v>
      </c>
      <c r="R489" s="10">
        <v>42</v>
      </c>
      <c r="S489" s="10">
        <v>7</v>
      </c>
      <c r="T489" s="10"/>
      <c r="U489" t="str">
        <f>"RUNNING_COST_"&amp;IF(PROPERTIES[[#This Row],[ENGINE_CLASS]]="MAGLEV","ELECTRIC",PROPERTIES[[#This Row],[ENGINE_CLASS]])</f>
        <v>RUNNING_COST_DIESEL</v>
      </c>
      <c r="V489" s="10" t="s">
        <v>1006</v>
      </c>
      <c r="W489" s="10" t="s">
        <v>1007</v>
      </c>
      <c r="X489" s="10" t="str">
        <f>SUBSTITUTE(SUBSTITUTE(PROPERTIES[[#This Row],[PURCHASECOST_VALUE]], "PURCHASECOST_", ""), "_VALUE", "")</f>
        <v>DMU</v>
      </c>
      <c r="AP489"/>
      <c r="AQ489"/>
      <c r="AR489"/>
    </row>
    <row r="490" spans="1:44">
      <c r="A490" s="2" t="s">
        <v>516</v>
      </c>
      <c r="B490">
        <v>1967</v>
      </c>
      <c r="C490">
        <v>1</v>
      </c>
      <c r="D490" t="s">
        <v>35</v>
      </c>
      <c r="E490" t="s">
        <v>18</v>
      </c>
      <c r="F490">
        <v>56</v>
      </c>
      <c r="G490" s="10">
        <v>33</v>
      </c>
      <c r="H490">
        <v>8</v>
      </c>
      <c r="I490">
        <v>8</v>
      </c>
      <c r="J490" s="2" t="s">
        <v>24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>
        <v>416</v>
      </c>
      <c r="O490">
        <v>90</v>
      </c>
      <c r="P490" s="2">
        <v>0.44</v>
      </c>
      <c r="Q490" s="6">
        <v>40</v>
      </c>
      <c r="R490" s="10">
        <v>56</v>
      </c>
      <c r="S490" s="10">
        <v>7</v>
      </c>
      <c r="T490" s="10"/>
      <c r="U490" t="str">
        <f>"RUNNING_COST_"&amp;IF(PROPERTIES[[#This Row],[ENGINE_CLASS]]="MAGLEV","ELECTRIC",PROPERTIES[[#This Row],[ENGINE_CLASS]])</f>
        <v>RUNNING_COST_DIESEL</v>
      </c>
      <c r="V490" s="10" t="s">
        <v>1006</v>
      </c>
      <c r="W490" s="10" t="s">
        <v>1007</v>
      </c>
      <c r="X490" s="10" t="str">
        <f>SUBSTITUTE(SUBSTITUTE(PROPERTIES[[#This Row],[PURCHASECOST_VALUE]], "PURCHASECOST_", ""), "_VALUE", "")</f>
        <v>DMU</v>
      </c>
      <c r="AP490"/>
      <c r="AQ490"/>
      <c r="AR490"/>
    </row>
    <row r="491" spans="1:44">
      <c r="A491" s="2" t="s">
        <v>517</v>
      </c>
      <c r="B491">
        <v>1971</v>
      </c>
      <c r="C491">
        <v>1</v>
      </c>
      <c r="D491" t="s">
        <v>35</v>
      </c>
      <c r="E491" t="s">
        <v>18</v>
      </c>
      <c r="F491">
        <v>72</v>
      </c>
      <c r="G491" s="10">
        <v>62</v>
      </c>
      <c r="H491">
        <v>8</v>
      </c>
      <c r="I491">
        <v>8</v>
      </c>
      <c r="J491" s="2" t="s">
        <v>24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>
        <v>396</v>
      </c>
      <c r="O491">
        <v>120</v>
      </c>
      <c r="P491" s="2">
        <v>0.2</v>
      </c>
      <c r="Q491" s="6">
        <v>40</v>
      </c>
      <c r="R491" s="10">
        <v>72</v>
      </c>
      <c r="S491" s="10">
        <v>8</v>
      </c>
      <c r="T491" s="10"/>
      <c r="U491" t="str">
        <f>"RUNNING_COST_"&amp;IF(PROPERTIES[[#This Row],[ENGINE_CLASS]]="MAGLEV","ELECTRIC",PROPERTIES[[#This Row],[ENGINE_CLASS]])</f>
        <v>RUNNING_COST_DIESEL</v>
      </c>
      <c r="V491" s="10" t="s">
        <v>1006</v>
      </c>
      <c r="W491" s="10" t="s">
        <v>1007</v>
      </c>
      <c r="X491" s="10" t="str">
        <f>SUBSTITUTE(SUBSTITUTE(PROPERTIES[[#This Row],[PURCHASECOST_VALUE]], "PURCHASECOST_", ""), "_VALUE", "")</f>
        <v>DMU</v>
      </c>
      <c r="AP491"/>
      <c r="AQ491"/>
      <c r="AR491"/>
    </row>
    <row r="492" spans="1:44">
      <c r="A492" s="2" t="s">
        <v>518</v>
      </c>
      <c r="B492">
        <v>1972</v>
      </c>
      <c r="C492">
        <v>1</v>
      </c>
      <c r="D492" t="s">
        <v>35</v>
      </c>
      <c r="E492" t="s">
        <v>18</v>
      </c>
      <c r="F492">
        <v>60</v>
      </c>
      <c r="G492" s="10">
        <v>49</v>
      </c>
      <c r="H492">
        <v>8</v>
      </c>
      <c r="I492">
        <v>8</v>
      </c>
      <c r="J492" s="2" t="s">
        <v>24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>
        <v>1036</v>
      </c>
      <c r="O492">
        <v>160</v>
      </c>
      <c r="P492" s="2">
        <v>0.38</v>
      </c>
      <c r="Q492" s="6">
        <v>40</v>
      </c>
      <c r="R492" s="10">
        <v>60</v>
      </c>
      <c r="S492" s="10">
        <v>8</v>
      </c>
      <c r="T492" s="10"/>
      <c r="U492" t="str">
        <f>"RUNNING_COST_"&amp;IF(PROPERTIES[[#This Row],[ENGINE_CLASS]]="MAGLEV","ELECTRIC",PROPERTIES[[#This Row],[ENGINE_CLASS]])</f>
        <v>RUNNING_COST_DIESEL</v>
      </c>
      <c r="V492" s="10" t="s">
        <v>1006</v>
      </c>
      <c r="W492" s="10" t="s">
        <v>1007</v>
      </c>
      <c r="X492" s="10" t="str">
        <f>SUBSTITUTE(SUBSTITUTE(PROPERTIES[[#This Row],[PURCHASECOST_VALUE]], "PURCHASECOST_", ""), "_VALUE", "")</f>
        <v>DMU</v>
      </c>
      <c r="AP492"/>
      <c r="AQ492"/>
      <c r="AR492"/>
    </row>
    <row r="493" spans="1:44">
      <c r="A493" s="2" t="s">
        <v>519</v>
      </c>
      <c r="B493">
        <v>1981</v>
      </c>
      <c r="C493">
        <v>1</v>
      </c>
      <c r="D493" t="s">
        <v>35</v>
      </c>
      <c r="E493" t="s">
        <v>18</v>
      </c>
      <c r="F493">
        <v>80</v>
      </c>
      <c r="G493" s="10">
        <v>34</v>
      </c>
      <c r="H493">
        <v>8</v>
      </c>
      <c r="I493">
        <v>8</v>
      </c>
      <c r="J493" s="2" t="s">
        <v>24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>
        <v>562</v>
      </c>
      <c r="O493">
        <v>101</v>
      </c>
      <c r="P493" s="2">
        <v>0.3</v>
      </c>
      <c r="Q493" s="6">
        <v>40</v>
      </c>
      <c r="R493" s="10">
        <v>80</v>
      </c>
      <c r="S493" s="10">
        <v>8</v>
      </c>
      <c r="T493" s="10"/>
      <c r="U493" t="str">
        <f>"RUNNING_COST_"&amp;IF(PROPERTIES[[#This Row],[ENGINE_CLASS]]="MAGLEV","ELECTRIC",PROPERTIES[[#This Row],[ENGINE_CLASS]])</f>
        <v>RUNNING_COST_DIESEL</v>
      </c>
      <c r="V493" s="10" t="s">
        <v>1006</v>
      </c>
      <c r="W493" s="10" t="s">
        <v>1007</v>
      </c>
      <c r="X493" s="10" t="str">
        <f>SUBSTITUTE(SUBSTITUTE(PROPERTIES[[#This Row],[PURCHASECOST_VALUE]], "PURCHASECOST_", ""), "_VALUE", "")</f>
        <v>DMU</v>
      </c>
      <c r="AP493"/>
      <c r="AQ493"/>
      <c r="AR493"/>
    </row>
    <row r="494" spans="1:44">
      <c r="A494" s="2" t="s">
        <v>520</v>
      </c>
      <c r="B494">
        <v>1986</v>
      </c>
      <c r="C494">
        <v>1</v>
      </c>
      <c r="D494" t="s">
        <v>35</v>
      </c>
      <c r="E494" t="s">
        <v>18</v>
      </c>
      <c r="F494">
        <v>74</v>
      </c>
      <c r="G494" s="10">
        <v>42</v>
      </c>
      <c r="H494">
        <v>8</v>
      </c>
      <c r="I494">
        <v>8</v>
      </c>
      <c r="J494" s="2" t="s">
        <v>24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>
        <v>570</v>
      </c>
      <c r="O494">
        <v>120</v>
      </c>
      <c r="P494" s="2">
        <v>0.27</v>
      </c>
      <c r="Q494" s="6">
        <v>40</v>
      </c>
      <c r="R494" s="10">
        <v>74</v>
      </c>
      <c r="S494" s="10">
        <v>8</v>
      </c>
      <c r="T494" s="10"/>
      <c r="U494" t="str">
        <f>"RUNNING_COST_"&amp;IF(PROPERTIES[[#This Row],[ENGINE_CLASS]]="MAGLEV","ELECTRIC",PROPERTIES[[#This Row],[ENGINE_CLASS]])</f>
        <v>RUNNING_COST_DIESEL</v>
      </c>
      <c r="V494" s="10" t="s">
        <v>1006</v>
      </c>
      <c r="W494" s="10" t="s">
        <v>1007</v>
      </c>
      <c r="X494" s="10" t="str">
        <f>SUBSTITUTE(SUBSTITUTE(PROPERTIES[[#This Row],[PURCHASECOST_VALUE]], "PURCHASECOST_", ""), "_VALUE", "")</f>
        <v>DMU</v>
      </c>
      <c r="AP494"/>
      <c r="AQ494"/>
      <c r="AR494"/>
    </row>
    <row r="495" spans="1:44">
      <c r="A495" s="2" t="s">
        <v>521</v>
      </c>
      <c r="B495">
        <v>2007</v>
      </c>
      <c r="C495">
        <v>1</v>
      </c>
      <c r="D495" t="s">
        <v>35</v>
      </c>
      <c r="E495" t="s">
        <v>18</v>
      </c>
      <c r="F495">
        <v>66</v>
      </c>
      <c r="G495" s="10">
        <v>53</v>
      </c>
      <c r="H495">
        <v>8</v>
      </c>
      <c r="I495">
        <v>8</v>
      </c>
      <c r="J495" s="2" t="s">
        <v>24</v>
      </c>
      <c r="K495">
        <f>_xlfn.XLOOKUP("LOADINGSPEEDDEF_"&amp;PROPERTIES[[#This Row],[LOADINGSPEED]],LOADINGSPEEDDEF[TYPE],LOADINGSPEEDDEF[SPEED])</f>
        <v>40</v>
      </c>
      <c r="L495" t="s">
        <v>21</v>
      </c>
      <c r="M495">
        <v>1</v>
      </c>
      <c r="N495">
        <v>1810</v>
      </c>
      <c r="O495">
        <v>160</v>
      </c>
      <c r="P495" s="2">
        <v>0.37</v>
      </c>
      <c r="Q495" s="6">
        <v>40</v>
      </c>
      <c r="R495" s="10">
        <v>66</v>
      </c>
      <c r="S495" s="10">
        <v>8</v>
      </c>
      <c r="T495" s="10"/>
      <c r="U495" t="str">
        <f>"RUNNING_COST_"&amp;IF(PROPERTIES[[#This Row],[ENGINE_CLASS]]="MAGLEV","ELECTRIC",PROPERTIES[[#This Row],[ENGINE_CLASS]])</f>
        <v>RUNNING_COST_DIESEL</v>
      </c>
      <c r="V495" s="10" t="s">
        <v>1006</v>
      </c>
      <c r="W495" s="10" t="s">
        <v>1007</v>
      </c>
      <c r="X495" s="10" t="str">
        <f>SUBSTITUTE(SUBSTITUTE(PROPERTIES[[#This Row],[PURCHASECOST_VALUE]], "PURCHASECOST_", ""), "_VALUE", "")</f>
        <v>DMU</v>
      </c>
      <c r="AP495"/>
      <c r="AQ495"/>
      <c r="AR495"/>
    </row>
    <row r="496" spans="1:44">
      <c r="A496" s="2" t="s">
        <v>522</v>
      </c>
      <c r="B496">
        <v>2008</v>
      </c>
      <c r="C496">
        <v>1</v>
      </c>
      <c r="D496" t="s">
        <v>35</v>
      </c>
      <c r="E496" t="s">
        <v>18</v>
      </c>
      <c r="F496">
        <v>55</v>
      </c>
      <c r="G496" s="10">
        <v>35</v>
      </c>
      <c r="H496">
        <v>8</v>
      </c>
      <c r="I496">
        <v>8</v>
      </c>
      <c r="J496" s="2" t="s">
        <v>24</v>
      </c>
      <c r="K496">
        <f>_xlfn.XLOOKUP("LOADINGSPEEDDEF_"&amp;PROPERTIES[[#This Row],[LOADINGSPEED]],LOADINGSPEEDDEF[TYPE],LOADINGSPEEDDEF[SPEED])</f>
        <v>40</v>
      </c>
      <c r="L496" t="s">
        <v>21</v>
      </c>
      <c r="M496">
        <v>1</v>
      </c>
      <c r="N496">
        <v>1232</v>
      </c>
      <c r="O496">
        <v>130</v>
      </c>
      <c r="P496" s="2">
        <v>0.52</v>
      </c>
      <c r="Q496" s="6">
        <v>40</v>
      </c>
      <c r="R496" s="10">
        <v>55</v>
      </c>
      <c r="S496" s="10">
        <v>8</v>
      </c>
      <c r="T496" s="10"/>
      <c r="U496" t="str">
        <f>"RUNNING_COST_"&amp;IF(PROPERTIES[[#This Row],[ENGINE_CLASS]]="MAGLEV","ELECTRIC",PROPERTIES[[#This Row],[ENGINE_CLASS]])</f>
        <v>RUNNING_COST_DIESEL</v>
      </c>
      <c r="V496" s="10" t="s">
        <v>1006</v>
      </c>
      <c r="W496" s="10" t="s">
        <v>1007</v>
      </c>
      <c r="X496" s="10" t="str">
        <f>SUBSTITUTE(SUBSTITUTE(PROPERTIES[[#This Row],[PURCHASECOST_VALUE]], "PURCHASECOST_", ""), "_VALUE", "")</f>
        <v>DMU</v>
      </c>
      <c r="AP496"/>
      <c r="AQ496"/>
      <c r="AR496"/>
    </row>
    <row r="497" spans="1:44">
      <c r="A497" s="2" t="s">
        <v>523</v>
      </c>
      <c r="B497">
        <v>2009</v>
      </c>
      <c r="C497">
        <v>1</v>
      </c>
      <c r="D497" t="s">
        <v>35</v>
      </c>
      <c r="E497" t="s">
        <v>18</v>
      </c>
      <c r="F497">
        <v>102</v>
      </c>
      <c r="G497" s="10">
        <v>48</v>
      </c>
      <c r="H497">
        <v>7</v>
      </c>
      <c r="I497">
        <v>7</v>
      </c>
      <c r="J497" s="2" t="s">
        <v>24</v>
      </c>
      <c r="K497">
        <f>_xlfn.XLOOKUP("LOADINGSPEEDDEF_"&amp;PROPERTIES[[#This Row],[LOADINGSPEED]],LOADINGSPEEDDEF[TYPE],LOADINGSPEEDDEF[SPEED])</f>
        <v>40</v>
      </c>
      <c r="L497" t="s">
        <v>21</v>
      </c>
      <c r="M497">
        <v>1</v>
      </c>
      <c r="N497">
        <v>1656</v>
      </c>
      <c r="O497">
        <v>90</v>
      </c>
      <c r="P497" s="2">
        <v>0.3</v>
      </c>
      <c r="Q497" s="6">
        <v>40</v>
      </c>
      <c r="R497" s="10">
        <v>102</v>
      </c>
      <c r="S497" s="10">
        <v>7</v>
      </c>
      <c r="T497" s="10"/>
      <c r="U497" t="str">
        <f>"RUNNING_COST_"&amp;IF(PROPERTIES[[#This Row],[ENGINE_CLASS]]="MAGLEV","ELECTRIC",PROPERTIES[[#This Row],[ENGINE_CLASS]])</f>
        <v>RUNNING_COST_DIESEL</v>
      </c>
      <c r="V497" s="10" t="s">
        <v>1006</v>
      </c>
      <c r="W497" s="10" t="s">
        <v>1007</v>
      </c>
      <c r="X497" s="10" t="str">
        <f>SUBSTITUTE(SUBSTITUTE(PROPERTIES[[#This Row],[PURCHASECOST_VALUE]], "PURCHASECOST_", ""), "_VALUE", "")</f>
        <v>DMU</v>
      </c>
      <c r="AP497"/>
      <c r="AQ497"/>
      <c r="AR497"/>
    </row>
    <row r="498" spans="1:44">
      <c r="A498" s="2" t="s">
        <v>524</v>
      </c>
      <c r="B498">
        <v>2003</v>
      </c>
      <c r="C498">
        <v>1</v>
      </c>
      <c r="D498" t="s">
        <v>35</v>
      </c>
      <c r="E498" t="s">
        <v>18</v>
      </c>
      <c r="F498">
        <v>0</v>
      </c>
      <c r="G498" s="10">
        <v>60</v>
      </c>
      <c r="H498">
        <v>8</v>
      </c>
      <c r="I498">
        <v>8</v>
      </c>
      <c r="J498" s="2" t="s">
        <v>24</v>
      </c>
      <c r="K498">
        <f>_xlfn.XLOOKUP("LOADINGSPEEDDEF_"&amp;PROPERTIES[[#This Row],[LOADINGSPEED]],LOADINGSPEEDDEF[TYPE],LOADINGSPEEDDEF[SPEED])</f>
        <v>40</v>
      </c>
      <c r="L498" t="s">
        <v>21</v>
      </c>
      <c r="M498">
        <v>1</v>
      </c>
      <c r="N498">
        <v>7240</v>
      </c>
      <c r="O498">
        <v>160</v>
      </c>
      <c r="P498" s="2">
        <v>0.21</v>
      </c>
      <c r="Q498" s="6">
        <v>40</v>
      </c>
      <c r="R498" s="10">
        <v>56</v>
      </c>
      <c r="S498" s="10">
        <v>8</v>
      </c>
      <c r="T498" s="10"/>
      <c r="U498" t="str">
        <f>"RUNNING_COST_"&amp;IF(PROPERTIES[[#This Row],[ENGINE_CLASS]]="MAGLEV","ELECTRIC",PROPERTIES[[#This Row],[ENGINE_CLASS]])</f>
        <v>RUNNING_COST_DIESEL</v>
      </c>
      <c r="V498" s="10" t="s">
        <v>1006</v>
      </c>
      <c r="W498" s="10" t="s">
        <v>1007</v>
      </c>
      <c r="X498" s="10" t="str">
        <f>SUBSTITUTE(SUBSTITUTE(PROPERTIES[[#This Row],[PURCHASECOST_VALUE]], "PURCHASECOST_", ""), "_VALUE", "")</f>
        <v>DMU</v>
      </c>
      <c r="AP498"/>
      <c r="AQ498"/>
      <c r="AR498"/>
    </row>
    <row r="499" spans="1:44">
      <c r="A499" s="2" t="s">
        <v>525</v>
      </c>
      <c r="B499">
        <v>2013</v>
      </c>
      <c r="C499">
        <v>1</v>
      </c>
      <c r="D499" t="s">
        <v>35</v>
      </c>
      <c r="E499" t="s">
        <v>18</v>
      </c>
      <c r="F499">
        <v>80</v>
      </c>
      <c r="G499" s="10">
        <v>74</v>
      </c>
      <c r="H499">
        <v>8</v>
      </c>
      <c r="I499">
        <v>8</v>
      </c>
      <c r="J499" s="2" t="s">
        <v>24</v>
      </c>
      <c r="K499">
        <f>_xlfn.XLOOKUP("LOADINGSPEEDDEF_"&amp;PROPERTIES[[#This Row],[LOADINGSPEED]],LOADINGSPEEDDEF[TYPE],LOADINGSPEEDDEF[SPEED])</f>
        <v>40</v>
      </c>
      <c r="L499" t="s">
        <v>21</v>
      </c>
      <c r="M499">
        <v>1</v>
      </c>
      <c r="N499">
        <v>1520</v>
      </c>
      <c r="O499">
        <v>128</v>
      </c>
      <c r="P499" s="2">
        <v>0.28999999999999998</v>
      </c>
      <c r="Q499" s="6">
        <v>40</v>
      </c>
      <c r="R499" s="10">
        <v>80</v>
      </c>
      <c r="S499" s="10">
        <v>8</v>
      </c>
      <c r="T499" s="10"/>
      <c r="U499" t="str">
        <f>"RUNNING_COST_"&amp;IF(PROPERTIES[[#This Row],[ENGINE_CLASS]]="MAGLEV","ELECTRIC",PROPERTIES[[#This Row],[ENGINE_CLASS]])</f>
        <v>RUNNING_COST_DIESEL</v>
      </c>
      <c r="V499" s="10" t="s">
        <v>1006</v>
      </c>
      <c r="W499" s="10" t="s">
        <v>1007</v>
      </c>
      <c r="X499" s="10" t="str">
        <f>SUBSTITUTE(SUBSTITUTE(PROPERTIES[[#This Row],[PURCHASECOST_VALUE]], "PURCHASECOST_", ""), "_VALUE", "")</f>
        <v>DMU</v>
      </c>
      <c r="AP499"/>
      <c r="AQ499"/>
      <c r="AR499"/>
    </row>
    <row r="500" spans="1:44">
      <c r="A500" s="2" t="s">
        <v>526</v>
      </c>
      <c r="B500">
        <v>2015</v>
      </c>
      <c r="C500">
        <v>1</v>
      </c>
      <c r="D500" t="s">
        <v>35</v>
      </c>
      <c r="E500" t="s">
        <v>18</v>
      </c>
      <c r="F500">
        <v>88</v>
      </c>
      <c r="G500" s="10">
        <v>48</v>
      </c>
      <c r="H500">
        <v>8</v>
      </c>
      <c r="I500">
        <v>8</v>
      </c>
      <c r="J500" s="2" t="s">
        <v>24</v>
      </c>
      <c r="K500">
        <f>_xlfn.XLOOKUP("LOADINGSPEEDDEF_"&amp;PROPERTIES[[#This Row],[LOADINGSPEED]],LOADINGSPEEDDEF[TYPE],LOADINGSPEEDDEF[SPEED])</f>
        <v>40</v>
      </c>
      <c r="L500" t="s">
        <v>21</v>
      </c>
      <c r="M500">
        <v>1</v>
      </c>
      <c r="N500">
        <v>800</v>
      </c>
      <c r="O500">
        <v>160</v>
      </c>
      <c r="P500" s="2">
        <v>0.39</v>
      </c>
      <c r="Q500" s="6">
        <v>40</v>
      </c>
      <c r="R500" s="10">
        <v>88</v>
      </c>
      <c r="S500" s="10">
        <v>8</v>
      </c>
      <c r="T500" s="10"/>
      <c r="U500" t="str">
        <f>"RUNNING_COST_"&amp;IF(PROPERTIES[[#This Row],[ENGINE_CLASS]]="MAGLEV","ELECTRIC",PROPERTIES[[#This Row],[ENGINE_CLASS]])</f>
        <v>RUNNING_COST_DIESEL</v>
      </c>
      <c r="V500" s="10" t="s">
        <v>1006</v>
      </c>
      <c r="W500" s="10" t="s">
        <v>1007</v>
      </c>
      <c r="X500" s="10" t="str">
        <f>SUBSTITUTE(SUBSTITUTE(PROPERTIES[[#This Row],[PURCHASECOST_VALUE]], "PURCHASECOST_", ""), "_VALUE", "")</f>
        <v>DMU</v>
      </c>
      <c r="AP500"/>
      <c r="AQ500"/>
      <c r="AR500"/>
    </row>
    <row r="501" spans="1:44">
      <c r="A501" s="2" t="s">
        <v>527</v>
      </c>
      <c r="B501">
        <v>1955</v>
      </c>
      <c r="C501">
        <v>1</v>
      </c>
      <c r="D501" t="s">
        <v>35</v>
      </c>
      <c r="E501" t="s">
        <v>18</v>
      </c>
      <c r="F501">
        <v>48</v>
      </c>
      <c r="G501" s="10">
        <v>52</v>
      </c>
      <c r="H501">
        <v>8</v>
      </c>
      <c r="I501">
        <v>8</v>
      </c>
      <c r="J501" s="2" t="s">
        <v>24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>
        <v>980</v>
      </c>
      <c r="O501">
        <v>140</v>
      </c>
      <c r="P501" s="2">
        <v>0.13</v>
      </c>
      <c r="Q501" s="6">
        <v>40</v>
      </c>
      <c r="R501" s="10">
        <v>48</v>
      </c>
      <c r="S501" s="10">
        <v>8</v>
      </c>
      <c r="T501" s="10"/>
      <c r="U501" t="str">
        <f>"RUNNING_COST_"&amp;IF(PROPERTIES[[#This Row],[ENGINE_CLASS]]="MAGLEV","ELECTRIC",PROPERTIES[[#This Row],[ENGINE_CLASS]])</f>
        <v>RUNNING_COST_DIESEL</v>
      </c>
      <c r="V501" s="10" t="s">
        <v>1006</v>
      </c>
      <c r="W501" s="10" t="s">
        <v>1007</v>
      </c>
      <c r="X501" s="10" t="str">
        <f>SUBSTITUTE(SUBSTITUTE(PROPERTIES[[#This Row],[PURCHASECOST_VALUE]], "PURCHASECOST_", ""), "_VALUE", "")</f>
        <v>DMU</v>
      </c>
      <c r="AP501"/>
      <c r="AQ501"/>
      <c r="AR501"/>
    </row>
    <row r="502" spans="1:44">
      <c r="A502" s="2" t="s">
        <v>528</v>
      </c>
      <c r="B502">
        <v>1965</v>
      </c>
      <c r="C502">
        <v>1</v>
      </c>
      <c r="D502" t="s">
        <v>35</v>
      </c>
      <c r="E502" t="s">
        <v>18</v>
      </c>
      <c r="F502">
        <v>82</v>
      </c>
      <c r="G502" s="10">
        <v>49</v>
      </c>
      <c r="H502">
        <v>8</v>
      </c>
      <c r="I502">
        <v>8</v>
      </c>
      <c r="J502" s="2" t="s">
        <v>24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>
        <v>1320</v>
      </c>
      <c r="O502">
        <v>120</v>
      </c>
      <c r="P502" s="2">
        <v>0.13</v>
      </c>
      <c r="Q502" s="6">
        <v>40</v>
      </c>
      <c r="R502" s="10">
        <v>82</v>
      </c>
      <c r="S502" s="10">
        <v>8</v>
      </c>
      <c r="T502" s="10"/>
      <c r="U502" t="str">
        <f>"RUNNING_COST_"&amp;IF(PROPERTIES[[#This Row],[ENGINE_CLASS]]="MAGLEV","ELECTRIC",PROPERTIES[[#This Row],[ENGINE_CLASS]])</f>
        <v>RUNNING_COST_DIESEL</v>
      </c>
      <c r="V502" s="10" t="s">
        <v>1006</v>
      </c>
      <c r="W502" s="10" t="s">
        <v>1007</v>
      </c>
      <c r="X502" s="10" t="str">
        <f>SUBSTITUTE(SUBSTITUTE(PROPERTIES[[#This Row],[PURCHASECOST_VALUE]], "PURCHASECOST_", ""), "_VALUE", "")</f>
        <v>DMU</v>
      </c>
      <c r="AP502"/>
      <c r="AQ502"/>
      <c r="AR502"/>
    </row>
    <row r="503" spans="1:44">
      <c r="A503" s="2" t="s">
        <v>529</v>
      </c>
      <c r="B503">
        <v>1979</v>
      </c>
      <c r="C503">
        <v>1</v>
      </c>
      <c r="D503" t="s">
        <v>35</v>
      </c>
      <c r="E503" t="s">
        <v>18</v>
      </c>
      <c r="F503">
        <v>116</v>
      </c>
      <c r="G503" s="10">
        <v>53</v>
      </c>
      <c r="H503">
        <v>8</v>
      </c>
      <c r="I503">
        <v>8</v>
      </c>
      <c r="J503" s="2" t="s">
        <v>24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>
        <v>1650</v>
      </c>
      <c r="O503">
        <v>120</v>
      </c>
      <c r="P503" s="2">
        <v>0.21</v>
      </c>
      <c r="Q503" s="6">
        <v>40</v>
      </c>
      <c r="R503" s="10">
        <v>116</v>
      </c>
      <c r="S503" s="10">
        <v>8</v>
      </c>
      <c r="T503" s="10"/>
      <c r="U503" t="str">
        <f>"RUNNING_COST_"&amp;IF(PROPERTIES[[#This Row],[ENGINE_CLASS]]="MAGLEV","ELECTRIC",PROPERTIES[[#This Row],[ENGINE_CLASS]])</f>
        <v>RUNNING_COST_DIESEL</v>
      </c>
      <c r="V503" s="10" t="s">
        <v>1006</v>
      </c>
      <c r="W503" s="10" t="s">
        <v>1007</v>
      </c>
      <c r="X503" s="10" t="str">
        <f>SUBSTITUTE(SUBSTITUTE(PROPERTIES[[#This Row],[PURCHASECOST_VALUE]], "PURCHASECOST_", ""), "_VALUE", "")</f>
        <v>DMU</v>
      </c>
      <c r="AP503"/>
      <c r="AQ503"/>
      <c r="AR503"/>
    </row>
    <row r="504" spans="1:44">
      <c r="A504" s="2" t="s">
        <v>530</v>
      </c>
      <c r="B504">
        <v>1983</v>
      </c>
      <c r="C504">
        <v>1</v>
      </c>
      <c r="D504" t="s">
        <v>35</v>
      </c>
      <c r="E504" t="s">
        <v>18</v>
      </c>
      <c r="F504">
        <v>50</v>
      </c>
      <c r="G504" s="10">
        <v>44</v>
      </c>
      <c r="H504">
        <v>7</v>
      </c>
      <c r="I504">
        <v>7</v>
      </c>
      <c r="J504" s="2" t="s">
        <v>24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>
        <v>720</v>
      </c>
      <c r="O504">
        <v>100</v>
      </c>
      <c r="P504" s="2">
        <v>0.2</v>
      </c>
      <c r="Q504" s="6">
        <v>40</v>
      </c>
      <c r="R504" s="10">
        <v>50</v>
      </c>
      <c r="S504" s="10">
        <v>7</v>
      </c>
      <c r="T504" s="10"/>
      <c r="U504" t="str">
        <f>"RUNNING_COST_"&amp;IF(PROPERTIES[[#This Row],[ENGINE_CLASS]]="MAGLEV","ELECTRIC",PROPERTIES[[#This Row],[ENGINE_CLASS]])</f>
        <v>RUNNING_COST_DIESEL</v>
      </c>
      <c r="V504" s="10" t="s">
        <v>1006</v>
      </c>
      <c r="W504" s="10" t="s">
        <v>1007</v>
      </c>
      <c r="X504" s="10" t="str">
        <f>SUBSTITUTE(SUBSTITUTE(PROPERTIES[[#This Row],[PURCHASECOST_VALUE]], "PURCHASECOST_", ""), "_VALUE", "")</f>
        <v>DMU</v>
      </c>
      <c r="AP504"/>
      <c r="AQ504"/>
      <c r="AR504"/>
    </row>
    <row r="505" spans="1:44">
      <c r="A505" s="2" t="s">
        <v>531</v>
      </c>
      <c r="B505">
        <v>1996</v>
      </c>
      <c r="C505">
        <v>1</v>
      </c>
      <c r="D505" t="s">
        <v>35</v>
      </c>
      <c r="E505" t="s">
        <v>532</v>
      </c>
      <c r="F505">
        <v>40</v>
      </c>
      <c r="G505" s="10">
        <v>56</v>
      </c>
      <c r="H505">
        <v>8</v>
      </c>
      <c r="I505">
        <v>8</v>
      </c>
      <c r="J505" s="2" t="s">
        <v>33</v>
      </c>
      <c r="K505">
        <f>_xlfn.XLOOKUP("LOADINGSPEEDDEF_"&amp;PROPERTIES[[#This Row],[LOADINGSPEED]],LOADINGSPEEDDEF[TYPE],LOADINGSPEEDDEF[SPEED])</f>
        <v>20</v>
      </c>
      <c r="L505" t="s">
        <v>21</v>
      </c>
      <c r="M505">
        <v>0</v>
      </c>
      <c r="N505">
        <v>710</v>
      </c>
      <c r="O505">
        <v>140</v>
      </c>
      <c r="P505" s="2">
        <v>0.17</v>
      </c>
      <c r="Q505" s="6">
        <v>25</v>
      </c>
      <c r="R505" s="10">
        <v>40</v>
      </c>
      <c r="S505" s="10">
        <v>7</v>
      </c>
      <c r="T505" s="10"/>
      <c r="U505" t="str">
        <f>"RUNNING_COST_"&amp;IF(PROPERTIES[[#This Row],[ENGINE_CLASS]]="MAGLEV","ELECTRIC",PROPERTIES[[#This Row],[ENGINE_CLASS]])</f>
        <v>RUNNING_COST_DIESEL</v>
      </c>
      <c r="V505" s="10" t="s">
        <v>1006</v>
      </c>
      <c r="W505" s="10" t="s">
        <v>1007</v>
      </c>
      <c r="X505" s="10" t="str">
        <f>SUBSTITUTE(SUBSTITUTE(PROPERTIES[[#This Row],[PURCHASECOST_VALUE]], "PURCHASECOST_", ""), "_VALUE", "")</f>
        <v>DMU</v>
      </c>
      <c r="AP505"/>
      <c r="AQ505"/>
      <c r="AR505"/>
    </row>
    <row r="506" spans="1:44">
      <c r="A506" s="2" t="s">
        <v>533</v>
      </c>
      <c r="B506">
        <v>2011</v>
      </c>
      <c r="C506">
        <v>1</v>
      </c>
      <c r="D506" t="s">
        <v>74</v>
      </c>
      <c r="E506" t="s">
        <v>18</v>
      </c>
      <c r="F506">
        <v>110</v>
      </c>
      <c r="G506" s="10">
        <v>51</v>
      </c>
      <c r="H506">
        <v>8</v>
      </c>
      <c r="I506">
        <v>8</v>
      </c>
      <c r="J506" s="2" t="s">
        <v>24</v>
      </c>
      <c r="K506">
        <f>_xlfn.XLOOKUP("LOADINGSPEEDDEF_"&amp;PROPERTIES[[#This Row],[LOADINGSPEED]],LOADINGSPEEDDEF[TYPE],LOADINGSPEEDDEF[SPEED])</f>
        <v>40</v>
      </c>
      <c r="L506" t="s">
        <v>21</v>
      </c>
      <c r="M506">
        <v>1</v>
      </c>
      <c r="N506">
        <v>1120</v>
      </c>
      <c r="O506">
        <v>130</v>
      </c>
      <c r="P506" s="2">
        <v>0.25</v>
      </c>
      <c r="Q506" s="6">
        <v>25</v>
      </c>
      <c r="R506" s="10">
        <v>110</v>
      </c>
      <c r="S506" s="10">
        <v>8</v>
      </c>
      <c r="T506" s="10"/>
      <c r="U506" t="str">
        <f>"RUNNING_COST_"&amp;IF(PROPERTIES[[#This Row],[ENGINE_CLASS]]="MAGLEV","ELECTRIC",PROPERTIES[[#This Row],[ENGINE_CLASS]])</f>
        <v>RUNNING_COST_ELECTRIC</v>
      </c>
      <c r="V506" s="10" t="s">
        <v>1008</v>
      </c>
      <c r="W506" s="10" t="s">
        <v>1009</v>
      </c>
      <c r="X506" s="10" t="str">
        <f>SUBSTITUTE(SUBSTITUTE(PROPERTIES[[#This Row],[PURCHASECOST_VALUE]], "PURCHASECOST_", ""), "_VALUE", "")</f>
        <v>EMU</v>
      </c>
      <c r="AP506"/>
      <c r="AQ506"/>
      <c r="AR506"/>
    </row>
    <row r="507" spans="1:44">
      <c r="A507" s="2" t="s">
        <v>534</v>
      </c>
      <c r="B507">
        <v>1966</v>
      </c>
      <c r="C507">
        <v>1</v>
      </c>
      <c r="D507" t="s">
        <v>74</v>
      </c>
      <c r="E507" t="s">
        <v>18</v>
      </c>
      <c r="F507">
        <v>56</v>
      </c>
      <c r="G507" s="10">
        <v>45</v>
      </c>
      <c r="H507">
        <v>8</v>
      </c>
      <c r="I507">
        <v>8</v>
      </c>
      <c r="J507" s="2" t="s">
        <v>24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>
        <v>200</v>
      </c>
      <c r="O507">
        <v>100</v>
      </c>
      <c r="P507" s="2">
        <v>0.14000000000000001</v>
      </c>
      <c r="Q507" s="6">
        <v>25</v>
      </c>
      <c r="R507" s="10">
        <v>42</v>
      </c>
      <c r="S507" s="10">
        <v>8</v>
      </c>
      <c r="T507" s="10"/>
      <c r="U507" t="str">
        <f>"RUNNING_COST_"&amp;IF(PROPERTIES[[#This Row],[ENGINE_CLASS]]="MAGLEV","ELECTRIC",PROPERTIES[[#This Row],[ENGINE_CLASS]])</f>
        <v>RUNNING_COST_ELECTRIC</v>
      </c>
      <c r="V507" s="10" t="s">
        <v>1008</v>
      </c>
      <c r="W507" s="10" t="s">
        <v>1009</v>
      </c>
      <c r="X507" s="10" t="str">
        <f>SUBSTITUTE(SUBSTITUTE(PROPERTIES[[#This Row],[PURCHASECOST_VALUE]], "PURCHASECOST_", ""), "_VALUE", "")</f>
        <v>EMU</v>
      </c>
      <c r="AP507"/>
      <c r="AQ507"/>
      <c r="AR507"/>
    </row>
    <row r="508" spans="1:44">
      <c r="A508" s="2" t="s">
        <v>535</v>
      </c>
      <c r="B508">
        <v>1996</v>
      </c>
      <c r="C508">
        <v>1</v>
      </c>
      <c r="D508" t="s">
        <v>74</v>
      </c>
      <c r="E508" t="s">
        <v>18</v>
      </c>
      <c r="F508">
        <v>42</v>
      </c>
      <c r="G508" s="10">
        <v>16</v>
      </c>
      <c r="H508">
        <v>5</v>
      </c>
      <c r="I508">
        <v>5</v>
      </c>
      <c r="J508" s="2" t="s">
        <v>24</v>
      </c>
      <c r="K508">
        <f>_xlfn.XLOOKUP("LOADINGSPEEDDEF_"&amp;PROPERTIES[[#This Row],[LOADINGSPEED]],LOADINGSPEEDDEF[TYPE],LOADINGSPEEDDEF[SPEED])</f>
        <v>40</v>
      </c>
      <c r="L508" t="s">
        <v>21</v>
      </c>
      <c r="M508">
        <v>1</v>
      </c>
      <c r="N508">
        <v>290</v>
      </c>
      <c r="O508">
        <v>120</v>
      </c>
      <c r="P508" s="2">
        <v>0.47</v>
      </c>
      <c r="Q508" s="6">
        <v>25</v>
      </c>
      <c r="R508" s="10">
        <v>42</v>
      </c>
      <c r="S508" s="10">
        <v>5</v>
      </c>
      <c r="T508" s="10"/>
      <c r="U508" t="str">
        <f>"RUNNING_COST_"&amp;IF(PROPERTIES[[#This Row],[ENGINE_CLASS]]="MAGLEV","ELECTRIC",PROPERTIES[[#This Row],[ENGINE_CLASS]])</f>
        <v>RUNNING_COST_ELECTRIC</v>
      </c>
      <c r="V508" s="10" t="s">
        <v>1008</v>
      </c>
      <c r="W508" s="10" t="s">
        <v>1009</v>
      </c>
      <c r="X508" s="10" t="str">
        <f>SUBSTITUTE(SUBSTITUTE(PROPERTIES[[#This Row],[PURCHASECOST_VALUE]], "PURCHASECOST_", ""), "_VALUE", "")</f>
        <v>EMU</v>
      </c>
      <c r="AP508"/>
      <c r="AQ508"/>
      <c r="AR508"/>
    </row>
    <row r="509" spans="1:44">
      <c r="A509" s="2" t="s">
        <v>536</v>
      </c>
      <c r="B509">
        <v>1932</v>
      </c>
      <c r="C509">
        <v>1</v>
      </c>
      <c r="D509" t="s">
        <v>74</v>
      </c>
      <c r="E509" t="s">
        <v>18</v>
      </c>
      <c r="F509">
        <v>34</v>
      </c>
      <c r="G509" s="10">
        <v>31</v>
      </c>
      <c r="H509">
        <v>8</v>
      </c>
      <c r="I509">
        <v>8</v>
      </c>
      <c r="J509" s="2" t="s">
        <v>24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>
        <v>650</v>
      </c>
      <c r="O509">
        <v>72</v>
      </c>
      <c r="P509" s="2">
        <v>0.34</v>
      </c>
      <c r="Q509" s="6">
        <v>25</v>
      </c>
      <c r="R509" s="10">
        <v>34</v>
      </c>
      <c r="S509" s="10">
        <v>8</v>
      </c>
      <c r="T509" s="10"/>
      <c r="U509" t="str">
        <f>"RUNNING_COST_"&amp;IF(PROPERTIES[[#This Row],[ENGINE_CLASS]]="MAGLEV","ELECTRIC",PROPERTIES[[#This Row],[ENGINE_CLASS]])</f>
        <v>RUNNING_COST_ELECTRIC</v>
      </c>
      <c r="V509" s="10" t="s">
        <v>1008</v>
      </c>
      <c r="W509" s="10" t="s">
        <v>1009</v>
      </c>
      <c r="X509" s="10" t="str">
        <f>SUBSTITUTE(SUBSTITUTE(PROPERTIES[[#This Row],[PURCHASECOST_VALUE]], "PURCHASECOST_", ""), "_VALUE", "")</f>
        <v>EMU</v>
      </c>
      <c r="AP509"/>
      <c r="AQ509"/>
      <c r="AR509"/>
    </row>
    <row r="510" spans="1:44">
      <c r="A510" s="2" t="s">
        <v>537</v>
      </c>
      <c r="B510">
        <v>1924</v>
      </c>
      <c r="C510">
        <v>1</v>
      </c>
      <c r="D510" t="s">
        <v>74</v>
      </c>
      <c r="E510" t="s">
        <v>18</v>
      </c>
      <c r="F510">
        <v>30</v>
      </c>
      <c r="G510" s="10">
        <v>30</v>
      </c>
      <c r="H510">
        <v>8</v>
      </c>
      <c r="I510">
        <v>8</v>
      </c>
      <c r="J510" s="2" t="s">
        <v>24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>
        <v>709</v>
      </c>
      <c r="O510">
        <v>100</v>
      </c>
      <c r="P510" s="2">
        <v>0.41</v>
      </c>
      <c r="Q510" s="6">
        <v>25</v>
      </c>
      <c r="R510" s="10">
        <v>30</v>
      </c>
      <c r="S510" s="10">
        <v>8</v>
      </c>
      <c r="T510" s="10"/>
      <c r="U510" t="str">
        <f>"RUNNING_COST_"&amp;IF(PROPERTIES[[#This Row],[ENGINE_CLASS]]="MAGLEV","ELECTRIC",PROPERTIES[[#This Row],[ENGINE_CLASS]])</f>
        <v>RUNNING_COST_ELECTRIC</v>
      </c>
      <c r="V510" s="10" t="s">
        <v>1008</v>
      </c>
      <c r="W510" s="10" t="s">
        <v>1009</v>
      </c>
      <c r="X510" s="10" t="str">
        <f>SUBSTITUTE(SUBSTITUTE(PROPERTIES[[#This Row],[PURCHASECOST_VALUE]], "PURCHASECOST_", ""), "_VALUE", "")</f>
        <v>EMU</v>
      </c>
      <c r="AP510"/>
      <c r="AQ510"/>
      <c r="AR510"/>
    </row>
    <row r="511" spans="1:44">
      <c r="A511" s="2" t="s">
        <v>538</v>
      </c>
      <c r="B511">
        <v>1936</v>
      </c>
      <c r="C511">
        <v>1</v>
      </c>
      <c r="D511" t="s">
        <v>74</v>
      </c>
      <c r="E511" t="s">
        <v>18</v>
      </c>
      <c r="F511">
        <v>52</v>
      </c>
      <c r="G511" s="10">
        <v>45</v>
      </c>
      <c r="H511">
        <v>8</v>
      </c>
      <c r="I511">
        <v>8</v>
      </c>
      <c r="J511" s="2" t="s">
        <v>24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>
        <v>533</v>
      </c>
      <c r="O511">
        <v>125</v>
      </c>
      <c r="P511" s="2">
        <v>0.38</v>
      </c>
      <c r="Q511" s="6">
        <v>25</v>
      </c>
      <c r="R511" s="10">
        <v>52</v>
      </c>
      <c r="S511" s="10">
        <v>8</v>
      </c>
      <c r="T511" s="10"/>
      <c r="U511" t="str">
        <f>"RUNNING_COST_"&amp;IF(PROPERTIES[[#This Row],[ENGINE_CLASS]]="MAGLEV","ELECTRIC",PROPERTIES[[#This Row],[ENGINE_CLASS]])</f>
        <v>RUNNING_COST_ELECTRIC</v>
      </c>
      <c r="V511" s="10" t="s">
        <v>1008</v>
      </c>
      <c r="W511" s="10" t="s">
        <v>1009</v>
      </c>
      <c r="X511" s="10" t="str">
        <f>SUBSTITUTE(SUBSTITUTE(PROPERTIES[[#This Row],[PURCHASECOST_VALUE]], "PURCHASECOST_", ""), "_VALUE", "")</f>
        <v>EMU</v>
      </c>
      <c r="AP511"/>
      <c r="AQ511"/>
      <c r="AR511"/>
    </row>
    <row r="512" spans="1:44">
      <c r="A512" s="2" t="s">
        <v>539</v>
      </c>
      <c r="B512">
        <v>1954</v>
      </c>
      <c r="C512">
        <v>1</v>
      </c>
      <c r="D512" t="s">
        <v>74</v>
      </c>
      <c r="E512" t="s">
        <v>18</v>
      </c>
      <c r="F512">
        <v>60</v>
      </c>
      <c r="G512" s="10">
        <v>55</v>
      </c>
      <c r="H512">
        <v>8</v>
      </c>
      <c r="I512">
        <v>8</v>
      </c>
      <c r="J512" s="2" t="s">
        <v>24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>
        <v>910</v>
      </c>
      <c r="O512">
        <v>140</v>
      </c>
      <c r="P512" s="2">
        <v>0.28000000000000003</v>
      </c>
      <c r="Q512" s="6">
        <v>25</v>
      </c>
      <c r="R512" s="10">
        <v>60</v>
      </c>
      <c r="S512" s="10">
        <v>8</v>
      </c>
      <c r="T512" s="10"/>
      <c r="U512" t="str">
        <f>"RUNNING_COST_"&amp;IF(PROPERTIES[[#This Row],[ENGINE_CLASS]]="MAGLEV","ELECTRIC",PROPERTIES[[#This Row],[ENGINE_CLASS]])</f>
        <v>RUNNING_COST_ELECTRIC</v>
      </c>
      <c r="V512" s="10" t="s">
        <v>1008</v>
      </c>
      <c r="W512" s="10" t="s">
        <v>1009</v>
      </c>
      <c r="X512" s="10" t="str">
        <f>SUBSTITUTE(SUBSTITUTE(PROPERTIES[[#This Row],[PURCHASECOST_VALUE]], "PURCHASECOST_", ""), "_VALUE", "")</f>
        <v>EMU</v>
      </c>
      <c r="AP512"/>
      <c r="AQ512"/>
      <c r="AR512"/>
    </row>
    <row r="513" spans="1:44">
      <c r="A513" s="2" t="s">
        <v>540</v>
      </c>
      <c r="B513">
        <v>1975</v>
      </c>
      <c r="C513">
        <v>1</v>
      </c>
      <c r="D513" t="s">
        <v>74</v>
      </c>
      <c r="E513" t="s">
        <v>18</v>
      </c>
      <c r="F513">
        <v>66</v>
      </c>
      <c r="G513" s="10">
        <v>53</v>
      </c>
      <c r="H513">
        <v>8</v>
      </c>
      <c r="I513">
        <v>8</v>
      </c>
      <c r="J513" s="2" t="s">
        <v>24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>
        <v>572</v>
      </c>
      <c r="O513">
        <v>125</v>
      </c>
      <c r="P513" s="2">
        <v>0.19</v>
      </c>
      <c r="Q513" s="6">
        <v>25</v>
      </c>
      <c r="R513" s="10">
        <v>66</v>
      </c>
      <c r="S513" s="10">
        <v>8</v>
      </c>
      <c r="T513" s="10"/>
      <c r="U513" t="str">
        <f>"RUNNING_COST_"&amp;IF(PROPERTIES[[#This Row],[ENGINE_CLASS]]="MAGLEV","ELECTRIC",PROPERTIES[[#This Row],[ENGINE_CLASS]])</f>
        <v>RUNNING_COST_ELECTRIC</v>
      </c>
      <c r="V513" s="10" t="s">
        <v>1008</v>
      </c>
      <c r="W513" s="10" t="s">
        <v>1009</v>
      </c>
      <c r="X513" s="10" t="str">
        <f>SUBSTITUTE(SUBSTITUTE(PROPERTIES[[#This Row],[PURCHASECOST_VALUE]], "PURCHASECOST_", ""), "_VALUE", "")</f>
        <v>EMU</v>
      </c>
      <c r="AP513"/>
      <c r="AQ513"/>
      <c r="AR513"/>
    </row>
    <row r="514" spans="1:44">
      <c r="A514" s="2" t="s">
        <v>541</v>
      </c>
      <c r="B514">
        <v>1979</v>
      </c>
      <c r="C514">
        <v>1</v>
      </c>
      <c r="D514" t="s">
        <v>74</v>
      </c>
      <c r="E514" t="s">
        <v>18</v>
      </c>
      <c r="F514">
        <v>61</v>
      </c>
      <c r="G514" s="10">
        <v>49</v>
      </c>
      <c r="H514">
        <v>8</v>
      </c>
      <c r="I514">
        <v>8</v>
      </c>
      <c r="J514" s="2" t="s">
        <v>24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>
        <v>600</v>
      </c>
      <c r="O514">
        <v>160</v>
      </c>
      <c r="P514" s="2">
        <v>0.48</v>
      </c>
      <c r="Q514" s="6">
        <v>25</v>
      </c>
      <c r="R514" s="10">
        <v>61</v>
      </c>
      <c r="S514" s="10">
        <v>8</v>
      </c>
      <c r="T514" s="10"/>
      <c r="U514" t="str">
        <f>"RUNNING_COST_"&amp;IF(PROPERTIES[[#This Row],[ENGINE_CLASS]]="MAGLEV","ELECTRIC",PROPERTIES[[#This Row],[ENGINE_CLASS]])</f>
        <v>RUNNING_COST_ELECTRIC</v>
      </c>
      <c r="V514" s="10" t="s">
        <v>1008</v>
      </c>
      <c r="W514" s="10" t="s">
        <v>1009</v>
      </c>
      <c r="X514" s="10" t="str">
        <f>SUBSTITUTE(SUBSTITUTE(PROPERTIES[[#This Row],[PURCHASECOST_VALUE]], "PURCHASECOST_", ""), "_VALUE", "")</f>
        <v>EMU</v>
      </c>
      <c r="AP514"/>
      <c r="AQ514"/>
      <c r="AR514"/>
    </row>
    <row r="515" spans="1:44">
      <c r="A515" s="2" t="s">
        <v>542</v>
      </c>
      <c r="B515">
        <v>1994</v>
      </c>
      <c r="C515">
        <v>1</v>
      </c>
      <c r="D515" t="s">
        <v>74</v>
      </c>
      <c r="E515" t="s">
        <v>18</v>
      </c>
      <c r="F515">
        <v>91</v>
      </c>
      <c r="G515" s="10">
        <v>59</v>
      </c>
      <c r="H515">
        <v>8</v>
      </c>
      <c r="I515">
        <v>8</v>
      </c>
      <c r="J515" s="2" t="s">
        <v>24</v>
      </c>
      <c r="K515">
        <f>_xlfn.XLOOKUP("LOADINGSPEEDDEF_"&amp;PROPERTIES[[#This Row],[LOADINGSPEED]],LOADINGSPEEDDEF[TYPE],LOADINGSPEEDDEF[SPEED])</f>
        <v>40</v>
      </c>
      <c r="L515" t="s">
        <v>21</v>
      </c>
      <c r="M515">
        <v>1</v>
      </c>
      <c r="N515">
        <v>718</v>
      </c>
      <c r="O515">
        <v>160</v>
      </c>
      <c r="P515" s="2">
        <v>0.26</v>
      </c>
      <c r="Q515" s="6">
        <v>25</v>
      </c>
      <c r="R515" s="10">
        <v>91</v>
      </c>
      <c r="S515" s="10">
        <v>8</v>
      </c>
      <c r="T515" s="10"/>
      <c r="U515" t="str">
        <f>"RUNNING_COST_"&amp;IF(PROPERTIES[[#This Row],[ENGINE_CLASS]]="MAGLEV","ELECTRIC",PROPERTIES[[#This Row],[ENGINE_CLASS]])</f>
        <v>RUNNING_COST_ELECTRIC</v>
      </c>
      <c r="V515" s="10" t="s">
        <v>1008</v>
      </c>
      <c r="W515" s="10" t="s">
        <v>1009</v>
      </c>
      <c r="X515" s="10" t="str">
        <f>SUBSTITUTE(SUBSTITUTE(PROPERTIES[[#This Row],[PURCHASECOST_VALUE]], "PURCHASECOST_", ""), "_VALUE", "")</f>
        <v>EMU</v>
      </c>
      <c r="AP515"/>
      <c r="AQ515"/>
      <c r="AR515"/>
    </row>
    <row r="516" spans="1:44">
      <c r="A516" s="2" t="s">
        <v>543</v>
      </c>
      <c r="B516">
        <v>1997</v>
      </c>
      <c r="C516">
        <v>1</v>
      </c>
      <c r="D516" t="s">
        <v>74</v>
      </c>
      <c r="E516" t="s">
        <v>18</v>
      </c>
      <c r="F516">
        <v>48</v>
      </c>
      <c r="G516" s="10">
        <v>76</v>
      </c>
      <c r="H516">
        <v>8</v>
      </c>
      <c r="I516">
        <v>8</v>
      </c>
      <c r="J516" s="2" t="s">
        <v>24</v>
      </c>
      <c r="K516">
        <f>_xlfn.XLOOKUP("LOADINGSPEEDDEF_"&amp;PROPERTIES[[#This Row],[LOADINGSPEED]],LOADINGSPEEDDEF[TYPE],LOADINGSPEEDDEF[SPEED])</f>
        <v>40</v>
      </c>
      <c r="L516" t="s">
        <v>21</v>
      </c>
      <c r="M516">
        <v>1</v>
      </c>
      <c r="N516">
        <v>3219</v>
      </c>
      <c r="O516">
        <v>160</v>
      </c>
      <c r="P516" s="2">
        <v>0.31</v>
      </c>
      <c r="Q516" s="6">
        <v>25</v>
      </c>
      <c r="R516" s="10">
        <v>95</v>
      </c>
      <c r="S516" s="10">
        <v>8</v>
      </c>
      <c r="T516" s="10"/>
      <c r="U516" t="str">
        <f>"RUNNING_COST_"&amp;IF(PROPERTIES[[#This Row],[ENGINE_CLASS]]="MAGLEV","ELECTRIC",PROPERTIES[[#This Row],[ENGINE_CLASS]])</f>
        <v>RUNNING_COST_ELECTRIC</v>
      </c>
      <c r="V516" s="10" t="s">
        <v>1008</v>
      </c>
      <c r="W516" s="10" t="s">
        <v>1009</v>
      </c>
      <c r="X516" s="10" t="str">
        <f>SUBSTITUTE(SUBSTITUTE(PROPERTIES[[#This Row],[PURCHASECOST_VALUE]], "PURCHASECOST_", ""), "_VALUE", "")</f>
        <v>EMU</v>
      </c>
      <c r="AP516"/>
      <c r="AQ516"/>
      <c r="AR516"/>
    </row>
    <row r="517" spans="1:44">
      <c r="A517" s="2" t="s">
        <v>544</v>
      </c>
      <c r="B517">
        <v>1924</v>
      </c>
      <c r="C517">
        <v>1</v>
      </c>
      <c r="D517" t="s">
        <v>74</v>
      </c>
      <c r="E517" t="s">
        <v>18</v>
      </c>
      <c r="F517">
        <v>65</v>
      </c>
      <c r="G517" s="10">
        <v>38</v>
      </c>
      <c r="H517">
        <v>8</v>
      </c>
      <c r="I517">
        <v>8</v>
      </c>
      <c r="J517" s="2" t="s">
        <v>24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>
        <v>413</v>
      </c>
      <c r="O517">
        <v>80</v>
      </c>
      <c r="P517" s="2">
        <v>0.11</v>
      </c>
      <c r="Q517" s="6">
        <v>25</v>
      </c>
      <c r="R517" s="10">
        <v>65</v>
      </c>
      <c r="S517" s="10">
        <v>8</v>
      </c>
      <c r="T517" s="10"/>
      <c r="U517" t="str">
        <f>"RUNNING_COST_"&amp;IF(PROPERTIES[[#This Row],[ENGINE_CLASS]]="MAGLEV","ELECTRIC",PROPERTIES[[#This Row],[ENGINE_CLASS]])</f>
        <v>RUNNING_COST_ELECTRIC</v>
      </c>
      <c r="V517" s="10" t="s">
        <v>1008</v>
      </c>
      <c r="W517" s="10" t="s">
        <v>1009</v>
      </c>
      <c r="X517" s="10" t="str">
        <f>SUBSTITUTE(SUBSTITUTE(PROPERTIES[[#This Row],[PURCHASECOST_VALUE]], "PURCHASECOST_", ""), "_VALUE", "")</f>
        <v>EMU</v>
      </c>
      <c r="AP517"/>
      <c r="AQ517"/>
      <c r="AR517"/>
    </row>
    <row r="518" spans="1:44">
      <c r="A518" s="2" t="s">
        <v>545</v>
      </c>
      <c r="B518">
        <v>1937</v>
      </c>
      <c r="C518">
        <v>1</v>
      </c>
      <c r="D518" t="s">
        <v>74</v>
      </c>
      <c r="E518" t="s">
        <v>18</v>
      </c>
      <c r="F518">
        <v>35</v>
      </c>
      <c r="G518" s="10">
        <v>41</v>
      </c>
      <c r="H518">
        <v>8</v>
      </c>
      <c r="I518">
        <v>8</v>
      </c>
      <c r="J518" s="2" t="s">
        <v>479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>
        <v>482</v>
      </c>
      <c r="O518">
        <v>160</v>
      </c>
      <c r="P518" s="2">
        <v>0.18</v>
      </c>
      <c r="Q518" s="6">
        <v>25</v>
      </c>
      <c r="R518" s="10">
        <v>35</v>
      </c>
      <c r="S518" s="10">
        <v>8</v>
      </c>
      <c r="T518" s="10"/>
      <c r="U518" t="str">
        <f>"RUNNING_COST_"&amp;IF(PROPERTIES[[#This Row],[ENGINE_CLASS]]="MAGLEV","ELECTRIC",PROPERTIES[[#This Row],[ENGINE_CLASS]])</f>
        <v>RUNNING_COST_ELECTRIC</v>
      </c>
      <c r="V518" s="10" t="s">
        <v>1008</v>
      </c>
      <c r="W518" s="10" t="s">
        <v>1009</v>
      </c>
      <c r="X518" s="10" t="str">
        <f>SUBSTITUTE(SUBSTITUTE(PROPERTIES[[#This Row],[PURCHASECOST_VALUE]], "PURCHASECOST_", ""), "_VALUE", "")</f>
        <v>EMU</v>
      </c>
      <c r="AP518"/>
      <c r="AQ518"/>
      <c r="AR518"/>
    </row>
    <row r="519" spans="1:44">
      <c r="A519" s="2" t="s">
        <v>546</v>
      </c>
      <c r="B519">
        <v>1952</v>
      </c>
      <c r="C519">
        <v>1</v>
      </c>
      <c r="D519" t="s">
        <v>74</v>
      </c>
      <c r="E519" t="s">
        <v>18</v>
      </c>
      <c r="F519">
        <v>28</v>
      </c>
      <c r="G519" s="10">
        <v>52</v>
      </c>
      <c r="H519">
        <v>8</v>
      </c>
      <c r="I519">
        <v>8</v>
      </c>
      <c r="J519" s="2" t="s">
        <v>479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>
        <v>500</v>
      </c>
      <c r="O519">
        <v>200</v>
      </c>
      <c r="P519" s="2">
        <v>0.36</v>
      </c>
      <c r="Q519" s="6">
        <v>25</v>
      </c>
      <c r="R519" s="10">
        <v>28</v>
      </c>
      <c r="S519" s="10">
        <v>8</v>
      </c>
      <c r="T519" s="10"/>
      <c r="U519" t="str">
        <f>"RUNNING_COST_"&amp;IF(PROPERTIES[[#This Row],[ENGINE_CLASS]]="MAGLEV","ELECTRIC",PROPERTIES[[#This Row],[ENGINE_CLASS]])</f>
        <v>RUNNING_COST_ELECTRIC</v>
      </c>
      <c r="V519" s="10" t="s">
        <v>1008</v>
      </c>
      <c r="W519" s="10" t="s">
        <v>1009</v>
      </c>
      <c r="X519" s="10" t="str">
        <f>SUBSTITUTE(SUBSTITUTE(PROPERTIES[[#This Row],[PURCHASECOST_VALUE]], "PURCHASECOST_", ""), "_VALUE", "")</f>
        <v>EMU</v>
      </c>
      <c r="AP519"/>
      <c r="AQ519"/>
      <c r="AR519"/>
    </row>
    <row r="520" spans="1:44">
      <c r="A520" s="2" t="s">
        <v>547</v>
      </c>
      <c r="B520">
        <v>1993</v>
      </c>
      <c r="C520">
        <v>1</v>
      </c>
      <c r="D520" t="s">
        <v>74</v>
      </c>
      <c r="E520" t="s">
        <v>18</v>
      </c>
      <c r="F520">
        <v>0</v>
      </c>
      <c r="G520" s="10">
        <v>54</v>
      </c>
      <c r="H520">
        <v>8</v>
      </c>
      <c r="I520">
        <v>8</v>
      </c>
      <c r="J520" s="2" t="s">
        <v>479</v>
      </c>
      <c r="K520">
        <f>_xlfn.XLOOKUP("LOADINGSPEEDDEF_"&amp;PROPERTIES[[#This Row],[LOADINGSPEED]],LOADINGSPEEDDEF[TYPE],LOADINGSPEEDDEF[SPEED])</f>
        <v>16</v>
      </c>
      <c r="L520" t="s">
        <v>21</v>
      </c>
      <c r="M520">
        <v>1</v>
      </c>
      <c r="N520">
        <v>11800</v>
      </c>
      <c r="O520">
        <v>250</v>
      </c>
      <c r="P520" s="2">
        <v>0.46</v>
      </c>
      <c r="Q520" s="6">
        <v>25</v>
      </c>
      <c r="R520" s="10">
        <v>60</v>
      </c>
      <c r="S520" s="10">
        <v>8</v>
      </c>
      <c r="T520" s="10"/>
      <c r="U520" t="str">
        <f>"RUNNING_COST_"&amp;IF(PROPERTIES[[#This Row],[ENGINE_CLASS]]="MAGLEV","ELECTRIC",PROPERTIES[[#This Row],[ENGINE_CLASS]])</f>
        <v>RUNNING_COST_ELECTRIC</v>
      </c>
      <c r="V520" s="10" t="s">
        <v>1008</v>
      </c>
      <c r="W520" s="10" t="s">
        <v>1009</v>
      </c>
      <c r="X520" s="10" t="str">
        <f>SUBSTITUTE(SUBSTITUTE(PROPERTIES[[#This Row],[PURCHASECOST_VALUE]], "PURCHASECOST_", ""), "_VALUE", "")</f>
        <v>EMU</v>
      </c>
      <c r="AP520"/>
      <c r="AQ520"/>
      <c r="AR520"/>
    </row>
    <row r="521" spans="1:44">
      <c r="A521" s="2" t="s">
        <v>548</v>
      </c>
      <c r="B521">
        <v>1996</v>
      </c>
      <c r="C521">
        <v>1</v>
      </c>
      <c r="D521" t="s">
        <v>74</v>
      </c>
      <c r="E521" t="s">
        <v>18</v>
      </c>
      <c r="F521">
        <v>115</v>
      </c>
      <c r="G521" s="10">
        <v>68</v>
      </c>
      <c r="H521">
        <v>8</v>
      </c>
      <c r="I521">
        <v>8</v>
      </c>
      <c r="J521" s="2" t="s">
        <v>24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>
        <v>1219</v>
      </c>
      <c r="O521">
        <v>140</v>
      </c>
      <c r="P521" s="2">
        <v>0.31</v>
      </c>
      <c r="Q521" s="6">
        <v>25</v>
      </c>
      <c r="R521" s="10">
        <v>115</v>
      </c>
      <c r="S521" s="10">
        <v>8</v>
      </c>
      <c r="T521" s="10"/>
      <c r="U521" t="str">
        <f>"RUNNING_COST_"&amp;IF(PROPERTIES[[#This Row],[ENGINE_CLASS]]="MAGLEV","ELECTRIC",PROPERTIES[[#This Row],[ENGINE_CLASS]])</f>
        <v>RUNNING_COST_ELECTRIC</v>
      </c>
      <c r="V521" s="10" t="s">
        <v>1008</v>
      </c>
      <c r="W521" s="10" t="s">
        <v>1009</v>
      </c>
      <c r="X521" s="10" t="str">
        <f>SUBSTITUTE(SUBSTITUTE(PROPERTIES[[#This Row],[PURCHASECOST_VALUE]], "PURCHASECOST_", ""), "_VALUE", "")</f>
        <v>EMU</v>
      </c>
      <c r="AP521"/>
      <c r="AQ521"/>
      <c r="AR521"/>
    </row>
    <row r="522" spans="1:44">
      <c r="A522" s="2" t="s">
        <v>549</v>
      </c>
      <c r="B522">
        <v>1984</v>
      </c>
      <c r="C522">
        <v>1</v>
      </c>
      <c r="D522" t="s">
        <v>74</v>
      </c>
      <c r="E522" t="s">
        <v>18</v>
      </c>
      <c r="F522">
        <v>90</v>
      </c>
      <c r="G522" s="10">
        <v>48</v>
      </c>
      <c r="H522">
        <v>8</v>
      </c>
      <c r="I522">
        <v>8</v>
      </c>
      <c r="J522" s="2" t="s">
        <v>24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>
        <v>1900</v>
      </c>
      <c r="O522">
        <v>160</v>
      </c>
      <c r="P522" s="2">
        <v>0.21</v>
      </c>
      <c r="Q522" s="6">
        <v>40</v>
      </c>
      <c r="R522" s="10">
        <v>90</v>
      </c>
      <c r="S522" s="10">
        <v>8</v>
      </c>
      <c r="T522" s="10"/>
      <c r="U522" t="str">
        <f>"RUNNING_COST_"&amp;IF(PROPERTIES[[#This Row],[ENGINE_CLASS]]="MAGLEV","ELECTRIC",PROPERTIES[[#This Row],[ENGINE_CLASS]])</f>
        <v>RUNNING_COST_ELECTRIC</v>
      </c>
      <c r="V522" s="10" t="s">
        <v>1008</v>
      </c>
      <c r="W522" s="10" t="s">
        <v>1009</v>
      </c>
      <c r="X522" s="10" t="str">
        <f>SUBSTITUTE(SUBSTITUTE(PROPERTIES[[#This Row],[PURCHASECOST_VALUE]], "PURCHASECOST_", ""), "_VALUE", "")</f>
        <v>EMU</v>
      </c>
      <c r="AP522"/>
      <c r="AQ522"/>
      <c r="AR522"/>
    </row>
    <row r="523" spans="1:44">
      <c r="A523" s="2" t="s">
        <v>550</v>
      </c>
      <c r="B523">
        <v>1950</v>
      </c>
      <c r="C523">
        <v>1</v>
      </c>
      <c r="D523" t="s">
        <v>74</v>
      </c>
      <c r="E523" t="s">
        <v>18</v>
      </c>
      <c r="F523">
        <v>80</v>
      </c>
      <c r="G523" s="10">
        <v>40</v>
      </c>
      <c r="H523">
        <v>8</v>
      </c>
      <c r="I523">
        <v>8</v>
      </c>
      <c r="J523" s="2" t="s">
        <v>24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>
        <v>642</v>
      </c>
      <c r="O523">
        <v>100</v>
      </c>
      <c r="P523" s="2">
        <v>0.25</v>
      </c>
      <c r="Q523" s="6">
        <v>40</v>
      </c>
      <c r="R523" s="10">
        <v>80</v>
      </c>
      <c r="S523" s="10">
        <v>8</v>
      </c>
      <c r="T523" s="10"/>
      <c r="U523" t="str">
        <f>"RUNNING_COST_"&amp;IF(PROPERTIES[[#This Row],[ENGINE_CLASS]]="MAGLEV","ELECTRIC",PROPERTIES[[#This Row],[ENGINE_CLASS]])</f>
        <v>RUNNING_COST_ELECTRIC</v>
      </c>
      <c r="V523" s="10" t="s">
        <v>1008</v>
      </c>
      <c r="W523" s="10" t="s">
        <v>1009</v>
      </c>
      <c r="X523" s="10" t="str">
        <f>SUBSTITUTE(SUBSTITUTE(PROPERTIES[[#This Row],[PURCHASECOST_VALUE]], "PURCHASECOST_", ""), "_VALUE", "")</f>
        <v>EMU</v>
      </c>
      <c r="AP523"/>
      <c r="AQ523"/>
      <c r="AR523"/>
    </row>
    <row r="524" spans="1:44">
      <c r="A524" s="2" t="s">
        <v>551</v>
      </c>
      <c r="B524">
        <v>1975</v>
      </c>
      <c r="C524">
        <v>1</v>
      </c>
      <c r="D524" t="s">
        <v>74</v>
      </c>
      <c r="E524" t="s">
        <v>18</v>
      </c>
      <c r="F524">
        <v>108</v>
      </c>
      <c r="G524" s="10">
        <v>70</v>
      </c>
      <c r="H524">
        <v>7</v>
      </c>
      <c r="I524">
        <v>7</v>
      </c>
      <c r="J524" s="2" t="s">
        <v>24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>
        <v>702</v>
      </c>
      <c r="O524">
        <v>150</v>
      </c>
      <c r="P524" s="2">
        <v>0.15</v>
      </c>
      <c r="Q524" s="6">
        <v>25</v>
      </c>
      <c r="R524" s="10">
        <v>108</v>
      </c>
      <c r="S524" s="10">
        <v>7</v>
      </c>
      <c r="T524" s="10"/>
      <c r="U524" t="str">
        <f>"RUNNING_COST_"&amp;IF(PROPERTIES[[#This Row],[ENGINE_CLASS]]="MAGLEV","ELECTRIC",PROPERTIES[[#This Row],[ENGINE_CLASS]])</f>
        <v>RUNNING_COST_ELECTRIC</v>
      </c>
      <c r="V524" s="10" t="s">
        <v>1008</v>
      </c>
      <c r="W524" s="10" t="s">
        <v>1009</v>
      </c>
      <c r="X524" s="10" t="str">
        <f>SUBSTITUTE(SUBSTITUTE(PROPERTIES[[#This Row],[PURCHASECOST_VALUE]], "PURCHASECOST_", ""), "_VALUE", "")</f>
        <v>EMU</v>
      </c>
      <c r="AP524"/>
      <c r="AQ524"/>
      <c r="AR524"/>
    </row>
    <row r="525" spans="1:44">
      <c r="A525" s="2" t="s">
        <v>552</v>
      </c>
      <c r="B525">
        <v>1956</v>
      </c>
      <c r="C525">
        <v>1</v>
      </c>
      <c r="D525" t="s">
        <v>74</v>
      </c>
      <c r="E525" t="s">
        <v>18</v>
      </c>
      <c r="F525">
        <v>54</v>
      </c>
      <c r="G525" s="10">
        <v>48</v>
      </c>
      <c r="H525">
        <v>7</v>
      </c>
      <c r="I525">
        <v>7</v>
      </c>
      <c r="J525" s="2" t="s">
        <v>24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>
        <v>1340</v>
      </c>
      <c r="O525">
        <v>130</v>
      </c>
      <c r="P525" s="2">
        <v>0.27</v>
      </c>
      <c r="Q525" s="6">
        <v>25</v>
      </c>
      <c r="R525" s="10">
        <v>54</v>
      </c>
      <c r="S525" s="10">
        <v>7</v>
      </c>
      <c r="T525" s="10"/>
      <c r="U525" t="str">
        <f>"RUNNING_COST_"&amp;IF(PROPERTIES[[#This Row],[ENGINE_CLASS]]="MAGLEV","ELECTRIC",PROPERTIES[[#This Row],[ENGINE_CLASS]])</f>
        <v>RUNNING_COST_ELECTRIC</v>
      </c>
      <c r="V525" s="10" t="s">
        <v>1008</v>
      </c>
      <c r="W525" s="10" t="s">
        <v>1009</v>
      </c>
      <c r="X525" s="10" t="str">
        <f>SUBSTITUTE(SUBSTITUTE(PROPERTIES[[#This Row],[PURCHASECOST_VALUE]], "PURCHASECOST_", ""), "_VALUE", "")</f>
        <v>EMU</v>
      </c>
      <c r="AP525"/>
      <c r="AQ525"/>
      <c r="AR525"/>
    </row>
    <row r="526" spans="1:44">
      <c r="A526" s="2" t="s">
        <v>553</v>
      </c>
      <c r="B526">
        <v>1929</v>
      </c>
      <c r="C526">
        <v>1</v>
      </c>
      <c r="D526" t="s">
        <v>74</v>
      </c>
      <c r="E526" t="s">
        <v>18</v>
      </c>
      <c r="F526">
        <v>40</v>
      </c>
      <c r="G526" s="10">
        <v>73</v>
      </c>
      <c r="H526">
        <v>8</v>
      </c>
      <c r="I526">
        <v>8</v>
      </c>
      <c r="J526" s="2" t="s">
        <v>24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>
        <v>555</v>
      </c>
      <c r="O526">
        <v>80</v>
      </c>
      <c r="P526" s="2">
        <v>0.08</v>
      </c>
      <c r="Q526" s="6">
        <v>25</v>
      </c>
      <c r="R526" s="10">
        <v>40</v>
      </c>
      <c r="S526" s="10">
        <v>8</v>
      </c>
      <c r="T526" s="10"/>
      <c r="U526" t="str">
        <f>"RUNNING_COST_"&amp;IF(PROPERTIES[[#This Row],[ENGINE_CLASS]]="MAGLEV","ELECTRIC",PROPERTIES[[#This Row],[ENGINE_CLASS]])</f>
        <v>RUNNING_COST_ELECTRIC</v>
      </c>
      <c r="V526" s="10" t="s">
        <v>1008</v>
      </c>
      <c r="W526" s="10" t="s">
        <v>1009</v>
      </c>
      <c r="X526" s="10" t="str">
        <f>SUBSTITUTE(SUBSTITUTE(PROPERTIES[[#This Row],[PURCHASECOST_VALUE]], "PURCHASECOST_", ""), "_VALUE", "")</f>
        <v>EMU</v>
      </c>
      <c r="AP526"/>
      <c r="AQ526"/>
      <c r="AR526"/>
    </row>
    <row r="527" spans="1:44">
      <c r="A527" s="2" t="s">
        <v>554</v>
      </c>
      <c r="B527">
        <v>2011</v>
      </c>
      <c r="C527">
        <v>1</v>
      </c>
      <c r="D527" t="s">
        <v>74</v>
      </c>
      <c r="E527" t="s">
        <v>18</v>
      </c>
      <c r="F527">
        <v>84</v>
      </c>
      <c r="G527" s="10">
        <v>52</v>
      </c>
      <c r="H527">
        <v>8</v>
      </c>
      <c r="I527">
        <v>8</v>
      </c>
      <c r="J527" s="2" t="s">
        <v>24</v>
      </c>
      <c r="K527">
        <f>_xlfn.XLOOKUP("LOADINGSPEEDDEF_"&amp;PROPERTIES[[#This Row],[LOADINGSPEED]],LOADINGSPEEDDEF[TYPE],LOADINGSPEEDDEF[SPEED])</f>
        <v>40</v>
      </c>
      <c r="L527" t="s">
        <v>21</v>
      </c>
      <c r="M527">
        <v>1</v>
      </c>
      <c r="N527">
        <v>5340</v>
      </c>
      <c r="O527">
        <v>200</v>
      </c>
      <c r="P527" s="2">
        <v>0.62</v>
      </c>
      <c r="Q527" s="6">
        <v>40</v>
      </c>
      <c r="R527" s="10">
        <v>84</v>
      </c>
      <c r="S527" s="10">
        <v>8</v>
      </c>
      <c r="T527" s="10"/>
      <c r="U527" t="str">
        <f>"RUNNING_COST_"&amp;IF(PROPERTIES[[#This Row],[ENGINE_CLASS]]="MAGLEV","ELECTRIC",PROPERTIES[[#This Row],[ENGINE_CLASS]])</f>
        <v>RUNNING_COST_ELECTRIC</v>
      </c>
      <c r="V527" s="10" t="s">
        <v>1008</v>
      </c>
      <c r="W527" s="10" t="s">
        <v>1009</v>
      </c>
      <c r="X527" s="10" t="str">
        <f>SUBSTITUTE(SUBSTITUTE(PROPERTIES[[#This Row],[PURCHASECOST_VALUE]], "PURCHASECOST_", ""), "_VALUE", "")</f>
        <v>EMU</v>
      </c>
      <c r="AP527"/>
      <c r="AQ527"/>
      <c r="AR527"/>
    </row>
    <row r="528" spans="1:44">
      <c r="A528" s="2" t="s">
        <v>555</v>
      </c>
      <c r="B528">
        <v>1969</v>
      </c>
      <c r="C528">
        <v>1</v>
      </c>
      <c r="D528" t="s">
        <v>74</v>
      </c>
      <c r="E528" t="s">
        <v>18</v>
      </c>
      <c r="F528">
        <v>76</v>
      </c>
      <c r="G528" s="10">
        <v>46</v>
      </c>
      <c r="H528">
        <v>8</v>
      </c>
      <c r="I528">
        <v>8</v>
      </c>
      <c r="J528" s="2" t="s">
        <v>24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>
        <v>1000</v>
      </c>
      <c r="O528">
        <v>125</v>
      </c>
      <c r="P528" s="2">
        <v>0.31</v>
      </c>
      <c r="Q528" s="6">
        <v>25</v>
      </c>
      <c r="R528" s="10">
        <v>76</v>
      </c>
      <c r="S528" s="10">
        <v>8</v>
      </c>
      <c r="T528" s="10"/>
      <c r="U528" t="str">
        <f>"RUNNING_COST_"&amp;IF(PROPERTIES[[#This Row],[ENGINE_CLASS]]="MAGLEV","ELECTRIC",PROPERTIES[[#This Row],[ENGINE_CLASS]])</f>
        <v>RUNNING_COST_ELECTRIC</v>
      </c>
      <c r="V528" s="10" t="s">
        <v>1008</v>
      </c>
      <c r="W528" s="10" t="s">
        <v>1009</v>
      </c>
      <c r="X528" s="10" t="str">
        <f>SUBSTITUTE(SUBSTITUTE(PROPERTIES[[#This Row],[PURCHASECOST_VALUE]], "PURCHASECOST_", ""), "_VALUE", "")</f>
        <v>EMU</v>
      </c>
      <c r="AP528"/>
      <c r="AQ528"/>
      <c r="AR528"/>
    </row>
    <row r="529" spans="1:44">
      <c r="A529" s="2" t="s">
        <v>556</v>
      </c>
      <c r="B529">
        <v>1998</v>
      </c>
      <c r="C529">
        <v>1</v>
      </c>
      <c r="D529" t="s">
        <v>74</v>
      </c>
      <c r="E529" t="s">
        <v>18</v>
      </c>
      <c r="F529">
        <v>40</v>
      </c>
      <c r="G529" s="10">
        <v>54</v>
      </c>
      <c r="H529">
        <v>8</v>
      </c>
      <c r="I529">
        <v>8</v>
      </c>
      <c r="J529" s="2" t="s">
        <v>479</v>
      </c>
      <c r="K529">
        <f>_xlfn.XLOOKUP("LOADINGSPEEDDEF_"&amp;PROPERTIES[[#This Row],[LOADINGSPEED]],LOADINGSPEEDDEF[TYPE],LOADINGSPEEDDEF[SPEED])</f>
        <v>16</v>
      </c>
      <c r="L529" t="s">
        <v>21</v>
      </c>
      <c r="M529">
        <v>1</v>
      </c>
      <c r="N529">
        <v>1200</v>
      </c>
      <c r="O529">
        <v>220</v>
      </c>
      <c r="P529" s="2">
        <v>0.69</v>
      </c>
      <c r="Q529" s="6">
        <v>25</v>
      </c>
      <c r="R529" s="10">
        <v>40</v>
      </c>
      <c r="S529" s="10">
        <v>8</v>
      </c>
      <c r="T529" s="10"/>
      <c r="U529" t="str">
        <f>"RUNNING_COST_"&amp;IF(PROPERTIES[[#This Row],[ENGINE_CLASS]]="MAGLEV","ELECTRIC",PROPERTIES[[#This Row],[ENGINE_CLASS]])</f>
        <v>RUNNING_COST_ELECTRIC</v>
      </c>
      <c r="V529" s="10" t="s">
        <v>1008</v>
      </c>
      <c r="W529" s="10" t="s">
        <v>1009</v>
      </c>
      <c r="X529" s="10" t="str">
        <f>SUBSTITUTE(SUBSTITUTE(PROPERTIES[[#This Row],[PURCHASECOST_VALUE]], "PURCHASECOST_", ""), "_VALUE", "")</f>
        <v>EMU</v>
      </c>
      <c r="AP529"/>
      <c r="AQ529"/>
      <c r="AR529"/>
    </row>
    <row r="530" spans="1:44">
      <c r="A530" s="2" t="s">
        <v>557</v>
      </c>
      <c r="B530">
        <v>1942</v>
      </c>
      <c r="C530">
        <v>1</v>
      </c>
      <c r="D530" t="s">
        <v>74</v>
      </c>
      <c r="E530" t="s">
        <v>18</v>
      </c>
      <c r="F530">
        <v>50</v>
      </c>
      <c r="G530" s="10">
        <v>38</v>
      </c>
      <c r="H530">
        <v>8</v>
      </c>
      <c r="I530">
        <v>8</v>
      </c>
      <c r="J530" s="2" t="s">
        <v>24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>
        <v>632</v>
      </c>
      <c r="O530">
        <v>70</v>
      </c>
      <c r="P530" s="2">
        <v>0.23</v>
      </c>
      <c r="Q530" s="6">
        <v>25</v>
      </c>
      <c r="R530" s="10">
        <v>50</v>
      </c>
      <c r="S530" s="10">
        <v>7</v>
      </c>
      <c r="T530" s="10"/>
      <c r="U530" t="str">
        <f>"RUNNING_COST_"&amp;IF(PROPERTIES[[#This Row],[ENGINE_CLASS]]="MAGLEV","ELECTRIC",PROPERTIES[[#This Row],[ENGINE_CLASS]])</f>
        <v>RUNNING_COST_ELECTRIC</v>
      </c>
      <c r="V530" s="10" t="s">
        <v>1008</v>
      </c>
      <c r="W530" s="10" t="s">
        <v>1009</v>
      </c>
      <c r="X530" s="10" t="str">
        <f>SUBSTITUTE(SUBSTITUTE(PROPERTIES[[#This Row],[PURCHASECOST_VALUE]], "PURCHASECOST_", ""), "_VALUE", "")</f>
        <v>EMU</v>
      </c>
      <c r="AP530"/>
      <c r="AQ530"/>
      <c r="AR530"/>
    </row>
    <row r="531" spans="1:44">
      <c r="A531" s="2" t="s">
        <v>558</v>
      </c>
      <c r="B531">
        <v>1990</v>
      </c>
      <c r="C531">
        <v>1</v>
      </c>
      <c r="D531" t="s">
        <v>74</v>
      </c>
      <c r="E531" t="s">
        <v>18</v>
      </c>
      <c r="F531">
        <v>0</v>
      </c>
      <c r="G531" s="10">
        <v>50</v>
      </c>
      <c r="H531">
        <v>8</v>
      </c>
      <c r="I531">
        <v>8</v>
      </c>
      <c r="J531" s="2" t="s">
        <v>479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>
        <v>4400</v>
      </c>
      <c r="O531">
        <v>210</v>
      </c>
      <c r="P531" s="2">
        <v>0.49</v>
      </c>
      <c r="Q531" s="6">
        <v>25</v>
      </c>
      <c r="R531" s="10">
        <v>42</v>
      </c>
      <c r="S531" s="10">
        <v>8</v>
      </c>
      <c r="T531" s="10"/>
      <c r="U531" t="str">
        <f>"RUNNING_COST_"&amp;IF(PROPERTIES[[#This Row],[ENGINE_CLASS]]="MAGLEV","ELECTRIC",PROPERTIES[[#This Row],[ENGINE_CLASS]])</f>
        <v>RUNNING_COST_ELECTRIC</v>
      </c>
      <c r="V531" s="10" t="s">
        <v>1008</v>
      </c>
      <c r="W531" s="10" t="s">
        <v>1009</v>
      </c>
      <c r="X531" s="10" t="str">
        <f>SUBSTITUTE(SUBSTITUTE(PROPERTIES[[#This Row],[PURCHASECOST_VALUE]], "PURCHASECOST_", ""), "_VALUE", "")</f>
        <v>EMU</v>
      </c>
      <c r="AP531"/>
      <c r="AQ531"/>
      <c r="AR531"/>
    </row>
    <row r="532" spans="1:44">
      <c r="A532" s="2" t="s">
        <v>559</v>
      </c>
      <c r="B532">
        <v>1965</v>
      </c>
      <c r="C532">
        <v>1</v>
      </c>
      <c r="D532" t="s">
        <v>74</v>
      </c>
      <c r="E532" t="s">
        <v>18</v>
      </c>
      <c r="F532">
        <v>56</v>
      </c>
      <c r="G532" s="10">
        <v>56</v>
      </c>
      <c r="H532">
        <v>8</v>
      </c>
      <c r="I532">
        <v>8</v>
      </c>
      <c r="J532" s="2" t="s">
        <v>24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>
        <v>1090</v>
      </c>
      <c r="O532">
        <v>125</v>
      </c>
      <c r="P532" s="2">
        <v>0.43</v>
      </c>
      <c r="Q532" s="6">
        <v>25</v>
      </c>
      <c r="R532" s="10">
        <v>56</v>
      </c>
      <c r="S532" s="10">
        <v>8</v>
      </c>
      <c r="T532" s="10"/>
      <c r="U532" t="str">
        <f>"RUNNING_COST_"&amp;IF(PROPERTIES[[#This Row],[ENGINE_CLASS]]="MAGLEV","ELECTRIC",PROPERTIES[[#This Row],[ENGINE_CLASS]])</f>
        <v>RUNNING_COST_ELECTRIC</v>
      </c>
      <c r="V532" s="10" t="s">
        <v>1008</v>
      </c>
      <c r="W532" s="10" t="s">
        <v>1009</v>
      </c>
      <c r="X532" s="10" t="str">
        <f>SUBSTITUTE(SUBSTITUTE(PROPERTIES[[#This Row],[PURCHASECOST_VALUE]], "PURCHASECOST_", ""), "_VALUE", "")</f>
        <v>EMU</v>
      </c>
      <c r="AP532"/>
      <c r="AQ532"/>
      <c r="AR532"/>
    </row>
    <row r="533" spans="1:44">
      <c r="A533" s="2" t="s">
        <v>560</v>
      </c>
      <c r="B533">
        <v>1984</v>
      </c>
      <c r="C533">
        <v>1</v>
      </c>
      <c r="D533" t="s">
        <v>74</v>
      </c>
      <c r="E533" t="s">
        <v>18</v>
      </c>
      <c r="F533">
        <v>56</v>
      </c>
      <c r="G533" s="10">
        <v>35</v>
      </c>
      <c r="H533">
        <v>8</v>
      </c>
      <c r="I533">
        <v>8</v>
      </c>
      <c r="J533" s="2" t="s">
        <v>24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>
        <v>1100</v>
      </c>
      <c r="O533">
        <v>140</v>
      </c>
      <c r="P533" s="2">
        <v>0.52</v>
      </c>
      <c r="Q533" s="6">
        <v>25</v>
      </c>
      <c r="R533" s="10">
        <v>56</v>
      </c>
      <c r="S533" s="10">
        <v>8</v>
      </c>
      <c r="T533" s="10"/>
      <c r="U533" t="str">
        <f>"RUNNING_COST_"&amp;IF(PROPERTIES[[#This Row],[ENGINE_CLASS]]="MAGLEV","ELECTRIC",PROPERTIES[[#This Row],[ENGINE_CLASS]])</f>
        <v>RUNNING_COST_ELECTRIC</v>
      </c>
      <c r="V533" s="10" t="s">
        <v>1008</v>
      </c>
      <c r="W533" s="10" t="s">
        <v>1009</v>
      </c>
      <c r="X533" s="10" t="str">
        <f>SUBSTITUTE(SUBSTITUTE(PROPERTIES[[#This Row],[PURCHASECOST_VALUE]], "PURCHASECOST_", ""), "_VALUE", "")</f>
        <v>EMU</v>
      </c>
      <c r="AP533"/>
      <c r="AQ533"/>
      <c r="AR533"/>
    </row>
    <row r="534" spans="1:44">
      <c r="A534" s="2" t="s">
        <v>561</v>
      </c>
      <c r="B534">
        <v>2004</v>
      </c>
      <c r="C534">
        <v>1</v>
      </c>
      <c r="D534" t="s">
        <v>74</v>
      </c>
      <c r="E534" t="s">
        <v>18</v>
      </c>
      <c r="F534">
        <v>50</v>
      </c>
      <c r="G534" s="10">
        <v>31</v>
      </c>
      <c r="H534">
        <v>8</v>
      </c>
      <c r="I534">
        <v>8</v>
      </c>
      <c r="J534" s="2" t="s">
        <v>24</v>
      </c>
      <c r="K534">
        <f>_xlfn.XLOOKUP("LOADINGSPEEDDEF_"&amp;PROPERTIES[[#This Row],[LOADINGSPEED]],LOADINGSPEEDDEF[TYPE],LOADINGSPEEDDEF[SPEED])</f>
        <v>40</v>
      </c>
      <c r="L534" t="s">
        <v>21</v>
      </c>
      <c r="M534">
        <v>1</v>
      </c>
      <c r="N534">
        <v>670</v>
      </c>
      <c r="O534">
        <v>160</v>
      </c>
      <c r="P534" s="2">
        <v>0.65</v>
      </c>
      <c r="Q534" s="6">
        <v>25</v>
      </c>
      <c r="R534" s="10">
        <v>50</v>
      </c>
      <c r="S534" s="10">
        <v>7</v>
      </c>
      <c r="T534" s="10"/>
      <c r="U534" t="str">
        <f>"RUNNING_COST_"&amp;IF(PROPERTIES[[#This Row],[ENGINE_CLASS]]="MAGLEV","ELECTRIC",PROPERTIES[[#This Row],[ENGINE_CLASS]])</f>
        <v>RUNNING_COST_ELECTRIC</v>
      </c>
      <c r="V534" s="10" t="s">
        <v>1008</v>
      </c>
      <c r="W534" s="10" t="s">
        <v>1009</v>
      </c>
      <c r="X534" s="10" t="str">
        <f>SUBSTITUTE(SUBSTITUTE(PROPERTIES[[#This Row],[PURCHASECOST_VALUE]], "PURCHASECOST_", ""), "_VALUE", "")</f>
        <v>EMU</v>
      </c>
      <c r="AP534"/>
      <c r="AQ534"/>
      <c r="AR534"/>
    </row>
    <row r="535" spans="1:44">
      <c r="A535" s="2" t="s">
        <v>562</v>
      </c>
      <c r="B535">
        <v>1969</v>
      </c>
      <c r="C535">
        <v>1</v>
      </c>
      <c r="D535" t="s">
        <v>74</v>
      </c>
      <c r="E535" t="s">
        <v>18</v>
      </c>
      <c r="F535">
        <v>40</v>
      </c>
      <c r="G535" s="10">
        <v>75</v>
      </c>
      <c r="H535">
        <v>8</v>
      </c>
      <c r="I535">
        <v>8</v>
      </c>
      <c r="J535" s="2" t="s">
        <v>24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>
        <v>2400</v>
      </c>
      <c r="O535">
        <v>201</v>
      </c>
      <c r="P535" s="2">
        <v>0.15</v>
      </c>
      <c r="Q535" s="6">
        <v>40</v>
      </c>
      <c r="R535" s="10">
        <v>40</v>
      </c>
      <c r="S535" s="10">
        <v>8</v>
      </c>
      <c r="T535" s="10"/>
      <c r="U535" t="str">
        <f>"RUNNING_COST_"&amp;IF(PROPERTIES[[#This Row],[ENGINE_CLASS]]="MAGLEV","ELECTRIC",PROPERTIES[[#This Row],[ENGINE_CLASS]])</f>
        <v>RUNNING_COST_ELECTRIC</v>
      </c>
      <c r="V535" s="10" t="s">
        <v>1008</v>
      </c>
      <c r="W535" s="10" t="s">
        <v>1009</v>
      </c>
      <c r="X535" s="10" t="str">
        <f>SUBSTITUTE(SUBSTITUTE(PROPERTIES[[#This Row],[PURCHASECOST_VALUE]], "PURCHASECOST_", ""), "_VALUE", "")</f>
        <v>EMU</v>
      </c>
      <c r="AP535"/>
      <c r="AQ535"/>
      <c r="AR535"/>
    </row>
    <row r="536" spans="1:44">
      <c r="A536" s="2" t="s">
        <v>563</v>
      </c>
      <c r="B536">
        <v>2000</v>
      </c>
      <c r="C536">
        <v>1</v>
      </c>
      <c r="D536" t="s">
        <v>74</v>
      </c>
      <c r="E536" t="s">
        <v>18</v>
      </c>
      <c r="F536">
        <v>45</v>
      </c>
      <c r="G536" s="10">
        <v>51</v>
      </c>
      <c r="H536">
        <v>7</v>
      </c>
      <c r="I536">
        <v>7</v>
      </c>
      <c r="J536" s="2" t="s">
        <v>479</v>
      </c>
      <c r="K536">
        <f>_xlfn.XLOOKUP("LOADINGSPEEDDEF_"&amp;PROPERTIES[[#This Row],[LOADINGSPEED]],LOADINGSPEEDDEF[TYPE],LOADINGSPEEDDEF[SPEED])</f>
        <v>16</v>
      </c>
      <c r="L536" t="s">
        <v>21</v>
      </c>
      <c r="M536">
        <v>1</v>
      </c>
      <c r="N536">
        <v>1400</v>
      </c>
      <c r="O536">
        <v>328</v>
      </c>
      <c r="P536" s="2">
        <v>0.98</v>
      </c>
      <c r="Q536" s="6">
        <v>25</v>
      </c>
      <c r="R536" s="10">
        <v>45</v>
      </c>
      <c r="S536" s="10">
        <v>8</v>
      </c>
      <c r="T536" s="10"/>
      <c r="U536" t="str">
        <f>"RUNNING_COST_"&amp;IF(PROPERTIES[[#This Row],[ENGINE_CLASS]]="MAGLEV","ELECTRIC",PROPERTIES[[#This Row],[ENGINE_CLASS]])</f>
        <v>RUNNING_COST_ELECTRIC</v>
      </c>
      <c r="V536" s="10" t="s">
        <v>1008</v>
      </c>
      <c r="W536" s="10" t="s">
        <v>1009</v>
      </c>
      <c r="X536" s="10" t="str">
        <f>SUBSTITUTE(SUBSTITUTE(PROPERTIES[[#This Row],[PURCHASECOST_VALUE]], "PURCHASECOST_", ""), "_VALUE", "")</f>
        <v>EMU</v>
      </c>
      <c r="AP536"/>
      <c r="AQ536"/>
      <c r="AR536"/>
    </row>
    <row r="537" spans="1:44">
      <c r="A537" s="2" t="s">
        <v>564</v>
      </c>
      <c r="B537">
        <v>2005</v>
      </c>
      <c r="C537">
        <v>1</v>
      </c>
      <c r="D537" t="s">
        <v>74</v>
      </c>
      <c r="E537" t="s">
        <v>18</v>
      </c>
      <c r="F537">
        <v>62</v>
      </c>
      <c r="G537" s="10">
        <v>57</v>
      </c>
      <c r="H537">
        <v>8</v>
      </c>
      <c r="I537">
        <v>8</v>
      </c>
      <c r="J537" s="2" t="s">
        <v>24</v>
      </c>
      <c r="K537">
        <f>_xlfn.XLOOKUP("LOADINGSPEEDDEF_"&amp;PROPERTIES[[#This Row],[LOADINGSPEED]],LOADINGSPEEDDEF[TYPE],LOADINGSPEEDDEF[SPEED])</f>
        <v>40</v>
      </c>
      <c r="L537" t="s">
        <v>21</v>
      </c>
      <c r="M537">
        <v>1</v>
      </c>
      <c r="N537">
        <v>550</v>
      </c>
      <c r="O537">
        <v>140</v>
      </c>
      <c r="P537" s="2">
        <v>0.21</v>
      </c>
      <c r="Q537" s="6">
        <v>25</v>
      </c>
      <c r="R537" s="10">
        <v>62</v>
      </c>
      <c r="S537" s="10">
        <v>8</v>
      </c>
      <c r="T537" s="10"/>
      <c r="U537" t="str">
        <f>"RUNNING_COST_"&amp;IF(PROPERTIES[[#This Row],[ENGINE_CLASS]]="MAGLEV","ELECTRIC",PROPERTIES[[#This Row],[ENGINE_CLASS]])</f>
        <v>RUNNING_COST_ELECTRIC</v>
      </c>
      <c r="V537" s="10" t="s">
        <v>1008</v>
      </c>
      <c r="W537" s="10" t="s">
        <v>1009</v>
      </c>
      <c r="X537" s="10" t="str">
        <f>SUBSTITUTE(SUBSTITUTE(PROPERTIES[[#This Row],[PURCHASECOST_VALUE]], "PURCHASECOST_", ""), "_VALUE", "")</f>
        <v>EMU</v>
      </c>
      <c r="AP537"/>
      <c r="AQ537"/>
      <c r="AR537"/>
    </row>
    <row r="538" spans="1:44">
      <c r="A538" s="2" t="s">
        <v>565</v>
      </c>
      <c r="B538">
        <v>1975</v>
      </c>
      <c r="C538">
        <v>1</v>
      </c>
      <c r="D538" t="s">
        <v>74</v>
      </c>
      <c r="E538" t="s">
        <v>18</v>
      </c>
      <c r="F538">
        <v>70</v>
      </c>
      <c r="G538" s="10">
        <v>38</v>
      </c>
      <c r="H538">
        <v>8</v>
      </c>
      <c r="I538">
        <v>8</v>
      </c>
      <c r="J538" s="2" t="s">
        <v>24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>
        <v>831</v>
      </c>
      <c r="O538">
        <v>120</v>
      </c>
      <c r="P538" s="2">
        <v>0.22</v>
      </c>
      <c r="Q538" s="6">
        <v>25</v>
      </c>
      <c r="R538" s="10">
        <v>70</v>
      </c>
      <c r="S538" s="10">
        <v>8</v>
      </c>
      <c r="T538" s="10"/>
      <c r="U538" t="str">
        <f>"RUNNING_COST_"&amp;IF(PROPERTIES[[#This Row],[ENGINE_CLASS]]="MAGLEV","ELECTRIC",PROPERTIES[[#This Row],[ENGINE_CLASS]])</f>
        <v>RUNNING_COST_ELECTRIC</v>
      </c>
      <c r="V538" s="10" t="s">
        <v>1008</v>
      </c>
      <c r="W538" s="10" t="s">
        <v>1009</v>
      </c>
      <c r="X538" s="10" t="str">
        <f>SUBSTITUTE(SUBSTITUTE(PROPERTIES[[#This Row],[PURCHASECOST_VALUE]], "PURCHASECOST_", ""), "_VALUE", "")</f>
        <v>EMU</v>
      </c>
      <c r="AP538"/>
      <c r="AQ538"/>
      <c r="AR538"/>
    </row>
    <row r="539" spans="1:44">
      <c r="A539" s="2" t="s">
        <v>566</v>
      </c>
      <c r="B539">
        <v>1999</v>
      </c>
      <c r="C539">
        <v>1</v>
      </c>
      <c r="D539" t="s">
        <v>74</v>
      </c>
      <c r="E539" t="s">
        <v>18</v>
      </c>
      <c r="F539">
        <v>100</v>
      </c>
      <c r="G539" s="10">
        <v>57</v>
      </c>
      <c r="H539">
        <v>8</v>
      </c>
      <c r="I539">
        <v>8</v>
      </c>
      <c r="J539" s="2" t="s">
        <v>24</v>
      </c>
      <c r="K539">
        <f>_xlfn.XLOOKUP("LOADINGSPEEDDEF_"&amp;PROPERTIES[[#This Row],[LOADINGSPEED]],LOADINGSPEEDDEF[TYPE],LOADINGSPEEDDEF[SPEED])</f>
        <v>40</v>
      </c>
      <c r="L539" t="s">
        <v>21</v>
      </c>
      <c r="M539">
        <v>1</v>
      </c>
      <c r="N539">
        <v>800</v>
      </c>
      <c r="O539">
        <v>160</v>
      </c>
      <c r="P539" s="2">
        <v>0.18</v>
      </c>
      <c r="Q539" s="6">
        <v>25</v>
      </c>
      <c r="R539" s="10">
        <v>100</v>
      </c>
      <c r="S539" s="10">
        <v>8</v>
      </c>
      <c r="T539" s="10"/>
      <c r="U539" t="str">
        <f>"RUNNING_COST_"&amp;IF(PROPERTIES[[#This Row],[ENGINE_CLASS]]="MAGLEV","ELECTRIC",PROPERTIES[[#This Row],[ENGINE_CLASS]])</f>
        <v>RUNNING_COST_ELECTRIC</v>
      </c>
      <c r="V539" s="10" t="s">
        <v>1008</v>
      </c>
      <c r="W539" s="10" t="s">
        <v>1009</v>
      </c>
      <c r="X539" s="10" t="str">
        <f>SUBSTITUTE(SUBSTITUTE(PROPERTIES[[#This Row],[PURCHASECOST_VALUE]], "PURCHASECOST_", ""), "_VALUE", "")</f>
        <v>EMU</v>
      </c>
      <c r="AP539"/>
      <c r="AQ539"/>
      <c r="AR539"/>
    </row>
    <row r="540" spans="1:44">
      <c r="A540" s="2" t="s">
        <v>567</v>
      </c>
      <c r="B540">
        <v>1988</v>
      </c>
      <c r="C540">
        <v>1</v>
      </c>
      <c r="D540" t="s">
        <v>74</v>
      </c>
      <c r="E540" t="s">
        <v>18</v>
      </c>
      <c r="F540">
        <v>75</v>
      </c>
      <c r="G540" s="10">
        <v>66</v>
      </c>
      <c r="H540">
        <v>8</v>
      </c>
      <c r="I540">
        <v>8</v>
      </c>
      <c r="J540" s="2" t="s">
        <v>24</v>
      </c>
      <c r="K540">
        <f>_xlfn.XLOOKUP("LOADINGSPEEDDEF_"&amp;PROPERTIES[[#This Row],[LOADINGSPEED]],LOADINGSPEEDDEF[TYPE],LOADINGSPEEDDEF[SPEED])</f>
        <v>40</v>
      </c>
      <c r="L540" t="s">
        <v>21</v>
      </c>
      <c r="M540">
        <v>1</v>
      </c>
      <c r="N540">
        <v>2040</v>
      </c>
      <c r="O540">
        <v>120</v>
      </c>
      <c r="P540" s="2">
        <v>0.11</v>
      </c>
      <c r="Q540" s="6">
        <v>25</v>
      </c>
      <c r="R540" s="10">
        <v>75</v>
      </c>
      <c r="S540" s="10">
        <v>8</v>
      </c>
      <c r="T540" s="10"/>
      <c r="U540" t="str">
        <f>"RUNNING_COST_"&amp;IF(PROPERTIES[[#This Row],[ENGINE_CLASS]]="MAGLEV","ELECTRIC",PROPERTIES[[#This Row],[ENGINE_CLASS]])</f>
        <v>RUNNING_COST_ELECTRIC</v>
      </c>
      <c r="V540" s="10" t="s">
        <v>1008</v>
      </c>
      <c r="W540" s="10" t="s">
        <v>1009</v>
      </c>
      <c r="X540" s="10" t="str">
        <f>SUBSTITUTE(SUBSTITUTE(PROPERTIES[[#This Row],[PURCHASECOST_VALUE]], "PURCHASECOST_", ""), "_VALUE", "")</f>
        <v>EMU</v>
      </c>
      <c r="AP540"/>
      <c r="AQ540"/>
      <c r="AR540"/>
    </row>
    <row r="541" spans="1:44">
      <c r="A541" s="2" t="s">
        <v>568</v>
      </c>
      <c r="B541">
        <v>2030</v>
      </c>
      <c r="C541">
        <v>1</v>
      </c>
      <c r="D541" t="s">
        <v>74</v>
      </c>
      <c r="E541" t="s">
        <v>18</v>
      </c>
      <c r="F541">
        <v>85</v>
      </c>
      <c r="G541" s="10">
        <v>50</v>
      </c>
      <c r="H541">
        <v>8</v>
      </c>
      <c r="I541">
        <v>8</v>
      </c>
      <c r="J541" s="2" t="s">
        <v>479</v>
      </c>
      <c r="K541">
        <f>_xlfn.XLOOKUP("LOADINGSPEEDDEF_"&amp;PROPERTIES[[#This Row],[LOADINGSPEED]],LOADINGSPEEDDEF[TYPE],LOADINGSPEEDDEF[SPEED])</f>
        <v>16</v>
      </c>
      <c r="L541" t="s">
        <v>21</v>
      </c>
      <c r="M541">
        <v>1</v>
      </c>
      <c r="N541">
        <v>16000</v>
      </c>
      <c r="O541">
        <v>300</v>
      </c>
      <c r="P541" s="2">
        <v>0.22</v>
      </c>
      <c r="Q541" s="6">
        <v>25</v>
      </c>
      <c r="R541" s="10">
        <v>85</v>
      </c>
      <c r="S541" s="10">
        <v>8</v>
      </c>
      <c r="T541" s="10"/>
      <c r="U541" t="str">
        <f>"RUNNING_COST_"&amp;IF(PROPERTIES[[#This Row],[ENGINE_CLASS]]="MAGLEV","ELECTRIC",PROPERTIES[[#This Row],[ENGINE_CLASS]])</f>
        <v>RUNNING_COST_ELECTRIC</v>
      </c>
      <c r="V541" s="10" t="s">
        <v>1008</v>
      </c>
      <c r="W541" s="10" t="s">
        <v>1009</v>
      </c>
      <c r="X541" s="10" t="str">
        <f>SUBSTITUTE(SUBSTITUTE(PROPERTIES[[#This Row],[PURCHASECOST_VALUE]], "PURCHASECOST_", ""), "_VALUE", "")</f>
        <v>EMU</v>
      </c>
      <c r="AP541"/>
      <c r="AQ541"/>
      <c r="AR541"/>
    </row>
    <row r="542" spans="1:44">
      <c r="A542" s="2" t="s">
        <v>569</v>
      </c>
      <c r="B542">
        <v>1964</v>
      </c>
      <c r="C542">
        <v>1</v>
      </c>
      <c r="D542" t="s">
        <v>74</v>
      </c>
      <c r="E542" t="s">
        <v>18</v>
      </c>
      <c r="F542">
        <v>50</v>
      </c>
      <c r="G542" s="10">
        <v>54</v>
      </c>
      <c r="H542">
        <v>8</v>
      </c>
      <c r="I542">
        <v>8</v>
      </c>
      <c r="J542" s="2" t="s">
        <v>479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>
        <v>1000</v>
      </c>
      <c r="O542">
        <v>210</v>
      </c>
      <c r="P542" s="2">
        <v>0.3</v>
      </c>
      <c r="Q542" s="6">
        <v>44</v>
      </c>
      <c r="R542" s="10">
        <v>50</v>
      </c>
      <c r="S542" s="10">
        <v>8</v>
      </c>
      <c r="T542" s="10"/>
      <c r="U542" t="str">
        <f>"RUNNING_COST_"&amp;IF(PROPERTIES[[#This Row],[ENGINE_CLASS]]="MAGLEV","ELECTRIC",PROPERTIES[[#This Row],[ENGINE_CLASS]])</f>
        <v>RUNNING_COST_ELECTRIC</v>
      </c>
      <c r="V542" s="10" t="s">
        <v>1008</v>
      </c>
      <c r="W542" s="10" t="s">
        <v>1009</v>
      </c>
      <c r="X542" s="10" t="str">
        <f>SUBSTITUTE(SUBSTITUTE(PROPERTIES[[#This Row],[PURCHASECOST_VALUE]], "PURCHASECOST_", ""), "_VALUE", "")</f>
        <v>EMU</v>
      </c>
      <c r="AP542"/>
      <c r="AQ542"/>
      <c r="AR542"/>
    </row>
    <row r="543" spans="1:44">
      <c r="A543" s="2" t="s">
        <v>570</v>
      </c>
      <c r="B543">
        <v>1997</v>
      </c>
      <c r="C543">
        <v>1</v>
      </c>
      <c r="D543" t="s">
        <v>74</v>
      </c>
      <c r="E543" t="s">
        <v>18</v>
      </c>
      <c r="F543">
        <v>83</v>
      </c>
      <c r="G543" s="10">
        <v>45</v>
      </c>
      <c r="H543">
        <v>8</v>
      </c>
      <c r="I543">
        <v>8</v>
      </c>
      <c r="J543" s="2" t="s">
        <v>479</v>
      </c>
      <c r="K543">
        <f>_xlfn.XLOOKUP("LOADINGSPEEDDEF_"&amp;PROPERTIES[[#This Row],[LOADINGSPEED]],LOADINGSPEEDDEF[TYPE],LOADINGSPEEDDEF[SPEED])</f>
        <v>16</v>
      </c>
      <c r="L543" t="s">
        <v>21</v>
      </c>
      <c r="M543">
        <v>1</v>
      </c>
      <c r="N543">
        <v>1441</v>
      </c>
      <c r="O543">
        <v>270</v>
      </c>
      <c r="P543" s="2">
        <v>0.56000000000000005</v>
      </c>
      <c r="Q543" s="6">
        <v>25</v>
      </c>
      <c r="R543" s="10">
        <v>83</v>
      </c>
      <c r="S543" s="10">
        <v>8</v>
      </c>
      <c r="T543" s="10"/>
      <c r="U543" t="str">
        <f>"RUNNING_COST_"&amp;IF(PROPERTIES[[#This Row],[ENGINE_CLASS]]="MAGLEV","ELECTRIC",PROPERTIES[[#This Row],[ENGINE_CLASS]])</f>
        <v>RUNNING_COST_ELECTRIC</v>
      </c>
      <c r="V543" s="10" t="s">
        <v>1008</v>
      </c>
      <c r="W543" s="10" t="s">
        <v>1009</v>
      </c>
      <c r="X543" s="10" t="str">
        <f>SUBSTITUTE(SUBSTITUTE(PROPERTIES[[#This Row],[PURCHASECOST_VALUE]], "PURCHASECOST_", ""), "_VALUE", "")</f>
        <v>EMU</v>
      </c>
      <c r="AP543"/>
      <c r="AQ543"/>
      <c r="AR543"/>
    </row>
    <row r="544" spans="1:44">
      <c r="A544" s="2" t="s">
        <v>571</v>
      </c>
      <c r="B544">
        <v>1994</v>
      </c>
      <c r="C544">
        <v>1</v>
      </c>
      <c r="D544" t="s">
        <v>74</v>
      </c>
      <c r="E544" t="s">
        <v>18</v>
      </c>
      <c r="F544">
        <v>100</v>
      </c>
      <c r="G544" s="10">
        <v>58</v>
      </c>
      <c r="H544">
        <v>8</v>
      </c>
      <c r="I544">
        <v>8</v>
      </c>
      <c r="J544" s="2" t="s">
        <v>24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>
        <v>1704</v>
      </c>
      <c r="O544">
        <v>240</v>
      </c>
      <c r="P544" s="2">
        <v>0.3</v>
      </c>
      <c r="Q544" s="6">
        <v>40</v>
      </c>
      <c r="R544" s="10">
        <v>100</v>
      </c>
      <c r="S544" s="10">
        <v>8</v>
      </c>
      <c r="T544" s="10"/>
      <c r="U544" t="str">
        <f>"RUNNING_COST_"&amp;IF(PROPERTIES[[#This Row],[ENGINE_CLASS]]="MAGLEV","ELECTRIC",PROPERTIES[[#This Row],[ENGINE_CLASS]])</f>
        <v>RUNNING_COST_ELECTRIC</v>
      </c>
      <c r="V544" s="10" t="s">
        <v>1008</v>
      </c>
      <c r="W544" s="10" t="s">
        <v>1009</v>
      </c>
      <c r="X544" s="10" t="str">
        <f>SUBSTITUTE(SUBSTITUTE(PROPERTIES[[#This Row],[PURCHASECOST_VALUE]], "PURCHASECOST_", ""), "_VALUE", "")</f>
        <v>EMU</v>
      </c>
      <c r="AP544"/>
      <c r="AQ544"/>
      <c r="AR544"/>
    </row>
    <row r="545" spans="1:44">
      <c r="A545" s="2" t="s">
        <v>572</v>
      </c>
      <c r="B545">
        <v>1999</v>
      </c>
      <c r="C545">
        <v>1</v>
      </c>
      <c r="D545" t="s">
        <v>74</v>
      </c>
      <c r="E545" t="s">
        <v>18</v>
      </c>
      <c r="F545">
        <v>111</v>
      </c>
      <c r="G545" s="10">
        <v>53</v>
      </c>
      <c r="H545">
        <v>8</v>
      </c>
      <c r="I545">
        <v>8</v>
      </c>
      <c r="J545" s="2" t="s">
        <v>24</v>
      </c>
      <c r="K545">
        <f>_xlfn.XLOOKUP("LOADINGSPEEDDEF_"&amp;PROPERTIES[[#This Row],[LOADINGSPEED]],LOADINGSPEEDDEF[TYPE],LOADINGSPEEDDEF[SPEED])</f>
        <v>40</v>
      </c>
      <c r="L545" t="s">
        <v>21</v>
      </c>
      <c r="M545">
        <v>1</v>
      </c>
      <c r="N545">
        <v>1050</v>
      </c>
      <c r="O545">
        <v>160</v>
      </c>
      <c r="P545" s="2">
        <v>0.26</v>
      </c>
      <c r="Q545" s="6">
        <v>25</v>
      </c>
      <c r="R545" s="10">
        <v>111</v>
      </c>
      <c r="S545" s="10">
        <v>8</v>
      </c>
      <c r="T545" s="10"/>
      <c r="U545" t="str">
        <f>"RUNNING_COST_"&amp;IF(PROPERTIES[[#This Row],[ENGINE_CLASS]]="MAGLEV","ELECTRIC",PROPERTIES[[#This Row],[ENGINE_CLASS]])</f>
        <v>RUNNING_COST_ELECTRIC</v>
      </c>
      <c r="V545" s="10" t="s">
        <v>1008</v>
      </c>
      <c r="W545" s="10" t="s">
        <v>1009</v>
      </c>
      <c r="X545" s="10" t="str">
        <f>SUBSTITUTE(SUBSTITUTE(PROPERTIES[[#This Row],[PURCHASECOST_VALUE]], "PURCHASECOST_", ""), "_VALUE", "")</f>
        <v>EMU</v>
      </c>
      <c r="AP545"/>
      <c r="AQ545"/>
      <c r="AR545"/>
    </row>
    <row r="546" spans="1:44">
      <c r="A546" s="2" t="s">
        <v>573</v>
      </c>
      <c r="B546">
        <v>1980</v>
      </c>
      <c r="C546">
        <v>1</v>
      </c>
      <c r="D546" t="s">
        <v>74</v>
      </c>
      <c r="E546" t="s">
        <v>18</v>
      </c>
      <c r="F546">
        <v>68</v>
      </c>
      <c r="G546" s="10">
        <v>60</v>
      </c>
      <c r="H546">
        <v>8</v>
      </c>
      <c r="I546">
        <v>8</v>
      </c>
      <c r="J546" s="2" t="s">
        <v>24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>
        <v>340</v>
      </c>
      <c r="O546">
        <v>120</v>
      </c>
      <c r="P546" s="2">
        <v>0.15</v>
      </c>
      <c r="Q546" s="6">
        <v>25</v>
      </c>
      <c r="R546" s="10">
        <v>68</v>
      </c>
      <c r="S546" s="10">
        <v>8</v>
      </c>
      <c r="T546" s="10"/>
      <c r="U546" t="str">
        <f>"RUNNING_COST_"&amp;IF(PROPERTIES[[#This Row],[ENGINE_CLASS]]="MAGLEV","ELECTRIC",PROPERTIES[[#This Row],[ENGINE_CLASS]])</f>
        <v>RUNNING_COST_ELECTRIC</v>
      </c>
      <c r="V546" s="10" t="s">
        <v>1008</v>
      </c>
      <c r="W546" s="10" t="s">
        <v>1009</v>
      </c>
      <c r="X546" s="10" t="str">
        <f>SUBSTITUTE(SUBSTITUTE(PROPERTIES[[#This Row],[PURCHASECOST_VALUE]], "PURCHASECOST_", ""), "_VALUE", "")</f>
        <v>EMU</v>
      </c>
      <c r="AP546"/>
      <c r="AQ546"/>
      <c r="AR546"/>
    </row>
    <row r="547" spans="1:44">
      <c r="A547" s="2" t="s">
        <v>574</v>
      </c>
      <c r="B547">
        <v>1965</v>
      </c>
      <c r="C547">
        <v>1</v>
      </c>
      <c r="D547" t="s">
        <v>74</v>
      </c>
      <c r="E547" t="s">
        <v>18</v>
      </c>
      <c r="F547">
        <v>100</v>
      </c>
      <c r="G547" s="10">
        <v>35</v>
      </c>
      <c r="H547">
        <v>8</v>
      </c>
      <c r="I547">
        <v>8</v>
      </c>
      <c r="J547" s="2" t="s">
        <v>24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>
        <v>824</v>
      </c>
      <c r="O547">
        <v>120</v>
      </c>
      <c r="P547" s="2">
        <v>0.42</v>
      </c>
      <c r="Q547" s="6">
        <v>40</v>
      </c>
      <c r="R547" s="10">
        <v>100</v>
      </c>
      <c r="S547" s="10">
        <v>8</v>
      </c>
      <c r="T547" s="10"/>
      <c r="U547" t="str">
        <f>"RUNNING_COST_"&amp;IF(PROPERTIES[[#This Row],[ENGINE_CLASS]]="MAGLEV","ELECTRIC",PROPERTIES[[#This Row],[ENGINE_CLASS]])</f>
        <v>RUNNING_COST_ELECTRIC</v>
      </c>
      <c r="V547" s="10" t="s">
        <v>1008</v>
      </c>
      <c r="W547" s="10" t="s">
        <v>1009</v>
      </c>
      <c r="X547" s="10" t="str">
        <f>SUBSTITUTE(SUBSTITUTE(PROPERTIES[[#This Row],[PURCHASECOST_VALUE]], "PURCHASECOST_", ""), "_VALUE", "")</f>
        <v>EMU</v>
      </c>
      <c r="AP547"/>
      <c r="AQ547"/>
      <c r="AR547"/>
    </row>
    <row r="548" spans="1:44">
      <c r="A548" s="2" t="s">
        <v>575</v>
      </c>
      <c r="B548">
        <v>2010</v>
      </c>
      <c r="C548">
        <v>1</v>
      </c>
      <c r="D548" t="s">
        <v>74</v>
      </c>
      <c r="E548" t="s">
        <v>18</v>
      </c>
      <c r="F548">
        <v>52</v>
      </c>
      <c r="G548" s="10">
        <v>42</v>
      </c>
      <c r="H548">
        <v>8</v>
      </c>
      <c r="I548">
        <v>8</v>
      </c>
      <c r="J548" s="2" t="s">
        <v>479</v>
      </c>
      <c r="K548">
        <f>_xlfn.XLOOKUP("LOADINGSPEEDDEF_"&amp;PROPERTIES[[#This Row],[LOADINGSPEED]],LOADINGSPEEDDEF[TYPE],LOADINGSPEEDDEF[SPEED])</f>
        <v>16</v>
      </c>
      <c r="L548" t="s">
        <v>21</v>
      </c>
      <c r="M548">
        <v>1</v>
      </c>
      <c r="N548">
        <v>553</v>
      </c>
      <c r="O548">
        <v>160</v>
      </c>
      <c r="P548" s="2">
        <v>0.3</v>
      </c>
      <c r="Q548" s="6">
        <v>25</v>
      </c>
      <c r="R548" s="10">
        <v>52</v>
      </c>
      <c r="S548" s="10">
        <v>8</v>
      </c>
      <c r="T548" s="10"/>
      <c r="U548" t="str">
        <f>"RUNNING_COST_"&amp;IF(PROPERTIES[[#This Row],[ENGINE_CLASS]]="MAGLEV","ELECTRIC",PROPERTIES[[#This Row],[ENGINE_CLASS]])</f>
        <v>RUNNING_COST_ELECTRIC</v>
      </c>
      <c r="V548" s="10" t="s">
        <v>1008</v>
      </c>
      <c r="W548" s="10" t="s">
        <v>1009</v>
      </c>
      <c r="X548" s="10" t="str">
        <f>SUBSTITUTE(SUBSTITUTE(PROPERTIES[[#This Row],[PURCHASECOST_VALUE]], "PURCHASECOST_", ""), "_VALUE", "")</f>
        <v>EMU</v>
      </c>
      <c r="AP548"/>
      <c r="AQ548"/>
      <c r="AR548"/>
    </row>
    <row r="549" spans="1:44">
      <c r="A549" s="2" t="s">
        <v>576</v>
      </c>
      <c r="B549">
        <v>1955</v>
      </c>
      <c r="C549">
        <v>1</v>
      </c>
      <c r="D549" t="s">
        <v>74</v>
      </c>
      <c r="E549" t="s">
        <v>18</v>
      </c>
      <c r="F549">
        <v>81</v>
      </c>
      <c r="G549" s="10">
        <v>40</v>
      </c>
      <c r="H549">
        <v>8</v>
      </c>
      <c r="I549">
        <v>8</v>
      </c>
      <c r="J549" s="2" t="s">
        <v>24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>
        <v>550</v>
      </c>
      <c r="O549">
        <v>110</v>
      </c>
      <c r="P549" s="2">
        <v>0.2</v>
      </c>
      <c r="Q549" s="6">
        <v>25</v>
      </c>
      <c r="R549" s="10">
        <v>81</v>
      </c>
      <c r="S549" s="10">
        <v>8</v>
      </c>
      <c r="T549" s="10"/>
      <c r="U549" t="str">
        <f>"RUNNING_COST_"&amp;IF(PROPERTIES[[#This Row],[ENGINE_CLASS]]="MAGLEV","ELECTRIC",PROPERTIES[[#This Row],[ENGINE_CLASS]])</f>
        <v>RUNNING_COST_ELECTRIC</v>
      </c>
      <c r="V549" s="10" t="s">
        <v>1008</v>
      </c>
      <c r="W549" s="10" t="s">
        <v>1009</v>
      </c>
      <c r="X549" s="10" t="str">
        <f>SUBSTITUTE(SUBSTITUTE(PROPERTIES[[#This Row],[PURCHASECOST_VALUE]], "PURCHASECOST_", ""), "_VALUE", "")</f>
        <v>EMU</v>
      </c>
      <c r="AP549"/>
      <c r="AQ549"/>
      <c r="AR549"/>
    </row>
    <row r="550" spans="1:44">
      <c r="A550" s="2" t="s">
        <v>577</v>
      </c>
      <c r="B550">
        <v>2010</v>
      </c>
      <c r="C550">
        <v>1</v>
      </c>
      <c r="D550" t="s">
        <v>74</v>
      </c>
      <c r="E550" t="s">
        <v>18</v>
      </c>
      <c r="F550">
        <v>70</v>
      </c>
      <c r="G550" s="10">
        <v>48</v>
      </c>
      <c r="H550">
        <v>8</v>
      </c>
      <c r="I550">
        <v>8</v>
      </c>
      <c r="J550" s="2" t="s">
        <v>24</v>
      </c>
      <c r="K550">
        <f>_xlfn.XLOOKUP("LOADINGSPEEDDEF_"&amp;PROPERTIES[[#This Row],[LOADINGSPEED]],LOADINGSPEEDDEF[TYPE],LOADINGSPEEDDEF[SPEED])</f>
        <v>40</v>
      </c>
      <c r="L550" t="s">
        <v>21</v>
      </c>
      <c r="M550">
        <v>1</v>
      </c>
      <c r="N550">
        <v>6450</v>
      </c>
      <c r="O550">
        <v>380</v>
      </c>
      <c r="P550" s="2">
        <v>0.14000000000000001</v>
      </c>
      <c r="Q550" s="6">
        <v>25</v>
      </c>
      <c r="R550" s="10">
        <v>70</v>
      </c>
      <c r="S550" s="10">
        <v>8</v>
      </c>
      <c r="T550" s="10"/>
      <c r="U550" t="str">
        <f>"RUNNING_COST_"&amp;IF(PROPERTIES[[#This Row],[ENGINE_CLASS]]="MAGLEV","ELECTRIC",PROPERTIES[[#This Row],[ENGINE_CLASS]])</f>
        <v>RUNNING_COST_ELECTRIC</v>
      </c>
      <c r="V550" s="10" t="s">
        <v>1008</v>
      </c>
      <c r="W550" s="10" t="s">
        <v>1009</v>
      </c>
      <c r="X550" s="10" t="str">
        <f>SUBSTITUTE(SUBSTITUTE(PROPERTIES[[#This Row],[PURCHASECOST_VALUE]], "PURCHASECOST_", ""), "_VALUE", "")</f>
        <v>EMU</v>
      </c>
      <c r="AP550"/>
      <c r="AQ550"/>
      <c r="AR550"/>
    </row>
    <row r="551" spans="1:44">
      <c r="A551" s="2" t="s">
        <v>578</v>
      </c>
      <c r="B551">
        <v>1908</v>
      </c>
      <c r="C551">
        <v>1</v>
      </c>
      <c r="D551" t="s">
        <v>74</v>
      </c>
      <c r="E551" t="s">
        <v>18</v>
      </c>
      <c r="F551">
        <v>72</v>
      </c>
      <c r="G551" s="10">
        <v>68</v>
      </c>
      <c r="H551">
        <v>8</v>
      </c>
      <c r="I551">
        <v>8</v>
      </c>
      <c r="J551" s="2" t="s">
        <v>24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>
        <v>450</v>
      </c>
      <c r="O551">
        <v>105</v>
      </c>
      <c r="P551" s="2">
        <v>0.22</v>
      </c>
      <c r="Q551" s="6">
        <v>25</v>
      </c>
      <c r="R551" s="10">
        <v>72</v>
      </c>
      <c r="S551" s="10">
        <v>8</v>
      </c>
      <c r="T551" s="10"/>
      <c r="U551" t="str">
        <f>"RUNNING_COST_"&amp;IF(PROPERTIES[[#This Row],[ENGINE_CLASS]]="MAGLEV","ELECTRIC",PROPERTIES[[#This Row],[ENGINE_CLASS]])</f>
        <v>RUNNING_COST_ELECTRIC</v>
      </c>
      <c r="V551" s="10" t="s">
        <v>996</v>
      </c>
      <c r="W551" s="10" t="s">
        <v>997</v>
      </c>
      <c r="X551" s="10" t="str">
        <f>SUBSTITUTE(SUBSTITUTE(PROPERTIES[[#This Row],[PURCHASECOST_VALUE]], "PURCHASECOST_", ""), "_VALUE", "")</f>
        <v>ELECTRICRAILBUS</v>
      </c>
      <c r="AP551"/>
      <c r="AQ551"/>
      <c r="AR551"/>
    </row>
    <row r="552" spans="1:44">
      <c r="A552" s="2" t="s">
        <v>579</v>
      </c>
      <c r="B552">
        <v>2011</v>
      </c>
      <c r="C552">
        <v>1</v>
      </c>
      <c r="D552" t="s">
        <v>74</v>
      </c>
      <c r="E552" t="s">
        <v>18</v>
      </c>
      <c r="F552">
        <v>42</v>
      </c>
      <c r="G552" s="10">
        <v>30</v>
      </c>
      <c r="H552">
        <v>8</v>
      </c>
      <c r="I552">
        <v>8</v>
      </c>
      <c r="J552" s="2" t="s">
        <v>479</v>
      </c>
      <c r="K552">
        <f>_xlfn.XLOOKUP("LOADINGSPEEDDEF_"&amp;PROPERTIES[[#This Row],[LOADINGSPEED]],LOADINGSPEEDDEF[TYPE],LOADINGSPEEDDEF[SPEED])</f>
        <v>16</v>
      </c>
      <c r="L552" t="s">
        <v>21</v>
      </c>
      <c r="M552">
        <v>1</v>
      </c>
      <c r="N552">
        <v>1150</v>
      </c>
      <c r="O552">
        <v>360</v>
      </c>
      <c r="P552" s="2">
        <v>0.9</v>
      </c>
      <c r="Q552" s="6">
        <v>25</v>
      </c>
      <c r="R552" s="10">
        <v>42</v>
      </c>
      <c r="S552" s="10">
        <v>7</v>
      </c>
      <c r="T552" s="10"/>
      <c r="U552" t="str">
        <f>"RUNNING_COST_"&amp;IF(PROPERTIES[[#This Row],[ENGINE_CLASS]]="MAGLEV","ELECTRIC",PROPERTIES[[#This Row],[ENGINE_CLASS]])</f>
        <v>RUNNING_COST_ELECTRIC</v>
      </c>
      <c r="V552" s="10" t="s">
        <v>1008</v>
      </c>
      <c r="W552" s="10" t="s">
        <v>1009</v>
      </c>
      <c r="X552" s="10" t="str">
        <f>SUBSTITUTE(SUBSTITUTE(PROPERTIES[[#This Row],[PURCHASECOST_VALUE]], "PURCHASECOST_", ""), "_VALUE", "")</f>
        <v>EMU</v>
      </c>
      <c r="AP552"/>
      <c r="AQ552"/>
      <c r="AR552"/>
    </row>
    <row r="553" spans="1:44">
      <c r="A553" s="2" t="s">
        <v>580</v>
      </c>
      <c r="B553">
        <v>2015</v>
      </c>
      <c r="C553">
        <v>1</v>
      </c>
      <c r="D553" t="s">
        <v>74</v>
      </c>
      <c r="E553" t="s">
        <v>18</v>
      </c>
      <c r="F553">
        <v>67</v>
      </c>
      <c r="G553" s="10">
        <v>44</v>
      </c>
      <c r="H553">
        <v>8</v>
      </c>
      <c r="I553">
        <v>8</v>
      </c>
      <c r="J553" s="2" t="s">
        <v>479</v>
      </c>
      <c r="K553">
        <f>_xlfn.XLOOKUP("LOADINGSPEEDDEF_"&amp;PROPERTIES[[#This Row],[LOADINGSPEED]],LOADINGSPEEDDEF[TYPE],LOADINGSPEEDDEF[SPEED])</f>
        <v>16</v>
      </c>
      <c r="L553" t="s">
        <v>21</v>
      </c>
      <c r="M553">
        <v>1</v>
      </c>
      <c r="N553">
        <v>1750</v>
      </c>
      <c r="O553">
        <v>360</v>
      </c>
      <c r="P553" s="2">
        <v>0.83</v>
      </c>
      <c r="Q553" s="6">
        <v>25</v>
      </c>
      <c r="R553" s="10">
        <v>67</v>
      </c>
      <c r="S553" s="10">
        <v>7</v>
      </c>
      <c r="T553" s="10"/>
      <c r="U553" t="str">
        <f>"RUNNING_COST_"&amp;IF(PROPERTIES[[#This Row],[ENGINE_CLASS]]="MAGLEV","ELECTRIC",PROPERTIES[[#This Row],[ENGINE_CLASS]])</f>
        <v>RUNNING_COST_ELECTRIC</v>
      </c>
      <c r="V553" s="10" t="s">
        <v>1008</v>
      </c>
      <c r="W553" s="10" t="s">
        <v>1009</v>
      </c>
      <c r="X553" s="10" t="str">
        <f>SUBSTITUTE(SUBSTITUTE(PROPERTIES[[#This Row],[PURCHASECOST_VALUE]], "PURCHASECOST_", ""), "_VALUE", "")</f>
        <v>EMU</v>
      </c>
      <c r="AP553"/>
      <c r="AQ553"/>
      <c r="AR553"/>
    </row>
    <row r="554" spans="1:44">
      <c r="A554" s="2" t="s">
        <v>581</v>
      </c>
      <c r="B554">
        <v>2012</v>
      </c>
      <c r="C554">
        <v>1</v>
      </c>
      <c r="D554" t="s">
        <v>74</v>
      </c>
      <c r="E554" t="s">
        <v>18</v>
      </c>
      <c r="F554">
        <v>71</v>
      </c>
      <c r="G554" s="10">
        <v>58</v>
      </c>
      <c r="H554">
        <v>8</v>
      </c>
      <c r="I554">
        <v>8</v>
      </c>
      <c r="J554" s="2" t="s">
        <v>24</v>
      </c>
      <c r="K554">
        <f>_xlfn.XLOOKUP("LOADINGSPEEDDEF_"&amp;PROPERTIES[[#This Row],[LOADINGSPEED]],LOADINGSPEEDDEF[TYPE],LOADINGSPEEDDEF[SPEED])</f>
        <v>40</v>
      </c>
      <c r="L554" t="s">
        <v>21</v>
      </c>
      <c r="M554">
        <v>1</v>
      </c>
      <c r="N554">
        <v>1850</v>
      </c>
      <c r="O554">
        <v>251</v>
      </c>
      <c r="P554" s="2">
        <v>0.52</v>
      </c>
      <c r="Q554" s="6">
        <v>25</v>
      </c>
      <c r="R554" s="10">
        <v>71</v>
      </c>
      <c r="S554" s="10">
        <v>8</v>
      </c>
      <c r="T554" s="10"/>
      <c r="U554" t="str">
        <f>"RUNNING_COST_"&amp;IF(PROPERTIES[[#This Row],[ENGINE_CLASS]]="MAGLEV","ELECTRIC",PROPERTIES[[#This Row],[ENGINE_CLASS]])</f>
        <v>RUNNING_COST_ELECTRIC</v>
      </c>
      <c r="V554" s="10" t="s">
        <v>1008</v>
      </c>
      <c r="W554" s="10" t="s">
        <v>1009</v>
      </c>
      <c r="X554" s="10" t="str">
        <f>SUBSTITUTE(SUBSTITUTE(PROPERTIES[[#This Row],[PURCHASECOST_VALUE]], "PURCHASECOST_", ""), "_VALUE", "")</f>
        <v>EMU</v>
      </c>
      <c r="AP554"/>
      <c r="AQ554"/>
      <c r="AR554"/>
    </row>
    <row r="555" spans="1:44">
      <c r="A555" s="2" t="s">
        <v>582</v>
      </c>
      <c r="B555">
        <v>2012</v>
      </c>
      <c r="C555">
        <v>1</v>
      </c>
      <c r="D555" t="s">
        <v>74</v>
      </c>
      <c r="E555" t="s">
        <v>18</v>
      </c>
      <c r="F555">
        <v>42</v>
      </c>
      <c r="G555" s="10">
        <v>35</v>
      </c>
      <c r="H555">
        <v>8</v>
      </c>
      <c r="I555">
        <v>8</v>
      </c>
      <c r="J555" s="2" t="s">
        <v>479</v>
      </c>
      <c r="K555">
        <f>_xlfn.XLOOKUP("LOADINGSPEEDDEF_"&amp;PROPERTIES[[#This Row],[LOADINGSPEED]],LOADINGSPEEDDEF[TYPE],LOADINGSPEEDDEF[SPEED])</f>
        <v>16</v>
      </c>
      <c r="L555" t="s">
        <v>21</v>
      </c>
      <c r="M555">
        <v>1</v>
      </c>
      <c r="N555">
        <v>1000</v>
      </c>
      <c r="O555">
        <v>300</v>
      </c>
      <c r="P555" s="2">
        <v>0.8</v>
      </c>
      <c r="Q555" s="6">
        <v>25</v>
      </c>
      <c r="R555" s="10">
        <v>42</v>
      </c>
      <c r="S555" s="10">
        <v>8</v>
      </c>
      <c r="T555" s="10"/>
      <c r="U555" t="str">
        <f>"RUNNING_COST_"&amp;IF(PROPERTIES[[#This Row],[ENGINE_CLASS]]="MAGLEV","ELECTRIC",PROPERTIES[[#This Row],[ENGINE_CLASS]])</f>
        <v>RUNNING_COST_ELECTRIC</v>
      </c>
      <c r="V555" s="10" t="s">
        <v>1008</v>
      </c>
      <c r="W555" s="10" t="s">
        <v>1009</v>
      </c>
      <c r="X555" s="10" t="str">
        <f>SUBSTITUTE(SUBSTITUTE(PROPERTIES[[#This Row],[PURCHASECOST_VALUE]], "PURCHASECOST_", ""), "_VALUE", "")</f>
        <v>EMU</v>
      </c>
      <c r="AP555"/>
      <c r="AQ555"/>
      <c r="AR555"/>
    </row>
    <row r="556" spans="1:44">
      <c r="A556" s="2" t="s">
        <v>583</v>
      </c>
      <c r="B556">
        <v>1961</v>
      </c>
      <c r="C556">
        <v>1</v>
      </c>
      <c r="D556" t="s">
        <v>74</v>
      </c>
      <c r="E556" t="s">
        <v>18</v>
      </c>
      <c r="F556">
        <v>60</v>
      </c>
      <c r="G556" s="10">
        <v>47</v>
      </c>
      <c r="H556">
        <v>8</v>
      </c>
      <c r="I556">
        <v>8</v>
      </c>
      <c r="J556" s="2" t="s">
        <v>479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>
        <v>425</v>
      </c>
      <c r="O556">
        <v>160</v>
      </c>
      <c r="P556" s="2">
        <v>0.26</v>
      </c>
      <c r="Q556" s="6">
        <v>25</v>
      </c>
      <c r="R556" s="10">
        <v>60</v>
      </c>
      <c r="S556" s="10">
        <v>8</v>
      </c>
      <c r="T556" s="10"/>
      <c r="U556" t="str">
        <f>"RUNNING_COST_"&amp;IF(PROPERTIES[[#This Row],[ENGINE_CLASS]]="MAGLEV","ELECTRIC",PROPERTIES[[#This Row],[ENGINE_CLASS]])</f>
        <v>RUNNING_COST_ELECTRIC</v>
      </c>
      <c r="V556" s="10" t="s">
        <v>1008</v>
      </c>
      <c r="W556" s="10" t="s">
        <v>1009</v>
      </c>
      <c r="X556" s="10" t="str">
        <f>SUBSTITUTE(SUBSTITUTE(PROPERTIES[[#This Row],[PURCHASECOST_VALUE]], "PURCHASECOST_", ""), "_VALUE", "")</f>
        <v>EMU</v>
      </c>
      <c r="AP556"/>
      <c r="AQ556"/>
      <c r="AR556"/>
    </row>
    <row r="557" spans="1:44">
      <c r="A557" s="2" t="s">
        <v>584</v>
      </c>
      <c r="B557">
        <v>1930</v>
      </c>
      <c r="C557">
        <v>1</v>
      </c>
      <c r="D557" t="s">
        <v>74</v>
      </c>
      <c r="E557" t="s">
        <v>18</v>
      </c>
      <c r="F557">
        <v>58</v>
      </c>
      <c r="G557" s="10">
        <v>51</v>
      </c>
      <c r="H557">
        <v>8</v>
      </c>
      <c r="I557">
        <v>8</v>
      </c>
      <c r="J557" s="2" t="s">
        <v>24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>
        <v>510</v>
      </c>
      <c r="O557">
        <v>101</v>
      </c>
      <c r="P557" s="2">
        <v>0.25</v>
      </c>
      <c r="Q557" s="6">
        <v>25</v>
      </c>
      <c r="R557" s="10">
        <v>58</v>
      </c>
      <c r="S557" s="10">
        <v>8</v>
      </c>
      <c r="T557" s="10"/>
      <c r="U557" t="str">
        <f>"RUNNING_COST_"&amp;IF(PROPERTIES[[#This Row],[ENGINE_CLASS]]="MAGLEV","ELECTRIC",PROPERTIES[[#This Row],[ENGINE_CLASS]])</f>
        <v>RUNNING_COST_ELECTRIC</v>
      </c>
      <c r="V557" s="10" t="s">
        <v>1008</v>
      </c>
      <c r="W557" s="10" t="s">
        <v>1009</v>
      </c>
      <c r="X557" s="10" t="str">
        <f>SUBSTITUTE(SUBSTITUTE(PROPERTIES[[#This Row],[PURCHASECOST_VALUE]], "PURCHASECOST_", ""), "_VALUE", "")</f>
        <v>EMU</v>
      </c>
      <c r="AP557"/>
      <c r="AQ557"/>
      <c r="AR557"/>
    </row>
    <row r="558" spans="1:44">
      <c r="A558" s="2" t="s">
        <v>585</v>
      </c>
      <c r="B558">
        <v>1981</v>
      </c>
      <c r="C558">
        <v>1</v>
      </c>
      <c r="D558" t="s">
        <v>74</v>
      </c>
      <c r="E558" t="s">
        <v>18</v>
      </c>
      <c r="F558">
        <v>0</v>
      </c>
      <c r="G558" s="10">
        <v>38</v>
      </c>
      <c r="H558">
        <v>8</v>
      </c>
      <c r="I558">
        <v>8</v>
      </c>
      <c r="J558" s="2" t="s">
        <v>479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>
        <v>9000</v>
      </c>
      <c r="O558">
        <v>240</v>
      </c>
      <c r="P558" s="2">
        <v>0.92</v>
      </c>
      <c r="Q558" s="6">
        <v>25</v>
      </c>
      <c r="R558" s="10">
        <v>43</v>
      </c>
      <c r="S558" s="10">
        <v>6</v>
      </c>
      <c r="T558" s="10"/>
      <c r="U558" t="str">
        <f>"RUNNING_COST_"&amp;IF(PROPERTIES[[#This Row],[ENGINE_CLASS]]="MAGLEV","ELECTRIC",PROPERTIES[[#This Row],[ENGINE_CLASS]])</f>
        <v>RUNNING_COST_ELECTRIC</v>
      </c>
      <c r="V558" s="10" t="s">
        <v>1008</v>
      </c>
      <c r="W558" s="10" t="s">
        <v>1009</v>
      </c>
      <c r="X558" s="10" t="str">
        <f>SUBSTITUTE(SUBSTITUTE(PROPERTIES[[#This Row],[PURCHASECOST_VALUE]], "PURCHASECOST_", ""), "_VALUE", "")</f>
        <v>EMU</v>
      </c>
      <c r="AP558"/>
      <c r="AQ558"/>
      <c r="AR558"/>
    </row>
    <row r="559" spans="1:44">
      <c r="A559" s="2" t="s">
        <v>586</v>
      </c>
      <c r="B559">
        <v>1995</v>
      </c>
      <c r="C559">
        <v>1</v>
      </c>
      <c r="D559" t="s">
        <v>74</v>
      </c>
      <c r="E559" t="s">
        <v>18</v>
      </c>
      <c r="F559">
        <v>0</v>
      </c>
      <c r="G559" s="10">
        <v>43</v>
      </c>
      <c r="H559">
        <v>8</v>
      </c>
      <c r="I559">
        <v>8</v>
      </c>
      <c r="J559" s="2" t="s">
        <v>479</v>
      </c>
      <c r="K559">
        <f>_xlfn.XLOOKUP("LOADINGSPEEDDEF_"&amp;PROPERTIES[[#This Row],[LOADINGSPEED]],LOADINGSPEEDDEF[TYPE],LOADINGSPEEDDEF[SPEED])</f>
        <v>16</v>
      </c>
      <c r="L559" t="s">
        <v>21</v>
      </c>
      <c r="M559">
        <v>1</v>
      </c>
      <c r="N559">
        <v>12800</v>
      </c>
      <c r="O559">
        <v>320</v>
      </c>
      <c r="P559" s="2">
        <v>0.81</v>
      </c>
      <c r="Q559" s="6">
        <v>25</v>
      </c>
      <c r="R559" s="10">
        <v>72</v>
      </c>
      <c r="S559" s="10">
        <v>6</v>
      </c>
      <c r="T559" s="10"/>
      <c r="U559" t="str">
        <f>"RUNNING_COST_"&amp;IF(PROPERTIES[[#This Row],[ENGINE_CLASS]]="MAGLEV","ELECTRIC",PROPERTIES[[#This Row],[ENGINE_CLASS]])</f>
        <v>RUNNING_COST_ELECTRIC</v>
      </c>
      <c r="V559" s="10" t="s">
        <v>1008</v>
      </c>
      <c r="W559" s="10" t="s">
        <v>1009</v>
      </c>
      <c r="X559" s="10" t="str">
        <f>SUBSTITUTE(SUBSTITUTE(PROPERTIES[[#This Row],[PURCHASECOST_VALUE]], "PURCHASECOST_", ""), "_VALUE", "")</f>
        <v>EMU</v>
      </c>
      <c r="AP559"/>
      <c r="AQ559"/>
      <c r="AR559"/>
    </row>
    <row r="560" spans="1:44">
      <c r="A560" s="2" t="s">
        <v>587</v>
      </c>
      <c r="B560">
        <v>1995</v>
      </c>
      <c r="C560">
        <v>1</v>
      </c>
      <c r="D560" t="s">
        <v>74</v>
      </c>
      <c r="E560" t="s">
        <v>18</v>
      </c>
      <c r="F560">
        <v>0</v>
      </c>
      <c r="G560" s="10">
        <v>41</v>
      </c>
      <c r="H560">
        <v>8</v>
      </c>
      <c r="I560">
        <v>8</v>
      </c>
      <c r="J560" s="2" t="s">
        <v>479</v>
      </c>
      <c r="K560">
        <f>_xlfn.XLOOKUP("LOADINGSPEEDDEF_"&amp;PROPERTIES[[#This Row],[LOADINGSPEED]],LOADINGSPEEDDEF[TYPE],LOADINGSPEEDDEF[SPEED])</f>
        <v>16</v>
      </c>
      <c r="L560" t="s">
        <v>21</v>
      </c>
      <c r="M560">
        <v>1</v>
      </c>
      <c r="N560">
        <v>12000</v>
      </c>
      <c r="O560">
        <v>300</v>
      </c>
      <c r="P560" s="2">
        <v>0.85</v>
      </c>
      <c r="Q560" s="6">
        <v>25</v>
      </c>
      <c r="R560" s="10">
        <v>47</v>
      </c>
      <c r="S560" s="10">
        <v>6</v>
      </c>
      <c r="T560" s="10"/>
      <c r="U560" t="str">
        <f>"RUNNING_COST_"&amp;IF(PROPERTIES[[#This Row],[ENGINE_CLASS]]="MAGLEV","ELECTRIC",PROPERTIES[[#This Row],[ENGINE_CLASS]])</f>
        <v>RUNNING_COST_ELECTRIC</v>
      </c>
      <c r="V560" s="10" t="s">
        <v>1008</v>
      </c>
      <c r="W560" s="10" t="s">
        <v>1009</v>
      </c>
      <c r="X560" s="10" t="str">
        <f>SUBSTITUTE(SUBSTITUTE(PROPERTIES[[#This Row],[PURCHASECOST_VALUE]], "PURCHASECOST_", ""), "_VALUE", "")</f>
        <v>EMU</v>
      </c>
      <c r="AP560"/>
      <c r="AQ560"/>
      <c r="AR560"/>
    </row>
    <row r="561" spans="1:44">
      <c r="A561" s="2" t="s">
        <v>588</v>
      </c>
      <c r="B561">
        <v>1999</v>
      </c>
      <c r="C561">
        <v>1</v>
      </c>
      <c r="D561" t="s">
        <v>74</v>
      </c>
      <c r="E561" t="s">
        <v>18</v>
      </c>
      <c r="F561">
        <v>47</v>
      </c>
      <c r="G561" s="10">
        <v>55</v>
      </c>
      <c r="H561">
        <v>8</v>
      </c>
      <c r="I561">
        <v>8</v>
      </c>
      <c r="J561" s="2" t="s">
        <v>479</v>
      </c>
      <c r="K561">
        <f>_xlfn.XLOOKUP("LOADINGSPEEDDEF_"&amp;PROPERTIES[[#This Row],[LOADINGSPEED]],LOADINGSPEEDDEF[TYPE],LOADINGSPEEDDEF[SPEED])</f>
        <v>16</v>
      </c>
      <c r="L561" t="s">
        <v>21</v>
      </c>
      <c r="M561">
        <v>1</v>
      </c>
      <c r="N561">
        <v>750</v>
      </c>
      <c r="O561">
        <v>230</v>
      </c>
      <c r="P561" s="2">
        <v>0.67</v>
      </c>
      <c r="Q561" s="6">
        <v>25</v>
      </c>
      <c r="R561" s="10">
        <v>47</v>
      </c>
      <c r="S561" s="10">
        <v>8</v>
      </c>
      <c r="T561" s="10"/>
      <c r="U561" t="str">
        <f>"RUNNING_COST_"&amp;IF(PROPERTIES[[#This Row],[ENGINE_CLASS]]="MAGLEV","ELECTRIC",PROPERTIES[[#This Row],[ENGINE_CLASS]])</f>
        <v>RUNNING_COST_ELECTRIC</v>
      </c>
      <c r="V561" s="10" t="s">
        <v>1008</v>
      </c>
      <c r="W561" s="10" t="s">
        <v>1009</v>
      </c>
      <c r="X561" s="10" t="str">
        <f>SUBSTITUTE(SUBSTITUTE(PROPERTIES[[#This Row],[PURCHASECOST_VALUE]], "PURCHASECOST_", ""), "_VALUE", "")</f>
        <v>EMU</v>
      </c>
      <c r="AP561"/>
      <c r="AQ561"/>
      <c r="AR561"/>
    </row>
    <row r="562" spans="1:44">
      <c r="A562" s="2" t="s">
        <v>589</v>
      </c>
      <c r="B562">
        <v>2001</v>
      </c>
      <c r="C562">
        <v>1</v>
      </c>
      <c r="D562" t="s">
        <v>74</v>
      </c>
      <c r="E562" t="s">
        <v>18</v>
      </c>
      <c r="F562">
        <v>60</v>
      </c>
      <c r="G562" s="10">
        <v>56</v>
      </c>
      <c r="H562">
        <v>8</v>
      </c>
      <c r="I562">
        <v>8</v>
      </c>
      <c r="J562" s="2" t="s">
        <v>24</v>
      </c>
      <c r="K562">
        <f>_xlfn.XLOOKUP("LOADINGSPEEDDEF_"&amp;PROPERTIES[[#This Row],[LOADINGSPEED]],LOADINGSPEEDDEF[TYPE],LOADINGSPEEDDEF[SPEED])</f>
        <v>40</v>
      </c>
      <c r="L562" t="s">
        <v>21</v>
      </c>
      <c r="M562">
        <v>1</v>
      </c>
      <c r="N562">
        <v>1340</v>
      </c>
      <c r="O562">
        <v>250</v>
      </c>
      <c r="P562" s="2">
        <v>0.36</v>
      </c>
      <c r="Q562" s="6">
        <v>25</v>
      </c>
      <c r="R562" s="10">
        <v>60</v>
      </c>
      <c r="S562" s="10">
        <v>8</v>
      </c>
      <c r="T562" s="10"/>
      <c r="U562" t="str">
        <f>"RUNNING_COST_"&amp;IF(PROPERTIES[[#This Row],[ENGINE_CLASS]]="MAGLEV","ELECTRIC",PROPERTIES[[#This Row],[ENGINE_CLASS]])</f>
        <v>RUNNING_COST_ELECTRIC</v>
      </c>
      <c r="V562" s="10" t="s">
        <v>1008</v>
      </c>
      <c r="W562" s="10" t="s">
        <v>1009</v>
      </c>
      <c r="X562" s="10" t="str">
        <f>SUBSTITUTE(SUBSTITUTE(PROPERTIES[[#This Row],[PURCHASECOST_VALUE]], "PURCHASECOST_", ""), "_VALUE", "")</f>
        <v>EMU</v>
      </c>
      <c r="AP562"/>
      <c r="AQ562"/>
      <c r="AR562"/>
    </row>
    <row r="563" spans="1:44">
      <c r="A563" s="2" t="s">
        <v>590</v>
      </c>
      <c r="B563">
        <v>1999</v>
      </c>
      <c r="C563">
        <v>1</v>
      </c>
      <c r="D563" t="s">
        <v>74</v>
      </c>
      <c r="E563" t="s">
        <v>18</v>
      </c>
      <c r="F563">
        <v>0</v>
      </c>
      <c r="G563" s="10">
        <v>93</v>
      </c>
      <c r="H563">
        <v>8</v>
      </c>
      <c r="I563">
        <v>8</v>
      </c>
      <c r="J563" s="2" t="s">
        <v>24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>
        <v>12400</v>
      </c>
      <c r="O563">
        <v>266</v>
      </c>
      <c r="P563" s="2">
        <v>0.24</v>
      </c>
      <c r="Q563" s="6">
        <v>40</v>
      </c>
      <c r="R563" s="10">
        <v>50</v>
      </c>
      <c r="S563" s="10">
        <v>8</v>
      </c>
      <c r="T563" s="10"/>
      <c r="U563" t="str">
        <f>"RUNNING_COST_"&amp;IF(PROPERTIES[[#This Row],[ENGINE_CLASS]]="MAGLEV","ELECTRIC",PROPERTIES[[#This Row],[ENGINE_CLASS]])</f>
        <v>RUNNING_COST_ELECTRIC</v>
      </c>
      <c r="V563" s="10" t="s">
        <v>1008</v>
      </c>
      <c r="W563" s="10" t="s">
        <v>1009</v>
      </c>
      <c r="X563" s="10" t="str">
        <f>SUBSTITUTE(SUBSTITUTE(PROPERTIES[[#This Row],[PURCHASECOST_VALUE]], "PURCHASECOST_", ""), "_VALUE", "")</f>
        <v>EMU</v>
      </c>
      <c r="AP563"/>
      <c r="AQ563"/>
      <c r="AR563"/>
    </row>
    <row r="564" spans="1:44">
      <c r="A564" s="2" t="s">
        <v>591</v>
      </c>
      <c r="B564">
        <v>1880</v>
      </c>
      <c r="C564">
        <v>0</v>
      </c>
      <c r="D564" t="s">
        <v>19</v>
      </c>
      <c r="E564" t="s">
        <v>325</v>
      </c>
      <c r="F564">
        <v>60</v>
      </c>
      <c r="G564" s="10">
        <v>20</v>
      </c>
      <c r="H564">
        <v>7</v>
      </c>
      <c r="I564">
        <v>7</v>
      </c>
      <c r="J564" s="2" t="s">
        <v>326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>
        <v>200</v>
      </c>
      <c r="O564">
        <v>60</v>
      </c>
      <c r="P564" s="2">
        <v>0.5</v>
      </c>
      <c r="Q564" s="6">
        <v>60</v>
      </c>
      <c r="R564" s="10">
        <v>0</v>
      </c>
      <c r="S564" s="10">
        <v>0</v>
      </c>
      <c r="T564" s="10"/>
      <c r="U564" t="str">
        <f>"RUNNING_COST_"&amp;IF(PROPERTIES[[#This Row],[ENGINE_CLASS]]="MAGLEV","ELECTRIC",PROPERTIES[[#This Row],[ENGINE_CLASS]])</f>
        <v>RUNNING_COST_ELECTRIC</v>
      </c>
      <c r="V564" s="10" t="s">
        <v>1010</v>
      </c>
      <c r="W564" s="10" t="s">
        <v>1011</v>
      </c>
      <c r="X564" s="10" t="str">
        <f>SUBSTITUTE(SUBSTITUTE(PROPERTIES[[#This Row],[PURCHASECOST_VALUE]], "PURCHASECOST_", ""), "_VALUE", "")</f>
        <v>METRORAILBUS</v>
      </c>
      <c r="AP564"/>
      <c r="AQ564"/>
      <c r="AR564"/>
    </row>
    <row r="565" spans="1:44">
      <c r="A565" s="2" t="s">
        <v>592</v>
      </c>
      <c r="B565">
        <v>1894</v>
      </c>
      <c r="C565">
        <v>0</v>
      </c>
      <c r="D565" t="s">
        <v>19</v>
      </c>
      <c r="E565" t="s">
        <v>325</v>
      </c>
      <c r="F565">
        <v>100</v>
      </c>
      <c r="G565" s="10">
        <v>25</v>
      </c>
      <c r="H565">
        <v>8</v>
      </c>
      <c r="I565">
        <v>8</v>
      </c>
      <c r="J565" s="2" t="s">
        <v>326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>
        <v>200</v>
      </c>
      <c r="O565">
        <v>60</v>
      </c>
      <c r="P565" s="2">
        <v>0.32</v>
      </c>
      <c r="Q565" s="6">
        <v>60</v>
      </c>
      <c r="R565" s="10">
        <v>0</v>
      </c>
      <c r="S565" s="10">
        <v>0</v>
      </c>
      <c r="T565" s="10"/>
      <c r="U565" t="str">
        <f>"RUNNING_COST_"&amp;IF(PROPERTIES[[#This Row],[ENGINE_CLASS]]="MAGLEV","ELECTRIC",PROPERTIES[[#This Row],[ENGINE_CLASS]])</f>
        <v>RUNNING_COST_ELECTRIC</v>
      </c>
      <c r="V565" s="10" t="s">
        <v>1010</v>
      </c>
      <c r="W565" s="10" t="s">
        <v>1011</v>
      </c>
      <c r="X565" s="10" t="str">
        <f>SUBSTITUTE(SUBSTITUTE(PROPERTIES[[#This Row],[PURCHASECOST_VALUE]], "PURCHASECOST_", ""), "_VALUE", "")</f>
        <v>METRORAILBUS</v>
      </c>
      <c r="AP565"/>
      <c r="AQ565"/>
      <c r="AR565"/>
    </row>
    <row r="566" spans="1:44">
      <c r="A566" s="2" t="s">
        <v>593</v>
      </c>
      <c r="B566">
        <v>1907</v>
      </c>
      <c r="C566">
        <v>0</v>
      </c>
      <c r="D566" t="s">
        <v>19</v>
      </c>
      <c r="E566" t="s">
        <v>325</v>
      </c>
      <c r="F566">
        <v>130</v>
      </c>
      <c r="G566" s="10">
        <v>50</v>
      </c>
      <c r="H566">
        <v>8</v>
      </c>
      <c r="I566">
        <v>8</v>
      </c>
      <c r="J566" s="2" t="s">
        <v>326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>
        <v>250</v>
      </c>
      <c r="O566">
        <v>70</v>
      </c>
      <c r="P566" s="2">
        <v>0.1</v>
      </c>
      <c r="Q566" s="6">
        <v>60</v>
      </c>
      <c r="R566" s="10">
        <v>0</v>
      </c>
      <c r="S566" s="10">
        <v>0</v>
      </c>
      <c r="T566" s="10"/>
      <c r="U566" t="str">
        <f>"RUNNING_COST_"&amp;IF(PROPERTIES[[#This Row],[ENGINE_CLASS]]="MAGLEV","ELECTRIC",PROPERTIES[[#This Row],[ENGINE_CLASS]])</f>
        <v>RUNNING_COST_ELECTRIC</v>
      </c>
      <c r="V566" s="10" t="s">
        <v>1010</v>
      </c>
      <c r="W566" s="10" t="s">
        <v>1011</v>
      </c>
      <c r="X566" s="10" t="str">
        <f>SUBSTITUTE(SUBSTITUTE(PROPERTIES[[#This Row],[PURCHASECOST_VALUE]], "PURCHASECOST_", ""), "_VALUE", "")</f>
        <v>METRORAILBUS</v>
      </c>
      <c r="AP566"/>
      <c r="AQ566"/>
      <c r="AR566"/>
    </row>
    <row r="567" spans="1:44">
      <c r="A567" s="2" t="s">
        <v>594</v>
      </c>
      <c r="B567">
        <v>1929</v>
      </c>
      <c r="C567">
        <v>0</v>
      </c>
      <c r="D567" t="s">
        <v>19</v>
      </c>
      <c r="E567" t="s">
        <v>325</v>
      </c>
      <c r="F567">
        <v>157</v>
      </c>
      <c r="G567" s="10">
        <v>50</v>
      </c>
      <c r="H567">
        <v>8</v>
      </c>
      <c r="I567">
        <v>8</v>
      </c>
      <c r="J567" s="2" t="s">
        <v>326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>
        <v>375</v>
      </c>
      <c r="O567">
        <v>60</v>
      </c>
      <c r="P567" s="2">
        <v>7.0000000000000007E-2</v>
      </c>
      <c r="Q567" s="6">
        <v>60</v>
      </c>
      <c r="R567" s="10">
        <v>0</v>
      </c>
      <c r="S567" s="10">
        <v>0</v>
      </c>
      <c r="T567" s="10"/>
      <c r="U567" t="str">
        <f>"RUNNING_COST_"&amp;IF(PROPERTIES[[#This Row],[ENGINE_CLASS]]="MAGLEV","ELECTRIC",PROPERTIES[[#This Row],[ENGINE_CLASS]])</f>
        <v>RUNNING_COST_ELECTRIC</v>
      </c>
      <c r="V567" s="10" t="s">
        <v>1010</v>
      </c>
      <c r="W567" s="10" t="s">
        <v>1011</v>
      </c>
      <c r="X567" s="10" t="str">
        <f>SUBSTITUTE(SUBSTITUTE(PROPERTIES[[#This Row],[PURCHASECOST_VALUE]], "PURCHASECOST_", ""), "_VALUE", "")</f>
        <v>METRORAILBUS</v>
      </c>
      <c r="AP567"/>
      <c r="AQ567"/>
      <c r="AR567"/>
    </row>
    <row r="568" spans="1:44">
      <c r="A568" s="2" t="s">
        <v>595</v>
      </c>
      <c r="B568">
        <v>2040</v>
      </c>
      <c r="C568">
        <v>0</v>
      </c>
      <c r="D568" t="s">
        <v>19</v>
      </c>
      <c r="E568" t="s">
        <v>18</v>
      </c>
      <c r="F568">
        <v>45</v>
      </c>
      <c r="G568" s="10">
        <v>30</v>
      </c>
      <c r="H568">
        <v>8</v>
      </c>
      <c r="I568">
        <v>4</v>
      </c>
      <c r="J568" s="2" t="s">
        <v>24</v>
      </c>
      <c r="K568">
        <f>_xlfn.XLOOKUP("LOADINGSPEEDDEF_"&amp;PROPERTIES[[#This Row],[LOADINGSPEED]],LOADINGSPEEDDEF[TYPE],LOADINGSPEEDDEF[SPEED])</f>
        <v>40</v>
      </c>
      <c r="L568" t="s">
        <v>21</v>
      </c>
      <c r="M568">
        <v>1</v>
      </c>
      <c r="N568">
        <v>5070</v>
      </c>
      <c r="O568">
        <v>753</v>
      </c>
      <c r="P568" s="2">
        <v>0.28999999999999998</v>
      </c>
      <c r="Q568" s="6">
        <v>15</v>
      </c>
      <c r="R568" s="10">
        <v>0</v>
      </c>
      <c r="S568" s="10">
        <v>2</v>
      </c>
      <c r="T568" s="10"/>
      <c r="U568" t="str">
        <f>"RUNNING_COST_"&amp;IF(PROPERTIES[[#This Row],[ENGINE_CLASS]]="MAGLEV","ELECTRIC",PROPERTIES[[#This Row],[ENGINE_CLASS]])</f>
        <v>RUNNING_COST_ELECTRIC</v>
      </c>
      <c r="V568" s="10" t="s">
        <v>1012</v>
      </c>
      <c r="W568" s="10" t="s">
        <v>1013</v>
      </c>
      <c r="X568" s="10" t="str">
        <f>SUBSTITUTE(SUBSTITUTE(PROPERTIES[[#This Row],[PURCHASECOST_VALUE]], "PURCHASECOST_", ""), "_VALUE", "")</f>
        <v>MAGLEVRAILBUS</v>
      </c>
      <c r="AP568"/>
      <c r="AQ568"/>
      <c r="AR568"/>
    </row>
    <row r="569" spans="1:44">
      <c r="A569" s="2" t="s">
        <v>596</v>
      </c>
      <c r="B569">
        <v>2005</v>
      </c>
      <c r="C569">
        <v>0</v>
      </c>
      <c r="D569" t="s">
        <v>19</v>
      </c>
      <c r="E569" t="s">
        <v>20</v>
      </c>
      <c r="F569">
        <v>0</v>
      </c>
      <c r="G569" s="10">
        <v>86</v>
      </c>
      <c r="H569">
        <v>8</v>
      </c>
      <c r="I569">
        <v>8</v>
      </c>
      <c r="J569" s="2" t="s">
        <v>20</v>
      </c>
      <c r="K569">
        <f>_xlfn.XLOOKUP("LOADINGSPEEDDEF_"&amp;PROPERTIES[[#This Row],[LOADINGSPEED]],LOADINGSPEEDDEF[TYPE],LOADINGSPEEDDEF[SPEED])</f>
        <v>0</v>
      </c>
      <c r="L569" t="s">
        <v>21</v>
      </c>
      <c r="M569">
        <v>1</v>
      </c>
      <c r="N569">
        <v>11266</v>
      </c>
      <c r="O569">
        <v>230</v>
      </c>
      <c r="P569" s="2">
        <v>0.35</v>
      </c>
      <c r="Q569" s="6">
        <v>40</v>
      </c>
      <c r="R569" s="10">
        <v>0</v>
      </c>
      <c r="S569" s="10">
        <v>0</v>
      </c>
      <c r="T569" s="10"/>
      <c r="U569" t="str">
        <f>"RUNNING_COST_"&amp;IF(PROPERTIES[[#This Row],[ENGINE_CLASS]]="MAGLEV","ELECTRIC",PROPERTIES[[#This Row],[ENGINE_CLASS]])</f>
        <v>RUNNING_COST_ELECTRIC</v>
      </c>
      <c r="V569" s="10" t="s">
        <v>1014</v>
      </c>
      <c r="W569" s="10" t="s">
        <v>1015</v>
      </c>
      <c r="X569" s="10" t="str">
        <f>SUBSTITUTE(SUBSTITUTE(PROPERTIES[[#This Row],[PURCHASECOST_VALUE]], "PURCHASECOST_", ""), "_VALUE", "")</f>
        <v>MAGLEVSU</v>
      </c>
      <c r="AP569"/>
      <c r="AQ569"/>
      <c r="AR569"/>
    </row>
    <row r="570" spans="1:44">
      <c r="A570" s="2" t="s">
        <v>597</v>
      </c>
      <c r="B570">
        <v>2004</v>
      </c>
      <c r="C570">
        <v>1</v>
      </c>
      <c r="D570" t="s">
        <v>19</v>
      </c>
      <c r="E570" t="s">
        <v>18</v>
      </c>
      <c r="F570">
        <v>50</v>
      </c>
      <c r="G570" s="10">
        <v>30</v>
      </c>
      <c r="H570">
        <v>8</v>
      </c>
      <c r="I570">
        <v>8</v>
      </c>
      <c r="J570" s="2" t="s">
        <v>479</v>
      </c>
      <c r="K570">
        <f>_xlfn.XLOOKUP("LOADINGSPEEDDEF_"&amp;PROPERTIES[[#This Row],[LOADINGSPEED]],LOADINGSPEEDDEF[TYPE],LOADINGSPEEDDEF[SPEED])</f>
        <v>16</v>
      </c>
      <c r="L570" t="s">
        <v>21</v>
      </c>
      <c r="M570">
        <v>1</v>
      </c>
      <c r="N570">
        <v>2028</v>
      </c>
      <c r="O570">
        <v>433</v>
      </c>
      <c r="P570" s="2">
        <v>0.3</v>
      </c>
      <c r="Q570" s="6">
        <v>25</v>
      </c>
      <c r="R570" s="10">
        <v>55</v>
      </c>
      <c r="S570" s="10">
        <v>8</v>
      </c>
      <c r="T570" s="10"/>
      <c r="U570" t="str">
        <f>"RUNNING_COST_"&amp;IF(PROPERTIES[[#This Row],[ENGINE_CLASS]]="MAGLEV","ELECTRIC",PROPERTIES[[#This Row],[ENGINE_CLASS]])</f>
        <v>RUNNING_COST_ELECTRIC</v>
      </c>
      <c r="V570" s="10" t="s">
        <v>990</v>
      </c>
      <c r="W570" s="10" t="s">
        <v>991</v>
      </c>
      <c r="X570" s="10" t="str">
        <f>SUBSTITUTE(SUBSTITUTE(PROPERTIES[[#This Row],[PURCHASECOST_VALUE]], "PURCHASECOST_", ""), "_VALUE", "")</f>
        <v>MAGLEVMU</v>
      </c>
      <c r="AP570"/>
      <c r="AQ570"/>
      <c r="AR570"/>
    </row>
    <row r="571" spans="1:44">
      <c r="A571" s="2" t="s">
        <v>598</v>
      </c>
      <c r="B571">
        <v>2025</v>
      </c>
      <c r="C571">
        <v>1</v>
      </c>
      <c r="D571" t="s">
        <v>19</v>
      </c>
      <c r="E571" t="s">
        <v>18</v>
      </c>
      <c r="F571">
        <v>55</v>
      </c>
      <c r="G571" s="10">
        <v>72</v>
      </c>
      <c r="H571">
        <v>8</v>
      </c>
      <c r="I571">
        <v>8</v>
      </c>
      <c r="J571" s="2" t="s">
        <v>479</v>
      </c>
      <c r="K571">
        <f>_xlfn.XLOOKUP("LOADINGSPEEDDEF_"&amp;PROPERTIES[[#This Row],[LOADINGSPEED]],LOADINGSPEEDDEF[TYPE],LOADINGSPEEDDEF[SPEED])</f>
        <v>16</v>
      </c>
      <c r="L571" t="s">
        <v>21</v>
      </c>
      <c r="M571">
        <v>1</v>
      </c>
      <c r="N571">
        <v>3042</v>
      </c>
      <c r="O571">
        <v>603</v>
      </c>
      <c r="P571" s="2">
        <v>0.3</v>
      </c>
      <c r="Q571" s="6">
        <v>25</v>
      </c>
      <c r="R571" s="10">
        <v>55</v>
      </c>
      <c r="S571" s="10">
        <v>8</v>
      </c>
      <c r="T571" s="10"/>
      <c r="U571" t="str">
        <f>"RUNNING_COST_"&amp;IF(PROPERTIES[[#This Row],[ENGINE_CLASS]]="MAGLEV","ELECTRIC",PROPERTIES[[#This Row],[ENGINE_CLASS]])</f>
        <v>RUNNING_COST_ELECTRIC</v>
      </c>
      <c r="V571" s="10" t="s">
        <v>990</v>
      </c>
      <c r="W571" s="10" t="s">
        <v>991</v>
      </c>
      <c r="X571" s="10" t="str">
        <f>SUBSTITUTE(SUBSTITUTE(PROPERTIES[[#This Row],[PURCHASECOST_VALUE]], "PURCHASECOST_", ""), "_VALUE", "")</f>
        <v>MAGLEVMU</v>
      </c>
      <c r="AP571"/>
      <c r="AQ571"/>
      <c r="AR571"/>
    </row>
    <row r="572" spans="1:44">
      <c r="A572" s="2" t="s">
        <v>910</v>
      </c>
      <c r="B572">
        <v>2010</v>
      </c>
      <c r="C572">
        <v>0</v>
      </c>
      <c r="D572" t="s">
        <v>19</v>
      </c>
      <c r="E572" t="s">
        <v>599</v>
      </c>
      <c r="F572">
        <v>74</v>
      </c>
      <c r="G572" s="10">
        <v>27</v>
      </c>
      <c r="H572">
        <v>8</v>
      </c>
      <c r="I572">
        <v>8</v>
      </c>
      <c r="J572" s="2" t="s">
        <v>33</v>
      </c>
      <c r="K572">
        <f>_xlfn.XLOOKUP("LOADINGSPEEDDEF_"&amp;PROPERTIES[[#This Row],[LOADINGSPEED]],LOADINGSPEEDDEF[TYPE],LOADINGSPEEDDEF[SPEED])</f>
        <v>20</v>
      </c>
      <c r="L572" t="s">
        <v>21</v>
      </c>
      <c r="M572">
        <v>0</v>
      </c>
      <c r="N572">
        <v>0</v>
      </c>
      <c r="O572">
        <v>160</v>
      </c>
      <c r="P572" s="2">
        <v>0.3</v>
      </c>
      <c r="Q572" s="6">
        <v>25</v>
      </c>
      <c r="R572" s="10">
        <v>0</v>
      </c>
      <c r="S572" s="10">
        <v>0</v>
      </c>
      <c r="T572" s="10"/>
      <c r="U572" t="str">
        <f>"RUNNING_COST_"&amp;IF(PROPERTIES[[#This Row],[ENGINE_CLASS]]="MAGLEV","ELECTRIC",PROPERTIES[[#This Row],[ENGINE_CLASS]])</f>
        <v>RUNNING_COST_ELECTRIC</v>
      </c>
      <c r="V572" s="10" t="s">
        <v>1016</v>
      </c>
      <c r="W572" s="10" t="s">
        <v>1017</v>
      </c>
      <c r="X572" s="10" t="str">
        <f>SUBSTITUTE(SUBSTITUTE(PROPERTIES[[#This Row],[PURCHASECOST_VALUE]], "PURCHASECOST_", ""), "_VALUE", "")</f>
        <v>WAGON</v>
      </c>
      <c r="AP572"/>
      <c r="AQ572"/>
      <c r="AR572"/>
    </row>
    <row r="573" spans="1:44">
      <c r="A573" s="2" t="s">
        <v>893</v>
      </c>
      <c r="B573">
        <v>2010</v>
      </c>
      <c r="C573">
        <v>0</v>
      </c>
      <c r="D573" t="s">
        <v>19</v>
      </c>
      <c r="E573" t="s">
        <v>599</v>
      </c>
      <c r="F573">
        <v>74</v>
      </c>
      <c r="G573" s="10">
        <v>27</v>
      </c>
      <c r="H573">
        <v>8</v>
      </c>
      <c r="I573">
        <v>8</v>
      </c>
      <c r="J573" s="2" t="s">
        <v>33</v>
      </c>
      <c r="K573">
        <f>_xlfn.XLOOKUP("LOADINGSPEEDDEF_"&amp;PROPERTIES[[#This Row],[LOADINGSPEED]],LOADINGSPEEDDEF[TYPE],LOADINGSPEEDDEF[SPEED])</f>
        <v>20</v>
      </c>
      <c r="L573" t="s">
        <v>21</v>
      </c>
      <c r="M573">
        <v>0</v>
      </c>
      <c r="N573">
        <v>0</v>
      </c>
      <c r="O573">
        <v>160</v>
      </c>
      <c r="P573" s="2">
        <v>0.3</v>
      </c>
      <c r="Q573" s="6">
        <v>25</v>
      </c>
      <c r="R573" s="10">
        <v>0</v>
      </c>
      <c r="S573" s="10">
        <v>0</v>
      </c>
      <c r="T573" s="10"/>
      <c r="U573" t="str">
        <f>"RUNNING_COST_"&amp;IF(PROPERTIES[[#This Row],[ENGINE_CLASS]]="MAGLEV","ELECTRIC",PROPERTIES[[#This Row],[ENGINE_CLASS]])</f>
        <v>RUNNING_COST_ELECTRIC</v>
      </c>
      <c r="V573" s="10" t="s">
        <v>1016</v>
      </c>
      <c r="W573" s="10" t="s">
        <v>1017</v>
      </c>
      <c r="X573" s="10" t="str">
        <f>SUBSTITUTE(SUBSTITUTE(PROPERTIES[[#This Row],[PURCHASECOST_VALUE]], "PURCHASECOST_", ""), "_VALUE", "")</f>
        <v>WAGON</v>
      </c>
      <c r="AP573"/>
      <c r="AQ573"/>
      <c r="AR573"/>
    </row>
    <row r="574" spans="1:44">
      <c r="A574" s="2" t="s">
        <v>894</v>
      </c>
      <c r="B574">
        <v>2020</v>
      </c>
      <c r="C574">
        <v>0</v>
      </c>
      <c r="D574" t="s">
        <v>19</v>
      </c>
      <c r="E574" t="s">
        <v>600</v>
      </c>
      <c r="F574">
        <v>20</v>
      </c>
      <c r="G574" s="10">
        <v>28</v>
      </c>
      <c r="H574">
        <v>8</v>
      </c>
      <c r="I574">
        <v>8</v>
      </c>
      <c r="J574" s="2" t="s">
        <v>33</v>
      </c>
      <c r="K574">
        <f>_xlfn.XLOOKUP("LOADINGSPEEDDEF_"&amp;PROPERTIES[[#This Row],[LOADINGSPEED]],LOADINGSPEEDDEF[TYPE],LOADINGSPEEDDEF[SPEED])</f>
        <v>20</v>
      </c>
      <c r="L574" t="s">
        <v>21</v>
      </c>
      <c r="M574">
        <v>0</v>
      </c>
      <c r="N574">
        <v>0</v>
      </c>
      <c r="O574">
        <v>160</v>
      </c>
      <c r="P574" s="2">
        <v>0.3</v>
      </c>
      <c r="Q574" s="6">
        <v>25</v>
      </c>
      <c r="R574" s="10">
        <v>0</v>
      </c>
      <c r="S574" s="10">
        <v>0</v>
      </c>
      <c r="T574" s="10"/>
      <c r="U574" t="str">
        <f>"RUNNING_COST_"&amp;IF(PROPERTIES[[#This Row],[ENGINE_CLASS]]="MAGLEV","ELECTRIC",PROPERTIES[[#This Row],[ENGINE_CLASS]])</f>
        <v>RUNNING_COST_ELECTRIC</v>
      </c>
      <c r="V574" s="10" t="s">
        <v>1016</v>
      </c>
      <c r="W574" s="10" t="s">
        <v>1017</v>
      </c>
      <c r="X574" s="10" t="str">
        <f>SUBSTITUTE(SUBSTITUTE(PROPERTIES[[#This Row],[PURCHASECOST_VALUE]], "PURCHASECOST_", ""), "_VALUE", "")</f>
        <v>WAGON</v>
      </c>
      <c r="AP574"/>
      <c r="AQ574"/>
      <c r="AR574"/>
    </row>
    <row r="575" spans="1:44">
      <c r="A575" s="2" t="s">
        <v>895</v>
      </c>
      <c r="B575">
        <v>2010</v>
      </c>
      <c r="C575">
        <v>0</v>
      </c>
      <c r="D575" t="s">
        <v>19</v>
      </c>
      <c r="E575" t="s">
        <v>601</v>
      </c>
      <c r="F575">
        <v>65</v>
      </c>
      <c r="G575" s="10">
        <v>40</v>
      </c>
      <c r="H575">
        <v>8</v>
      </c>
      <c r="I575">
        <v>8</v>
      </c>
      <c r="J575" s="2" t="s">
        <v>33</v>
      </c>
      <c r="K575">
        <f>_xlfn.XLOOKUP("LOADINGSPEEDDEF_"&amp;PROPERTIES[[#This Row],[LOADINGSPEED]],LOADINGSPEEDDEF[TYPE],LOADINGSPEEDDEF[SPEED])</f>
        <v>20</v>
      </c>
      <c r="L575" t="s">
        <v>21</v>
      </c>
      <c r="M575">
        <v>0</v>
      </c>
      <c r="N575">
        <v>0</v>
      </c>
      <c r="O575">
        <v>160</v>
      </c>
      <c r="P575" s="2">
        <v>0.3</v>
      </c>
      <c r="Q575" s="6">
        <v>25</v>
      </c>
      <c r="R575" s="10">
        <v>0</v>
      </c>
      <c r="S575" s="10">
        <v>0</v>
      </c>
      <c r="T575" s="10"/>
      <c r="U575" t="str">
        <f>"RUNNING_COST_"&amp;IF(PROPERTIES[[#This Row],[ENGINE_CLASS]]="MAGLEV","ELECTRIC",PROPERTIES[[#This Row],[ENGINE_CLASS]])</f>
        <v>RUNNING_COST_ELECTRIC</v>
      </c>
      <c r="V575" s="10" t="s">
        <v>1016</v>
      </c>
      <c r="W575" s="10" t="s">
        <v>1017</v>
      </c>
      <c r="X575" s="10" t="str">
        <f>SUBSTITUTE(SUBSTITUTE(PROPERTIES[[#This Row],[PURCHASECOST_VALUE]], "PURCHASECOST_", ""), "_VALUE", "")</f>
        <v>WAGON</v>
      </c>
      <c r="AP575"/>
      <c r="AQ575"/>
      <c r="AR575"/>
    </row>
    <row r="576" spans="1:44">
      <c r="A576" s="2" t="s">
        <v>896</v>
      </c>
      <c r="B576">
        <v>2010</v>
      </c>
      <c r="C576">
        <v>0</v>
      </c>
      <c r="D576" t="s">
        <v>19</v>
      </c>
      <c r="E576" t="s">
        <v>532</v>
      </c>
      <c r="F576">
        <v>60</v>
      </c>
      <c r="G576" s="10">
        <v>22</v>
      </c>
      <c r="H576">
        <v>8</v>
      </c>
      <c r="I576">
        <v>8</v>
      </c>
      <c r="J576" s="2" t="s">
        <v>33</v>
      </c>
      <c r="K576">
        <f>_xlfn.XLOOKUP("LOADINGSPEEDDEF_"&amp;PROPERTIES[[#This Row],[LOADINGSPEED]],LOADINGSPEEDDEF[TYPE],LOADINGSPEEDDEF[SPEED])</f>
        <v>20</v>
      </c>
      <c r="L576" t="s">
        <v>21</v>
      </c>
      <c r="M576">
        <v>0</v>
      </c>
      <c r="N576">
        <v>0</v>
      </c>
      <c r="O576">
        <v>160</v>
      </c>
      <c r="P576" s="2">
        <v>0.3</v>
      </c>
      <c r="Q576" s="6">
        <v>25</v>
      </c>
      <c r="R576" s="10">
        <v>0</v>
      </c>
      <c r="S576" s="10">
        <v>0</v>
      </c>
      <c r="T576" s="10"/>
      <c r="U576" t="str">
        <f>"RUNNING_COST_"&amp;IF(PROPERTIES[[#This Row],[ENGINE_CLASS]]="MAGLEV","ELECTRIC",PROPERTIES[[#This Row],[ENGINE_CLASS]])</f>
        <v>RUNNING_COST_ELECTRIC</v>
      </c>
      <c r="V576" s="10" t="s">
        <v>1016</v>
      </c>
      <c r="W576" s="10" t="s">
        <v>1017</v>
      </c>
      <c r="X576" s="10" t="str">
        <f>SUBSTITUTE(SUBSTITUTE(PROPERTIES[[#This Row],[PURCHASECOST_VALUE]], "PURCHASECOST_", ""), "_VALUE", "")</f>
        <v>WAGON</v>
      </c>
      <c r="AP576"/>
      <c r="AQ576"/>
      <c r="AR576"/>
    </row>
    <row r="577" spans="1:44">
      <c r="A577" s="2" t="s">
        <v>897</v>
      </c>
      <c r="B577">
        <v>2000</v>
      </c>
      <c r="C577">
        <v>0</v>
      </c>
      <c r="D577" t="s">
        <v>19</v>
      </c>
      <c r="E577" t="s">
        <v>602</v>
      </c>
      <c r="F577">
        <v>75</v>
      </c>
      <c r="G577" s="10">
        <v>25</v>
      </c>
      <c r="H577">
        <v>8</v>
      </c>
      <c r="I577">
        <v>8</v>
      </c>
      <c r="J577" s="2" t="s">
        <v>33</v>
      </c>
      <c r="K577">
        <f>_xlfn.XLOOKUP("LOADINGSPEEDDEF_"&amp;PROPERTIES[[#This Row],[LOADINGSPEED]],LOADINGSPEEDDEF[TYPE],LOADINGSPEEDDEF[SPEED])</f>
        <v>20</v>
      </c>
      <c r="L577" t="s">
        <v>21</v>
      </c>
      <c r="M577">
        <v>0</v>
      </c>
      <c r="N577">
        <v>0</v>
      </c>
      <c r="O577">
        <v>160</v>
      </c>
      <c r="P577" s="2">
        <v>0.3</v>
      </c>
      <c r="Q577" s="6">
        <v>25</v>
      </c>
      <c r="R577" s="10">
        <v>0</v>
      </c>
      <c r="S577" s="10">
        <v>0</v>
      </c>
      <c r="T577" s="10"/>
      <c r="U577" t="str">
        <f>"RUNNING_COST_"&amp;IF(PROPERTIES[[#This Row],[ENGINE_CLASS]]="MAGLEV","ELECTRIC",PROPERTIES[[#This Row],[ENGINE_CLASS]])</f>
        <v>RUNNING_COST_ELECTRIC</v>
      </c>
      <c r="V577" s="10" t="s">
        <v>1016</v>
      </c>
      <c r="W577" s="10" t="s">
        <v>1017</v>
      </c>
      <c r="X577" s="10" t="str">
        <f>SUBSTITUTE(SUBSTITUTE(PROPERTIES[[#This Row],[PURCHASECOST_VALUE]], "PURCHASECOST_", ""), "_VALUE", "")</f>
        <v>WAGON</v>
      </c>
      <c r="AP577"/>
      <c r="AQ577"/>
      <c r="AR577"/>
    </row>
    <row r="578" spans="1:44">
      <c r="A578" s="2" t="s">
        <v>898</v>
      </c>
      <c r="B578">
        <v>2010</v>
      </c>
      <c r="C578">
        <v>0</v>
      </c>
      <c r="D578" t="s">
        <v>19</v>
      </c>
      <c r="E578" t="s">
        <v>603</v>
      </c>
      <c r="F578">
        <v>72</v>
      </c>
      <c r="G578" s="10">
        <v>23</v>
      </c>
      <c r="H578">
        <v>8</v>
      </c>
      <c r="I578">
        <v>8</v>
      </c>
      <c r="J578" s="2" t="s">
        <v>33</v>
      </c>
      <c r="K578">
        <f>_xlfn.XLOOKUP("LOADINGSPEEDDEF_"&amp;PROPERTIES[[#This Row],[LOADINGSPEED]],LOADINGSPEEDDEF[TYPE],LOADINGSPEEDDEF[SPEED])</f>
        <v>20</v>
      </c>
      <c r="L578" t="s">
        <v>21</v>
      </c>
      <c r="M578">
        <v>0</v>
      </c>
      <c r="N578">
        <v>0</v>
      </c>
      <c r="O578">
        <v>160</v>
      </c>
      <c r="P578" s="2">
        <v>0.3</v>
      </c>
      <c r="Q578" s="6">
        <v>25</v>
      </c>
      <c r="R578" s="10">
        <v>0</v>
      </c>
      <c r="S578" s="10">
        <v>0</v>
      </c>
      <c r="T578" s="10"/>
      <c r="U578" t="str">
        <f>"RUNNING_COST_"&amp;IF(PROPERTIES[[#This Row],[ENGINE_CLASS]]="MAGLEV","ELECTRIC",PROPERTIES[[#This Row],[ENGINE_CLASS]])</f>
        <v>RUNNING_COST_ELECTRIC</v>
      </c>
      <c r="V578" s="10" t="s">
        <v>1016</v>
      </c>
      <c r="W578" s="10" t="s">
        <v>1017</v>
      </c>
      <c r="X578" s="10" t="str">
        <f>SUBSTITUTE(SUBSTITUTE(PROPERTIES[[#This Row],[PURCHASECOST_VALUE]], "PURCHASECOST_", ""), "_VALUE", "")</f>
        <v>WAGON</v>
      </c>
      <c r="AP578"/>
      <c r="AQ578"/>
      <c r="AR578"/>
    </row>
    <row r="579" spans="1:44">
      <c r="A579" s="2" t="s">
        <v>899</v>
      </c>
      <c r="B579">
        <v>2010</v>
      </c>
      <c r="C579">
        <v>0</v>
      </c>
      <c r="D579" t="s">
        <v>19</v>
      </c>
      <c r="E579" t="s">
        <v>604</v>
      </c>
      <c r="F579">
        <v>75</v>
      </c>
      <c r="G579" s="10">
        <v>22</v>
      </c>
      <c r="H579">
        <v>8</v>
      </c>
      <c r="I579">
        <v>8</v>
      </c>
      <c r="J579" s="2" t="s">
        <v>33</v>
      </c>
      <c r="K579">
        <f>_xlfn.XLOOKUP("LOADINGSPEEDDEF_"&amp;PROPERTIES[[#This Row],[LOADINGSPEED]],LOADINGSPEEDDEF[TYPE],LOADINGSPEEDDEF[SPEED])</f>
        <v>20</v>
      </c>
      <c r="L579" t="s">
        <v>21</v>
      </c>
      <c r="M579">
        <v>0</v>
      </c>
      <c r="N579">
        <v>0</v>
      </c>
      <c r="O579">
        <v>160</v>
      </c>
      <c r="P579" s="2">
        <v>0.3</v>
      </c>
      <c r="Q579" s="6">
        <v>25</v>
      </c>
      <c r="R579" s="10">
        <v>0</v>
      </c>
      <c r="S579" s="10">
        <v>0</v>
      </c>
      <c r="T579" s="10"/>
      <c r="U579" t="str">
        <f>"RUNNING_COST_"&amp;IF(PROPERTIES[[#This Row],[ENGINE_CLASS]]="MAGLEV","ELECTRIC",PROPERTIES[[#This Row],[ENGINE_CLASS]])</f>
        <v>RUNNING_COST_ELECTRIC</v>
      </c>
      <c r="V579" s="10" t="s">
        <v>1016</v>
      </c>
      <c r="W579" s="10" t="s">
        <v>1017</v>
      </c>
      <c r="X579" s="10" t="str">
        <f>SUBSTITUTE(SUBSTITUTE(PROPERTIES[[#This Row],[PURCHASECOST_VALUE]], "PURCHASECOST_", ""), "_VALUE", "")</f>
        <v>WAGON</v>
      </c>
      <c r="AP579"/>
      <c r="AQ579"/>
      <c r="AR579"/>
    </row>
    <row r="580" spans="1:44">
      <c r="A580" s="2" t="s">
        <v>900</v>
      </c>
      <c r="B580">
        <v>2020</v>
      </c>
      <c r="C580">
        <v>0</v>
      </c>
      <c r="D580" t="s">
        <v>19</v>
      </c>
      <c r="E580" t="s">
        <v>605</v>
      </c>
      <c r="F580">
        <v>96</v>
      </c>
      <c r="G580" s="10">
        <v>42</v>
      </c>
      <c r="H580">
        <v>8</v>
      </c>
      <c r="I580">
        <v>8</v>
      </c>
      <c r="J580" s="2" t="s">
        <v>33</v>
      </c>
      <c r="K580">
        <f>_xlfn.XLOOKUP("LOADINGSPEEDDEF_"&amp;PROPERTIES[[#This Row],[LOADINGSPEED]],LOADINGSPEEDDEF[TYPE],LOADINGSPEEDDEF[SPEED])</f>
        <v>20</v>
      </c>
      <c r="L580" t="s">
        <v>21</v>
      </c>
      <c r="M580">
        <v>0</v>
      </c>
      <c r="N580">
        <v>0</v>
      </c>
      <c r="O580">
        <v>140</v>
      </c>
      <c r="P580" s="2">
        <v>0.3</v>
      </c>
      <c r="Q580" s="6">
        <v>25</v>
      </c>
      <c r="R580" s="10">
        <v>0</v>
      </c>
      <c r="S580" s="10">
        <v>0</v>
      </c>
      <c r="T580" s="10"/>
      <c r="U580" t="str">
        <f>"RUNNING_COST_"&amp;IF(PROPERTIES[[#This Row],[ENGINE_CLASS]]="MAGLEV","ELECTRIC",PROPERTIES[[#This Row],[ENGINE_CLASS]])</f>
        <v>RUNNING_COST_ELECTRIC</v>
      </c>
      <c r="V580" s="10" t="s">
        <v>1016</v>
      </c>
      <c r="W580" s="10" t="s">
        <v>1017</v>
      </c>
      <c r="X580" s="10" t="str">
        <f>SUBSTITUTE(SUBSTITUTE(PROPERTIES[[#This Row],[PURCHASECOST_VALUE]], "PURCHASECOST_", ""), "_VALUE", "")</f>
        <v>WAGON</v>
      </c>
      <c r="AP580"/>
      <c r="AQ580"/>
      <c r="AR580"/>
    </row>
    <row r="581" spans="1:44">
      <c r="A581" s="2" t="s">
        <v>901</v>
      </c>
      <c r="B581">
        <v>2020</v>
      </c>
      <c r="C581">
        <v>0</v>
      </c>
      <c r="D581" t="s">
        <v>19</v>
      </c>
      <c r="E581" t="s">
        <v>606</v>
      </c>
      <c r="F581">
        <v>75</v>
      </c>
      <c r="G581" s="10">
        <v>26</v>
      </c>
      <c r="H581">
        <v>8</v>
      </c>
      <c r="I581">
        <v>8</v>
      </c>
      <c r="J581" s="2" t="s">
        <v>33</v>
      </c>
      <c r="K581">
        <f>_xlfn.XLOOKUP("LOADINGSPEEDDEF_"&amp;PROPERTIES[[#This Row],[LOADINGSPEED]],LOADINGSPEEDDEF[TYPE],LOADINGSPEEDDEF[SPEED])</f>
        <v>20</v>
      </c>
      <c r="L581" t="s">
        <v>21</v>
      </c>
      <c r="M581">
        <v>0</v>
      </c>
      <c r="N581">
        <v>0</v>
      </c>
      <c r="O581">
        <v>160</v>
      </c>
      <c r="P581" s="2">
        <v>0.3</v>
      </c>
      <c r="Q581" s="6">
        <v>25</v>
      </c>
      <c r="R581" s="10">
        <v>0</v>
      </c>
      <c r="S581" s="10">
        <v>0</v>
      </c>
      <c r="T581" s="10"/>
      <c r="U581" t="str">
        <f>"RUNNING_COST_"&amp;IF(PROPERTIES[[#This Row],[ENGINE_CLASS]]="MAGLEV","ELECTRIC",PROPERTIES[[#This Row],[ENGINE_CLASS]])</f>
        <v>RUNNING_COST_ELECTRIC</v>
      </c>
      <c r="V581" s="10" t="s">
        <v>1016</v>
      </c>
      <c r="W581" s="10" t="s">
        <v>1017</v>
      </c>
      <c r="X581" s="10" t="str">
        <f>SUBSTITUTE(SUBSTITUTE(PROPERTIES[[#This Row],[PURCHASECOST_VALUE]], "PURCHASECOST_", ""), "_VALUE", "")</f>
        <v>WAGON</v>
      </c>
      <c r="AP581"/>
      <c r="AQ581"/>
      <c r="AR581"/>
    </row>
    <row r="582" spans="1:44">
      <c r="A582" s="2" t="s">
        <v>902</v>
      </c>
      <c r="B582">
        <v>2020</v>
      </c>
      <c r="C582">
        <v>0</v>
      </c>
      <c r="D582" t="s">
        <v>19</v>
      </c>
      <c r="E582" t="s">
        <v>606</v>
      </c>
      <c r="F582">
        <v>75</v>
      </c>
      <c r="G582" s="10">
        <v>26</v>
      </c>
      <c r="H582">
        <v>8</v>
      </c>
      <c r="I582">
        <v>8</v>
      </c>
      <c r="J582" s="2" t="s">
        <v>33</v>
      </c>
      <c r="K582">
        <f>_xlfn.XLOOKUP("LOADINGSPEEDDEF_"&amp;PROPERTIES[[#This Row],[LOADINGSPEED]],LOADINGSPEEDDEF[TYPE],LOADINGSPEEDDEF[SPEED])</f>
        <v>20</v>
      </c>
      <c r="L582" t="s">
        <v>21</v>
      </c>
      <c r="M582">
        <v>0</v>
      </c>
      <c r="N582">
        <v>0</v>
      </c>
      <c r="O582">
        <v>160</v>
      </c>
      <c r="P582" s="2">
        <v>0.3</v>
      </c>
      <c r="Q582" s="6">
        <v>25</v>
      </c>
      <c r="R582" s="10">
        <v>0</v>
      </c>
      <c r="S582" s="10">
        <v>0</v>
      </c>
      <c r="T582" s="10"/>
      <c r="U582" t="str">
        <f>"RUNNING_COST_"&amp;IF(PROPERTIES[[#This Row],[ENGINE_CLASS]]="MAGLEV","ELECTRIC",PROPERTIES[[#This Row],[ENGINE_CLASS]])</f>
        <v>RUNNING_COST_ELECTRIC</v>
      </c>
      <c r="V582" s="10" t="s">
        <v>1016</v>
      </c>
      <c r="W582" s="10" t="s">
        <v>1017</v>
      </c>
      <c r="X582" s="10" t="str">
        <f>SUBSTITUTE(SUBSTITUTE(PROPERTIES[[#This Row],[PURCHASECOST_VALUE]], "PURCHASECOST_", ""), "_VALUE", "")</f>
        <v>WAGON</v>
      </c>
      <c r="AP582"/>
      <c r="AQ582"/>
      <c r="AR582"/>
    </row>
    <row r="583" spans="1:44">
      <c r="A583" s="2" t="s">
        <v>903</v>
      </c>
      <c r="B583">
        <v>2020</v>
      </c>
      <c r="C583">
        <v>0</v>
      </c>
      <c r="D583" t="s">
        <v>19</v>
      </c>
      <c r="E583" t="s">
        <v>607</v>
      </c>
      <c r="F583">
        <v>75</v>
      </c>
      <c r="G583" s="10">
        <v>27</v>
      </c>
      <c r="H583">
        <v>8</v>
      </c>
      <c r="I583">
        <v>8</v>
      </c>
      <c r="J583" s="2" t="s">
        <v>33</v>
      </c>
      <c r="K583">
        <f>_xlfn.XLOOKUP("LOADINGSPEEDDEF_"&amp;PROPERTIES[[#This Row],[LOADINGSPEED]],LOADINGSPEEDDEF[TYPE],LOADINGSPEEDDEF[SPEED])</f>
        <v>20</v>
      </c>
      <c r="L583" t="s">
        <v>21</v>
      </c>
      <c r="M583">
        <v>0</v>
      </c>
      <c r="N583">
        <v>0</v>
      </c>
      <c r="O583">
        <v>160</v>
      </c>
      <c r="P583" s="2">
        <v>0.3</v>
      </c>
      <c r="Q583" s="6">
        <v>25</v>
      </c>
      <c r="R583" s="10">
        <v>0</v>
      </c>
      <c r="S583" s="10">
        <v>0</v>
      </c>
      <c r="T583" s="10"/>
      <c r="U583" t="str">
        <f>"RUNNING_COST_"&amp;IF(PROPERTIES[[#This Row],[ENGINE_CLASS]]="MAGLEV","ELECTRIC",PROPERTIES[[#This Row],[ENGINE_CLASS]])</f>
        <v>RUNNING_COST_ELECTRIC</v>
      </c>
      <c r="V583" s="10" t="s">
        <v>1016</v>
      </c>
      <c r="W583" s="10" t="s">
        <v>1017</v>
      </c>
      <c r="X583" s="10" t="str">
        <f>SUBSTITUTE(SUBSTITUTE(PROPERTIES[[#This Row],[PURCHASECOST_VALUE]], "PURCHASECOST_", ""), "_VALUE", "")</f>
        <v>WAGON</v>
      </c>
      <c r="AP583"/>
      <c r="AQ583"/>
      <c r="AR583"/>
    </row>
    <row r="584" spans="1:44">
      <c r="A584" s="2" t="s">
        <v>904</v>
      </c>
      <c r="B584">
        <v>2020</v>
      </c>
      <c r="C584">
        <v>0</v>
      </c>
      <c r="D584" t="s">
        <v>19</v>
      </c>
      <c r="E584" t="s">
        <v>607</v>
      </c>
      <c r="F584">
        <v>75</v>
      </c>
      <c r="G584" s="10">
        <v>27</v>
      </c>
      <c r="H584">
        <v>8</v>
      </c>
      <c r="I584">
        <v>8</v>
      </c>
      <c r="J584" s="2" t="s">
        <v>33</v>
      </c>
      <c r="K584">
        <f>_xlfn.XLOOKUP("LOADINGSPEEDDEF_"&amp;PROPERTIES[[#This Row],[LOADINGSPEED]],LOADINGSPEEDDEF[TYPE],LOADINGSPEEDDEF[SPEED])</f>
        <v>20</v>
      </c>
      <c r="L584" t="s">
        <v>21</v>
      </c>
      <c r="M584">
        <v>0</v>
      </c>
      <c r="N584">
        <v>0</v>
      </c>
      <c r="O584">
        <v>160</v>
      </c>
      <c r="P584" s="2">
        <v>0.3</v>
      </c>
      <c r="Q584" s="6">
        <v>25</v>
      </c>
      <c r="R584" s="10">
        <v>0</v>
      </c>
      <c r="S584" s="10">
        <v>0</v>
      </c>
      <c r="T584" s="10"/>
      <c r="U584" t="str">
        <f>"RUNNING_COST_"&amp;IF(PROPERTIES[[#This Row],[ENGINE_CLASS]]="MAGLEV","ELECTRIC",PROPERTIES[[#This Row],[ENGINE_CLASS]])</f>
        <v>RUNNING_COST_ELECTRIC</v>
      </c>
      <c r="V584" s="10" t="s">
        <v>1016</v>
      </c>
      <c r="W584" s="10" t="s">
        <v>1017</v>
      </c>
      <c r="X584" s="10" t="str">
        <f>SUBSTITUTE(SUBSTITUTE(PROPERTIES[[#This Row],[PURCHASECOST_VALUE]], "PURCHASECOST_", ""), "_VALUE", "")</f>
        <v>WAGON</v>
      </c>
      <c r="AP584"/>
      <c r="AQ584"/>
      <c r="AR584"/>
    </row>
    <row r="585" spans="1:44">
      <c r="A585" s="2" t="s">
        <v>905</v>
      </c>
      <c r="B585">
        <v>2010</v>
      </c>
      <c r="C585">
        <v>0</v>
      </c>
      <c r="D585" t="s">
        <v>19</v>
      </c>
      <c r="E585" t="s">
        <v>608</v>
      </c>
      <c r="F585">
        <v>65</v>
      </c>
      <c r="G585" s="10">
        <v>50</v>
      </c>
      <c r="H585">
        <v>4</v>
      </c>
      <c r="I585">
        <v>12</v>
      </c>
      <c r="J585" s="2" t="s">
        <v>33</v>
      </c>
      <c r="K585">
        <f>_xlfn.XLOOKUP("LOADINGSPEEDDEF_"&amp;PROPERTIES[[#This Row],[LOADINGSPEED]],LOADINGSPEEDDEF[TYPE],LOADINGSPEEDDEF[SPEED])</f>
        <v>20</v>
      </c>
      <c r="L585" t="s">
        <v>21</v>
      </c>
      <c r="M585">
        <v>0</v>
      </c>
      <c r="N585">
        <v>0</v>
      </c>
      <c r="O585">
        <v>140</v>
      </c>
      <c r="P585" s="2">
        <v>0.3</v>
      </c>
      <c r="Q585" s="6">
        <v>25</v>
      </c>
      <c r="R585" s="10">
        <v>0</v>
      </c>
      <c r="S585" s="10">
        <v>0</v>
      </c>
      <c r="T585" s="10"/>
      <c r="U585" t="str">
        <f>"RUNNING_COST_"&amp;IF(PROPERTIES[[#This Row],[ENGINE_CLASS]]="MAGLEV","ELECTRIC",PROPERTIES[[#This Row],[ENGINE_CLASS]])</f>
        <v>RUNNING_COST_ELECTRIC</v>
      </c>
      <c r="V585" s="10" t="s">
        <v>1016</v>
      </c>
      <c r="W585" s="10" t="s">
        <v>1017</v>
      </c>
      <c r="X585" s="10" t="str">
        <f>SUBSTITUTE(SUBSTITUTE(PROPERTIES[[#This Row],[PURCHASECOST_VALUE]], "PURCHASECOST_", ""), "_VALUE", "")</f>
        <v>WAGON</v>
      </c>
      <c r="AP585"/>
      <c r="AQ585"/>
      <c r="AR585"/>
    </row>
    <row r="586" spans="1:44">
      <c r="A586" s="2" t="s">
        <v>906</v>
      </c>
      <c r="B586">
        <v>2020</v>
      </c>
      <c r="C586">
        <v>0</v>
      </c>
      <c r="D586" t="s">
        <v>19</v>
      </c>
      <c r="E586" t="s">
        <v>609</v>
      </c>
      <c r="F586">
        <v>105</v>
      </c>
      <c r="G586" s="10">
        <v>24</v>
      </c>
      <c r="H586">
        <v>8</v>
      </c>
      <c r="I586">
        <v>8</v>
      </c>
      <c r="J586" s="2" t="s">
        <v>33</v>
      </c>
      <c r="K586">
        <f>_xlfn.XLOOKUP("LOADINGSPEEDDEF_"&amp;PROPERTIES[[#This Row],[LOADINGSPEED]],LOADINGSPEEDDEF[TYPE],LOADINGSPEEDDEF[SPEED])</f>
        <v>20</v>
      </c>
      <c r="L586" t="s">
        <v>21</v>
      </c>
      <c r="M586">
        <v>0</v>
      </c>
      <c r="N586">
        <v>0</v>
      </c>
      <c r="O586">
        <v>160</v>
      </c>
      <c r="P586" s="2">
        <v>0.3</v>
      </c>
      <c r="Q586" s="6">
        <v>25</v>
      </c>
      <c r="R586" s="10">
        <v>0</v>
      </c>
      <c r="S586" s="10">
        <v>0</v>
      </c>
      <c r="T586" s="10"/>
      <c r="U586" t="str">
        <f>"RUNNING_COST_"&amp;IF(PROPERTIES[[#This Row],[ENGINE_CLASS]]="MAGLEV","ELECTRIC",PROPERTIES[[#This Row],[ENGINE_CLASS]])</f>
        <v>RUNNING_COST_ELECTRIC</v>
      </c>
      <c r="V586" s="10" t="s">
        <v>1016</v>
      </c>
      <c r="W586" s="10" t="s">
        <v>1017</v>
      </c>
      <c r="X586" s="10" t="str">
        <f>SUBSTITUTE(SUBSTITUTE(PROPERTIES[[#This Row],[PURCHASECOST_VALUE]], "PURCHASECOST_", ""), "_VALUE", "")</f>
        <v>WAGON</v>
      </c>
      <c r="AP586"/>
      <c r="AQ586"/>
      <c r="AR586"/>
    </row>
    <row r="587" spans="1:44">
      <c r="A587" s="2" t="s">
        <v>610</v>
      </c>
      <c r="B587">
        <v>1990</v>
      </c>
      <c r="C587">
        <v>0</v>
      </c>
      <c r="D587" t="s">
        <v>35</v>
      </c>
      <c r="E587" t="s">
        <v>18</v>
      </c>
      <c r="F587">
        <v>70</v>
      </c>
      <c r="G587" s="10">
        <v>32</v>
      </c>
      <c r="H587">
        <v>7</v>
      </c>
      <c r="I587">
        <v>7</v>
      </c>
      <c r="J587" s="2" t="s">
        <v>24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>
        <v>400</v>
      </c>
      <c r="O587">
        <v>110</v>
      </c>
      <c r="P587" s="2">
        <v>0.34</v>
      </c>
      <c r="Q587" s="6">
        <v>15</v>
      </c>
      <c r="R587" s="10">
        <v>0</v>
      </c>
      <c r="S587" s="10">
        <v>0</v>
      </c>
      <c r="T587" s="10"/>
      <c r="U587" t="str">
        <f>"RUNNING_COST_"&amp;IF(PROPERTIES[[#This Row],[ENGINE_CLASS]]="MAGLEV","ELECTRIC",PROPERTIES[[#This Row],[ENGINE_CLASS]])</f>
        <v>RUNNING_COST_DIESEL</v>
      </c>
      <c r="V587" s="10" t="s">
        <v>994</v>
      </c>
      <c r="W587" s="10" t="s">
        <v>995</v>
      </c>
      <c r="X587" s="10" t="str">
        <f>SUBSTITUTE(SUBSTITUTE(PROPERTIES[[#This Row],[PURCHASECOST_VALUE]], "PURCHASECOST_", ""), "_VALUE", "")</f>
        <v>DIESELRAILBUS</v>
      </c>
      <c r="AP587"/>
      <c r="AQ587"/>
      <c r="AR587"/>
    </row>
    <row r="588" spans="1:44">
      <c r="A588" s="2" t="s">
        <v>611</v>
      </c>
      <c r="B588">
        <v>2008</v>
      </c>
      <c r="C588">
        <v>0</v>
      </c>
      <c r="D588" t="s">
        <v>35</v>
      </c>
      <c r="E588" t="s">
        <v>18</v>
      </c>
      <c r="F588">
        <v>39</v>
      </c>
      <c r="G588" s="10">
        <v>39</v>
      </c>
      <c r="H588">
        <v>8</v>
      </c>
      <c r="I588">
        <v>8</v>
      </c>
      <c r="J588" s="2" t="s">
        <v>24</v>
      </c>
      <c r="K588">
        <f>_xlfn.XLOOKUP("LOADINGSPEEDDEF_"&amp;PROPERTIES[[#This Row],[LOADINGSPEED]],LOADINGSPEEDDEF[TYPE],LOADINGSPEEDDEF[SPEED])</f>
        <v>40</v>
      </c>
      <c r="L588" t="s">
        <v>21</v>
      </c>
      <c r="M588">
        <v>1</v>
      </c>
      <c r="N588">
        <v>444</v>
      </c>
      <c r="O588">
        <v>100</v>
      </c>
      <c r="P588" s="2">
        <v>0.26</v>
      </c>
      <c r="Q588" s="6">
        <v>15</v>
      </c>
      <c r="R588" s="10">
        <v>0</v>
      </c>
      <c r="S588" s="10">
        <v>0</v>
      </c>
      <c r="T588" s="10"/>
      <c r="U588" t="str">
        <f>"RUNNING_COST_"&amp;IF(PROPERTIES[[#This Row],[ENGINE_CLASS]]="MAGLEV","ELECTRIC",PROPERTIES[[#This Row],[ENGINE_CLASS]])</f>
        <v>RUNNING_COST_DIESEL</v>
      </c>
      <c r="V588" s="10" t="s">
        <v>994</v>
      </c>
      <c r="W588" s="10" t="s">
        <v>995</v>
      </c>
      <c r="X588" s="10" t="str">
        <f>SUBSTITUTE(SUBSTITUTE(PROPERTIES[[#This Row],[PURCHASECOST_VALUE]], "PURCHASECOST_", ""), "_VALUE", "")</f>
        <v>DIESELRAILBUS</v>
      </c>
      <c r="AP588"/>
      <c r="AQ588"/>
      <c r="AR588"/>
    </row>
    <row r="589" spans="1:44">
      <c r="A589" s="2" t="s">
        <v>612</v>
      </c>
      <c r="B589">
        <v>1961</v>
      </c>
      <c r="C589">
        <v>0</v>
      </c>
      <c r="D589" t="s">
        <v>35</v>
      </c>
      <c r="E589" t="s">
        <v>18</v>
      </c>
      <c r="F589">
        <v>80</v>
      </c>
      <c r="G589" s="10">
        <v>30</v>
      </c>
      <c r="H589">
        <v>8</v>
      </c>
      <c r="I589">
        <v>8</v>
      </c>
      <c r="J589" s="2" t="s">
        <v>24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>
        <v>180</v>
      </c>
      <c r="O589">
        <v>60</v>
      </c>
      <c r="P589" s="2">
        <v>0.22</v>
      </c>
      <c r="Q589" s="6">
        <v>15</v>
      </c>
      <c r="R589" s="10">
        <v>0</v>
      </c>
      <c r="S589" s="10">
        <v>0</v>
      </c>
      <c r="T589" s="10"/>
      <c r="U589" t="str">
        <f>"RUNNING_COST_"&amp;IF(PROPERTIES[[#This Row],[ENGINE_CLASS]]="MAGLEV","ELECTRIC",PROPERTIES[[#This Row],[ENGINE_CLASS]])</f>
        <v>RUNNING_COST_DIESEL</v>
      </c>
      <c r="V589" s="10" t="s">
        <v>994</v>
      </c>
      <c r="W589" s="10" t="s">
        <v>995</v>
      </c>
      <c r="X589" s="10" t="str">
        <f>SUBSTITUTE(SUBSTITUTE(PROPERTIES[[#This Row],[PURCHASECOST_VALUE]], "PURCHASECOST_", ""), "_VALUE", "")</f>
        <v>DIESELRAILBUS</v>
      </c>
      <c r="AP589"/>
      <c r="AQ589"/>
      <c r="AR589"/>
    </row>
    <row r="590" spans="1:44">
      <c r="A590" s="2" t="s">
        <v>613</v>
      </c>
      <c r="B590">
        <v>1935</v>
      </c>
      <c r="C590">
        <v>0</v>
      </c>
      <c r="D590" t="s">
        <v>35</v>
      </c>
      <c r="E590" t="s">
        <v>18</v>
      </c>
      <c r="F590">
        <v>62</v>
      </c>
      <c r="G590" s="10">
        <v>36</v>
      </c>
      <c r="H590">
        <v>7</v>
      </c>
      <c r="I590">
        <v>7</v>
      </c>
      <c r="J590" s="2" t="s">
        <v>24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>
        <v>290</v>
      </c>
      <c r="O590">
        <v>80</v>
      </c>
      <c r="P590" s="2">
        <v>0.14000000000000001</v>
      </c>
      <c r="Q590" s="6">
        <v>15</v>
      </c>
      <c r="R590" s="10">
        <v>0</v>
      </c>
      <c r="S590" s="10">
        <v>0</v>
      </c>
      <c r="T590" s="10"/>
      <c r="U590" t="str">
        <f>"RUNNING_COST_"&amp;IF(PROPERTIES[[#This Row],[ENGINE_CLASS]]="MAGLEV","ELECTRIC",PROPERTIES[[#This Row],[ENGINE_CLASS]])</f>
        <v>RUNNING_COST_DIESEL</v>
      </c>
      <c r="V590" s="10" t="s">
        <v>994</v>
      </c>
      <c r="W590" s="10" t="s">
        <v>995</v>
      </c>
      <c r="X590" s="10" t="str">
        <f>SUBSTITUTE(SUBSTITUTE(PROPERTIES[[#This Row],[PURCHASECOST_VALUE]], "PURCHASECOST_", ""), "_VALUE", "")</f>
        <v>DIESELRAILBUS</v>
      </c>
      <c r="AP590"/>
      <c r="AQ590"/>
      <c r="AR590"/>
    </row>
    <row r="591" spans="1:44">
      <c r="A591" s="2" t="s">
        <v>614</v>
      </c>
      <c r="B591">
        <v>1937</v>
      </c>
      <c r="C591">
        <v>0</v>
      </c>
      <c r="D591" t="s">
        <v>35</v>
      </c>
      <c r="E591" t="s">
        <v>18</v>
      </c>
      <c r="F591">
        <v>32</v>
      </c>
      <c r="G591" s="10">
        <v>18</v>
      </c>
      <c r="H591">
        <v>5</v>
      </c>
      <c r="I591">
        <v>5</v>
      </c>
      <c r="J591" s="2" t="s">
        <v>24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>
        <v>227</v>
      </c>
      <c r="O591">
        <v>68</v>
      </c>
      <c r="P591" s="2">
        <v>0.26</v>
      </c>
      <c r="Q591" s="6">
        <v>15</v>
      </c>
      <c r="R591" s="10">
        <v>0</v>
      </c>
      <c r="S591" s="10">
        <v>0</v>
      </c>
      <c r="T591" s="10"/>
      <c r="U591" t="str">
        <f>"RUNNING_COST_"&amp;IF(PROPERTIES[[#This Row],[ENGINE_CLASS]]="MAGLEV","ELECTRIC",PROPERTIES[[#This Row],[ENGINE_CLASS]])</f>
        <v>RUNNING_COST_DIESEL</v>
      </c>
      <c r="V591" s="10" t="s">
        <v>994</v>
      </c>
      <c r="W591" s="10" t="s">
        <v>995</v>
      </c>
      <c r="X591" s="10" t="str">
        <f>SUBSTITUTE(SUBSTITUTE(PROPERTIES[[#This Row],[PURCHASECOST_VALUE]], "PURCHASECOST_", ""), "_VALUE", "")</f>
        <v>DIESELRAILBUS</v>
      </c>
      <c r="AP591"/>
      <c r="AQ591"/>
      <c r="AR591"/>
    </row>
    <row r="592" spans="1:44">
      <c r="A592" s="2" t="s">
        <v>615</v>
      </c>
      <c r="B592">
        <v>1911</v>
      </c>
      <c r="C592">
        <v>0</v>
      </c>
      <c r="D592" t="s">
        <v>74</v>
      </c>
      <c r="E592" t="s">
        <v>18</v>
      </c>
      <c r="F592">
        <v>24</v>
      </c>
      <c r="G592" s="10">
        <v>24</v>
      </c>
      <c r="H592">
        <v>6</v>
      </c>
      <c r="I592">
        <v>6</v>
      </c>
      <c r="J592" s="2" t="s">
        <v>24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>
        <v>195</v>
      </c>
      <c r="O592">
        <v>35</v>
      </c>
      <c r="P592" s="2">
        <v>0.15</v>
      </c>
      <c r="Q592" s="6">
        <v>15</v>
      </c>
      <c r="R592" s="10">
        <v>0</v>
      </c>
      <c r="S592" s="10">
        <v>0</v>
      </c>
      <c r="T592" s="10"/>
      <c r="U592" t="str">
        <f>"RUNNING_COST_"&amp;IF(PROPERTIES[[#This Row],[ENGINE_CLASS]]="MAGLEV","ELECTRIC",PROPERTIES[[#This Row],[ENGINE_CLASS]])</f>
        <v>RUNNING_COST_ELECTRIC</v>
      </c>
      <c r="V592" s="10" t="s">
        <v>996</v>
      </c>
      <c r="W592" s="10" t="s">
        <v>997</v>
      </c>
      <c r="X592" s="10" t="str">
        <f>SUBSTITUTE(SUBSTITUTE(PROPERTIES[[#This Row],[PURCHASECOST_VALUE]], "PURCHASECOST_", ""), "_VALUE", "")</f>
        <v>ELECTRICRAILBUS</v>
      </c>
      <c r="AP592"/>
      <c r="AQ592"/>
      <c r="AR592"/>
    </row>
    <row r="593" spans="1:44">
      <c r="A593" s="2" t="s">
        <v>616</v>
      </c>
      <c r="B593">
        <v>1907</v>
      </c>
      <c r="C593">
        <v>0</v>
      </c>
      <c r="D593" t="s">
        <v>74</v>
      </c>
      <c r="E593" t="s">
        <v>18</v>
      </c>
      <c r="F593">
        <v>20</v>
      </c>
      <c r="G593" s="10">
        <v>15</v>
      </c>
      <c r="H593">
        <v>4</v>
      </c>
      <c r="I593">
        <v>4</v>
      </c>
      <c r="J593" s="2" t="s">
        <v>24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>
        <v>144</v>
      </c>
      <c r="O593">
        <v>37</v>
      </c>
      <c r="P593" s="2">
        <v>0.33</v>
      </c>
      <c r="Q593" s="6">
        <v>15</v>
      </c>
      <c r="R593" s="10">
        <v>0</v>
      </c>
      <c r="S593" s="10">
        <v>0</v>
      </c>
      <c r="T593" s="10"/>
      <c r="U593" t="str">
        <f>"RUNNING_COST_"&amp;IF(PROPERTIES[[#This Row],[ENGINE_CLASS]]="MAGLEV","ELECTRIC",PROPERTIES[[#This Row],[ENGINE_CLASS]])</f>
        <v>RUNNING_COST_ELECTRIC</v>
      </c>
      <c r="V593" s="10" t="s">
        <v>996</v>
      </c>
      <c r="W593" s="10" t="s">
        <v>997</v>
      </c>
      <c r="X593" s="10" t="str">
        <f>SUBSTITUTE(SUBSTITUTE(PROPERTIES[[#This Row],[PURCHASECOST_VALUE]], "PURCHASECOST_", ""), "_VALUE", "")</f>
        <v>ELECTRICRAILBUS</v>
      </c>
      <c r="AP593"/>
      <c r="AQ593"/>
      <c r="AR593"/>
    </row>
    <row r="594" spans="1:44">
      <c r="A594" s="2" t="s">
        <v>617</v>
      </c>
      <c r="B594">
        <v>1998</v>
      </c>
      <c r="C594">
        <v>0</v>
      </c>
      <c r="D594" t="s">
        <v>74</v>
      </c>
      <c r="E594" t="s">
        <v>18</v>
      </c>
      <c r="F594">
        <v>40</v>
      </c>
      <c r="G594" s="10">
        <v>32</v>
      </c>
      <c r="H594">
        <v>8</v>
      </c>
      <c r="I594">
        <v>8</v>
      </c>
      <c r="J594" s="2" t="s">
        <v>24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>
        <v>752</v>
      </c>
      <c r="O594">
        <v>50</v>
      </c>
      <c r="P594" s="2">
        <v>0.27</v>
      </c>
      <c r="Q594" s="6">
        <v>15</v>
      </c>
      <c r="R594" s="10">
        <v>0</v>
      </c>
      <c r="S594" s="10">
        <v>0</v>
      </c>
      <c r="T594" s="10"/>
      <c r="U594" t="str">
        <f>"RUNNING_COST_"&amp;IF(PROPERTIES[[#This Row],[ENGINE_CLASS]]="MAGLEV","ELECTRIC",PROPERTIES[[#This Row],[ENGINE_CLASS]])</f>
        <v>RUNNING_COST_ELECTRIC</v>
      </c>
      <c r="V594" s="10" t="s">
        <v>996</v>
      </c>
      <c r="W594" s="10" t="s">
        <v>997</v>
      </c>
      <c r="X594" s="10" t="str">
        <f>SUBSTITUTE(SUBSTITUTE(PROPERTIES[[#This Row],[PURCHASECOST_VALUE]], "PURCHASECOST_", ""), "_VALUE", "")</f>
        <v>ELECTRICRAILBUS</v>
      </c>
      <c r="AP594"/>
      <c r="AQ594"/>
      <c r="AR594"/>
    </row>
    <row r="595" spans="1:44">
      <c r="A595" s="2" t="s">
        <v>618</v>
      </c>
      <c r="B595">
        <v>1929</v>
      </c>
      <c r="C595">
        <v>0</v>
      </c>
      <c r="D595" t="s">
        <v>74</v>
      </c>
      <c r="E595" t="s">
        <v>18</v>
      </c>
      <c r="F595">
        <v>44</v>
      </c>
      <c r="G595" s="10">
        <v>38</v>
      </c>
      <c r="H595">
        <v>6</v>
      </c>
      <c r="I595">
        <v>6</v>
      </c>
      <c r="J595" s="2" t="s">
        <v>24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>
        <v>350</v>
      </c>
      <c r="O595">
        <v>60</v>
      </c>
      <c r="P595" s="2">
        <v>0.05</v>
      </c>
      <c r="Q595" s="6">
        <v>15</v>
      </c>
      <c r="R595" s="10">
        <v>0</v>
      </c>
      <c r="S595" s="10">
        <v>0</v>
      </c>
      <c r="T595" s="10"/>
      <c r="U595" t="str">
        <f>"RUNNING_COST_"&amp;IF(PROPERTIES[[#This Row],[ENGINE_CLASS]]="MAGLEV","ELECTRIC",PROPERTIES[[#This Row],[ENGINE_CLASS]])</f>
        <v>RUNNING_COST_ELECTRIC</v>
      </c>
      <c r="V595" s="10" t="s">
        <v>996</v>
      </c>
      <c r="W595" s="10" t="s">
        <v>997</v>
      </c>
      <c r="X595" s="10" t="str">
        <f>SUBSTITUTE(SUBSTITUTE(PROPERTIES[[#This Row],[PURCHASECOST_VALUE]], "PURCHASECOST_", ""), "_VALUE", "")</f>
        <v>ELECTRICRAILBUS</v>
      </c>
      <c r="AP595"/>
      <c r="AQ595"/>
      <c r="AR595"/>
    </row>
    <row r="596" spans="1:44">
      <c r="A596" s="2" t="s">
        <v>619</v>
      </c>
      <c r="B596">
        <v>1960</v>
      </c>
      <c r="C596">
        <v>0</v>
      </c>
      <c r="D596" t="s">
        <v>74</v>
      </c>
      <c r="E596" t="s">
        <v>18</v>
      </c>
      <c r="F596">
        <v>34</v>
      </c>
      <c r="G596" s="10">
        <v>31</v>
      </c>
      <c r="H596">
        <v>7</v>
      </c>
      <c r="I596">
        <v>7</v>
      </c>
      <c r="J596" s="2" t="s">
        <v>24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>
        <v>402</v>
      </c>
      <c r="O596">
        <v>40</v>
      </c>
      <c r="P596" s="2">
        <v>0.18</v>
      </c>
      <c r="Q596" s="6">
        <v>15</v>
      </c>
      <c r="R596" s="10">
        <v>0</v>
      </c>
      <c r="S596" s="10">
        <v>0</v>
      </c>
      <c r="T596" s="10"/>
      <c r="U596" t="str">
        <f>"RUNNING_COST_"&amp;IF(PROPERTIES[[#This Row],[ENGINE_CLASS]]="MAGLEV","ELECTRIC",PROPERTIES[[#This Row],[ENGINE_CLASS]])</f>
        <v>RUNNING_COST_ELECTRIC</v>
      </c>
      <c r="V596" s="10" t="s">
        <v>996</v>
      </c>
      <c r="W596" s="10" t="s">
        <v>997</v>
      </c>
      <c r="X596" s="10" t="str">
        <f>SUBSTITUTE(SUBSTITUTE(PROPERTIES[[#This Row],[PURCHASECOST_VALUE]], "PURCHASECOST_", ""), "_VALUE", "")</f>
        <v>ELECTRICRAILBUS</v>
      </c>
      <c r="AP596"/>
      <c r="AQ596"/>
      <c r="AR596"/>
    </row>
    <row r="597" spans="1:44">
      <c r="A597" s="2" t="s">
        <v>620</v>
      </c>
      <c r="B597">
        <v>1889</v>
      </c>
      <c r="C597">
        <v>0</v>
      </c>
      <c r="D597" t="s">
        <v>23</v>
      </c>
      <c r="E597" t="s">
        <v>18</v>
      </c>
      <c r="F597">
        <v>0</v>
      </c>
      <c r="G597" s="10">
        <v>30</v>
      </c>
      <c r="H597">
        <v>6</v>
      </c>
      <c r="I597">
        <v>6</v>
      </c>
      <c r="J597" s="2" t="s">
        <v>20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>
        <v>247</v>
      </c>
      <c r="O597">
        <v>45</v>
      </c>
      <c r="P597" s="2">
        <v>0.19</v>
      </c>
      <c r="Q597" s="6">
        <v>40</v>
      </c>
      <c r="R597" s="10">
        <v>0</v>
      </c>
      <c r="S597" s="10">
        <v>0</v>
      </c>
      <c r="T597" s="10"/>
      <c r="U597" t="str">
        <f>"RUNNING_COST_"&amp;IF(PROPERTIES[[#This Row],[ENGINE_CLASS]]="MAGLEV","ELECTRIC",PROPERTIES[[#This Row],[ENGINE_CLASS]])</f>
        <v>RUNNING_COST_STEAM</v>
      </c>
      <c r="V597" s="10" t="s">
        <v>998</v>
      </c>
      <c r="W597" s="10" t="s">
        <v>999</v>
      </c>
      <c r="X597" s="10" t="str">
        <f>SUBSTITUTE(SUBSTITUTE(PROPERTIES[[#This Row],[PURCHASECOST_VALUE]], "PURCHASECOST_", ""), "_VALUE", "")</f>
        <v>STEAMENGINE</v>
      </c>
      <c r="AP597"/>
      <c r="AQ597"/>
      <c r="AR597"/>
    </row>
    <row r="598" spans="1:44">
      <c r="A598" s="2" t="s">
        <v>621</v>
      </c>
      <c r="B598">
        <v>1948</v>
      </c>
      <c r="C598">
        <v>0</v>
      </c>
      <c r="D598" t="s">
        <v>23</v>
      </c>
      <c r="E598" t="s">
        <v>18</v>
      </c>
      <c r="F598">
        <v>0</v>
      </c>
      <c r="G598" s="10">
        <v>102</v>
      </c>
      <c r="H598">
        <v>7</v>
      </c>
      <c r="I598">
        <v>7</v>
      </c>
      <c r="J598" s="2" t="s">
        <v>20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>
        <v>1300</v>
      </c>
      <c r="O598">
        <v>65</v>
      </c>
      <c r="P598" s="2">
        <v>0.21</v>
      </c>
      <c r="Q598" s="6">
        <v>40</v>
      </c>
      <c r="R598" s="10">
        <v>0</v>
      </c>
      <c r="S598" s="10">
        <v>0</v>
      </c>
      <c r="T598" s="10"/>
      <c r="U598" t="str">
        <f>"RUNNING_COST_"&amp;IF(PROPERTIES[[#This Row],[ENGINE_CLASS]]="MAGLEV","ELECTRIC",PROPERTIES[[#This Row],[ENGINE_CLASS]])</f>
        <v>RUNNING_COST_STEAM</v>
      </c>
      <c r="V598" s="10" t="s">
        <v>998</v>
      </c>
      <c r="W598" s="10" t="s">
        <v>999</v>
      </c>
      <c r="X598" s="10" t="str">
        <f>SUBSTITUTE(SUBSTITUTE(PROPERTIES[[#This Row],[PURCHASECOST_VALUE]], "PURCHASECOST_", ""), "_VALUE", "")</f>
        <v>STEAMENGINE</v>
      </c>
      <c r="AP598"/>
      <c r="AQ598"/>
      <c r="AR598"/>
    </row>
    <row r="599" spans="1:44">
      <c r="A599" s="2" t="s">
        <v>622</v>
      </c>
      <c r="B599">
        <v>1880</v>
      </c>
      <c r="C599">
        <v>0</v>
      </c>
      <c r="D599" t="s">
        <v>23</v>
      </c>
      <c r="E599" t="s">
        <v>20</v>
      </c>
      <c r="F599">
        <v>0</v>
      </c>
      <c r="G599" s="10">
        <v>31</v>
      </c>
      <c r="H599">
        <v>5</v>
      </c>
      <c r="I599">
        <v>6</v>
      </c>
      <c r="J599" s="2" t="s">
        <v>24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>
        <v>200</v>
      </c>
      <c r="O599">
        <v>36</v>
      </c>
      <c r="P599" s="2">
        <v>7.0000000000000007E-2</v>
      </c>
      <c r="Q599" s="6">
        <v>40</v>
      </c>
      <c r="R599" s="10">
        <v>0</v>
      </c>
      <c r="S599" s="10">
        <v>3</v>
      </c>
      <c r="T599" s="10"/>
      <c r="U599" t="str">
        <f>"RUNNING_COST_"&amp;IF(PROPERTIES[[#This Row],[ENGINE_CLASS]]="MAGLEV","ELECTRIC",PROPERTIES[[#This Row],[ENGINE_CLASS]])</f>
        <v>RUNNING_COST_STEAM</v>
      </c>
      <c r="V599" s="10" t="s">
        <v>998</v>
      </c>
      <c r="W599" s="10" t="s">
        <v>999</v>
      </c>
      <c r="X599" s="10" t="str">
        <f>SUBSTITUTE(SUBSTITUTE(PROPERTIES[[#This Row],[PURCHASECOST_VALUE]], "PURCHASECOST_", ""), "_VALUE", "")</f>
        <v>STEAMENGINE</v>
      </c>
      <c r="AP599"/>
      <c r="AQ599"/>
      <c r="AR599"/>
    </row>
    <row r="600" spans="1:44">
      <c r="A600" s="2" t="s">
        <v>623</v>
      </c>
      <c r="B600">
        <v>1893</v>
      </c>
      <c r="C600">
        <v>0</v>
      </c>
      <c r="D600" t="s">
        <v>23</v>
      </c>
      <c r="E600" t="s">
        <v>20</v>
      </c>
      <c r="F600">
        <v>0</v>
      </c>
      <c r="G600" s="10">
        <v>32</v>
      </c>
      <c r="H600">
        <v>5</v>
      </c>
      <c r="I600">
        <v>5</v>
      </c>
      <c r="J600" s="2" t="s">
        <v>24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>
        <v>186</v>
      </c>
      <c r="O600">
        <v>48</v>
      </c>
      <c r="P600" s="2">
        <v>0.15</v>
      </c>
      <c r="Q600" s="6">
        <v>40</v>
      </c>
      <c r="R600" s="10">
        <v>0</v>
      </c>
      <c r="S600" s="10">
        <v>0</v>
      </c>
      <c r="T600" s="10"/>
      <c r="U600" t="str">
        <f>"RUNNING_COST_"&amp;IF(PROPERTIES[[#This Row],[ENGINE_CLASS]]="MAGLEV","ELECTRIC",PROPERTIES[[#This Row],[ENGINE_CLASS]])</f>
        <v>RUNNING_COST_STEAM</v>
      </c>
      <c r="V600" s="10" t="s">
        <v>998</v>
      </c>
      <c r="W600" s="10" t="s">
        <v>999</v>
      </c>
      <c r="X600" s="10" t="str">
        <f>SUBSTITUTE(SUBSTITUTE(PROPERTIES[[#This Row],[PURCHASECOST_VALUE]], "PURCHASECOST_", ""), "_VALUE", "")</f>
        <v>STEAMENGINE</v>
      </c>
      <c r="AP600"/>
      <c r="AQ600"/>
      <c r="AR600"/>
    </row>
    <row r="601" spans="1:44">
      <c r="A601" s="2" t="s">
        <v>624</v>
      </c>
      <c r="B601">
        <v>1913</v>
      </c>
      <c r="C601">
        <v>0</v>
      </c>
      <c r="D601" t="s">
        <v>23</v>
      </c>
      <c r="E601" t="s">
        <v>20</v>
      </c>
      <c r="F601">
        <v>0</v>
      </c>
      <c r="G601" s="10">
        <v>95</v>
      </c>
      <c r="H601">
        <v>7</v>
      </c>
      <c r="I601">
        <v>8</v>
      </c>
      <c r="J601" s="2" t="s">
        <v>24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>
        <v>870</v>
      </c>
      <c r="O601">
        <v>65</v>
      </c>
      <c r="P601" s="2">
        <v>0.15</v>
      </c>
      <c r="Q601" s="6">
        <v>40</v>
      </c>
      <c r="R601" s="10">
        <v>0</v>
      </c>
      <c r="S601" s="10">
        <v>4</v>
      </c>
      <c r="T601" s="10"/>
      <c r="U601" t="str">
        <f>"RUNNING_COST_"&amp;IF(PROPERTIES[[#This Row],[ENGINE_CLASS]]="MAGLEV","ELECTRIC",PROPERTIES[[#This Row],[ENGINE_CLASS]])</f>
        <v>RUNNING_COST_STEAM</v>
      </c>
      <c r="V601" s="10" t="s">
        <v>998</v>
      </c>
      <c r="W601" s="10" t="s">
        <v>999</v>
      </c>
      <c r="X601" s="10" t="str">
        <f>SUBSTITUTE(SUBSTITUTE(PROPERTIES[[#This Row],[PURCHASECOST_VALUE]], "PURCHASECOST_", ""), "_VALUE", "")</f>
        <v>STEAMENGINE</v>
      </c>
      <c r="AP601"/>
      <c r="AQ601"/>
      <c r="AR601"/>
    </row>
    <row r="602" spans="1:44">
      <c r="A602" s="2" t="s">
        <v>625</v>
      </c>
      <c r="B602">
        <v>1923</v>
      </c>
      <c r="C602">
        <v>0</v>
      </c>
      <c r="D602" t="s">
        <v>23</v>
      </c>
      <c r="E602" t="s">
        <v>20</v>
      </c>
      <c r="F602">
        <v>0</v>
      </c>
      <c r="G602" s="10">
        <v>122</v>
      </c>
      <c r="H602">
        <v>6</v>
      </c>
      <c r="I602">
        <v>8</v>
      </c>
      <c r="J602" s="2" t="s">
        <v>20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>
        <v>1520</v>
      </c>
      <c r="O602">
        <v>70</v>
      </c>
      <c r="P602" s="2">
        <v>0.16</v>
      </c>
      <c r="Q602" s="6">
        <v>40</v>
      </c>
      <c r="R602" s="10">
        <v>0</v>
      </c>
      <c r="S602" s="10">
        <v>4</v>
      </c>
      <c r="T602" s="10"/>
      <c r="U602" t="str">
        <f>"RUNNING_COST_"&amp;IF(PROPERTIES[[#This Row],[ENGINE_CLASS]]="MAGLEV","ELECTRIC",PROPERTIES[[#This Row],[ENGINE_CLASS]])</f>
        <v>RUNNING_COST_STEAM</v>
      </c>
      <c r="V602" s="10" t="s">
        <v>998</v>
      </c>
      <c r="W602" s="10" t="s">
        <v>999</v>
      </c>
      <c r="X602" s="10" t="str">
        <f>SUBSTITUTE(SUBSTITUTE(PROPERTIES[[#This Row],[PURCHASECOST_VALUE]], "PURCHASECOST_", ""), "_VALUE", "")</f>
        <v>STEAMENGINE</v>
      </c>
      <c r="AP602"/>
      <c r="AQ602"/>
      <c r="AR602"/>
    </row>
    <row r="603" spans="1:44">
      <c r="A603" s="2" t="s">
        <v>626</v>
      </c>
      <c r="B603">
        <v>1957</v>
      </c>
      <c r="C603">
        <v>0</v>
      </c>
      <c r="D603" t="s">
        <v>35</v>
      </c>
      <c r="E603" t="s">
        <v>20</v>
      </c>
      <c r="F603">
        <v>0</v>
      </c>
      <c r="G603" s="10">
        <v>85</v>
      </c>
      <c r="H603">
        <v>7</v>
      </c>
      <c r="I603">
        <v>7</v>
      </c>
      <c r="J603" s="2" t="s">
        <v>20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>
        <v>1060</v>
      </c>
      <c r="O603">
        <v>90</v>
      </c>
      <c r="P603" s="2">
        <v>0.28999999999999998</v>
      </c>
      <c r="Q603" s="6">
        <v>40</v>
      </c>
      <c r="R603" s="10">
        <v>0</v>
      </c>
      <c r="S603" s="10">
        <v>0</v>
      </c>
      <c r="T603" s="10"/>
      <c r="U603" t="str">
        <f>"RUNNING_COST_"&amp;IF(PROPERTIES[[#This Row],[ENGINE_CLASS]]="MAGLEV","ELECTRIC",PROPERTIES[[#This Row],[ENGINE_CLASS]])</f>
        <v>RUNNING_COST_DIESEL</v>
      </c>
      <c r="V603" s="10" t="s">
        <v>1000</v>
      </c>
      <c r="W603" s="10" t="s">
        <v>1001</v>
      </c>
      <c r="X603" s="10" t="str">
        <f>SUBSTITUTE(SUBSTITUTE(PROPERTIES[[#This Row],[PURCHASECOST_VALUE]], "PURCHASECOST_", ""), "_VALUE", "")</f>
        <v>DIESELENGINE</v>
      </c>
      <c r="AP603"/>
      <c r="AQ603"/>
      <c r="AR603"/>
    </row>
    <row r="604" spans="1:44">
      <c r="A604" s="2" t="s">
        <v>627</v>
      </c>
      <c r="B604">
        <v>1909</v>
      </c>
      <c r="C604">
        <v>0</v>
      </c>
      <c r="D604" t="s">
        <v>74</v>
      </c>
      <c r="E604" t="s">
        <v>20</v>
      </c>
      <c r="F604">
        <v>0</v>
      </c>
      <c r="G604" s="10">
        <v>16</v>
      </c>
      <c r="H604">
        <v>5</v>
      </c>
      <c r="I604">
        <v>5</v>
      </c>
      <c r="J604" s="2" t="s">
        <v>20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>
        <v>200</v>
      </c>
      <c r="O604">
        <v>45</v>
      </c>
      <c r="P604" s="2">
        <v>0.3</v>
      </c>
      <c r="Q604" s="6">
        <v>40</v>
      </c>
      <c r="R604" s="10">
        <v>0</v>
      </c>
      <c r="S604" s="10">
        <v>0</v>
      </c>
      <c r="T604" s="10"/>
      <c r="U604" t="str">
        <f>"RUNNING_COST_"&amp;IF(PROPERTIES[[#This Row],[ENGINE_CLASS]]="MAGLEV","ELECTRIC",PROPERTIES[[#This Row],[ENGINE_CLASS]])</f>
        <v>RUNNING_COST_ELECTRIC</v>
      </c>
      <c r="V604" s="10" t="s">
        <v>1004</v>
      </c>
      <c r="W604" s="10" t="s">
        <v>1005</v>
      </c>
      <c r="X604" s="10" t="str">
        <f>SUBSTITUTE(SUBSTITUTE(PROPERTIES[[#This Row],[PURCHASECOST_VALUE]], "PURCHASECOST_", ""), "_VALUE", "")</f>
        <v>ELECTRICENGINE</v>
      </c>
      <c r="AP604"/>
      <c r="AQ604"/>
      <c r="AR604"/>
    </row>
    <row r="605" spans="1:44">
      <c r="A605" s="2" t="s">
        <v>628</v>
      </c>
      <c r="B605">
        <v>1954</v>
      </c>
      <c r="C605">
        <v>0</v>
      </c>
      <c r="D605" t="s">
        <v>74</v>
      </c>
      <c r="E605" t="s">
        <v>20</v>
      </c>
      <c r="F605">
        <v>0</v>
      </c>
      <c r="G605" s="10">
        <v>116</v>
      </c>
      <c r="H605">
        <v>7</v>
      </c>
      <c r="I605">
        <v>14</v>
      </c>
      <c r="J605" s="2" t="s">
        <v>20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>
        <v>3390</v>
      </c>
      <c r="O605">
        <v>110</v>
      </c>
      <c r="P605" s="2">
        <v>0.16</v>
      </c>
      <c r="Q605" s="6">
        <v>40</v>
      </c>
      <c r="R605" s="10">
        <v>0</v>
      </c>
      <c r="S605" s="10">
        <v>7</v>
      </c>
      <c r="T605" s="10"/>
      <c r="U605" t="str">
        <f>"RUNNING_COST_"&amp;IF(PROPERTIES[[#This Row],[ENGINE_CLASS]]="MAGLEV","ELECTRIC",PROPERTIES[[#This Row],[ENGINE_CLASS]])</f>
        <v>RUNNING_COST_ELECTRIC</v>
      </c>
      <c r="V605" s="10" t="s">
        <v>1004</v>
      </c>
      <c r="W605" s="10" t="s">
        <v>1005</v>
      </c>
      <c r="X605" s="10" t="str">
        <f>SUBSTITUTE(SUBSTITUTE(PROPERTIES[[#This Row],[PURCHASECOST_VALUE]], "PURCHASECOST_", ""), "_VALUE", "")</f>
        <v>ELECTRICENGINE</v>
      </c>
      <c r="AP605"/>
      <c r="AQ605"/>
      <c r="AR605"/>
    </row>
    <row r="606" spans="1:44">
      <c r="A606" s="2" t="s">
        <v>629</v>
      </c>
      <c r="B606">
        <v>1964</v>
      </c>
      <c r="C606">
        <v>0</v>
      </c>
      <c r="D606" t="s">
        <v>74</v>
      </c>
      <c r="E606" t="s">
        <v>20</v>
      </c>
      <c r="F606">
        <v>0</v>
      </c>
      <c r="G606" s="10">
        <v>96</v>
      </c>
      <c r="H606">
        <v>8</v>
      </c>
      <c r="I606">
        <v>8</v>
      </c>
      <c r="J606" s="2" t="s">
        <v>20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>
        <v>3420</v>
      </c>
      <c r="O606">
        <v>100</v>
      </c>
      <c r="P606" s="2">
        <v>0.3</v>
      </c>
      <c r="Q606" s="6">
        <v>40</v>
      </c>
      <c r="R606" s="10">
        <v>0</v>
      </c>
      <c r="S606" s="10">
        <v>0</v>
      </c>
      <c r="T606" s="10"/>
      <c r="U606" t="str">
        <f>"RUNNING_COST_"&amp;IF(PROPERTIES[[#This Row],[ENGINE_CLASS]]="MAGLEV","ELECTRIC",PROPERTIES[[#This Row],[ENGINE_CLASS]])</f>
        <v>RUNNING_COST_ELECTRIC</v>
      </c>
      <c r="V606" s="10" t="s">
        <v>1004</v>
      </c>
      <c r="W606" s="10" t="s">
        <v>1005</v>
      </c>
      <c r="X606" s="10" t="str">
        <f>SUBSTITUTE(SUBSTITUTE(PROPERTIES[[#This Row],[PURCHASECOST_VALUE]], "PURCHASECOST_", ""), "_VALUE", "")</f>
        <v>ELECTRICENGINE</v>
      </c>
      <c r="AP606"/>
      <c r="AQ606"/>
      <c r="AR606"/>
    </row>
    <row r="607" spans="1:44">
      <c r="A607" s="2" t="s">
        <v>630</v>
      </c>
      <c r="B607">
        <v>1923</v>
      </c>
      <c r="C607">
        <v>0</v>
      </c>
      <c r="D607" t="s">
        <v>74</v>
      </c>
      <c r="E607" t="s">
        <v>20</v>
      </c>
      <c r="F607">
        <v>0</v>
      </c>
      <c r="G607" s="10">
        <v>50</v>
      </c>
      <c r="H607">
        <v>7</v>
      </c>
      <c r="I607">
        <v>7</v>
      </c>
      <c r="J607" s="2" t="s">
        <v>20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>
        <v>680</v>
      </c>
      <c r="O607">
        <v>64</v>
      </c>
      <c r="P607" s="2">
        <v>0.13</v>
      </c>
      <c r="Q607" s="6">
        <v>40</v>
      </c>
      <c r="R607" s="10">
        <v>0</v>
      </c>
      <c r="S607" s="10">
        <v>0</v>
      </c>
      <c r="T607" s="10"/>
      <c r="U607" t="str">
        <f>"RUNNING_COST_"&amp;IF(PROPERTIES[[#This Row],[ENGINE_CLASS]]="MAGLEV","ELECTRIC",PROPERTIES[[#This Row],[ENGINE_CLASS]])</f>
        <v>RUNNING_COST_ELECTRIC</v>
      </c>
      <c r="V607" s="10" t="s">
        <v>1004</v>
      </c>
      <c r="W607" s="10" t="s">
        <v>1005</v>
      </c>
      <c r="X607" s="10" t="str">
        <f>SUBSTITUTE(SUBSTITUTE(PROPERTIES[[#This Row],[PURCHASECOST_VALUE]], "PURCHASECOST_", ""), "_VALUE", "")</f>
        <v>ELECTRICENGINE</v>
      </c>
      <c r="AP607"/>
      <c r="AQ607"/>
      <c r="AR607"/>
    </row>
    <row r="608" spans="1:44">
      <c r="A608" s="2" t="s">
        <v>631</v>
      </c>
      <c r="B608">
        <v>1952</v>
      </c>
      <c r="C608">
        <v>0</v>
      </c>
      <c r="D608" t="s">
        <v>74</v>
      </c>
      <c r="E608" t="s">
        <v>20</v>
      </c>
      <c r="F608">
        <v>0</v>
      </c>
      <c r="G608" s="10">
        <v>110</v>
      </c>
      <c r="H608">
        <v>7</v>
      </c>
      <c r="I608">
        <v>7</v>
      </c>
      <c r="J608" s="2" t="s">
        <v>20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>
        <v>2700</v>
      </c>
      <c r="O608">
        <v>113</v>
      </c>
      <c r="P608" s="2">
        <v>0.11</v>
      </c>
      <c r="Q608" s="6">
        <v>40</v>
      </c>
      <c r="R608" s="10">
        <v>0</v>
      </c>
      <c r="S608" s="10">
        <v>0</v>
      </c>
      <c r="T608" s="10"/>
      <c r="U608" t="str">
        <f>"RUNNING_COST_"&amp;IF(PROPERTIES[[#This Row],[ENGINE_CLASS]]="MAGLEV","ELECTRIC",PROPERTIES[[#This Row],[ENGINE_CLASS]])</f>
        <v>RUNNING_COST_ELECTRIC</v>
      </c>
      <c r="V608" s="10" t="s">
        <v>1004</v>
      </c>
      <c r="W608" s="10" t="s">
        <v>1005</v>
      </c>
      <c r="X608" s="10" t="str">
        <f>SUBSTITUTE(SUBSTITUTE(PROPERTIES[[#This Row],[PURCHASECOST_VALUE]], "PURCHASECOST_", ""), "_VALUE", "")</f>
        <v>ELECTRICENGINE</v>
      </c>
      <c r="AP608"/>
      <c r="AQ608"/>
      <c r="AR608"/>
    </row>
    <row r="609" spans="1:44">
      <c r="A609" s="2" t="s">
        <v>632</v>
      </c>
      <c r="B609">
        <v>1952</v>
      </c>
      <c r="C609">
        <v>0</v>
      </c>
      <c r="D609" t="s">
        <v>74</v>
      </c>
      <c r="E609" t="s">
        <v>20</v>
      </c>
      <c r="F609">
        <v>0</v>
      </c>
      <c r="G609" s="10">
        <v>155</v>
      </c>
      <c r="H609">
        <v>8</v>
      </c>
      <c r="I609">
        <v>8</v>
      </c>
      <c r="J609" s="2" t="s">
        <v>20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>
        <v>2520</v>
      </c>
      <c r="O609">
        <v>97</v>
      </c>
      <c r="P609" s="2">
        <v>0.09</v>
      </c>
      <c r="Q609" s="6">
        <v>40</v>
      </c>
      <c r="R609" s="10">
        <v>0</v>
      </c>
      <c r="S609" s="10">
        <v>0</v>
      </c>
      <c r="T609" s="10"/>
      <c r="U609" t="str">
        <f>"RUNNING_COST_"&amp;IF(PROPERTIES[[#This Row],[ENGINE_CLASS]]="MAGLEV","ELECTRIC",PROPERTIES[[#This Row],[ENGINE_CLASS]])</f>
        <v>RUNNING_COST_ELECTRIC</v>
      </c>
      <c r="V609" s="10" t="s">
        <v>1004</v>
      </c>
      <c r="W609" s="10" t="s">
        <v>1005</v>
      </c>
      <c r="X609" s="10" t="str">
        <f>SUBSTITUTE(SUBSTITUTE(PROPERTIES[[#This Row],[PURCHASECOST_VALUE]], "PURCHASECOST_", ""), "_VALUE", "")</f>
        <v>ELECTRICENGINE</v>
      </c>
      <c r="AP609"/>
      <c r="AQ609"/>
      <c r="AR609"/>
    </row>
    <row r="610" spans="1:44">
      <c r="A610" s="2" t="s">
        <v>633</v>
      </c>
      <c r="B610">
        <v>1965</v>
      </c>
      <c r="C610">
        <v>0</v>
      </c>
      <c r="D610" t="s">
        <v>74</v>
      </c>
      <c r="E610" t="s">
        <v>20</v>
      </c>
      <c r="F610">
        <v>0</v>
      </c>
      <c r="G610" s="10">
        <v>86</v>
      </c>
      <c r="H610">
        <v>7</v>
      </c>
      <c r="I610">
        <v>7</v>
      </c>
      <c r="J610" s="2" t="s">
        <v>20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>
        <v>1456</v>
      </c>
      <c r="O610">
        <v>97</v>
      </c>
      <c r="P610" s="2">
        <v>0.28999999999999998</v>
      </c>
      <c r="Q610" s="6">
        <v>40</v>
      </c>
      <c r="R610" s="10">
        <v>0</v>
      </c>
      <c r="S610" s="10">
        <v>0</v>
      </c>
      <c r="T610" s="10"/>
      <c r="U610" t="str">
        <f>"RUNNING_COST_"&amp;IF(PROPERTIES[[#This Row],[ENGINE_CLASS]]="MAGLEV","ELECTRIC",PROPERTIES[[#This Row],[ENGINE_CLASS]])</f>
        <v>RUNNING_COST_ELECTRIC</v>
      </c>
      <c r="V610" s="10" t="s">
        <v>1004</v>
      </c>
      <c r="W610" s="10" t="s">
        <v>1005</v>
      </c>
      <c r="X610" s="10" t="str">
        <f>SUBSTITUTE(SUBSTITUTE(PROPERTIES[[#This Row],[PURCHASECOST_VALUE]], "PURCHASECOST_", ""), "_VALUE", "")</f>
        <v>ELECTRICENGINE</v>
      </c>
      <c r="AP610"/>
      <c r="AQ610"/>
      <c r="AR610"/>
    </row>
    <row r="611" spans="1:44">
      <c r="A611" s="2" t="s">
        <v>634</v>
      </c>
      <c r="B611">
        <v>1970</v>
      </c>
      <c r="C611">
        <v>0</v>
      </c>
      <c r="D611" t="s">
        <v>74</v>
      </c>
      <c r="E611" t="s">
        <v>20</v>
      </c>
      <c r="F611">
        <v>0</v>
      </c>
      <c r="G611" s="10">
        <v>89</v>
      </c>
      <c r="H611">
        <v>8</v>
      </c>
      <c r="I611">
        <v>8</v>
      </c>
      <c r="J611" s="2" t="s">
        <v>20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>
        <v>3300</v>
      </c>
      <c r="O611">
        <v>115</v>
      </c>
      <c r="P611" s="2">
        <v>0.36</v>
      </c>
      <c r="Q611" s="6">
        <v>40</v>
      </c>
      <c r="R611" s="10">
        <v>0</v>
      </c>
      <c r="S611" s="10">
        <v>0</v>
      </c>
      <c r="T611" s="10"/>
      <c r="U611" t="str">
        <f>"RUNNING_COST_"&amp;IF(PROPERTIES[[#This Row],[ENGINE_CLASS]]="MAGLEV","ELECTRIC",PROPERTIES[[#This Row],[ENGINE_CLASS]])</f>
        <v>RUNNING_COST_ELECTRIC</v>
      </c>
      <c r="V611" s="10" t="s">
        <v>1004</v>
      </c>
      <c r="W611" s="10" t="s">
        <v>1005</v>
      </c>
      <c r="X611" s="10" t="str">
        <f>SUBSTITUTE(SUBSTITUTE(PROPERTIES[[#This Row],[PURCHASECOST_VALUE]], "PURCHASECOST_", ""), "_VALUE", "")</f>
        <v>ELECTRICENGINE</v>
      </c>
      <c r="AP611"/>
      <c r="AQ611"/>
      <c r="AR611"/>
    </row>
    <row r="612" spans="1:44">
      <c r="A612" s="2" t="s">
        <v>635</v>
      </c>
      <c r="B612">
        <v>1947</v>
      </c>
      <c r="C612">
        <v>0</v>
      </c>
      <c r="D612" t="s">
        <v>74</v>
      </c>
      <c r="E612" t="s">
        <v>20</v>
      </c>
      <c r="F612">
        <v>0</v>
      </c>
      <c r="G612" s="10">
        <v>47</v>
      </c>
      <c r="H612">
        <v>8</v>
      </c>
      <c r="I612">
        <v>8</v>
      </c>
      <c r="J612" s="2" t="s">
        <v>20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>
        <v>1590</v>
      </c>
      <c r="O612">
        <v>80</v>
      </c>
      <c r="P612" s="2">
        <v>0.3</v>
      </c>
      <c r="Q612" s="6">
        <v>40</v>
      </c>
      <c r="R612" s="10">
        <v>0</v>
      </c>
      <c r="S612" s="10">
        <v>0</v>
      </c>
      <c r="T612" s="10"/>
      <c r="U612" t="str">
        <f>"RUNNING_COST_"&amp;IF(PROPERTIES[[#This Row],[ENGINE_CLASS]]="MAGLEV","ELECTRIC",PROPERTIES[[#This Row],[ENGINE_CLASS]])</f>
        <v>RUNNING_COST_ELECTRIC</v>
      </c>
      <c r="V612" s="10" t="s">
        <v>1004</v>
      </c>
      <c r="W612" s="10" t="s">
        <v>1005</v>
      </c>
      <c r="X612" s="10" t="str">
        <f>SUBSTITUTE(SUBSTITUTE(PROPERTIES[[#This Row],[PURCHASECOST_VALUE]], "PURCHASECOST_", ""), "_VALUE", "")</f>
        <v>ELECTRICENGINE</v>
      </c>
      <c r="AP612"/>
      <c r="AQ612"/>
      <c r="AR612"/>
    </row>
    <row r="613" spans="1:44">
      <c r="A613" s="2" t="s">
        <v>636</v>
      </c>
      <c r="B613">
        <v>1921</v>
      </c>
      <c r="C613">
        <v>0</v>
      </c>
      <c r="D613" t="s">
        <v>74</v>
      </c>
      <c r="E613" t="s">
        <v>20</v>
      </c>
      <c r="F613">
        <v>0</v>
      </c>
      <c r="G613" s="10">
        <v>66</v>
      </c>
      <c r="H613">
        <v>8</v>
      </c>
      <c r="I613">
        <v>8</v>
      </c>
      <c r="J613" s="2" t="s">
        <v>20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>
        <v>1260</v>
      </c>
      <c r="O613">
        <v>55</v>
      </c>
      <c r="P613" s="2">
        <v>0.26</v>
      </c>
      <c r="Q613" s="6">
        <v>40</v>
      </c>
      <c r="R613" s="10">
        <v>0</v>
      </c>
      <c r="S613" s="10">
        <v>0</v>
      </c>
      <c r="T613" s="10"/>
      <c r="U613" t="str">
        <f>"RUNNING_COST_"&amp;IF(PROPERTIES[[#This Row],[ENGINE_CLASS]]="MAGLEV","ELECTRIC",PROPERTIES[[#This Row],[ENGINE_CLASS]])</f>
        <v>RUNNING_COST_ELECTRIC</v>
      </c>
      <c r="V613" s="10" t="s">
        <v>1004</v>
      </c>
      <c r="W613" s="10" t="s">
        <v>1005</v>
      </c>
      <c r="X613" s="10" t="str">
        <f>SUBSTITUTE(SUBSTITUTE(PROPERTIES[[#This Row],[PURCHASECOST_VALUE]], "PURCHASECOST_", ""), "_VALUE", "")</f>
        <v>ELECTRICENGINE</v>
      </c>
      <c r="AP613"/>
      <c r="AQ613"/>
      <c r="AR613"/>
    </row>
    <row r="614" spans="1:44">
      <c r="A614" s="2" t="s">
        <v>637</v>
      </c>
      <c r="B614">
        <v>2012</v>
      </c>
      <c r="C614">
        <v>0</v>
      </c>
      <c r="D614" t="s">
        <v>74</v>
      </c>
      <c r="E614" t="s">
        <v>20</v>
      </c>
      <c r="F614">
        <v>0</v>
      </c>
      <c r="G614" s="10">
        <v>121</v>
      </c>
      <c r="H614">
        <v>7</v>
      </c>
      <c r="I614">
        <v>7</v>
      </c>
      <c r="J614" s="2" t="s">
        <v>24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>
        <v>6710</v>
      </c>
      <c r="O614">
        <v>60</v>
      </c>
      <c r="P614" s="2">
        <v>0.63</v>
      </c>
      <c r="Q614" s="6">
        <v>40</v>
      </c>
      <c r="R614" s="10">
        <v>0</v>
      </c>
      <c r="S614" s="10">
        <v>0</v>
      </c>
      <c r="T614" s="10"/>
      <c r="U614" t="str">
        <f>"RUNNING_COST_"&amp;IF(PROPERTIES[[#This Row],[ENGINE_CLASS]]="MAGLEV","ELECTRIC",PROPERTIES[[#This Row],[ENGINE_CLASS]])</f>
        <v>RUNNING_COST_ELECTRIC</v>
      </c>
      <c r="V614" s="10" t="s">
        <v>1004</v>
      </c>
      <c r="W614" s="10" t="s">
        <v>1005</v>
      </c>
      <c r="X614" s="10" t="str">
        <f>SUBSTITUTE(SUBSTITUTE(PROPERTIES[[#This Row],[PURCHASECOST_VALUE]], "PURCHASECOST_", ""), "_VALUE", "")</f>
        <v>ELECTRICENGINE</v>
      </c>
      <c r="AP614"/>
      <c r="AQ614"/>
      <c r="AR614"/>
    </row>
    <row r="615" spans="1:44">
      <c r="A615" s="2" t="s">
        <v>638</v>
      </c>
      <c r="B615">
        <v>1978</v>
      </c>
      <c r="C615">
        <v>0</v>
      </c>
      <c r="D615" t="s">
        <v>74</v>
      </c>
      <c r="E615" t="s">
        <v>20</v>
      </c>
      <c r="F615">
        <v>0</v>
      </c>
      <c r="G615" s="10">
        <v>124</v>
      </c>
      <c r="H615">
        <v>7</v>
      </c>
      <c r="I615">
        <v>7</v>
      </c>
      <c r="J615" s="2" t="s">
        <v>24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>
        <v>4000</v>
      </c>
      <c r="O615">
        <v>100</v>
      </c>
      <c r="P615" s="2">
        <v>0.24</v>
      </c>
      <c r="Q615" s="6">
        <v>40</v>
      </c>
      <c r="R615" s="10">
        <v>0</v>
      </c>
      <c r="S615" s="10">
        <v>0</v>
      </c>
      <c r="T615" s="10"/>
      <c r="U615" t="str">
        <f>"RUNNING_COST_"&amp;IF(PROPERTIES[[#This Row],[ENGINE_CLASS]]="MAGLEV","ELECTRIC",PROPERTIES[[#This Row],[ENGINE_CLASS]])</f>
        <v>RUNNING_COST_ELECTRIC</v>
      </c>
      <c r="V615" s="10" t="s">
        <v>1004</v>
      </c>
      <c r="W615" s="10" t="s">
        <v>1005</v>
      </c>
      <c r="X615" s="10" t="str">
        <f>SUBSTITUTE(SUBSTITUTE(PROPERTIES[[#This Row],[PURCHASECOST_VALUE]], "PURCHASECOST_", ""), "_VALUE", "")</f>
        <v>ELECTRICENGINE</v>
      </c>
      <c r="AP615"/>
      <c r="AQ615"/>
      <c r="AR615"/>
    </row>
    <row r="616" spans="1:44">
      <c r="A616" s="2" t="s">
        <v>639</v>
      </c>
      <c r="B616">
        <v>1985</v>
      </c>
      <c r="C616">
        <v>0</v>
      </c>
      <c r="D616" t="s">
        <v>74</v>
      </c>
      <c r="E616" t="s">
        <v>20</v>
      </c>
      <c r="F616">
        <v>0</v>
      </c>
      <c r="G616" s="10">
        <v>172</v>
      </c>
      <c r="H616">
        <v>8</v>
      </c>
      <c r="I616">
        <v>8</v>
      </c>
      <c r="J616" s="2" t="s">
        <v>24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>
        <v>5200</v>
      </c>
      <c r="O616">
        <v>90</v>
      </c>
      <c r="P616" s="2">
        <v>0.23</v>
      </c>
      <c r="Q616" s="6">
        <v>40</v>
      </c>
      <c r="R616" s="10">
        <v>0</v>
      </c>
      <c r="S616" s="10">
        <v>0</v>
      </c>
      <c r="T616" s="10"/>
      <c r="U616" t="str">
        <f>"RUNNING_COST_"&amp;IF(PROPERTIES[[#This Row],[ENGINE_CLASS]]="MAGLEV","ELECTRIC",PROPERTIES[[#This Row],[ENGINE_CLASS]])</f>
        <v>RUNNING_COST_ELECTRIC</v>
      </c>
      <c r="V616" s="10" t="s">
        <v>1004</v>
      </c>
      <c r="W616" s="10" t="s">
        <v>1005</v>
      </c>
      <c r="X616" s="10" t="str">
        <f>SUBSTITUTE(SUBSTITUTE(PROPERTIES[[#This Row],[PURCHASECOST_VALUE]], "PURCHASECOST_", ""), "_VALUE", "")</f>
        <v>ELECTRICENGINE</v>
      </c>
      <c r="AP616"/>
      <c r="AQ616"/>
      <c r="AR616"/>
    </row>
    <row r="617" spans="1:44">
      <c r="A617" s="2" t="s">
        <v>640</v>
      </c>
      <c r="B617">
        <v>1986</v>
      </c>
      <c r="C617">
        <v>0</v>
      </c>
      <c r="D617" t="s">
        <v>74</v>
      </c>
      <c r="E617" t="s">
        <v>20</v>
      </c>
      <c r="F617">
        <v>0</v>
      </c>
      <c r="G617" s="10">
        <v>107</v>
      </c>
      <c r="H617">
        <v>8</v>
      </c>
      <c r="I617">
        <v>8</v>
      </c>
      <c r="J617" s="2" t="s">
        <v>20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>
        <v>4000</v>
      </c>
      <c r="O617">
        <v>105</v>
      </c>
      <c r="P617" s="2">
        <v>0.21</v>
      </c>
      <c r="Q617" s="6">
        <v>40</v>
      </c>
      <c r="R617" s="10">
        <v>0</v>
      </c>
      <c r="S617" s="10">
        <v>0</v>
      </c>
      <c r="T617" s="10"/>
      <c r="U617" t="str">
        <f>"RUNNING_COST_"&amp;IF(PROPERTIES[[#This Row],[ENGINE_CLASS]]="MAGLEV","ELECTRIC",PROPERTIES[[#This Row],[ENGINE_CLASS]])</f>
        <v>RUNNING_COST_ELECTRIC</v>
      </c>
      <c r="V617" s="10" t="s">
        <v>1004</v>
      </c>
      <c r="W617" s="10" t="s">
        <v>1005</v>
      </c>
      <c r="X617" s="10" t="str">
        <f>SUBSTITUTE(SUBSTITUTE(PROPERTIES[[#This Row],[PURCHASECOST_VALUE]], "PURCHASECOST_", ""), "_VALUE", "")</f>
        <v>ELECTRICENGINE</v>
      </c>
      <c r="AP617"/>
      <c r="AQ617"/>
      <c r="AR617"/>
    </row>
    <row r="618" spans="1:44">
      <c r="A618" s="2" t="s">
        <v>641</v>
      </c>
      <c r="B618">
        <v>1962</v>
      </c>
      <c r="C618">
        <v>1</v>
      </c>
      <c r="D618" t="s">
        <v>74</v>
      </c>
      <c r="E618" t="s">
        <v>18</v>
      </c>
      <c r="F618">
        <v>40</v>
      </c>
      <c r="G618" s="10">
        <v>47</v>
      </c>
      <c r="H618">
        <v>8</v>
      </c>
      <c r="I618">
        <v>8</v>
      </c>
      <c r="J618" s="2" t="s">
        <v>24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>
        <v>230</v>
      </c>
      <c r="O618">
        <v>110</v>
      </c>
      <c r="P618" s="2">
        <v>0.27</v>
      </c>
      <c r="Q618" s="6">
        <v>25</v>
      </c>
      <c r="R618" s="10">
        <v>40</v>
      </c>
      <c r="S618" s="10">
        <v>8</v>
      </c>
      <c r="T618" s="10"/>
      <c r="U618" t="str">
        <f>"RUNNING_COST_"&amp;IF(PROPERTIES[[#This Row],[ENGINE_CLASS]]="MAGLEV","ELECTRIC",PROPERTIES[[#This Row],[ENGINE_CLASS]])</f>
        <v>RUNNING_COST_ELECTRIC</v>
      </c>
      <c r="V618" s="10" t="s">
        <v>1008</v>
      </c>
      <c r="W618" s="10" t="s">
        <v>1009</v>
      </c>
      <c r="X618" s="10" t="str">
        <f>SUBSTITUTE(SUBSTITUTE(PROPERTIES[[#This Row],[PURCHASECOST_VALUE]], "PURCHASECOST_", ""), "_VALUE", "")</f>
        <v>EMU</v>
      </c>
      <c r="AP618"/>
      <c r="AQ618"/>
      <c r="AR618"/>
    </row>
    <row r="619" spans="1:44">
      <c r="A619" s="2" t="s">
        <v>642</v>
      </c>
      <c r="B619">
        <v>1986</v>
      </c>
      <c r="C619">
        <v>1</v>
      </c>
      <c r="D619" t="s">
        <v>74</v>
      </c>
      <c r="E619" t="s">
        <v>18</v>
      </c>
      <c r="F619">
        <v>40</v>
      </c>
      <c r="G619" s="10">
        <v>35</v>
      </c>
      <c r="H619">
        <v>8</v>
      </c>
      <c r="I619">
        <v>8</v>
      </c>
      <c r="J619" s="2" t="s">
        <v>24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>
        <v>1550</v>
      </c>
      <c r="O619">
        <v>110</v>
      </c>
      <c r="P619" s="2">
        <v>0.22</v>
      </c>
      <c r="Q619" s="6">
        <v>25</v>
      </c>
      <c r="R619" s="10">
        <v>40</v>
      </c>
      <c r="S619" s="10">
        <v>8</v>
      </c>
      <c r="T619" s="10"/>
      <c r="U619" t="str">
        <f>"RUNNING_COST_"&amp;IF(PROPERTIES[[#This Row],[ENGINE_CLASS]]="MAGLEV","ELECTRIC",PROPERTIES[[#This Row],[ENGINE_CLASS]])</f>
        <v>RUNNING_COST_ELECTRIC</v>
      </c>
      <c r="V619" s="10" t="s">
        <v>1008</v>
      </c>
      <c r="W619" s="10" t="s">
        <v>1009</v>
      </c>
      <c r="X619" s="10" t="str">
        <f>SUBSTITUTE(SUBSTITUTE(PROPERTIES[[#This Row],[PURCHASECOST_VALUE]], "PURCHASECOST_", ""), "_VALUE", "")</f>
        <v>EMU</v>
      </c>
      <c r="AP619"/>
      <c r="AQ619"/>
      <c r="AR619"/>
    </row>
    <row r="620" spans="1:44">
      <c r="A620" s="2" t="s">
        <v>643</v>
      </c>
      <c r="B620">
        <v>1972</v>
      </c>
      <c r="C620">
        <v>1</v>
      </c>
      <c r="D620" t="s">
        <v>74</v>
      </c>
      <c r="E620" t="s">
        <v>18</v>
      </c>
      <c r="F620">
        <v>112</v>
      </c>
      <c r="G620" s="10">
        <v>68</v>
      </c>
      <c r="H620">
        <v>8</v>
      </c>
      <c r="I620">
        <v>8</v>
      </c>
      <c r="J620" s="2" t="s">
        <v>24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>
        <v>800</v>
      </c>
      <c r="O620">
        <v>115</v>
      </c>
      <c r="P620" s="2">
        <v>0.31</v>
      </c>
      <c r="Q620" s="6">
        <v>25</v>
      </c>
      <c r="R620" s="10">
        <v>112</v>
      </c>
      <c r="S620" s="10">
        <v>8</v>
      </c>
      <c r="T620" s="10"/>
      <c r="U620" t="str">
        <f>"RUNNING_COST_"&amp;IF(PROPERTIES[[#This Row],[ENGINE_CLASS]]="MAGLEV","ELECTRIC",PROPERTIES[[#This Row],[ENGINE_CLASS]])</f>
        <v>RUNNING_COST_ELECTRIC</v>
      </c>
      <c r="V620" s="10" t="s">
        <v>1008</v>
      </c>
      <c r="W620" s="10" t="s">
        <v>1009</v>
      </c>
      <c r="X620" s="10" t="str">
        <f>SUBSTITUTE(SUBSTITUTE(PROPERTIES[[#This Row],[PURCHASECOST_VALUE]], "PURCHASECOST_", ""), "_VALUE", "")</f>
        <v>EMU</v>
      </c>
      <c r="AP620"/>
      <c r="AQ620"/>
      <c r="AR620"/>
    </row>
    <row r="621" spans="1:44">
      <c r="A621" s="2" t="s">
        <v>644</v>
      </c>
      <c r="B621">
        <v>2007</v>
      </c>
      <c r="C621">
        <v>1</v>
      </c>
      <c r="D621" t="s">
        <v>74</v>
      </c>
      <c r="E621" t="s">
        <v>18</v>
      </c>
      <c r="F621">
        <v>120</v>
      </c>
      <c r="G621" s="10">
        <v>47</v>
      </c>
      <c r="H621">
        <v>8</v>
      </c>
      <c r="I621">
        <v>8</v>
      </c>
      <c r="J621" s="2" t="s">
        <v>24</v>
      </c>
      <c r="K621">
        <f>_xlfn.XLOOKUP("LOADINGSPEEDDEF_"&amp;PROPERTIES[[#This Row],[LOADINGSPEED]],LOADINGSPEEDDEF[TYPE],LOADINGSPEEDDEF[SPEED])</f>
        <v>40</v>
      </c>
      <c r="L621" t="s">
        <v>21</v>
      </c>
      <c r="M621">
        <v>1</v>
      </c>
      <c r="N621">
        <v>950</v>
      </c>
      <c r="O621">
        <v>130</v>
      </c>
      <c r="P621" s="2">
        <v>0.41</v>
      </c>
      <c r="Q621" s="6">
        <v>25</v>
      </c>
      <c r="R621" s="10">
        <v>120</v>
      </c>
      <c r="S621" s="10">
        <v>8</v>
      </c>
      <c r="T621" s="10"/>
      <c r="U621" t="str">
        <f>"RUNNING_COST_"&amp;IF(PROPERTIES[[#This Row],[ENGINE_CLASS]]="MAGLEV","ELECTRIC",PROPERTIES[[#This Row],[ENGINE_CLASS]])</f>
        <v>RUNNING_COST_ELECTRIC</v>
      </c>
      <c r="V621" s="10" t="s">
        <v>1008</v>
      </c>
      <c r="W621" s="10" t="s">
        <v>1009</v>
      </c>
      <c r="X621" s="10" t="str">
        <f>SUBSTITUTE(SUBSTITUTE(PROPERTIES[[#This Row],[PURCHASECOST_VALUE]], "PURCHASECOST_", ""), "_VALUE", "")</f>
        <v>EMU</v>
      </c>
      <c r="AP621"/>
      <c r="AQ621"/>
      <c r="AR621"/>
    </row>
    <row r="622" spans="1:44">
      <c r="A622" s="2" t="s">
        <v>645</v>
      </c>
      <c r="B622">
        <v>1917</v>
      </c>
      <c r="C622">
        <v>1</v>
      </c>
      <c r="D622" t="s">
        <v>74</v>
      </c>
      <c r="E622" t="s">
        <v>18</v>
      </c>
      <c r="F622">
        <v>48</v>
      </c>
      <c r="G622" s="10">
        <v>55</v>
      </c>
      <c r="H622">
        <v>8</v>
      </c>
      <c r="I622">
        <v>8</v>
      </c>
      <c r="J622" s="2" t="s">
        <v>24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>
        <v>280</v>
      </c>
      <c r="O622">
        <v>83</v>
      </c>
      <c r="P622" s="2">
        <v>0.16</v>
      </c>
      <c r="Q622" s="6">
        <v>25</v>
      </c>
      <c r="R622" s="10">
        <v>48</v>
      </c>
      <c r="S622" s="10">
        <v>8</v>
      </c>
      <c r="T622" s="10"/>
      <c r="U622" t="str">
        <f>"RUNNING_COST_"&amp;IF(PROPERTIES[[#This Row],[ENGINE_CLASS]]="MAGLEV","ELECTRIC",PROPERTIES[[#This Row],[ENGINE_CLASS]])</f>
        <v>RUNNING_COST_ELECTRIC</v>
      </c>
      <c r="V622" s="10" t="s">
        <v>1008</v>
      </c>
      <c r="W622" s="10" t="s">
        <v>1009</v>
      </c>
      <c r="X622" s="10" t="str">
        <f>SUBSTITUTE(SUBSTITUTE(PROPERTIES[[#This Row],[PURCHASECOST_VALUE]], "PURCHASECOST_", ""), "_VALUE", "")</f>
        <v>EMU</v>
      </c>
      <c r="AP622"/>
      <c r="AQ622"/>
      <c r="AR622"/>
    </row>
    <row r="623" spans="1:44">
      <c r="A623" s="2" t="s">
        <v>646</v>
      </c>
      <c r="B623">
        <v>1979</v>
      </c>
      <c r="C623">
        <v>1</v>
      </c>
      <c r="D623" t="s">
        <v>74</v>
      </c>
      <c r="E623" t="s">
        <v>18</v>
      </c>
      <c r="F623">
        <v>74</v>
      </c>
      <c r="G623" s="10">
        <v>37</v>
      </c>
      <c r="H623">
        <v>8</v>
      </c>
      <c r="I623">
        <v>8</v>
      </c>
      <c r="J623" s="2" t="s">
        <v>24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>
        <v>540</v>
      </c>
      <c r="O623">
        <v>110</v>
      </c>
      <c r="P623" s="2">
        <v>0.26</v>
      </c>
      <c r="Q623" s="6">
        <v>25</v>
      </c>
      <c r="R623" s="10">
        <v>74</v>
      </c>
      <c r="S623" s="10">
        <v>8</v>
      </c>
      <c r="T623" s="10"/>
      <c r="U623" t="str">
        <f>"RUNNING_COST_"&amp;IF(PROPERTIES[[#This Row],[ENGINE_CLASS]]="MAGLEV","ELECTRIC",PROPERTIES[[#This Row],[ENGINE_CLASS]])</f>
        <v>RUNNING_COST_ELECTRIC</v>
      </c>
      <c r="V623" s="10" t="s">
        <v>1008</v>
      </c>
      <c r="W623" s="10" t="s">
        <v>1009</v>
      </c>
      <c r="X623" s="10" t="str">
        <f>SUBSTITUTE(SUBSTITUTE(PROPERTIES[[#This Row],[PURCHASECOST_VALUE]], "PURCHASECOST_", ""), "_VALUE", "")</f>
        <v>EMU</v>
      </c>
      <c r="AP623"/>
      <c r="AQ623"/>
      <c r="AR623"/>
    </row>
    <row r="624" spans="1:44">
      <c r="A624" s="2" t="s">
        <v>647</v>
      </c>
      <c r="B624">
        <v>1954</v>
      </c>
      <c r="C624">
        <v>1</v>
      </c>
      <c r="D624" t="s">
        <v>74</v>
      </c>
      <c r="E624" t="s">
        <v>18</v>
      </c>
      <c r="F624">
        <v>52</v>
      </c>
      <c r="G624" s="10">
        <v>60</v>
      </c>
      <c r="H624">
        <v>7</v>
      </c>
      <c r="I624">
        <v>7</v>
      </c>
      <c r="J624" s="2" t="s">
        <v>24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>
        <v>1240</v>
      </c>
      <c r="O624">
        <v>100</v>
      </c>
      <c r="P624" s="2">
        <v>0.26</v>
      </c>
      <c r="Q624" s="6">
        <v>25</v>
      </c>
      <c r="R624" s="10">
        <v>52</v>
      </c>
      <c r="S624" s="10">
        <v>7</v>
      </c>
      <c r="T624" s="10"/>
      <c r="U624" t="str">
        <f>"RUNNING_COST_"&amp;IF(PROPERTIES[[#This Row],[ENGINE_CLASS]]="MAGLEV","ELECTRIC",PROPERTIES[[#This Row],[ENGINE_CLASS]])</f>
        <v>RUNNING_COST_ELECTRIC</v>
      </c>
      <c r="V624" s="10" t="s">
        <v>1008</v>
      </c>
      <c r="W624" s="10" t="s">
        <v>1009</v>
      </c>
      <c r="X624" s="10" t="str">
        <f>SUBSTITUTE(SUBSTITUTE(PROPERTIES[[#This Row],[PURCHASECOST_VALUE]], "PURCHASECOST_", ""), "_VALUE", "")</f>
        <v>EMU</v>
      </c>
      <c r="AP624"/>
      <c r="AQ624"/>
      <c r="AR624"/>
    </row>
    <row r="625" spans="1:44">
      <c r="A625" s="2" t="s">
        <v>648</v>
      </c>
      <c r="B625">
        <v>2005</v>
      </c>
      <c r="C625">
        <v>1</v>
      </c>
      <c r="D625" t="s">
        <v>74</v>
      </c>
      <c r="E625" t="s">
        <v>18</v>
      </c>
      <c r="F625">
        <v>72</v>
      </c>
      <c r="G625" s="10">
        <v>43</v>
      </c>
      <c r="H625">
        <v>8</v>
      </c>
      <c r="I625">
        <v>8</v>
      </c>
      <c r="J625" s="2" t="s">
        <v>24</v>
      </c>
      <c r="K625">
        <f>_xlfn.XLOOKUP("LOADINGSPEEDDEF_"&amp;PROPERTIES[[#This Row],[LOADINGSPEED]],LOADINGSPEEDDEF[TYPE],LOADINGSPEEDDEF[SPEED])</f>
        <v>40</v>
      </c>
      <c r="L625" t="s">
        <v>21</v>
      </c>
      <c r="M625">
        <v>1</v>
      </c>
      <c r="N625">
        <v>720</v>
      </c>
      <c r="O625">
        <v>143</v>
      </c>
      <c r="P625" s="2">
        <v>0.28999999999999998</v>
      </c>
      <c r="Q625" s="6">
        <v>40</v>
      </c>
      <c r="R625" s="10">
        <v>96</v>
      </c>
      <c r="S625" s="10">
        <v>8</v>
      </c>
      <c r="T625" s="10"/>
      <c r="U625" t="str">
        <f>"RUNNING_COST_"&amp;IF(PROPERTIES[[#This Row],[ENGINE_CLASS]]="MAGLEV","ELECTRIC",PROPERTIES[[#This Row],[ENGINE_CLASS]])</f>
        <v>RUNNING_COST_ELECTRIC</v>
      </c>
      <c r="V625" s="10" t="s">
        <v>1008</v>
      </c>
      <c r="W625" s="10" t="s">
        <v>1009</v>
      </c>
      <c r="X625" s="10" t="str">
        <f>SUBSTITUTE(SUBSTITUTE(PROPERTIES[[#This Row],[PURCHASECOST_VALUE]], "PURCHASECOST_", ""), "_VALUE", "")</f>
        <v>EMU</v>
      </c>
      <c r="AP625"/>
      <c r="AQ625"/>
      <c r="AR625"/>
    </row>
    <row r="626" spans="1:44">
      <c r="A626" s="2" t="s">
        <v>649</v>
      </c>
      <c r="B626">
        <v>1976</v>
      </c>
      <c r="C626">
        <v>1</v>
      </c>
      <c r="D626" t="s">
        <v>74</v>
      </c>
      <c r="E626" t="s">
        <v>18</v>
      </c>
      <c r="F626">
        <v>88</v>
      </c>
      <c r="G626" s="10">
        <v>61</v>
      </c>
      <c r="H626">
        <v>7</v>
      </c>
      <c r="I626">
        <v>7</v>
      </c>
      <c r="J626" s="2" t="s">
        <v>24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>
        <v>1500</v>
      </c>
      <c r="O626">
        <v>130</v>
      </c>
      <c r="P626" s="2">
        <v>0.21</v>
      </c>
      <c r="Q626" s="6">
        <v>40</v>
      </c>
      <c r="R626" s="10">
        <v>92</v>
      </c>
      <c r="S626" s="10">
        <v>7</v>
      </c>
      <c r="T626" s="10"/>
      <c r="U626" t="str">
        <f>"RUNNING_COST_"&amp;IF(PROPERTIES[[#This Row],[ENGINE_CLASS]]="MAGLEV","ELECTRIC",PROPERTIES[[#This Row],[ENGINE_CLASS]])</f>
        <v>RUNNING_COST_ELECTRIC</v>
      </c>
      <c r="V626" s="10" t="s">
        <v>1008</v>
      </c>
      <c r="W626" s="10" t="s">
        <v>1009</v>
      </c>
      <c r="X626" s="10" t="str">
        <f>SUBSTITUTE(SUBSTITUTE(PROPERTIES[[#This Row],[PURCHASECOST_VALUE]], "PURCHASECOST_", ""), "_VALUE", "")</f>
        <v>EMU</v>
      </c>
      <c r="AP626"/>
      <c r="AQ626"/>
      <c r="AR626"/>
    </row>
    <row r="627" spans="1:44">
      <c r="A627" s="2" t="s">
        <v>650</v>
      </c>
      <c r="B627">
        <v>1984</v>
      </c>
      <c r="C627">
        <v>1</v>
      </c>
      <c r="D627" t="s">
        <v>74</v>
      </c>
      <c r="E627" t="s">
        <v>18</v>
      </c>
      <c r="F627">
        <v>48</v>
      </c>
      <c r="G627" s="10">
        <v>50</v>
      </c>
      <c r="H627">
        <v>8</v>
      </c>
      <c r="I627">
        <v>8</v>
      </c>
      <c r="J627" s="2" t="s">
        <v>24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>
        <v>2340</v>
      </c>
      <c r="O627">
        <v>110</v>
      </c>
      <c r="P627" s="2">
        <v>0.2</v>
      </c>
      <c r="Q627" s="6">
        <v>40</v>
      </c>
      <c r="R627" s="10">
        <v>54</v>
      </c>
      <c r="S627" s="10">
        <v>8</v>
      </c>
      <c r="T627" s="10"/>
      <c r="U627" t="str">
        <f>"RUNNING_COST_"&amp;IF(PROPERTIES[[#This Row],[ENGINE_CLASS]]="MAGLEV","ELECTRIC",PROPERTIES[[#This Row],[ENGINE_CLASS]])</f>
        <v>RUNNING_COST_ELECTRIC</v>
      </c>
      <c r="V627" s="10" t="s">
        <v>1008</v>
      </c>
      <c r="W627" s="10" t="s">
        <v>1009</v>
      </c>
      <c r="X627" s="10" t="str">
        <f>SUBSTITUTE(SUBSTITUTE(PROPERTIES[[#This Row],[PURCHASECOST_VALUE]], "PURCHASECOST_", ""), "_VALUE", "")</f>
        <v>EMU</v>
      </c>
      <c r="AP627"/>
      <c r="AQ627"/>
      <c r="AR627"/>
    </row>
    <row r="628" spans="1:44">
      <c r="A628" s="2" t="s">
        <v>651</v>
      </c>
      <c r="B628">
        <v>1997</v>
      </c>
      <c r="C628">
        <v>1</v>
      </c>
      <c r="D628" t="s">
        <v>74</v>
      </c>
      <c r="E628" t="s">
        <v>18</v>
      </c>
      <c r="F628">
        <v>56</v>
      </c>
      <c r="G628" s="10">
        <v>47</v>
      </c>
      <c r="H628">
        <v>8</v>
      </c>
      <c r="I628">
        <v>8</v>
      </c>
      <c r="J628" s="2" t="s">
        <v>24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>
        <v>910</v>
      </c>
      <c r="O628">
        <v>160</v>
      </c>
      <c r="P628" s="2">
        <v>0.33</v>
      </c>
      <c r="Q628" s="6">
        <v>40</v>
      </c>
      <c r="R628" s="10">
        <v>56</v>
      </c>
      <c r="S628" s="10">
        <v>8</v>
      </c>
      <c r="T628" s="10"/>
      <c r="U628" t="str">
        <f>"RUNNING_COST_"&amp;IF(PROPERTIES[[#This Row],[ENGINE_CLASS]]="MAGLEV","ELECTRIC",PROPERTIES[[#This Row],[ENGINE_CLASS]])</f>
        <v>RUNNING_COST_ELECTRIC</v>
      </c>
      <c r="V628" s="10" t="s">
        <v>1008</v>
      </c>
      <c r="W628" s="10" t="s">
        <v>1009</v>
      </c>
      <c r="X628" s="10" t="str">
        <f>SUBSTITUTE(SUBSTITUTE(PROPERTIES[[#This Row],[PURCHASECOST_VALUE]], "PURCHASECOST_", ""), "_VALUE", "")</f>
        <v>EMU</v>
      </c>
      <c r="AP628"/>
      <c r="AQ628"/>
      <c r="AR628"/>
    </row>
    <row r="629" spans="1:44">
      <c r="A629" s="2" t="s">
        <v>652</v>
      </c>
      <c r="B629">
        <v>1984</v>
      </c>
      <c r="C629">
        <v>0</v>
      </c>
      <c r="D629" t="s">
        <v>74</v>
      </c>
      <c r="E629" t="s">
        <v>20</v>
      </c>
      <c r="F629">
        <v>0</v>
      </c>
      <c r="G629" s="10">
        <v>150</v>
      </c>
      <c r="H629">
        <v>8</v>
      </c>
      <c r="I629">
        <v>16</v>
      </c>
      <c r="J629" s="2" t="s">
        <v>20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>
        <v>8400</v>
      </c>
      <c r="O629">
        <v>100</v>
      </c>
      <c r="P629" s="2">
        <v>0.23</v>
      </c>
      <c r="Q629" s="6">
        <v>40</v>
      </c>
      <c r="R629" s="10">
        <v>0</v>
      </c>
      <c r="S629" s="10">
        <v>8</v>
      </c>
      <c r="T629" s="10"/>
      <c r="U629" t="str">
        <f>"RUNNING_COST_"&amp;IF(PROPERTIES[[#This Row],[ENGINE_CLASS]]="MAGLEV","ELECTRIC",PROPERTIES[[#This Row],[ENGINE_CLASS]])</f>
        <v>RUNNING_COST_ELECTRIC</v>
      </c>
      <c r="V629" s="10" t="s">
        <v>1004</v>
      </c>
      <c r="W629" s="10" t="s">
        <v>1005</v>
      </c>
      <c r="X629" s="10" t="str">
        <f>SUBSTITUTE(SUBSTITUTE(PROPERTIES[[#This Row],[PURCHASECOST_VALUE]], "PURCHASECOST_", ""), "_VALUE", "")</f>
        <v>ELECTRICENGINE</v>
      </c>
      <c r="AP629"/>
      <c r="AQ629"/>
      <c r="AR629"/>
    </row>
    <row r="630" spans="1:44">
      <c r="A630" s="2" t="s">
        <v>653</v>
      </c>
      <c r="B630">
        <v>1974</v>
      </c>
      <c r="C630">
        <v>0</v>
      </c>
      <c r="D630" t="s">
        <v>74</v>
      </c>
      <c r="E630" t="s">
        <v>20</v>
      </c>
      <c r="F630">
        <v>0</v>
      </c>
      <c r="G630" s="10">
        <v>184</v>
      </c>
      <c r="H630">
        <v>8</v>
      </c>
      <c r="I630">
        <v>16</v>
      </c>
      <c r="J630" s="2" t="s">
        <v>20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>
        <v>7190</v>
      </c>
      <c r="O630">
        <v>100</v>
      </c>
      <c r="P630" s="2">
        <v>0.33</v>
      </c>
      <c r="Q630" s="6">
        <v>40</v>
      </c>
      <c r="R630" s="10">
        <v>0</v>
      </c>
      <c r="S630" s="10">
        <v>8</v>
      </c>
      <c r="T630" s="10"/>
      <c r="U630" t="str">
        <f>"RUNNING_COST_"&amp;IF(PROPERTIES[[#This Row],[ENGINE_CLASS]]="MAGLEV","ELECTRIC",PROPERTIES[[#This Row],[ENGINE_CLASS]])</f>
        <v>RUNNING_COST_ELECTRIC</v>
      </c>
      <c r="V630" s="10" t="s">
        <v>1004</v>
      </c>
      <c r="W630" s="10" t="s">
        <v>1005</v>
      </c>
      <c r="X630" s="10" t="str">
        <f>SUBSTITUTE(SUBSTITUTE(PROPERTIES[[#This Row],[PURCHASECOST_VALUE]], "PURCHASECOST_", ""), "_VALUE", "")</f>
        <v>ELECTRICENGINE</v>
      </c>
      <c r="AP630"/>
      <c r="AQ630"/>
      <c r="AR630"/>
    </row>
    <row r="631" spans="1:44">
      <c r="A631" s="2" t="s">
        <v>654</v>
      </c>
      <c r="B631">
        <v>1945</v>
      </c>
      <c r="C631">
        <v>0</v>
      </c>
      <c r="D631" t="s">
        <v>74</v>
      </c>
      <c r="E631" t="s">
        <v>20</v>
      </c>
      <c r="F631">
        <v>0</v>
      </c>
      <c r="G631" s="10">
        <v>98</v>
      </c>
      <c r="H631">
        <v>8</v>
      </c>
      <c r="I631">
        <v>8</v>
      </c>
      <c r="J631" s="2" t="s">
        <v>20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>
        <v>3220</v>
      </c>
      <c r="O631">
        <v>100</v>
      </c>
      <c r="P631" s="2">
        <v>0.39</v>
      </c>
      <c r="Q631" s="6">
        <v>40</v>
      </c>
      <c r="R631" s="10">
        <v>0</v>
      </c>
      <c r="S631" s="10">
        <v>0</v>
      </c>
      <c r="T631" s="10"/>
      <c r="U631" t="str">
        <f>"RUNNING_COST_"&amp;IF(PROPERTIES[[#This Row],[ENGINE_CLASS]]="MAGLEV","ELECTRIC",PROPERTIES[[#This Row],[ENGINE_CLASS]])</f>
        <v>RUNNING_COST_ELECTRIC</v>
      </c>
      <c r="V631" s="10" t="s">
        <v>1004</v>
      </c>
      <c r="W631" s="10" t="s">
        <v>1005</v>
      </c>
      <c r="X631" s="10" t="str">
        <f>SUBSTITUTE(SUBSTITUTE(PROPERTIES[[#This Row],[PURCHASECOST_VALUE]], "PURCHASECOST_", ""), "_VALUE", "")</f>
        <v>ELECTRICENGINE</v>
      </c>
      <c r="AP631"/>
      <c r="AQ631"/>
      <c r="AR631"/>
    </row>
    <row r="632" spans="1:44">
      <c r="A632" s="2" t="s">
        <v>655</v>
      </c>
      <c r="B632">
        <v>1995</v>
      </c>
      <c r="C632">
        <v>0</v>
      </c>
      <c r="D632" t="s">
        <v>74</v>
      </c>
      <c r="E632" t="s">
        <v>20</v>
      </c>
      <c r="F632">
        <v>0</v>
      </c>
      <c r="G632" s="10">
        <v>184</v>
      </c>
      <c r="H632">
        <v>8</v>
      </c>
      <c r="I632">
        <v>16</v>
      </c>
      <c r="J632" s="2" t="s">
        <v>20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>
        <v>8750</v>
      </c>
      <c r="O632">
        <v>100</v>
      </c>
      <c r="P632" s="2">
        <v>0.23</v>
      </c>
      <c r="Q632" s="6">
        <v>40</v>
      </c>
      <c r="R632" s="10">
        <v>0</v>
      </c>
      <c r="S632" s="10">
        <v>0</v>
      </c>
      <c r="T632" s="10"/>
      <c r="U632" t="str">
        <f>"RUNNING_COST_"&amp;IF(PROPERTIES[[#This Row],[ENGINE_CLASS]]="MAGLEV","ELECTRIC",PROPERTIES[[#This Row],[ENGINE_CLASS]])</f>
        <v>RUNNING_COST_ELECTRIC</v>
      </c>
      <c r="V632" s="10" t="s">
        <v>1004</v>
      </c>
      <c r="W632" s="10" t="s">
        <v>1005</v>
      </c>
      <c r="X632" s="10" t="str">
        <f>SUBSTITUTE(SUBSTITUTE(PROPERTIES[[#This Row],[PURCHASECOST_VALUE]], "PURCHASECOST_", ""), "_VALUE", "")</f>
        <v>ELECTRICENGINE</v>
      </c>
      <c r="AP632"/>
      <c r="AQ632"/>
      <c r="AR632"/>
    </row>
    <row r="633" spans="1:44">
      <c r="A633" s="2" t="s">
        <v>656</v>
      </c>
      <c r="B633">
        <v>1961</v>
      </c>
      <c r="C633">
        <v>0</v>
      </c>
      <c r="D633" t="s">
        <v>74</v>
      </c>
      <c r="E633" t="s">
        <v>20</v>
      </c>
      <c r="F633">
        <v>0</v>
      </c>
      <c r="G633" s="10">
        <v>85</v>
      </c>
      <c r="H633">
        <v>7</v>
      </c>
      <c r="I633">
        <v>7</v>
      </c>
      <c r="J633" s="2" t="s">
        <v>20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>
        <v>2000</v>
      </c>
      <c r="O633">
        <v>120</v>
      </c>
      <c r="P633" s="2">
        <v>0.27</v>
      </c>
      <c r="Q633" s="6">
        <v>40</v>
      </c>
      <c r="R633" s="10">
        <v>0</v>
      </c>
      <c r="S633" s="10">
        <v>0</v>
      </c>
      <c r="T633" s="10"/>
      <c r="U633" t="str">
        <f>"RUNNING_COST_"&amp;IF(PROPERTIES[[#This Row],[ENGINE_CLASS]]="MAGLEV","ELECTRIC",PROPERTIES[[#This Row],[ENGINE_CLASS]])</f>
        <v>RUNNING_COST_ELECTRIC</v>
      </c>
      <c r="V633" s="10" t="s">
        <v>1004</v>
      </c>
      <c r="W633" s="10" t="s">
        <v>1005</v>
      </c>
      <c r="X633" s="10" t="str">
        <f>SUBSTITUTE(SUBSTITUTE(PROPERTIES[[#This Row],[PURCHASECOST_VALUE]], "PURCHASECOST_", ""), "_VALUE", "")</f>
        <v>ELECTRICENGINE</v>
      </c>
      <c r="AP633"/>
      <c r="AQ633"/>
      <c r="AR633"/>
    </row>
    <row r="634" spans="1:44">
      <c r="A634" s="2" t="s">
        <v>657</v>
      </c>
      <c r="B634">
        <v>1983</v>
      </c>
      <c r="C634">
        <v>0</v>
      </c>
      <c r="D634" t="s">
        <v>74</v>
      </c>
      <c r="E634" t="s">
        <v>20</v>
      </c>
      <c r="F634">
        <v>0</v>
      </c>
      <c r="G634" s="10">
        <v>172</v>
      </c>
      <c r="H634">
        <v>7</v>
      </c>
      <c r="I634">
        <v>14</v>
      </c>
      <c r="J634" s="2" t="s">
        <v>20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>
        <v>8624</v>
      </c>
      <c r="O634">
        <v>160</v>
      </c>
      <c r="P634" s="2">
        <v>0.22</v>
      </c>
      <c r="Q634" s="6">
        <v>40</v>
      </c>
      <c r="R634" s="10">
        <v>0</v>
      </c>
      <c r="S634" s="10">
        <v>0</v>
      </c>
      <c r="T634" s="10"/>
      <c r="U634" t="str">
        <f>"RUNNING_COST_"&amp;IF(PROPERTIES[[#This Row],[ENGINE_CLASS]]="MAGLEV","ELECTRIC",PROPERTIES[[#This Row],[ENGINE_CLASS]])</f>
        <v>RUNNING_COST_ELECTRIC</v>
      </c>
      <c r="V634" s="10" t="s">
        <v>1004</v>
      </c>
      <c r="W634" s="10" t="s">
        <v>1005</v>
      </c>
      <c r="X634" s="10" t="str">
        <f>SUBSTITUTE(SUBSTITUTE(PROPERTIES[[#This Row],[PURCHASECOST_VALUE]], "PURCHASECOST_", ""), "_VALUE", "")</f>
        <v>ELECTRICENGINE</v>
      </c>
      <c r="AP634"/>
      <c r="AQ634"/>
      <c r="AR634"/>
    </row>
    <row r="635" spans="1:44">
      <c r="A635" s="2" t="s">
        <v>658</v>
      </c>
      <c r="B635">
        <v>1962</v>
      </c>
      <c r="C635">
        <v>0</v>
      </c>
      <c r="D635" t="s">
        <v>74</v>
      </c>
      <c r="E635" t="s">
        <v>20</v>
      </c>
      <c r="F635">
        <v>0</v>
      </c>
      <c r="G635" s="10">
        <v>123</v>
      </c>
      <c r="H635">
        <v>7</v>
      </c>
      <c r="I635">
        <v>7</v>
      </c>
      <c r="J635" s="2" t="s">
        <v>24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>
        <v>4400</v>
      </c>
      <c r="O635">
        <v>117</v>
      </c>
      <c r="P635" s="2">
        <v>0.21</v>
      </c>
      <c r="Q635" s="6">
        <v>40</v>
      </c>
      <c r="R635" s="10">
        <v>0</v>
      </c>
      <c r="S635" s="10">
        <v>0</v>
      </c>
      <c r="T635" s="10"/>
      <c r="U635" t="str">
        <f>"RUNNING_COST_"&amp;IF(PROPERTIES[[#This Row],[ENGINE_CLASS]]="MAGLEV","ELECTRIC",PROPERTIES[[#This Row],[ENGINE_CLASS]])</f>
        <v>RUNNING_COST_ELECTRIC</v>
      </c>
      <c r="V635" s="10" t="s">
        <v>1004</v>
      </c>
      <c r="W635" s="10" t="s">
        <v>1005</v>
      </c>
      <c r="X635" s="10" t="str">
        <f>SUBSTITUTE(SUBSTITUTE(PROPERTIES[[#This Row],[PURCHASECOST_VALUE]], "PURCHASECOST_", ""), "_VALUE", "")</f>
        <v>ELECTRICENGINE</v>
      </c>
      <c r="AP635"/>
      <c r="AQ635"/>
      <c r="AR635"/>
    </row>
    <row r="636" spans="1:44">
      <c r="A636" s="2" t="s">
        <v>659</v>
      </c>
      <c r="B636">
        <v>1983</v>
      </c>
      <c r="C636">
        <v>0</v>
      </c>
      <c r="D636" t="s">
        <v>74</v>
      </c>
      <c r="E636" t="s">
        <v>20</v>
      </c>
      <c r="F636">
        <v>0</v>
      </c>
      <c r="G636" s="10">
        <v>288</v>
      </c>
      <c r="H636">
        <v>8</v>
      </c>
      <c r="I636">
        <v>16</v>
      </c>
      <c r="J636" s="2" t="s">
        <v>20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>
        <v>12500</v>
      </c>
      <c r="O636">
        <v>110</v>
      </c>
      <c r="P636" s="2">
        <v>0.25</v>
      </c>
      <c r="Q636" s="6">
        <v>40</v>
      </c>
      <c r="R636" s="10">
        <v>0</v>
      </c>
      <c r="S636" s="10">
        <v>8</v>
      </c>
      <c r="T636" s="10"/>
      <c r="U636" t="str">
        <f>"RUNNING_COST_"&amp;IF(PROPERTIES[[#This Row],[ENGINE_CLASS]]="MAGLEV","ELECTRIC",PROPERTIES[[#This Row],[ENGINE_CLASS]])</f>
        <v>RUNNING_COST_ELECTRIC</v>
      </c>
      <c r="V636" s="10" t="s">
        <v>1004</v>
      </c>
      <c r="W636" s="10" t="s">
        <v>1005</v>
      </c>
      <c r="X636" s="10" t="str">
        <f>SUBSTITUTE(SUBSTITUTE(PROPERTIES[[#This Row],[PURCHASECOST_VALUE]], "PURCHASECOST_", ""), "_VALUE", "")</f>
        <v>ELECTRICENGINE</v>
      </c>
      <c r="AP636"/>
      <c r="AQ636"/>
      <c r="AR636"/>
    </row>
    <row r="637" spans="1:44">
      <c r="A637" s="2" t="s">
        <v>660</v>
      </c>
      <c r="B637">
        <v>1963</v>
      </c>
      <c r="C637">
        <v>0</v>
      </c>
      <c r="D637" t="s">
        <v>74</v>
      </c>
      <c r="E637" t="s">
        <v>20</v>
      </c>
      <c r="F637">
        <v>0</v>
      </c>
      <c r="G637" s="10">
        <v>92</v>
      </c>
      <c r="H637">
        <v>8</v>
      </c>
      <c r="I637">
        <v>8</v>
      </c>
      <c r="J637" s="2" t="s">
        <v>20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>
        <v>2280</v>
      </c>
      <c r="O637">
        <v>70</v>
      </c>
      <c r="P637" s="2">
        <v>0.19</v>
      </c>
      <c r="Q637" s="6">
        <v>40</v>
      </c>
      <c r="R637" s="10">
        <v>0</v>
      </c>
      <c r="S637" s="10">
        <v>0</v>
      </c>
      <c r="T637" s="10"/>
      <c r="U637" t="str">
        <f>"RUNNING_COST_"&amp;IF(PROPERTIES[[#This Row],[ENGINE_CLASS]]="MAGLEV","ELECTRIC",PROPERTIES[[#This Row],[ENGINE_CLASS]])</f>
        <v>RUNNING_COST_ELECTRIC</v>
      </c>
      <c r="V637" s="10" t="s">
        <v>1004</v>
      </c>
      <c r="W637" s="10" t="s">
        <v>1005</v>
      </c>
      <c r="X637" s="10" t="str">
        <f>SUBSTITUTE(SUBSTITUTE(PROPERTIES[[#This Row],[PURCHASECOST_VALUE]], "PURCHASECOST_", ""), "_VALUE", "")</f>
        <v>ELECTRICENGINE</v>
      </c>
      <c r="AP637"/>
      <c r="AQ637"/>
      <c r="AR637"/>
    </row>
    <row r="638" spans="1:44">
      <c r="A638" s="2" t="s">
        <v>661</v>
      </c>
      <c r="B638">
        <v>1994</v>
      </c>
      <c r="C638">
        <v>0</v>
      </c>
      <c r="D638" t="s">
        <v>74</v>
      </c>
      <c r="E638" t="s">
        <v>20</v>
      </c>
      <c r="F638">
        <v>0</v>
      </c>
      <c r="G638" s="10">
        <v>113</v>
      </c>
      <c r="H638">
        <v>8</v>
      </c>
      <c r="I638">
        <v>8</v>
      </c>
      <c r="J638" s="2" t="s">
        <v>20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>
        <v>5350</v>
      </c>
      <c r="O638">
        <v>140</v>
      </c>
      <c r="P638" s="2">
        <v>0.28000000000000003</v>
      </c>
      <c r="Q638" s="6">
        <v>40</v>
      </c>
      <c r="R638" s="10">
        <v>0</v>
      </c>
      <c r="S638" s="10">
        <v>0</v>
      </c>
      <c r="T638" s="10"/>
      <c r="U638" t="str">
        <f>"RUNNING_COST_"&amp;IF(PROPERTIES[[#This Row],[ENGINE_CLASS]]="MAGLEV","ELECTRIC",PROPERTIES[[#This Row],[ENGINE_CLASS]])</f>
        <v>RUNNING_COST_ELECTRIC</v>
      </c>
      <c r="V638" s="10" t="s">
        <v>1004</v>
      </c>
      <c r="W638" s="10" t="s">
        <v>1005</v>
      </c>
      <c r="X638" s="10" t="str">
        <f>SUBSTITUTE(SUBSTITUTE(PROPERTIES[[#This Row],[PURCHASECOST_VALUE]], "PURCHASECOST_", ""), "_VALUE", "")</f>
        <v>ELECTRICENGINE</v>
      </c>
      <c r="AP638"/>
      <c r="AQ638"/>
      <c r="AR638"/>
    </row>
    <row r="639" spans="1:44">
      <c r="A639" s="2" t="s">
        <v>662</v>
      </c>
      <c r="B639">
        <v>1973</v>
      </c>
      <c r="C639">
        <v>0</v>
      </c>
      <c r="D639" t="s">
        <v>74</v>
      </c>
      <c r="E639" t="s">
        <v>20</v>
      </c>
      <c r="F639">
        <v>0</v>
      </c>
      <c r="G639" s="10">
        <v>84</v>
      </c>
      <c r="H639">
        <v>8</v>
      </c>
      <c r="I639">
        <v>8</v>
      </c>
      <c r="J639" s="2" t="s">
        <v>20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>
        <v>4428</v>
      </c>
      <c r="O639">
        <v>140</v>
      </c>
      <c r="P639" s="2">
        <v>0.33</v>
      </c>
      <c r="Q639" s="6">
        <v>40</v>
      </c>
      <c r="R639" s="10">
        <v>0</v>
      </c>
      <c r="S639" s="10">
        <v>0</v>
      </c>
      <c r="T639" s="10"/>
      <c r="U639" t="str">
        <f>"RUNNING_COST_"&amp;IF(PROPERTIES[[#This Row],[ENGINE_CLASS]]="MAGLEV","ELECTRIC",PROPERTIES[[#This Row],[ENGINE_CLASS]])</f>
        <v>RUNNING_COST_ELECTRIC</v>
      </c>
      <c r="V639" s="10" t="s">
        <v>1004</v>
      </c>
      <c r="W639" s="10" t="s">
        <v>1005</v>
      </c>
      <c r="X639" s="10" t="str">
        <f>SUBSTITUTE(SUBSTITUTE(PROPERTIES[[#This Row],[PURCHASECOST_VALUE]], "PURCHASECOST_", ""), "_VALUE", "")</f>
        <v>ELECTRICENGINE</v>
      </c>
      <c r="AP639"/>
      <c r="AQ639"/>
      <c r="AR639"/>
    </row>
    <row r="640" spans="1:44">
      <c r="A640" s="2" t="s">
        <v>663</v>
      </c>
      <c r="B640">
        <v>2004</v>
      </c>
      <c r="C640">
        <v>0</v>
      </c>
      <c r="D640" t="s">
        <v>74</v>
      </c>
      <c r="E640" t="s">
        <v>20</v>
      </c>
      <c r="F640">
        <v>0</v>
      </c>
      <c r="G640" s="10">
        <v>82</v>
      </c>
      <c r="H640">
        <v>8</v>
      </c>
      <c r="I640">
        <v>8</v>
      </c>
      <c r="J640" s="2" t="s">
        <v>20</v>
      </c>
      <c r="K640">
        <f>_xlfn.XLOOKUP("LOADINGSPEEDDEF_"&amp;PROPERTIES[[#This Row],[LOADINGSPEED]],LOADINGSPEEDDEF[TYPE],LOADINGSPEEDDEF[SPEED])</f>
        <v>0</v>
      </c>
      <c r="L640" t="s">
        <v>21</v>
      </c>
      <c r="M640">
        <v>1</v>
      </c>
      <c r="N640">
        <v>6500</v>
      </c>
      <c r="O640">
        <v>210</v>
      </c>
      <c r="P640" s="2">
        <v>0.32</v>
      </c>
      <c r="Q640" s="6">
        <v>40</v>
      </c>
      <c r="R640" s="10">
        <v>0</v>
      </c>
      <c r="S640" s="10">
        <v>0</v>
      </c>
      <c r="T640" s="10"/>
      <c r="U640" t="str">
        <f>"RUNNING_COST_"&amp;IF(PROPERTIES[[#This Row],[ENGINE_CLASS]]="MAGLEV","ELECTRIC",PROPERTIES[[#This Row],[ENGINE_CLASS]])</f>
        <v>RUNNING_COST_ELECTRIC</v>
      </c>
      <c r="V640" s="10" t="s">
        <v>1004</v>
      </c>
      <c r="W640" s="10" t="s">
        <v>1005</v>
      </c>
      <c r="X640" s="10" t="str">
        <f>SUBSTITUTE(SUBSTITUTE(PROPERTIES[[#This Row],[PURCHASECOST_VALUE]], "PURCHASECOST_", ""), "_VALUE", "")</f>
        <v>ELECTRICENGINE</v>
      </c>
      <c r="AP640"/>
      <c r="AQ640"/>
      <c r="AR640"/>
    </row>
    <row r="641" spans="1:44">
      <c r="A641" s="2" t="s">
        <v>664</v>
      </c>
      <c r="B641">
        <v>2014</v>
      </c>
      <c r="C641">
        <v>0</v>
      </c>
      <c r="D641" t="s">
        <v>74</v>
      </c>
      <c r="E641" t="s">
        <v>20</v>
      </c>
      <c r="F641">
        <v>0</v>
      </c>
      <c r="G641" s="10">
        <v>200</v>
      </c>
      <c r="H641">
        <v>8</v>
      </c>
      <c r="I641">
        <v>16</v>
      </c>
      <c r="J641" s="2" t="s">
        <v>20</v>
      </c>
      <c r="K641">
        <f>_xlfn.XLOOKUP("LOADINGSPEEDDEF_"&amp;PROPERTIES[[#This Row],[LOADINGSPEED]],LOADINGSPEEDDEF[TYPE],LOADINGSPEEDDEF[SPEED])</f>
        <v>0</v>
      </c>
      <c r="L641" t="s">
        <v>21</v>
      </c>
      <c r="M641">
        <v>1</v>
      </c>
      <c r="N641">
        <v>11800</v>
      </c>
      <c r="O641">
        <v>120</v>
      </c>
      <c r="P641" s="2">
        <v>0.42</v>
      </c>
      <c r="Q641" s="6">
        <v>40</v>
      </c>
      <c r="R641" s="10">
        <v>0</v>
      </c>
      <c r="S641" s="10">
        <v>8</v>
      </c>
      <c r="T641" s="10"/>
      <c r="U641" t="str">
        <f>"RUNNING_COST_"&amp;IF(PROPERTIES[[#This Row],[ENGINE_CLASS]]="MAGLEV","ELECTRIC",PROPERTIES[[#This Row],[ENGINE_CLASS]])</f>
        <v>RUNNING_COST_ELECTRIC</v>
      </c>
      <c r="V641" s="10" t="s">
        <v>1004</v>
      </c>
      <c r="W641" s="10" t="s">
        <v>1005</v>
      </c>
      <c r="X641" s="10" t="str">
        <f>SUBSTITUTE(SUBSTITUTE(PROPERTIES[[#This Row],[PURCHASECOST_VALUE]], "PURCHASECOST_", ""), "_VALUE", "")</f>
        <v>ELECTRICENGINE</v>
      </c>
      <c r="AP641"/>
      <c r="AQ641"/>
      <c r="AR641"/>
    </row>
    <row r="642" spans="1:44">
      <c r="A642" s="2" t="s">
        <v>665</v>
      </c>
      <c r="B642">
        <v>2011</v>
      </c>
      <c r="C642">
        <v>0</v>
      </c>
      <c r="D642" t="s">
        <v>74</v>
      </c>
      <c r="E642" t="s">
        <v>20</v>
      </c>
      <c r="F642">
        <v>0</v>
      </c>
      <c r="G642" s="10">
        <v>135</v>
      </c>
      <c r="H642">
        <v>8</v>
      </c>
      <c r="I642">
        <v>8</v>
      </c>
      <c r="J642" s="2" t="s">
        <v>20</v>
      </c>
      <c r="K642">
        <f>_xlfn.XLOOKUP("LOADINGSPEEDDEF_"&amp;PROPERTIES[[#This Row],[LOADINGSPEED]],LOADINGSPEEDDEF[TYPE],LOADINGSPEEDDEF[SPEED])</f>
        <v>0</v>
      </c>
      <c r="L642" t="s">
        <v>21</v>
      </c>
      <c r="M642">
        <v>1</v>
      </c>
      <c r="N642">
        <v>9655</v>
      </c>
      <c r="O642">
        <v>200</v>
      </c>
      <c r="P642" s="2">
        <v>0.26</v>
      </c>
      <c r="Q642" s="6">
        <v>40</v>
      </c>
      <c r="R642" s="10">
        <v>0</v>
      </c>
      <c r="S642" s="10">
        <v>0</v>
      </c>
      <c r="T642" s="10"/>
      <c r="U642" t="str">
        <f>"RUNNING_COST_"&amp;IF(PROPERTIES[[#This Row],[ENGINE_CLASS]]="MAGLEV","ELECTRIC",PROPERTIES[[#This Row],[ENGINE_CLASS]])</f>
        <v>RUNNING_COST_ELECTRIC</v>
      </c>
      <c r="V642" s="10" t="s">
        <v>1004</v>
      </c>
      <c r="W642" s="10" t="s">
        <v>1005</v>
      </c>
      <c r="X642" s="10" t="str">
        <f>SUBSTITUTE(SUBSTITUTE(PROPERTIES[[#This Row],[PURCHASECOST_VALUE]], "PURCHASECOST_", ""), "_VALUE", "")</f>
        <v>ELECTRICENGINE</v>
      </c>
      <c r="AP642"/>
      <c r="AQ642"/>
      <c r="AR642"/>
    </row>
    <row r="643" spans="1:44">
      <c r="A643" s="2" t="s">
        <v>666</v>
      </c>
      <c r="B643">
        <v>1955</v>
      </c>
      <c r="C643">
        <v>0</v>
      </c>
      <c r="D643" t="s">
        <v>35</v>
      </c>
      <c r="E643" t="s">
        <v>18</v>
      </c>
      <c r="F643">
        <v>64</v>
      </c>
      <c r="G643" s="10">
        <v>18</v>
      </c>
      <c r="H643">
        <v>7</v>
      </c>
      <c r="I643">
        <v>7</v>
      </c>
      <c r="J643" s="2" t="s">
        <v>24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>
        <v>180</v>
      </c>
      <c r="O643">
        <v>95</v>
      </c>
      <c r="P643" s="2">
        <v>0.33</v>
      </c>
      <c r="Q643" s="6">
        <v>15</v>
      </c>
      <c r="R643" s="10">
        <v>0</v>
      </c>
      <c r="S643" s="10">
        <v>0</v>
      </c>
      <c r="T643" s="10"/>
      <c r="U643" t="str">
        <f>"RUNNING_COST_"&amp;IF(PROPERTIES[[#This Row],[ENGINE_CLASS]]="MAGLEV","ELECTRIC",PROPERTIES[[#This Row],[ENGINE_CLASS]])</f>
        <v>RUNNING_COST_DIESEL</v>
      </c>
      <c r="V643" s="10" t="s">
        <v>994</v>
      </c>
      <c r="W643" s="10" t="s">
        <v>995</v>
      </c>
      <c r="X643" s="10" t="str">
        <f>SUBSTITUTE(SUBSTITUTE(PROPERTIES[[#This Row],[PURCHASECOST_VALUE]], "PURCHASECOST_", ""), "_VALUE", "")</f>
        <v>DIESELRAILBUS</v>
      </c>
      <c r="AP643"/>
      <c r="AQ643"/>
      <c r="AR643"/>
    </row>
    <row r="644" spans="1:44">
      <c r="A644" s="2" t="s">
        <v>667</v>
      </c>
      <c r="B644">
        <v>1984</v>
      </c>
      <c r="C644">
        <v>0</v>
      </c>
      <c r="D644" t="s">
        <v>35</v>
      </c>
      <c r="E644" t="s">
        <v>18</v>
      </c>
      <c r="F644">
        <v>67</v>
      </c>
      <c r="G644" s="10">
        <v>59</v>
      </c>
      <c r="H644">
        <v>8</v>
      </c>
      <c r="I644">
        <v>8</v>
      </c>
      <c r="J644" s="2" t="s">
        <v>24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>
        <v>990</v>
      </c>
      <c r="O644">
        <v>120</v>
      </c>
      <c r="P644" s="2">
        <v>0.24</v>
      </c>
      <c r="Q644" s="6">
        <v>15</v>
      </c>
      <c r="R644" s="10">
        <v>0</v>
      </c>
      <c r="S644" s="10">
        <v>0</v>
      </c>
      <c r="T644" s="10"/>
      <c r="U644" t="str">
        <f>"RUNNING_COST_"&amp;IF(PROPERTIES[[#This Row],[ENGINE_CLASS]]="MAGLEV","ELECTRIC",PROPERTIES[[#This Row],[ENGINE_CLASS]])</f>
        <v>RUNNING_COST_DIESEL</v>
      </c>
      <c r="V644" s="10" t="s">
        <v>994</v>
      </c>
      <c r="W644" s="10" t="s">
        <v>995</v>
      </c>
      <c r="X644" s="10" t="str">
        <f>SUBSTITUTE(SUBSTITUTE(PROPERTIES[[#This Row],[PURCHASECOST_VALUE]], "PURCHASECOST_", ""), "_VALUE", "")</f>
        <v>DIESELRAILBUS</v>
      </c>
      <c r="AP644"/>
      <c r="AQ644"/>
      <c r="AR644"/>
    </row>
    <row r="645" spans="1:44">
      <c r="A645" s="2" t="s">
        <v>668</v>
      </c>
      <c r="B645">
        <v>1973</v>
      </c>
      <c r="C645">
        <v>1</v>
      </c>
      <c r="D645" t="s">
        <v>74</v>
      </c>
      <c r="E645" t="s">
        <v>18</v>
      </c>
      <c r="F645">
        <v>64</v>
      </c>
      <c r="G645" s="10">
        <v>49</v>
      </c>
      <c r="H645">
        <v>8</v>
      </c>
      <c r="I645">
        <v>8</v>
      </c>
      <c r="J645" s="2" t="s">
        <v>24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>
        <v>1280</v>
      </c>
      <c r="O645">
        <v>200</v>
      </c>
      <c r="P645" s="2">
        <v>0.13</v>
      </c>
      <c r="Q645" s="6">
        <v>40</v>
      </c>
      <c r="R645" s="10">
        <v>64</v>
      </c>
      <c r="S645" s="10">
        <v>8</v>
      </c>
      <c r="T645" s="10"/>
      <c r="U645" t="str">
        <f>"RUNNING_COST_"&amp;IF(PROPERTIES[[#This Row],[ENGINE_CLASS]]="MAGLEV","ELECTRIC",PROPERTIES[[#This Row],[ENGINE_CLASS]])</f>
        <v>RUNNING_COST_ELECTRIC</v>
      </c>
      <c r="V645" s="10" t="s">
        <v>1008</v>
      </c>
      <c r="W645" s="10" t="s">
        <v>1009</v>
      </c>
      <c r="X645" s="10" t="str">
        <f>SUBSTITUTE(SUBSTITUTE(PROPERTIES[[#This Row],[PURCHASECOST_VALUE]], "PURCHASECOST_", ""), "_VALUE", "")</f>
        <v>EMU</v>
      </c>
      <c r="AP645"/>
      <c r="AQ645"/>
      <c r="AR645"/>
    </row>
    <row r="646" spans="1:44">
      <c r="A646" s="2" t="s">
        <v>669</v>
      </c>
      <c r="B646">
        <v>1929</v>
      </c>
      <c r="C646">
        <v>1</v>
      </c>
      <c r="D646" t="s">
        <v>74</v>
      </c>
      <c r="E646" t="s">
        <v>18</v>
      </c>
      <c r="F646">
        <v>50</v>
      </c>
      <c r="G646" s="10">
        <v>46</v>
      </c>
      <c r="H646">
        <v>7</v>
      </c>
      <c r="I646">
        <v>7</v>
      </c>
      <c r="J646" s="2" t="s">
        <v>24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>
        <v>804</v>
      </c>
      <c r="O646">
        <v>85</v>
      </c>
      <c r="P646" s="2">
        <v>0.08</v>
      </c>
      <c r="Q646" s="6">
        <v>40</v>
      </c>
      <c r="R646" s="10">
        <v>50</v>
      </c>
      <c r="S646" s="10">
        <v>7</v>
      </c>
      <c r="T646" s="10"/>
      <c r="U646" t="str">
        <f>"RUNNING_COST_"&amp;IF(PROPERTIES[[#This Row],[ENGINE_CLASS]]="MAGLEV","ELECTRIC",PROPERTIES[[#This Row],[ENGINE_CLASS]])</f>
        <v>RUNNING_COST_ELECTRIC</v>
      </c>
      <c r="V646" s="10" t="s">
        <v>1008</v>
      </c>
      <c r="W646" s="10" t="s">
        <v>1009</v>
      </c>
      <c r="X646" s="10" t="str">
        <f>SUBSTITUTE(SUBSTITUTE(PROPERTIES[[#This Row],[PURCHASECOST_VALUE]], "PURCHASECOST_", ""), "_VALUE", "")</f>
        <v>EMU</v>
      </c>
      <c r="AP646"/>
      <c r="AQ646"/>
      <c r="AR646"/>
    </row>
    <row r="647" spans="1:44">
      <c r="A647" s="2" t="s">
        <v>670</v>
      </c>
      <c r="B647">
        <v>2015</v>
      </c>
      <c r="C647">
        <v>1</v>
      </c>
      <c r="D647" t="s">
        <v>74</v>
      </c>
      <c r="E647" t="s">
        <v>18</v>
      </c>
      <c r="F647">
        <v>60</v>
      </c>
      <c r="G647" s="10">
        <v>43</v>
      </c>
      <c r="H647">
        <v>8</v>
      </c>
      <c r="I647">
        <v>8</v>
      </c>
      <c r="J647" s="2" t="s">
        <v>24</v>
      </c>
      <c r="K647">
        <f>_xlfn.XLOOKUP("LOADINGSPEEDDEF_"&amp;PROPERTIES[[#This Row],[LOADINGSPEED]],LOADINGSPEEDDEF[TYPE],LOADINGSPEEDDEF[SPEED])</f>
        <v>40</v>
      </c>
      <c r="L647" t="s">
        <v>21</v>
      </c>
      <c r="M647">
        <v>1</v>
      </c>
      <c r="N647">
        <v>2700</v>
      </c>
      <c r="O647">
        <v>160</v>
      </c>
      <c r="P647" s="2">
        <v>0.47</v>
      </c>
      <c r="Q647" s="6">
        <v>40</v>
      </c>
      <c r="R647" s="10">
        <v>60</v>
      </c>
      <c r="S647" s="10">
        <v>8</v>
      </c>
      <c r="T647" s="10"/>
      <c r="U647" t="str">
        <f>"RUNNING_COST_"&amp;IF(PROPERTIES[[#This Row],[ENGINE_CLASS]]="MAGLEV","ELECTRIC",PROPERTIES[[#This Row],[ENGINE_CLASS]])</f>
        <v>RUNNING_COST_ELECTRIC</v>
      </c>
      <c r="V647" s="10" t="s">
        <v>1008</v>
      </c>
      <c r="W647" s="10" t="s">
        <v>1009</v>
      </c>
      <c r="X647" s="10" t="str">
        <f>SUBSTITUTE(SUBSTITUTE(PROPERTIES[[#This Row],[PURCHASECOST_VALUE]], "PURCHASECOST_", ""), "_VALUE", "")</f>
        <v>EMU</v>
      </c>
      <c r="AP647"/>
      <c r="AQ647"/>
      <c r="AR647"/>
    </row>
    <row r="648" spans="1:44">
      <c r="A648" s="2" t="s">
        <v>671</v>
      </c>
      <c r="B648">
        <v>2011</v>
      </c>
      <c r="C648">
        <v>1</v>
      </c>
      <c r="D648" t="s">
        <v>74</v>
      </c>
      <c r="E648" t="s">
        <v>18</v>
      </c>
      <c r="F648">
        <v>88</v>
      </c>
      <c r="G648" s="10">
        <v>56</v>
      </c>
      <c r="H648">
        <v>8</v>
      </c>
      <c r="I648">
        <v>8</v>
      </c>
      <c r="J648" s="2" t="s">
        <v>24</v>
      </c>
      <c r="K648">
        <f>_xlfn.XLOOKUP("LOADINGSPEEDDEF_"&amp;PROPERTIES[[#This Row],[LOADINGSPEED]],LOADINGSPEEDDEF[TYPE],LOADINGSPEEDDEF[SPEED])</f>
        <v>40</v>
      </c>
      <c r="L648" t="s">
        <v>21</v>
      </c>
      <c r="M648">
        <v>1</v>
      </c>
      <c r="N648">
        <v>3400</v>
      </c>
      <c r="O648">
        <v>160</v>
      </c>
      <c r="P648" s="2">
        <v>0.54</v>
      </c>
      <c r="Q648" s="6">
        <v>40</v>
      </c>
      <c r="R648" s="10">
        <v>88</v>
      </c>
      <c r="S648" s="10">
        <v>8</v>
      </c>
      <c r="T648" s="10"/>
      <c r="U648" t="str">
        <f>"RUNNING_COST_"&amp;IF(PROPERTIES[[#This Row],[ENGINE_CLASS]]="MAGLEV","ELECTRIC",PROPERTIES[[#This Row],[ENGINE_CLASS]])</f>
        <v>RUNNING_COST_ELECTRIC</v>
      </c>
      <c r="V648" s="10" t="s">
        <v>1008</v>
      </c>
      <c r="W648" s="10" t="s">
        <v>1009</v>
      </c>
      <c r="X648" s="10" t="str">
        <f>SUBSTITUTE(SUBSTITUTE(PROPERTIES[[#This Row],[PURCHASECOST_VALUE]], "PURCHASECOST_", ""), "_VALUE", "")</f>
        <v>EMU</v>
      </c>
      <c r="AP648"/>
      <c r="AQ648"/>
      <c r="AR648"/>
    </row>
    <row r="649" spans="1:44">
      <c r="A649" s="2" t="s">
        <v>754</v>
      </c>
      <c r="B649">
        <v>1900</v>
      </c>
      <c r="C649">
        <v>0</v>
      </c>
      <c r="D649" t="s">
        <v>19</v>
      </c>
      <c r="E649" t="s">
        <v>325</v>
      </c>
      <c r="F649">
        <v>1</v>
      </c>
      <c r="G649" s="10">
        <v>0</v>
      </c>
      <c r="H649">
        <v>8</v>
      </c>
      <c r="I649">
        <v>8</v>
      </c>
      <c r="J649" s="2" t="s">
        <v>20</v>
      </c>
      <c r="K649">
        <f>_xlfn.XLOOKUP("LOADINGSPEEDDEF_"&amp;PROPERTIES[[#This Row],[LOADINGSPEED]],LOADINGSPEEDDEF[TYPE],LOADINGSPEEDDEF[SPEED])</f>
        <v>0</v>
      </c>
      <c r="L649" t="s">
        <v>21</v>
      </c>
      <c r="M649">
        <v>1</v>
      </c>
      <c r="N649">
        <v>0</v>
      </c>
      <c r="O649">
        <v>0</v>
      </c>
      <c r="P649" s="2">
        <v>0.3</v>
      </c>
      <c r="Q649" s="6">
        <v>60</v>
      </c>
      <c r="R649" s="10">
        <v>0</v>
      </c>
      <c r="S649" s="10">
        <v>0</v>
      </c>
      <c r="T649" s="10"/>
      <c r="U649" t="str">
        <f>"RUNNING_COST_"&amp;IF(PROPERTIES[[#This Row],[ENGINE_CLASS]]="MAGLEV","ELECTRIC",PROPERTIES[[#This Row],[ENGINE_CLASS]])</f>
        <v>RUNNING_COST_ELECTRIC</v>
      </c>
      <c r="V649" s="10" t="s">
        <v>1002</v>
      </c>
      <c r="W649" s="10" t="s">
        <v>1003</v>
      </c>
      <c r="X649" s="10" t="str">
        <f>SUBSTITUTE(SUBSTITUTE(PROPERTIES[[#This Row],[PURCHASECOST_VALUE]], "PURCHASECOST_", ""), "_VALUE", "")</f>
        <v>METRO</v>
      </c>
      <c r="AP649"/>
      <c r="AQ649"/>
      <c r="AR649"/>
    </row>
    <row r="650" spans="1:44">
      <c r="A650" s="2" t="s">
        <v>753</v>
      </c>
      <c r="B650">
        <v>1900</v>
      </c>
      <c r="C650">
        <v>0</v>
      </c>
      <c r="D650" t="s">
        <v>19</v>
      </c>
      <c r="E650" t="s">
        <v>325</v>
      </c>
      <c r="F650">
        <v>1</v>
      </c>
      <c r="G650" s="10">
        <v>0</v>
      </c>
      <c r="H650">
        <v>8</v>
      </c>
      <c r="I650">
        <v>8</v>
      </c>
      <c r="J650" s="2" t="s">
        <v>20</v>
      </c>
      <c r="K650">
        <f>_xlfn.XLOOKUP("LOADINGSPEEDDEF_"&amp;PROPERTIES[[#This Row],[LOADINGSPEED]],LOADINGSPEEDDEF[TYPE],LOADINGSPEEDDEF[SPEED])</f>
        <v>0</v>
      </c>
      <c r="L650" t="s">
        <v>21</v>
      </c>
      <c r="M650">
        <v>1</v>
      </c>
      <c r="N650">
        <v>0</v>
      </c>
      <c r="O650">
        <v>0</v>
      </c>
      <c r="P650" s="2">
        <v>0.3</v>
      </c>
      <c r="Q650" s="6">
        <v>60</v>
      </c>
      <c r="R650" s="10">
        <v>0</v>
      </c>
      <c r="S650" s="10">
        <v>0</v>
      </c>
      <c r="T650" s="10"/>
      <c r="U650" t="str">
        <f>"RUNNING_COST_"&amp;IF(PROPERTIES[[#This Row],[ENGINE_CLASS]]="MAGLEV","ELECTRIC",PROPERTIES[[#This Row],[ENGINE_CLASS]])</f>
        <v>RUNNING_COST_ELECTRIC</v>
      </c>
      <c r="V650" s="10" t="s">
        <v>1002</v>
      </c>
      <c r="W650" s="10" t="s">
        <v>1003</v>
      </c>
      <c r="X650" s="10" t="str">
        <f>SUBSTITUTE(SUBSTITUTE(PROPERTIES[[#This Row],[PURCHASECOST_VALUE]], "PURCHASECOST_", ""), "_VALUE", "")</f>
        <v>METRO</v>
      </c>
      <c r="AP650"/>
      <c r="AQ650"/>
      <c r="AR650"/>
    </row>
    <row r="651" spans="1:44">
      <c r="A651" s="2" t="s">
        <v>755</v>
      </c>
      <c r="B651">
        <v>1992</v>
      </c>
      <c r="C651">
        <v>0</v>
      </c>
      <c r="D651" t="s">
        <v>35</v>
      </c>
      <c r="E651" t="s">
        <v>532</v>
      </c>
      <c r="F651">
        <v>1</v>
      </c>
      <c r="G651" s="10">
        <v>0</v>
      </c>
      <c r="H651">
        <v>8</v>
      </c>
      <c r="I651">
        <v>8</v>
      </c>
      <c r="J651" s="2" t="s">
        <v>20</v>
      </c>
      <c r="K651">
        <f>_xlfn.XLOOKUP("LOADINGSPEEDDEF_"&amp;PROPERTIES[[#This Row],[LOADINGSPEED]],LOADINGSPEEDDEF[TYPE],LOADINGSPEEDDEF[SPEED])</f>
        <v>0</v>
      </c>
      <c r="L651" t="s">
        <v>21</v>
      </c>
      <c r="M651">
        <v>0</v>
      </c>
      <c r="N651">
        <v>0</v>
      </c>
      <c r="O651">
        <v>0</v>
      </c>
      <c r="P651" s="2">
        <v>0.3</v>
      </c>
      <c r="Q651" s="6">
        <v>60</v>
      </c>
      <c r="R651" s="10">
        <v>0</v>
      </c>
      <c r="S651" s="10">
        <v>0</v>
      </c>
      <c r="T651" s="10"/>
      <c r="U651" t="str">
        <f>"RUNNING_COST_"&amp;IF(PROPERTIES[[#This Row],[ENGINE_CLASS]]="MAGLEV","ELECTRIC",PROPERTIES[[#This Row],[ENGINE_CLASS]])</f>
        <v>RUNNING_COST_DIESEL</v>
      </c>
      <c r="V651" s="10" t="s">
        <v>1006</v>
      </c>
      <c r="W651" s="10" t="s">
        <v>1007</v>
      </c>
      <c r="X651" s="10" t="str">
        <f>SUBSTITUTE(SUBSTITUTE(PROPERTIES[[#This Row],[PURCHASECOST_VALUE]], "PURCHASECOST_", ""), "_VALUE", "")</f>
        <v>DMU</v>
      </c>
      <c r="AP651"/>
      <c r="AQ651"/>
      <c r="AR651"/>
    </row>
    <row r="652" spans="1:44">
      <c r="A652" s="2" t="s">
        <v>756</v>
      </c>
      <c r="B652">
        <v>1992</v>
      </c>
      <c r="C652">
        <v>0</v>
      </c>
      <c r="D652" t="s">
        <v>35</v>
      </c>
      <c r="E652" t="s">
        <v>532</v>
      </c>
      <c r="F652">
        <v>1</v>
      </c>
      <c r="G652" s="10">
        <v>0</v>
      </c>
      <c r="H652">
        <v>8</v>
      </c>
      <c r="I652">
        <v>8</v>
      </c>
      <c r="J652" s="2" t="s">
        <v>20</v>
      </c>
      <c r="K652">
        <f>_xlfn.XLOOKUP("LOADINGSPEEDDEF_"&amp;PROPERTIES[[#This Row],[LOADINGSPEED]],LOADINGSPEEDDEF[TYPE],LOADINGSPEEDDEF[SPEED])</f>
        <v>0</v>
      </c>
      <c r="L652" t="s">
        <v>21</v>
      </c>
      <c r="M652">
        <v>0</v>
      </c>
      <c r="N652">
        <v>0</v>
      </c>
      <c r="O652">
        <v>0</v>
      </c>
      <c r="P652" s="2">
        <v>0.3</v>
      </c>
      <c r="Q652" s="6">
        <v>60</v>
      </c>
      <c r="R652" s="10">
        <v>0</v>
      </c>
      <c r="S652" s="10">
        <v>0</v>
      </c>
      <c r="T652" s="10"/>
      <c r="U652" t="str">
        <f>"RUNNING_COST_"&amp;IF(PROPERTIES[[#This Row],[ENGINE_CLASS]]="MAGLEV","ELECTRIC",PROPERTIES[[#This Row],[ENGINE_CLASS]])</f>
        <v>RUNNING_COST_DIESEL</v>
      </c>
      <c r="V652" s="10" t="s">
        <v>1006</v>
      </c>
      <c r="W652" s="10" t="s">
        <v>1007</v>
      </c>
      <c r="X652" s="10" t="str">
        <f>SUBSTITUTE(SUBSTITUTE(PROPERTIES[[#This Row],[PURCHASECOST_VALUE]], "PURCHASECOST_", ""), "_VALUE", "")</f>
        <v>DMU</v>
      </c>
      <c r="AP652"/>
      <c r="AQ652"/>
      <c r="AR652"/>
    </row>
    <row r="653" spans="1:44">
      <c r="A653" s="2" t="s">
        <v>757</v>
      </c>
      <c r="B653">
        <v>1908</v>
      </c>
      <c r="C653">
        <v>0</v>
      </c>
      <c r="D653" t="s">
        <v>35</v>
      </c>
      <c r="E653" t="s">
        <v>18</v>
      </c>
      <c r="F653">
        <v>1</v>
      </c>
      <c r="G653" s="10">
        <v>0</v>
      </c>
      <c r="H653">
        <v>8</v>
      </c>
      <c r="I653">
        <v>8</v>
      </c>
      <c r="J653" s="2" t="s">
        <v>20</v>
      </c>
      <c r="K653">
        <f>_xlfn.XLOOKUP("LOADINGSPEEDDEF_"&amp;PROPERTIES[[#This Row],[LOADINGSPEED]],LOADINGSPEEDDEF[TYPE],LOADINGSPEEDDEF[SPEED])</f>
        <v>0</v>
      </c>
      <c r="L653" t="s">
        <v>21</v>
      </c>
      <c r="M653">
        <v>1</v>
      </c>
      <c r="N653">
        <v>0</v>
      </c>
      <c r="O653">
        <v>0</v>
      </c>
      <c r="P653" s="2">
        <v>0.3</v>
      </c>
      <c r="Q653" s="6">
        <v>60</v>
      </c>
      <c r="R653" s="10">
        <v>0</v>
      </c>
      <c r="S653" s="10">
        <v>0</v>
      </c>
      <c r="T653" s="10"/>
      <c r="U653" t="str">
        <f>"RUNNING_COST_"&amp;IF(PROPERTIES[[#This Row],[ENGINE_CLASS]]="MAGLEV","ELECTRIC",PROPERTIES[[#This Row],[ENGINE_CLASS]])</f>
        <v>RUNNING_COST_DIESEL</v>
      </c>
      <c r="V653" s="10" t="s">
        <v>1006</v>
      </c>
      <c r="W653" s="10" t="s">
        <v>1007</v>
      </c>
      <c r="X653" s="10" t="str">
        <f>SUBSTITUTE(SUBSTITUTE(PROPERTIES[[#This Row],[PURCHASECOST_VALUE]], "PURCHASECOST_", ""), "_VALUE", "")</f>
        <v>DMU</v>
      </c>
      <c r="AP653"/>
      <c r="AQ653"/>
      <c r="AR653"/>
    </row>
    <row r="654" spans="1:44">
      <c r="A654" s="2" t="s">
        <v>758</v>
      </c>
      <c r="B654">
        <v>1908</v>
      </c>
      <c r="C654">
        <v>0</v>
      </c>
      <c r="D654" t="s">
        <v>35</v>
      </c>
      <c r="E654" t="s">
        <v>18</v>
      </c>
      <c r="F654">
        <v>1</v>
      </c>
      <c r="G654" s="10">
        <v>0</v>
      </c>
      <c r="H654">
        <v>8</v>
      </c>
      <c r="I654">
        <v>8</v>
      </c>
      <c r="J654" s="2" t="s">
        <v>20</v>
      </c>
      <c r="K654">
        <f>_xlfn.XLOOKUP("LOADINGSPEEDDEF_"&amp;PROPERTIES[[#This Row],[LOADINGSPEED]],LOADINGSPEEDDEF[TYPE],LOADINGSPEEDDEF[SPEED])</f>
        <v>0</v>
      </c>
      <c r="L654" t="s">
        <v>21</v>
      </c>
      <c r="M654">
        <v>1</v>
      </c>
      <c r="N654">
        <v>0</v>
      </c>
      <c r="O654">
        <v>0</v>
      </c>
      <c r="P654" s="2">
        <v>0.3</v>
      </c>
      <c r="Q654" s="6">
        <v>60</v>
      </c>
      <c r="R654" s="10">
        <v>0</v>
      </c>
      <c r="S654" s="10">
        <v>0</v>
      </c>
      <c r="T654" s="10"/>
      <c r="U654" t="str">
        <f>"RUNNING_COST_"&amp;IF(PROPERTIES[[#This Row],[ENGINE_CLASS]]="MAGLEV","ELECTRIC",PROPERTIES[[#This Row],[ENGINE_CLASS]])</f>
        <v>RUNNING_COST_DIESEL</v>
      </c>
      <c r="V654" s="10" t="s">
        <v>1006</v>
      </c>
      <c r="W654" s="10" t="s">
        <v>1007</v>
      </c>
      <c r="X654" s="10" t="str">
        <f>SUBSTITUTE(SUBSTITUTE(PROPERTIES[[#This Row],[PURCHASECOST_VALUE]], "PURCHASECOST_", ""), "_VALUE", "")</f>
        <v>DMU</v>
      </c>
      <c r="AP654"/>
      <c r="AQ654"/>
      <c r="AR654"/>
    </row>
    <row r="655" spans="1:44">
      <c r="A655" s="2" t="s">
        <v>760</v>
      </c>
      <c r="B655">
        <v>1830</v>
      </c>
      <c r="C655">
        <v>0</v>
      </c>
      <c r="D655" t="s">
        <v>35</v>
      </c>
      <c r="E655" t="s">
        <v>603</v>
      </c>
      <c r="F655">
        <v>20</v>
      </c>
      <c r="G655" s="10">
        <v>5</v>
      </c>
      <c r="H655">
        <v>4</v>
      </c>
      <c r="I655">
        <v>4</v>
      </c>
      <c r="J655" s="2" t="s">
        <v>33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>
        <v>0</v>
      </c>
      <c r="O655">
        <v>55</v>
      </c>
      <c r="P655" s="2">
        <v>0.3</v>
      </c>
      <c r="Q655" s="6">
        <v>25</v>
      </c>
      <c r="R655" s="10">
        <v>0</v>
      </c>
      <c r="S655" s="10">
        <v>0</v>
      </c>
      <c r="T655" s="10"/>
      <c r="U655" t="str">
        <f>"RUNNING_COST_"&amp;IF(PROPERTIES[[#This Row],[ENGINE_CLASS]]="MAGLEV","ELECTRIC",PROPERTIES[[#This Row],[ENGINE_CLASS]])</f>
        <v>RUNNING_COST_DIESEL</v>
      </c>
      <c r="V655" s="10" t="s">
        <v>1016</v>
      </c>
      <c r="W655" s="10" t="s">
        <v>1017</v>
      </c>
      <c r="X655" s="10" t="str">
        <f>SUBSTITUTE(SUBSTITUTE(PROPERTIES[[#This Row],[PURCHASECOST_VALUE]], "PURCHASECOST_", ""), "_VALUE", "")</f>
        <v>WAGON</v>
      </c>
      <c r="AP655"/>
      <c r="AQ655"/>
      <c r="AR655"/>
    </row>
    <row r="656" spans="1:44">
      <c r="A656" s="2" t="s">
        <v>761</v>
      </c>
      <c r="B656">
        <v>1830</v>
      </c>
      <c r="C656">
        <v>0</v>
      </c>
      <c r="D656" t="s">
        <v>35</v>
      </c>
      <c r="E656" t="s">
        <v>599</v>
      </c>
      <c r="F656">
        <v>20</v>
      </c>
      <c r="G656" s="10">
        <v>6</v>
      </c>
      <c r="H656">
        <v>4</v>
      </c>
      <c r="I656">
        <v>4</v>
      </c>
      <c r="J656" s="2" t="s">
        <v>33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>
        <v>0</v>
      </c>
      <c r="O656">
        <v>55</v>
      </c>
      <c r="P656" s="2">
        <v>0.3</v>
      </c>
      <c r="Q656" s="6">
        <v>25</v>
      </c>
      <c r="R656" s="10">
        <v>0</v>
      </c>
      <c r="S656" s="10">
        <v>0</v>
      </c>
      <c r="T656" s="10"/>
      <c r="U656" t="str">
        <f>"RUNNING_COST_"&amp;IF(PROPERTIES[[#This Row],[ENGINE_CLASS]]="MAGLEV","ELECTRIC",PROPERTIES[[#This Row],[ENGINE_CLASS]])</f>
        <v>RUNNING_COST_DIESEL</v>
      </c>
      <c r="V656" s="10" t="s">
        <v>1016</v>
      </c>
      <c r="W656" s="10" t="s">
        <v>1017</v>
      </c>
      <c r="X656" s="10" t="str">
        <f>SUBSTITUTE(SUBSTITUTE(PROPERTIES[[#This Row],[PURCHASECOST_VALUE]], "PURCHASECOST_", ""), "_VALUE", "")</f>
        <v>WAGON</v>
      </c>
      <c r="AP656"/>
      <c r="AQ656"/>
      <c r="AR656"/>
    </row>
    <row r="657" spans="1:44">
      <c r="A657" s="2" t="s">
        <v>762</v>
      </c>
      <c r="B657">
        <v>1830</v>
      </c>
      <c r="C657">
        <v>0</v>
      </c>
      <c r="D657" t="s">
        <v>35</v>
      </c>
      <c r="E657" t="s">
        <v>609</v>
      </c>
      <c r="F657">
        <v>10</v>
      </c>
      <c r="G657" s="10">
        <v>7</v>
      </c>
      <c r="H657">
        <v>4</v>
      </c>
      <c r="I657">
        <v>4</v>
      </c>
      <c r="J657" s="2" t="s">
        <v>33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>
        <v>0</v>
      </c>
      <c r="O657">
        <v>55</v>
      </c>
      <c r="P657" s="2">
        <v>0.3</v>
      </c>
      <c r="Q657" s="6">
        <v>25</v>
      </c>
      <c r="R657" s="10">
        <v>0</v>
      </c>
      <c r="S657" s="10">
        <v>0</v>
      </c>
      <c r="T657" s="10"/>
      <c r="U657" t="str">
        <f>"RUNNING_COST_"&amp;IF(PROPERTIES[[#This Row],[ENGINE_CLASS]]="MAGLEV","ELECTRIC",PROPERTIES[[#This Row],[ENGINE_CLASS]])</f>
        <v>RUNNING_COST_DIESEL</v>
      </c>
      <c r="V657" s="10" t="s">
        <v>1016</v>
      </c>
      <c r="W657" s="10" t="s">
        <v>1017</v>
      </c>
      <c r="X657" s="10" t="str">
        <f>SUBSTITUTE(SUBSTITUTE(PROPERTIES[[#This Row],[PURCHASECOST_VALUE]], "PURCHASECOST_", ""), "_VALUE", "")</f>
        <v>WAGON</v>
      </c>
      <c r="AP657"/>
      <c r="AQ657"/>
      <c r="AR657"/>
    </row>
    <row r="658" spans="1:44">
      <c r="A658" s="2" t="s">
        <v>763</v>
      </c>
      <c r="B658">
        <v>1830</v>
      </c>
      <c r="C658">
        <v>0</v>
      </c>
      <c r="D658" t="s">
        <v>35</v>
      </c>
      <c r="E658" t="s">
        <v>672</v>
      </c>
      <c r="F658">
        <v>18</v>
      </c>
      <c r="G658" s="10">
        <v>6</v>
      </c>
      <c r="H658">
        <v>4</v>
      </c>
      <c r="I658">
        <v>4</v>
      </c>
      <c r="J658" s="2" t="s">
        <v>33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>
        <v>0</v>
      </c>
      <c r="O658">
        <v>55</v>
      </c>
      <c r="P658" s="2">
        <v>0.3</v>
      </c>
      <c r="Q658" s="6">
        <v>25</v>
      </c>
      <c r="R658" s="10">
        <v>0</v>
      </c>
      <c r="S658" s="10">
        <v>0</v>
      </c>
      <c r="T658" s="10"/>
      <c r="U658" t="str">
        <f>"RUNNING_COST_"&amp;IF(PROPERTIES[[#This Row],[ENGINE_CLASS]]="MAGLEV","ELECTRIC",PROPERTIES[[#This Row],[ENGINE_CLASS]])</f>
        <v>RUNNING_COST_DIESEL</v>
      </c>
      <c r="V658" s="10" t="s">
        <v>1016</v>
      </c>
      <c r="W658" s="10" t="s">
        <v>1017</v>
      </c>
      <c r="X658" s="10" t="str">
        <f>SUBSTITUTE(SUBSTITUTE(PROPERTIES[[#This Row],[PURCHASECOST_VALUE]], "PURCHASECOST_", ""), "_VALUE", "")</f>
        <v>WAGON</v>
      </c>
      <c r="AP658"/>
      <c r="AQ658"/>
      <c r="AR658"/>
    </row>
    <row r="659" spans="1:44">
      <c r="A659" s="2" t="s">
        <v>835</v>
      </c>
      <c r="B659">
        <v>1900</v>
      </c>
      <c r="C659">
        <v>0</v>
      </c>
      <c r="D659" t="s">
        <v>35</v>
      </c>
      <c r="E659" t="s">
        <v>603</v>
      </c>
      <c r="F659">
        <v>30</v>
      </c>
      <c r="G659" s="10">
        <v>11</v>
      </c>
      <c r="H659">
        <v>5</v>
      </c>
      <c r="I659">
        <v>5</v>
      </c>
      <c r="J659" s="2" t="s">
        <v>33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>
        <v>0</v>
      </c>
      <c r="O659">
        <v>70</v>
      </c>
      <c r="P659" s="2">
        <v>0.3</v>
      </c>
      <c r="Q659" s="6">
        <v>25</v>
      </c>
      <c r="R659" s="10">
        <v>0</v>
      </c>
      <c r="S659" s="10">
        <v>0</v>
      </c>
      <c r="T659" s="10"/>
      <c r="U659" t="str">
        <f>"RUNNING_COST_"&amp;IF(PROPERTIES[[#This Row],[ENGINE_CLASS]]="MAGLEV","ELECTRIC",PROPERTIES[[#This Row],[ENGINE_CLASS]])</f>
        <v>RUNNING_COST_DIESEL</v>
      </c>
      <c r="V659" s="10" t="s">
        <v>1016</v>
      </c>
      <c r="W659" s="10" t="s">
        <v>1017</v>
      </c>
      <c r="X659" s="10" t="str">
        <f>SUBSTITUTE(SUBSTITUTE(PROPERTIES[[#This Row],[PURCHASECOST_VALUE]], "PURCHASECOST_", ""), "_VALUE", "")</f>
        <v>WAGON</v>
      </c>
      <c r="AP659"/>
      <c r="AQ659"/>
      <c r="AR659"/>
    </row>
    <row r="660" spans="1:44">
      <c r="A660" s="2" t="s">
        <v>836</v>
      </c>
      <c r="B660">
        <v>1890</v>
      </c>
      <c r="C660">
        <v>0</v>
      </c>
      <c r="D660" t="s">
        <v>35</v>
      </c>
      <c r="E660" t="s">
        <v>599</v>
      </c>
      <c r="F660">
        <v>25</v>
      </c>
      <c r="G660" s="10">
        <v>12</v>
      </c>
      <c r="H660">
        <v>5</v>
      </c>
      <c r="I660">
        <v>5</v>
      </c>
      <c r="J660" s="2" t="s">
        <v>33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>
        <v>0</v>
      </c>
      <c r="O660">
        <v>90</v>
      </c>
      <c r="P660" s="2">
        <v>0.3</v>
      </c>
      <c r="Q660" s="6">
        <v>25</v>
      </c>
      <c r="R660" s="10">
        <v>0</v>
      </c>
      <c r="S660" s="10">
        <v>0</v>
      </c>
      <c r="T660" s="10"/>
      <c r="U660" t="str">
        <f>"RUNNING_COST_"&amp;IF(PROPERTIES[[#This Row],[ENGINE_CLASS]]="MAGLEV","ELECTRIC",PROPERTIES[[#This Row],[ENGINE_CLASS]])</f>
        <v>RUNNING_COST_DIESEL</v>
      </c>
      <c r="V660" s="10" t="s">
        <v>1016</v>
      </c>
      <c r="W660" s="10" t="s">
        <v>1017</v>
      </c>
      <c r="X660" s="10" t="str">
        <f>SUBSTITUTE(SUBSTITUTE(PROPERTIES[[#This Row],[PURCHASECOST_VALUE]], "PURCHASECOST_", ""), "_VALUE", "")</f>
        <v>WAGON</v>
      </c>
      <c r="AP660"/>
      <c r="AQ660"/>
      <c r="AR660"/>
    </row>
    <row r="661" spans="1:44">
      <c r="A661" s="2" t="s">
        <v>837</v>
      </c>
      <c r="B661">
        <v>1890</v>
      </c>
      <c r="C661">
        <v>0</v>
      </c>
      <c r="D661" t="s">
        <v>35</v>
      </c>
      <c r="E661" t="s">
        <v>599</v>
      </c>
      <c r="F661">
        <v>25</v>
      </c>
      <c r="G661" s="10">
        <v>12</v>
      </c>
      <c r="H661">
        <v>5</v>
      </c>
      <c r="I661">
        <v>5</v>
      </c>
      <c r="J661" s="2" t="s">
        <v>33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>
        <v>0</v>
      </c>
      <c r="O661">
        <v>90</v>
      </c>
      <c r="P661" s="2">
        <v>0.3</v>
      </c>
      <c r="Q661" s="6">
        <v>25</v>
      </c>
      <c r="R661" s="10">
        <v>0</v>
      </c>
      <c r="S661" s="10">
        <v>0</v>
      </c>
      <c r="T661" s="10"/>
      <c r="U661" t="str">
        <f>"RUNNING_COST_"&amp;IF(PROPERTIES[[#This Row],[ENGINE_CLASS]]="MAGLEV","ELECTRIC",PROPERTIES[[#This Row],[ENGINE_CLASS]])</f>
        <v>RUNNING_COST_DIESEL</v>
      </c>
      <c r="V661" s="10" t="s">
        <v>1016</v>
      </c>
      <c r="W661" s="10" t="s">
        <v>1017</v>
      </c>
      <c r="X661" s="10" t="str">
        <f>SUBSTITUTE(SUBSTITUTE(PROPERTIES[[#This Row],[PURCHASECOST_VALUE]], "PURCHASECOST_", ""), "_VALUE", "")</f>
        <v>WAGON</v>
      </c>
      <c r="AP661"/>
      <c r="AQ661"/>
      <c r="AR661"/>
    </row>
    <row r="662" spans="1:44">
      <c r="A662" s="2" t="s">
        <v>838</v>
      </c>
      <c r="B662">
        <v>1900</v>
      </c>
      <c r="C662">
        <v>0</v>
      </c>
      <c r="D662" t="s">
        <v>35</v>
      </c>
      <c r="E662" t="s">
        <v>609</v>
      </c>
      <c r="F662">
        <v>20</v>
      </c>
      <c r="G662" s="10">
        <v>14</v>
      </c>
      <c r="H662">
        <v>5</v>
      </c>
      <c r="I662">
        <v>5</v>
      </c>
      <c r="J662" s="2" t="s">
        <v>33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>
        <v>0</v>
      </c>
      <c r="O662">
        <v>70</v>
      </c>
      <c r="P662" s="2">
        <v>0.3</v>
      </c>
      <c r="Q662" s="6">
        <v>25</v>
      </c>
      <c r="R662" s="10">
        <v>0</v>
      </c>
      <c r="S662" s="10">
        <v>0</v>
      </c>
      <c r="T662" s="10"/>
      <c r="U662" t="str">
        <f>"RUNNING_COST_"&amp;IF(PROPERTIES[[#This Row],[ENGINE_CLASS]]="MAGLEV","ELECTRIC",PROPERTIES[[#This Row],[ENGINE_CLASS]])</f>
        <v>RUNNING_COST_DIESEL</v>
      </c>
      <c r="V662" s="10" t="s">
        <v>1016</v>
      </c>
      <c r="W662" s="10" t="s">
        <v>1017</v>
      </c>
      <c r="X662" s="10" t="str">
        <f>SUBSTITUTE(SUBSTITUTE(PROPERTIES[[#This Row],[PURCHASECOST_VALUE]], "PURCHASECOST_", ""), "_VALUE", "")</f>
        <v>WAGON</v>
      </c>
      <c r="AP662"/>
      <c r="AQ662"/>
      <c r="AR662"/>
    </row>
    <row r="663" spans="1:44">
      <c r="A663" s="2" t="s">
        <v>839</v>
      </c>
      <c r="B663">
        <v>1890</v>
      </c>
      <c r="C663">
        <v>0</v>
      </c>
      <c r="D663" t="s">
        <v>35</v>
      </c>
      <c r="E663" t="s">
        <v>672</v>
      </c>
      <c r="F663">
        <v>26</v>
      </c>
      <c r="G663" s="10">
        <v>11</v>
      </c>
      <c r="H663">
        <v>5</v>
      </c>
      <c r="I663">
        <v>5</v>
      </c>
      <c r="J663" s="2" t="s">
        <v>33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>
        <v>0</v>
      </c>
      <c r="O663">
        <v>70</v>
      </c>
      <c r="P663" s="2">
        <v>0.3</v>
      </c>
      <c r="Q663" s="6">
        <v>25</v>
      </c>
      <c r="R663" s="10">
        <v>0</v>
      </c>
      <c r="S663" s="10">
        <v>0</v>
      </c>
      <c r="T663" s="10"/>
      <c r="U663" t="str">
        <f>"RUNNING_COST_"&amp;IF(PROPERTIES[[#This Row],[ENGINE_CLASS]]="MAGLEV","ELECTRIC",PROPERTIES[[#This Row],[ENGINE_CLASS]])</f>
        <v>RUNNING_COST_DIESEL</v>
      </c>
      <c r="V663" s="10" t="s">
        <v>1016</v>
      </c>
      <c r="W663" s="10" t="s">
        <v>1017</v>
      </c>
      <c r="X663" s="10" t="str">
        <f>SUBSTITUTE(SUBSTITUTE(PROPERTIES[[#This Row],[PURCHASECOST_VALUE]], "PURCHASECOST_", ""), "_VALUE", "")</f>
        <v>WAGON</v>
      </c>
      <c r="AP663"/>
      <c r="AQ663"/>
      <c r="AR663"/>
    </row>
    <row r="664" spans="1:44">
      <c r="A664" s="2" t="s">
        <v>840</v>
      </c>
      <c r="B664">
        <v>1900</v>
      </c>
      <c r="C664">
        <v>0</v>
      </c>
      <c r="D664" t="s">
        <v>35</v>
      </c>
      <c r="E664" t="s">
        <v>607</v>
      </c>
      <c r="F664">
        <v>25</v>
      </c>
      <c r="G664" s="10">
        <v>14</v>
      </c>
      <c r="H664">
        <v>5</v>
      </c>
      <c r="I664">
        <v>5</v>
      </c>
      <c r="J664" s="2" t="s">
        <v>33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>
        <v>0</v>
      </c>
      <c r="O664">
        <v>70</v>
      </c>
      <c r="P664" s="2">
        <v>0.3</v>
      </c>
      <c r="Q664" s="6">
        <v>25</v>
      </c>
      <c r="R664" s="10">
        <v>0</v>
      </c>
      <c r="S664" s="10">
        <v>0</v>
      </c>
      <c r="T664" s="10"/>
      <c r="U664" t="str">
        <f>"RUNNING_COST_"&amp;IF(PROPERTIES[[#This Row],[ENGINE_CLASS]]="MAGLEV","ELECTRIC",PROPERTIES[[#This Row],[ENGINE_CLASS]])</f>
        <v>RUNNING_COST_DIESEL</v>
      </c>
      <c r="V664" s="10" t="s">
        <v>1016</v>
      </c>
      <c r="W664" s="10" t="s">
        <v>1017</v>
      </c>
      <c r="X664" s="10" t="str">
        <f>SUBSTITUTE(SUBSTITUTE(PROPERTIES[[#This Row],[PURCHASECOST_VALUE]], "PURCHASECOST_", ""), "_VALUE", "")</f>
        <v>WAGON</v>
      </c>
      <c r="AP664"/>
      <c r="AQ664"/>
      <c r="AR664"/>
    </row>
    <row r="665" spans="1:44">
      <c r="A665" s="2" t="s">
        <v>841</v>
      </c>
      <c r="B665">
        <v>1890</v>
      </c>
      <c r="C665">
        <v>0</v>
      </c>
      <c r="D665" t="s">
        <v>35</v>
      </c>
      <c r="E665" t="s">
        <v>606</v>
      </c>
      <c r="F665">
        <v>30</v>
      </c>
      <c r="G665" s="10">
        <v>12</v>
      </c>
      <c r="H665">
        <v>5</v>
      </c>
      <c r="I665">
        <v>5</v>
      </c>
      <c r="J665" s="2" t="s">
        <v>33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>
        <v>0</v>
      </c>
      <c r="O665">
        <v>70</v>
      </c>
      <c r="P665" s="2">
        <v>0.3</v>
      </c>
      <c r="Q665" s="6">
        <v>25</v>
      </c>
      <c r="R665" s="10">
        <v>0</v>
      </c>
      <c r="S665" s="10">
        <v>0</v>
      </c>
      <c r="T665" s="10"/>
      <c r="U665" t="str">
        <f>"RUNNING_COST_"&amp;IF(PROPERTIES[[#This Row],[ENGINE_CLASS]]="MAGLEV","ELECTRIC",PROPERTIES[[#This Row],[ENGINE_CLASS]])</f>
        <v>RUNNING_COST_DIESEL</v>
      </c>
      <c r="V665" s="10" t="s">
        <v>1016</v>
      </c>
      <c r="W665" s="10" t="s">
        <v>1017</v>
      </c>
      <c r="X665" s="10" t="str">
        <f>SUBSTITUTE(SUBSTITUTE(PROPERTIES[[#This Row],[PURCHASECOST_VALUE]], "PURCHASECOST_", ""), "_VALUE", "")</f>
        <v>WAGON</v>
      </c>
      <c r="AP665"/>
      <c r="AQ665"/>
      <c r="AR665"/>
    </row>
    <row r="666" spans="1:44">
      <c r="A666" s="2" t="s">
        <v>842</v>
      </c>
      <c r="B666">
        <v>1930</v>
      </c>
      <c r="C666">
        <v>0</v>
      </c>
      <c r="D666" t="s">
        <v>35</v>
      </c>
      <c r="E666" t="s">
        <v>603</v>
      </c>
      <c r="F666">
        <v>40</v>
      </c>
      <c r="G666" s="10">
        <v>21</v>
      </c>
      <c r="H666">
        <v>6</v>
      </c>
      <c r="I666">
        <v>6</v>
      </c>
      <c r="J666" s="2" t="s">
        <v>33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>
        <v>0</v>
      </c>
      <c r="O666">
        <v>80</v>
      </c>
      <c r="P666" s="2">
        <v>0.3</v>
      </c>
      <c r="Q666" s="6">
        <v>25</v>
      </c>
      <c r="R666" s="10">
        <v>0</v>
      </c>
      <c r="S666" s="10">
        <v>0</v>
      </c>
      <c r="T666" s="10"/>
      <c r="U666" t="str">
        <f>"RUNNING_COST_"&amp;IF(PROPERTIES[[#This Row],[ENGINE_CLASS]]="MAGLEV","ELECTRIC",PROPERTIES[[#This Row],[ENGINE_CLASS]])</f>
        <v>RUNNING_COST_DIESEL</v>
      </c>
      <c r="V666" s="10" t="s">
        <v>1016</v>
      </c>
      <c r="W666" s="10" t="s">
        <v>1017</v>
      </c>
      <c r="X666" s="10" t="str">
        <f>SUBSTITUTE(SUBSTITUTE(PROPERTIES[[#This Row],[PURCHASECOST_VALUE]], "PURCHASECOST_", ""), "_VALUE", "")</f>
        <v>WAGON</v>
      </c>
      <c r="AP666"/>
      <c r="AQ666"/>
      <c r="AR666"/>
    </row>
    <row r="667" spans="1:44">
      <c r="A667" s="2" t="s">
        <v>843</v>
      </c>
      <c r="B667">
        <v>1920</v>
      </c>
      <c r="C667">
        <v>0</v>
      </c>
      <c r="D667" t="s">
        <v>35</v>
      </c>
      <c r="E667" t="s">
        <v>599</v>
      </c>
      <c r="F667">
        <v>40</v>
      </c>
      <c r="G667" s="10">
        <v>23</v>
      </c>
      <c r="H667">
        <v>6</v>
      </c>
      <c r="I667">
        <v>6</v>
      </c>
      <c r="J667" s="2" t="s">
        <v>33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>
        <v>0</v>
      </c>
      <c r="O667">
        <v>100</v>
      </c>
      <c r="P667" s="2">
        <v>0.3</v>
      </c>
      <c r="Q667" s="6">
        <v>25</v>
      </c>
      <c r="R667" s="10">
        <v>0</v>
      </c>
      <c r="S667" s="10">
        <v>0</v>
      </c>
      <c r="T667" s="10"/>
      <c r="U667" t="str">
        <f>"RUNNING_COST_"&amp;IF(PROPERTIES[[#This Row],[ENGINE_CLASS]]="MAGLEV","ELECTRIC",PROPERTIES[[#This Row],[ENGINE_CLASS]])</f>
        <v>RUNNING_COST_DIESEL</v>
      </c>
      <c r="V667" s="10" t="s">
        <v>1016</v>
      </c>
      <c r="W667" s="10" t="s">
        <v>1017</v>
      </c>
      <c r="X667" s="10" t="str">
        <f>SUBSTITUTE(SUBSTITUTE(PROPERTIES[[#This Row],[PURCHASECOST_VALUE]], "PURCHASECOST_", ""), "_VALUE", "")</f>
        <v>WAGON</v>
      </c>
      <c r="AP667"/>
      <c r="AQ667"/>
      <c r="AR667"/>
    </row>
    <row r="668" spans="1:44">
      <c r="A668" s="2" t="s">
        <v>844</v>
      </c>
      <c r="B668">
        <v>1920</v>
      </c>
      <c r="C668">
        <v>0</v>
      </c>
      <c r="D668" t="s">
        <v>35</v>
      </c>
      <c r="E668" t="s">
        <v>599</v>
      </c>
      <c r="F668">
        <v>40</v>
      </c>
      <c r="G668" s="10">
        <v>23</v>
      </c>
      <c r="H668">
        <v>6</v>
      </c>
      <c r="I668">
        <v>6</v>
      </c>
      <c r="J668" s="2" t="s">
        <v>33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>
        <v>0</v>
      </c>
      <c r="O668">
        <v>100</v>
      </c>
      <c r="P668" s="2">
        <v>0.3</v>
      </c>
      <c r="Q668" s="6">
        <v>25</v>
      </c>
      <c r="R668" s="10">
        <v>0</v>
      </c>
      <c r="S668" s="10">
        <v>0</v>
      </c>
      <c r="T668" s="10"/>
      <c r="U668" t="str">
        <f>"RUNNING_COST_"&amp;IF(PROPERTIES[[#This Row],[ENGINE_CLASS]]="MAGLEV","ELECTRIC",PROPERTIES[[#This Row],[ENGINE_CLASS]])</f>
        <v>RUNNING_COST_DIESEL</v>
      </c>
      <c r="V668" s="10" t="s">
        <v>1016</v>
      </c>
      <c r="W668" s="10" t="s">
        <v>1017</v>
      </c>
      <c r="X668" s="10" t="str">
        <f>SUBSTITUTE(SUBSTITUTE(PROPERTIES[[#This Row],[PURCHASECOST_VALUE]], "PURCHASECOST_", ""), "_VALUE", "")</f>
        <v>WAGON</v>
      </c>
      <c r="AP668"/>
      <c r="AQ668"/>
      <c r="AR668"/>
    </row>
    <row r="669" spans="1:44">
      <c r="A669" s="2" t="s">
        <v>845</v>
      </c>
      <c r="B669">
        <v>1930</v>
      </c>
      <c r="C669">
        <v>0</v>
      </c>
      <c r="D669" t="s">
        <v>35</v>
      </c>
      <c r="E669" t="s">
        <v>609</v>
      </c>
      <c r="F669">
        <v>35</v>
      </c>
      <c r="G669" s="10">
        <v>20</v>
      </c>
      <c r="H669">
        <v>6</v>
      </c>
      <c r="I669">
        <v>6</v>
      </c>
      <c r="J669" s="2" t="s">
        <v>33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>
        <v>0</v>
      </c>
      <c r="O669">
        <v>80</v>
      </c>
      <c r="P669" s="2">
        <v>0.3</v>
      </c>
      <c r="Q669" s="6">
        <v>25</v>
      </c>
      <c r="R669" s="10">
        <v>0</v>
      </c>
      <c r="S669" s="10">
        <v>0</v>
      </c>
      <c r="T669" s="10"/>
      <c r="U669" t="str">
        <f>"RUNNING_COST_"&amp;IF(PROPERTIES[[#This Row],[ENGINE_CLASS]]="MAGLEV","ELECTRIC",PROPERTIES[[#This Row],[ENGINE_CLASS]])</f>
        <v>RUNNING_COST_DIESEL</v>
      </c>
      <c r="V669" s="10" t="s">
        <v>1016</v>
      </c>
      <c r="W669" s="10" t="s">
        <v>1017</v>
      </c>
      <c r="X669" s="10" t="str">
        <f>SUBSTITUTE(SUBSTITUTE(PROPERTIES[[#This Row],[PURCHASECOST_VALUE]], "PURCHASECOST_", ""), "_VALUE", "")</f>
        <v>WAGON</v>
      </c>
      <c r="AP669"/>
      <c r="AQ669"/>
      <c r="AR669"/>
    </row>
    <row r="670" spans="1:44">
      <c r="A670" s="2" t="s">
        <v>846</v>
      </c>
      <c r="B670">
        <v>1920</v>
      </c>
      <c r="C670">
        <v>0</v>
      </c>
      <c r="D670" t="s">
        <v>35</v>
      </c>
      <c r="E670" t="s">
        <v>672</v>
      </c>
      <c r="F670">
        <v>35</v>
      </c>
      <c r="G670" s="10">
        <v>22</v>
      </c>
      <c r="H670">
        <v>6</v>
      </c>
      <c r="I670">
        <v>6</v>
      </c>
      <c r="J670" s="2" t="s">
        <v>33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>
        <v>0</v>
      </c>
      <c r="O670">
        <v>80</v>
      </c>
      <c r="P670" s="2">
        <v>0.3</v>
      </c>
      <c r="Q670" s="6">
        <v>25</v>
      </c>
      <c r="R670" s="10">
        <v>0</v>
      </c>
      <c r="S670" s="10">
        <v>0</v>
      </c>
      <c r="T670" s="10"/>
      <c r="U670" t="str">
        <f>"RUNNING_COST_"&amp;IF(PROPERTIES[[#This Row],[ENGINE_CLASS]]="MAGLEV","ELECTRIC",PROPERTIES[[#This Row],[ENGINE_CLASS]])</f>
        <v>RUNNING_COST_DIESEL</v>
      </c>
      <c r="V670" s="10" t="s">
        <v>1016</v>
      </c>
      <c r="W670" s="10" t="s">
        <v>1017</v>
      </c>
      <c r="X670" s="10" t="str">
        <f>SUBSTITUTE(SUBSTITUTE(PROPERTIES[[#This Row],[PURCHASECOST_VALUE]], "PURCHASECOST_", ""), "_VALUE", "")</f>
        <v>WAGON</v>
      </c>
      <c r="AP670"/>
      <c r="AQ670"/>
      <c r="AR670"/>
    </row>
    <row r="671" spans="1:44">
      <c r="A671" s="2" t="s">
        <v>847</v>
      </c>
      <c r="B671">
        <v>1930</v>
      </c>
      <c r="C671">
        <v>0</v>
      </c>
      <c r="D671" t="s">
        <v>35</v>
      </c>
      <c r="E671" t="s">
        <v>607</v>
      </c>
      <c r="F671">
        <v>40</v>
      </c>
      <c r="G671" s="10">
        <v>23</v>
      </c>
      <c r="H671">
        <v>6</v>
      </c>
      <c r="I671">
        <v>6</v>
      </c>
      <c r="J671" s="2" t="s">
        <v>33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>
        <v>0</v>
      </c>
      <c r="O671">
        <v>80</v>
      </c>
      <c r="P671" s="2">
        <v>0.3</v>
      </c>
      <c r="Q671" s="6">
        <v>25</v>
      </c>
      <c r="R671" s="10">
        <v>0</v>
      </c>
      <c r="S671" s="10">
        <v>0</v>
      </c>
      <c r="T671" s="10"/>
      <c r="U671" t="str">
        <f>"RUNNING_COST_"&amp;IF(PROPERTIES[[#This Row],[ENGINE_CLASS]]="MAGLEV","ELECTRIC",PROPERTIES[[#This Row],[ENGINE_CLASS]])</f>
        <v>RUNNING_COST_DIESEL</v>
      </c>
      <c r="V671" s="10" t="s">
        <v>1016</v>
      </c>
      <c r="W671" s="10" t="s">
        <v>1017</v>
      </c>
      <c r="X671" s="10" t="str">
        <f>SUBSTITUTE(SUBSTITUTE(PROPERTIES[[#This Row],[PURCHASECOST_VALUE]], "PURCHASECOST_", ""), "_VALUE", "")</f>
        <v>WAGON</v>
      </c>
      <c r="AP671"/>
      <c r="AQ671"/>
      <c r="AR671"/>
    </row>
    <row r="672" spans="1:44">
      <c r="A672" s="2" t="s">
        <v>848</v>
      </c>
      <c r="B672">
        <v>1930</v>
      </c>
      <c r="C672">
        <v>0</v>
      </c>
      <c r="D672" t="s">
        <v>35</v>
      </c>
      <c r="E672" t="s">
        <v>607</v>
      </c>
      <c r="F672">
        <v>40</v>
      </c>
      <c r="G672" s="10">
        <v>23</v>
      </c>
      <c r="H672">
        <v>6</v>
      </c>
      <c r="I672">
        <v>6</v>
      </c>
      <c r="J672" s="2" t="s">
        <v>33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>
        <v>0</v>
      </c>
      <c r="O672">
        <v>80</v>
      </c>
      <c r="P672" s="2">
        <v>0.3</v>
      </c>
      <c r="Q672" s="6">
        <v>25</v>
      </c>
      <c r="R672" s="10">
        <v>0</v>
      </c>
      <c r="S672" s="10">
        <v>0</v>
      </c>
      <c r="T672" s="10"/>
      <c r="U672" t="str">
        <f>"RUNNING_COST_"&amp;IF(PROPERTIES[[#This Row],[ENGINE_CLASS]]="MAGLEV","ELECTRIC",PROPERTIES[[#This Row],[ENGINE_CLASS]])</f>
        <v>RUNNING_COST_DIESEL</v>
      </c>
      <c r="V672" s="10" t="s">
        <v>1016</v>
      </c>
      <c r="W672" s="10" t="s">
        <v>1017</v>
      </c>
      <c r="X672" s="10" t="str">
        <f>SUBSTITUTE(SUBSTITUTE(PROPERTIES[[#This Row],[PURCHASECOST_VALUE]], "PURCHASECOST_", ""), "_VALUE", "")</f>
        <v>WAGON</v>
      </c>
      <c r="AP672"/>
      <c r="AQ672"/>
      <c r="AR672"/>
    </row>
    <row r="673" spans="1:44">
      <c r="A673" s="2" t="s">
        <v>849</v>
      </c>
      <c r="B673">
        <v>1920</v>
      </c>
      <c r="C673">
        <v>0</v>
      </c>
      <c r="D673" t="s">
        <v>35</v>
      </c>
      <c r="E673" t="s">
        <v>606</v>
      </c>
      <c r="F673">
        <v>40</v>
      </c>
      <c r="G673" s="10">
        <v>26</v>
      </c>
      <c r="H673">
        <v>6</v>
      </c>
      <c r="I673">
        <v>6</v>
      </c>
      <c r="J673" s="2" t="s">
        <v>33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>
        <v>0</v>
      </c>
      <c r="O673">
        <v>80</v>
      </c>
      <c r="P673" s="2">
        <v>0.3</v>
      </c>
      <c r="Q673" s="6">
        <v>25</v>
      </c>
      <c r="R673" s="10">
        <v>0</v>
      </c>
      <c r="S673" s="10">
        <v>0</v>
      </c>
      <c r="T673" s="10"/>
      <c r="U673" t="str">
        <f>"RUNNING_COST_"&amp;IF(PROPERTIES[[#This Row],[ENGINE_CLASS]]="MAGLEV","ELECTRIC",PROPERTIES[[#This Row],[ENGINE_CLASS]])</f>
        <v>RUNNING_COST_DIESEL</v>
      </c>
      <c r="V673" s="10" t="s">
        <v>1016</v>
      </c>
      <c r="W673" s="10" t="s">
        <v>1017</v>
      </c>
      <c r="X673" s="10" t="str">
        <f>SUBSTITUTE(SUBSTITUTE(PROPERTIES[[#This Row],[PURCHASECOST_VALUE]], "PURCHASECOST_", ""), "_VALUE", "")</f>
        <v>WAGON</v>
      </c>
      <c r="AP673"/>
      <c r="AQ673"/>
      <c r="AR673"/>
    </row>
    <row r="674" spans="1:44">
      <c r="A674" s="2" t="s">
        <v>850</v>
      </c>
      <c r="B674">
        <v>1960</v>
      </c>
      <c r="C674">
        <v>0</v>
      </c>
      <c r="D674" t="s">
        <v>35</v>
      </c>
      <c r="E674" t="s">
        <v>603</v>
      </c>
      <c r="F674">
        <v>50</v>
      </c>
      <c r="G674" s="10">
        <v>25</v>
      </c>
      <c r="H674">
        <v>7</v>
      </c>
      <c r="I674">
        <v>7</v>
      </c>
      <c r="J674" s="2" t="s">
        <v>33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>
        <v>0</v>
      </c>
      <c r="O674">
        <v>100</v>
      </c>
      <c r="P674" s="2">
        <v>0.3</v>
      </c>
      <c r="Q674" s="6">
        <v>25</v>
      </c>
      <c r="R674" s="10">
        <v>0</v>
      </c>
      <c r="S674" s="10">
        <v>0</v>
      </c>
      <c r="T674" s="10"/>
      <c r="U674" t="str">
        <f>"RUNNING_COST_"&amp;IF(PROPERTIES[[#This Row],[ENGINE_CLASS]]="MAGLEV","ELECTRIC",PROPERTIES[[#This Row],[ENGINE_CLASS]])</f>
        <v>RUNNING_COST_DIESEL</v>
      </c>
      <c r="V674" s="10" t="s">
        <v>1016</v>
      </c>
      <c r="W674" s="10" t="s">
        <v>1017</v>
      </c>
      <c r="X674" s="10" t="str">
        <f>SUBSTITUTE(SUBSTITUTE(PROPERTIES[[#This Row],[PURCHASECOST_VALUE]], "PURCHASECOST_", ""), "_VALUE", "")</f>
        <v>WAGON</v>
      </c>
      <c r="AP674"/>
      <c r="AQ674"/>
      <c r="AR674"/>
    </row>
    <row r="675" spans="1:44">
      <c r="A675" s="2" t="s">
        <v>851</v>
      </c>
      <c r="B675">
        <v>1960</v>
      </c>
      <c r="C675">
        <v>0</v>
      </c>
      <c r="D675" t="s">
        <v>35</v>
      </c>
      <c r="E675" t="s">
        <v>605</v>
      </c>
      <c r="F675">
        <v>70</v>
      </c>
      <c r="G675" s="10">
        <v>30</v>
      </c>
      <c r="H675">
        <v>7</v>
      </c>
      <c r="I675">
        <v>7</v>
      </c>
      <c r="J675" s="2" t="s">
        <v>33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>
        <v>0</v>
      </c>
      <c r="O675">
        <v>100</v>
      </c>
      <c r="P675" s="2">
        <v>0.3</v>
      </c>
      <c r="Q675" s="6">
        <v>25</v>
      </c>
      <c r="R675" s="10">
        <v>0</v>
      </c>
      <c r="S675" s="10">
        <v>0</v>
      </c>
      <c r="T675" s="10"/>
      <c r="U675" t="str">
        <f>"RUNNING_COST_"&amp;IF(PROPERTIES[[#This Row],[ENGINE_CLASS]]="MAGLEV","ELECTRIC",PROPERTIES[[#This Row],[ENGINE_CLASS]])</f>
        <v>RUNNING_COST_DIESEL</v>
      </c>
      <c r="V675" s="10" t="s">
        <v>1016</v>
      </c>
      <c r="W675" s="10" t="s">
        <v>1017</v>
      </c>
      <c r="X675" s="10" t="str">
        <f>SUBSTITUTE(SUBSTITUTE(PROPERTIES[[#This Row],[PURCHASECOST_VALUE]], "PURCHASECOST_", ""), "_VALUE", "")</f>
        <v>WAGON</v>
      </c>
      <c r="AP675"/>
      <c r="AQ675"/>
      <c r="AR675"/>
    </row>
    <row r="676" spans="1:44">
      <c r="A676" s="2" t="s">
        <v>852</v>
      </c>
      <c r="B676">
        <v>1950</v>
      </c>
      <c r="C676">
        <v>0</v>
      </c>
      <c r="D676" t="s">
        <v>35</v>
      </c>
      <c r="E676" t="s">
        <v>599</v>
      </c>
      <c r="F676">
        <v>42</v>
      </c>
      <c r="G676" s="10">
        <v>30</v>
      </c>
      <c r="H676">
        <v>7</v>
      </c>
      <c r="I676">
        <v>7</v>
      </c>
      <c r="J676" s="2" t="s">
        <v>33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>
        <v>0</v>
      </c>
      <c r="O676">
        <v>120</v>
      </c>
      <c r="P676" s="2">
        <v>0.3</v>
      </c>
      <c r="Q676" s="6">
        <v>25</v>
      </c>
      <c r="R676" s="10">
        <v>0</v>
      </c>
      <c r="S676" s="10">
        <v>0</v>
      </c>
      <c r="T676" s="10"/>
      <c r="U676" t="str">
        <f>"RUNNING_COST_"&amp;IF(PROPERTIES[[#This Row],[ENGINE_CLASS]]="MAGLEV","ELECTRIC",PROPERTIES[[#This Row],[ENGINE_CLASS]])</f>
        <v>RUNNING_COST_DIESEL</v>
      </c>
      <c r="V676" s="10" t="s">
        <v>1016</v>
      </c>
      <c r="W676" s="10" t="s">
        <v>1017</v>
      </c>
      <c r="X676" s="10" t="str">
        <f>SUBSTITUTE(SUBSTITUTE(PROPERTIES[[#This Row],[PURCHASECOST_VALUE]], "PURCHASECOST_", ""), "_VALUE", "")</f>
        <v>WAGON</v>
      </c>
      <c r="AP676"/>
      <c r="AQ676"/>
      <c r="AR676"/>
    </row>
    <row r="677" spans="1:44">
      <c r="A677" s="2" t="s">
        <v>853</v>
      </c>
      <c r="B677">
        <v>1950</v>
      </c>
      <c r="C677">
        <v>0</v>
      </c>
      <c r="D677" t="s">
        <v>35</v>
      </c>
      <c r="E677" t="s">
        <v>599</v>
      </c>
      <c r="F677">
        <v>42</v>
      </c>
      <c r="G677" s="10">
        <v>30</v>
      </c>
      <c r="H677">
        <v>7</v>
      </c>
      <c r="I677">
        <v>7</v>
      </c>
      <c r="J677" s="2" t="s">
        <v>33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>
        <v>0</v>
      </c>
      <c r="O677">
        <v>120</v>
      </c>
      <c r="P677" s="2">
        <v>0.3</v>
      </c>
      <c r="Q677" s="6">
        <v>25</v>
      </c>
      <c r="R677" s="10">
        <v>0</v>
      </c>
      <c r="S677" s="10">
        <v>0</v>
      </c>
      <c r="T677" s="10"/>
      <c r="U677" t="str">
        <f>"RUNNING_COST_"&amp;IF(PROPERTIES[[#This Row],[ENGINE_CLASS]]="MAGLEV","ELECTRIC",PROPERTIES[[#This Row],[ENGINE_CLASS]])</f>
        <v>RUNNING_COST_DIESEL</v>
      </c>
      <c r="V677" s="10" t="s">
        <v>1016</v>
      </c>
      <c r="W677" s="10" t="s">
        <v>1017</v>
      </c>
      <c r="X677" s="10" t="str">
        <f>SUBSTITUTE(SUBSTITUTE(PROPERTIES[[#This Row],[PURCHASECOST_VALUE]], "PURCHASECOST_", ""), "_VALUE", "")</f>
        <v>WAGON</v>
      </c>
      <c r="AP677"/>
      <c r="AQ677"/>
      <c r="AR677"/>
    </row>
    <row r="678" spans="1:44">
      <c r="A678" s="2" t="s">
        <v>854</v>
      </c>
      <c r="B678">
        <v>1950</v>
      </c>
      <c r="C678">
        <v>0</v>
      </c>
      <c r="D678" t="s">
        <v>35</v>
      </c>
      <c r="E678" t="s">
        <v>609</v>
      </c>
      <c r="F678">
        <v>80</v>
      </c>
      <c r="G678" s="10">
        <v>22</v>
      </c>
      <c r="H678">
        <v>7</v>
      </c>
      <c r="I678">
        <v>7</v>
      </c>
      <c r="J678" s="2" t="s">
        <v>33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>
        <v>0</v>
      </c>
      <c r="O678">
        <v>100</v>
      </c>
      <c r="P678" s="2">
        <v>0.3</v>
      </c>
      <c r="Q678" s="6">
        <v>25</v>
      </c>
      <c r="R678" s="10">
        <v>0</v>
      </c>
      <c r="S678" s="10">
        <v>0</v>
      </c>
      <c r="T678" s="10"/>
      <c r="U678" t="str">
        <f>"RUNNING_COST_"&amp;IF(PROPERTIES[[#This Row],[ENGINE_CLASS]]="MAGLEV","ELECTRIC",PROPERTIES[[#This Row],[ENGINE_CLASS]])</f>
        <v>RUNNING_COST_DIESEL</v>
      </c>
      <c r="V678" s="10" t="s">
        <v>1016</v>
      </c>
      <c r="W678" s="10" t="s">
        <v>1017</v>
      </c>
      <c r="X678" s="10" t="str">
        <f>SUBSTITUTE(SUBSTITUTE(PROPERTIES[[#This Row],[PURCHASECOST_VALUE]], "PURCHASECOST_", ""), "_VALUE", "")</f>
        <v>WAGON</v>
      </c>
      <c r="AP678"/>
      <c r="AQ678"/>
      <c r="AR678"/>
    </row>
    <row r="679" spans="1:44">
      <c r="A679" s="2" t="s">
        <v>855</v>
      </c>
      <c r="B679">
        <v>1950</v>
      </c>
      <c r="C679">
        <v>0</v>
      </c>
      <c r="D679" t="s">
        <v>35</v>
      </c>
      <c r="E679" t="s">
        <v>604</v>
      </c>
      <c r="F679">
        <v>55</v>
      </c>
      <c r="G679" s="10">
        <v>22</v>
      </c>
      <c r="H679">
        <v>7</v>
      </c>
      <c r="I679">
        <v>7</v>
      </c>
      <c r="J679" s="2" t="s">
        <v>33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>
        <v>0</v>
      </c>
      <c r="O679">
        <v>100</v>
      </c>
      <c r="P679" s="2">
        <v>0.3</v>
      </c>
      <c r="Q679" s="6">
        <v>25</v>
      </c>
      <c r="R679" s="10">
        <v>0</v>
      </c>
      <c r="S679" s="10">
        <v>0</v>
      </c>
      <c r="T679" s="10"/>
      <c r="U679" t="str">
        <f>"RUNNING_COST_"&amp;IF(PROPERTIES[[#This Row],[ENGINE_CLASS]]="MAGLEV","ELECTRIC",PROPERTIES[[#This Row],[ENGINE_CLASS]])</f>
        <v>RUNNING_COST_DIESEL</v>
      </c>
      <c r="V679" s="10" t="s">
        <v>1016</v>
      </c>
      <c r="W679" s="10" t="s">
        <v>1017</v>
      </c>
      <c r="X679" s="10" t="str">
        <f>SUBSTITUTE(SUBSTITUTE(PROPERTIES[[#This Row],[PURCHASECOST_VALUE]], "PURCHASECOST_", ""), "_VALUE", "")</f>
        <v>WAGON</v>
      </c>
      <c r="AP679"/>
      <c r="AQ679"/>
      <c r="AR679"/>
    </row>
    <row r="680" spans="1:44">
      <c r="A680" s="2" t="s">
        <v>856</v>
      </c>
      <c r="B680">
        <v>1950</v>
      </c>
      <c r="C680">
        <v>0</v>
      </c>
      <c r="D680" t="s">
        <v>35</v>
      </c>
      <c r="E680" t="s">
        <v>607</v>
      </c>
      <c r="F680">
        <v>55</v>
      </c>
      <c r="G680" s="10">
        <v>25</v>
      </c>
      <c r="H680">
        <v>7</v>
      </c>
      <c r="I680">
        <v>7</v>
      </c>
      <c r="J680" s="2" t="s">
        <v>33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>
        <v>0</v>
      </c>
      <c r="O680">
        <v>100</v>
      </c>
      <c r="P680" s="2">
        <v>0.3</v>
      </c>
      <c r="Q680" s="6">
        <v>25</v>
      </c>
      <c r="R680" s="10">
        <v>0</v>
      </c>
      <c r="S680" s="10">
        <v>0</v>
      </c>
      <c r="T680" s="10"/>
      <c r="U680" t="str">
        <f>"RUNNING_COST_"&amp;IF(PROPERTIES[[#This Row],[ENGINE_CLASS]]="MAGLEV","ELECTRIC",PROPERTIES[[#This Row],[ENGINE_CLASS]])</f>
        <v>RUNNING_COST_DIESEL</v>
      </c>
      <c r="V680" s="10" t="s">
        <v>1016</v>
      </c>
      <c r="W680" s="10" t="s">
        <v>1017</v>
      </c>
      <c r="X680" s="10" t="str">
        <f>SUBSTITUTE(SUBSTITUTE(PROPERTIES[[#This Row],[PURCHASECOST_VALUE]], "PURCHASECOST_", ""), "_VALUE", "")</f>
        <v>WAGON</v>
      </c>
      <c r="AP680"/>
      <c r="AQ680"/>
      <c r="AR680"/>
    </row>
    <row r="681" spans="1:44">
      <c r="A681" s="2" t="s">
        <v>857</v>
      </c>
      <c r="B681">
        <v>1950</v>
      </c>
      <c r="C681">
        <v>0</v>
      </c>
      <c r="D681" t="s">
        <v>35</v>
      </c>
      <c r="E681" t="s">
        <v>607</v>
      </c>
      <c r="F681">
        <v>55</v>
      </c>
      <c r="G681" s="10">
        <v>25</v>
      </c>
      <c r="H681">
        <v>7</v>
      </c>
      <c r="I681">
        <v>7</v>
      </c>
      <c r="J681" s="2" t="s">
        <v>33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>
        <v>0</v>
      </c>
      <c r="O681">
        <v>100</v>
      </c>
      <c r="P681" s="2">
        <v>0.3</v>
      </c>
      <c r="Q681" s="6">
        <v>25</v>
      </c>
      <c r="R681" s="10">
        <v>0</v>
      </c>
      <c r="S681" s="10">
        <v>0</v>
      </c>
      <c r="T681" s="10"/>
      <c r="U681" t="str">
        <f>"RUNNING_COST_"&amp;IF(PROPERTIES[[#This Row],[ENGINE_CLASS]]="MAGLEV","ELECTRIC",PROPERTIES[[#This Row],[ENGINE_CLASS]])</f>
        <v>RUNNING_COST_DIESEL</v>
      </c>
      <c r="V681" s="10" t="s">
        <v>1016</v>
      </c>
      <c r="W681" s="10" t="s">
        <v>1017</v>
      </c>
      <c r="X681" s="10" t="str">
        <f>SUBSTITUTE(SUBSTITUTE(PROPERTIES[[#This Row],[PURCHASECOST_VALUE]], "PURCHASECOST_", ""), "_VALUE", "")</f>
        <v>WAGON</v>
      </c>
      <c r="AP681"/>
      <c r="AQ681"/>
      <c r="AR681"/>
    </row>
    <row r="682" spans="1:44">
      <c r="A682" s="2" t="s">
        <v>858</v>
      </c>
      <c r="B682">
        <v>1960</v>
      </c>
      <c r="C682">
        <v>0</v>
      </c>
      <c r="D682" t="s">
        <v>35</v>
      </c>
      <c r="E682" t="s">
        <v>606</v>
      </c>
      <c r="F682">
        <v>55</v>
      </c>
      <c r="G682" s="10">
        <v>25</v>
      </c>
      <c r="H682">
        <v>7</v>
      </c>
      <c r="I682">
        <v>7</v>
      </c>
      <c r="J682" s="2" t="s">
        <v>33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>
        <v>0</v>
      </c>
      <c r="O682">
        <v>100</v>
      </c>
      <c r="P682" s="2">
        <v>0.3</v>
      </c>
      <c r="Q682" s="6">
        <v>25</v>
      </c>
      <c r="R682" s="10">
        <v>0</v>
      </c>
      <c r="S682" s="10">
        <v>0</v>
      </c>
      <c r="T682" s="10"/>
      <c r="U682" t="str">
        <f>"RUNNING_COST_"&amp;IF(PROPERTIES[[#This Row],[ENGINE_CLASS]]="MAGLEV","ELECTRIC",PROPERTIES[[#This Row],[ENGINE_CLASS]])</f>
        <v>RUNNING_COST_DIESEL</v>
      </c>
      <c r="V682" s="10" t="s">
        <v>1016</v>
      </c>
      <c r="W682" s="10" t="s">
        <v>1017</v>
      </c>
      <c r="X682" s="10" t="str">
        <f>SUBSTITUTE(SUBSTITUTE(PROPERTIES[[#This Row],[PURCHASECOST_VALUE]], "PURCHASECOST_", ""), "_VALUE", "")</f>
        <v>WAGON</v>
      </c>
      <c r="AP682"/>
      <c r="AQ682"/>
      <c r="AR682"/>
    </row>
    <row r="683" spans="1:44">
      <c r="A683" s="2" t="s">
        <v>859</v>
      </c>
      <c r="B683">
        <v>1960</v>
      </c>
      <c r="C683">
        <v>0</v>
      </c>
      <c r="D683" t="s">
        <v>35</v>
      </c>
      <c r="E683" t="s">
        <v>606</v>
      </c>
      <c r="F683">
        <v>55</v>
      </c>
      <c r="G683" s="10">
        <v>25</v>
      </c>
      <c r="H683">
        <v>7</v>
      </c>
      <c r="I683">
        <v>7</v>
      </c>
      <c r="J683" s="2" t="s">
        <v>33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>
        <v>0</v>
      </c>
      <c r="O683">
        <v>100</v>
      </c>
      <c r="P683" s="2">
        <v>0.3</v>
      </c>
      <c r="Q683" s="6">
        <v>25</v>
      </c>
      <c r="R683" s="10">
        <v>0</v>
      </c>
      <c r="S683" s="10">
        <v>0</v>
      </c>
      <c r="T683" s="10"/>
      <c r="U683" t="str">
        <f>"RUNNING_COST_"&amp;IF(PROPERTIES[[#This Row],[ENGINE_CLASS]]="MAGLEV","ELECTRIC",PROPERTIES[[#This Row],[ENGINE_CLASS]])</f>
        <v>RUNNING_COST_DIESEL</v>
      </c>
      <c r="V683" s="10" t="s">
        <v>1016</v>
      </c>
      <c r="W683" s="10" t="s">
        <v>1017</v>
      </c>
      <c r="X683" s="10" t="str">
        <f>SUBSTITUTE(SUBSTITUTE(PROPERTIES[[#This Row],[PURCHASECOST_VALUE]], "PURCHASECOST_", ""), "_VALUE", "")</f>
        <v>WAGON</v>
      </c>
      <c r="AP683"/>
      <c r="AQ683"/>
      <c r="AR683"/>
    </row>
    <row r="684" spans="1:44">
      <c r="A684" s="2" t="s">
        <v>860</v>
      </c>
      <c r="B684">
        <v>1960</v>
      </c>
      <c r="C684">
        <v>0</v>
      </c>
      <c r="D684" t="s">
        <v>35</v>
      </c>
      <c r="E684" t="s">
        <v>600</v>
      </c>
      <c r="F684">
        <v>16</v>
      </c>
      <c r="G684" s="10">
        <v>26</v>
      </c>
      <c r="H684">
        <v>7</v>
      </c>
      <c r="I684">
        <v>7</v>
      </c>
      <c r="J684" s="2" t="s">
        <v>33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>
        <v>0</v>
      </c>
      <c r="O684">
        <v>100</v>
      </c>
      <c r="P684" s="2">
        <v>0.3</v>
      </c>
      <c r="Q684" s="6">
        <v>25</v>
      </c>
      <c r="R684" s="10">
        <v>0</v>
      </c>
      <c r="S684" s="10">
        <v>0</v>
      </c>
      <c r="T684" s="10"/>
      <c r="U684" t="str">
        <f>"RUNNING_COST_"&amp;IF(PROPERTIES[[#This Row],[ENGINE_CLASS]]="MAGLEV","ELECTRIC",PROPERTIES[[#This Row],[ENGINE_CLASS]])</f>
        <v>RUNNING_COST_DIESEL</v>
      </c>
      <c r="V684" s="10" t="s">
        <v>1016</v>
      </c>
      <c r="W684" s="10" t="s">
        <v>1017</v>
      </c>
      <c r="X684" s="10" t="str">
        <f>SUBSTITUTE(SUBSTITUTE(PROPERTIES[[#This Row],[PURCHASECOST_VALUE]], "PURCHASECOST_", ""), "_VALUE", "")</f>
        <v>WAGON</v>
      </c>
      <c r="AP684"/>
      <c r="AQ684"/>
      <c r="AR684"/>
    </row>
    <row r="685" spans="1:44">
      <c r="A685" s="2" t="s">
        <v>861</v>
      </c>
      <c r="B685">
        <v>1960</v>
      </c>
      <c r="C685">
        <v>0</v>
      </c>
      <c r="D685" t="s">
        <v>35</v>
      </c>
      <c r="E685" t="s">
        <v>532</v>
      </c>
      <c r="F685">
        <v>37</v>
      </c>
      <c r="G685" s="10">
        <v>19</v>
      </c>
      <c r="H685">
        <v>7</v>
      </c>
      <c r="I685">
        <v>7</v>
      </c>
      <c r="J685" s="2" t="s">
        <v>33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>
        <v>0</v>
      </c>
      <c r="O685">
        <v>120</v>
      </c>
      <c r="P685" s="2">
        <v>0.3</v>
      </c>
      <c r="Q685" s="6">
        <v>25</v>
      </c>
      <c r="R685" s="10">
        <v>0</v>
      </c>
      <c r="S685" s="10">
        <v>0</v>
      </c>
      <c r="T685" s="10"/>
      <c r="U685" t="str">
        <f>"RUNNING_COST_"&amp;IF(PROPERTIES[[#This Row],[ENGINE_CLASS]]="MAGLEV","ELECTRIC",PROPERTIES[[#This Row],[ENGINE_CLASS]])</f>
        <v>RUNNING_COST_DIESEL</v>
      </c>
      <c r="V685" s="10" t="s">
        <v>1016</v>
      </c>
      <c r="W685" s="10" t="s">
        <v>1017</v>
      </c>
      <c r="X685" s="10" t="str">
        <f>SUBSTITUTE(SUBSTITUTE(PROPERTIES[[#This Row],[PURCHASECOST_VALUE]], "PURCHASECOST_", ""), "_VALUE", "")</f>
        <v>WAGON</v>
      </c>
      <c r="AP685"/>
      <c r="AQ685"/>
      <c r="AR685"/>
    </row>
    <row r="686" spans="1:44">
      <c r="A686" s="2" t="s">
        <v>862</v>
      </c>
      <c r="B686">
        <v>1950</v>
      </c>
      <c r="C686">
        <v>0</v>
      </c>
      <c r="D686" t="s">
        <v>35</v>
      </c>
      <c r="E686" t="s">
        <v>601</v>
      </c>
      <c r="F686">
        <v>45</v>
      </c>
      <c r="G686" s="10">
        <v>42</v>
      </c>
      <c r="H686">
        <v>7</v>
      </c>
      <c r="I686">
        <v>7</v>
      </c>
      <c r="J686" s="2" t="s">
        <v>33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>
        <v>0</v>
      </c>
      <c r="O686">
        <v>100</v>
      </c>
      <c r="P686" s="2">
        <v>0.3</v>
      </c>
      <c r="Q686" s="6">
        <v>25</v>
      </c>
      <c r="R686" s="10">
        <v>0</v>
      </c>
      <c r="S686" s="10">
        <v>0</v>
      </c>
      <c r="T686" s="10"/>
      <c r="U686" t="str">
        <f>"RUNNING_COST_"&amp;IF(PROPERTIES[[#This Row],[ENGINE_CLASS]]="MAGLEV","ELECTRIC",PROPERTIES[[#This Row],[ENGINE_CLASS]])</f>
        <v>RUNNING_COST_DIESEL</v>
      </c>
      <c r="V686" s="10" t="s">
        <v>1016</v>
      </c>
      <c r="W686" s="10" t="s">
        <v>1017</v>
      </c>
      <c r="X686" s="10" t="str">
        <f>SUBSTITUTE(SUBSTITUTE(PROPERTIES[[#This Row],[PURCHASECOST_VALUE]], "PURCHASECOST_", ""), "_VALUE", "")</f>
        <v>WAGON</v>
      </c>
      <c r="AP686"/>
      <c r="AQ686"/>
      <c r="AR686"/>
    </row>
    <row r="687" spans="1:44">
      <c r="A687" s="2" t="s">
        <v>863</v>
      </c>
      <c r="B687">
        <v>1990</v>
      </c>
      <c r="C687">
        <v>0</v>
      </c>
      <c r="D687" t="s">
        <v>35</v>
      </c>
      <c r="E687" t="s">
        <v>603</v>
      </c>
      <c r="F687">
        <v>60</v>
      </c>
      <c r="G687" s="10">
        <v>23</v>
      </c>
      <c r="H687">
        <v>8</v>
      </c>
      <c r="I687">
        <v>8</v>
      </c>
      <c r="J687" s="2" t="s">
        <v>33</v>
      </c>
      <c r="K687">
        <f>_xlfn.XLOOKUP("LOADINGSPEEDDEF_"&amp;PROPERTIES[[#This Row],[LOADINGSPEED]],LOADINGSPEEDDEF[TYPE],LOADINGSPEEDDEF[SPEED])</f>
        <v>20</v>
      </c>
      <c r="L687" t="s">
        <v>21</v>
      </c>
      <c r="M687">
        <v>0</v>
      </c>
      <c r="N687">
        <v>0</v>
      </c>
      <c r="O687">
        <v>120</v>
      </c>
      <c r="P687" s="2">
        <v>0.3</v>
      </c>
      <c r="Q687" s="6">
        <v>25</v>
      </c>
      <c r="R687" s="10">
        <v>0</v>
      </c>
      <c r="S687" s="10">
        <v>0</v>
      </c>
      <c r="T687" s="10"/>
      <c r="U687" t="str">
        <f>"RUNNING_COST_"&amp;IF(PROPERTIES[[#This Row],[ENGINE_CLASS]]="MAGLEV","ELECTRIC",PROPERTIES[[#This Row],[ENGINE_CLASS]])</f>
        <v>RUNNING_COST_DIESEL</v>
      </c>
      <c r="V687" s="10" t="s">
        <v>1016</v>
      </c>
      <c r="W687" s="10" t="s">
        <v>1017</v>
      </c>
      <c r="X687" s="10" t="str">
        <f>SUBSTITUTE(SUBSTITUTE(PROPERTIES[[#This Row],[PURCHASECOST_VALUE]], "PURCHASECOST_", ""), "_VALUE", "")</f>
        <v>WAGON</v>
      </c>
      <c r="AP687"/>
      <c r="AQ687"/>
      <c r="AR687"/>
    </row>
    <row r="688" spans="1:44">
      <c r="A688" s="2" t="s">
        <v>864</v>
      </c>
      <c r="B688">
        <v>2000</v>
      </c>
      <c r="C688">
        <v>0</v>
      </c>
      <c r="D688" t="s">
        <v>35</v>
      </c>
      <c r="E688" t="s">
        <v>605</v>
      </c>
      <c r="F688">
        <v>84</v>
      </c>
      <c r="G688" s="10">
        <v>42</v>
      </c>
      <c r="H688">
        <v>8</v>
      </c>
      <c r="I688">
        <v>8</v>
      </c>
      <c r="J688" s="2" t="s">
        <v>33</v>
      </c>
      <c r="K688">
        <f>_xlfn.XLOOKUP("LOADINGSPEEDDEF_"&amp;PROPERTIES[[#This Row],[LOADINGSPEED]],LOADINGSPEEDDEF[TYPE],LOADINGSPEEDDEF[SPEED])</f>
        <v>20</v>
      </c>
      <c r="L688" t="s">
        <v>21</v>
      </c>
      <c r="M688">
        <v>0</v>
      </c>
      <c r="N688">
        <v>0</v>
      </c>
      <c r="O688">
        <v>100</v>
      </c>
      <c r="P688" s="2">
        <v>0.3</v>
      </c>
      <c r="Q688" s="6">
        <v>25</v>
      </c>
      <c r="R688" s="10">
        <v>0</v>
      </c>
      <c r="S688" s="10">
        <v>0</v>
      </c>
      <c r="T688" s="10"/>
      <c r="U688" t="str">
        <f>"RUNNING_COST_"&amp;IF(PROPERTIES[[#This Row],[ENGINE_CLASS]]="MAGLEV","ELECTRIC",PROPERTIES[[#This Row],[ENGINE_CLASS]])</f>
        <v>RUNNING_COST_DIESEL</v>
      </c>
      <c r="V688" s="10" t="s">
        <v>1016</v>
      </c>
      <c r="W688" s="10" t="s">
        <v>1017</v>
      </c>
      <c r="X688" s="10" t="str">
        <f>SUBSTITUTE(SUBSTITUTE(PROPERTIES[[#This Row],[PURCHASECOST_VALUE]], "PURCHASECOST_", ""), "_VALUE", "")</f>
        <v>WAGON</v>
      </c>
      <c r="AP688"/>
      <c r="AQ688"/>
      <c r="AR688"/>
    </row>
    <row r="689" spans="1:44">
      <c r="A689" s="2" t="s">
        <v>865</v>
      </c>
      <c r="B689">
        <v>1990</v>
      </c>
      <c r="C689">
        <v>0</v>
      </c>
      <c r="D689" t="s">
        <v>35</v>
      </c>
      <c r="E689" t="s">
        <v>599</v>
      </c>
      <c r="F689">
        <v>63</v>
      </c>
      <c r="G689" s="10">
        <v>27</v>
      </c>
      <c r="H689">
        <v>8</v>
      </c>
      <c r="I689">
        <v>8</v>
      </c>
      <c r="J689" s="2" t="s">
        <v>33</v>
      </c>
      <c r="K689">
        <f>_xlfn.XLOOKUP("LOADINGSPEEDDEF_"&amp;PROPERTIES[[#This Row],[LOADINGSPEED]],LOADINGSPEEDDEF[TYPE],LOADINGSPEEDDEF[SPEED])</f>
        <v>20</v>
      </c>
      <c r="L689" t="s">
        <v>21</v>
      </c>
      <c r="M689">
        <v>0</v>
      </c>
      <c r="N689">
        <v>0</v>
      </c>
      <c r="O689">
        <v>120</v>
      </c>
      <c r="P689" s="2">
        <v>0.3</v>
      </c>
      <c r="Q689" s="6">
        <v>25</v>
      </c>
      <c r="R689" s="10">
        <v>0</v>
      </c>
      <c r="S689" s="10">
        <v>0</v>
      </c>
      <c r="T689" s="10"/>
      <c r="U689" t="str">
        <f>"RUNNING_COST_"&amp;IF(PROPERTIES[[#This Row],[ENGINE_CLASS]]="MAGLEV","ELECTRIC",PROPERTIES[[#This Row],[ENGINE_CLASS]])</f>
        <v>RUNNING_COST_DIESEL</v>
      </c>
      <c r="V689" s="10" t="s">
        <v>1016</v>
      </c>
      <c r="W689" s="10" t="s">
        <v>1017</v>
      </c>
      <c r="X689" s="10" t="str">
        <f>SUBSTITUTE(SUBSTITUTE(PROPERTIES[[#This Row],[PURCHASECOST_VALUE]], "PURCHASECOST_", ""), "_VALUE", "")</f>
        <v>WAGON</v>
      </c>
      <c r="AP689"/>
      <c r="AQ689"/>
      <c r="AR689"/>
    </row>
    <row r="690" spans="1:44">
      <c r="A690" s="2" t="s">
        <v>866</v>
      </c>
      <c r="B690">
        <v>1990</v>
      </c>
      <c r="C690">
        <v>0</v>
      </c>
      <c r="D690" t="s">
        <v>35</v>
      </c>
      <c r="E690" t="s">
        <v>599</v>
      </c>
      <c r="F690">
        <v>63</v>
      </c>
      <c r="G690" s="10">
        <v>27</v>
      </c>
      <c r="H690">
        <v>8</v>
      </c>
      <c r="I690">
        <v>8</v>
      </c>
      <c r="J690" s="2" t="s">
        <v>33</v>
      </c>
      <c r="K690">
        <f>_xlfn.XLOOKUP("LOADINGSPEEDDEF_"&amp;PROPERTIES[[#This Row],[LOADINGSPEED]],LOADINGSPEEDDEF[TYPE],LOADINGSPEEDDEF[SPEED])</f>
        <v>20</v>
      </c>
      <c r="L690" t="s">
        <v>21</v>
      </c>
      <c r="M690">
        <v>0</v>
      </c>
      <c r="N690">
        <v>0</v>
      </c>
      <c r="O690">
        <v>120</v>
      </c>
      <c r="P690" s="2">
        <v>0.3</v>
      </c>
      <c r="Q690" s="6">
        <v>25</v>
      </c>
      <c r="R690" s="10">
        <v>0</v>
      </c>
      <c r="S690" s="10">
        <v>0</v>
      </c>
      <c r="T690" s="10"/>
      <c r="U690" t="str">
        <f>"RUNNING_COST_"&amp;IF(PROPERTIES[[#This Row],[ENGINE_CLASS]]="MAGLEV","ELECTRIC",PROPERTIES[[#This Row],[ENGINE_CLASS]])</f>
        <v>RUNNING_COST_DIESEL</v>
      </c>
      <c r="V690" s="10" t="s">
        <v>1016</v>
      </c>
      <c r="W690" s="10" t="s">
        <v>1017</v>
      </c>
      <c r="X690" s="10" t="str">
        <f>SUBSTITUTE(SUBSTITUTE(PROPERTIES[[#This Row],[PURCHASECOST_VALUE]], "PURCHASECOST_", ""), "_VALUE", "")</f>
        <v>WAGON</v>
      </c>
      <c r="AP690"/>
      <c r="AQ690"/>
      <c r="AR690"/>
    </row>
    <row r="691" spans="1:44">
      <c r="A691" s="2" t="s">
        <v>867</v>
      </c>
      <c r="B691">
        <v>2000</v>
      </c>
      <c r="C691">
        <v>0</v>
      </c>
      <c r="D691" t="s">
        <v>35</v>
      </c>
      <c r="E691" t="s">
        <v>609</v>
      </c>
      <c r="F691">
        <v>95</v>
      </c>
      <c r="G691" s="10">
        <v>24</v>
      </c>
      <c r="H691">
        <v>8</v>
      </c>
      <c r="I691">
        <v>8</v>
      </c>
      <c r="J691" s="2" t="s">
        <v>33</v>
      </c>
      <c r="K691">
        <f>_xlfn.XLOOKUP("LOADINGSPEEDDEF_"&amp;PROPERTIES[[#This Row],[LOADINGSPEED]],LOADINGSPEEDDEF[TYPE],LOADINGSPEEDDEF[SPEED])</f>
        <v>20</v>
      </c>
      <c r="L691" t="s">
        <v>21</v>
      </c>
      <c r="M691">
        <v>0</v>
      </c>
      <c r="N691">
        <v>0</v>
      </c>
      <c r="O691">
        <v>120</v>
      </c>
      <c r="P691" s="2">
        <v>0.3</v>
      </c>
      <c r="Q691" s="6">
        <v>25</v>
      </c>
      <c r="R691" s="10">
        <v>0</v>
      </c>
      <c r="S691" s="10">
        <v>0</v>
      </c>
      <c r="T691" s="10"/>
      <c r="U691" t="str">
        <f>"RUNNING_COST_"&amp;IF(PROPERTIES[[#This Row],[ENGINE_CLASS]]="MAGLEV","ELECTRIC",PROPERTIES[[#This Row],[ENGINE_CLASS]])</f>
        <v>RUNNING_COST_DIESEL</v>
      </c>
      <c r="V691" s="10" t="s">
        <v>1016</v>
      </c>
      <c r="W691" s="10" t="s">
        <v>1017</v>
      </c>
      <c r="X691" s="10" t="str">
        <f>SUBSTITUTE(SUBSTITUTE(PROPERTIES[[#This Row],[PURCHASECOST_VALUE]], "PURCHASECOST_", ""), "_VALUE", "")</f>
        <v>WAGON</v>
      </c>
      <c r="AP691"/>
      <c r="AQ691"/>
      <c r="AR691"/>
    </row>
    <row r="692" spans="1:44">
      <c r="A692" s="2" t="s">
        <v>868</v>
      </c>
      <c r="B692">
        <v>1990</v>
      </c>
      <c r="C692">
        <v>0</v>
      </c>
      <c r="D692" t="s">
        <v>35</v>
      </c>
      <c r="E692" t="s">
        <v>604</v>
      </c>
      <c r="F692">
        <v>65</v>
      </c>
      <c r="G692" s="10">
        <v>22</v>
      </c>
      <c r="H692">
        <v>8</v>
      </c>
      <c r="I692">
        <v>8</v>
      </c>
      <c r="J692" s="2" t="s">
        <v>33</v>
      </c>
      <c r="K692">
        <f>_xlfn.XLOOKUP("LOADINGSPEEDDEF_"&amp;PROPERTIES[[#This Row],[LOADINGSPEED]],LOADINGSPEEDDEF[TYPE],LOADINGSPEEDDEF[SPEED])</f>
        <v>20</v>
      </c>
      <c r="L692" t="s">
        <v>21</v>
      </c>
      <c r="M692">
        <v>0</v>
      </c>
      <c r="N692">
        <v>0</v>
      </c>
      <c r="O692">
        <v>120</v>
      </c>
      <c r="P692" s="2">
        <v>0.3</v>
      </c>
      <c r="Q692" s="6">
        <v>25</v>
      </c>
      <c r="R692" s="10">
        <v>0</v>
      </c>
      <c r="S692" s="10">
        <v>0</v>
      </c>
      <c r="T692" s="10"/>
      <c r="U692" t="str">
        <f>"RUNNING_COST_"&amp;IF(PROPERTIES[[#This Row],[ENGINE_CLASS]]="MAGLEV","ELECTRIC",PROPERTIES[[#This Row],[ENGINE_CLASS]])</f>
        <v>RUNNING_COST_DIESEL</v>
      </c>
      <c r="V692" s="10" t="s">
        <v>1016</v>
      </c>
      <c r="W692" s="10" t="s">
        <v>1017</v>
      </c>
      <c r="X692" s="10" t="str">
        <f>SUBSTITUTE(SUBSTITUTE(PROPERTIES[[#This Row],[PURCHASECOST_VALUE]], "PURCHASECOST_", ""), "_VALUE", "")</f>
        <v>WAGON</v>
      </c>
      <c r="AP692"/>
      <c r="AQ692"/>
      <c r="AR692"/>
    </row>
    <row r="693" spans="1:44">
      <c r="A693" s="2" t="s">
        <v>869</v>
      </c>
      <c r="B693">
        <v>2000</v>
      </c>
      <c r="C693">
        <v>0</v>
      </c>
      <c r="D693" t="s">
        <v>35</v>
      </c>
      <c r="E693" t="s">
        <v>607</v>
      </c>
      <c r="F693">
        <v>65</v>
      </c>
      <c r="G693" s="10">
        <v>27</v>
      </c>
      <c r="H693">
        <v>8</v>
      </c>
      <c r="I693">
        <v>8</v>
      </c>
      <c r="J693" s="2" t="s">
        <v>33</v>
      </c>
      <c r="K693">
        <f>_xlfn.XLOOKUP("LOADINGSPEEDDEF_"&amp;PROPERTIES[[#This Row],[LOADINGSPEED]],LOADINGSPEEDDEF[TYPE],LOADINGSPEEDDEF[SPEED])</f>
        <v>20</v>
      </c>
      <c r="L693" t="s">
        <v>21</v>
      </c>
      <c r="M693">
        <v>0</v>
      </c>
      <c r="N693">
        <v>0</v>
      </c>
      <c r="O693">
        <v>120</v>
      </c>
      <c r="P693" s="2">
        <v>0.3</v>
      </c>
      <c r="Q693" s="6">
        <v>25</v>
      </c>
      <c r="R693" s="10">
        <v>0</v>
      </c>
      <c r="S693" s="10">
        <v>0</v>
      </c>
      <c r="T693" s="10"/>
      <c r="U693" t="str">
        <f>"RUNNING_COST_"&amp;IF(PROPERTIES[[#This Row],[ENGINE_CLASS]]="MAGLEV","ELECTRIC",PROPERTIES[[#This Row],[ENGINE_CLASS]])</f>
        <v>RUNNING_COST_DIESEL</v>
      </c>
      <c r="V693" s="10" t="s">
        <v>1016</v>
      </c>
      <c r="W693" s="10" t="s">
        <v>1017</v>
      </c>
      <c r="X693" s="10" t="str">
        <f>SUBSTITUTE(SUBSTITUTE(PROPERTIES[[#This Row],[PURCHASECOST_VALUE]], "PURCHASECOST_", ""), "_VALUE", "")</f>
        <v>WAGON</v>
      </c>
      <c r="AP693"/>
      <c r="AQ693"/>
      <c r="AR693"/>
    </row>
    <row r="694" spans="1:44">
      <c r="A694" s="2" t="s">
        <v>870</v>
      </c>
      <c r="B694">
        <v>2000</v>
      </c>
      <c r="C694">
        <v>0</v>
      </c>
      <c r="D694" t="s">
        <v>35</v>
      </c>
      <c r="E694" t="s">
        <v>607</v>
      </c>
      <c r="F694">
        <v>65</v>
      </c>
      <c r="G694" s="10">
        <v>27</v>
      </c>
      <c r="H694">
        <v>8</v>
      </c>
      <c r="I694">
        <v>8</v>
      </c>
      <c r="J694" s="2" t="s">
        <v>33</v>
      </c>
      <c r="K694">
        <f>_xlfn.XLOOKUP("LOADINGSPEEDDEF_"&amp;PROPERTIES[[#This Row],[LOADINGSPEED]],LOADINGSPEEDDEF[TYPE],LOADINGSPEEDDEF[SPEED])</f>
        <v>20</v>
      </c>
      <c r="L694" t="s">
        <v>21</v>
      </c>
      <c r="M694">
        <v>0</v>
      </c>
      <c r="N694">
        <v>0</v>
      </c>
      <c r="O694">
        <v>120</v>
      </c>
      <c r="P694" s="2">
        <v>0.3</v>
      </c>
      <c r="Q694" s="6">
        <v>25</v>
      </c>
      <c r="R694" s="10">
        <v>0</v>
      </c>
      <c r="S694" s="10">
        <v>0</v>
      </c>
      <c r="T694" s="10"/>
      <c r="U694" t="str">
        <f>"RUNNING_COST_"&amp;IF(PROPERTIES[[#This Row],[ENGINE_CLASS]]="MAGLEV","ELECTRIC",PROPERTIES[[#This Row],[ENGINE_CLASS]])</f>
        <v>RUNNING_COST_DIESEL</v>
      </c>
      <c r="V694" s="10" t="s">
        <v>1016</v>
      </c>
      <c r="W694" s="10" t="s">
        <v>1017</v>
      </c>
      <c r="X694" s="10" t="str">
        <f>SUBSTITUTE(SUBSTITUTE(PROPERTIES[[#This Row],[PURCHASECOST_VALUE]], "PURCHASECOST_", ""), "_VALUE", "")</f>
        <v>WAGON</v>
      </c>
      <c r="AP694"/>
      <c r="AQ694"/>
      <c r="AR694"/>
    </row>
    <row r="695" spans="1:44">
      <c r="A695" s="2" t="s">
        <v>871</v>
      </c>
      <c r="B695">
        <v>2000</v>
      </c>
      <c r="C695">
        <v>0</v>
      </c>
      <c r="D695" t="s">
        <v>35</v>
      </c>
      <c r="E695" t="s">
        <v>606</v>
      </c>
      <c r="F695">
        <v>65</v>
      </c>
      <c r="G695" s="10">
        <v>26</v>
      </c>
      <c r="H695">
        <v>8</v>
      </c>
      <c r="I695">
        <v>8</v>
      </c>
      <c r="J695" s="2" t="s">
        <v>33</v>
      </c>
      <c r="K695">
        <f>_xlfn.XLOOKUP("LOADINGSPEEDDEF_"&amp;PROPERTIES[[#This Row],[LOADINGSPEED]],LOADINGSPEEDDEF[TYPE],LOADINGSPEEDDEF[SPEED])</f>
        <v>20</v>
      </c>
      <c r="L695" t="s">
        <v>21</v>
      </c>
      <c r="M695">
        <v>0</v>
      </c>
      <c r="N695">
        <v>0</v>
      </c>
      <c r="O695">
        <v>120</v>
      </c>
      <c r="P695" s="2">
        <v>0.3</v>
      </c>
      <c r="Q695" s="6">
        <v>25</v>
      </c>
      <c r="R695" s="10">
        <v>0</v>
      </c>
      <c r="S695" s="10">
        <v>0</v>
      </c>
      <c r="T695" s="10"/>
      <c r="U695" t="str">
        <f>"RUNNING_COST_"&amp;IF(PROPERTIES[[#This Row],[ENGINE_CLASS]]="MAGLEV","ELECTRIC",PROPERTIES[[#This Row],[ENGINE_CLASS]])</f>
        <v>RUNNING_COST_DIESEL</v>
      </c>
      <c r="V695" s="10" t="s">
        <v>1016</v>
      </c>
      <c r="W695" s="10" t="s">
        <v>1017</v>
      </c>
      <c r="X695" s="10" t="str">
        <f>SUBSTITUTE(SUBSTITUTE(PROPERTIES[[#This Row],[PURCHASECOST_VALUE]], "PURCHASECOST_", ""), "_VALUE", "")</f>
        <v>WAGON</v>
      </c>
      <c r="AP695"/>
      <c r="AQ695"/>
      <c r="AR695"/>
    </row>
    <row r="696" spans="1:44">
      <c r="A696" s="2" t="s">
        <v>872</v>
      </c>
      <c r="B696">
        <v>2000</v>
      </c>
      <c r="C696">
        <v>0</v>
      </c>
      <c r="D696" t="s">
        <v>35</v>
      </c>
      <c r="E696" t="s">
        <v>606</v>
      </c>
      <c r="F696">
        <v>65</v>
      </c>
      <c r="G696" s="10">
        <v>26</v>
      </c>
      <c r="H696">
        <v>8</v>
      </c>
      <c r="I696">
        <v>8</v>
      </c>
      <c r="J696" s="2" t="s">
        <v>33</v>
      </c>
      <c r="K696">
        <f>_xlfn.XLOOKUP("LOADINGSPEEDDEF_"&amp;PROPERTIES[[#This Row],[LOADINGSPEED]],LOADINGSPEEDDEF[TYPE],LOADINGSPEEDDEF[SPEED])</f>
        <v>20</v>
      </c>
      <c r="L696" t="s">
        <v>21</v>
      </c>
      <c r="M696">
        <v>0</v>
      </c>
      <c r="N696">
        <v>0</v>
      </c>
      <c r="O696">
        <v>120</v>
      </c>
      <c r="P696" s="2">
        <v>0.3</v>
      </c>
      <c r="Q696" s="6">
        <v>25</v>
      </c>
      <c r="R696" s="10">
        <v>0</v>
      </c>
      <c r="S696" s="10">
        <v>0</v>
      </c>
      <c r="T696" s="10"/>
      <c r="U696" t="str">
        <f>"RUNNING_COST_"&amp;IF(PROPERTIES[[#This Row],[ENGINE_CLASS]]="MAGLEV","ELECTRIC",PROPERTIES[[#This Row],[ENGINE_CLASS]])</f>
        <v>RUNNING_COST_DIESEL</v>
      </c>
      <c r="V696" s="10" t="s">
        <v>1016</v>
      </c>
      <c r="W696" s="10" t="s">
        <v>1017</v>
      </c>
      <c r="X696" s="10" t="str">
        <f>SUBSTITUTE(SUBSTITUTE(PROPERTIES[[#This Row],[PURCHASECOST_VALUE]], "PURCHASECOST_", ""), "_VALUE", "")</f>
        <v>WAGON</v>
      </c>
      <c r="AP696"/>
      <c r="AQ696"/>
      <c r="AR696"/>
    </row>
    <row r="697" spans="1:44">
      <c r="A697" s="2" t="s">
        <v>873</v>
      </c>
      <c r="B697">
        <v>2000</v>
      </c>
      <c r="C697">
        <v>0</v>
      </c>
      <c r="D697" t="s">
        <v>35</v>
      </c>
      <c r="E697" t="s">
        <v>600</v>
      </c>
      <c r="F697">
        <v>16</v>
      </c>
      <c r="G697" s="10">
        <v>28</v>
      </c>
      <c r="H697">
        <v>8</v>
      </c>
      <c r="I697">
        <v>8</v>
      </c>
      <c r="J697" s="2" t="s">
        <v>33</v>
      </c>
      <c r="K697">
        <f>_xlfn.XLOOKUP("LOADINGSPEEDDEF_"&amp;PROPERTIES[[#This Row],[LOADINGSPEED]],LOADINGSPEEDDEF[TYPE],LOADINGSPEEDDEF[SPEED])</f>
        <v>20</v>
      </c>
      <c r="L697" t="s">
        <v>21</v>
      </c>
      <c r="M697">
        <v>0</v>
      </c>
      <c r="N697">
        <v>0</v>
      </c>
      <c r="O697">
        <v>160</v>
      </c>
      <c r="P697" s="2">
        <v>0.3</v>
      </c>
      <c r="Q697" s="6">
        <v>25</v>
      </c>
      <c r="R697" s="10">
        <v>0</v>
      </c>
      <c r="S697" s="10">
        <v>0</v>
      </c>
      <c r="T697" s="10"/>
      <c r="U697" t="str">
        <f>"RUNNING_COST_"&amp;IF(PROPERTIES[[#This Row],[ENGINE_CLASS]]="MAGLEV","ELECTRIC",PROPERTIES[[#This Row],[ENGINE_CLASS]])</f>
        <v>RUNNING_COST_DIESEL</v>
      </c>
      <c r="V697" s="10" t="s">
        <v>1016</v>
      </c>
      <c r="W697" s="10" t="s">
        <v>1017</v>
      </c>
      <c r="X697" s="10" t="str">
        <f>SUBSTITUTE(SUBSTITUTE(PROPERTIES[[#This Row],[PURCHASECOST_VALUE]], "PURCHASECOST_", ""), "_VALUE", "")</f>
        <v>WAGON</v>
      </c>
      <c r="AP697"/>
      <c r="AQ697"/>
      <c r="AR697"/>
    </row>
    <row r="698" spans="1:44">
      <c r="A698" s="2" t="s">
        <v>874</v>
      </c>
      <c r="B698">
        <v>1990</v>
      </c>
      <c r="C698">
        <v>0</v>
      </c>
      <c r="D698" t="s">
        <v>35</v>
      </c>
      <c r="E698" t="s">
        <v>532</v>
      </c>
      <c r="F698">
        <v>50</v>
      </c>
      <c r="G698" s="10">
        <v>22</v>
      </c>
      <c r="H698">
        <v>8</v>
      </c>
      <c r="I698">
        <v>8</v>
      </c>
      <c r="J698" s="2" t="s">
        <v>33</v>
      </c>
      <c r="K698">
        <f>_xlfn.XLOOKUP("LOADINGSPEEDDEF_"&amp;PROPERTIES[[#This Row],[LOADINGSPEED]],LOADINGSPEEDDEF[TYPE],LOADINGSPEEDDEF[SPEED])</f>
        <v>20</v>
      </c>
      <c r="L698" t="s">
        <v>21</v>
      </c>
      <c r="M698">
        <v>0</v>
      </c>
      <c r="N698">
        <v>0</v>
      </c>
      <c r="O698">
        <v>160</v>
      </c>
      <c r="P698" s="2">
        <v>0.3</v>
      </c>
      <c r="Q698" s="6">
        <v>25</v>
      </c>
      <c r="R698" s="10">
        <v>0</v>
      </c>
      <c r="S698" s="10">
        <v>0</v>
      </c>
      <c r="T698" s="10"/>
      <c r="U698" t="str">
        <f>"RUNNING_COST_"&amp;IF(PROPERTIES[[#This Row],[ENGINE_CLASS]]="MAGLEV","ELECTRIC",PROPERTIES[[#This Row],[ENGINE_CLASS]])</f>
        <v>RUNNING_COST_DIESEL</v>
      </c>
      <c r="V698" s="10" t="s">
        <v>1016</v>
      </c>
      <c r="W698" s="10" t="s">
        <v>1017</v>
      </c>
      <c r="X698" s="10" t="str">
        <f>SUBSTITUTE(SUBSTITUTE(PROPERTIES[[#This Row],[PURCHASECOST_VALUE]], "PURCHASECOST_", ""), "_VALUE", "")</f>
        <v>WAGON</v>
      </c>
      <c r="AP698"/>
      <c r="AQ698"/>
      <c r="AR698"/>
    </row>
    <row r="699" spans="1:44">
      <c r="A699" s="2" t="s">
        <v>875</v>
      </c>
      <c r="B699">
        <v>1990</v>
      </c>
      <c r="C699">
        <v>0</v>
      </c>
      <c r="D699" t="s">
        <v>35</v>
      </c>
      <c r="E699" t="s">
        <v>601</v>
      </c>
      <c r="F699">
        <v>55</v>
      </c>
      <c r="G699" s="10">
        <v>40</v>
      </c>
      <c r="H699">
        <v>8</v>
      </c>
      <c r="I699">
        <v>8</v>
      </c>
      <c r="J699" s="2" t="s">
        <v>33</v>
      </c>
      <c r="K699">
        <f>_xlfn.XLOOKUP("LOADINGSPEEDDEF_"&amp;PROPERTIES[[#This Row],[LOADINGSPEED]],LOADINGSPEEDDEF[TYPE],LOADINGSPEEDDEF[SPEED])</f>
        <v>20</v>
      </c>
      <c r="L699" t="s">
        <v>21</v>
      </c>
      <c r="M699">
        <v>0</v>
      </c>
      <c r="N699">
        <v>0</v>
      </c>
      <c r="O699">
        <v>120</v>
      </c>
      <c r="P699" s="2">
        <v>0.3</v>
      </c>
      <c r="Q699" s="6">
        <v>25</v>
      </c>
      <c r="R699" s="10">
        <v>0</v>
      </c>
      <c r="S699" s="10">
        <v>0</v>
      </c>
      <c r="T699" s="10"/>
      <c r="U699" t="str">
        <f>"RUNNING_COST_"&amp;IF(PROPERTIES[[#This Row],[ENGINE_CLASS]]="MAGLEV","ELECTRIC",PROPERTIES[[#This Row],[ENGINE_CLASS]])</f>
        <v>RUNNING_COST_DIESEL</v>
      </c>
      <c r="V699" s="10" t="s">
        <v>1016</v>
      </c>
      <c r="W699" s="10" t="s">
        <v>1017</v>
      </c>
      <c r="X699" s="10" t="str">
        <f>SUBSTITUTE(SUBSTITUTE(PROPERTIES[[#This Row],[PURCHASECOST_VALUE]], "PURCHASECOST_", ""), "_VALUE", "")</f>
        <v>WAGON</v>
      </c>
      <c r="AP699"/>
      <c r="AQ699"/>
      <c r="AR699"/>
    </row>
    <row r="700" spans="1:44">
      <c r="A700" s="2" t="s">
        <v>876</v>
      </c>
      <c r="B700">
        <v>1980</v>
      </c>
      <c r="C700">
        <v>0</v>
      </c>
      <c r="D700" t="s">
        <v>35</v>
      </c>
      <c r="E700" t="s">
        <v>602</v>
      </c>
      <c r="F700">
        <v>65</v>
      </c>
      <c r="G700" s="10">
        <v>25</v>
      </c>
      <c r="H700">
        <v>8</v>
      </c>
      <c r="I700">
        <v>8</v>
      </c>
      <c r="J700" s="2" t="s">
        <v>33</v>
      </c>
      <c r="K700">
        <f>_xlfn.XLOOKUP("LOADINGSPEEDDEF_"&amp;PROPERTIES[[#This Row],[LOADINGSPEED]],LOADINGSPEEDDEF[TYPE],LOADINGSPEEDDEF[SPEED])</f>
        <v>20</v>
      </c>
      <c r="L700" t="s">
        <v>21</v>
      </c>
      <c r="M700">
        <v>0</v>
      </c>
      <c r="N700">
        <v>0</v>
      </c>
      <c r="O700">
        <v>120</v>
      </c>
      <c r="P700" s="2">
        <v>0.3</v>
      </c>
      <c r="Q700" s="6">
        <v>25</v>
      </c>
      <c r="R700" s="10">
        <v>0</v>
      </c>
      <c r="S700" s="10">
        <v>0</v>
      </c>
      <c r="T700" s="10"/>
      <c r="U700" t="str">
        <f>"RUNNING_COST_"&amp;IF(PROPERTIES[[#This Row],[ENGINE_CLASS]]="MAGLEV","ELECTRIC",PROPERTIES[[#This Row],[ENGINE_CLASS]])</f>
        <v>RUNNING_COST_DIESEL</v>
      </c>
      <c r="V700" s="10" t="s">
        <v>1016</v>
      </c>
      <c r="W700" s="10" t="s">
        <v>1017</v>
      </c>
      <c r="X700" s="10" t="str">
        <f>SUBSTITUTE(SUBSTITUTE(PROPERTIES[[#This Row],[PURCHASECOST_VALUE]], "PURCHASECOST_", ""), "_VALUE", "")</f>
        <v>WAGON</v>
      </c>
      <c r="AP700"/>
      <c r="AQ700"/>
      <c r="AR700"/>
    </row>
    <row r="701" spans="1:44">
      <c r="A701" s="2" t="s">
        <v>877</v>
      </c>
      <c r="B701">
        <v>1990</v>
      </c>
      <c r="C701">
        <v>0</v>
      </c>
      <c r="D701" t="s">
        <v>35</v>
      </c>
      <c r="E701" t="s">
        <v>608</v>
      </c>
      <c r="F701">
        <v>50</v>
      </c>
      <c r="G701" s="10">
        <v>50</v>
      </c>
      <c r="H701">
        <v>4</v>
      </c>
      <c r="I701">
        <v>12</v>
      </c>
      <c r="J701" s="2" t="s">
        <v>33</v>
      </c>
      <c r="K701">
        <f>_xlfn.XLOOKUP("LOADINGSPEEDDEF_"&amp;PROPERTIES[[#This Row],[LOADINGSPEED]],LOADINGSPEEDDEF[TYPE],LOADINGSPEEDDEF[SPEED])</f>
        <v>20</v>
      </c>
      <c r="L701" t="s">
        <v>21</v>
      </c>
      <c r="M701">
        <v>0</v>
      </c>
      <c r="N701">
        <v>0</v>
      </c>
      <c r="O701">
        <v>100</v>
      </c>
      <c r="P701" s="2">
        <v>0.3</v>
      </c>
      <c r="Q701" s="6">
        <v>25</v>
      </c>
      <c r="R701" s="10">
        <v>0</v>
      </c>
      <c r="S701" s="10">
        <v>0</v>
      </c>
      <c r="T701" s="10"/>
      <c r="U701" t="str">
        <f>"RUNNING_COST_"&amp;IF(PROPERTIES[[#This Row],[ENGINE_CLASS]]="MAGLEV","ELECTRIC",PROPERTIES[[#This Row],[ENGINE_CLASS]])</f>
        <v>RUNNING_COST_DIESEL</v>
      </c>
      <c r="V701" s="10" t="s">
        <v>1016</v>
      </c>
      <c r="W701" s="10" t="s">
        <v>1017</v>
      </c>
      <c r="X701" s="10" t="str">
        <f>SUBSTITUTE(SUBSTITUTE(PROPERTIES[[#This Row],[PURCHASECOST_VALUE]], "PURCHASECOST_", ""), "_VALUE", "")</f>
        <v>WAGON</v>
      </c>
      <c r="AP701"/>
      <c r="AQ701"/>
      <c r="AR701"/>
    </row>
    <row r="702" spans="1:44">
      <c r="A702" s="2" t="s">
        <v>878</v>
      </c>
      <c r="B702">
        <v>2010</v>
      </c>
      <c r="C702">
        <v>0</v>
      </c>
      <c r="D702" t="s">
        <v>35</v>
      </c>
      <c r="E702" t="s">
        <v>603</v>
      </c>
      <c r="F702">
        <v>72</v>
      </c>
      <c r="G702" s="10">
        <v>23</v>
      </c>
      <c r="H702">
        <v>8</v>
      </c>
      <c r="I702">
        <v>8</v>
      </c>
      <c r="J702" s="2" t="s">
        <v>33</v>
      </c>
      <c r="K702">
        <f>_xlfn.XLOOKUP("LOADINGSPEEDDEF_"&amp;PROPERTIES[[#This Row],[LOADINGSPEED]],LOADINGSPEEDDEF[TYPE],LOADINGSPEEDDEF[SPEED])</f>
        <v>20</v>
      </c>
      <c r="L702" t="s">
        <v>21</v>
      </c>
      <c r="M702">
        <v>0</v>
      </c>
      <c r="N702">
        <v>0</v>
      </c>
      <c r="O702">
        <v>160</v>
      </c>
      <c r="P702" s="2">
        <v>0.3</v>
      </c>
      <c r="Q702" s="6">
        <v>25</v>
      </c>
      <c r="R702" s="10">
        <v>0</v>
      </c>
      <c r="S702" s="10">
        <v>0</v>
      </c>
      <c r="T702" s="10"/>
      <c r="U702" t="str">
        <f>"RUNNING_COST_"&amp;IF(PROPERTIES[[#This Row],[ENGINE_CLASS]]="MAGLEV","ELECTRIC",PROPERTIES[[#This Row],[ENGINE_CLASS]])</f>
        <v>RUNNING_COST_DIESEL</v>
      </c>
      <c r="V702" s="10" t="s">
        <v>1016</v>
      </c>
      <c r="W702" s="10" t="s">
        <v>1017</v>
      </c>
      <c r="X702" s="10" t="str">
        <f>SUBSTITUTE(SUBSTITUTE(PROPERTIES[[#This Row],[PURCHASECOST_VALUE]], "PURCHASECOST_", ""), "_VALUE", "")</f>
        <v>WAGON</v>
      </c>
      <c r="AP702"/>
      <c r="AQ702"/>
      <c r="AR702"/>
    </row>
    <row r="703" spans="1:44">
      <c r="A703" s="2" t="s">
        <v>879</v>
      </c>
      <c r="B703">
        <v>2020</v>
      </c>
      <c r="C703">
        <v>0</v>
      </c>
      <c r="D703" t="s">
        <v>35</v>
      </c>
      <c r="E703" t="s">
        <v>605</v>
      </c>
      <c r="F703">
        <v>96</v>
      </c>
      <c r="G703" s="10">
        <v>42</v>
      </c>
      <c r="H703">
        <v>8</v>
      </c>
      <c r="I703">
        <v>8</v>
      </c>
      <c r="J703" s="2" t="s">
        <v>33</v>
      </c>
      <c r="K703">
        <f>_xlfn.XLOOKUP("LOADINGSPEEDDEF_"&amp;PROPERTIES[[#This Row],[LOADINGSPEED]],LOADINGSPEEDDEF[TYPE],LOADINGSPEEDDEF[SPEED])</f>
        <v>20</v>
      </c>
      <c r="L703" t="s">
        <v>21</v>
      </c>
      <c r="M703">
        <v>0</v>
      </c>
      <c r="N703">
        <v>0</v>
      </c>
      <c r="O703">
        <v>140</v>
      </c>
      <c r="P703" s="2">
        <v>0.3</v>
      </c>
      <c r="Q703" s="6">
        <v>25</v>
      </c>
      <c r="R703" s="10">
        <v>0</v>
      </c>
      <c r="S703" s="10">
        <v>0</v>
      </c>
      <c r="T703" s="10"/>
      <c r="U703" t="str">
        <f>"RUNNING_COST_"&amp;IF(PROPERTIES[[#This Row],[ENGINE_CLASS]]="MAGLEV","ELECTRIC",PROPERTIES[[#This Row],[ENGINE_CLASS]])</f>
        <v>RUNNING_COST_DIESEL</v>
      </c>
      <c r="V703" s="10" t="s">
        <v>1016</v>
      </c>
      <c r="W703" s="10" t="s">
        <v>1017</v>
      </c>
      <c r="X703" s="10" t="str">
        <f>SUBSTITUTE(SUBSTITUTE(PROPERTIES[[#This Row],[PURCHASECOST_VALUE]], "PURCHASECOST_", ""), "_VALUE", "")</f>
        <v>WAGON</v>
      </c>
      <c r="AP703"/>
      <c r="AQ703"/>
      <c r="AR703"/>
    </row>
    <row r="704" spans="1:44">
      <c r="A704" s="2" t="s">
        <v>880</v>
      </c>
      <c r="B704">
        <v>2010</v>
      </c>
      <c r="C704">
        <v>0</v>
      </c>
      <c r="D704" t="s">
        <v>35</v>
      </c>
      <c r="E704" t="s">
        <v>599</v>
      </c>
      <c r="F704">
        <v>74</v>
      </c>
      <c r="G704" s="10">
        <v>27</v>
      </c>
      <c r="H704">
        <v>8</v>
      </c>
      <c r="I704">
        <v>8</v>
      </c>
      <c r="J704" s="2" t="s">
        <v>33</v>
      </c>
      <c r="K704">
        <f>_xlfn.XLOOKUP("LOADINGSPEEDDEF_"&amp;PROPERTIES[[#This Row],[LOADINGSPEED]],LOADINGSPEEDDEF[TYPE],LOADINGSPEEDDEF[SPEED])</f>
        <v>20</v>
      </c>
      <c r="L704" t="s">
        <v>21</v>
      </c>
      <c r="M704">
        <v>0</v>
      </c>
      <c r="N704">
        <v>0</v>
      </c>
      <c r="O704">
        <v>160</v>
      </c>
      <c r="P704" s="2">
        <v>0.3</v>
      </c>
      <c r="Q704" s="6">
        <v>25</v>
      </c>
      <c r="R704" s="10">
        <v>0</v>
      </c>
      <c r="S704" s="10">
        <v>0</v>
      </c>
      <c r="T704" s="10"/>
      <c r="U704" t="str">
        <f>"RUNNING_COST_"&amp;IF(PROPERTIES[[#This Row],[ENGINE_CLASS]]="MAGLEV","ELECTRIC",PROPERTIES[[#This Row],[ENGINE_CLASS]])</f>
        <v>RUNNING_COST_DIESEL</v>
      </c>
      <c r="V704" s="10" t="s">
        <v>1016</v>
      </c>
      <c r="W704" s="10" t="s">
        <v>1017</v>
      </c>
      <c r="X704" s="10" t="str">
        <f>SUBSTITUTE(SUBSTITUTE(PROPERTIES[[#This Row],[PURCHASECOST_VALUE]], "PURCHASECOST_", ""), "_VALUE", "")</f>
        <v>WAGON</v>
      </c>
      <c r="AP704"/>
      <c r="AQ704"/>
      <c r="AR704"/>
    </row>
    <row r="705" spans="1:44">
      <c r="A705" s="2" t="s">
        <v>881</v>
      </c>
      <c r="B705">
        <v>2010</v>
      </c>
      <c r="C705">
        <v>0</v>
      </c>
      <c r="D705" t="s">
        <v>35</v>
      </c>
      <c r="E705" t="s">
        <v>599</v>
      </c>
      <c r="F705">
        <v>74</v>
      </c>
      <c r="G705" s="10">
        <v>27</v>
      </c>
      <c r="H705">
        <v>8</v>
      </c>
      <c r="I705">
        <v>8</v>
      </c>
      <c r="J705" s="2" t="s">
        <v>33</v>
      </c>
      <c r="K705">
        <f>_xlfn.XLOOKUP("LOADINGSPEEDDEF_"&amp;PROPERTIES[[#This Row],[LOADINGSPEED]],LOADINGSPEEDDEF[TYPE],LOADINGSPEEDDEF[SPEED])</f>
        <v>20</v>
      </c>
      <c r="L705" t="s">
        <v>21</v>
      </c>
      <c r="M705">
        <v>0</v>
      </c>
      <c r="N705">
        <v>0</v>
      </c>
      <c r="O705">
        <v>160</v>
      </c>
      <c r="P705" s="2">
        <v>0.3</v>
      </c>
      <c r="Q705" s="6">
        <v>25</v>
      </c>
      <c r="R705" s="10">
        <v>0</v>
      </c>
      <c r="S705" s="10">
        <v>0</v>
      </c>
      <c r="T705" s="10"/>
      <c r="U705" t="str">
        <f>"RUNNING_COST_"&amp;IF(PROPERTIES[[#This Row],[ENGINE_CLASS]]="MAGLEV","ELECTRIC",PROPERTIES[[#This Row],[ENGINE_CLASS]])</f>
        <v>RUNNING_COST_DIESEL</v>
      </c>
      <c r="V705" s="10" t="s">
        <v>1016</v>
      </c>
      <c r="W705" s="10" t="s">
        <v>1017</v>
      </c>
      <c r="X705" s="10" t="str">
        <f>SUBSTITUTE(SUBSTITUTE(PROPERTIES[[#This Row],[PURCHASECOST_VALUE]], "PURCHASECOST_", ""), "_VALUE", "")</f>
        <v>WAGON</v>
      </c>
      <c r="AP705"/>
      <c r="AQ705"/>
      <c r="AR705"/>
    </row>
    <row r="706" spans="1:44">
      <c r="A706" s="2" t="s">
        <v>882</v>
      </c>
      <c r="B706">
        <v>2020</v>
      </c>
      <c r="C706">
        <v>0</v>
      </c>
      <c r="D706" t="s">
        <v>35</v>
      </c>
      <c r="E706" t="s">
        <v>609</v>
      </c>
      <c r="F706">
        <v>105</v>
      </c>
      <c r="G706" s="10">
        <v>24</v>
      </c>
      <c r="H706">
        <v>8</v>
      </c>
      <c r="I706">
        <v>8</v>
      </c>
      <c r="J706" s="2" t="s">
        <v>33</v>
      </c>
      <c r="K706">
        <f>_xlfn.XLOOKUP("LOADINGSPEEDDEF_"&amp;PROPERTIES[[#This Row],[LOADINGSPEED]],LOADINGSPEEDDEF[TYPE],LOADINGSPEEDDEF[SPEED])</f>
        <v>20</v>
      </c>
      <c r="L706" t="s">
        <v>21</v>
      </c>
      <c r="M706">
        <v>0</v>
      </c>
      <c r="N706">
        <v>0</v>
      </c>
      <c r="O706">
        <v>160</v>
      </c>
      <c r="P706" s="2">
        <v>0.3</v>
      </c>
      <c r="Q706" s="6">
        <v>25</v>
      </c>
      <c r="R706" s="10">
        <v>0</v>
      </c>
      <c r="S706" s="10">
        <v>0</v>
      </c>
      <c r="T706" s="10"/>
      <c r="U706" t="str">
        <f>"RUNNING_COST_"&amp;IF(PROPERTIES[[#This Row],[ENGINE_CLASS]]="MAGLEV","ELECTRIC",PROPERTIES[[#This Row],[ENGINE_CLASS]])</f>
        <v>RUNNING_COST_DIESEL</v>
      </c>
      <c r="V706" s="10" t="s">
        <v>1016</v>
      </c>
      <c r="W706" s="10" t="s">
        <v>1017</v>
      </c>
      <c r="X706" s="10" t="str">
        <f>SUBSTITUTE(SUBSTITUTE(PROPERTIES[[#This Row],[PURCHASECOST_VALUE]], "PURCHASECOST_", ""), "_VALUE", "")</f>
        <v>WAGON</v>
      </c>
      <c r="AP706"/>
      <c r="AQ706"/>
      <c r="AR706"/>
    </row>
    <row r="707" spans="1:44">
      <c r="A707" s="2" t="s">
        <v>883</v>
      </c>
      <c r="B707">
        <v>2010</v>
      </c>
      <c r="C707">
        <v>0</v>
      </c>
      <c r="D707" t="s">
        <v>35</v>
      </c>
      <c r="E707" t="s">
        <v>604</v>
      </c>
      <c r="F707">
        <v>75</v>
      </c>
      <c r="G707" s="10">
        <v>22</v>
      </c>
      <c r="H707">
        <v>8</v>
      </c>
      <c r="I707">
        <v>8</v>
      </c>
      <c r="J707" s="2" t="s">
        <v>33</v>
      </c>
      <c r="K707">
        <f>_xlfn.XLOOKUP("LOADINGSPEEDDEF_"&amp;PROPERTIES[[#This Row],[LOADINGSPEED]],LOADINGSPEEDDEF[TYPE],LOADINGSPEEDDEF[SPEED])</f>
        <v>20</v>
      </c>
      <c r="L707" t="s">
        <v>21</v>
      </c>
      <c r="M707">
        <v>0</v>
      </c>
      <c r="N707">
        <v>0</v>
      </c>
      <c r="O707">
        <v>160</v>
      </c>
      <c r="P707" s="2">
        <v>0.3</v>
      </c>
      <c r="Q707" s="6">
        <v>25</v>
      </c>
      <c r="R707" s="10">
        <v>0</v>
      </c>
      <c r="S707" s="10">
        <v>0</v>
      </c>
      <c r="T707" s="10"/>
      <c r="U707" t="str">
        <f>"RUNNING_COST_"&amp;IF(PROPERTIES[[#This Row],[ENGINE_CLASS]]="MAGLEV","ELECTRIC",PROPERTIES[[#This Row],[ENGINE_CLASS]])</f>
        <v>RUNNING_COST_DIESEL</v>
      </c>
      <c r="V707" s="10" t="s">
        <v>1016</v>
      </c>
      <c r="W707" s="10" t="s">
        <v>1017</v>
      </c>
      <c r="X707" s="10" t="str">
        <f>SUBSTITUTE(SUBSTITUTE(PROPERTIES[[#This Row],[PURCHASECOST_VALUE]], "PURCHASECOST_", ""), "_VALUE", "")</f>
        <v>WAGON</v>
      </c>
      <c r="AP707"/>
      <c r="AQ707"/>
      <c r="AR707"/>
    </row>
    <row r="708" spans="1:44">
      <c r="A708" s="2" t="s">
        <v>884</v>
      </c>
      <c r="B708">
        <v>2020</v>
      </c>
      <c r="C708">
        <v>0</v>
      </c>
      <c r="D708" t="s">
        <v>35</v>
      </c>
      <c r="E708" t="s">
        <v>607</v>
      </c>
      <c r="F708">
        <v>75</v>
      </c>
      <c r="G708" s="10">
        <v>27</v>
      </c>
      <c r="H708">
        <v>8</v>
      </c>
      <c r="I708">
        <v>8</v>
      </c>
      <c r="J708" s="2" t="s">
        <v>33</v>
      </c>
      <c r="K708">
        <f>_xlfn.XLOOKUP("LOADINGSPEEDDEF_"&amp;PROPERTIES[[#This Row],[LOADINGSPEED]],LOADINGSPEEDDEF[TYPE],LOADINGSPEEDDEF[SPEED])</f>
        <v>20</v>
      </c>
      <c r="L708" t="s">
        <v>21</v>
      </c>
      <c r="M708">
        <v>0</v>
      </c>
      <c r="N708">
        <v>0</v>
      </c>
      <c r="O708">
        <v>160</v>
      </c>
      <c r="P708" s="2">
        <v>0.3</v>
      </c>
      <c r="Q708" s="6">
        <v>25</v>
      </c>
      <c r="R708" s="10">
        <v>0</v>
      </c>
      <c r="S708" s="10">
        <v>0</v>
      </c>
      <c r="T708" s="10"/>
      <c r="U708" t="str">
        <f>"RUNNING_COST_"&amp;IF(PROPERTIES[[#This Row],[ENGINE_CLASS]]="MAGLEV","ELECTRIC",PROPERTIES[[#This Row],[ENGINE_CLASS]])</f>
        <v>RUNNING_COST_DIESEL</v>
      </c>
      <c r="V708" s="10" t="s">
        <v>1016</v>
      </c>
      <c r="W708" s="10" t="s">
        <v>1017</v>
      </c>
      <c r="X708" s="10" t="str">
        <f>SUBSTITUTE(SUBSTITUTE(PROPERTIES[[#This Row],[PURCHASECOST_VALUE]], "PURCHASECOST_", ""), "_VALUE", "")</f>
        <v>WAGON</v>
      </c>
      <c r="AP708"/>
      <c r="AQ708"/>
      <c r="AR708"/>
    </row>
    <row r="709" spans="1:44">
      <c r="A709" s="2" t="s">
        <v>885</v>
      </c>
      <c r="B709">
        <v>2020</v>
      </c>
      <c r="C709">
        <v>0</v>
      </c>
      <c r="D709" t="s">
        <v>35</v>
      </c>
      <c r="E709" t="s">
        <v>607</v>
      </c>
      <c r="F709">
        <v>75</v>
      </c>
      <c r="G709" s="10">
        <v>27</v>
      </c>
      <c r="H709">
        <v>8</v>
      </c>
      <c r="I709">
        <v>8</v>
      </c>
      <c r="J709" s="2" t="s">
        <v>33</v>
      </c>
      <c r="K709">
        <f>_xlfn.XLOOKUP("LOADINGSPEEDDEF_"&amp;PROPERTIES[[#This Row],[LOADINGSPEED]],LOADINGSPEEDDEF[TYPE],LOADINGSPEEDDEF[SPEED])</f>
        <v>20</v>
      </c>
      <c r="L709" t="s">
        <v>21</v>
      </c>
      <c r="M709">
        <v>0</v>
      </c>
      <c r="N709">
        <v>0</v>
      </c>
      <c r="O709">
        <v>160</v>
      </c>
      <c r="P709" s="2">
        <v>0.3</v>
      </c>
      <c r="Q709" s="6">
        <v>25</v>
      </c>
      <c r="R709" s="10">
        <v>0</v>
      </c>
      <c r="S709" s="10">
        <v>0</v>
      </c>
      <c r="T709" s="10"/>
      <c r="U709" t="str">
        <f>"RUNNING_COST_"&amp;IF(PROPERTIES[[#This Row],[ENGINE_CLASS]]="MAGLEV","ELECTRIC",PROPERTIES[[#This Row],[ENGINE_CLASS]])</f>
        <v>RUNNING_COST_DIESEL</v>
      </c>
      <c r="V709" s="10" t="s">
        <v>1016</v>
      </c>
      <c r="W709" s="10" t="s">
        <v>1017</v>
      </c>
      <c r="X709" s="10" t="str">
        <f>SUBSTITUTE(SUBSTITUTE(PROPERTIES[[#This Row],[PURCHASECOST_VALUE]], "PURCHASECOST_", ""), "_VALUE", "")</f>
        <v>WAGON</v>
      </c>
      <c r="AP709"/>
      <c r="AQ709"/>
      <c r="AR709"/>
    </row>
    <row r="710" spans="1:44">
      <c r="A710" s="2" t="s">
        <v>886</v>
      </c>
      <c r="B710">
        <v>2020</v>
      </c>
      <c r="C710">
        <v>0</v>
      </c>
      <c r="D710" t="s">
        <v>35</v>
      </c>
      <c r="E710" t="s">
        <v>606</v>
      </c>
      <c r="F710">
        <v>75</v>
      </c>
      <c r="G710" s="10">
        <v>26</v>
      </c>
      <c r="H710">
        <v>8</v>
      </c>
      <c r="I710">
        <v>8</v>
      </c>
      <c r="J710" s="2" t="s">
        <v>33</v>
      </c>
      <c r="K710">
        <f>_xlfn.XLOOKUP("LOADINGSPEEDDEF_"&amp;PROPERTIES[[#This Row],[LOADINGSPEED]],LOADINGSPEEDDEF[TYPE],LOADINGSPEEDDEF[SPEED])</f>
        <v>20</v>
      </c>
      <c r="L710" t="s">
        <v>21</v>
      </c>
      <c r="M710">
        <v>0</v>
      </c>
      <c r="N710">
        <v>0</v>
      </c>
      <c r="O710">
        <v>160</v>
      </c>
      <c r="P710" s="2">
        <v>0.3</v>
      </c>
      <c r="Q710" s="6">
        <v>25</v>
      </c>
      <c r="R710" s="10">
        <v>0</v>
      </c>
      <c r="S710" s="10">
        <v>0</v>
      </c>
      <c r="T710" s="10"/>
      <c r="U710" t="str">
        <f>"RUNNING_COST_"&amp;IF(PROPERTIES[[#This Row],[ENGINE_CLASS]]="MAGLEV","ELECTRIC",PROPERTIES[[#This Row],[ENGINE_CLASS]])</f>
        <v>RUNNING_COST_DIESEL</v>
      </c>
      <c r="V710" s="10" t="s">
        <v>1016</v>
      </c>
      <c r="W710" s="10" t="s">
        <v>1017</v>
      </c>
      <c r="X710" s="10" t="str">
        <f>SUBSTITUTE(SUBSTITUTE(PROPERTIES[[#This Row],[PURCHASECOST_VALUE]], "PURCHASECOST_", ""), "_VALUE", "")</f>
        <v>WAGON</v>
      </c>
      <c r="AP710"/>
      <c r="AQ710"/>
      <c r="AR710"/>
    </row>
    <row r="711" spans="1:44">
      <c r="A711" s="2" t="s">
        <v>887</v>
      </c>
      <c r="B711">
        <v>2020</v>
      </c>
      <c r="C711">
        <v>0</v>
      </c>
      <c r="D711" t="s">
        <v>35</v>
      </c>
      <c r="E711" t="s">
        <v>606</v>
      </c>
      <c r="F711">
        <v>75</v>
      </c>
      <c r="G711" s="10">
        <v>26</v>
      </c>
      <c r="H711">
        <v>8</v>
      </c>
      <c r="I711">
        <v>8</v>
      </c>
      <c r="J711" s="2" t="s">
        <v>33</v>
      </c>
      <c r="K711">
        <f>_xlfn.XLOOKUP("LOADINGSPEEDDEF_"&amp;PROPERTIES[[#This Row],[LOADINGSPEED]],LOADINGSPEEDDEF[TYPE],LOADINGSPEEDDEF[SPEED])</f>
        <v>20</v>
      </c>
      <c r="L711" t="s">
        <v>21</v>
      </c>
      <c r="M711">
        <v>0</v>
      </c>
      <c r="N711">
        <v>0</v>
      </c>
      <c r="O711">
        <v>160</v>
      </c>
      <c r="P711" s="2">
        <v>0.3</v>
      </c>
      <c r="Q711" s="6">
        <v>25</v>
      </c>
      <c r="R711" s="10">
        <v>0</v>
      </c>
      <c r="S711" s="10">
        <v>0</v>
      </c>
      <c r="T711" s="10"/>
      <c r="U711" t="str">
        <f>"RUNNING_COST_"&amp;IF(PROPERTIES[[#This Row],[ENGINE_CLASS]]="MAGLEV","ELECTRIC",PROPERTIES[[#This Row],[ENGINE_CLASS]])</f>
        <v>RUNNING_COST_DIESEL</v>
      </c>
      <c r="V711" s="10" t="s">
        <v>1016</v>
      </c>
      <c r="W711" s="10" t="s">
        <v>1017</v>
      </c>
      <c r="X711" s="10" t="str">
        <f>SUBSTITUTE(SUBSTITUTE(PROPERTIES[[#This Row],[PURCHASECOST_VALUE]], "PURCHASECOST_", ""), "_VALUE", "")</f>
        <v>WAGON</v>
      </c>
      <c r="AP711"/>
      <c r="AQ711"/>
      <c r="AR711"/>
    </row>
    <row r="712" spans="1:44">
      <c r="A712" s="2" t="s">
        <v>888</v>
      </c>
      <c r="B712">
        <v>2020</v>
      </c>
      <c r="C712">
        <v>0</v>
      </c>
      <c r="D712" t="s">
        <v>35</v>
      </c>
      <c r="E712" t="s">
        <v>600</v>
      </c>
      <c r="F712">
        <v>20</v>
      </c>
      <c r="G712" s="10">
        <v>28</v>
      </c>
      <c r="H712">
        <v>8</v>
      </c>
      <c r="I712">
        <v>8</v>
      </c>
      <c r="J712" s="2" t="s">
        <v>33</v>
      </c>
      <c r="K712">
        <f>_xlfn.XLOOKUP("LOADINGSPEEDDEF_"&amp;PROPERTIES[[#This Row],[LOADINGSPEED]],LOADINGSPEEDDEF[TYPE],LOADINGSPEEDDEF[SPEED])</f>
        <v>20</v>
      </c>
      <c r="L712" t="s">
        <v>21</v>
      </c>
      <c r="M712">
        <v>0</v>
      </c>
      <c r="N712">
        <v>0</v>
      </c>
      <c r="O712">
        <v>160</v>
      </c>
      <c r="P712" s="2">
        <v>0.3</v>
      </c>
      <c r="Q712" s="6">
        <v>25</v>
      </c>
      <c r="R712" s="10">
        <v>0</v>
      </c>
      <c r="S712" s="10">
        <v>0</v>
      </c>
      <c r="T712" s="10"/>
      <c r="U712" t="str">
        <f>"RUNNING_COST_"&amp;IF(PROPERTIES[[#This Row],[ENGINE_CLASS]]="MAGLEV","ELECTRIC",PROPERTIES[[#This Row],[ENGINE_CLASS]])</f>
        <v>RUNNING_COST_DIESEL</v>
      </c>
      <c r="V712" s="10" t="s">
        <v>1016</v>
      </c>
      <c r="W712" s="10" t="s">
        <v>1017</v>
      </c>
      <c r="X712" s="10" t="str">
        <f>SUBSTITUTE(SUBSTITUTE(PROPERTIES[[#This Row],[PURCHASECOST_VALUE]], "PURCHASECOST_", ""), "_VALUE", "")</f>
        <v>WAGON</v>
      </c>
      <c r="AP712"/>
      <c r="AQ712"/>
      <c r="AR712"/>
    </row>
    <row r="713" spans="1:44">
      <c r="A713" s="2" t="s">
        <v>889</v>
      </c>
      <c r="B713">
        <v>2010</v>
      </c>
      <c r="C713">
        <v>0</v>
      </c>
      <c r="D713" t="s">
        <v>35</v>
      </c>
      <c r="E713" t="s">
        <v>532</v>
      </c>
      <c r="F713">
        <v>60</v>
      </c>
      <c r="G713" s="10">
        <v>22</v>
      </c>
      <c r="H713">
        <v>8</v>
      </c>
      <c r="I713">
        <v>8</v>
      </c>
      <c r="J713" s="2" t="s">
        <v>33</v>
      </c>
      <c r="K713">
        <f>_xlfn.XLOOKUP("LOADINGSPEEDDEF_"&amp;PROPERTIES[[#This Row],[LOADINGSPEED]],LOADINGSPEEDDEF[TYPE],LOADINGSPEEDDEF[SPEED])</f>
        <v>20</v>
      </c>
      <c r="L713" t="s">
        <v>21</v>
      </c>
      <c r="M713">
        <v>0</v>
      </c>
      <c r="N713">
        <v>0</v>
      </c>
      <c r="O713">
        <v>160</v>
      </c>
      <c r="P713" s="2">
        <v>0.3</v>
      </c>
      <c r="Q713" s="6">
        <v>25</v>
      </c>
      <c r="R713" s="10">
        <v>0</v>
      </c>
      <c r="S713" s="10">
        <v>0</v>
      </c>
      <c r="T713" s="10"/>
      <c r="U713" t="str">
        <f>"RUNNING_COST_"&amp;IF(PROPERTIES[[#This Row],[ENGINE_CLASS]]="MAGLEV","ELECTRIC",PROPERTIES[[#This Row],[ENGINE_CLASS]])</f>
        <v>RUNNING_COST_DIESEL</v>
      </c>
      <c r="V713" s="10" t="s">
        <v>1016</v>
      </c>
      <c r="W713" s="10" t="s">
        <v>1017</v>
      </c>
      <c r="X713" s="10" t="str">
        <f>SUBSTITUTE(SUBSTITUTE(PROPERTIES[[#This Row],[PURCHASECOST_VALUE]], "PURCHASECOST_", ""), "_VALUE", "")</f>
        <v>WAGON</v>
      </c>
      <c r="AP713"/>
      <c r="AQ713"/>
      <c r="AR713"/>
    </row>
    <row r="714" spans="1:44">
      <c r="A714" s="2" t="s">
        <v>890</v>
      </c>
      <c r="B714">
        <v>2010</v>
      </c>
      <c r="C714">
        <v>0</v>
      </c>
      <c r="D714" t="s">
        <v>35</v>
      </c>
      <c r="E714" t="s">
        <v>601</v>
      </c>
      <c r="F714">
        <v>65</v>
      </c>
      <c r="G714" s="10">
        <v>40</v>
      </c>
      <c r="H714">
        <v>8</v>
      </c>
      <c r="I714">
        <v>8</v>
      </c>
      <c r="J714" s="2" t="s">
        <v>33</v>
      </c>
      <c r="K714">
        <f>_xlfn.XLOOKUP("LOADINGSPEEDDEF_"&amp;PROPERTIES[[#This Row],[LOADINGSPEED]],LOADINGSPEEDDEF[TYPE],LOADINGSPEEDDEF[SPEED])</f>
        <v>20</v>
      </c>
      <c r="L714" t="s">
        <v>21</v>
      </c>
      <c r="M714">
        <v>0</v>
      </c>
      <c r="N714">
        <v>0</v>
      </c>
      <c r="O714">
        <v>160</v>
      </c>
      <c r="P714" s="2">
        <v>0.3</v>
      </c>
      <c r="Q714" s="6">
        <v>25</v>
      </c>
      <c r="R714" s="10">
        <v>0</v>
      </c>
      <c r="S714" s="10">
        <v>0</v>
      </c>
      <c r="T714" s="10"/>
      <c r="U714" t="str">
        <f>"RUNNING_COST_"&amp;IF(PROPERTIES[[#This Row],[ENGINE_CLASS]]="MAGLEV","ELECTRIC",PROPERTIES[[#This Row],[ENGINE_CLASS]])</f>
        <v>RUNNING_COST_DIESEL</v>
      </c>
      <c r="V714" s="10" t="s">
        <v>1016</v>
      </c>
      <c r="W714" s="10" t="s">
        <v>1017</v>
      </c>
      <c r="X714" s="10" t="str">
        <f>SUBSTITUTE(SUBSTITUTE(PROPERTIES[[#This Row],[PURCHASECOST_VALUE]], "PURCHASECOST_", ""), "_VALUE", "")</f>
        <v>WAGON</v>
      </c>
      <c r="AP714"/>
      <c r="AQ714"/>
      <c r="AR714"/>
    </row>
    <row r="715" spans="1:44">
      <c r="A715" s="2" t="s">
        <v>891</v>
      </c>
      <c r="B715">
        <v>2000</v>
      </c>
      <c r="C715">
        <v>0</v>
      </c>
      <c r="D715" t="s">
        <v>35</v>
      </c>
      <c r="E715" t="s">
        <v>602</v>
      </c>
      <c r="F715">
        <v>75</v>
      </c>
      <c r="G715" s="10">
        <v>25</v>
      </c>
      <c r="H715">
        <v>8</v>
      </c>
      <c r="I715">
        <v>8</v>
      </c>
      <c r="J715" s="2" t="s">
        <v>33</v>
      </c>
      <c r="K715">
        <f>_xlfn.XLOOKUP("LOADINGSPEEDDEF_"&amp;PROPERTIES[[#This Row],[LOADINGSPEED]],LOADINGSPEEDDEF[TYPE],LOADINGSPEEDDEF[SPEED])</f>
        <v>20</v>
      </c>
      <c r="L715" t="s">
        <v>21</v>
      </c>
      <c r="M715">
        <v>0</v>
      </c>
      <c r="N715">
        <v>0</v>
      </c>
      <c r="O715">
        <v>160</v>
      </c>
      <c r="P715" s="2">
        <v>0.3</v>
      </c>
      <c r="Q715" s="6">
        <v>25</v>
      </c>
      <c r="R715" s="10">
        <v>0</v>
      </c>
      <c r="S715" s="10">
        <v>0</v>
      </c>
      <c r="T715" s="10"/>
      <c r="U715" t="str">
        <f>"RUNNING_COST_"&amp;IF(PROPERTIES[[#This Row],[ENGINE_CLASS]]="MAGLEV","ELECTRIC",PROPERTIES[[#This Row],[ENGINE_CLASS]])</f>
        <v>RUNNING_COST_DIESEL</v>
      </c>
      <c r="V715" s="10" t="s">
        <v>1016</v>
      </c>
      <c r="W715" s="10" t="s">
        <v>1017</v>
      </c>
      <c r="X715" s="10" t="str">
        <f>SUBSTITUTE(SUBSTITUTE(PROPERTIES[[#This Row],[PURCHASECOST_VALUE]], "PURCHASECOST_", ""), "_VALUE", "")</f>
        <v>WAGON</v>
      </c>
      <c r="AP715"/>
      <c r="AQ715"/>
      <c r="AR715"/>
    </row>
    <row r="716" spans="1:44">
      <c r="A716" s="2" t="s">
        <v>892</v>
      </c>
      <c r="B716">
        <v>2010</v>
      </c>
      <c r="C716">
        <v>0</v>
      </c>
      <c r="D716" t="s">
        <v>35</v>
      </c>
      <c r="E716" t="s">
        <v>608</v>
      </c>
      <c r="F716">
        <v>65</v>
      </c>
      <c r="G716" s="10">
        <v>50</v>
      </c>
      <c r="H716">
        <v>4</v>
      </c>
      <c r="I716">
        <v>12</v>
      </c>
      <c r="J716" s="2" t="s">
        <v>33</v>
      </c>
      <c r="K716">
        <f>_xlfn.XLOOKUP("LOADINGSPEEDDEF_"&amp;PROPERTIES[[#This Row],[LOADINGSPEED]],LOADINGSPEEDDEF[TYPE],LOADINGSPEEDDEF[SPEED])</f>
        <v>20</v>
      </c>
      <c r="L716" t="s">
        <v>21</v>
      </c>
      <c r="M716">
        <v>0</v>
      </c>
      <c r="N716">
        <v>0</v>
      </c>
      <c r="O716">
        <v>140</v>
      </c>
      <c r="P716" s="2">
        <v>0.3</v>
      </c>
      <c r="Q716" s="6">
        <v>25</v>
      </c>
      <c r="R716" s="10">
        <v>0</v>
      </c>
      <c r="S716" s="10">
        <v>0</v>
      </c>
      <c r="T716" s="10"/>
      <c r="U716" t="str">
        <f>"RUNNING_COST_"&amp;IF(PROPERTIES[[#This Row],[ENGINE_CLASS]]="MAGLEV","ELECTRIC",PROPERTIES[[#This Row],[ENGINE_CLASS]])</f>
        <v>RUNNING_COST_DIESEL</v>
      </c>
      <c r="V716" s="10" t="s">
        <v>1016</v>
      </c>
      <c r="W716" s="10" t="s">
        <v>1017</v>
      </c>
      <c r="X716" s="10" t="str">
        <f>SUBSTITUTE(SUBSTITUTE(PROPERTIES[[#This Row],[PURCHASECOST_VALUE]], "PURCHASECOST_", ""), "_VALUE", "")</f>
        <v>WAGON</v>
      </c>
      <c r="AP716"/>
      <c r="AQ716"/>
      <c r="AR716"/>
    </row>
    <row r="717" spans="1:44">
      <c r="A717" s="2" t="s">
        <v>907</v>
      </c>
      <c r="B717">
        <v>1660</v>
      </c>
      <c r="C717">
        <v>0</v>
      </c>
      <c r="D717" t="s">
        <v>35</v>
      </c>
      <c r="E717" t="s">
        <v>20</v>
      </c>
      <c r="F717">
        <v>0</v>
      </c>
      <c r="G717" s="10">
        <v>15</v>
      </c>
      <c r="H717">
        <v>5</v>
      </c>
      <c r="I717">
        <v>5</v>
      </c>
      <c r="J717" s="2" t="s">
        <v>33</v>
      </c>
      <c r="K717">
        <f>_xlfn.XLOOKUP("LOADINGSPEEDDEF_"&amp;PROPERTIES[[#This Row],[LOADINGSPEED]],LOADINGSPEEDDEF[TYPE],LOADINGSPEEDDEF[SPEED])</f>
        <v>20</v>
      </c>
      <c r="L717" t="s">
        <v>21</v>
      </c>
      <c r="M717">
        <v>0</v>
      </c>
      <c r="N717">
        <v>0</v>
      </c>
      <c r="O717">
        <v>0</v>
      </c>
      <c r="P717" s="2">
        <v>0.3</v>
      </c>
      <c r="Q717" s="6">
        <v>25</v>
      </c>
      <c r="R717" s="10">
        <v>0</v>
      </c>
      <c r="S717" s="10">
        <v>0</v>
      </c>
      <c r="T717" s="10"/>
      <c r="U717" t="str">
        <f>"RUNNING_COST_"&amp;IF(PROPERTIES[[#This Row],[ENGINE_CLASS]]="MAGLEV","ELECTRIC",PROPERTIES[[#This Row],[ENGINE_CLASS]])</f>
        <v>RUNNING_COST_DIESEL</v>
      </c>
      <c r="V717" s="10" t="s">
        <v>1016</v>
      </c>
      <c r="W717" s="10" t="s">
        <v>1017</v>
      </c>
      <c r="X717" s="10" t="str">
        <f>SUBSTITUTE(SUBSTITUTE(PROPERTIES[[#This Row],[PURCHASECOST_VALUE]], "PURCHASECOST_", ""), "_VALUE", "")</f>
        <v>WAGON</v>
      </c>
      <c r="AP717"/>
      <c r="AQ717"/>
      <c r="AR717"/>
    </row>
    <row r="718" spans="1:44">
      <c r="A718" s="2" t="s">
        <v>908</v>
      </c>
      <c r="B718">
        <v>1660</v>
      </c>
      <c r="C718">
        <v>0</v>
      </c>
      <c r="D718" t="s">
        <v>35</v>
      </c>
      <c r="E718" t="s">
        <v>20</v>
      </c>
      <c r="F718">
        <v>0</v>
      </c>
      <c r="G718" s="10">
        <v>15</v>
      </c>
      <c r="H718">
        <v>5</v>
      </c>
      <c r="I718">
        <v>5</v>
      </c>
      <c r="J718" s="2" t="s">
        <v>33</v>
      </c>
      <c r="K718">
        <f>_xlfn.XLOOKUP("LOADINGSPEEDDEF_"&amp;PROPERTIES[[#This Row],[LOADINGSPEED]],LOADINGSPEEDDEF[TYPE],LOADINGSPEEDDEF[SPEED])</f>
        <v>20</v>
      </c>
      <c r="L718" t="s">
        <v>21</v>
      </c>
      <c r="M718">
        <v>0</v>
      </c>
      <c r="N718">
        <v>0</v>
      </c>
      <c r="O718">
        <v>0</v>
      </c>
      <c r="P718" s="2">
        <v>0.3</v>
      </c>
      <c r="Q718" s="6">
        <v>25</v>
      </c>
      <c r="R718" s="10">
        <v>0</v>
      </c>
      <c r="S718" s="10">
        <v>0</v>
      </c>
      <c r="T718" s="10"/>
      <c r="U718" t="str">
        <f>"RUNNING_COST_"&amp;IF(PROPERTIES[[#This Row],[ENGINE_CLASS]]="MAGLEV","ELECTRIC",PROPERTIES[[#This Row],[ENGINE_CLASS]])</f>
        <v>RUNNING_COST_DIESEL</v>
      </c>
      <c r="V718" s="10" t="s">
        <v>1016</v>
      </c>
      <c r="W718" s="10" t="s">
        <v>1017</v>
      </c>
      <c r="X718" s="10" t="str">
        <f>SUBSTITUTE(SUBSTITUTE(PROPERTIES[[#This Row],[PURCHASECOST_VALUE]], "PURCHASECOST_", ""), "_VALUE", "")</f>
        <v>WAGON</v>
      </c>
      <c r="AP718"/>
      <c r="AQ718"/>
      <c r="AR718"/>
    </row>
    <row r="719" spans="1:44">
      <c r="A719" s="2" t="s">
        <v>764</v>
      </c>
      <c r="B719">
        <v>1830</v>
      </c>
      <c r="C719">
        <v>0</v>
      </c>
      <c r="D719" t="s">
        <v>35</v>
      </c>
      <c r="E719" t="s">
        <v>325</v>
      </c>
      <c r="F719">
        <v>20</v>
      </c>
      <c r="G719" s="10">
        <v>5</v>
      </c>
      <c r="H719">
        <v>4</v>
      </c>
      <c r="I719">
        <v>4</v>
      </c>
      <c r="J719" s="2" t="s">
        <v>24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>
        <v>0</v>
      </c>
      <c r="O719">
        <v>50</v>
      </c>
      <c r="P719" s="2">
        <v>0.3</v>
      </c>
      <c r="Q719" s="6">
        <v>25</v>
      </c>
      <c r="R719" s="10">
        <v>0</v>
      </c>
      <c r="S719" s="10">
        <v>0</v>
      </c>
      <c r="T719" s="10"/>
      <c r="U719" t="str">
        <f>"RUNNING_COST_"&amp;IF(PROPERTIES[[#This Row],[ENGINE_CLASS]]="MAGLEV","ELECTRIC",PROPERTIES[[#This Row],[ENGINE_CLASS]])</f>
        <v>RUNNING_COST_DIESEL</v>
      </c>
      <c r="V719" s="10" t="s">
        <v>1018</v>
      </c>
      <c r="W719" s="10" t="s">
        <v>1019</v>
      </c>
      <c r="X719" s="10" t="str">
        <f>SUBSTITUTE(SUBSTITUTE(PROPERTIES[[#This Row],[PURCHASECOST_VALUE]], "PURCHASECOST_", ""), "_VALUE", "")</f>
        <v>COACH</v>
      </c>
      <c r="AP719"/>
      <c r="AQ719"/>
      <c r="AR719"/>
    </row>
    <row r="720" spans="1:44">
      <c r="A720" s="2" t="s">
        <v>765</v>
      </c>
      <c r="B720">
        <v>1830</v>
      </c>
      <c r="C720">
        <v>0</v>
      </c>
      <c r="D720" t="s">
        <v>35</v>
      </c>
      <c r="E720" t="s">
        <v>325</v>
      </c>
      <c r="F720">
        <v>16</v>
      </c>
      <c r="G720" s="10">
        <v>5</v>
      </c>
      <c r="H720">
        <v>4</v>
      </c>
      <c r="I720">
        <v>4</v>
      </c>
      <c r="J720" s="2" t="s">
        <v>479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>
        <v>0</v>
      </c>
      <c r="O720">
        <v>65</v>
      </c>
      <c r="P720" s="2">
        <v>0.3</v>
      </c>
      <c r="Q720" s="6">
        <v>25</v>
      </c>
      <c r="R720" s="10">
        <v>0</v>
      </c>
      <c r="S720" s="10">
        <v>0</v>
      </c>
      <c r="T720" s="10"/>
      <c r="U720" t="str">
        <f>"RUNNING_COST_"&amp;IF(PROPERTIES[[#This Row],[ENGINE_CLASS]]="MAGLEV","ELECTRIC",PROPERTIES[[#This Row],[ENGINE_CLASS]])</f>
        <v>RUNNING_COST_DIESEL</v>
      </c>
      <c r="V720" s="10" t="s">
        <v>1018</v>
      </c>
      <c r="W720" s="10" t="s">
        <v>1019</v>
      </c>
      <c r="X720" s="10" t="str">
        <f>SUBSTITUTE(SUBSTITUTE(PROPERTIES[[#This Row],[PURCHASECOST_VALUE]], "PURCHASECOST_", ""), "_VALUE", "")</f>
        <v>COACH</v>
      </c>
      <c r="AP720"/>
      <c r="AQ720"/>
      <c r="AR720"/>
    </row>
    <row r="721" spans="1:44">
      <c r="A721" s="2" t="s">
        <v>766</v>
      </c>
      <c r="B721">
        <v>1830</v>
      </c>
      <c r="C721">
        <v>0</v>
      </c>
      <c r="D721" t="s">
        <v>35</v>
      </c>
      <c r="E721" t="s">
        <v>673</v>
      </c>
      <c r="F721">
        <v>12</v>
      </c>
      <c r="G721" s="10">
        <v>5</v>
      </c>
      <c r="H721">
        <v>4</v>
      </c>
      <c r="I721">
        <v>4</v>
      </c>
      <c r="J721" s="2" t="s">
        <v>674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>
        <v>0</v>
      </c>
      <c r="O721">
        <v>50</v>
      </c>
      <c r="P721" s="2">
        <v>0.3</v>
      </c>
      <c r="Q721" s="6">
        <v>25</v>
      </c>
      <c r="R721" s="10">
        <v>0</v>
      </c>
      <c r="S721" s="10">
        <v>0</v>
      </c>
      <c r="T721" s="10"/>
      <c r="U721" t="str">
        <f>"RUNNING_COST_"&amp;IF(PROPERTIES[[#This Row],[ENGINE_CLASS]]="MAGLEV","ELECTRIC",PROPERTIES[[#This Row],[ENGINE_CLASS]])</f>
        <v>RUNNING_COST_DIESEL</v>
      </c>
      <c r="V721" s="10" t="s">
        <v>1018</v>
      </c>
      <c r="W721" s="10" t="s">
        <v>1019</v>
      </c>
      <c r="X721" s="10" t="str">
        <f>SUBSTITUTE(SUBSTITUTE(PROPERTIES[[#This Row],[PURCHASECOST_VALUE]], "PURCHASECOST_", ""), "_VALUE", "")</f>
        <v>COACH</v>
      </c>
      <c r="AP721"/>
      <c r="AQ721"/>
      <c r="AR721"/>
    </row>
    <row r="722" spans="1:44">
      <c r="A722" s="2" t="s">
        <v>767</v>
      </c>
      <c r="B722">
        <v>1840</v>
      </c>
      <c r="C722">
        <v>0</v>
      </c>
      <c r="D722" t="s">
        <v>35</v>
      </c>
      <c r="E722" t="s">
        <v>325</v>
      </c>
      <c r="F722">
        <v>60</v>
      </c>
      <c r="G722" s="10">
        <v>28</v>
      </c>
      <c r="H722">
        <v>6</v>
      </c>
      <c r="I722">
        <v>6</v>
      </c>
      <c r="J722" s="2" t="s">
        <v>24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>
        <v>0</v>
      </c>
      <c r="O722">
        <v>80</v>
      </c>
      <c r="P722" s="2">
        <v>0.3</v>
      </c>
      <c r="Q722" s="6">
        <v>25</v>
      </c>
      <c r="R722" s="10">
        <v>0</v>
      </c>
      <c r="S722" s="10">
        <v>0</v>
      </c>
      <c r="T722" s="10"/>
      <c r="U722" t="str">
        <f>"RUNNING_COST_"&amp;IF(PROPERTIES[[#This Row],[ENGINE_CLASS]]="MAGLEV","ELECTRIC",PROPERTIES[[#This Row],[ENGINE_CLASS]])</f>
        <v>RUNNING_COST_DIESEL</v>
      </c>
      <c r="V722" s="10" t="s">
        <v>1018</v>
      </c>
      <c r="W722" s="10" t="s">
        <v>1019</v>
      </c>
      <c r="X722" s="10" t="str">
        <f>SUBSTITUTE(SUBSTITUTE(PROPERTIES[[#This Row],[PURCHASECOST_VALUE]], "PURCHASECOST_", ""), "_VALUE", "")</f>
        <v>COACH</v>
      </c>
      <c r="AP722"/>
      <c r="AQ722"/>
      <c r="AR722"/>
    </row>
    <row r="723" spans="1:44">
      <c r="A723" s="2" t="s">
        <v>768</v>
      </c>
      <c r="B723">
        <v>1840</v>
      </c>
      <c r="C723">
        <v>0</v>
      </c>
      <c r="D723" t="s">
        <v>35</v>
      </c>
      <c r="E723" t="s">
        <v>325</v>
      </c>
      <c r="F723">
        <v>50</v>
      </c>
      <c r="G723" s="10">
        <v>28</v>
      </c>
      <c r="H723">
        <v>6</v>
      </c>
      <c r="I723">
        <v>6</v>
      </c>
      <c r="J723" s="2" t="s">
        <v>479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>
        <v>0</v>
      </c>
      <c r="O723">
        <v>90</v>
      </c>
      <c r="P723" s="2">
        <v>0.3</v>
      </c>
      <c r="Q723" s="6">
        <v>25</v>
      </c>
      <c r="R723" s="10">
        <v>0</v>
      </c>
      <c r="S723" s="10">
        <v>0</v>
      </c>
      <c r="T723" s="10"/>
      <c r="U723" t="str">
        <f>"RUNNING_COST_"&amp;IF(PROPERTIES[[#This Row],[ENGINE_CLASS]]="MAGLEV","ELECTRIC",PROPERTIES[[#This Row],[ENGINE_CLASS]])</f>
        <v>RUNNING_COST_DIESEL</v>
      </c>
      <c r="V723" s="10" t="s">
        <v>1018</v>
      </c>
      <c r="W723" s="10" t="s">
        <v>1019</v>
      </c>
      <c r="X723" s="10" t="str">
        <f>SUBSTITUTE(SUBSTITUTE(PROPERTIES[[#This Row],[PURCHASECOST_VALUE]], "PURCHASECOST_", ""), "_VALUE", "")</f>
        <v>COACH</v>
      </c>
      <c r="AP723"/>
      <c r="AQ723"/>
      <c r="AR723"/>
    </row>
    <row r="724" spans="1:44">
      <c r="A724" s="2" t="s">
        <v>769</v>
      </c>
      <c r="B724">
        <v>1840</v>
      </c>
      <c r="C724">
        <v>0</v>
      </c>
      <c r="D724" t="s">
        <v>35</v>
      </c>
      <c r="E724" t="s">
        <v>673</v>
      </c>
      <c r="F724">
        <v>40</v>
      </c>
      <c r="G724" s="10">
        <v>28</v>
      </c>
      <c r="H724">
        <v>6</v>
      </c>
      <c r="I724">
        <v>6</v>
      </c>
      <c r="J724" s="2" t="s">
        <v>674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>
        <v>0</v>
      </c>
      <c r="O724">
        <v>90</v>
      </c>
      <c r="P724" s="2">
        <v>0.3</v>
      </c>
      <c r="Q724" s="6">
        <v>25</v>
      </c>
      <c r="R724" s="10">
        <v>0</v>
      </c>
      <c r="S724" s="10">
        <v>0</v>
      </c>
      <c r="T724" s="10"/>
      <c r="U724" t="str">
        <f>"RUNNING_COST_"&amp;IF(PROPERTIES[[#This Row],[ENGINE_CLASS]]="MAGLEV","ELECTRIC",PROPERTIES[[#This Row],[ENGINE_CLASS]])</f>
        <v>RUNNING_COST_DIESEL</v>
      </c>
      <c r="V724" s="10" t="s">
        <v>1018</v>
      </c>
      <c r="W724" s="10" t="s">
        <v>1019</v>
      </c>
      <c r="X724" s="10" t="str">
        <f>SUBSTITUTE(SUBSTITUTE(PROPERTIES[[#This Row],[PURCHASECOST_VALUE]], "PURCHASECOST_", ""), "_VALUE", "")</f>
        <v>COACH</v>
      </c>
      <c r="AP724"/>
      <c r="AQ724"/>
      <c r="AR724"/>
    </row>
    <row r="725" spans="1:44">
      <c r="A725" s="2" t="s">
        <v>770</v>
      </c>
      <c r="B725">
        <v>1850</v>
      </c>
      <c r="C725">
        <v>0</v>
      </c>
      <c r="D725" t="s">
        <v>35</v>
      </c>
      <c r="E725" t="s">
        <v>325</v>
      </c>
      <c r="F725">
        <v>50</v>
      </c>
      <c r="G725" s="10">
        <v>13</v>
      </c>
      <c r="H725">
        <v>5</v>
      </c>
      <c r="I725">
        <v>5</v>
      </c>
      <c r="J725" s="2" t="s">
        <v>24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>
        <v>0</v>
      </c>
      <c r="O725">
        <v>80</v>
      </c>
      <c r="P725" s="2">
        <v>0.3</v>
      </c>
      <c r="Q725" s="6">
        <v>25</v>
      </c>
      <c r="R725" s="10">
        <v>0</v>
      </c>
      <c r="S725" s="10">
        <v>0</v>
      </c>
      <c r="T725" s="10"/>
      <c r="U725" t="str">
        <f>"RUNNING_COST_"&amp;IF(PROPERTIES[[#This Row],[ENGINE_CLASS]]="MAGLEV","ELECTRIC",PROPERTIES[[#This Row],[ENGINE_CLASS]])</f>
        <v>RUNNING_COST_DIESEL</v>
      </c>
      <c r="V725" s="10" t="s">
        <v>1018</v>
      </c>
      <c r="W725" s="10" t="s">
        <v>1019</v>
      </c>
      <c r="X725" s="10" t="str">
        <f>SUBSTITUTE(SUBSTITUTE(PROPERTIES[[#This Row],[PURCHASECOST_VALUE]], "PURCHASECOST_", ""), "_VALUE", "")</f>
        <v>COACH</v>
      </c>
      <c r="AP725"/>
      <c r="AQ725"/>
      <c r="AR725"/>
    </row>
    <row r="726" spans="1:44">
      <c r="A726" s="2" t="s">
        <v>771</v>
      </c>
      <c r="B726">
        <v>1850</v>
      </c>
      <c r="C726">
        <v>0</v>
      </c>
      <c r="D726" t="s">
        <v>35</v>
      </c>
      <c r="E726" t="s">
        <v>325</v>
      </c>
      <c r="F726">
        <v>40</v>
      </c>
      <c r="G726" s="10">
        <v>13</v>
      </c>
      <c r="H726">
        <v>5</v>
      </c>
      <c r="I726">
        <v>5</v>
      </c>
      <c r="J726" s="2" t="s">
        <v>479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>
        <v>0</v>
      </c>
      <c r="O726">
        <v>90</v>
      </c>
      <c r="P726" s="2">
        <v>0.3</v>
      </c>
      <c r="Q726" s="6">
        <v>25</v>
      </c>
      <c r="R726" s="10">
        <v>0</v>
      </c>
      <c r="S726" s="10">
        <v>0</v>
      </c>
      <c r="T726" s="10"/>
      <c r="U726" t="str">
        <f>"RUNNING_COST_"&amp;IF(PROPERTIES[[#This Row],[ENGINE_CLASS]]="MAGLEV","ELECTRIC",PROPERTIES[[#This Row],[ENGINE_CLASS]])</f>
        <v>RUNNING_COST_DIESEL</v>
      </c>
      <c r="V726" s="10" t="s">
        <v>1018</v>
      </c>
      <c r="W726" s="10" t="s">
        <v>1019</v>
      </c>
      <c r="X726" s="10" t="str">
        <f>SUBSTITUTE(SUBSTITUTE(PROPERTIES[[#This Row],[PURCHASECOST_VALUE]], "PURCHASECOST_", ""), "_VALUE", "")</f>
        <v>COACH</v>
      </c>
      <c r="AP726"/>
      <c r="AQ726"/>
      <c r="AR726"/>
    </row>
    <row r="727" spans="1:44">
      <c r="A727" s="2" t="s">
        <v>772</v>
      </c>
      <c r="B727">
        <v>1850</v>
      </c>
      <c r="C727">
        <v>0</v>
      </c>
      <c r="D727" t="s">
        <v>35</v>
      </c>
      <c r="E727" t="s">
        <v>673</v>
      </c>
      <c r="F727">
        <v>24</v>
      </c>
      <c r="G727" s="10">
        <v>13</v>
      </c>
      <c r="H727">
        <v>5</v>
      </c>
      <c r="I727">
        <v>5</v>
      </c>
      <c r="J727" s="2" t="s">
        <v>674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>
        <v>0</v>
      </c>
      <c r="O727">
        <v>80</v>
      </c>
      <c r="P727" s="2">
        <v>0.3</v>
      </c>
      <c r="Q727" s="6">
        <v>25</v>
      </c>
      <c r="R727" s="10">
        <v>0</v>
      </c>
      <c r="S727" s="10">
        <v>0</v>
      </c>
      <c r="T727" s="10"/>
      <c r="U727" t="str">
        <f>"RUNNING_COST_"&amp;IF(PROPERTIES[[#This Row],[ENGINE_CLASS]]="MAGLEV","ELECTRIC",PROPERTIES[[#This Row],[ENGINE_CLASS]])</f>
        <v>RUNNING_COST_DIESEL</v>
      </c>
      <c r="V727" s="10" t="s">
        <v>1018</v>
      </c>
      <c r="W727" s="10" t="s">
        <v>1019</v>
      </c>
      <c r="X727" s="10" t="str">
        <f>SUBSTITUTE(SUBSTITUTE(PROPERTIES[[#This Row],[PURCHASECOST_VALUE]], "PURCHASECOST_", ""), "_VALUE", "")</f>
        <v>COACH</v>
      </c>
      <c r="AP727"/>
      <c r="AQ727"/>
      <c r="AR727"/>
    </row>
    <row r="728" spans="1:44">
      <c r="A728" s="2" t="s">
        <v>773</v>
      </c>
      <c r="B728">
        <v>1900</v>
      </c>
      <c r="C728">
        <v>0</v>
      </c>
      <c r="D728" t="s">
        <v>35</v>
      </c>
      <c r="E728" t="s">
        <v>325</v>
      </c>
      <c r="F728">
        <v>60</v>
      </c>
      <c r="G728" s="10">
        <v>73</v>
      </c>
      <c r="H728">
        <v>8</v>
      </c>
      <c r="I728">
        <v>8</v>
      </c>
      <c r="J728" s="2" t="s">
        <v>479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>
        <v>0</v>
      </c>
      <c r="O728">
        <v>160</v>
      </c>
      <c r="P728" s="2">
        <v>0.3</v>
      </c>
      <c r="Q728" s="6">
        <v>25</v>
      </c>
      <c r="R728" s="10">
        <v>0</v>
      </c>
      <c r="S728" s="10">
        <v>0</v>
      </c>
      <c r="T728" s="10"/>
      <c r="U728" t="str">
        <f>"RUNNING_COST_"&amp;IF(PROPERTIES[[#This Row],[ENGINE_CLASS]]="MAGLEV","ELECTRIC",PROPERTIES[[#This Row],[ENGINE_CLASS]])</f>
        <v>RUNNING_COST_DIESEL</v>
      </c>
      <c r="V728" s="10" t="s">
        <v>1018</v>
      </c>
      <c r="W728" s="10" t="s">
        <v>1019</v>
      </c>
      <c r="X728" s="10" t="str">
        <f>SUBSTITUTE(SUBSTITUTE(PROPERTIES[[#This Row],[PURCHASECOST_VALUE]], "PURCHASECOST_", ""), "_VALUE", "")</f>
        <v>COACH</v>
      </c>
      <c r="AP728"/>
      <c r="AQ728"/>
      <c r="AR728"/>
    </row>
    <row r="729" spans="1:44">
      <c r="A729" s="2" t="s">
        <v>774</v>
      </c>
      <c r="B729">
        <v>1900</v>
      </c>
      <c r="C729">
        <v>0</v>
      </c>
      <c r="D729" t="s">
        <v>35</v>
      </c>
      <c r="E729" t="s">
        <v>673</v>
      </c>
      <c r="F729">
        <v>90</v>
      </c>
      <c r="G729" s="10">
        <v>58</v>
      </c>
      <c r="H729">
        <v>8</v>
      </c>
      <c r="I729">
        <v>8</v>
      </c>
      <c r="J729" s="2" t="s">
        <v>479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>
        <v>0</v>
      </c>
      <c r="O729">
        <v>120</v>
      </c>
      <c r="P729" s="2">
        <v>0.3</v>
      </c>
      <c r="Q729" s="6">
        <v>25</v>
      </c>
      <c r="R729" s="10">
        <v>0</v>
      </c>
      <c r="S729" s="10">
        <v>0</v>
      </c>
      <c r="T729" s="10"/>
      <c r="U729" t="str">
        <f>"RUNNING_COST_"&amp;IF(PROPERTIES[[#This Row],[ENGINE_CLASS]]="MAGLEV","ELECTRIC",PROPERTIES[[#This Row],[ENGINE_CLASS]])</f>
        <v>RUNNING_COST_DIESEL</v>
      </c>
      <c r="V729" s="10" t="s">
        <v>1018</v>
      </c>
      <c r="W729" s="10" t="s">
        <v>1019</v>
      </c>
      <c r="X729" s="10" t="str">
        <f>SUBSTITUTE(SUBSTITUTE(PROPERTIES[[#This Row],[PURCHASECOST_VALUE]], "PURCHASECOST_", ""), "_VALUE", "")</f>
        <v>COACH</v>
      </c>
      <c r="AP729"/>
      <c r="AQ729"/>
      <c r="AR729"/>
    </row>
    <row r="730" spans="1:44">
      <c r="A730" s="2" t="s">
        <v>775</v>
      </c>
      <c r="B730">
        <v>1910</v>
      </c>
      <c r="C730">
        <v>0</v>
      </c>
      <c r="D730" t="s">
        <v>35</v>
      </c>
      <c r="E730" t="s">
        <v>325</v>
      </c>
      <c r="F730">
        <v>55</v>
      </c>
      <c r="G730" s="10">
        <v>40</v>
      </c>
      <c r="H730">
        <v>7</v>
      </c>
      <c r="I730">
        <v>7</v>
      </c>
      <c r="J730" s="2" t="s">
        <v>479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>
        <v>0</v>
      </c>
      <c r="O730">
        <v>120</v>
      </c>
      <c r="P730" s="2">
        <v>0.3</v>
      </c>
      <c r="Q730" s="6">
        <v>25</v>
      </c>
      <c r="R730" s="10">
        <v>0</v>
      </c>
      <c r="S730" s="10">
        <v>0</v>
      </c>
      <c r="T730" s="10"/>
      <c r="U730" t="str">
        <f>"RUNNING_COST_"&amp;IF(PROPERTIES[[#This Row],[ENGINE_CLASS]]="MAGLEV","ELECTRIC",PROPERTIES[[#This Row],[ENGINE_CLASS]])</f>
        <v>RUNNING_COST_DIESEL</v>
      </c>
      <c r="V730" s="10" t="s">
        <v>1018</v>
      </c>
      <c r="W730" s="10" t="s">
        <v>1019</v>
      </c>
      <c r="X730" s="10" t="str">
        <f>SUBSTITUTE(SUBSTITUTE(PROPERTIES[[#This Row],[PURCHASECOST_VALUE]], "PURCHASECOST_", ""), "_VALUE", "")</f>
        <v>COACH</v>
      </c>
      <c r="AP730"/>
      <c r="AQ730"/>
      <c r="AR730"/>
    </row>
    <row r="731" spans="1:44">
      <c r="A731" s="2" t="s">
        <v>776</v>
      </c>
      <c r="B731">
        <v>1910</v>
      </c>
      <c r="C731">
        <v>0</v>
      </c>
      <c r="D731" t="s">
        <v>35</v>
      </c>
      <c r="E731" t="s">
        <v>325</v>
      </c>
      <c r="F731">
        <v>75</v>
      </c>
      <c r="G731" s="10">
        <v>36</v>
      </c>
      <c r="H731">
        <v>7</v>
      </c>
      <c r="I731">
        <v>7</v>
      </c>
      <c r="J731" s="2" t="s">
        <v>24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>
        <v>0</v>
      </c>
      <c r="O731">
        <v>110</v>
      </c>
      <c r="P731" s="2">
        <v>0.3</v>
      </c>
      <c r="Q731" s="6">
        <v>25</v>
      </c>
      <c r="R731" s="10">
        <v>0</v>
      </c>
      <c r="S731" s="10">
        <v>0</v>
      </c>
      <c r="T731" s="10"/>
      <c r="U731" t="str">
        <f>"RUNNING_COST_"&amp;IF(PROPERTIES[[#This Row],[ENGINE_CLASS]]="MAGLEV","ELECTRIC",PROPERTIES[[#This Row],[ENGINE_CLASS]])</f>
        <v>RUNNING_COST_DIESEL</v>
      </c>
      <c r="V731" s="10" t="s">
        <v>1018</v>
      </c>
      <c r="W731" s="10" t="s">
        <v>1019</v>
      </c>
      <c r="X731" s="10" t="str">
        <f>SUBSTITUTE(SUBSTITUTE(PROPERTIES[[#This Row],[PURCHASECOST_VALUE]], "PURCHASECOST_", ""), "_VALUE", "")</f>
        <v>COACH</v>
      </c>
      <c r="AP731"/>
      <c r="AQ731"/>
      <c r="AR731"/>
    </row>
    <row r="732" spans="1:44">
      <c r="A732" s="2" t="s">
        <v>777</v>
      </c>
      <c r="B732">
        <v>1910</v>
      </c>
      <c r="C732">
        <v>0</v>
      </c>
      <c r="D732" t="s">
        <v>35</v>
      </c>
      <c r="E732" t="s">
        <v>325</v>
      </c>
      <c r="F732">
        <v>65</v>
      </c>
      <c r="G732" s="10">
        <v>33</v>
      </c>
      <c r="H732">
        <v>7</v>
      </c>
      <c r="I732">
        <v>7</v>
      </c>
      <c r="J732" s="2" t="s">
        <v>479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>
        <v>0</v>
      </c>
      <c r="O732">
        <v>110</v>
      </c>
      <c r="P732" s="2">
        <v>0.3</v>
      </c>
      <c r="Q732" s="6">
        <v>25</v>
      </c>
      <c r="R732" s="10">
        <v>0</v>
      </c>
      <c r="S732" s="10">
        <v>0</v>
      </c>
      <c r="T732" s="10"/>
      <c r="U732" t="str">
        <f>"RUNNING_COST_"&amp;IF(PROPERTIES[[#This Row],[ENGINE_CLASS]]="MAGLEV","ELECTRIC",PROPERTIES[[#This Row],[ENGINE_CLASS]])</f>
        <v>RUNNING_COST_DIESEL</v>
      </c>
      <c r="V732" s="10" t="s">
        <v>1018</v>
      </c>
      <c r="W732" s="10" t="s">
        <v>1019</v>
      </c>
      <c r="X732" s="10" t="str">
        <f>SUBSTITUTE(SUBSTITUTE(PROPERTIES[[#This Row],[PURCHASECOST_VALUE]], "PURCHASECOST_", ""), "_VALUE", "")</f>
        <v>COACH</v>
      </c>
      <c r="AP732"/>
      <c r="AQ732"/>
      <c r="AR732"/>
    </row>
    <row r="733" spans="1:44">
      <c r="A733" s="2" t="s">
        <v>778</v>
      </c>
      <c r="B733">
        <v>1910</v>
      </c>
      <c r="C733">
        <v>0</v>
      </c>
      <c r="D733" t="s">
        <v>35</v>
      </c>
      <c r="E733" t="s">
        <v>673</v>
      </c>
      <c r="F733">
        <v>56</v>
      </c>
      <c r="G733" s="10">
        <v>35</v>
      </c>
      <c r="H733">
        <v>7</v>
      </c>
      <c r="I733">
        <v>7</v>
      </c>
      <c r="J733" s="2" t="s">
        <v>674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>
        <v>0</v>
      </c>
      <c r="O733">
        <v>120</v>
      </c>
      <c r="P733" s="2">
        <v>0.3</v>
      </c>
      <c r="Q733" s="6">
        <v>25</v>
      </c>
      <c r="R733" s="10">
        <v>0</v>
      </c>
      <c r="S733" s="10">
        <v>0</v>
      </c>
      <c r="T733" s="10"/>
      <c r="U733" t="str">
        <f>"RUNNING_COST_"&amp;IF(PROPERTIES[[#This Row],[ENGINE_CLASS]]="MAGLEV","ELECTRIC",PROPERTIES[[#This Row],[ENGINE_CLASS]])</f>
        <v>RUNNING_COST_DIESEL</v>
      </c>
      <c r="V733" s="10" t="s">
        <v>1018</v>
      </c>
      <c r="W733" s="10" t="s">
        <v>1019</v>
      </c>
      <c r="X733" s="10" t="str">
        <f>SUBSTITUTE(SUBSTITUTE(PROPERTIES[[#This Row],[PURCHASECOST_VALUE]], "PURCHASECOST_", ""), "_VALUE", "")</f>
        <v>COACH</v>
      </c>
      <c r="AP733"/>
      <c r="AQ733"/>
      <c r="AR733"/>
    </row>
    <row r="734" spans="1:44">
      <c r="A734" s="2" t="s">
        <v>779</v>
      </c>
      <c r="B734">
        <v>1920</v>
      </c>
      <c r="C734">
        <v>0</v>
      </c>
      <c r="D734" t="s">
        <v>35</v>
      </c>
      <c r="E734" t="s">
        <v>325</v>
      </c>
      <c r="F734">
        <v>40</v>
      </c>
      <c r="G734" s="10">
        <v>20</v>
      </c>
      <c r="H734">
        <v>5</v>
      </c>
      <c r="I734">
        <v>5</v>
      </c>
      <c r="J734" s="2" t="s">
        <v>24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>
        <v>0</v>
      </c>
      <c r="O734">
        <v>100</v>
      </c>
      <c r="P734" s="2">
        <v>0.3</v>
      </c>
      <c r="Q734" s="6">
        <v>25</v>
      </c>
      <c r="R734" s="10">
        <v>0</v>
      </c>
      <c r="S734" s="10">
        <v>0</v>
      </c>
      <c r="T734" s="10"/>
      <c r="U734" t="str">
        <f>"RUNNING_COST_"&amp;IF(PROPERTIES[[#This Row],[ENGINE_CLASS]]="MAGLEV","ELECTRIC",PROPERTIES[[#This Row],[ENGINE_CLASS]])</f>
        <v>RUNNING_COST_DIESEL</v>
      </c>
      <c r="V734" s="10" t="s">
        <v>1018</v>
      </c>
      <c r="W734" s="10" t="s">
        <v>1019</v>
      </c>
      <c r="X734" s="10" t="str">
        <f>SUBSTITUTE(SUBSTITUTE(PROPERTIES[[#This Row],[PURCHASECOST_VALUE]], "PURCHASECOST_", ""), "_VALUE", "")</f>
        <v>COACH</v>
      </c>
      <c r="AP734"/>
      <c r="AQ734"/>
      <c r="AR734"/>
    </row>
    <row r="735" spans="1:44">
      <c r="A735" s="2" t="s">
        <v>780</v>
      </c>
      <c r="B735">
        <v>1920</v>
      </c>
      <c r="C735">
        <v>0</v>
      </c>
      <c r="D735" t="s">
        <v>35</v>
      </c>
      <c r="E735" t="s">
        <v>325</v>
      </c>
      <c r="F735">
        <v>40</v>
      </c>
      <c r="G735" s="10">
        <v>20</v>
      </c>
      <c r="H735">
        <v>5</v>
      </c>
      <c r="I735">
        <v>5</v>
      </c>
      <c r="J735" s="2" t="s">
        <v>479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>
        <v>0</v>
      </c>
      <c r="O735">
        <v>100</v>
      </c>
      <c r="P735" s="2">
        <v>0.3</v>
      </c>
      <c r="Q735" s="6">
        <v>25</v>
      </c>
      <c r="R735" s="10">
        <v>0</v>
      </c>
      <c r="S735" s="10">
        <v>0</v>
      </c>
      <c r="T735" s="10"/>
      <c r="U735" t="str">
        <f>"RUNNING_COST_"&amp;IF(PROPERTIES[[#This Row],[ENGINE_CLASS]]="MAGLEV","ELECTRIC",PROPERTIES[[#This Row],[ENGINE_CLASS]])</f>
        <v>RUNNING_COST_DIESEL</v>
      </c>
      <c r="V735" s="10" t="s">
        <v>1018</v>
      </c>
      <c r="W735" s="10" t="s">
        <v>1019</v>
      </c>
      <c r="X735" s="10" t="str">
        <f>SUBSTITUTE(SUBSTITUTE(PROPERTIES[[#This Row],[PURCHASECOST_VALUE]], "PURCHASECOST_", ""), "_VALUE", "")</f>
        <v>COACH</v>
      </c>
      <c r="AP735"/>
      <c r="AQ735"/>
      <c r="AR735"/>
    </row>
    <row r="736" spans="1:44">
      <c r="A736" s="2" t="s">
        <v>781</v>
      </c>
      <c r="B736">
        <v>1920</v>
      </c>
      <c r="C736">
        <v>0</v>
      </c>
      <c r="D736" t="s">
        <v>35</v>
      </c>
      <c r="E736" t="s">
        <v>673</v>
      </c>
      <c r="F736">
        <v>35</v>
      </c>
      <c r="G736" s="10">
        <v>20</v>
      </c>
      <c r="H736">
        <v>5</v>
      </c>
      <c r="I736">
        <v>5</v>
      </c>
      <c r="J736" s="2" t="s">
        <v>674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>
        <v>0</v>
      </c>
      <c r="O736">
        <v>100</v>
      </c>
      <c r="P736" s="2">
        <v>0.3</v>
      </c>
      <c r="Q736" s="6">
        <v>25</v>
      </c>
      <c r="R736" s="10">
        <v>0</v>
      </c>
      <c r="S736" s="10">
        <v>0</v>
      </c>
      <c r="T736" s="10"/>
      <c r="U736" t="str">
        <f>"RUNNING_COST_"&amp;IF(PROPERTIES[[#This Row],[ENGINE_CLASS]]="MAGLEV","ELECTRIC",PROPERTIES[[#This Row],[ENGINE_CLASS]])</f>
        <v>RUNNING_COST_DIESEL</v>
      </c>
      <c r="V736" s="10" t="s">
        <v>1018</v>
      </c>
      <c r="W736" s="10" t="s">
        <v>1019</v>
      </c>
      <c r="X736" s="10" t="str">
        <f>SUBSTITUTE(SUBSTITUTE(PROPERTIES[[#This Row],[PURCHASECOST_VALUE]], "PURCHASECOST_", ""), "_VALUE", "")</f>
        <v>COACH</v>
      </c>
      <c r="AP736"/>
      <c r="AQ736"/>
      <c r="AR736"/>
    </row>
    <row r="737" spans="1:44">
      <c r="A737" s="2" t="s">
        <v>782</v>
      </c>
      <c r="B737">
        <v>1920</v>
      </c>
      <c r="C737">
        <v>0</v>
      </c>
      <c r="D737" t="s">
        <v>35</v>
      </c>
      <c r="E737" t="s">
        <v>325</v>
      </c>
      <c r="F737">
        <v>40</v>
      </c>
      <c r="G737" s="10">
        <v>21</v>
      </c>
      <c r="H737">
        <v>6</v>
      </c>
      <c r="I737">
        <v>6</v>
      </c>
      <c r="J737" s="2" t="s">
        <v>24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>
        <v>0</v>
      </c>
      <c r="O737">
        <v>110</v>
      </c>
      <c r="P737" s="2">
        <v>0.3</v>
      </c>
      <c r="Q737" s="6">
        <v>25</v>
      </c>
      <c r="R737" s="10">
        <v>0</v>
      </c>
      <c r="S737" s="10">
        <v>0</v>
      </c>
      <c r="T737" s="10"/>
      <c r="U737" t="str">
        <f>"RUNNING_COST_"&amp;IF(PROPERTIES[[#This Row],[ENGINE_CLASS]]="MAGLEV","ELECTRIC",PROPERTIES[[#This Row],[ENGINE_CLASS]])</f>
        <v>RUNNING_COST_DIESEL</v>
      </c>
      <c r="V737" s="10" t="s">
        <v>1018</v>
      </c>
      <c r="W737" s="10" t="s">
        <v>1019</v>
      </c>
      <c r="X737" s="10" t="str">
        <f>SUBSTITUTE(SUBSTITUTE(PROPERTIES[[#This Row],[PURCHASECOST_VALUE]], "PURCHASECOST_", ""), "_VALUE", "")</f>
        <v>COACH</v>
      </c>
      <c r="AP737"/>
      <c r="AQ737"/>
      <c r="AR737"/>
    </row>
    <row r="738" spans="1:44">
      <c r="A738" s="2" t="s">
        <v>783</v>
      </c>
      <c r="B738">
        <v>1920</v>
      </c>
      <c r="C738">
        <v>0</v>
      </c>
      <c r="D738" t="s">
        <v>35</v>
      </c>
      <c r="E738" t="s">
        <v>325</v>
      </c>
      <c r="F738">
        <v>35</v>
      </c>
      <c r="G738" s="10">
        <v>22</v>
      </c>
      <c r="H738">
        <v>6</v>
      </c>
      <c r="I738">
        <v>6</v>
      </c>
      <c r="J738" s="2" t="s">
        <v>479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>
        <v>0</v>
      </c>
      <c r="O738">
        <v>120</v>
      </c>
      <c r="P738" s="2">
        <v>0.3</v>
      </c>
      <c r="Q738" s="6">
        <v>25</v>
      </c>
      <c r="R738" s="10">
        <v>0</v>
      </c>
      <c r="S738" s="10">
        <v>0</v>
      </c>
      <c r="T738" s="10"/>
      <c r="U738" t="str">
        <f>"RUNNING_COST_"&amp;IF(PROPERTIES[[#This Row],[ENGINE_CLASS]]="MAGLEV","ELECTRIC",PROPERTIES[[#This Row],[ENGINE_CLASS]])</f>
        <v>RUNNING_COST_DIESEL</v>
      </c>
      <c r="V738" s="10" t="s">
        <v>1018</v>
      </c>
      <c r="W738" s="10" t="s">
        <v>1019</v>
      </c>
      <c r="X738" s="10" t="str">
        <f>SUBSTITUTE(SUBSTITUTE(PROPERTIES[[#This Row],[PURCHASECOST_VALUE]], "PURCHASECOST_", ""), "_VALUE", "")</f>
        <v>COACH</v>
      </c>
      <c r="AP738"/>
      <c r="AQ738"/>
      <c r="AR738"/>
    </row>
    <row r="739" spans="1:44">
      <c r="A739" s="2" t="s">
        <v>784</v>
      </c>
      <c r="B739">
        <v>1920</v>
      </c>
      <c r="C739">
        <v>0</v>
      </c>
      <c r="D739" t="s">
        <v>35</v>
      </c>
      <c r="E739" t="s">
        <v>673</v>
      </c>
      <c r="F739">
        <v>40</v>
      </c>
      <c r="G739" s="10">
        <v>21</v>
      </c>
      <c r="H739">
        <v>6</v>
      </c>
      <c r="I739">
        <v>6</v>
      </c>
      <c r="J739" s="2" t="s">
        <v>674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>
        <v>0</v>
      </c>
      <c r="O739">
        <v>120</v>
      </c>
      <c r="P739" s="2">
        <v>0.3</v>
      </c>
      <c r="Q739" s="6">
        <v>25</v>
      </c>
      <c r="R739" s="10">
        <v>0</v>
      </c>
      <c r="S739" s="10">
        <v>0</v>
      </c>
      <c r="T739" s="10"/>
      <c r="U739" t="str">
        <f>"RUNNING_COST_"&amp;IF(PROPERTIES[[#This Row],[ENGINE_CLASS]]="MAGLEV","ELECTRIC",PROPERTIES[[#This Row],[ENGINE_CLASS]])</f>
        <v>RUNNING_COST_DIESEL</v>
      </c>
      <c r="V739" s="10" t="s">
        <v>1018</v>
      </c>
      <c r="W739" s="10" t="s">
        <v>1019</v>
      </c>
      <c r="X739" s="10" t="str">
        <f>SUBSTITUTE(SUBSTITUTE(PROPERTIES[[#This Row],[PURCHASECOST_VALUE]], "PURCHASECOST_", ""), "_VALUE", "")</f>
        <v>COACH</v>
      </c>
      <c r="AP739"/>
      <c r="AQ739"/>
      <c r="AR739"/>
    </row>
    <row r="740" spans="1:44">
      <c r="A740" s="2" t="s">
        <v>785</v>
      </c>
      <c r="B740">
        <v>1930</v>
      </c>
      <c r="C740">
        <v>0</v>
      </c>
      <c r="D740" t="s">
        <v>35</v>
      </c>
      <c r="E740" t="s">
        <v>325</v>
      </c>
      <c r="F740">
        <v>60</v>
      </c>
      <c r="G740" s="10">
        <v>38</v>
      </c>
      <c r="H740">
        <v>8</v>
      </c>
      <c r="I740">
        <v>8</v>
      </c>
      <c r="J740" s="2" t="s">
        <v>479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>
        <v>0</v>
      </c>
      <c r="O740">
        <v>160</v>
      </c>
      <c r="P740" s="2">
        <v>0.3</v>
      </c>
      <c r="Q740" s="6">
        <v>25</v>
      </c>
      <c r="R740" s="10">
        <v>0</v>
      </c>
      <c r="S740" s="10">
        <v>0</v>
      </c>
      <c r="T740" s="10"/>
      <c r="U740" t="str">
        <f>"RUNNING_COST_"&amp;IF(PROPERTIES[[#This Row],[ENGINE_CLASS]]="MAGLEV","ELECTRIC",PROPERTIES[[#This Row],[ENGINE_CLASS]])</f>
        <v>RUNNING_COST_DIESEL</v>
      </c>
      <c r="V740" s="10" t="s">
        <v>1018</v>
      </c>
      <c r="W740" s="10" t="s">
        <v>1019</v>
      </c>
      <c r="X740" s="10" t="str">
        <f>SUBSTITUTE(SUBSTITUTE(PROPERTIES[[#This Row],[PURCHASECOST_VALUE]], "PURCHASECOST_", ""), "_VALUE", "")</f>
        <v>COACH</v>
      </c>
      <c r="AP740"/>
      <c r="AQ740"/>
      <c r="AR740"/>
    </row>
    <row r="741" spans="1:44">
      <c r="A741" s="2" t="s">
        <v>786</v>
      </c>
      <c r="B741">
        <v>1930</v>
      </c>
      <c r="C741">
        <v>0</v>
      </c>
      <c r="D741" t="s">
        <v>35</v>
      </c>
      <c r="E741" t="s">
        <v>325</v>
      </c>
      <c r="F741">
        <v>55</v>
      </c>
      <c r="G741" s="10">
        <v>35</v>
      </c>
      <c r="H741">
        <v>8</v>
      </c>
      <c r="I741">
        <v>8</v>
      </c>
      <c r="J741" s="2" t="s">
        <v>479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>
        <v>0</v>
      </c>
      <c r="O741">
        <v>120</v>
      </c>
      <c r="P741" s="2">
        <v>0.3</v>
      </c>
      <c r="Q741" s="6">
        <v>25</v>
      </c>
      <c r="R741" s="10">
        <v>0</v>
      </c>
      <c r="S741" s="10">
        <v>0</v>
      </c>
      <c r="T741" s="10"/>
      <c r="U741" t="str">
        <f>"RUNNING_COST_"&amp;IF(PROPERTIES[[#This Row],[ENGINE_CLASS]]="MAGLEV","ELECTRIC",PROPERTIES[[#This Row],[ENGINE_CLASS]])</f>
        <v>RUNNING_COST_DIESEL</v>
      </c>
      <c r="V741" s="10" t="s">
        <v>1018</v>
      </c>
      <c r="W741" s="10" t="s">
        <v>1019</v>
      </c>
      <c r="X741" s="10" t="str">
        <f>SUBSTITUTE(SUBSTITUTE(PROPERTIES[[#This Row],[PURCHASECOST_VALUE]], "PURCHASECOST_", ""), "_VALUE", "")</f>
        <v>COACH</v>
      </c>
      <c r="AP741"/>
      <c r="AQ741"/>
      <c r="AR741"/>
    </row>
    <row r="742" spans="1:44">
      <c r="A742" s="2" t="s">
        <v>787</v>
      </c>
      <c r="B742">
        <v>1930</v>
      </c>
      <c r="C742">
        <v>0</v>
      </c>
      <c r="D742" t="s">
        <v>35</v>
      </c>
      <c r="E742" t="s">
        <v>673</v>
      </c>
      <c r="F742">
        <v>64</v>
      </c>
      <c r="G742" s="10">
        <v>31</v>
      </c>
      <c r="H742">
        <v>8</v>
      </c>
      <c r="I742">
        <v>8</v>
      </c>
      <c r="J742" s="2" t="s">
        <v>674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>
        <v>0</v>
      </c>
      <c r="O742">
        <v>140</v>
      </c>
      <c r="P742" s="2">
        <v>0.3</v>
      </c>
      <c r="Q742" s="6">
        <v>25</v>
      </c>
      <c r="R742" s="10">
        <v>0</v>
      </c>
      <c r="S742" s="10">
        <v>0</v>
      </c>
      <c r="T742" s="10"/>
      <c r="U742" t="str">
        <f>"RUNNING_COST_"&amp;IF(PROPERTIES[[#This Row],[ENGINE_CLASS]]="MAGLEV","ELECTRIC",PROPERTIES[[#This Row],[ENGINE_CLASS]])</f>
        <v>RUNNING_COST_DIESEL</v>
      </c>
      <c r="V742" s="10" t="s">
        <v>1018</v>
      </c>
      <c r="W742" s="10" t="s">
        <v>1019</v>
      </c>
      <c r="X742" s="10" t="str">
        <f>SUBSTITUTE(SUBSTITUTE(PROPERTIES[[#This Row],[PURCHASECOST_VALUE]], "PURCHASECOST_", ""), "_VALUE", "")</f>
        <v>COACH</v>
      </c>
      <c r="AP742"/>
      <c r="AQ742"/>
      <c r="AR742"/>
    </row>
    <row r="743" spans="1:44">
      <c r="A743" s="2" t="s">
        <v>788</v>
      </c>
      <c r="B743">
        <v>1940</v>
      </c>
      <c r="C743">
        <v>0</v>
      </c>
      <c r="D743" t="s">
        <v>35</v>
      </c>
      <c r="E743" t="s">
        <v>325</v>
      </c>
      <c r="F743">
        <v>60</v>
      </c>
      <c r="G743" s="10">
        <v>55</v>
      </c>
      <c r="H743">
        <v>8</v>
      </c>
      <c r="I743">
        <v>8</v>
      </c>
      <c r="J743" s="2" t="s">
        <v>479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>
        <v>0</v>
      </c>
      <c r="O743">
        <v>180</v>
      </c>
      <c r="P743" s="2">
        <v>0.3</v>
      </c>
      <c r="Q743" s="6">
        <v>25</v>
      </c>
      <c r="R743" s="10">
        <v>0</v>
      </c>
      <c r="S743" s="10">
        <v>0</v>
      </c>
      <c r="T743" s="10"/>
      <c r="U743" t="str">
        <f>"RUNNING_COST_"&amp;IF(PROPERTIES[[#This Row],[ENGINE_CLASS]]="MAGLEV","ELECTRIC",PROPERTIES[[#This Row],[ENGINE_CLASS]])</f>
        <v>RUNNING_COST_DIESEL</v>
      </c>
      <c r="V743" s="10" t="s">
        <v>1018</v>
      </c>
      <c r="W743" s="10" t="s">
        <v>1019</v>
      </c>
      <c r="X743" s="10" t="str">
        <f>SUBSTITUTE(SUBSTITUTE(PROPERTIES[[#This Row],[PURCHASECOST_VALUE]], "PURCHASECOST_", ""), "_VALUE", "")</f>
        <v>COACH</v>
      </c>
      <c r="AP743"/>
      <c r="AQ743"/>
      <c r="AR743"/>
    </row>
    <row r="744" spans="1:44">
      <c r="A744" s="2" t="s">
        <v>789</v>
      </c>
      <c r="B744">
        <v>1940</v>
      </c>
      <c r="C744">
        <v>0</v>
      </c>
      <c r="D744" t="s">
        <v>35</v>
      </c>
      <c r="E744" t="s">
        <v>325</v>
      </c>
      <c r="F744">
        <v>90</v>
      </c>
      <c r="G744" s="10">
        <v>52</v>
      </c>
      <c r="H744">
        <v>8</v>
      </c>
      <c r="I744">
        <v>8</v>
      </c>
      <c r="J744" s="2" t="s">
        <v>479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>
        <v>0</v>
      </c>
      <c r="O744">
        <v>160</v>
      </c>
      <c r="P744" s="2">
        <v>0.3</v>
      </c>
      <c r="Q744" s="6">
        <v>25</v>
      </c>
      <c r="R744" s="10">
        <v>0</v>
      </c>
      <c r="S744" s="10">
        <v>0</v>
      </c>
      <c r="T744" s="10"/>
      <c r="U744" t="str">
        <f>"RUNNING_COST_"&amp;IF(PROPERTIES[[#This Row],[ENGINE_CLASS]]="MAGLEV","ELECTRIC",PROPERTIES[[#This Row],[ENGINE_CLASS]])</f>
        <v>RUNNING_COST_DIESEL</v>
      </c>
      <c r="V744" s="10" t="s">
        <v>1018</v>
      </c>
      <c r="W744" s="10" t="s">
        <v>1019</v>
      </c>
      <c r="X744" s="10" t="str">
        <f>SUBSTITUTE(SUBSTITUTE(PROPERTIES[[#This Row],[PURCHASECOST_VALUE]], "PURCHASECOST_", ""), "_VALUE", "")</f>
        <v>COACH</v>
      </c>
      <c r="AP744"/>
      <c r="AQ744"/>
      <c r="AR744"/>
    </row>
    <row r="745" spans="1:44">
      <c r="A745" s="2" t="s">
        <v>790</v>
      </c>
      <c r="B745">
        <v>1940</v>
      </c>
      <c r="C745">
        <v>0</v>
      </c>
      <c r="D745" t="s">
        <v>35</v>
      </c>
      <c r="E745" t="s">
        <v>673</v>
      </c>
      <c r="F745">
        <v>85</v>
      </c>
      <c r="G745" s="10">
        <v>52</v>
      </c>
      <c r="H745">
        <v>8</v>
      </c>
      <c r="I745">
        <v>8</v>
      </c>
      <c r="J745" s="2" t="s">
        <v>674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>
        <v>0</v>
      </c>
      <c r="O745">
        <v>180</v>
      </c>
      <c r="P745" s="2">
        <v>0.3</v>
      </c>
      <c r="Q745" s="6">
        <v>25</v>
      </c>
      <c r="R745" s="10">
        <v>0</v>
      </c>
      <c r="S745" s="10">
        <v>0</v>
      </c>
      <c r="T745" s="10"/>
      <c r="U745" t="str">
        <f>"RUNNING_COST_"&amp;IF(PROPERTIES[[#This Row],[ENGINE_CLASS]]="MAGLEV","ELECTRIC",PROPERTIES[[#This Row],[ENGINE_CLASS]])</f>
        <v>RUNNING_COST_DIESEL</v>
      </c>
      <c r="V745" s="10" t="s">
        <v>1018</v>
      </c>
      <c r="W745" s="10" t="s">
        <v>1019</v>
      </c>
      <c r="X745" s="10" t="str">
        <f>SUBSTITUTE(SUBSTITUTE(PROPERTIES[[#This Row],[PURCHASECOST_VALUE]], "PURCHASECOST_", ""), "_VALUE", "")</f>
        <v>COACH</v>
      </c>
      <c r="AP745"/>
      <c r="AQ745"/>
      <c r="AR745"/>
    </row>
    <row r="746" spans="1:44">
      <c r="A746" s="2" t="s">
        <v>791</v>
      </c>
      <c r="B746">
        <v>1950</v>
      </c>
      <c r="C746">
        <v>0</v>
      </c>
      <c r="D746" t="s">
        <v>35</v>
      </c>
      <c r="E746" t="s">
        <v>325</v>
      </c>
      <c r="F746">
        <v>160</v>
      </c>
      <c r="G746" s="10">
        <v>56</v>
      </c>
      <c r="H746">
        <v>8</v>
      </c>
      <c r="I746">
        <v>8</v>
      </c>
      <c r="J746" s="2" t="s">
        <v>479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>
        <v>0</v>
      </c>
      <c r="O746">
        <v>140</v>
      </c>
      <c r="P746" s="2">
        <v>0.3</v>
      </c>
      <c r="Q746" s="6">
        <v>25</v>
      </c>
      <c r="R746" s="10">
        <v>0</v>
      </c>
      <c r="S746" s="10">
        <v>0</v>
      </c>
      <c r="T746" s="10"/>
      <c r="U746" t="str">
        <f>"RUNNING_COST_"&amp;IF(PROPERTIES[[#This Row],[ENGINE_CLASS]]="MAGLEV","ELECTRIC",PROPERTIES[[#This Row],[ENGINE_CLASS]])</f>
        <v>RUNNING_COST_DIESEL</v>
      </c>
      <c r="V746" s="10" t="s">
        <v>1018</v>
      </c>
      <c r="W746" s="10" t="s">
        <v>1019</v>
      </c>
      <c r="X746" s="10" t="str">
        <f>SUBSTITUTE(SUBSTITUTE(PROPERTIES[[#This Row],[PURCHASECOST_VALUE]], "PURCHASECOST_", ""), "_VALUE", "")</f>
        <v>COACH</v>
      </c>
      <c r="AP746"/>
      <c r="AQ746"/>
      <c r="AR746"/>
    </row>
    <row r="747" spans="1:44">
      <c r="A747" s="2" t="s">
        <v>792</v>
      </c>
      <c r="B747">
        <v>1950</v>
      </c>
      <c r="C747">
        <v>0</v>
      </c>
      <c r="D747" t="s">
        <v>35</v>
      </c>
      <c r="E747" t="s">
        <v>325</v>
      </c>
      <c r="F747">
        <v>55</v>
      </c>
      <c r="G747" s="10">
        <v>33</v>
      </c>
      <c r="H747">
        <v>7</v>
      </c>
      <c r="I747">
        <v>7</v>
      </c>
      <c r="J747" s="2" t="s">
        <v>479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>
        <v>0</v>
      </c>
      <c r="O747">
        <v>160</v>
      </c>
      <c r="P747" s="2">
        <v>0.3</v>
      </c>
      <c r="Q747" s="6">
        <v>25</v>
      </c>
      <c r="R747" s="10">
        <v>0</v>
      </c>
      <c r="S747" s="10">
        <v>0</v>
      </c>
      <c r="T747" s="10"/>
      <c r="U747" t="str">
        <f>"RUNNING_COST_"&amp;IF(PROPERTIES[[#This Row],[ENGINE_CLASS]]="MAGLEV","ELECTRIC",PROPERTIES[[#This Row],[ENGINE_CLASS]])</f>
        <v>RUNNING_COST_DIESEL</v>
      </c>
      <c r="V747" s="10" t="s">
        <v>1018</v>
      </c>
      <c r="W747" s="10" t="s">
        <v>1019</v>
      </c>
      <c r="X747" s="10" t="str">
        <f>SUBSTITUTE(SUBSTITUTE(PROPERTIES[[#This Row],[PURCHASECOST_VALUE]], "PURCHASECOST_", ""), "_VALUE", "")</f>
        <v>COACH</v>
      </c>
      <c r="AP747"/>
      <c r="AQ747"/>
      <c r="AR747"/>
    </row>
    <row r="748" spans="1:44">
      <c r="A748" s="2" t="s">
        <v>793</v>
      </c>
      <c r="B748">
        <v>1950</v>
      </c>
      <c r="C748">
        <v>0</v>
      </c>
      <c r="D748" t="s">
        <v>35</v>
      </c>
      <c r="E748" t="s">
        <v>325</v>
      </c>
      <c r="F748">
        <v>108</v>
      </c>
      <c r="G748" s="10">
        <v>33</v>
      </c>
      <c r="H748">
        <v>7</v>
      </c>
      <c r="I748">
        <v>7</v>
      </c>
      <c r="J748" s="2" t="s">
        <v>479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>
        <v>0</v>
      </c>
      <c r="O748">
        <v>130</v>
      </c>
      <c r="P748" s="2">
        <v>0.3</v>
      </c>
      <c r="Q748" s="6">
        <v>25</v>
      </c>
      <c r="R748" s="10">
        <v>0</v>
      </c>
      <c r="S748" s="10">
        <v>0</v>
      </c>
      <c r="T748" s="10"/>
      <c r="U748" t="str">
        <f>"RUNNING_COST_"&amp;IF(PROPERTIES[[#This Row],[ENGINE_CLASS]]="MAGLEV","ELECTRIC",PROPERTIES[[#This Row],[ENGINE_CLASS]])</f>
        <v>RUNNING_COST_DIESEL</v>
      </c>
      <c r="V748" s="10" t="s">
        <v>1018</v>
      </c>
      <c r="W748" s="10" t="s">
        <v>1019</v>
      </c>
      <c r="X748" s="10" t="str">
        <f>SUBSTITUTE(SUBSTITUTE(PROPERTIES[[#This Row],[PURCHASECOST_VALUE]], "PURCHASECOST_", ""), "_VALUE", "")</f>
        <v>COACH</v>
      </c>
      <c r="AP748"/>
      <c r="AQ748"/>
      <c r="AR748"/>
    </row>
    <row r="749" spans="1:44">
      <c r="A749" s="2" t="s">
        <v>794</v>
      </c>
      <c r="B749">
        <v>1950</v>
      </c>
      <c r="C749">
        <v>0</v>
      </c>
      <c r="D749" t="s">
        <v>35</v>
      </c>
      <c r="E749" t="s">
        <v>673</v>
      </c>
      <c r="F749">
        <v>55</v>
      </c>
      <c r="G749" s="10">
        <v>35</v>
      </c>
      <c r="H749">
        <v>7</v>
      </c>
      <c r="I749">
        <v>7</v>
      </c>
      <c r="J749" s="2" t="s">
        <v>674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>
        <v>0</v>
      </c>
      <c r="O749">
        <v>160</v>
      </c>
      <c r="P749" s="2">
        <v>0.3</v>
      </c>
      <c r="Q749" s="6">
        <v>25</v>
      </c>
      <c r="R749" s="10">
        <v>0</v>
      </c>
      <c r="S749" s="10">
        <v>0</v>
      </c>
      <c r="T749" s="10"/>
      <c r="U749" t="str">
        <f>"RUNNING_COST_"&amp;IF(PROPERTIES[[#This Row],[ENGINE_CLASS]]="MAGLEV","ELECTRIC",PROPERTIES[[#This Row],[ENGINE_CLASS]])</f>
        <v>RUNNING_COST_DIESEL</v>
      </c>
      <c r="V749" s="10" t="s">
        <v>1018</v>
      </c>
      <c r="W749" s="10" t="s">
        <v>1019</v>
      </c>
      <c r="X749" s="10" t="str">
        <f>SUBSTITUTE(SUBSTITUTE(PROPERTIES[[#This Row],[PURCHASECOST_VALUE]], "PURCHASECOST_", ""), "_VALUE", "")</f>
        <v>COACH</v>
      </c>
      <c r="AP749"/>
      <c r="AQ749"/>
      <c r="AR749"/>
    </row>
    <row r="750" spans="1:44">
      <c r="A750" s="2" t="s">
        <v>795</v>
      </c>
      <c r="B750">
        <v>1950</v>
      </c>
      <c r="C750">
        <v>0</v>
      </c>
      <c r="D750" t="s">
        <v>35</v>
      </c>
      <c r="E750" t="s">
        <v>325</v>
      </c>
      <c r="F750">
        <v>65</v>
      </c>
      <c r="G750" s="10">
        <v>38</v>
      </c>
      <c r="H750">
        <v>8</v>
      </c>
      <c r="I750">
        <v>8</v>
      </c>
      <c r="J750" s="2" t="s">
        <v>479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>
        <v>0</v>
      </c>
      <c r="O750">
        <v>160</v>
      </c>
      <c r="P750" s="2">
        <v>0.3</v>
      </c>
      <c r="Q750" s="6">
        <v>25</v>
      </c>
      <c r="R750" s="10">
        <v>0</v>
      </c>
      <c r="S750" s="10">
        <v>0</v>
      </c>
      <c r="T750" s="10"/>
      <c r="U750" t="str">
        <f>"RUNNING_COST_"&amp;IF(PROPERTIES[[#This Row],[ENGINE_CLASS]]="MAGLEV","ELECTRIC",PROPERTIES[[#This Row],[ENGINE_CLASS]])</f>
        <v>RUNNING_COST_DIESEL</v>
      </c>
      <c r="V750" s="10" t="s">
        <v>1018</v>
      </c>
      <c r="W750" s="10" t="s">
        <v>1019</v>
      </c>
      <c r="X750" s="10" t="str">
        <f>SUBSTITUTE(SUBSTITUTE(PROPERTIES[[#This Row],[PURCHASECOST_VALUE]], "PURCHASECOST_", ""), "_VALUE", "")</f>
        <v>COACH</v>
      </c>
      <c r="AP750"/>
      <c r="AQ750"/>
      <c r="AR750"/>
    </row>
    <row r="751" spans="1:44">
      <c r="A751" s="2" t="s">
        <v>796</v>
      </c>
      <c r="B751">
        <v>1950</v>
      </c>
      <c r="C751">
        <v>0</v>
      </c>
      <c r="D751" t="s">
        <v>35</v>
      </c>
      <c r="E751" t="s">
        <v>325</v>
      </c>
      <c r="F751">
        <v>48</v>
      </c>
      <c r="G751" s="10">
        <v>45</v>
      </c>
      <c r="H751">
        <v>8</v>
      </c>
      <c r="I751">
        <v>8</v>
      </c>
      <c r="J751" s="2" t="s">
        <v>479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>
        <v>0</v>
      </c>
      <c r="O751">
        <v>240</v>
      </c>
      <c r="P751" s="2">
        <v>0.3</v>
      </c>
      <c r="Q751" s="6">
        <v>25</v>
      </c>
      <c r="R751" s="10">
        <v>0</v>
      </c>
      <c r="S751" s="10">
        <v>0</v>
      </c>
      <c r="T751" s="10"/>
      <c r="U751" t="str">
        <f>"RUNNING_COST_"&amp;IF(PROPERTIES[[#This Row],[ENGINE_CLASS]]="MAGLEV","ELECTRIC",PROPERTIES[[#This Row],[ENGINE_CLASS]])</f>
        <v>RUNNING_COST_DIESEL</v>
      </c>
      <c r="V751" s="10" t="s">
        <v>1018</v>
      </c>
      <c r="W751" s="10" t="s">
        <v>1019</v>
      </c>
      <c r="X751" s="10" t="str">
        <f>SUBSTITUTE(SUBSTITUTE(PROPERTIES[[#This Row],[PURCHASECOST_VALUE]], "PURCHASECOST_", ""), "_VALUE", "")</f>
        <v>COACH</v>
      </c>
      <c r="AP751"/>
      <c r="AQ751"/>
      <c r="AR751"/>
    </row>
    <row r="752" spans="1:44">
      <c r="A752" s="2" t="s">
        <v>797</v>
      </c>
      <c r="B752">
        <v>1950</v>
      </c>
      <c r="C752">
        <v>0</v>
      </c>
      <c r="D752" t="s">
        <v>35</v>
      </c>
      <c r="E752" t="s">
        <v>325</v>
      </c>
      <c r="F752">
        <v>80</v>
      </c>
      <c r="G752" s="10">
        <v>35</v>
      </c>
      <c r="H752">
        <v>8</v>
      </c>
      <c r="I752">
        <v>8</v>
      </c>
      <c r="J752" s="2" t="s">
        <v>479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>
        <v>0</v>
      </c>
      <c r="O752">
        <v>120</v>
      </c>
      <c r="P752" s="2">
        <v>0.3</v>
      </c>
      <c r="Q752" s="6">
        <v>25</v>
      </c>
      <c r="R752" s="10">
        <v>0</v>
      </c>
      <c r="S752" s="10">
        <v>0</v>
      </c>
      <c r="T752" s="10"/>
      <c r="U752" t="str">
        <f>"RUNNING_COST_"&amp;IF(PROPERTIES[[#This Row],[ENGINE_CLASS]]="MAGLEV","ELECTRIC",PROPERTIES[[#This Row],[ENGINE_CLASS]])</f>
        <v>RUNNING_COST_DIESEL</v>
      </c>
      <c r="V752" s="10" t="s">
        <v>1018</v>
      </c>
      <c r="W752" s="10" t="s">
        <v>1019</v>
      </c>
      <c r="X752" s="10" t="str">
        <f>SUBSTITUTE(SUBSTITUTE(PROPERTIES[[#This Row],[PURCHASECOST_VALUE]], "PURCHASECOST_", ""), "_VALUE", "")</f>
        <v>COACH</v>
      </c>
      <c r="AP752"/>
      <c r="AQ752"/>
      <c r="AR752"/>
    </row>
    <row r="753" spans="1:44">
      <c r="A753" s="2" t="s">
        <v>798</v>
      </c>
      <c r="B753">
        <v>1950</v>
      </c>
      <c r="C753">
        <v>0</v>
      </c>
      <c r="D753" t="s">
        <v>35</v>
      </c>
      <c r="E753" t="s">
        <v>325</v>
      </c>
      <c r="F753">
        <v>70</v>
      </c>
      <c r="G753" s="10">
        <v>29</v>
      </c>
      <c r="H753">
        <v>7</v>
      </c>
      <c r="I753">
        <v>7</v>
      </c>
      <c r="J753" s="2" t="s">
        <v>24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>
        <v>0</v>
      </c>
      <c r="O753">
        <v>120</v>
      </c>
      <c r="P753" s="2">
        <v>0.3</v>
      </c>
      <c r="Q753" s="6">
        <v>25</v>
      </c>
      <c r="R753" s="10">
        <v>0</v>
      </c>
      <c r="S753" s="10">
        <v>0</v>
      </c>
      <c r="T753" s="10"/>
      <c r="U753" t="str">
        <f>"RUNNING_COST_"&amp;IF(PROPERTIES[[#This Row],[ENGINE_CLASS]]="MAGLEV","ELECTRIC",PROPERTIES[[#This Row],[ENGINE_CLASS]])</f>
        <v>RUNNING_COST_DIESEL</v>
      </c>
      <c r="V753" s="10" t="s">
        <v>1018</v>
      </c>
      <c r="W753" s="10" t="s">
        <v>1019</v>
      </c>
      <c r="X753" s="10" t="str">
        <f>SUBSTITUTE(SUBSTITUTE(PROPERTIES[[#This Row],[PURCHASECOST_VALUE]], "PURCHASECOST_", ""), "_VALUE", "")</f>
        <v>COACH</v>
      </c>
      <c r="AP753"/>
      <c r="AQ753"/>
      <c r="AR753"/>
    </row>
    <row r="754" spans="1:44">
      <c r="A754" s="2" t="s">
        <v>799</v>
      </c>
      <c r="B754">
        <v>1950</v>
      </c>
      <c r="C754">
        <v>0</v>
      </c>
      <c r="D754" t="s">
        <v>35</v>
      </c>
      <c r="E754" t="s">
        <v>325</v>
      </c>
      <c r="F754">
        <v>130</v>
      </c>
      <c r="G754" s="10">
        <v>45</v>
      </c>
      <c r="H754">
        <v>8</v>
      </c>
      <c r="I754">
        <v>8</v>
      </c>
      <c r="J754" s="2" t="s">
        <v>24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>
        <v>0</v>
      </c>
      <c r="O754">
        <v>120</v>
      </c>
      <c r="P754" s="2">
        <v>0.3</v>
      </c>
      <c r="Q754" s="6">
        <v>25</v>
      </c>
      <c r="R754" s="10">
        <v>0</v>
      </c>
      <c r="S754" s="10">
        <v>0</v>
      </c>
      <c r="T754" s="10"/>
      <c r="U754" t="str">
        <f>"RUNNING_COST_"&amp;IF(PROPERTIES[[#This Row],[ENGINE_CLASS]]="MAGLEV","ELECTRIC",PROPERTIES[[#This Row],[ENGINE_CLASS]])</f>
        <v>RUNNING_COST_DIESEL</v>
      </c>
      <c r="V754" s="10" t="s">
        <v>1018</v>
      </c>
      <c r="W754" s="10" t="s">
        <v>1019</v>
      </c>
      <c r="X754" s="10" t="str">
        <f>SUBSTITUTE(SUBSTITUTE(PROPERTIES[[#This Row],[PURCHASECOST_VALUE]], "PURCHASECOST_", ""), "_VALUE", "")</f>
        <v>COACH</v>
      </c>
      <c r="AP754"/>
      <c r="AQ754"/>
      <c r="AR754"/>
    </row>
    <row r="755" spans="1:44">
      <c r="A755" s="2" t="s">
        <v>800</v>
      </c>
      <c r="B755">
        <v>1950</v>
      </c>
      <c r="C755">
        <v>0</v>
      </c>
      <c r="D755" t="s">
        <v>35</v>
      </c>
      <c r="E755" t="s">
        <v>673</v>
      </c>
      <c r="F755">
        <v>96</v>
      </c>
      <c r="G755" s="10">
        <v>34</v>
      </c>
      <c r="H755">
        <v>8</v>
      </c>
      <c r="I755">
        <v>8</v>
      </c>
      <c r="J755" s="2" t="s">
        <v>674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>
        <v>0</v>
      </c>
      <c r="O755">
        <v>140</v>
      </c>
      <c r="P755" s="2">
        <v>0.3</v>
      </c>
      <c r="Q755" s="6">
        <v>25</v>
      </c>
      <c r="R755" s="10">
        <v>0</v>
      </c>
      <c r="S755" s="10">
        <v>0</v>
      </c>
      <c r="T755" s="10"/>
      <c r="U755" t="str">
        <f>"RUNNING_COST_"&amp;IF(PROPERTIES[[#This Row],[ENGINE_CLASS]]="MAGLEV","ELECTRIC",PROPERTIES[[#This Row],[ENGINE_CLASS]])</f>
        <v>RUNNING_COST_DIESEL</v>
      </c>
      <c r="V755" s="10" t="s">
        <v>1018</v>
      </c>
      <c r="W755" s="10" t="s">
        <v>1019</v>
      </c>
      <c r="X755" s="10" t="str">
        <f>SUBSTITUTE(SUBSTITUTE(PROPERTIES[[#This Row],[PURCHASECOST_VALUE]], "PURCHASECOST_", ""), "_VALUE", "")</f>
        <v>COACH</v>
      </c>
      <c r="AP755"/>
      <c r="AQ755"/>
      <c r="AR755"/>
    </row>
    <row r="756" spans="1:44">
      <c r="A756" s="2" t="s">
        <v>801</v>
      </c>
      <c r="B756">
        <v>1950</v>
      </c>
      <c r="C756">
        <v>0</v>
      </c>
      <c r="D756" t="s">
        <v>35</v>
      </c>
      <c r="E756" t="s">
        <v>325</v>
      </c>
      <c r="F756">
        <v>64</v>
      </c>
      <c r="G756" s="10">
        <v>38</v>
      </c>
      <c r="H756">
        <v>8</v>
      </c>
      <c r="I756">
        <v>8</v>
      </c>
      <c r="J756" s="2" t="s">
        <v>479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>
        <v>0</v>
      </c>
      <c r="O756">
        <v>140</v>
      </c>
      <c r="P756" s="2">
        <v>0.3</v>
      </c>
      <c r="Q756" s="6">
        <v>25</v>
      </c>
      <c r="R756" s="10">
        <v>0</v>
      </c>
      <c r="S756" s="10">
        <v>0</v>
      </c>
      <c r="T756" s="10"/>
      <c r="U756" t="str">
        <f>"RUNNING_COST_"&amp;IF(PROPERTIES[[#This Row],[ENGINE_CLASS]]="MAGLEV","ELECTRIC",PROPERTIES[[#This Row],[ENGINE_CLASS]])</f>
        <v>RUNNING_COST_DIESEL</v>
      </c>
      <c r="V756" s="10" t="s">
        <v>1018</v>
      </c>
      <c r="W756" s="10" t="s">
        <v>1019</v>
      </c>
      <c r="X756" s="10" t="str">
        <f>SUBSTITUTE(SUBSTITUTE(PROPERTIES[[#This Row],[PURCHASECOST_VALUE]], "PURCHASECOST_", ""), "_VALUE", "")</f>
        <v>COACH</v>
      </c>
      <c r="AP756"/>
      <c r="AQ756"/>
      <c r="AR756"/>
    </row>
    <row r="757" spans="1:44">
      <c r="A757" s="2" t="s">
        <v>802</v>
      </c>
      <c r="B757">
        <v>1950</v>
      </c>
      <c r="C757">
        <v>0</v>
      </c>
      <c r="D757" t="s">
        <v>35</v>
      </c>
      <c r="E757" t="s">
        <v>325</v>
      </c>
      <c r="F757">
        <v>100</v>
      </c>
      <c r="G757" s="10">
        <v>38</v>
      </c>
      <c r="H757">
        <v>8</v>
      </c>
      <c r="I757">
        <v>8</v>
      </c>
      <c r="J757" s="2" t="s">
        <v>24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>
        <v>0</v>
      </c>
      <c r="O757">
        <v>80</v>
      </c>
      <c r="P757" s="2">
        <v>0.3</v>
      </c>
      <c r="Q757" s="6">
        <v>25</v>
      </c>
      <c r="R757" s="10">
        <v>0</v>
      </c>
      <c r="S757" s="10">
        <v>0</v>
      </c>
      <c r="T757" s="10"/>
      <c r="U757" t="str">
        <f>"RUNNING_COST_"&amp;IF(PROPERTIES[[#This Row],[ENGINE_CLASS]]="MAGLEV","ELECTRIC",PROPERTIES[[#This Row],[ENGINE_CLASS]])</f>
        <v>RUNNING_COST_DIESEL</v>
      </c>
      <c r="V757" s="10" t="s">
        <v>1018</v>
      </c>
      <c r="W757" s="10" t="s">
        <v>1019</v>
      </c>
      <c r="X757" s="10" t="str">
        <f>SUBSTITUTE(SUBSTITUTE(PROPERTIES[[#This Row],[PURCHASECOST_VALUE]], "PURCHASECOST_", ""), "_VALUE", "")</f>
        <v>COACH</v>
      </c>
      <c r="AP757"/>
      <c r="AQ757"/>
      <c r="AR757"/>
    </row>
    <row r="758" spans="1:44">
      <c r="A758" s="2" t="s">
        <v>803</v>
      </c>
      <c r="B758">
        <v>1950</v>
      </c>
      <c r="C758">
        <v>0</v>
      </c>
      <c r="D758" t="s">
        <v>35</v>
      </c>
      <c r="E758" t="s">
        <v>325</v>
      </c>
      <c r="F758">
        <v>80</v>
      </c>
      <c r="G758" s="10">
        <v>38</v>
      </c>
      <c r="H758">
        <v>8</v>
      </c>
      <c r="I758">
        <v>8</v>
      </c>
      <c r="J758" s="2" t="s">
        <v>479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>
        <v>0</v>
      </c>
      <c r="O758">
        <v>110</v>
      </c>
      <c r="P758" s="2">
        <v>0.3</v>
      </c>
      <c r="Q758" s="6">
        <v>25</v>
      </c>
      <c r="R758" s="10">
        <v>0</v>
      </c>
      <c r="S758" s="10">
        <v>0</v>
      </c>
      <c r="T758" s="10"/>
      <c r="U758" t="str">
        <f>"RUNNING_COST_"&amp;IF(PROPERTIES[[#This Row],[ENGINE_CLASS]]="MAGLEV","ELECTRIC",PROPERTIES[[#This Row],[ENGINE_CLASS]])</f>
        <v>RUNNING_COST_DIESEL</v>
      </c>
      <c r="V758" s="10" t="s">
        <v>1018</v>
      </c>
      <c r="W758" s="10" t="s">
        <v>1019</v>
      </c>
      <c r="X758" s="10" t="str">
        <f>SUBSTITUTE(SUBSTITUTE(PROPERTIES[[#This Row],[PURCHASECOST_VALUE]], "PURCHASECOST_", ""), "_VALUE", "")</f>
        <v>COACH</v>
      </c>
      <c r="AP758"/>
      <c r="AQ758"/>
      <c r="AR758"/>
    </row>
    <row r="759" spans="1:44">
      <c r="A759" s="2" t="s">
        <v>804</v>
      </c>
      <c r="B759">
        <v>1950</v>
      </c>
      <c r="C759">
        <v>0</v>
      </c>
      <c r="D759" t="s">
        <v>35</v>
      </c>
      <c r="E759" t="s">
        <v>673</v>
      </c>
      <c r="F759">
        <v>60</v>
      </c>
      <c r="G759" s="10">
        <v>36</v>
      </c>
      <c r="H759">
        <v>8</v>
      </c>
      <c r="I759">
        <v>8</v>
      </c>
      <c r="J759" s="2" t="s">
        <v>674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>
        <v>0</v>
      </c>
      <c r="O759">
        <v>140</v>
      </c>
      <c r="P759" s="2">
        <v>0.3</v>
      </c>
      <c r="Q759" s="6">
        <v>25</v>
      </c>
      <c r="R759" s="10">
        <v>0</v>
      </c>
      <c r="S759" s="10">
        <v>0</v>
      </c>
      <c r="T759" s="10"/>
      <c r="U759" t="str">
        <f>"RUNNING_COST_"&amp;IF(PROPERTIES[[#This Row],[ENGINE_CLASS]]="MAGLEV","ELECTRIC",PROPERTIES[[#This Row],[ENGINE_CLASS]])</f>
        <v>RUNNING_COST_DIESEL</v>
      </c>
      <c r="V759" s="10" t="s">
        <v>1018</v>
      </c>
      <c r="W759" s="10" t="s">
        <v>1019</v>
      </c>
      <c r="X759" s="10" t="str">
        <f>SUBSTITUTE(SUBSTITUTE(PROPERTIES[[#This Row],[PURCHASECOST_VALUE]], "PURCHASECOST_", ""), "_VALUE", "")</f>
        <v>COACH</v>
      </c>
      <c r="AP759"/>
      <c r="AQ759"/>
      <c r="AR759"/>
    </row>
    <row r="760" spans="1:44">
      <c r="A760" s="2" t="s">
        <v>805</v>
      </c>
      <c r="B760">
        <v>1970</v>
      </c>
      <c r="C760">
        <v>0</v>
      </c>
      <c r="D760" t="s">
        <v>35</v>
      </c>
      <c r="E760" t="s">
        <v>325</v>
      </c>
      <c r="F760">
        <v>60</v>
      </c>
      <c r="G760" s="10">
        <v>42</v>
      </c>
      <c r="H760">
        <v>8</v>
      </c>
      <c r="I760">
        <v>8</v>
      </c>
      <c r="J760" s="2" t="s">
        <v>479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>
        <v>0</v>
      </c>
      <c r="O760">
        <v>200</v>
      </c>
      <c r="P760" s="2">
        <v>0.3</v>
      </c>
      <c r="Q760" s="6">
        <v>25</v>
      </c>
      <c r="R760" s="10">
        <v>0</v>
      </c>
      <c r="S760" s="10">
        <v>0</v>
      </c>
      <c r="T760" s="10"/>
      <c r="U760" t="str">
        <f>"RUNNING_COST_"&amp;IF(PROPERTIES[[#This Row],[ENGINE_CLASS]]="MAGLEV","ELECTRIC",PROPERTIES[[#This Row],[ENGINE_CLASS]])</f>
        <v>RUNNING_COST_DIESEL</v>
      </c>
      <c r="V760" s="10" t="s">
        <v>1018</v>
      </c>
      <c r="W760" s="10" t="s">
        <v>1019</v>
      </c>
      <c r="X760" s="10" t="str">
        <f>SUBSTITUTE(SUBSTITUTE(PROPERTIES[[#This Row],[PURCHASECOST_VALUE]], "PURCHASECOST_", ""), "_VALUE", "")</f>
        <v>COACH</v>
      </c>
      <c r="AP760"/>
      <c r="AQ760"/>
      <c r="AR760"/>
    </row>
    <row r="761" spans="1:44">
      <c r="A761" s="2" t="s">
        <v>806</v>
      </c>
      <c r="B761">
        <v>1970</v>
      </c>
      <c r="C761">
        <v>0</v>
      </c>
      <c r="D761" t="s">
        <v>35</v>
      </c>
      <c r="E761" t="s">
        <v>325</v>
      </c>
      <c r="F761">
        <v>60</v>
      </c>
      <c r="G761" s="10">
        <v>42</v>
      </c>
      <c r="H761">
        <v>8</v>
      </c>
      <c r="I761">
        <v>8</v>
      </c>
      <c r="J761" s="2" t="s">
        <v>479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>
        <v>0</v>
      </c>
      <c r="O761">
        <v>200</v>
      </c>
      <c r="P761" s="2">
        <v>0.3</v>
      </c>
      <c r="Q761" s="6">
        <v>25</v>
      </c>
      <c r="R761" s="10">
        <v>0</v>
      </c>
      <c r="S761" s="10">
        <v>0</v>
      </c>
      <c r="T761" s="10"/>
      <c r="U761" t="str">
        <f>"RUNNING_COST_"&amp;IF(PROPERTIES[[#This Row],[ENGINE_CLASS]]="MAGLEV","ELECTRIC",PROPERTIES[[#This Row],[ENGINE_CLASS]])</f>
        <v>RUNNING_COST_DIESEL</v>
      </c>
      <c r="V761" s="10" t="s">
        <v>1018</v>
      </c>
      <c r="W761" s="10" t="s">
        <v>1019</v>
      </c>
      <c r="X761" s="10" t="str">
        <f>SUBSTITUTE(SUBSTITUTE(PROPERTIES[[#This Row],[PURCHASECOST_VALUE]], "PURCHASECOST_", ""), "_VALUE", "")</f>
        <v>COACH</v>
      </c>
      <c r="AP761"/>
      <c r="AQ761"/>
      <c r="AR761"/>
    </row>
    <row r="762" spans="1:44">
      <c r="A762" s="2" t="s">
        <v>807</v>
      </c>
      <c r="B762">
        <v>1960</v>
      </c>
      <c r="C762">
        <v>0</v>
      </c>
      <c r="D762" t="s">
        <v>35</v>
      </c>
      <c r="E762" t="s">
        <v>325</v>
      </c>
      <c r="F762">
        <v>90</v>
      </c>
      <c r="G762" s="10">
        <v>28</v>
      </c>
      <c r="H762">
        <v>8</v>
      </c>
      <c r="I762">
        <v>8</v>
      </c>
      <c r="J762" s="2" t="s">
        <v>24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>
        <v>0</v>
      </c>
      <c r="O762">
        <v>140</v>
      </c>
      <c r="P762" s="2">
        <v>0.3</v>
      </c>
      <c r="Q762" s="6">
        <v>25</v>
      </c>
      <c r="R762" s="10">
        <v>0</v>
      </c>
      <c r="S762" s="10">
        <v>0</v>
      </c>
      <c r="T762" s="10"/>
      <c r="U762" t="str">
        <f>"RUNNING_COST_"&amp;IF(PROPERTIES[[#This Row],[ENGINE_CLASS]]="MAGLEV","ELECTRIC",PROPERTIES[[#This Row],[ENGINE_CLASS]])</f>
        <v>RUNNING_COST_DIESEL</v>
      </c>
      <c r="V762" s="10" t="s">
        <v>1018</v>
      </c>
      <c r="W762" s="10" t="s">
        <v>1019</v>
      </c>
      <c r="X762" s="10" t="str">
        <f>SUBSTITUTE(SUBSTITUTE(PROPERTIES[[#This Row],[PURCHASECOST_VALUE]], "PURCHASECOST_", ""), "_VALUE", "")</f>
        <v>COACH</v>
      </c>
      <c r="AP762"/>
      <c r="AQ762"/>
      <c r="AR762"/>
    </row>
    <row r="763" spans="1:44">
      <c r="A763" s="2" t="s">
        <v>808</v>
      </c>
      <c r="B763">
        <v>1970</v>
      </c>
      <c r="C763">
        <v>0</v>
      </c>
      <c r="D763" t="s">
        <v>35</v>
      </c>
      <c r="E763" t="s">
        <v>673</v>
      </c>
      <c r="F763">
        <v>75</v>
      </c>
      <c r="G763" s="10">
        <v>42</v>
      </c>
      <c r="H763">
        <v>8</v>
      </c>
      <c r="I763">
        <v>8</v>
      </c>
      <c r="J763" s="2" t="s">
        <v>674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>
        <v>0</v>
      </c>
      <c r="O763">
        <v>200</v>
      </c>
      <c r="P763" s="2">
        <v>0.3</v>
      </c>
      <c r="Q763" s="6">
        <v>25</v>
      </c>
      <c r="R763" s="10">
        <v>0</v>
      </c>
      <c r="S763" s="10">
        <v>0</v>
      </c>
      <c r="T763" s="10"/>
      <c r="U763" t="str">
        <f>"RUNNING_COST_"&amp;IF(PROPERTIES[[#This Row],[ENGINE_CLASS]]="MAGLEV","ELECTRIC",PROPERTIES[[#This Row],[ENGINE_CLASS]])</f>
        <v>RUNNING_COST_DIESEL</v>
      </c>
      <c r="V763" s="10" t="s">
        <v>1018</v>
      </c>
      <c r="W763" s="10" t="s">
        <v>1019</v>
      </c>
      <c r="X763" s="10" t="str">
        <f>SUBSTITUTE(SUBSTITUTE(PROPERTIES[[#This Row],[PURCHASECOST_VALUE]], "PURCHASECOST_", ""), "_VALUE", "")</f>
        <v>COACH</v>
      </c>
      <c r="AP763"/>
      <c r="AQ763"/>
      <c r="AR763"/>
    </row>
    <row r="764" spans="1:44">
      <c r="A764" s="2" t="s">
        <v>809</v>
      </c>
      <c r="B764">
        <v>1970</v>
      </c>
      <c r="C764">
        <v>0</v>
      </c>
      <c r="D764" t="s">
        <v>35</v>
      </c>
      <c r="E764" t="s">
        <v>325</v>
      </c>
      <c r="F764">
        <v>150</v>
      </c>
      <c r="G764" s="10">
        <v>48</v>
      </c>
      <c r="H764">
        <v>8</v>
      </c>
      <c r="I764">
        <v>8</v>
      </c>
      <c r="J764" s="2" t="s">
        <v>479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>
        <v>0</v>
      </c>
      <c r="O764">
        <v>140</v>
      </c>
      <c r="P764" s="2">
        <v>0.3</v>
      </c>
      <c r="Q764" s="6">
        <v>25</v>
      </c>
      <c r="R764" s="10">
        <v>0</v>
      </c>
      <c r="S764" s="10">
        <v>0</v>
      </c>
      <c r="T764" s="10"/>
      <c r="U764" t="str">
        <f>"RUNNING_COST_"&amp;IF(PROPERTIES[[#This Row],[ENGINE_CLASS]]="MAGLEV","ELECTRIC",PROPERTIES[[#This Row],[ENGINE_CLASS]])</f>
        <v>RUNNING_COST_DIESEL</v>
      </c>
      <c r="V764" s="10" t="s">
        <v>1018</v>
      </c>
      <c r="W764" s="10" t="s">
        <v>1019</v>
      </c>
      <c r="X764" s="10" t="str">
        <f>SUBSTITUTE(SUBSTITUTE(PROPERTIES[[#This Row],[PURCHASECOST_VALUE]], "PURCHASECOST_", ""), "_VALUE", "")</f>
        <v>COACH</v>
      </c>
      <c r="AP764"/>
      <c r="AQ764"/>
      <c r="AR764"/>
    </row>
    <row r="765" spans="1:44">
      <c r="A765" s="2" t="s">
        <v>810</v>
      </c>
      <c r="B765">
        <v>1960</v>
      </c>
      <c r="C765">
        <v>0</v>
      </c>
      <c r="D765" t="s">
        <v>35</v>
      </c>
      <c r="E765" t="s">
        <v>325</v>
      </c>
      <c r="F765">
        <v>55</v>
      </c>
      <c r="G765" s="10">
        <v>55</v>
      </c>
      <c r="H765">
        <v>8</v>
      </c>
      <c r="I765">
        <v>8</v>
      </c>
      <c r="J765" s="2" t="s">
        <v>479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>
        <v>0</v>
      </c>
      <c r="O765">
        <v>140</v>
      </c>
      <c r="P765" s="2">
        <v>0.3</v>
      </c>
      <c r="Q765" s="6">
        <v>25</v>
      </c>
      <c r="R765" s="10">
        <v>0</v>
      </c>
      <c r="S765" s="10">
        <v>0</v>
      </c>
      <c r="T765" s="10"/>
      <c r="U765" t="str">
        <f>"RUNNING_COST_"&amp;IF(PROPERTIES[[#This Row],[ENGINE_CLASS]]="MAGLEV","ELECTRIC",PROPERTIES[[#This Row],[ENGINE_CLASS]])</f>
        <v>RUNNING_COST_DIESEL</v>
      </c>
      <c r="V765" s="10" t="s">
        <v>1018</v>
      </c>
      <c r="W765" s="10" t="s">
        <v>1019</v>
      </c>
      <c r="X765" s="10" t="str">
        <f>SUBSTITUTE(SUBSTITUTE(PROPERTIES[[#This Row],[PURCHASECOST_VALUE]], "PURCHASECOST_", ""), "_VALUE", "")</f>
        <v>COACH</v>
      </c>
      <c r="AP765"/>
      <c r="AQ765"/>
      <c r="AR765"/>
    </row>
    <row r="766" spans="1:44">
      <c r="A766" s="2" t="s">
        <v>811</v>
      </c>
      <c r="B766">
        <v>1960</v>
      </c>
      <c r="C766">
        <v>0</v>
      </c>
      <c r="D766" t="s">
        <v>35</v>
      </c>
      <c r="E766" t="s">
        <v>325</v>
      </c>
      <c r="F766">
        <v>90</v>
      </c>
      <c r="G766" s="10">
        <v>45</v>
      </c>
      <c r="H766">
        <v>8</v>
      </c>
      <c r="I766">
        <v>8</v>
      </c>
      <c r="J766" s="2" t="s">
        <v>479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>
        <v>0</v>
      </c>
      <c r="O766">
        <v>130</v>
      </c>
      <c r="P766" s="2">
        <v>0.3</v>
      </c>
      <c r="Q766" s="6">
        <v>25</v>
      </c>
      <c r="R766" s="10">
        <v>0</v>
      </c>
      <c r="S766" s="10">
        <v>0</v>
      </c>
      <c r="T766" s="10"/>
      <c r="U766" t="str">
        <f>"RUNNING_COST_"&amp;IF(PROPERTIES[[#This Row],[ENGINE_CLASS]]="MAGLEV","ELECTRIC",PROPERTIES[[#This Row],[ENGINE_CLASS]])</f>
        <v>RUNNING_COST_DIESEL</v>
      </c>
      <c r="V766" s="10" t="s">
        <v>1018</v>
      </c>
      <c r="W766" s="10" t="s">
        <v>1019</v>
      </c>
      <c r="X766" s="10" t="str">
        <f>SUBSTITUTE(SUBSTITUTE(PROPERTIES[[#This Row],[PURCHASECOST_VALUE]], "PURCHASECOST_", ""), "_VALUE", "")</f>
        <v>COACH</v>
      </c>
      <c r="AP766"/>
      <c r="AQ766"/>
      <c r="AR766"/>
    </row>
    <row r="767" spans="1:44">
      <c r="A767" s="2" t="s">
        <v>812</v>
      </c>
      <c r="B767">
        <v>1960</v>
      </c>
      <c r="C767">
        <v>0</v>
      </c>
      <c r="D767" t="s">
        <v>35</v>
      </c>
      <c r="E767" t="s">
        <v>673</v>
      </c>
      <c r="F767">
        <v>80</v>
      </c>
      <c r="G767" s="10">
        <v>46</v>
      </c>
      <c r="H767">
        <v>8</v>
      </c>
      <c r="I767">
        <v>8</v>
      </c>
      <c r="J767" s="2" t="s">
        <v>674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>
        <v>0</v>
      </c>
      <c r="O767">
        <v>160</v>
      </c>
      <c r="P767" s="2">
        <v>0.3</v>
      </c>
      <c r="Q767" s="6">
        <v>25</v>
      </c>
      <c r="R767" s="10">
        <v>0</v>
      </c>
      <c r="S767" s="10">
        <v>0</v>
      </c>
      <c r="T767" s="10"/>
      <c r="U767" t="str">
        <f>"RUNNING_COST_"&amp;IF(PROPERTIES[[#This Row],[ENGINE_CLASS]]="MAGLEV","ELECTRIC",PROPERTIES[[#This Row],[ENGINE_CLASS]])</f>
        <v>RUNNING_COST_DIESEL</v>
      </c>
      <c r="V767" s="10" t="s">
        <v>1018</v>
      </c>
      <c r="W767" s="10" t="s">
        <v>1019</v>
      </c>
      <c r="X767" s="10" t="str">
        <f>SUBSTITUTE(SUBSTITUTE(PROPERTIES[[#This Row],[PURCHASECOST_VALUE]], "PURCHASECOST_", ""), "_VALUE", "")</f>
        <v>COACH</v>
      </c>
      <c r="AP767"/>
      <c r="AQ767"/>
      <c r="AR767"/>
    </row>
    <row r="768" spans="1:44">
      <c r="A768" s="2" t="s">
        <v>813</v>
      </c>
      <c r="B768">
        <v>1980</v>
      </c>
      <c r="C768">
        <v>0</v>
      </c>
      <c r="D768" t="s">
        <v>35</v>
      </c>
      <c r="E768" t="s">
        <v>325</v>
      </c>
      <c r="F768">
        <v>96</v>
      </c>
      <c r="G768" s="10">
        <v>67</v>
      </c>
      <c r="H768">
        <v>8</v>
      </c>
      <c r="I768">
        <v>8</v>
      </c>
      <c r="J768" s="2" t="s">
        <v>479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>
        <v>0</v>
      </c>
      <c r="O768">
        <v>160</v>
      </c>
      <c r="P768" s="2">
        <v>0.3</v>
      </c>
      <c r="Q768" s="6">
        <v>25</v>
      </c>
      <c r="R768" s="10">
        <v>0</v>
      </c>
      <c r="S768" s="10">
        <v>0</v>
      </c>
      <c r="T768" s="10"/>
      <c r="U768" t="str">
        <f>"RUNNING_COST_"&amp;IF(PROPERTIES[[#This Row],[ENGINE_CLASS]]="MAGLEV","ELECTRIC",PROPERTIES[[#This Row],[ENGINE_CLASS]])</f>
        <v>RUNNING_COST_DIESEL</v>
      </c>
      <c r="V768" s="10" t="s">
        <v>1018</v>
      </c>
      <c r="W768" s="10" t="s">
        <v>1019</v>
      </c>
      <c r="X768" s="10" t="str">
        <f>SUBSTITUTE(SUBSTITUTE(PROPERTIES[[#This Row],[PURCHASECOST_VALUE]], "PURCHASECOST_", ""), "_VALUE", "")</f>
        <v>COACH</v>
      </c>
      <c r="AP768"/>
      <c r="AQ768"/>
      <c r="AR768"/>
    </row>
    <row r="769" spans="1:44">
      <c r="A769" s="2" t="s">
        <v>814</v>
      </c>
      <c r="B769">
        <v>1990</v>
      </c>
      <c r="C769">
        <v>0</v>
      </c>
      <c r="D769" t="s">
        <v>35</v>
      </c>
      <c r="E769" t="s">
        <v>325</v>
      </c>
      <c r="F769">
        <v>80</v>
      </c>
      <c r="G769" s="10">
        <v>67</v>
      </c>
      <c r="H769">
        <v>8</v>
      </c>
      <c r="I769">
        <v>8</v>
      </c>
      <c r="J769" s="2" t="s">
        <v>479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>
        <v>0</v>
      </c>
      <c r="O769">
        <v>200</v>
      </c>
      <c r="P769" s="2">
        <v>0.3</v>
      </c>
      <c r="Q769" s="6">
        <v>25</v>
      </c>
      <c r="R769" s="10">
        <v>0</v>
      </c>
      <c r="S769" s="10">
        <v>0</v>
      </c>
      <c r="T769" s="10"/>
      <c r="U769" t="str">
        <f>"RUNNING_COST_"&amp;IF(PROPERTIES[[#This Row],[ENGINE_CLASS]]="MAGLEV","ELECTRIC",PROPERTIES[[#This Row],[ENGINE_CLASS]])</f>
        <v>RUNNING_COST_DIESEL</v>
      </c>
      <c r="V769" s="10" t="s">
        <v>1018</v>
      </c>
      <c r="W769" s="10" t="s">
        <v>1019</v>
      </c>
      <c r="X769" s="10" t="str">
        <f>SUBSTITUTE(SUBSTITUTE(PROPERTIES[[#This Row],[PURCHASECOST_VALUE]], "PURCHASECOST_", ""), "_VALUE", "")</f>
        <v>COACH</v>
      </c>
      <c r="AP769"/>
      <c r="AQ769"/>
      <c r="AR769"/>
    </row>
    <row r="770" spans="1:44">
      <c r="A770" s="2" t="s">
        <v>815</v>
      </c>
      <c r="B770">
        <v>1970</v>
      </c>
      <c r="C770">
        <v>0</v>
      </c>
      <c r="D770" t="s">
        <v>35</v>
      </c>
      <c r="E770" t="s">
        <v>325</v>
      </c>
      <c r="F770">
        <v>84</v>
      </c>
      <c r="G770" s="10">
        <v>50</v>
      </c>
      <c r="H770">
        <v>8</v>
      </c>
      <c r="I770">
        <v>8</v>
      </c>
      <c r="J770" s="2" t="s">
        <v>479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>
        <v>0</v>
      </c>
      <c r="O770">
        <v>200</v>
      </c>
      <c r="P770" s="2">
        <v>0.3</v>
      </c>
      <c r="Q770" s="6">
        <v>25</v>
      </c>
      <c r="R770" s="10">
        <v>0</v>
      </c>
      <c r="S770" s="10">
        <v>0</v>
      </c>
      <c r="T770" s="10"/>
      <c r="U770" t="str">
        <f>"RUNNING_COST_"&amp;IF(PROPERTIES[[#This Row],[ENGINE_CLASS]]="MAGLEV","ELECTRIC",PROPERTIES[[#This Row],[ENGINE_CLASS]])</f>
        <v>RUNNING_COST_DIESEL</v>
      </c>
      <c r="V770" s="10" t="s">
        <v>1018</v>
      </c>
      <c r="W770" s="10" t="s">
        <v>1019</v>
      </c>
      <c r="X770" s="10" t="str">
        <f>SUBSTITUTE(SUBSTITUTE(PROPERTIES[[#This Row],[PURCHASECOST_VALUE]], "PURCHASECOST_", ""), "_VALUE", "")</f>
        <v>COACH</v>
      </c>
      <c r="AP770"/>
      <c r="AQ770"/>
      <c r="AR770"/>
    </row>
    <row r="771" spans="1:44">
      <c r="A771" s="2" t="s">
        <v>816</v>
      </c>
      <c r="B771">
        <v>1970</v>
      </c>
      <c r="C771">
        <v>0</v>
      </c>
      <c r="D771" t="s">
        <v>35</v>
      </c>
      <c r="E771" t="s">
        <v>325</v>
      </c>
      <c r="F771">
        <v>60</v>
      </c>
      <c r="G771" s="10">
        <v>50</v>
      </c>
      <c r="H771">
        <v>8</v>
      </c>
      <c r="I771">
        <v>8</v>
      </c>
      <c r="J771" s="2" t="s">
        <v>479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>
        <v>0</v>
      </c>
      <c r="O771">
        <v>200</v>
      </c>
      <c r="P771" s="2">
        <v>0.3</v>
      </c>
      <c r="Q771" s="6">
        <v>25</v>
      </c>
      <c r="R771" s="10">
        <v>0</v>
      </c>
      <c r="S771" s="10">
        <v>0</v>
      </c>
      <c r="T771" s="10"/>
      <c r="U771" t="str">
        <f>"RUNNING_COST_"&amp;IF(PROPERTIES[[#This Row],[ENGINE_CLASS]]="MAGLEV","ELECTRIC",PROPERTIES[[#This Row],[ENGINE_CLASS]])</f>
        <v>RUNNING_COST_DIESEL</v>
      </c>
      <c r="V771" s="10" t="s">
        <v>1018</v>
      </c>
      <c r="W771" s="10" t="s">
        <v>1019</v>
      </c>
      <c r="X771" s="10" t="str">
        <f>SUBSTITUTE(SUBSTITUTE(PROPERTIES[[#This Row],[PURCHASECOST_VALUE]], "PURCHASECOST_", ""), "_VALUE", "")</f>
        <v>COACH</v>
      </c>
      <c r="AP771"/>
      <c r="AQ771"/>
      <c r="AR771"/>
    </row>
    <row r="772" spans="1:44">
      <c r="A772" s="2" t="s">
        <v>817</v>
      </c>
      <c r="B772">
        <v>1970</v>
      </c>
      <c r="C772">
        <v>0</v>
      </c>
      <c r="D772" t="s">
        <v>35</v>
      </c>
      <c r="E772" t="s">
        <v>325</v>
      </c>
      <c r="F772">
        <v>105</v>
      </c>
      <c r="G772" s="10">
        <v>34</v>
      </c>
      <c r="H772">
        <v>8</v>
      </c>
      <c r="I772">
        <v>8</v>
      </c>
      <c r="J772" s="2" t="s">
        <v>24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>
        <v>0</v>
      </c>
      <c r="O772">
        <v>128</v>
      </c>
      <c r="P772" s="2">
        <v>0.3</v>
      </c>
      <c r="Q772" s="6">
        <v>25</v>
      </c>
      <c r="R772" s="10">
        <v>0</v>
      </c>
      <c r="S772" s="10">
        <v>0</v>
      </c>
      <c r="T772" s="10"/>
      <c r="U772" t="str">
        <f>"RUNNING_COST_"&amp;IF(PROPERTIES[[#This Row],[ENGINE_CLASS]]="MAGLEV","ELECTRIC",PROPERTIES[[#This Row],[ENGINE_CLASS]])</f>
        <v>RUNNING_COST_DIESEL</v>
      </c>
      <c r="V772" s="10" t="s">
        <v>1018</v>
      </c>
      <c r="W772" s="10" t="s">
        <v>1019</v>
      </c>
      <c r="X772" s="10" t="str">
        <f>SUBSTITUTE(SUBSTITUTE(PROPERTIES[[#This Row],[PURCHASECOST_VALUE]], "PURCHASECOST_", ""), "_VALUE", "")</f>
        <v>COACH</v>
      </c>
      <c r="AP772"/>
      <c r="AQ772"/>
      <c r="AR772"/>
    </row>
    <row r="773" spans="1:44">
      <c r="A773" s="2" t="s">
        <v>818</v>
      </c>
      <c r="B773">
        <v>1970</v>
      </c>
      <c r="C773">
        <v>0</v>
      </c>
      <c r="D773" t="s">
        <v>35</v>
      </c>
      <c r="E773" t="s">
        <v>325</v>
      </c>
      <c r="F773">
        <v>70</v>
      </c>
      <c r="G773" s="10">
        <v>51</v>
      </c>
      <c r="H773">
        <v>8</v>
      </c>
      <c r="I773">
        <v>8</v>
      </c>
      <c r="J773" s="2" t="s">
        <v>479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>
        <v>0</v>
      </c>
      <c r="O773">
        <v>177</v>
      </c>
      <c r="P773" s="2">
        <v>0.3</v>
      </c>
      <c r="Q773" s="6">
        <v>25</v>
      </c>
      <c r="R773" s="10">
        <v>0</v>
      </c>
      <c r="S773" s="10">
        <v>0</v>
      </c>
      <c r="T773" s="10"/>
      <c r="U773" t="str">
        <f>"RUNNING_COST_"&amp;IF(PROPERTIES[[#This Row],[ENGINE_CLASS]]="MAGLEV","ELECTRIC",PROPERTIES[[#This Row],[ENGINE_CLASS]])</f>
        <v>RUNNING_COST_DIESEL</v>
      </c>
      <c r="V773" s="10" t="s">
        <v>1018</v>
      </c>
      <c r="W773" s="10" t="s">
        <v>1019</v>
      </c>
      <c r="X773" s="10" t="str">
        <f>SUBSTITUTE(SUBSTITUTE(PROPERTIES[[#This Row],[PURCHASECOST_VALUE]], "PURCHASECOST_", ""), "_VALUE", "")</f>
        <v>COACH</v>
      </c>
      <c r="AP773"/>
      <c r="AQ773"/>
      <c r="AR773"/>
    </row>
    <row r="774" spans="1:44">
      <c r="A774" s="2" t="s">
        <v>819</v>
      </c>
      <c r="B774">
        <v>1970</v>
      </c>
      <c r="C774">
        <v>0</v>
      </c>
      <c r="D774" t="s">
        <v>35</v>
      </c>
      <c r="E774" t="s">
        <v>673</v>
      </c>
      <c r="F774">
        <v>90</v>
      </c>
      <c r="G774" s="10">
        <v>50</v>
      </c>
      <c r="H774">
        <v>8</v>
      </c>
      <c r="I774">
        <v>8</v>
      </c>
      <c r="J774" s="2" t="s">
        <v>674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>
        <v>0</v>
      </c>
      <c r="O774">
        <v>177</v>
      </c>
      <c r="P774" s="2">
        <v>0.3</v>
      </c>
      <c r="Q774" s="6">
        <v>25</v>
      </c>
      <c r="R774" s="10">
        <v>0</v>
      </c>
      <c r="S774" s="10">
        <v>0</v>
      </c>
      <c r="T774" s="10"/>
      <c r="U774" t="str">
        <f>"RUNNING_COST_"&amp;IF(PROPERTIES[[#This Row],[ENGINE_CLASS]]="MAGLEV","ELECTRIC",PROPERTIES[[#This Row],[ENGINE_CLASS]])</f>
        <v>RUNNING_COST_DIESEL</v>
      </c>
      <c r="V774" s="10" t="s">
        <v>1018</v>
      </c>
      <c r="W774" s="10" t="s">
        <v>1019</v>
      </c>
      <c r="X774" s="10" t="str">
        <f>SUBSTITUTE(SUBSTITUTE(PROPERTIES[[#This Row],[PURCHASECOST_VALUE]], "PURCHASECOST_", ""), "_VALUE", "")</f>
        <v>COACH</v>
      </c>
      <c r="AP774"/>
      <c r="AQ774"/>
      <c r="AR774"/>
    </row>
    <row r="775" spans="1:44">
      <c r="A775" s="2" t="s">
        <v>820</v>
      </c>
      <c r="B775">
        <v>1970</v>
      </c>
      <c r="C775">
        <v>0</v>
      </c>
      <c r="D775" t="s">
        <v>35</v>
      </c>
      <c r="E775" t="s">
        <v>325</v>
      </c>
      <c r="F775">
        <v>150</v>
      </c>
      <c r="G775" s="10">
        <v>50</v>
      </c>
      <c r="H775">
        <v>8</v>
      </c>
      <c r="I775">
        <v>8</v>
      </c>
      <c r="J775" s="2" t="s">
        <v>479</v>
      </c>
      <c r="K775">
        <f>_xlfn.XLOOKUP("LOADINGSPEEDDEF_"&amp;PROPERTIES[[#This Row],[LOADINGSPEED]],LOADINGSPEEDDEF[TYPE],LOADINGSPEEDDEF[SPEED])</f>
        <v>16</v>
      </c>
      <c r="L775" t="s">
        <v>21</v>
      </c>
      <c r="M775">
        <v>1</v>
      </c>
      <c r="N775">
        <v>0</v>
      </c>
      <c r="O775">
        <v>160</v>
      </c>
      <c r="P775" s="2">
        <v>0.3</v>
      </c>
      <c r="Q775" s="6">
        <v>25</v>
      </c>
      <c r="R775" s="10">
        <v>0</v>
      </c>
      <c r="S775" s="10">
        <v>0</v>
      </c>
      <c r="T775" s="10"/>
      <c r="U775" t="str">
        <f>"RUNNING_COST_"&amp;IF(PROPERTIES[[#This Row],[ENGINE_CLASS]]="MAGLEV","ELECTRIC",PROPERTIES[[#This Row],[ENGINE_CLASS]])</f>
        <v>RUNNING_COST_DIESEL</v>
      </c>
      <c r="V775" s="10" t="s">
        <v>1018</v>
      </c>
      <c r="W775" s="10" t="s">
        <v>1019</v>
      </c>
      <c r="X775" s="10" t="str">
        <f>SUBSTITUTE(SUBSTITUTE(PROPERTIES[[#This Row],[PURCHASECOST_VALUE]], "PURCHASECOST_", ""), "_VALUE", "")</f>
        <v>COACH</v>
      </c>
      <c r="AP775"/>
      <c r="AQ775"/>
      <c r="AR775"/>
    </row>
    <row r="776" spans="1:44">
      <c r="A776" s="2" t="s">
        <v>821</v>
      </c>
      <c r="B776">
        <v>2000</v>
      </c>
      <c r="C776">
        <v>0</v>
      </c>
      <c r="D776" t="s">
        <v>35</v>
      </c>
      <c r="E776" t="s">
        <v>325</v>
      </c>
      <c r="F776">
        <v>70</v>
      </c>
      <c r="G776" s="10">
        <v>47</v>
      </c>
      <c r="H776">
        <v>8</v>
      </c>
      <c r="I776">
        <v>8</v>
      </c>
      <c r="J776" s="2" t="s">
        <v>479</v>
      </c>
      <c r="K776">
        <f>_xlfn.XLOOKUP("LOADINGSPEEDDEF_"&amp;PROPERTIES[[#This Row],[LOADINGSPEED]],LOADINGSPEEDDEF[TYPE],LOADINGSPEEDDEF[SPEED])</f>
        <v>16</v>
      </c>
      <c r="L776" t="s">
        <v>21</v>
      </c>
      <c r="M776">
        <v>1</v>
      </c>
      <c r="N776">
        <v>0</v>
      </c>
      <c r="O776">
        <v>230</v>
      </c>
      <c r="P776" s="2">
        <v>0.3</v>
      </c>
      <c r="Q776" s="6">
        <v>25</v>
      </c>
      <c r="R776" s="10">
        <v>0</v>
      </c>
      <c r="S776" s="10">
        <v>0</v>
      </c>
      <c r="T776" s="10"/>
      <c r="U776" t="str">
        <f>"RUNNING_COST_"&amp;IF(PROPERTIES[[#This Row],[ENGINE_CLASS]]="MAGLEV","ELECTRIC",PROPERTIES[[#This Row],[ENGINE_CLASS]])</f>
        <v>RUNNING_COST_DIESEL</v>
      </c>
      <c r="V776" s="10" t="s">
        <v>1018</v>
      </c>
      <c r="W776" s="10" t="s">
        <v>1019</v>
      </c>
      <c r="X776" s="10" t="str">
        <f>SUBSTITUTE(SUBSTITUTE(PROPERTIES[[#This Row],[PURCHASECOST_VALUE]], "PURCHASECOST_", ""), "_VALUE", "")</f>
        <v>COACH</v>
      </c>
      <c r="AP776"/>
      <c r="AQ776"/>
      <c r="AR776"/>
    </row>
    <row r="777" spans="1:44">
      <c r="A777" s="2" t="s">
        <v>822</v>
      </c>
      <c r="B777">
        <v>2000</v>
      </c>
      <c r="C777">
        <v>0</v>
      </c>
      <c r="D777" t="s">
        <v>35</v>
      </c>
      <c r="E777" t="s">
        <v>325</v>
      </c>
      <c r="F777">
        <v>85</v>
      </c>
      <c r="G777" s="10">
        <v>44</v>
      </c>
      <c r="H777">
        <v>8</v>
      </c>
      <c r="I777">
        <v>8</v>
      </c>
      <c r="J777" s="2" t="s">
        <v>479</v>
      </c>
      <c r="K777">
        <f>_xlfn.XLOOKUP("LOADINGSPEEDDEF_"&amp;PROPERTIES[[#This Row],[LOADINGSPEED]],LOADINGSPEEDDEF[TYPE],LOADINGSPEEDDEF[SPEED])</f>
        <v>16</v>
      </c>
      <c r="L777" t="s">
        <v>21</v>
      </c>
      <c r="M777">
        <v>1</v>
      </c>
      <c r="N777">
        <v>0</v>
      </c>
      <c r="O777">
        <v>160</v>
      </c>
      <c r="P777" s="2">
        <v>0.3</v>
      </c>
      <c r="Q777" s="6">
        <v>25</v>
      </c>
      <c r="R777" s="10">
        <v>0</v>
      </c>
      <c r="S777" s="10">
        <v>0</v>
      </c>
      <c r="T777" s="10"/>
      <c r="U777" t="str">
        <f>"RUNNING_COST_"&amp;IF(PROPERTIES[[#This Row],[ENGINE_CLASS]]="MAGLEV","ELECTRIC",PROPERTIES[[#This Row],[ENGINE_CLASS]])</f>
        <v>RUNNING_COST_DIESEL</v>
      </c>
      <c r="V777" s="10" t="s">
        <v>1018</v>
      </c>
      <c r="W777" s="10" t="s">
        <v>1019</v>
      </c>
      <c r="X777" s="10" t="str">
        <f>SUBSTITUTE(SUBSTITUTE(PROPERTIES[[#This Row],[PURCHASECOST_VALUE]], "PURCHASECOST_", ""), "_VALUE", "")</f>
        <v>COACH</v>
      </c>
      <c r="AP777"/>
      <c r="AQ777"/>
      <c r="AR777"/>
    </row>
    <row r="778" spans="1:44">
      <c r="A778" s="2" t="s">
        <v>823</v>
      </c>
      <c r="B778">
        <v>2000</v>
      </c>
      <c r="C778">
        <v>0</v>
      </c>
      <c r="D778" t="s">
        <v>35</v>
      </c>
      <c r="E778" t="s">
        <v>325</v>
      </c>
      <c r="F778">
        <v>115</v>
      </c>
      <c r="G778" s="10">
        <v>45</v>
      </c>
      <c r="H778">
        <v>8</v>
      </c>
      <c r="I778">
        <v>8</v>
      </c>
      <c r="J778" s="2" t="s">
        <v>24</v>
      </c>
      <c r="K778">
        <f>_xlfn.XLOOKUP("LOADINGSPEEDDEF_"&amp;PROPERTIES[[#This Row],[LOADINGSPEED]],LOADINGSPEEDDEF[TYPE],LOADINGSPEEDDEF[SPEED])</f>
        <v>40</v>
      </c>
      <c r="L778" t="s">
        <v>21</v>
      </c>
      <c r="M778">
        <v>1</v>
      </c>
      <c r="N778">
        <v>0</v>
      </c>
      <c r="O778">
        <v>140</v>
      </c>
      <c r="P778" s="2">
        <v>0.3</v>
      </c>
      <c r="Q778" s="6">
        <v>25</v>
      </c>
      <c r="R778" s="10">
        <v>0</v>
      </c>
      <c r="S778" s="10">
        <v>0</v>
      </c>
      <c r="T778" s="10"/>
      <c r="U778" t="str">
        <f>"RUNNING_COST_"&amp;IF(PROPERTIES[[#This Row],[ENGINE_CLASS]]="MAGLEV","ELECTRIC",PROPERTIES[[#This Row],[ENGINE_CLASS]])</f>
        <v>RUNNING_COST_DIESEL</v>
      </c>
      <c r="V778" s="10" t="s">
        <v>1018</v>
      </c>
      <c r="W778" s="10" t="s">
        <v>1019</v>
      </c>
      <c r="X778" s="10" t="str">
        <f>SUBSTITUTE(SUBSTITUTE(PROPERTIES[[#This Row],[PURCHASECOST_VALUE]], "PURCHASECOST_", ""), "_VALUE", "")</f>
        <v>COACH</v>
      </c>
      <c r="AP778"/>
      <c r="AQ778"/>
      <c r="AR778"/>
    </row>
    <row r="779" spans="1:44">
      <c r="A779" s="2" t="s">
        <v>824</v>
      </c>
      <c r="B779">
        <v>2000</v>
      </c>
      <c r="C779">
        <v>0</v>
      </c>
      <c r="D779" t="s">
        <v>35</v>
      </c>
      <c r="E779" t="s">
        <v>325</v>
      </c>
      <c r="F779">
        <v>145</v>
      </c>
      <c r="G779" s="10">
        <v>47</v>
      </c>
      <c r="H779">
        <v>8</v>
      </c>
      <c r="I779">
        <v>8</v>
      </c>
      <c r="J779" s="2" t="s">
        <v>479</v>
      </c>
      <c r="K779">
        <f>_xlfn.XLOOKUP("LOADINGSPEEDDEF_"&amp;PROPERTIES[[#This Row],[LOADINGSPEED]],LOADINGSPEEDDEF[TYPE],LOADINGSPEEDDEF[SPEED])</f>
        <v>16</v>
      </c>
      <c r="L779" t="s">
        <v>21</v>
      </c>
      <c r="M779">
        <v>1</v>
      </c>
      <c r="N779">
        <v>0</v>
      </c>
      <c r="O779">
        <v>160</v>
      </c>
      <c r="P779" s="2">
        <v>0.3</v>
      </c>
      <c r="Q779" s="6">
        <v>25</v>
      </c>
      <c r="R779" s="10">
        <v>0</v>
      </c>
      <c r="S779" s="10">
        <v>0</v>
      </c>
      <c r="T779" s="10"/>
      <c r="U779" t="str">
        <f>"RUNNING_COST_"&amp;IF(PROPERTIES[[#This Row],[ENGINE_CLASS]]="MAGLEV","ELECTRIC",PROPERTIES[[#This Row],[ENGINE_CLASS]])</f>
        <v>RUNNING_COST_DIESEL</v>
      </c>
      <c r="V779" s="10" t="s">
        <v>1018</v>
      </c>
      <c r="W779" s="10" t="s">
        <v>1019</v>
      </c>
      <c r="X779" s="10" t="str">
        <f>SUBSTITUTE(SUBSTITUTE(PROPERTIES[[#This Row],[PURCHASECOST_VALUE]], "PURCHASECOST_", ""), "_VALUE", "")</f>
        <v>COACH</v>
      </c>
      <c r="AP779"/>
      <c r="AQ779"/>
      <c r="AR779"/>
    </row>
    <row r="780" spans="1:44">
      <c r="A780" s="2" t="s">
        <v>825</v>
      </c>
      <c r="B780">
        <v>2000</v>
      </c>
      <c r="C780">
        <v>0</v>
      </c>
      <c r="D780" t="s">
        <v>35</v>
      </c>
      <c r="E780" t="s">
        <v>325</v>
      </c>
      <c r="F780">
        <v>115</v>
      </c>
      <c r="G780" s="10">
        <v>47</v>
      </c>
      <c r="H780">
        <v>8</v>
      </c>
      <c r="I780">
        <v>8</v>
      </c>
      <c r="J780" s="2" t="s">
        <v>479</v>
      </c>
      <c r="K780">
        <f>_xlfn.XLOOKUP("LOADINGSPEEDDEF_"&amp;PROPERTIES[[#This Row],[LOADINGSPEED]],LOADINGSPEEDDEF[TYPE],LOADINGSPEEDDEF[SPEED])</f>
        <v>16</v>
      </c>
      <c r="L780" t="s">
        <v>21</v>
      </c>
      <c r="M780">
        <v>1</v>
      </c>
      <c r="N780">
        <v>0</v>
      </c>
      <c r="O780">
        <v>200</v>
      </c>
      <c r="P780" s="2">
        <v>0.3</v>
      </c>
      <c r="Q780" s="6">
        <v>25</v>
      </c>
      <c r="R780" s="10">
        <v>0</v>
      </c>
      <c r="S780" s="10">
        <v>0</v>
      </c>
      <c r="T780" s="10"/>
      <c r="U780" t="str">
        <f>"RUNNING_COST_"&amp;IF(PROPERTIES[[#This Row],[ENGINE_CLASS]]="MAGLEV","ELECTRIC",PROPERTIES[[#This Row],[ENGINE_CLASS]])</f>
        <v>RUNNING_COST_DIESEL</v>
      </c>
      <c r="V780" s="10" t="s">
        <v>1018</v>
      </c>
      <c r="W780" s="10" t="s">
        <v>1019</v>
      </c>
      <c r="X780" s="10" t="str">
        <f>SUBSTITUTE(SUBSTITUTE(PROPERTIES[[#This Row],[PURCHASECOST_VALUE]], "PURCHASECOST_", ""), "_VALUE", "")</f>
        <v>COACH</v>
      </c>
      <c r="AP780"/>
      <c r="AQ780"/>
      <c r="AR780"/>
    </row>
    <row r="781" spans="1:44">
      <c r="A781" s="2" t="s">
        <v>826</v>
      </c>
      <c r="B781">
        <v>2000</v>
      </c>
      <c r="C781">
        <v>0</v>
      </c>
      <c r="D781" t="s">
        <v>35</v>
      </c>
      <c r="E781" t="s">
        <v>673</v>
      </c>
      <c r="F781">
        <v>70</v>
      </c>
      <c r="G781" s="10">
        <v>46</v>
      </c>
      <c r="H781">
        <v>8</v>
      </c>
      <c r="I781">
        <v>8</v>
      </c>
      <c r="J781" s="2" t="s">
        <v>674</v>
      </c>
      <c r="K781">
        <f>_xlfn.XLOOKUP("LOADINGSPEEDDEF_"&amp;PROPERTIES[[#This Row],[LOADINGSPEED]],LOADINGSPEEDDEF[TYPE],LOADINGSPEEDDEF[SPEED])</f>
        <v>15</v>
      </c>
      <c r="L781" t="s">
        <v>21</v>
      </c>
      <c r="M781">
        <v>1</v>
      </c>
      <c r="N781">
        <v>0</v>
      </c>
      <c r="O781">
        <v>230</v>
      </c>
      <c r="P781" s="2">
        <v>0.3</v>
      </c>
      <c r="Q781" s="6">
        <v>25</v>
      </c>
      <c r="R781" s="10">
        <v>0</v>
      </c>
      <c r="S781" s="10">
        <v>0</v>
      </c>
      <c r="T781" s="10"/>
      <c r="U781" t="str">
        <f>"RUNNING_COST_"&amp;IF(PROPERTIES[[#This Row],[ENGINE_CLASS]]="MAGLEV","ELECTRIC",PROPERTIES[[#This Row],[ENGINE_CLASS]])</f>
        <v>RUNNING_COST_DIESEL</v>
      </c>
      <c r="V781" s="10" t="s">
        <v>1018</v>
      </c>
      <c r="W781" s="10" t="s">
        <v>1019</v>
      </c>
      <c r="X781" s="10" t="str">
        <f>SUBSTITUTE(SUBSTITUTE(PROPERTIES[[#This Row],[PURCHASECOST_VALUE]], "PURCHASECOST_", ""), "_VALUE", "")</f>
        <v>COACH</v>
      </c>
      <c r="AP781"/>
      <c r="AQ781"/>
      <c r="AR781"/>
    </row>
    <row r="782" spans="1:44">
      <c r="A782" s="2" t="s">
        <v>827</v>
      </c>
      <c r="B782">
        <v>1980</v>
      </c>
      <c r="C782">
        <v>0</v>
      </c>
      <c r="D782" t="s">
        <v>35</v>
      </c>
      <c r="E782" t="s">
        <v>325</v>
      </c>
      <c r="F782">
        <v>40</v>
      </c>
      <c r="G782" s="10">
        <v>15</v>
      </c>
      <c r="H782">
        <v>6</v>
      </c>
      <c r="I782">
        <v>6</v>
      </c>
      <c r="J782" s="2" t="s">
        <v>24</v>
      </c>
      <c r="K782">
        <f>_xlfn.XLOOKUP("LOADINGSPEEDDEF_"&amp;PROPERTIES[[#This Row],[LOADINGSPEED]],LOADINGSPEEDDEF[TYPE],LOADINGSPEEDDEF[SPEED])</f>
        <v>40</v>
      </c>
      <c r="L782" t="s">
        <v>21</v>
      </c>
      <c r="M782">
        <v>1</v>
      </c>
      <c r="N782">
        <v>0</v>
      </c>
      <c r="O782">
        <v>250</v>
      </c>
      <c r="P782" s="2">
        <v>0.3</v>
      </c>
      <c r="Q782" s="6">
        <v>25</v>
      </c>
      <c r="R782" s="10">
        <v>0</v>
      </c>
      <c r="S782" s="10">
        <v>0</v>
      </c>
      <c r="T782" s="10"/>
      <c r="U782" t="str">
        <f>"RUNNING_COST_"&amp;IF(PROPERTIES[[#This Row],[ENGINE_CLASS]]="MAGLEV","ELECTRIC",PROPERTIES[[#This Row],[ENGINE_CLASS]])</f>
        <v>RUNNING_COST_DIESEL</v>
      </c>
      <c r="V782" s="10" t="s">
        <v>1018</v>
      </c>
      <c r="W782" s="10" t="s">
        <v>1019</v>
      </c>
      <c r="X782" s="10" t="str">
        <f>SUBSTITUTE(SUBSTITUTE(PROPERTIES[[#This Row],[PURCHASECOST_VALUE]], "PURCHASECOST_", ""), "_VALUE", "")</f>
        <v>COACH</v>
      </c>
      <c r="AP782"/>
      <c r="AQ782"/>
      <c r="AR782"/>
    </row>
    <row r="783" spans="1:44">
      <c r="A783" s="2" t="s">
        <v>828</v>
      </c>
      <c r="B783">
        <v>1980</v>
      </c>
      <c r="C783">
        <v>0</v>
      </c>
      <c r="D783" t="s">
        <v>35</v>
      </c>
      <c r="E783" t="s">
        <v>673</v>
      </c>
      <c r="F783">
        <v>40</v>
      </c>
      <c r="G783" s="10">
        <v>15</v>
      </c>
      <c r="H783">
        <v>6</v>
      </c>
      <c r="I783">
        <v>6</v>
      </c>
      <c r="J783" s="2" t="s">
        <v>674</v>
      </c>
      <c r="K783">
        <f>_xlfn.XLOOKUP("LOADINGSPEEDDEF_"&amp;PROPERTIES[[#This Row],[LOADINGSPEED]],LOADINGSPEEDDEF[TYPE],LOADINGSPEEDDEF[SPEED])</f>
        <v>15</v>
      </c>
      <c r="L783" t="s">
        <v>21</v>
      </c>
      <c r="M783">
        <v>1</v>
      </c>
      <c r="N783">
        <v>0</v>
      </c>
      <c r="O783">
        <v>250</v>
      </c>
      <c r="P783" s="2">
        <v>0.3</v>
      </c>
      <c r="Q783" s="6">
        <v>25</v>
      </c>
      <c r="R783" s="10">
        <v>0</v>
      </c>
      <c r="S783" s="10">
        <v>0</v>
      </c>
      <c r="T783" s="10"/>
      <c r="U783" t="str">
        <f>"RUNNING_COST_"&amp;IF(PROPERTIES[[#This Row],[ENGINE_CLASS]]="MAGLEV","ELECTRIC",PROPERTIES[[#This Row],[ENGINE_CLASS]])</f>
        <v>RUNNING_COST_DIESEL</v>
      </c>
      <c r="V783" s="10" t="s">
        <v>1018</v>
      </c>
      <c r="W783" s="10" t="s">
        <v>1019</v>
      </c>
      <c r="X783" s="10" t="str">
        <f>SUBSTITUTE(SUBSTITUTE(PROPERTIES[[#This Row],[PURCHASECOST_VALUE]], "PURCHASECOST_", ""), "_VALUE", "")</f>
        <v>COACH</v>
      </c>
      <c r="AP783"/>
      <c r="AQ783"/>
      <c r="AR783"/>
    </row>
    <row r="784" spans="1:44">
      <c r="A784" s="2" t="s">
        <v>829</v>
      </c>
      <c r="B784">
        <v>2030</v>
      </c>
      <c r="C784">
        <v>0</v>
      </c>
      <c r="D784" t="s">
        <v>35</v>
      </c>
      <c r="E784" t="s">
        <v>325</v>
      </c>
      <c r="F784">
        <v>80</v>
      </c>
      <c r="G784" s="10">
        <v>39</v>
      </c>
      <c r="H784">
        <v>8</v>
      </c>
      <c r="I784">
        <v>8</v>
      </c>
      <c r="J784" s="2" t="s">
        <v>479</v>
      </c>
      <c r="K784">
        <f>_xlfn.XLOOKUP("LOADINGSPEEDDEF_"&amp;PROPERTIES[[#This Row],[LOADINGSPEED]],LOADINGSPEEDDEF[TYPE],LOADINGSPEEDDEF[SPEED])</f>
        <v>16</v>
      </c>
      <c r="L784" t="s">
        <v>21</v>
      </c>
      <c r="M784">
        <v>1</v>
      </c>
      <c r="N784">
        <v>0</v>
      </c>
      <c r="O784">
        <v>0</v>
      </c>
      <c r="P784" s="2">
        <v>0.3</v>
      </c>
      <c r="Q784" s="6">
        <v>25</v>
      </c>
      <c r="R784" s="10">
        <v>0</v>
      </c>
      <c r="S784" s="10">
        <v>0</v>
      </c>
      <c r="T784" s="10"/>
      <c r="U784" t="str">
        <f>"RUNNING_COST_"&amp;IF(PROPERTIES[[#This Row],[ENGINE_CLASS]]="MAGLEV","ELECTRIC",PROPERTIES[[#This Row],[ENGINE_CLASS]])</f>
        <v>RUNNING_COST_DIESEL</v>
      </c>
      <c r="V784" s="10" t="s">
        <v>1018</v>
      </c>
      <c r="W784" s="10" t="s">
        <v>1019</v>
      </c>
      <c r="X784" s="10" t="str">
        <f>SUBSTITUTE(SUBSTITUTE(PROPERTIES[[#This Row],[PURCHASECOST_VALUE]], "PURCHASECOST_", ""), "_VALUE", "")</f>
        <v>COACH</v>
      </c>
      <c r="AP784"/>
      <c r="AQ784"/>
      <c r="AR784"/>
    </row>
    <row r="785" spans="1:44">
      <c r="A785" s="2" t="s">
        <v>830</v>
      </c>
      <c r="B785">
        <v>2030</v>
      </c>
      <c r="C785">
        <v>0</v>
      </c>
      <c r="D785" t="s">
        <v>35</v>
      </c>
      <c r="E785" t="s">
        <v>325</v>
      </c>
      <c r="F785">
        <v>100</v>
      </c>
      <c r="G785" s="10">
        <v>38</v>
      </c>
      <c r="H785">
        <v>8</v>
      </c>
      <c r="I785">
        <v>8</v>
      </c>
      <c r="J785" s="2" t="s">
        <v>479</v>
      </c>
      <c r="K785">
        <f>_xlfn.XLOOKUP("LOADINGSPEEDDEF_"&amp;PROPERTIES[[#This Row],[LOADINGSPEED]],LOADINGSPEEDDEF[TYPE],LOADINGSPEEDDEF[SPEED])</f>
        <v>16</v>
      </c>
      <c r="L785" t="s">
        <v>21</v>
      </c>
      <c r="M785">
        <v>1</v>
      </c>
      <c r="N785">
        <v>0</v>
      </c>
      <c r="O785">
        <v>200</v>
      </c>
      <c r="P785" s="2">
        <v>0.3</v>
      </c>
      <c r="Q785" s="6">
        <v>25</v>
      </c>
      <c r="R785" s="10">
        <v>0</v>
      </c>
      <c r="S785" s="10">
        <v>0</v>
      </c>
      <c r="T785" s="10"/>
      <c r="U785" t="str">
        <f>"RUNNING_COST_"&amp;IF(PROPERTIES[[#This Row],[ENGINE_CLASS]]="MAGLEV","ELECTRIC",PROPERTIES[[#This Row],[ENGINE_CLASS]])</f>
        <v>RUNNING_COST_DIESEL</v>
      </c>
      <c r="V785" s="10" t="s">
        <v>1018</v>
      </c>
      <c r="W785" s="10" t="s">
        <v>1019</v>
      </c>
      <c r="X785" s="10" t="str">
        <f>SUBSTITUTE(SUBSTITUTE(PROPERTIES[[#This Row],[PURCHASECOST_VALUE]], "PURCHASECOST_", ""), "_VALUE", "")</f>
        <v>COACH</v>
      </c>
      <c r="AP785"/>
      <c r="AQ785"/>
      <c r="AR785"/>
    </row>
    <row r="786" spans="1:44">
      <c r="A786" s="2" t="s">
        <v>831</v>
      </c>
      <c r="B786">
        <v>2030</v>
      </c>
      <c r="C786">
        <v>0</v>
      </c>
      <c r="D786" t="s">
        <v>35</v>
      </c>
      <c r="E786" t="s">
        <v>325</v>
      </c>
      <c r="F786">
        <v>115</v>
      </c>
      <c r="G786" s="10">
        <v>39</v>
      </c>
      <c r="H786">
        <v>8</v>
      </c>
      <c r="I786">
        <v>8</v>
      </c>
      <c r="J786" s="2" t="s">
        <v>24</v>
      </c>
      <c r="K786">
        <f>_xlfn.XLOOKUP("LOADINGSPEEDDEF_"&amp;PROPERTIES[[#This Row],[LOADINGSPEED]],LOADINGSPEEDDEF[TYPE],LOADINGSPEEDDEF[SPEED])</f>
        <v>40</v>
      </c>
      <c r="L786" t="s">
        <v>21</v>
      </c>
      <c r="M786">
        <v>1</v>
      </c>
      <c r="N786">
        <v>0</v>
      </c>
      <c r="O786">
        <v>180</v>
      </c>
      <c r="P786" s="2">
        <v>0.3</v>
      </c>
      <c r="Q786" s="6">
        <v>25</v>
      </c>
      <c r="R786" s="10">
        <v>0</v>
      </c>
      <c r="S786" s="10">
        <v>0</v>
      </c>
      <c r="T786" s="10"/>
      <c r="U786" t="str">
        <f>"RUNNING_COST_"&amp;IF(PROPERTIES[[#This Row],[ENGINE_CLASS]]="MAGLEV","ELECTRIC",PROPERTIES[[#This Row],[ENGINE_CLASS]])</f>
        <v>RUNNING_COST_DIESEL</v>
      </c>
      <c r="V786" s="10" t="s">
        <v>1018</v>
      </c>
      <c r="W786" s="10" t="s">
        <v>1019</v>
      </c>
      <c r="X786" s="10" t="str">
        <f>SUBSTITUTE(SUBSTITUTE(PROPERTIES[[#This Row],[PURCHASECOST_VALUE]], "PURCHASECOST_", ""), "_VALUE", "")</f>
        <v>COACH</v>
      </c>
      <c r="AP786"/>
      <c r="AQ786"/>
      <c r="AR786"/>
    </row>
    <row r="787" spans="1:44">
      <c r="A787" s="2" t="s">
        <v>832</v>
      </c>
      <c r="B787">
        <v>2030</v>
      </c>
      <c r="C787">
        <v>0</v>
      </c>
      <c r="D787" t="s">
        <v>35</v>
      </c>
      <c r="E787" t="s">
        <v>673</v>
      </c>
      <c r="F787">
        <v>85</v>
      </c>
      <c r="G787" s="10">
        <v>38</v>
      </c>
      <c r="H787">
        <v>8</v>
      </c>
      <c r="I787">
        <v>8</v>
      </c>
      <c r="J787" s="2" t="s">
        <v>674</v>
      </c>
      <c r="K787">
        <f>_xlfn.XLOOKUP("LOADINGSPEEDDEF_"&amp;PROPERTIES[[#This Row],[LOADINGSPEED]],LOADINGSPEEDDEF[TYPE],LOADINGSPEEDDEF[SPEED])</f>
        <v>15</v>
      </c>
      <c r="L787" t="s">
        <v>21</v>
      </c>
      <c r="M787">
        <v>1</v>
      </c>
      <c r="N787">
        <v>0</v>
      </c>
      <c r="O787">
        <v>0</v>
      </c>
      <c r="P787" s="2">
        <v>0.3</v>
      </c>
      <c r="Q787" s="6">
        <v>25</v>
      </c>
      <c r="R787" s="10">
        <v>0</v>
      </c>
      <c r="S787" s="10">
        <v>0</v>
      </c>
      <c r="T787" s="10"/>
      <c r="U787" t="str">
        <f>"RUNNING_COST_"&amp;IF(PROPERTIES[[#This Row],[ENGINE_CLASS]]="MAGLEV","ELECTRIC",PROPERTIES[[#This Row],[ENGINE_CLASS]])</f>
        <v>RUNNING_COST_DIESEL</v>
      </c>
      <c r="V787" s="10" t="s">
        <v>1018</v>
      </c>
      <c r="W787" s="10" t="s">
        <v>1019</v>
      </c>
      <c r="X787" s="10" t="str">
        <f>SUBSTITUTE(SUBSTITUTE(PROPERTIES[[#This Row],[PURCHASECOST_VALUE]], "PURCHASECOST_", ""), "_VALUE", "")</f>
        <v>COACH</v>
      </c>
      <c r="AP787"/>
      <c r="AQ787"/>
      <c r="AR787"/>
    </row>
    <row r="788" spans="1:44">
      <c r="A788" s="2" t="s">
        <v>833</v>
      </c>
      <c r="B788">
        <v>2030</v>
      </c>
      <c r="C788">
        <v>0</v>
      </c>
      <c r="D788" t="s">
        <v>35</v>
      </c>
      <c r="E788" t="s">
        <v>325</v>
      </c>
      <c r="F788">
        <v>160</v>
      </c>
      <c r="G788" s="10">
        <v>41</v>
      </c>
      <c r="H788">
        <v>8</v>
      </c>
      <c r="I788">
        <v>8</v>
      </c>
      <c r="J788" s="2" t="s">
        <v>479</v>
      </c>
      <c r="K788">
        <f>_xlfn.XLOOKUP("LOADINGSPEEDDEF_"&amp;PROPERTIES[[#This Row],[LOADINGSPEED]],LOADINGSPEEDDEF[TYPE],LOADINGSPEEDDEF[SPEED])</f>
        <v>16</v>
      </c>
      <c r="L788" t="s">
        <v>21</v>
      </c>
      <c r="M788">
        <v>1</v>
      </c>
      <c r="N788">
        <v>0</v>
      </c>
      <c r="O788">
        <v>200</v>
      </c>
      <c r="P788" s="2">
        <v>0.3</v>
      </c>
      <c r="Q788" s="6">
        <v>25</v>
      </c>
      <c r="R788" s="10">
        <v>0</v>
      </c>
      <c r="S788" s="10">
        <v>0</v>
      </c>
      <c r="T788" s="10"/>
      <c r="U788" t="str">
        <f>"RUNNING_COST_"&amp;IF(PROPERTIES[[#This Row],[ENGINE_CLASS]]="MAGLEV","ELECTRIC",PROPERTIES[[#This Row],[ENGINE_CLASS]])</f>
        <v>RUNNING_COST_DIESEL</v>
      </c>
      <c r="V788" s="10" t="s">
        <v>1018</v>
      </c>
      <c r="W788" s="10" t="s">
        <v>1019</v>
      </c>
      <c r="X788" s="10" t="str">
        <f>SUBSTITUTE(SUBSTITUTE(PROPERTIES[[#This Row],[PURCHASECOST_VALUE]], "PURCHASECOST_", ""), "_VALUE", "")</f>
        <v>COACH</v>
      </c>
      <c r="AP788"/>
      <c r="AQ788"/>
      <c r="AR788"/>
    </row>
    <row r="789" spans="1:44">
      <c r="A789" s="2" t="s">
        <v>834</v>
      </c>
      <c r="B789">
        <v>2030</v>
      </c>
      <c r="C789">
        <v>0</v>
      </c>
      <c r="D789" t="s">
        <v>35</v>
      </c>
      <c r="E789" t="s">
        <v>325</v>
      </c>
      <c r="F789">
        <v>130</v>
      </c>
      <c r="G789" s="10">
        <v>43</v>
      </c>
      <c r="H789">
        <v>8</v>
      </c>
      <c r="I789">
        <v>8</v>
      </c>
      <c r="J789" s="2" t="s">
        <v>479</v>
      </c>
      <c r="K789">
        <f>_xlfn.XLOOKUP("LOADINGSPEEDDEF_"&amp;PROPERTIES[[#This Row],[LOADINGSPEED]],LOADINGSPEEDDEF[TYPE],LOADINGSPEEDDEF[SPEED])</f>
        <v>16</v>
      </c>
      <c r="L789" t="s">
        <v>21</v>
      </c>
      <c r="M789">
        <v>1</v>
      </c>
      <c r="N789">
        <v>0</v>
      </c>
      <c r="O789">
        <v>0</v>
      </c>
      <c r="P789" s="2">
        <v>0.3</v>
      </c>
      <c r="Q789" s="6">
        <v>25</v>
      </c>
      <c r="R789" s="10">
        <v>0</v>
      </c>
      <c r="S789" s="10">
        <v>0</v>
      </c>
      <c r="T789" s="10"/>
      <c r="U789" t="str">
        <f>"RUNNING_COST_"&amp;IF(PROPERTIES[[#This Row],[ENGINE_CLASS]]="MAGLEV","ELECTRIC",PROPERTIES[[#This Row],[ENGINE_CLASS]])</f>
        <v>RUNNING_COST_DIESEL</v>
      </c>
      <c r="V789" s="10" t="s">
        <v>1018</v>
      </c>
      <c r="W789" s="10" t="s">
        <v>1019</v>
      </c>
      <c r="X789" s="10" t="str">
        <f>SUBSTITUTE(SUBSTITUTE(PROPERTIES[[#This Row],[PURCHASECOST_VALUE]], "PURCHASECOST_", ""), "_VALUE", "")</f>
        <v>COACH</v>
      </c>
      <c r="AP789"/>
      <c r="AQ789"/>
      <c r="AR789"/>
    </row>
  </sheetData>
  <conditionalFormatting sqref="AF790:AH1048576">
    <cfRule type="cellIs" dxfId="5" priority="1" operator="equal">
      <formula>FALSE</formula>
    </cfRule>
  </conditionalFormatting>
  <dataValidations count="12">
    <dataValidation type="whole" operator="greaterThanOrEqual" allowBlank="1" showInputMessage="1" showErrorMessage="1" sqref="I2:I789" xr:uid="{CF98E2EA-D1C7-4D7A-8577-5E38E9FB16EB}">
      <formula1>1</formula1>
    </dataValidation>
    <dataValidation type="whole" allowBlank="1" showInputMessage="1" showErrorMessage="1" sqref="C2:C789" xr:uid="{C9FB6BB5-B3CF-40B9-A6CD-3E0B48B95DF5}">
      <formula1>0</formula1>
      <formula2>1</formula2>
    </dataValidation>
    <dataValidation type="whole" operator="greaterThanOrEqual" allowBlank="1" showInputMessage="1" showErrorMessage="1" sqref="M2:O789 F2:G789 R2:T789" xr:uid="{699258F9-37E8-437E-9547-ACEA0AFD7DA4}">
      <formula1>0</formula1>
    </dataValidation>
    <dataValidation type="whole" allowBlank="1" showInputMessage="1" showErrorMessage="1" sqref="H2:H789" xr:uid="{0976A28D-137D-4542-827E-3A73EFE0615E}">
      <formula1>1</formula1>
      <formula2>20</formula2>
    </dataValidation>
    <dataValidation type="decimal" operator="greaterThanOrEqual" allowBlank="1" showInputMessage="1" showErrorMessage="1" sqref="P2:P789" xr:uid="{F342F512-E760-4CD3-801B-E5B9CF70B7FD}">
      <formula1>0</formula1>
    </dataValidation>
    <dataValidation type="whole" allowBlank="1" showInputMessage="1" showErrorMessage="1" sqref="Q2:Q789" xr:uid="{7D4429EE-1046-4DE2-A6D7-76E6899E9B8A}">
      <formula1>5</formula1>
      <formula2>100</formula2>
    </dataValidation>
    <dataValidation type="list" allowBlank="1" showInputMessage="1" showErrorMessage="1" sqref="AM790:AQ1048576 AF790:AI1048576" xr:uid="{9652105D-A1DA-4D87-8399-EE85E90529F0}">
      <formula1>"TRUE"</formula1>
    </dataValidation>
    <dataValidation operator="greaterThanOrEqual" allowBlank="1" showInputMessage="1" showErrorMessage="1" sqref="AB790:AC1048576 U2:U789" xr:uid="{2D963A9D-C2E3-4020-ABFA-FD04EDA25119}"/>
    <dataValidation type="list" operator="greaterThanOrEqual" allowBlank="1" showInputMessage="1" showErrorMessage="1" sqref="V2:V789" xr:uid="{85BEEF03-28ED-4DE1-A337-AA16D797248A}">
      <formula1>INDIRECT("PURCHASECOSTVALUE[PURCHASECOSTVALUE]")</formula1>
    </dataValidation>
    <dataValidation type="list" allowBlank="1" showInputMessage="1" showErrorMessage="1" sqref="W2:W789" xr:uid="{E34DA190-67B0-4000-AB81-045D705EF781}">
      <formula1>INDIRECT("RUNNINGCOSTVALUE[RUNNINGCOSTVALUE]")</formula1>
    </dataValidation>
    <dataValidation type="whole" allowBlank="1" showInputMessage="1" showErrorMessage="1" sqref="H2:I789 B2:B789" xr:uid="{DEF10C41-55B4-45CA-9782-0B79331628F3}">
      <formula1>1660</formula1>
      <formula2>3000</formula2>
    </dataValidation>
    <dataValidation type="list" allowBlank="1" showInputMessage="1" showErrorMessage="1" sqref="D2:D789" xr:uid="{EB4398F4-10E4-463B-A52E-1F5C116A99EF}">
      <formula1>INDIRECT("VALID_ENGINE_CLASS[ENGINE_CLASS]")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89"/>
  <sheetViews>
    <sheetView zoomScaleNormal="100" workbookViewId="0">
      <pane xSplit="1" ySplit="1" topLeftCell="W613" activePane="bottomRight" state="frozen"/>
      <selection pane="topRight" activeCell="B1" sqref="B1"/>
      <selection pane="bottomLeft" activeCell="A2" sqref="A2"/>
      <selection pane="bottomRight" activeCell="X625" sqref="X625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J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S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J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J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J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J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J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J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J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F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B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B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B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B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B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J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J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J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J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J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J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J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J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J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J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J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J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J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J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J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J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J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J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J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J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J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J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J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J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J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J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J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J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J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J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J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J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J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J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AB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J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J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J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J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J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J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J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G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G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O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F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F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F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E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D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D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D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D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C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C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C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C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C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C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C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I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I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I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S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J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J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S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J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J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J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J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J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J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</sheetData>
  <phoneticPr fontId="18" type="noConversion"/>
  <conditionalFormatting sqref="AF1:AF1048576 AH790:AJ1048576">
    <cfRule type="cellIs" dxfId="4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89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89"/>
  <sheetViews>
    <sheetView zoomScaleNormal="100" workbookViewId="0">
      <pane xSplit="1" ySplit="1" topLeftCell="B493" activePane="bottomRight" state="frozen"/>
      <selection pane="topRight" activeCell="B1" sqref="B1"/>
      <selection pane="bottomLeft" activeCell="A2" sqref="A2"/>
      <selection pane="bottomRight" activeCell="A505" sqref="A505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</sheetData>
  <conditionalFormatting sqref="B1:D789 F790:H1048576">
    <cfRule type="cellIs" dxfId="3" priority="2" operator="equal">
      <formula>FALSE</formula>
    </cfRule>
  </conditionalFormatting>
  <dataValidations count="3">
    <dataValidation type="list" allowBlank="1" showInputMessage="1" showErrorMessage="1" sqref="D2:D789" xr:uid="{6241AFCF-833E-4240-ACD8-CD038B3C09B5}">
      <formula1>INDIRECT("VALID_CONCEPTS[VALID_CONCEPTS]")</formula1>
    </dataValidation>
    <dataValidation type="list" allowBlank="1" showInputMessage="1" showErrorMessage="1" sqref="B2:C789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D2:D789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8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" sqref="G4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v>0</v>
      </c>
      <c r="C3">
        <v>0</v>
      </c>
      <c r="D3">
        <v>185</v>
      </c>
      <c r="E3">
        <v>0</v>
      </c>
      <c r="F3">
        <v>0</v>
      </c>
      <c r="G3">
        <v>20</v>
      </c>
      <c r="H3">
        <v>20</v>
      </c>
      <c r="I3" t="s">
        <v>1023</v>
      </c>
      <c r="U3"/>
      <c r="V3"/>
      <c r="W3"/>
    </row>
    <row r="4" spans="1:23">
      <c r="A4" s="2" t="s">
        <v>22</v>
      </c>
      <c r="B4">
        <v>0</v>
      </c>
      <c r="C4">
        <v>0</v>
      </c>
      <c r="D4">
        <v>185</v>
      </c>
      <c r="E4">
        <v>0</v>
      </c>
      <c r="F4">
        <v>0</v>
      </c>
      <c r="G4">
        <v>20</v>
      </c>
      <c r="H4">
        <v>20</v>
      </c>
      <c r="I4" t="s">
        <v>1023</v>
      </c>
      <c r="U4"/>
      <c r="V4"/>
      <c r="W4"/>
    </row>
    <row r="5" spans="1:23">
      <c r="A5" s="2" t="s">
        <v>25</v>
      </c>
      <c r="B5">
        <v>0</v>
      </c>
      <c r="C5">
        <v>0</v>
      </c>
      <c r="D5">
        <v>185</v>
      </c>
      <c r="E5">
        <v>0</v>
      </c>
      <c r="F5">
        <v>0</v>
      </c>
      <c r="G5">
        <v>20</v>
      </c>
      <c r="H5">
        <v>20</v>
      </c>
      <c r="I5" t="s">
        <v>1023</v>
      </c>
      <c r="U5"/>
      <c r="V5"/>
      <c r="W5"/>
    </row>
    <row r="6" spans="1:23">
      <c r="A6" s="2" t="s">
        <v>26</v>
      </c>
      <c r="B6">
        <v>0</v>
      </c>
      <c r="C6">
        <v>0</v>
      </c>
      <c r="D6">
        <v>185</v>
      </c>
      <c r="E6">
        <v>0</v>
      </c>
      <c r="F6">
        <v>0</v>
      </c>
      <c r="G6">
        <v>20</v>
      </c>
      <c r="H6">
        <v>20</v>
      </c>
      <c r="I6" t="s">
        <v>1023</v>
      </c>
      <c r="U6"/>
      <c r="V6"/>
      <c r="W6"/>
    </row>
    <row r="7" spans="1:23">
      <c r="A7" s="2" t="s">
        <v>27</v>
      </c>
      <c r="B7">
        <v>0</v>
      </c>
      <c r="C7">
        <v>0</v>
      </c>
      <c r="D7">
        <v>185</v>
      </c>
      <c r="E7">
        <v>0</v>
      </c>
      <c r="F7">
        <v>0</v>
      </c>
      <c r="G7">
        <v>20</v>
      </c>
      <c r="H7">
        <v>20</v>
      </c>
      <c r="I7" t="s">
        <v>1023</v>
      </c>
      <c r="U7"/>
      <c r="V7"/>
      <c r="W7"/>
    </row>
    <row r="8" spans="1:23">
      <c r="A8" s="2" t="s">
        <v>28</v>
      </c>
      <c r="B8">
        <v>0</v>
      </c>
      <c r="C8">
        <v>0</v>
      </c>
      <c r="D8">
        <v>185</v>
      </c>
      <c r="E8">
        <v>0</v>
      </c>
      <c r="F8">
        <v>0</v>
      </c>
      <c r="G8">
        <v>20</v>
      </c>
      <c r="H8">
        <v>20</v>
      </c>
      <c r="I8" t="s">
        <v>1023</v>
      </c>
      <c r="U8"/>
      <c r="V8"/>
      <c r="W8"/>
    </row>
    <row r="9" spans="1:23">
      <c r="A9" s="2" t="s">
        <v>29</v>
      </c>
      <c r="B9">
        <v>0</v>
      </c>
      <c r="C9">
        <v>0</v>
      </c>
      <c r="D9">
        <v>185</v>
      </c>
      <c r="E9">
        <v>0</v>
      </c>
      <c r="F9">
        <v>0</v>
      </c>
      <c r="G9">
        <v>20</v>
      </c>
      <c r="H9">
        <v>20</v>
      </c>
      <c r="I9" t="s">
        <v>1023</v>
      </c>
      <c r="U9"/>
      <c r="V9"/>
      <c r="W9"/>
    </row>
    <row r="10" spans="1:23">
      <c r="A10" s="2" t="s">
        <v>30</v>
      </c>
      <c r="B10">
        <v>0</v>
      </c>
      <c r="C10">
        <v>0</v>
      </c>
      <c r="D10">
        <v>185</v>
      </c>
      <c r="E10">
        <v>0</v>
      </c>
      <c r="F10">
        <v>0</v>
      </c>
      <c r="G10">
        <v>20</v>
      </c>
      <c r="H10">
        <v>20</v>
      </c>
      <c r="I10" t="s">
        <v>1023</v>
      </c>
      <c r="U10"/>
      <c r="V10"/>
      <c r="W10"/>
    </row>
    <row r="11" spans="1:23">
      <c r="A11" s="2" t="s">
        <v>31</v>
      </c>
      <c r="B11">
        <v>0</v>
      </c>
      <c r="C11">
        <v>0</v>
      </c>
      <c r="D11">
        <v>185</v>
      </c>
      <c r="E11">
        <v>0</v>
      </c>
      <c r="F11">
        <v>0</v>
      </c>
      <c r="G11">
        <v>20</v>
      </c>
      <c r="H11">
        <v>20</v>
      </c>
      <c r="I11" t="s">
        <v>1023</v>
      </c>
      <c r="U11"/>
      <c r="V11"/>
      <c r="W11"/>
    </row>
    <row r="12" spans="1:23">
      <c r="A12" s="2" t="s">
        <v>34</v>
      </c>
      <c r="B12">
        <v>0</v>
      </c>
      <c r="C12">
        <v>0</v>
      </c>
      <c r="D12">
        <v>185</v>
      </c>
      <c r="E12">
        <v>0</v>
      </c>
      <c r="F12">
        <v>0</v>
      </c>
      <c r="G12">
        <v>20</v>
      </c>
      <c r="H12">
        <v>20</v>
      </c>
      <c r="I12" t="s">
        <v>1023</v>
      </c>
      <c r="U12"/>
      <c r="V12"/>
      <c r="W12"/>
    </row>
    <row r="13" spans="1:23">
      <c r="A13" s="2" t="s">
        <v>36</v>
      </c>
      <c r="B13">
        <v>0</v>
      </c>
      <c r="C13">
        <v>0</v>
      </c>
      <c r="D13">
        <v>185</v>
      </c>
      <c r="E13">
        <v>0</v>
      </c>
      <c r="F13">
        <v>0</v>
      </c>
      <c r="G13">
        <v>20</v>
      </c>
      <c r="H13">
        <v>20</v>
      </c>
      <c r="I13" t="s">
        <v>1023</v>
      </c>
      <c r="U13"/>
      <c r="V13"/>
      <c r="W13"/>
    </row>
    <row r="14" spans="1:23">
      <c r="A14" s="2" t="s">
        <v>37</v>
      </c>
      <c r="B14">
        <v>0</v>
      </c>
      <c r="C14">
        <v>0</v>
      </c>
      <c r="D14">
        <v>185</v>
      </c>
      <c r="E14">
        <v>0</v>
      </c>
      <c r="F14">
        <v>0</v>
      </c>
      <c r="G14">
        <v>20</v>
      </c>
      <c r="H14">
        <v>20</v>
      </c>
      <c r="I14" t="s">
        <v>1023</v>
      </c>
      <c r="U14"/>
      <c r="V14"/>
      <c r="W14"/>
    </row>
    <row r="15" spans="1:23">
      <c r="A15" s="2" t="s">
        <v>38</v>
      </c>
      <c r="B15">
        <v>0</v>
      </c>
      <c r="C15">
        <v>0</v>
      </c>
      <c r="D15">
        <v>185</v>
      </c>
      <c r="E15">
        <v>0</v>
      </c>
      <c r="F15">
        <v>0</v>
      </c>
      <c r="G15">
        <v>20</v>
      </c>
      <c r="H15">
        <v>20</v>
      </c>
      <c r="I15" t="s">
        <v>1023</v>
      </c>
      <c r="U15"/>
      <c r="V15"/>
      <c r="W15"/>
    </row>
    <row r="16" spans="1:23">
      <c r="A16" s="2" t="s">
        <v>39</v>
      </c>
      <c r="B16">
        <v>0</v>
      </c>
      <c r="C16">
        <v>0</v>
      </c>
      <c r="D16">
        <v>185</v>
      </c>
      <c r="E16">
        <v>0</v>
      </c>
      <c r="F16">
        <v>0</v>
      </c>
      <c r="G16">
        <v>20</v>
      </c>
      <c r="H16">
        <v>20</v>
      </c>
      <c r="I16" t="s">
        <v>1023</v>
      </c>
      <c r="U16"/>
      <c r="V16"/>
      <c r="W16"/>
    </row>
    <row r="17" spans="1:23">
      <c r="A17" s="2" t="s">
        <v>40</v>
      </c>
      <c r="B17">
        <v>0</v>
      </c>
      <c r="C17">
        <v>0</v>
      </c>
      <c r="D17">
        <v>185</v>
      </c>
      <c r="E17">
        <v>0</v>
      </c>
      <c r="F17">
        <v>0</v>
      </c>
      <c r="G17">
        <v>20</v>
      </c>
      <c r="H17">
        <v>20</v>
      </c>
      <c r="I17" t="s">
        <v>1023</v>
      </c>
      <c r="U17"/>
      <c r="V17"/>
      <c r="W17"/>
    </row>
    <row r="18" spans="1:23">
      <c r="A18" s="2" t="s">
        <v>41</v>
      </c>
      <c r="B18">
        <v>0</v>
      </c>
      <c r="C18">
        <v>0</v>
      </c>
      <c r="D18">
        <v>185</v>
      </c>
      <c r="E18">
        <v>0</v>
      </c>
      <c r="F18">
        <v>0</v>
      </c>
      <c r="G18">
        <v>20</v>
      </c>
      <c r="H18">
        <v>20</v>
      </c>
      <c r="I18" t="s">
        <v>1023</v>
      </c>
      <c r="U18"/>
      <c r="V18"/>
      <c r="W18"/>
    </row>
    <row r="19" spans="1:23">
      <c r="A19" s="2" t="s">
        <v>42</v>
      </c>
      <c r="B19">
        <v>0</v>
      </c>
      <c r="C19">
        <v>0</v>
      </c>
      <c r="D19">
        <v>185</v>
      </c>
      <c r="E19">
        <v>0</v>
      </c>
      <c r="F19">
        <v>0</v>
      </c>
      <c r="G19">
        <v>20</v>
      </c>
      <c r="H19">
        <v>20</v>
      </c>
      <c r="I19" t="s">
        <v>1023</v>
      </c>
      <c r="U19"/>
      <c r="V19"/>
      <c r="W19"/>
    </row>
    <row r="20" spans="1:23">
      <c r="A20" s="2" t="s">
        <v>43</v>
      </c>
      <c r="B20">
        <v>0</v>
      </c>
      <c r="C20">
        <v>0</v>
      </c>
      <c r="D20">
        <v>185</v>
      </c>
      <c r="E20">
        <v>0</v>
      </c>
      <c r="F20">
        <v>0</v>
      </c>
      <c r="G20">
        <v>20</v>
      </c>
      <c r="H20">
        <v>20</v>
      </c>
      <c r="I20" t="s">
        <v>1023</v>
      </c>
      <c r="U20"/>
      <c r="V20"/>
      <c r="W20"/>
    </row>
    <row r="21" spans="1:23">
      <c r="A21" s="2" t="s">
        <v>44</v>
      </c>
      <c r="B21">
        <v>0</v>
      </c>
      <c r="C21">
        <v>0</v>
      </c>
      <c r="D21">
        <v>185</v>
      </c>
      <c r="E21">
        <v>0</v>
      </c>
      <c r="F21">
        <v>0</v>
      </c>
      <c r="G21">
        <v>20</v>
      </c>
      <c r="H21">
        <v>20</v>
      </c>
      <c r="I21" t="s">
        <v>1023</v>
      </c>
      <c r="U21"/>
      <c r="V21"/>
      <c r="W21"/>
    </row>
    <row r="22" spans="1:23">
      <c r="A22" s="2" t="s">
        <v>45</v>
      </c>
      <c r="B22">
        <v>0</v>
      </c>
      <c r="C22">
        <v>0</v>
      </c>
      <c r="D22">
        <v>185</v>
      </c>
      <c r="E22">
        <v>0</v>
      </c>
      <c r="F22">
        <v>0</v>
      </c>
      <c r="G22">
        <v>20</v>
      </c>
      <c r="H22">
        <v>20</v>
      </c>
      <c r="I22" t="s">
        <v>1023</v>
      </c>
      <c r="U22"/>
      <c r="V22"/>
      <c r="W22"/>
    </row>
    <row r="23" spans="1:23">
      <c r="A23" s="2" t="s">
        <v>46</v>
      </c>
      <c r="B23">
        <v>0</v>
      </c>
      <c r="C23">
        <v>0</v>
      </c>
      <c r="D23">
        <v>185</v>
      </c>
      <c r="E23">
        <v>0</v>
      </c>
      <c r="F23">
        <v>0</v>
      </c>
      <c r="G23">
        <v>20</v>
      </c>
      <c r="H23">
        <v>20</v>
      </c>
      <c r="I23" t="s">
        <v>1023</v>
      </c>
      <c r="U23"/>
      <c r="V23"/>
      <c r="W23"/>
    </row>
    <row r="24" spans="1:23">
      <c r="A24" s="2" t="s">
        <v>47</v>
      </c>
      <c r="B24">
        <v>0</v>
      </c>
      <c r="C24">
        <v>0</v>
      </c>
      <c r="D24">
        <v>185</v>
      </c>
      <c r="E24">
        <v>0</v>
      </c>
      <c r="F24">
        <v>0</v>
      </c>
      <c r="G24">
        <v>20</v>
      </c>
      <c r="H24">
        <v>20</v>
      </c>
      <c r="I24" t="s">
        <v>1023</v>
      </c>
      <c r="U24"/>
      <c r="V24"/>
      <c r="W24"/>
    </row>
    <row r="25" spans="1:23">
      <c r="A25" s="2" t="s">
        <v>48</v>
      </c>
      <c r="B25">
        <v>0</v>
      </c>
      <c r="C25">
        <v>0</v>
      </c>
      <c r="D25">
        <v>185</v>
      </c>
      <c r="E25">
        <v>0</v>
      </c>
      <c r="F25">
        <v>0</v>
      </c>
      <c r="G25">
        <v>20</v>
      </c>
      <c r="H25">
        <v>20</v>
      </c>
      <c r="I25" t="s">
        <v>1023</v>
      </c>
      <c r="U25"/>
      <c r="V25"/>
      <c r="W25"/>
    </row>
    <row r="26" spans="1:23">
      <c r="A26" s="2" t="s">
        <v>49</v>
      </c>
      <c r="B26">
        <v>0</v>
      </c>
      <c r="C26">
        <v>0</v>
      </c>
      <c r="D26">
        <v>185</v>
      </c>
      <c r="E26">
        <v>0</v>
      </c>
      <c r="F26">
        <v>0</v>
      </c>
      <c r="G26">
        <v>20</v>
      </c>
      <c r="H26">
        <v>20</v>
      </c>
      <c r="I26" t="s">
        <v>1023</v>
      </c>
      <c r="U26"/>
      <c r="V26"/>
      <c r="W26"/>
    </row>
    <row r="27" spans="1:23">
      <c r="A27" s="2" t="s">
        <v>50</v>
      </c>
      <c r="B27">
        <v>0</v>
      </c>
      <c r="C27">
        <v>0</v>
      </c>
      <c r="D27">
        <v>185</v>
      </c>
      <c r="E27">
        <v>0</v>
      </c>
      <c r="F27">
        <v>0</v>
      </c>
      <c r="G27">
        <v>20</v>
      </c>
      <c r="H27">
        <v>20</v>
      </c>
      <c r="I27" t="s">
        <v>1023</v>
      </c>
      <c r="U27"/>
      <c r="V27"/>
      <c r="W27"/>
    </row>
    <row r="28" spans="1:23">
      <c r="A28" s="2" t="s">
        <v>51</v>
      </c>
      <c r="B28">
        <v>0</v>
      </c>
      <c r="C28">
        <v>0</v>
      </c>
      <c r="D28">
        <v>185</v>
      </c>
      <c r="E28">
        <v>0</v>
      </c>
      <c r="F28">
        <v>0</v>
      </c>
      <c r="G28">
        <v>20</v>
      </c>
      <c r="H28">
        <v>20</v>
      </c>
      <c r="I28" t="s">
        <v>1023</v>
      </c>
      <c r="U28"/>
      <c r="V28"/>
      <c r="W28"/>
    </row>
    <row r="29" spans="1:23">
      <c r="A29" s="2" t="s">
        <v>52</v>
      </c>
      <c r="B29">
        <v>0</v>
      </c>
      <c r="C29">
        <v>0</v>
      </c>
      <c r="D29">
        <v>185</v>
      </c>
      <c r="E29">
        <v>0</v>
      </c>
      <c r="F29">
        <v>0</v>
      </c>
      <c r="G29">
        <v>20</v>
      </c>
      <c r="H29">
        <v>20</v>
      </c>
      <c r="I29" t="s">
        <v>1023</v>
      </c>
      <c r="U29"/>
      <c r="V29"/>
      <c r="W29"/>
    </row>
    <row r="30" spans="1:23">
      <c r="A30" s="2" t="s">
        <v>53</v>
      </c>
      <c r="B30">
        <v>0</v>
      </c>
      <c r="C30">
        <v>0</v>
      </c>
      <c r="D30">
        <v>185</v>
      </c>
      <c r="E30">
        <v>0</v>
      </c>
      <c r="F30">
        <v>0</v>
      </c>
      <c r="G30">
        <v>20</v>
      </c>
      <c r="H30">
        <v>20</v>
      </c>
      <c r="I30" t="s">
        <v>1023</v>
      </c>
      <c r="U30"/>
      <c r="V30"/>
      <c r="W30"/>
    </row>
    <row r="31" spans="1:23">
      <c r="A31" s="2" t="s">
        <v>54</v>
      </c>
      <c r="B31">
        <v>0</v>
      </c>
      <c r="C31">
        <v>0</v>
      </c>
      <c r="D31">
        <v>185</v>
      </c>
      <c r="E31">
        <v>0</v>
      </c>
      <c r="F31">
        <v>0</v>
      </c>
      <c r="G31">
        <v>20</v>
      </c>
      <c r="H31">
        <v>20</v>
      </c>
      <c r="I31" t="s">
        <v>1023</v>
      </c>
      <c r="U31"/>
      <c r="V31"/>
      <c r="W31"/>
    </row>
    <row r="32" spans="1:23">
      <c r="A32" s="2" t="s">
        <v>55</v>
      </c>
      <c r="B32">
        <v>0</v>
      </c>
      <c r="C32">
        <v>0</v>
      </c>
      <c r="D32">
        <v>185</v>
      </c>
      <c r="E32">
        <v>0</v>
      </c>
      <c r="F32">
        <v>0</v>
      </c>
      <c r="G32">
        <v>20</v>
      </c>
      <c r="H32">
        <v>20</v>
      </c>
      <c r="I32" t="s">
        <v>1023</v>
      </c>
      <c r="U32"/>
      <c r="V32"/>
      <c r="W32"/>
    </row>
    <row r="33" spans="1:23">
      <c r="A33" s="2" t="s">
        <v>56</v>
      </c>
      <c r="B33">
        <v>0</v>
      </c>
      <c r="C33">
        <v>0</v>
      </c>
      <c r="D33">
        <v>185</v>
      </c>
      <c r="E33">
        <v>0</v>
      </c>
      <c r="F33">
        <v>0</v>
      </c>
      <c r="G33">
        <v>20</v>
      </c>
      <c r="H33">
        <v>20</v>
      </c>
      <c r="I33" t="s">
        <v>1023</v>
      </c>
      <c r="U33"/>
      <c r="V33"/>
      <c r="W33"/>
    </row>
    <row r="34" spans="1:23">
      <c r="A34" s="2" t="s">
        <v>57</v>
      </c>
      <c r="B34">
        <v>0</v>
      </c>
      <c r="C34">
        <v>0</v>
      </c>
      <c r="D34">
        <v>185</v>
      </c>
      <c r="E34">
        <v>0</v>
      </c>
      <c r="F34">
        <v>0</v>
      </c>
      <c r="G34">
        <v>20</v>
      </c>
      <c r="H34">
        <v>20</v>
      </c>
      <c r="I34" t="s">
        <v>1023</v>
      </c>
      <c r="U34"/>
      <c r="V34"/>
      <c r="W34"/>
    </row>
    <row r="35" spans="1:23">
      <c r="A35" s="2" t="s">
        <v>58</v>
      </c>
      <c r="B35">
        <v>0</v>
      </c>
      <c r="C35">
        <v>0</v>
      </c>
      <c r="D35">
        <v>185</v>
      </c>
      <c r="E35">
        <v>0</v>
      </c>
      <c r="F35">
        <v>0</v>
      </c>
      <c r="G35">
        <v>20</v>
      </c>
      <c r="H35">
        <v>20</v>
      </c>
      <c r="I35" t="s">
        <v>1023</v>
      </c>
      <c r="U35"/>
      <c r="V35"/>
      <c r="W35"/>
    </row>
    <row r="36" spans="1:23">
      <c r="A36" s="2" t="s">
        <v>59</v>
      </c>
      <c r="B36">
        <v>0</v>
      </c>
      <c r="C36">
        <v>0</v>
      </c>
      <c r="D36">
        <v>185</v>
      </c>
      <c r="E36">
        <v>0</v>
      </c>
      <c r="F36">
        <v>0</v>
      </c>
      <c r="G36">
        <v>20</v>
      </c>
      <c r="H36">
        <v>20</v>
      </c>
      <c r="I36" t="s">
        <v>1023</v>
      </c>
      <c r="U36"/>
      <c r="V36"/>
      <c r="W36"/>
    </row>
    <row r="37" spans="1:23">
      <c r="A37" s="2" t="s">
        <v>60</v>
      </c>
      <c r="B37">
        <v>0</v>
      </c>
      <c r="C37">
        <v>0</v>
      </c>
      <c r="D37">
        <v>185</v>
      </c>
      <c r="E37">
        <v>0</v>
      </c>
      <c r="F37">
        <v>0</v>
      </c>
      <c r="G37">
        <v>20</v>
      </c>
      <c r="H37">
        <v>20</v>
      </c>
      <c r="I37" t="s">
        <v>1023</v>
      </c>
      <c r="U37"/>
      <c r="V37"/>
      <c r="W37"/>
    </row>
    <row r="38" spans="1:23">
      <c r="A38" s="2" t="s">
        <v>61</v>
      </c>
      <c r="B38">
        <v>0</v>
      </c>
      <c r="C38">
        <v>0</v>
      </c>
      <c r="D38">
        <v>185</v>
      </c>
      <c r="E38">
        <v>0</v>
      </c>
      <c r="F38">
        <v>0</v>
      </c>
      <c r="G38">
        <v>20</v>
      </c>
      <c r="H38">
        <v>20</v>
      </c>
      <c r="I38" t="s">
        <v>1023</v>
      </c>
      <c r="U38"/>
      <c r="V38"/>
      <c r="W38"/>
    </row>
    <row r="39" spans="1:23">
      <c r="A39" s="2" t="s">
        <v>62</v>
      </c>
      <c r="B39">
        <v>0</v>
      </c>
      <c r="C39">
        <v>0</v>
      </c>
      <c r="D39">
        <v>185</v>
      </c>
      <c r="E39">
        <v>0</v>
      </c>
      <c r="F39">
        <v>0</v>
      </c>
      <c r="G39">
        <v>20</v>
      </c>
      <c r="H39">
        <v>20</v>
      </c>
      <c r="I39" t="s">
        <v>1023</v>
      </c>
      <c r="U39"/>
      <c r="V39"/>
      <c r="W39"/>
    </row>
    <row r="40" spans="1:23">
      <c r="A40" s="2" t="s">
        <v>63</v>
      </c>
      <c r="B40">
        <v>0</v>
      </c>
      <c r="C40">
        <v>0</v>
      </c>
      <c r="D40">
        <v>185</v>
      </c>
      <c r="E40">
        <v>0</v>
      </c>
      <c r="F40">
        <v>0</v>
      </c>
      <c r="G40">
        <v>20</v>
      </c>
      <c r="H40">
        <v>20</v>
      </c>
      <c r="I40" t="s">
        <v>1023</v>
      </c>
      <c r="U40"/>
      <c r="V40"/>
      <c r="W40"/>
    </row>
    <row r="41" spans="1:23">
      <c r="A41" s="2" t="s">
        <v>64</v>
      </c>
      <c r="B41">
        <v>0</v>
      </c>
      <c r="C41">
        <v>0</v>
      </c>
      <c r="D41">
        <v>185</v>
      </c>
      <c r="E41">
        <v>0</v>
      </c>
      <c r="F41">
        <v>0</v>
      </c>
      <c r="G41">
        <v>20</v>
      </c>
      <c r="H41">
        <v>20</v>
      </c>
      <c r="I41" t="s">
        <v>1023</v>
      </c>
      <c r="U41"/>
      <c r="V41"/>
      <c r="W41"/>
    </row>
    <row r="42" spans="1:23">
      <c r="A42" s="2" t="s">
        <v>65</v>
      </c>
      <c r="B42">
        <v>0</v>
      </c>
      <c r="C42">
        <v>0</v>
      </c>
      <c r="D42">
        <v>185</v>
      </c>
      <c r="E42">
        <v>0</v>
      </c>
      <c r="F42">
        <v>0</v>
      </c>
      <c r="G42">
        <v>20</v>
      </c>
      <c r="H42">
        <v>20</v>
      </c>
      <c r="I42" t="s">
        <v>1023</v>
      </c>
      <c r="U42"/>
      <c r="V42"/>
      <c r="W42"/>
    </row>
    <row r="43" spans="1:23">
      <c r="A43" s="2" t="s">
        <v>66</v>
      </c>
      <c r="B43">
        <v>0</v>
      </c>
      <c r="C43">
        <v>0</v>
      </c>
      <c r="D43">
        <v>185</v>
      </c>
      <c r="E43">
        <v>0</v>
      </c>
      <c r="F43">
        <v>0</v>
      </c>
      <c r="G43">
        <v>20</v>
      </c>
      <c r="H43">
        <v>20</v>
      </c>
      <c r="I43" t="s">
        <v>1023</v>
      </c>
      <c r="U43"/>
      <c r="V43"/>
      <c r="W43"/>
    </row>
    <row r="44" spans="1:23">
      <c r="A44" s="2" t="s">
        <v>67</v>
      </c>
      <c r="B44">
        <v>0</v>
      </c>
      <c r="C44">
        <v>0</v>
      </c>
      <c r="D44">
        <v>185</v>
      </c>
      <c r="E44">
        <v>0</v>
      </c>
      <c r="F44">
        <v>0</v>
      </c>
      <c r="G44">
        <v>20</v>
      </c>
      <c r="H44">
        <v>20</v>
      </c>
      <c r="I44" t="s">
        <v>1023</v>
      </c>
      <c r="U44"/>
      <c r="V44"/>
      <c r="W44"/>
    </row>
    <row r="45" spans="1:23">
      <c r="A45" s="2" t="s">
        <v>68</v>
      </c>
      <c r="B45">
        <v>0</v>
      </c>
      <c r="C45">
        <v>0</v>
      </c>
      <c r="D45">
        <v>185</v>
      </c>
      <c r="E45">
        <v>0</v>
      </c>
      <c r="F45">
        <v>0</v>
      </c>
      <c r="G45">
        <v>20</v>
      </c>
      <c r="H45">
        <v>20</v>
      </c>
      <c r="I45" t="s">
        <v>1023</v>
      </c>
      <c r="U45"/>
      <c r="V45"/>
      <c r="W45"/>
    </row>
    <row r="46" spans="1:23">
      <c r="A46" s="2" t="s">
        <v>69</v>
      </c>
      <c r="B46">
        <v>0</v>
      </c>
      <c r="C46">
        <v>0</v>
      </c>
      <c r="D46">
        <v>185</v>
      </c>
      <c r="E46">
        <v>0</v>
      </c>
      <c r="F46">
        <v>0</v>
      </c>
      <c r="G46">
        <v>20</v>
      </c>
      <c r="H46">
        <v>20</v>
      </c>
      <c r="I46" t="s">
        <v>1023</v>
      </c>
      <c r="U46"/>
      <c r="V46"/>
      <c r="W46"/>
    </row>
    <row r="47" spans="1:23">
      <c r="A47" s="2" t="s">
        <v>70</v>
      </c>
      <c r="B47">
        <v>0</v>
      </c>
      <c r="C47">
        <v>0</v>
      </c>
      <c r="D47">
        <v>185</v>
      </c>
      <c r="E47">
        <v>0</v>
      </c>
      <c r="F47">
        <v>0</v>
      </c>
      <c r="G47">
        <v>20</v>
      </c>
      <c r="H47">
        <v>20</v>
      </c>
      <c r="I47" t="s">
        <v>1023</v>
      </c>
      <c r="U47"/>
      <c r="V47"/>
      <c r="W47"/>
    </row>
    <row r="48" spans="1:23">
      <c r="A48" s="2" t="s">
        <v>71</v>
      </c>
      <c r="B48">
        <v>0</v>
      </c>
      <c r="C48">
        <v>0</v>
      </c>
      <c r="D48">
        <v>185</v>
      </c>
      <c r="E48">
        <v>0</v>
      </c>
      <c r="F48">
        <v>0</v>
      </c>
      <c r="G48">
        <v>20</v>
      </c>
      <c r="H48">
        <v>20</v>
      </c>
      <c r="I48" t="s">
        <v>1023</v>
      </c>
      <c r="U48"/>
      <c r="V48"/>
      <c r="W48"/>
    </row>
    <row r="49" spans="1:23">
      <c r="A49" s="2" t="s">
        <v>72</v>
      </c>
      <c r="B49">
        <v>0</v>
      </c>
      <c r="C49">
        <v>0</v>
      </c>
      <c r="D49">
        <v>185</v>
      </c>
      <c r="E49">
        <v>0</v>
      </c>
      <c r="F49">
        <v>0</v>
      </c>
      <c r="G49">
        <v>20</v>
      </c>
      <c r="H49">
        <v>20</v>
      </c>
      <c r="I49" t="s">
        <v>1023</v>
      </c>
      <c r="U49"/>
      <c r="V49"/>
      <c r="W49"/>
    </row>
    <row r="50" spans="1:23">
      <c r="A50" s="2" t="s">
        <v>73</v>
      </c>
      <c r="B50">
        <v>0</v>
      </c>
      <c r="C50">
        <v>0</v>
      </c>
      <c r="D50">
        <v>185</v>
      </c>
      <c r="E50">
        <v>0</v>
      </c>
      <c r="F50">
        <v>0</v>
      </c>
      <c r="G50">
        <v>20</v>
      </c>
      <c r="H50">
        <v>20</v>
      </c>
      <c r="I50" t="s">
        <v>1023</v>
      </c>
      <c r="U50"/>
      <c r="V50"/>
      <c r="W50"/>
    </row>
    <row r="51" spans="1:23">
      <c r="A51" s="2" t="s">
        <v>75</v>
      </c>
      <c r="B51">
        <v>0</v>
      </c>
      <c r="C51">
        <v>0</v>
      </c>
      <c r="D51">
        <v>185</v>
      </c>
      <c r="E51">
        <v>0</v>
      </c>
      <c r="F51">
        <v>0</v>
      </c>
      <c r="G51">
        <v>20</v>
      </c>
      <c r="H51">
        <v>20</v>
      </c>
      <c r="I51" t="s">
        <v>1023</v>
      </c>
      <c r="U51"/>
      <c r="V51"/>
      <c r="W51"/>
    </row>
    <row r="52" spans="1:23">
      <c r="A52" s="2" t="s">
        <v>76</v>
      </c>
      <c r="B52">
        <v>0</v>
      </c>
      <c r="C52">
        <v>0</v>
      </c>
      <c r="D52">
        <v>185</v>
      </c>
      <c r="E52">
        <v>0</v>
      </c>
      <c r="F52">
        <v>0</v>
      </c>
      <c r="G52">
        <v>20</v>
      </c>
      <c r="H52">
        <v>20</v>
      </c>
      <c r="I52" t="s">
        <v>1023</v>
      </c>
      <c r="U52"/>
      <c r="V52"/>
      <c r="W52"/>
    </row>
    <row r="53" spans="1:23">
      <c r="A53" s="2" t="s">
        <v>77</v>
      </c>
      <c r="B53">
        <v>0</v>
      </c>
      <c r="C53">
        <v>0</v>
      </c>
      <c r="D53">
        <v>185</v>
      </c>
      <c r="E53">
        <v>0</v>
      </c>
      <c r="F53">
        <v>0</v>
      </c>
      <c r="G53">
        <v>20</v>
      </c>
      <c r="H53">
        <v>20</v>
      </c>
      <c r="I53" t="s">
        <v>1023</v>
      </c>
      <c r="U53"/>
      <c r="V53"/>
      <c r="W53"/>
    </row>
    <row r="54" spans="1:23">
      <c r="A54" s="2" t="s">
        <v>78</v>
      </c>
      <c r="B54">
        <v>0</v>
      </c>
      <c r="C54">
        <v>0</v>
      </c>
      <c r="D54">
        <v>185</v>
      </c>
      <c r="E54">
        <v>0</v>
      </c>
      <c r="F54">
        <v>0</v>
      </c>
      <c r="G54">
        <v>20</v>
      </c>
      <c r="H54">
        <v>20</v>
      </c>
      <c r="I54" t="s">
        <v>1023</v>
      </c>
      <c r="U54"/>
      <c r="V54"/>
      <c r="W54"/>
    </row>
    <row r="55" spans="1:23">
      <c r="A55" s="2" t="s">
        <v>79</v>
      </c>
      <c r="B55">
        <v>0</v>
      </c>
      <c r="C55">
        <v>0</v>
      </c>
      <c r="D55">
        <v>185</v>
      </c>
      <c r="E55">
        <v>0</v>
      </c>
      <c r="F55">
        <v>0</v>
      </c>
      <c r="G55">
        <v>20</v>
      </c>
      <c r="H55">
        <v>20</v>
      </c>
      <c r="I55" t="s">
        <v>1023</v>
      </c>
      <c r="U55"/>
      <c r="V55"/>
      <c r="W55"/>
    </row>
    <row r="56" spans="1:23">
      <c r="A56" s="2" t="s">
        <v>80</v>
      </c>
      <c r="B56">
        <v>0</v>
      </c>
      <c r="C56">
        <v>0</v>
      </c>
      <c r="D56">
        <v>185</v>
      </c>
      <c r="E56">
        <v>0</v>
      </c>
      <c r="F56">
        <v>0</v>
      </c>
      <c r="G56">
        <v>20</v>
      </c>
      <c r="H56">
        <v>20</v>
      </c>
      <c r="I56" t="s">
        <v>1023</v>
      </c>
      <c r="U56"/>
      <c r="V56"/>
      <c r="W56"/>
    </row>
    <row r="57" spans="1:23">
      <c r="A57" s="2" t="s">
        <v>81</v>
      </c>
      <c r="B57">
        <v>0</v>
      </c>
      <c r="C57">
        <v>0</v>
      </c>
      <c r="D57">
        <v>185</v>
      </c>
      <c r="E57">
        <v>0</v>
      </c>
      <c r="F57">
        <v>0</v>
      </c>
      <c r="G57">
        <v>20</v>
      </c>
      <c r="H57">
        <v>20</v>
      </c>
      <c r="I57" t="s">
        <v>1023</v>
      </c>
      <c r="U57"/>
      <c r="V57"/>
      <c r="W57"/>
    </row>
    <row r="58" spans="1:23">
      <c r="A58" s="2" t="s">
        <v>82</v>
      </c>
      <c r="B58">
        <v>0</v>
      </c>
      <c r="C58">
        <v>0</v>
      </c>
      <c r="D58">
        <v>185</v>
      </c>
      <c r="E58">
        <v>0</v>
      </c>
      <c r="F58">
        <v>0</v>
      </c>
      <c r="G58">
        <v>20</v>
      </c>
      <c r="H58">
        <v>20</v>
      </c>
      <c r="I58" t="s">
        <v>1023</v>
      </c>
      <c r="U58"/>
      <c r="V58"/>
      <c r="W58"/>
    </row>
    <row r="59" spans="1:23">
      <c r="A59" s="2" t="s">
        <v>83</v>
      </c>
      <c r="B59">
        <v>0</v>
      </c>
      <c r="C59">
        <v>0</v>
      </c>
      <c r="D59">
        <v>185</v>
      </c>
      <c r="E59">
        <v>0</v>
      </c>
      <c r="F59">
        <v>0</v>
      </c>
      <c r="G59">
        <v>20</v>
      </c>
      <c r="H59">
        <v>20</v>
      </c>
      <c r="I59" t="s">
        <v>1023</v>
      </c>
      <c r="U59"/>
      <c r="V59"/>
      <c r="W59"/>
    </row>
    <row r="60" spans="1:23">
      <c r="A60" s="2" t="s">
        <v>84</v>
      </c>
      <c r="B60">
        <v>0</v>
      </c>
      <c r="C60">
        <v>0</v>
      </c>
      <c r="D60">
        <v>185</v>
      </c>
      <c r="E60">
        <v>0</v>
      </c>
      <c r="F60">
        <v>0</v>
      </c>
      <c r="G60">
        <v>20</v>
      </c>
      <c r="H60">
        <v>20</v>
      </c>
      <c r="I60" t="s">
        <v>1023</v>
      </c>
      <c r="U60"/>
      <c r="V60"/>
      <c r="W60"/>
    </row>
    <row r="61" spans="1:23">
      <c r="A61" s="2" t="s">
        <v>85</v>
      </c>
      <c r="B61">
        <v>0</v>
      </c>
      <c r="C61">
        <v>0</v>
      </c>
      <c r="D61">
        <v>185</v>
      </c>
      <c r="E61">
        <v>0</v>
      </c>
      <c r="F61">
        <v>0</v>
      </c>
      <c r="G61">
        <v>20</v>
      </c>
      <c r="H61">
        <v>20</v>
      </c>
      <c r="I61" t="s">
        <v>1023</v>
      </c>
      <c r="U61"/>
      <c r="V61"/>
      <c r="W61"/>
    </row>
    <row r="62" spans="1:23">
      <c r="A62" s="2" t="s">
        <v>86</v>
      </c>
      <c r="B62">
        <v>0</v>
      </c>
      <c r="C62">
        <v>0</v>
      </c>
      <c r="D62">
        <v>185</v>
      </c>
      <c r="E62">
        <v>0</v>
      </c>
      <c r="F62">
        <v>0</v>
      </c>
      <c r="G62">
        <v>20</v>
      </c>
      <c r="H62">
        <v>20</v>
      </c>
      <c r="I62" t="s">
        <v>1023</v>
      </c>
      <c r="U62"/>
      <c r="V62"/>
      <c r="W62"/>
    </row>
    <row r="63" spans="1:23">
      <c r="A63" s="2" t="s">
        <v>87</v>
      </c>
      <c r="B63">
        <v>0</v>
      </c>
      <c r="C63">
        <v>0</v>
      </c>
      <c r="D63">
        <v>185</v>
      </c>
      <c r="E63">
        <v>0</v>
      </c>
      <c r="F63">
        <v>0</v>
      </c>
      <c r="G63">
        <v>20</v>
      </c>
      <c r="H63">
        <v>20</v>
      </c>
      <c r="I63" t="s">
        <v>1023</v>
      </c>
      <c r="U63"/>
      <c r="V63"/>
      <c r="W63"/>
    </row>
    <row r="64" spans="1:23">
      <c r="A64" s="2" t="s">
        <v>88</v>
      </c>
      <c r="B64">
        <v>0</v>
      </c>
      <c r="C64">
        <v>0</v>
      </c>
      <c r="D64">
        <v>185</v>
      </c>
      <c r="E64">
        <v>0</v>
      </c>
      <c r="F64">
        <v>0</v>
      </c>
      <c r="G64">
        <v>20</v>
      </c>
      <c r="H64">
        <v>20</v>
      </c>
      <c r="I64" t="s">
        <v>1023</v>
      </c>
      <c r="U64"/>
      <c r="V64"/>
      <c r="W64"/>
    </row>
    <row r="65" spans="1:23">
      <c r="A65" s="2" t="s">
        <v>89</v>
      </c>
      <c r="B65">
        <v>0</v>
      </c>
      <c r="C65">
        <v>0</v>
      </c>
      <c r="D65">
        <v>185</v>
      </c>
      <c r="E65">
        <v>0</v>
      </c>
      <c r="F65">
        <v>0</v>
      </c>
      <c r="G65">
        <v>20</v>
      </c>
      <c r="H65">
        <v>20</v>
      </c>
      <c r="I65" t="s">
        <v>1023</v>
      </c>
      <c r="U65"/>
      <c r="V65"/>
      <c r="W65"/>
    </row>
    <row r="66" spans="1:23">
      <c r="A66" s="2" t="s">
        <v>90</v>
      </c>
      <c r="B66">
        <v>0</v>
      </c>
      <c r="C66">
        <v>0</v>
      </c>
      <c r="D66">
        <v>185</v>
      </c>
      <c r="E66">
        <v>0</v>
      </c>
      <c r="F66">
        <v>0</v>
      </c>
      <c r="G66">
        <v>20</v>
      </c>
      <c r="H66">
        <v>20</v>
      </c>
      <c r="I66" t="s">
        <v>1023</v>
      </c>
      <c r="U66"/>
      <c r="V66"/>
      <c r="W66"/>
    </row>
    <row r="67" spans="1:23">
      <c r="A67" s="2" t="s">
        <v>91</v>
      </c>
      <c r="B67">
        <v>0</v>
      </c>
      <c r="C67">
        <v>0</v>
      </c>
      <c r="D67">
        <v>185</v>
      </c>
      <c r="E67">
        <v>0</v>
      </c>
      <c r="F67">
        <v>0</v>
      </c>
      <c r="G67">
        <v>20</v>
      </c>
      <c r="H67">
        <v>20</v>
      </c>
      <c r="I67" t="s">
        <v>1023</v>
      </c>
      <c r="U67"/>
      <c r="V67"/>
      <c r="W67"/>
    </row>
    <row r="68" spans="1:23">
      <c r="A68" s="2" t="s">
        <v>92</v>
      </c>
      <c r="B68">
        <v>0</v>
      </c>
      <c r="C68">
        <v>0</v>
      </c>
      <c r="D68">
        <v>185</v>
      </c>
      <c r="E68">
        <v>0</v>
      </c>
      <c r="F68">
        <v>0</v>
      </c>
      <c r="G68">
        <v>20</v>
      </c>
      <c r="H68">
        <v>20</v>
      </c>
      <c r="I68" t="s">
        <v>1023</v>
      </c>
      <c r="U68"/>
      <c r="V68"/>
      <c r="W68"/>
    </row>
    <row r="69" spans="1:23">
      <c r="A69" s="2" t="s">
        <v>93</v>
      </c>
      <c r="B69">
        <v>0</v>
      </c>
      <c r="C69">
        <v>0</v>
      </c>
      <c r="D69">
        <v>185</v>
      </c>
      <c r="E69">
        <v>0</v>
      </c>
      <c r="F69">
        <v>0</v>
      </c>
      <c r="G69">
        <v>20</v>
      </c>
      <c r="H69">
        <v>20</v>
      </c>
      <c r="I69" t="s">
        <v>1023</v>
      </c>
      <c r="U69"/>
      <c r="V69"/>
      <c r="W69"/>
    </row>
    <row r="70" spans="1:23">
      <c r="A70" s="2" t="s">
        <v>94</v>
      </c>
      <c r="B70">
        <v>0</v>
      </c>
      <c r="C70">
        <v>0</v>
      </c>
      <c r="D70">
        <v>185</v>
      </c>
      <c r="E70">
        <v>0</v>
      </c>
      <c r="F70">
        <v>0</v>
      </c>
      <c r="G70">
        <v>20</v>
      </c>
      <c r="H70">
        <v>20</v>
      </c>
      <c r="I70" t="s">
        <v>1023</v>
      </c>
      <c r="U70"/>
      <c r="V70"/>
      <c r="W70"/>
    </row>
    <row r="71" spans="1:23">
      <c r="A71" s="2" t="s">
        <v>95</v>
      </c>
      <c r="B71">
        <v>0</v>
      </c>
      <c r="C71">
        <v>0</v>
      </c>
      <c r="D71">
        <v>185</v>
      </c>
      <c r="E71">
        <v>0</v>
      </c>
      <c r="F71">
        <v>0</v>
      </c>
      <c r="G71">
        <v>20</v>
      </c>
      <c r="H71">
        <v>20</v>
      </c>
      <c r="I71" t="s">
        <v>1023</v>
      </c>
      <c r="U71"/>
      <c r="V71"/>
      <c r="W71"/>
    </row>
    <row r="72" spans="1:23">
      <c r="A72" s="2" t="s">
        <v>96</v>
      </c>
      <c r="B72">
        <v>0</v>
      </c>
      <c r="C72">
        <v>0</v>
      </c>
      <c r="D72">
        <v>185</v>
      </c>
      <c r="E72">
        <v>0</v>
      </c>
      <c r="F72">
        <v>0</v>
      </c>
      <c r="G72">
        <v>20</v>
      </c>
      <c r="H72">
        <v>20</v>
      </c>
      <c r="I72" t="s">
        <v>1023</v>
      </c>
      <c r="U72"/>
      <c r="V72"/>
      <c r="W72"/>
    </row>
    <row r="73" spans="1:23">
      <c r="A73" s="2" t="s">
        <v>97</v>
      </c>
      <c r="B73">
        <v>0</v>
      </c>
      <c r="C73">
        <v>0</v>
      </c>
      <c r="D73">
        <v>185</v>
      </c>
      <c r="E73">
        <v>0</v>
      </c>
      <c r="F73">
        <v>0</v>
      </c>
      <c r="G73">
        <v>20</v>
      </c>
      <c r="H73">
        <v>20</v>
      </c>
      <c r="I73" t="s">
        <v>1023</v>
      </c>
      <c r="U73"/>
      <c r="V73"/>
      <c r="W73"/>
    </row>
    <row r="74" spans="1:23">
      <c r="A74" s="2" t="s">
        <v>98</v>
      </c>
      <c r="B74">
        <v>0</v>
      </c>
      <c r="C74">
        <v>0</v>
      </c>
      <c r="D74">
        <v>185</v>
      </c>
      <c r="E74">
        <v>0</v>
      </c>
      <c r="F74">
        <v>0</v>
      </c>
      <c r="G74">
        <v>20</v>
      </c>
      <c r="H74">
        <v>20</v>
      </c>
      <c r="I74" t="s">
        <v>1023</v>
      </c>
      <c r="U74"/>
      <c r="V74"/>
      <c r="W74"/>
    </row>
    <row r="75" spans="1:23">
      <c r="A75" s="2" t="s">
        <v>99</v>
      </c>
      <c r="B75">
        <v>0</v>
      </c>
      <c r="C75">
        <v>0</v>
      </c>
      <c r="D75">
        <v>185</v>
      </c>
      <c r="E75">
        <v>0</v>
      </c>
      <c r="F75">
        <v>0</v>
      </c>
      <c r="G75">
        <v>20</v>
      </c>
      <c r="H75">
        <v>20</v>
      </c>
      <c r="I75" t="s">
        <v>1023</v>
      </c>
      <c r="U75"/>
      <c r="V75"/>
      <c r="W75"/>
    </row>
    <row r="76" spans="1:23">
      <c r="A76" s="2" t="s">
        <v>100</v>
      </c>
      <c r="B76">
        <v>0</v>
      </c>
      <c r="C76">
        <v>0</v>
      </c>
      <c r="D76">
        <v>185</v>
      </c>
      <c r="E76">
        <v>0</v>
      </c>
      <c r="F76">
        <v>0</v>
      </c>
      <c r="G76">
        <v>20</v>
      </c>
      <c r="H76">
        <v>20</v>
      </c>
      <c r="I76" t="s">
        <v>1023</v>
      </c>
      <c r="U76"/>
      <c r="V76"/>
      <c r="W76"/>
    </row>
    <row r="77" spans="1:23">
      <c r="A77" s="2" t="s">
        <v>101</v>
      </c>
      <c r="B77">
        <v>0</v>
      </c>
      <c r="C77">
        <v>0</v>
      </c>
      <c r="D77">
        <v>185</v>
      </c>
      <c r="E77">
        <v>0</v>
      </c>
      <c r="F77">
        <v>0</v>
      </c>
      <c r="G77">
        <v>20</v>
      </c>
      <c r="H77">
        <v>20</v>
      </c>
      <c r="I77" t="s">
        <v>1023</v>
      </c>
      <c r="U77"/>
      <c r="V77"/>
      <c r="W77"/>
    </row>
    <row r="78" spans="1:23">
      <c r="A78" s="2" t="s">
        <v>102</v>
      </c>
      <c r="B78">
        <v>0</v>
      </c>
      <c r="C78">
        <v>0</v>
      </c>
      <c r="D78">
        <v>185</v>
      </c>
      <c r="E78">
        <v>0</v>
      </c>
      <c r="F78">
        <v>0</v>
      </c>
      <c r="G78">
        <v>20</v>
      </c>
      <c r="H78">
        <v>20</v>
      </c>
      <c r="I78" t="s">
        <v>1023</v>
      </c>
      <c r="U78"/>
      <c r="V78"/>
      <c r="W78"/>
    </row>
    <row r="79" spans="1:23">
      <c r="A79" s="2" t="s">
        <v>103</v>
      </c>
      <c r="B79">
        <v>0</v>
      </c>
      <c r="C79">
        <v>0</v>
      </c>
      <c r="D79">
        <v>185</v>
      </c>
      <c r="E79">
        <v>0</v>
      </c>
      <c r="F79">
        <v>0</v>
      </c>
      <c r="G79">
        <v>20</v>
      </c>
      <c r="H79">
        <v>20</v>
      </c>
      <c r="I79" t="s">
        <v>1023</v>
      </c>
      <c r="U79"/>
      <c r="V79"/>
      <c r="W79"/>
    </row>
    <row r="80" spans="1:23">
      <c r="A80" s="2" t="s">
        <v>104</v>
      </c>
      <c r="B80">
        <v>0</v>
      </c>
      <c r="C80">
        <v>0</v>
      </c>
      <c r="D80">
        <v>185</v>
      </c>
      <c r="E80">
        <v>0</v>
      </c>
      <c r="F80">
        <v>0</v>
      </c>
      <c r="G80">
        <v>20</v>
      </c>
      <c r="H80">
        <v>20</v>
      </c>
      <c r="I80" t="s">
        <v>1023</v>
      </c>
      <c r="U80"/>
      <c r="V80"/>
      <c r="W80"/>
    </row>
    <row r="81" spans="1:23">
      <c r="A81" s="2" t="s">
        <v>105</v>
      </c>
      <c r="B81">
        <v>0</v>
      </c>
      <c r="C81">
        <v>0</v>
      </c>
      <c r="D81">
        <v>185</v>
      </c>
      <c r="E81">
        <v>0</v>
      </c>
      <c r="F81">
        <v>0</v>
      </c>
      <c r="G81">
        <v>20</v>
      </c>
      <c r="H81">
        <v>20</v>
      </c>
      <c r="I81" t="s">
        <v>1023</v>
      </c>
      <c r="U81"/>
      <c r="V81"/>
      <c r="W81"/>
    </row>
    <row r="82" spans="1:23">
      <c r="A82" s="2" t="s">
        <v>106</v>
      </c>
      <c r="B82">
        <v>0</v>
      </c>
      <c r="C82">
        <v>0</v>
      </c>
      <c r="D82">
        <v>185</v>
      </c>
      <c r="E82">
        <v>0</v>
      </c>
      <c r="F82">
        <v>0</v>
      </c>
      <c r="G82">
        <v>20</v>
      </c>
      <c r="H82">
        <v>20</v>
      </c>
      <c r="I82" t="s">
        <v>1023</v>
      </c>
      <c r="U82"/>
      <c r="V82"/>
      <c r="W82"/>
    </row>
    <row r="83" spans="1:23">
      <c r="A83" s="2" t="s">
        <v>107</v>
      </c>
      <c r="B83">
        <v>0</v>
      </c>
      <c r="C83">
        <v>0</v>
      </c>
      <c r="D83">
        <v>185</v>
      </c>
      <c r="E83">
        <v>0</v>
      </c>
      <c r="F83">
        <v>0</v>
      </c>
      <c r="G83">
        <v>20</v>
      </c>
      <c r="H83">
        <v>20</v>
      </c>
      <c r="I83" t="s">
        <v>1023</v>
      </c>
      <c r="U83"/>
      <c r="V83"/>
      <c r="W83"/>
    </row>
    <row r="84" spans="1:23">
      <c r="A84" s="2" t="s">
        <v>108</v>
      </c>
      <c r="B84">
        <v>0</v>
      </c>
      <c r="C84">
        <v>0</v>
      </c>
      <c r="D84">
        <v>185</v>
      </c>
      <c r="E84">
        <v>0</v>
      </c>
      <c r="F84">
        <v>0</v>
      </c>
      <c r="G84">
        <v>20</v>
      </c>
      <c r="H84">
        <v>20</v>
      </c>
      <c r="I84" t="s">
        <v>1023</v>
      </c>
      <c r="U84"/>
      <c r="V84"/>
      <c r="W84"/>
    </row>
    <row r="85" spans="1:23">
      <c r="A85" s="2" t="s">
        <v>109</v>
      </c>
      <c r="B85">
        <v>0</v>
      </c>
      <c r="C85">
        <v>0</v>
      </c>
      <c r="D85">
        <v>185</v>
      </c>
      <c r="E85">
        <v>0</v>
      </c>
      <c r="F85">
        <v>0</v>
      </c>
      <c r="G85">
        <v>20</v>
      </c>
      <c r="H85">
        <v>20</v>
      </c>
      <c r="I85" t="s">
        <v>1023</v>
      </c>
      <c r="U85"/>
      <c r="V85"/>
      <c r="W85"/>
    </row>
    <row r="86" spans="1:23">
      <c r="A86" s="2" t="s">
        <v>110</v>
      </c>
      <c r="B86">
        <v>0</v>
      </c>
      <c r="C86">
        <v>0</v>
      </c>
      <c r="D86">
        <v>185</v>
      </c>
      <c r="E86">
        <v>0</v>
      </c>
      <c r="F86">
        <v>0</v>
      </c>
      <c r="G86">
        <v>20</v>
      </c>
      <c r="H86">
        <v>20</v>
      </c>
      <c r="I86" t="s">
        <v>1023</v>
      </c>
      <c r="U86"/>
      <c r="V86"/>
      <c r="W86"/>
    </row>
    <row r="87" spans="1:23">
      <c r="A87" s="2" t="s">
        <v>111</v>
      </c>
      <c r="B87">
        <v>0</v>
      </c>
      <c r="C87">
        <v>0</v>
      </c>
      <c r="D87">
        <v>185</v>
      </c>
      <c r="E87">
        <v>0</v>
      </c>
      <c r="F87">
        <v>0</v>
      </c>
      <c r="G87">
        <v>20</v>
      </c>
      <c r="H87">
        <v>20</v>
      </c>
      <c r="I87" t="s">
        <v>1023</v>
      </c>
      <c r="U87"/>
      <c r="V87"/>
      <c r="W87"/>
    </row>
    <row r="88" spans="1:23">
      <c r="A88" s="2" t="s">
        <v>112</v>
      </c>
      <c r="B88">
        <v>0</v>
      </c>
      <c r="C88">
        <v>0</v>
      </c>
      <c r="D88">
        <v>185</v>
      </c>
      <c r="E88">
        <v>0</v>
      </c>
      <c r="F88">
        <v>0</v>
      </c>
      <c r="G88">
        <v>20</v>
      </c>
      <c r="H88">
        <v>20</v>
      </c>
      <c r="I88" t="s">
        <v>1023</v>
      </c>
      <c r="U88"/>
      <c r="V88"/>
      <c r="W88"/>
    </row>
    <row r="89" spans="1:23">
      <c r="A89" s="2" t="s">
        <v>113</v>
      </c>
      <c r="B89">
        <v>0</v>
      </c>
      <c r="C89">
        <v>0</v>
      </c>
      <c r="D89">
        <v>185</v>
      </c>
      <c r="E89">
        <v>0</v>
      </c>
      <c r="F89">
        <v>0</v>
      </c>
      <c r="G89">
        <v>20</v>
      </c>
      <c r="H89">
        <v>20</v>
      </c>
      <c r="I89" t="s">
        <v>1023</v>
      </c>
      <c r="U89"/>
      <c r="V89"/>
      <c r="W89"/>
    </row>
    <row r="90" spans="1:23">
      <c r="A90" s="2" t="s">
        <v>114</v>
      </c>
      <c r="B90">
        <v>0</v>
      </c>
      <c r="C90">
        <v>0</v>
      </c>
      <c r="D90">
        <v>185</v>
      </c>
      <c r="E90">
        <v>0</v>
      </c>
      <c r="F90">
        <v>0</v>
      </c>
      <c r="G90">
        <v>20</v>
      </c>
      <c r="H90">
        <v>20</v>
      </c>
      <c r="I90" t="s">
        <v>1023</v>
      </c>
      <c r="U90"/>
      <c r="V90"/>
      <c r="W90"/>
    </row>
    <row r="91" spans="1:23">
      <c r="A91" s="2" t="s">
        <v>115</v>
      </c>
      <c r="B91">
        <v>0</v>
      </c>
      <c r="C91">
        <v>0</v>
      </c>
      <c r="D91">
        <v>185</v>
      </c>
      <c r="E91">
        <v>0</v>
      </c>
      <c r="F91">
        <v>0</v>
      </c>
      <c r="G91">
        <v>20</v>
      </c>
      <c r="H91">
        <v>20</v>
      </c>
      <c r="I91" t="s">
        <v>1023</v>
      </c>
      <c r="U91"/>
      <c r="V91"/>
      <c r="W91"/>
    </row>
    <row r="92" spans="1:23">
      <c r="A92" s="2" t="s">
        <v>116</v>
      </c>
      <c r="B92">
        <v>0</v>
      </c>
      <c r="C92">
        <v>0</v>
      </c>
      <c r="D92">
        <v>185</v>
      </c>
      <c r="E92">
        <v>0</v>
      </c>
      <c r="F92">
        <v>0</v>
      </c>
      <c r="G92">
        <v>20</v>
      </c>
      <c r="H92">
        <v>20</v>
      </c>
      <c r="I92" t="s">
        <v>1023</v>
      </c>
      <c r="U92"/>
      <c r="V92"/>
      <c r="W92"/>
    </row>
    <row r="93" spans="1:23">
      <c r="A93" s="2" t="s">
        <v>117</v>
      </c>
      <c r="B93">
        <v>0</v>
      </c>
      <c r="C93">
        <v>0</v>
      </c>
      <c r="D93">
        <v>185</v>
      </c>
      <c r="E93">
        <v>0</v>
      </c>
      <c r="F93">
        <v>0</v>
      </c>
      <c r="G93">
        <v>20</v>
      </c>
      <c r="H93">
        <v>20</v>
      </c>
      <c r="I93" t="s">
        <v>1023</v>
      </c>
      <c r="U93"/>
      <c r="V93"/>
      <c r="W93"/>
    </row>
    <row r="94" spans="1:23">
      <c r="A94" s="2" t="s">
        <v>118</v>
      </c>
      <c r="B94">
        <v>0</v>
      </c>
      <c r="C94">
        <v>0</v>
      </c>
      <c r="D94">
        <v>185</v>
      </c>
      <c r="E94">
        <v>0</v>
      </c>
      <c r="F94">
        <v>0</v>
      </c>
      <c r="G94">
        <v>20</v>
      </c>
      <c r="H94">
        <v>20</v>
      </c>
      <c r="I94" t="s">
        <v>1023</v>
      </c>
      <c r="U94"/>
      <c r="V94"/>
      <c r="W94"/>
    </row>
    <row r="95" spans="1:23">
      <c r="A95" s="2" t="s">
        <v>119</v>
      </c>
      <c r="B95">
        <v>0</v>
      </c>
      <c r="C95">
        <v>0</v>
      </c>
      <c r="D95">
        <v>185</v>
      </c>
      <c r="E95">
        <v>0</v>
      </c>
      <c r="F95">
        <v>0</v>
      </c>
      <c r="G95">
        <v>20</v>
      </c>
      <c r="H95">
        <v>20</v>
      </c>
      <c r="I95" t="s">
        <v>1023</v>
      </c>
      <c r="U95"/>
      <c r="V95"/>
      <c r="W95"/>
    </row>
    <row r="96" spans="1:23">
      <c r="A96" s="2" t="s">
        <v>120</v>
      </c>
      <c r="B96">
        <v>0</v>
      </c>
      <c r="C96">
        <v>0</v>
      </c>
      <c r="D96">
        <v>185</v>
      </c>
      <c r="E96">
        <v>0</v>
      </c>
      <c r="F96">
        <v>0</v>
      </c>
      <c r="G96">
        <v>20</v>
      </c>
      <c r="H96">
        <v>20</v>
      </c>
      <c r="I96" t="s">
        <v>1023</v>
      </c>
      <c r="U96"/>
      <c r="V96"/>
      <c r="W96"/>
    </row>
    <row r="97" spans="1:23">
      <c r="A97" s="2" t="s">
        <v>121</v>
      </c>
      <c r="B97">
        <v>0</v>
      </c>
      <c r="C97">
        <v>0</v>
      </c>
      <c r="D97">
        <v>185</v>
      </c>
      <c r="E97">
        <v>0</v>
      </c>
      <c r="F97">
        <v>0</v>
      </c>
      <c r="G97">
        <v>20</v>
      </c>
      <c r="H97">
        <v>20</v>
      </c>
      <c r="I97" t="s">
        <v>1023</v>
      </c>
      <c r="U97"/>
      <c r="V97"/>
      <c r="W97"/>
    </row>
    <row r="98" spans="1:23">
      <c r="A98" s="2" t="s">
        <v>122</v>
      </c>
      <c r="B98">
        <v>0</v>
      </c>
      <c r="C98">
        <v>0</v>
      </c>
      <c r="D98">
        <v>185</v>
      </c>
      <c r="E98">
        <v>0</v>
      </c>
      <c r="F98">
        <v>0</v>
      </c>
      <c r="G98">
        <v>20</v>
      </c>
      <c r="H98">
        <v>20</v>
      </c>
      <c r="I98" t="s">
        <v>1023</v>
      </c>
      <c r="U98"/>
      <c r="V98"/>
      <c r="W98"/>
    </row>
    <row r="99" spans="1:23">
      <c r="A99" s="2" t="s">
        <v>123</v>
      </c>
      <c r="B99">
        <v>0</v>
      </c>
      <c r="C99">
        <v>0</v>
      </c>
      <c r="D99">
        <v>185</v>
      </c>
      <c r="E99">
        <v>0</v>
      </c>
      <c r="F99">
        <v>0</v>
      </c>
      <c r="G99">
        <v>20</v>
      </c>
      <c r="H99">
        <v>20</v>
      </c>
      <c r="I99" t="s">
        <v>1023</v>
      </c>
      <c r="U99"/>
      <c r="V99"/>
      <c r="W99"/>
    </row>
    <row r="100" spans="1:23">
      <c r="A100" s="2" t="s">
        <v>124</v>
      </c>
      <c r="B100">
        <v>0</v>
      </c>
      <c r="C100">
        <v>0</v>
      </c>
      <c r="D100">
        <v>185</v>
      </c>
      <c r="E100">
        <v>0</v>
      </c>
      <c r="F100">
        <v>0</v>
      </c>
      <c r="G100">
        <v>20</v>
      </c>
      <c r="H100">
        <v>20</v>
      </c>
      <c r="I100" t="s">
        <v>1023</v>
      </c>
      <c r="U100"/>
      <c r="V100"/>
      <c r="W100"/>
    </row>
    <row r="101" spans="1:23">
      <c r="A101" s="2" t="s">
        <v>125</v>
      </c>
      <c r="B101">
        <v>0</v>
      </c>
      <c r="C101">
        <v>0</v>
      </c>
      <c r="D101">
        <v>185</v>
      </c>
      <c r="E101">
        <v>0</v>
      </c>
      <c r="F101">
        <v>0</v>
      </c>
      <c r="G101">
        <v>20</v>
      </c>
      <c r="H101">
        <v>20</v>
      </c>
      <c r="I101" t="s">
        <v>1023</v>
      </c>
      <c r="U101"/>
      <c r="V101"/>
      <c r="W101"/>
    </row>
    <row r="102" spans="1:23">
      <c r="A102" s="2" t="s">
        <v>126</v>
      </c>
      <c r="B102">
        <v>0</v>
      </c>
      <c r="C102">
        <v>0</v>
      </c>
      <c r="D102">
        <v>185</v>
      </c>
      <c r="E102">
        <v>0</v>
      </c>
      <c r="F102">
        <v>0</v>
      </c>
      <c r="G102">
        <v>20</v>
      </c>
      <c r="H102">
        <v>20</v>
      </c>
      <c r="I102" t="s">
        <v>1023</v>
      </c>
      <c r="U102"/>
      <c r="V102"/>
      <c r="W102"/>
    </row>
    <row r="103" spans="1:23">
      <c r="A103" s="2" t="s">
        <v>127</v>
      </c>
      <c r="B103">
        <v>0</v>
      </c>
      <c r="C103">
        <v>0</v>
      </c>
      <c r="D103">
        <v>185</v>
      </c>
      <c r="E103">
        <v>0</v>
      </c>
      <c r="F103">
        <v>0</v>
      </c>
      <c r="G103">
        <v>20</v>
      </c>
      <c r="H103">
        <v>20</v>
      </c>
      <c r="I103" t="s">
        <v>1023</v>
      </c>
      <c r="U103"/>
      <c r="V103"/>
      <c r="W103"/>
    </row>
    <row r="104" spans="1:23">
      <c r="A104" s="2" t="s">
        <v>128</v>
      </c>
      <c r="B104">
        <v>0</v>
      </c>
      <c r="C104">
        <v>0</v>
      </c>
      <c r="D104">
        <v>185</v>
      </c>
      <c r="E104">
        <v>0</v>
      </c>
      <c r="F104">
        <v>0</v>
      </c>
      <c r="G104">
        <v>20</v>
      </c>
      <c r="H104">
        <v>20</v>
      </c>
      <c r="I104" t="s">
        <v>1023</v>
      </c>
      <c r="U104"/>
      <c r="V104"/>
      <c r="W104"/>
    </row>
    <row r="105" spans="1:23">
      <c r="A105" s="2" t="s">
        <v>129</v>
      </c>
      <c r="B105">
        <v>0</v>
      </c>
      <c r="C105">
        <v>0</v>
      </c>
      <c r="D105">
        <v>185</v>
      </c>
      <c r="E105">
        <v>0</v>
      </c>
      <c r="F105">
        <v>0</v>
      </c>
      <c r="G105">
        <v>20</v>
      </c>
      <c r="H105">
        <v>20</v>
      </c>
      <c r="I105" t="s">
        <v>1023</v>
      </c>
      <c r="U105"/>
      <c r="V105"/>
      <c r="W105"/>
    </row>
    <row r="106" spans="1:23">
      <c r="A106" s="2" t="s">
        <v>130</v>
      </c>
      <c r="B106">
        <v>0</v>
      </c>
      <c r="C106">
        <v>0</v>
      </c>
      <c r="D106">
        <v>185</v>
      </c>
      <c r="E106">
        <v>0</v>
      </c>
      <c r="F106">
        <v>0</v>
      </c>
      <c r="G106">
        <v>20</v>
      </c>
      <c r="H106">
        <v>20</v>
      </c>
      <c r="I106" t="s">
        <v>1023</v>
      </c>
      <c r="U106"/>
      <c r="V106"/>
      <c r="W106"/>
    </row>
    <row r="107" spans="1:23">
      <c r="A107" s="2" t="s">
        <v>131</v>
      </c>
      <c r="B107">
        <v>0</v>
      </c>
      <c r="C107">
        <v>0</v>
      </c>
      <c r="D107">
        <v>185</v>
      </c>
      <c r="E107">
        <v>0</v>
      </c>
      <c r="F107">
        <v>0</v>
      </c>
      <c r="G107">
        <v>20</v>
      </c>
      <c r="H107">
        <v>20</v>
      </c>
      <c r="I107" t="s">
        <v>1023</v>
      </c>
      <c r="U107"/>
      <c r="V107"/>
      <c r="W107"/>
    </row>
    <row r="108" spans="1:23">
      <c r="A108" s="2" t="s">
        <v>132</v>
      </c>
      <c r="B108">
        <v>0</v>
      </c>
      <c r="C108">
        <v>0</v>
      </c>
      <c r="D108">
        <v>185</v>
      </c>
      <c r="E108">
        <v>0</v>
      </c>
      <c r="F108">
        <v>0</v>
      </c>
      <c r="G108">
        <v>20</v>
      </c>
      <c r="H108">
        <v>20</v>
      </c>
      <c r="I108" t="s">
        <v>1023</v>
      </c>
      <c r="U108"/>
      <c r="V108"/>
      <c r="W108"/>
    </row>
    <row r="109" spans="1:23">
      <c r="A109" s="2" t="s">
        <v>133</v>
      </c>
      <c r="B109">
        <v>0</v>
      </c>
      <c r="C109">
        <v>0</v>
      </c>
      <c r="D109">
        <v>185</v>
      </c>
      <c r="E109">
        <v>0</v>
      </c>
      <c r="F109">
        <v>0</v>
      </c>
      <c r="G109">
        <v>20</v>
      </c>
      <c r="H109">
        <v>20</v>
      </c>
      <c r="I109" t="s">
        <v>1023</v>
      </c>
      <c r="U109"/>
      <c r="V109"/>
      <c r="W109"/>
    </row>
    <row r="110" spans="1:23">
      <c r="A110" s="2" t="s">
        <v>134</v>
      </c>
      <c r="B110">
        <v>0</v>
      </c>
      <c r="C110">
        <v>0</v>
      </c>
      <c r="D110">
        <v>185</v>
      </c>
      <c r="E110">
        <v>0</v>
      </c>
      <c r="F110">
        <v>0</v>
      </c>
      <c r="G110">
        <v>20</v>
      </c>
      <c r="H110">
        <v>20</v>
      </c>
      <c r="I110" t="s">
        <v>1023</v>
      </c>
      <c r="U110"/>
      <c r="V110"/>
      <c r="W110"/>
    </row>
    <row r="111" spans="1:23">
      <c r="A111" s="2" t="s">
        <v>135</v>
      </c>
      <c r="B111">
        <v>0</v>
      </c>
      <c r="C111">
        <v>0</v>
      </c>
      <c r="D111">
        <v>185</v>
      </c>
      <c r="E111">
        <v>0</v>
      </c>
      <c r="F111">
        <v>0</v>
      </c>
      <c r="G111">
        <v>20</v>
      </c>
      <c r="H111">
        <v>20</v>
      </c>
      <c r="I111" t="s">
        <v>1023</v>
      </c>
      <c r="U111"/>
      <c r="V111"/>
      <c r="W111"/>
    </row>
    <row r="112" spans="1:23">
      <c r="A112" s="2" t="s">
        <v>136</v>
      </c>
      <c r="B112">
        <v>0</v>
      </c>
      <c r="C112">
        <v>0</v>
      </c>
      <c r="D112">
        <v>185</v>
      </c>
      <c r="E112">
        <v>0</v>
      </c>
      <c r="F112">
        <v>0</v>
      </c>
      <c r="G112">
        <v>20</v>
      </c>
      <c r="H112">
        <v>20</v>
      </c>
      <c r="I112" t="s">
        <v>1023</v>
      </c>
      <c r="U112"/>
      <c r="V112"/>
      <c r="W112"/>
    </row>
    <row r="113" spans="1:23">
      <c r="A113" s="2" t="s">
        <v>137</v>
      </c>
      <c r="B113">
        <v>0</v>
      </c>
      <c r="C113">
        <v>0</v>
      </c>
      <c r="D113">
        <v>185</v>
      </c>
      <c r="E113">
        <v>0</v>
      </c>
      <c r="F113">
        <v>0</v>
      </c>
      <c r="G113">
        <v>20</v>
      </c>
      <c r="H113">
        <v>20</v>
      </c>
      <c r="I113" t="s">
        <v>1023</v>
      </c>
      <c r="U113"/>
      <c r="V113"/>
      <c r="W113"/>
    </row>
    <row r="114" spans="1:23">
      <c r="A114" s="2" t="s">
        <v>138</v>
      </c>
      <c r="B114">
        <v>0</v>
      </c>
      <c r="C114">
        <v>0</v>
      </c>
      <c r="D114">
        <v>185</v>
      </c>
      <c r="E114">
        <v>0</v>
      </c>
      <c r="F114">
        <v>0</v>
      </c>
      <c r="G114">
        <v>20</v>
      </c>
      <c r="H114">
        <v>20</v>
      </c>
      <c r="I114" t="s">
        <v>1023</v>
      </c>
      <c r="U114"/>
      <c r="V114"/>
      <c r="W114"/>
    </row>
    <row r="115" spans="1:23">
      <c r="A115" s="2" t="s">
        <v>139</v>
      </c>
      <c r="B115">
        <v>0</v>
      </c>
      <c r="C115">
        <v>0</v>
      </c>
      <c r="D115">
        <v>185</v>
      </c>
      <c r="E115">
        <v>0</v>
      </c>
      <c r="F115">
        <v>0</v>
      </c>
      <c r="G115">
        <v>20</v>
      </c>
      <c r="H115">
        <v>20</v>
      </c>
      <c r="I115" t="s">
        <v>1023</v>
      </c>
      <c r="U115"/>
      <c r="V115"/>
      <c r="W115"/>
    </row>
    <row r="116" spans="1:23">
      <c r="A116" s="2" t="s">
        <v>140</v>
      </c>
      <c r="B116">
        <v>0</v>
      </c>
      <c r="C116">
        <v>0</v>
      </c>
      <c r="D116">
        <v>185</v>
      </c>
      <c r="E116">
        <v>0</v>
      </c>
      <c r="F116">
        <v>0</v>
      </c>
      <c r="G116">
        <v>20</v>
      </c>
      <c r="H116">
        <v>20</v>
      </c>
      <c r="I116" t="s">
        <v>1023</v>
      </c>
      <c r="U116"/>
      <c r="V116"/>
      <c r="W116"/>
    </row>
    <row r="117" spans="1:23">
      <c r="A117" s="2" t="s">
        <v>141</v>
      </c>
      <c r="B117">
        <v>0</v>
      </c>
      <c r="C117">
        <v>0</v>
      </c>
      <c r="D117">
        <v>185</v>
      </c>
      <c r="E117">
        <v>0</v>
      </c>
      <c r="F117">
        <v>0</v>
      </c>
      <c r="G117">
        <v>20</v>
      </c>
      <c r="H117">
        <v>20</v>
      </c>
      <c r="I117" t="s">
        <v>1023</v>
      </c>
      <c r="U117"/>
      <c r="V117"/>
      <c r="W117"/>
    </row>
    <row r="118" spans="1:23">
      <c r="A118" s="2" t="s">
        <v>142</v>
      </c>
      <c r="B118">
        <v>0</v>
      </c>
      <c r="C118">
        <v>0</v>
      </c>
      <c r="D118">
        <v>185</v>
      </c>
      <c r="E118">
        <v>0</v>
      </c>
      <c r="F118">
        <v>0</v>
      </c>
      <c r="G118">
        <v>20</v>
      </c>
      <c r="H118">
        <v>20</v>
      </c>
      <c r="I118" t="s">
        <v>1023</v>
      </c>
      <c r="U118"/>
      <c r="V118"/>
      <c r="W118"/>
    </row>
    <row r="119" spans="1:23">
      <c r="A119" s="2" t="s">
        <v>143</v>
      </c>
      <c r="B119">
        <v>0</v>
      </c>
      <c r="C119">
        <v>0</v>
      </c>
      <c r="D119">
        <v>185</v>
      </c>
      <c r="E119">
        <v>0</v>
      </c>
      <c r="F119">
        <v>0</v>
      </c>
      <c r="G119">
        <v>20</v>
      </c>
      <c r="H119">
        <v>20</v>
      </c>
      <c r="I119" t="s">
        <v>1023</v>
      </c>
      <c r="U119"/>
      <c r="V119"/>
      <c r="W119"/>
    </row>
    <row r="120" spans="1:23">
      <c r="A120" s="2" t="s">
        <v>144</v>
      </c>
      <c r="B120">
        <v>0</v>
      </c>
      <c r="C120">
        <v>0</v>
      </c>
      <c r="D120">
        <v>185</v>
      </c>
      <c r="E120">
        <v>0</v>
      </c>
      <c r="F120">
        <v>0</v>
      </c>
      <c r="G120">
        <v>20</v>
      </c>
      <c r="H120">
        <v>20</v>
      </c>
      <c r="I120" t="s">
        <v>1023</v>
      </c>
      <c r="U120"/>
      <c r="V120"/>
      <c r="W120"/>
    </row>
    <row r="121" spans="1:23">
      <c r="A121" s="2" t="s">
        <v>145</v>
      </c>
      <c r="B121">
        <v>0</v>
      </c>
      <c r="C121">
        <v>0</v>
      </c>
      <c r="D121">
        <v>185</v>
      </c>
      <c r="E121">
        <v>0</v>
      </c>
      <c r="F121">
        <v>0</v>
      </c>
      <c r="G121">
        <v>20</v>
      </c>
      <c r="H121">
        <v>20</v>
      </c>
      <c r="I121" t="s">
        <v>1023</v>
      </c>
      <c r="U121"/>
      <c r="V121"/>
      <c r="W121"/>
    </row>
    <row r="122" spans="1:23">
      <c r="A122" s="2" t="s">
        <v>146</v>
      </c>
      <c r="B122">
        <v>0</v>
      </c>
      <c r="C122">
        <v>0</v>
      </c>
      <c r="D122">
        <v>185</v>
      </c>
      <c r="E122">
        <v>0</v>
      </c>
      <c r="F122">
        <v>0</v>
      </c>
      <c r="G122">
        <v>20</v>
      </c>
      <c r="H122">
        <v>20</v>
      </c>
      <c r="I122" t="s">
        <v>1023</v>
      </c>
      <c r="U122"/>
      <c r="V122"/>
      <c r="W122"/>
    </row>
    <row r="123" spans="1:23">
      <c r="A123" s="2" t="s">
        <v>147</v>
      </c>
      <c r="B123">
        <v>0</v>
      </c>
      <c r="C123">
        <v>0</v>
      </c>
      <c r="D123">
        <v>185</v>
      </c>
      <c r="E123">
        <v>0</v>
      </c>
      <c r="F123">
        <v>0</v>
      </c>
      <c r="G123">
        <v>20</v>
      </c>
      <c r="H123">
        <v>20</v>
      </c>
      <c r="I123" t="s">
        <v>1023</v>
      </c>
      <c r="U123"/>
      <c r="V123"/>
      <c r="W123"/>
    </row>
    <row r="124" spans="1:23">
      <c r="A124" s="2" t="s">
        <v>148</v>
      </c>
      <c r="B124">
        <v>0</v>
      </c>
      <c r="C124">
        <v>0</v>
      </c>
      <c r="D124">
        <v>185</v>
      </c>
      <c r="E124">
        <v>0</v>
      </c>
      <c r="F124">
        <v>0</v>
      </c>
      <c r="G124">
        <v>20</v>
      </c>
      <c r="H124">
        <v>20</v>
      </c>
      <c r="I124" t="s">
        <v>1023</v>
      </c>
      <c r="U124"/>
      <c r="V124"/>
      <c r="W124"/>
    </row>
    <row r="125" spans="1:23">
      <c r="A125" s="2" t="s">
        <v>149</v>
      </c>
      <c r="B125">
        <v>0</v>
      </c>
      <c r="C125">
        <v>0</v>
      </c>
      <c r="D125">
        <v>185</v>
      </c>
      <c r="E125">
        <v>0</v>
      </c>
      <c r="F125">
        <v>0</v>
      </c>
      <c r="G125">
        <v>20</v>
      </c>
      <c r="H125">
        <v>20</v>
      </c>
      <c r="I125" t="s">
        <v>1023</v>
      </c>
      <c r="U125"/>
      <c r="V125"/>
      <c r="W125"/>
    </row>
    <row r="126" spans="1:23">
      <c r="A126" s="2" t="s">
        <v>150</v>
      </c>
      <c r="B126">
        <v>0</v>
      </c>
      <c r="C126">
        <v>0</v>
      </c>
      <c r="D126">
        <v>185</v>
      </c>
      <c r="E126">
        <v>0</v>
      </c>
      <c r="F126">
        <v>0</v>
      </c>
      <c r="G126">
        <v>20</v>
      </c>
      <c r="H126">
        <v>20</v>
      </c>
      <c r="I126" t="s">
        <v>1023</v>
      </c>
      <c r="U126"/>
      <c r="V126"/>
      <c r="W126"/>
    </row>
    <row r="127" spans="1:23">
      <c r="A127" s="2" t="s">
        <v>151</v>
      </c>
      <c r="B127">
        <v>0</v>
      </c>
      <c r="C127">
        <v>0</v>
      </c>
      <c r="D127">
        <v>185</v>
      </c>
      <c r="E127">
        <v>0</v>
      </c>
      <c r="F127">
        <v>0</v>
      </c>
      <c r="G127">
        <v>20</v>
      </c>
      <c r="H127">
        <v>20</v>
      </c>
      <c r="I127" t="s">
        <v>1023</v>
      </c>
      <c r="U127"/>
      <c r="V127"/>
      <c r="W127"/>
    </row>
    <row r="128" spans="1:23">
      <c r="A128" s="2" t="s">
        <v>152</v>
      </c>
      <c r="B128">
        <v>0</v>
      </c>
      <c r="C128">
        <v>0</v>
      </c>
      <c r="D128">
        <v>185</v>
      </c>
      <c r="E128">
        <v>0</v>
      </c>
      <c r="F128">
        <v>0</v>
      </c>
      <c r="G128">
        <v>20</v>
      </c>
      <c r="H128">
        <v>20</v>
      </c>
      <c r="I128" t="s">
        <v>1023</v>
      </c>
      <c r="U128"/>
      <c r="V128"/>
      <c r="W128"/>
    </row>
    <row r="129" spans="1:23">
      <c r="A129" s="2" t="s">
        <v>153</v>
      </c>
      <c r="B129">
        <v>0</v>
      </c>
      <c r="C129">
        <v>0</v>
      </c>
      <c r="D129">
        <v>185</v>
      </c>
      <c r="E129">
        <v>0</v>
      </c>
      <c r="F129">
        <v>0</v>
      </c>
      <c r="G129">
        <v>20</v>
      </c>
      <c r="H129">
        <v>20</v>
      </c>
      <c r="I129" t="s">
        <v>1023</v>
      </c>
      <c r="U129"/>
      <c r="V129"/>
      <c r="W129"/>
    </row>
    <row r="130" spans="1:23">
      <c r="A130" s="2" t="s">
        <v>154</v>
      </c>
      <c r="B130">
        <v>0</v>
      </c>
      <c r="C130">
        <v>0</v>
      </c>
      <c r="D130">
        <v>185</v>
      </c>
      <c r="E130">
        <v>0</v>
      </c>
      <c r="F130">
        <v>0</v>
      </c>
      <c r="G130">
        <v>20</v>
      </c>
      <c r="H130">
        <v>20</v>
      </c>
      <c r="I130" t="s">
        <v>1023</v>
      </c>
      <c r="U130"/>
      <c r="V130"/>
      <c r="W130"/>
    </row>
    <row r="131" spans="1:23">
      <c r="A131" s="2" t="s">
        <v>155</v>
      </c>
      <c r="B131">
        <v>0</v>
      </c>
      <c r="C131">
        <v>0</v>
      </c>
      <c r="D131">
        <v>185</v>
      </c>
      <c r="E131">
        <v>0</v>
      </c>
      <c r="F131">
        <v>0</v>
      </c>
      <c r="G131">
        <v>20</v>
      </c>
      <c r="H131">
        <v>20</v>
      </c>
      <c r="I131" t="s">
        <v>1023</v>
      </c>
      <c r="U131"/>
      <c r="V131"/>
      <c r="W131"/>
    </row>
    <row r="132" spans="1:23">
      <c r="A132" s="2" t="s">
        <v>156</v>
      </c>
      <c r="B132">
        <v>0</v>
      </c>
      <c r="C132">
        <v>0</v>
      </c>
      <c r="D132">
        <v>185</v>
      </c>
      <c r="E132">
        <v>0</v>
      </c>
      <c r="F132">
        <v>0</v>
      </c>
      <c r="G132">
        <v>20</v>
      </c>
      <c r="H132">
        <v>20</v>
      </c>
      <c r="I132" t="s">
        <v>1023</v>
      </c>
      <c r="U132"/>
      <c r="V132"/>
      <c r="W132"/>
    </row>
    <row r="133" spans="1:23">
      <c r="A133" s="2" t="s">
        <v>157</v>
      </c>
      <c r="B133">
        <v>0</v>
      </c>
      <c r="C133">
        <v>0</v>
      </c>
      <c r="D133">
        <v>185</v>
      </c>
      <c r="E133">
        <v>0</v>
      </c>
      <c r="F133">
        <v>0</v>
      </c>
      <c r="G133">
        <v>20</v>
      </c>
      <c r="H133">
        <v>20</v>
      </c>
      <c r="I133" t="s">
        <v>1023</v>
      </c>
      <c r="U133"/>
      <c r="V133"/>
      <c r="W133"/>
    </row>
    <row r="134" spans="1:23">
      <c r="A134" s="2" t="s">
        <v>158</v>
      </c>
      <c r="B134">
        <v>0</v>
      </c>
      <c r="C134">
        <v>0</v>
      </c>
      <c r="D134">
        <v>185</v>
      </c>
      <c r="E134">
        <v>0</v>
      </c>
      <c r="F134">
        <v>0</v>
      </c>
      <c r="G134">
        <v>20</v>
      </c>
      <c r="H134">
        <v>20</v>
      </c>
      <c r="I134" t="s">
        <v>1023</v>
      </c>
      <c r="U134"/>
      <c r="V134"/>
      <c r="W134"/>
    </row>
    <row r="135" spans="1:23">
      <c r="A135" s="2" t="s">
        <v>159</v>
      </c>
      <c r="B135">
        <v>0</v>
      </c>
      <c r="C135">
        <v>0</v>
      </c>
      <c r="D135">
        <v>185</v>
      </c>
      <c r="E135">
        <v>0</v>
      </c>
      <c r="F135">
        <v>0</v>
      </c>
      <c r="G135">
        <v>20</v>
      </c>
      <c r="H135">
        <v>20</v>
      </c>
      <c r="I135" t="s">
        <v>1023</v>
      </c>
      <c r="U135"/>
      <c r="V135"/>
      <c r="W135"/>
    </row>
    <row r="136" spans="1:23">
      <c r="A136" s="2" t="s">
        <v>160</v>
      </c>
      <c r="B136">
        <v>0</v>
      </c>
      <c r="C136">
        <v>0</v>
      </c>
      <c r="D136">
        <v>185</v>
      </c>
      <c r="E136">
        <v>0</v>
      </c>
      <c r="F136">
        <v>0</v>
      </c>
      <c r="G136">
        <v>20</v>
      </c>
      <c r="H136">
        <v>20</v>
      </c>
      <c r="I136" t="s">
        <v>1023</v>
      </c>
      <c r="U136"/>
      <c r="V136"/>
      <c r="W136"/>
    </row>
    <row r="137" spans="1:23">
      <c r="A137" s="2" t="s">
        <v>161</v>
      </c>
      <c r="B137">
        <v>0</v>
      </c>
      <c r="C137">
        <v>0</v>
      </c>
      <c r="D137">
        <v>185</v>
      </c>
      <c r="E137">
        <v>0</v>
      </c>
      <c r="F137">
        <v>0</v>
      </c>
      <c r="G137">
        <v>20</v>
      </c>
      <c r="H137">
        <v>20</v>
      </c>
      <c r="I137" t="s">
        <v>1023</v>
      </c>
      <c r="U137"/>
      <c r="V137"/>
      <c r="W137"/>
    </row>
    <row r="138" spans="1:23">
      <c r="A138" s="2" t="s">
        <v>162</v>
      </c>
      <c r="B138">
        <v>0</v>
      </c>
      <c r="C138">
        <v>0</v>
      </c>
      <c r="D138">
        <v>185</v>
      </c>
      <c r="E138">
        <v>0</v>
      </c>
      <c r="F138">
        <v>0</v>
      </c>
      <c r="G138">
        <v>20</v>
      </c>
      <c r="H138">
        <v>20</v>
      </c>
      <c r="I138" t="s">
        <v>1023</v>
      </c>
      <c r="U138"/>
      <c r="V138"/>
      <c r="W138"/>
    </row>
    <row r="139" spans="1:23">
      <c r="A139" s="2" t="s">
        <v>163</v>
      </c>
      <c r="B139">
        <v>0</v>
      </c>
      <c r="C139">
        <v>0</v>
      </c>
      <c r="D139">
        <v>185</v>
      </c>
      <c r="E139">
        <v>0</v>
      </c>
      <c r="F139">
        <v>0</v>
      </c>
      <c r="G139">
        <v>20</v>
      </c>
      <c r="H139">
        <v>20</v>
      </c>
      <c r="I139" t="s">
        <v>1023</v>
      </c>
      <c r="U139"/>
      <c r="V139"/>
      <c r="W139"/>
    </row>
    <row r="140" spans="1:23">
      <c r="A140" s="2" t="s">
        <v>164</v>
      </c>
      <c r="B140">
        <v>0</v>
      </c>
      <c r="C140">
        <v>0</v>
      </c>
      <c r="D140">
        <v>185</v>
      </c>
      <c r="E140">
        <v>0</v>
      </c>
      <c r="F140">
        <v>0</v>
      </c>
      <c r="G140">
        <v>20</v>
      </c>
      <c r="H140">
        <v>20</v>
      </c>
      <c r="I140" t="s">
        <v>1023</v>
      </c>
      <c r="U140"/>
      <c r="V140"/>
      <c r="W140"/>
    </row>
    <row r="141" spans="1:23">
      <c r="A141" s="2" t="s">
        <v>165</v>
      </c>
      <c r="B141">
        <v>0</v>
      </c>
      <c r="C141">
        <v>0</v>
      </c>
      <c r="D141">
        <v>185</v>
      </c>
      <c r="E141">
        <v>0</v>
      </c>
      <c r="F141">
        <v>0</v>
      </c>
      <c r="G141">
        <v>20</v>
      </c>
      <c r="H141">
        <v>20</v>
      </c>
      <c r="I141" t="s">
        <v>1023</v>
      </c>
      <c r="U141"/>
      <c r="V141"/>
      <c r="W141"/>
    </row>
    <row r="142" spans="1:23">
      <c r="A142" s="2" t="s">
        <v>166</v>
      </c>
      <c r="B142">
        <v>0</v>
      </c>
      <c r="C142">
        <v>0</v>
      </c>
      <c r="D142">
        <v>185</v>
      </c>
      <c r="E142">
        <v>0</v>
      </c>
      <c r="F142">
        <v>0</v>
      </c>
      <c r="G142">
        <v>20</v>
      </c>
      <c r="H142">
        <v>20</v>
      </c>
      <c r="I142" t="s">
        <v>1023</v>
      </c>
      <c r="U142"/>
      <c r="V142"/>
      <c r="W142"/>
    </row>
    <row r="143" spans="1:23">
      <c r="A143" s="2" t="s">
        <v>167</v>
      </c>
      <c r="B143">
        <v>0</v>
      </c>
      <c r="C143">
        <v>0</v>
      </c>
      <c r="D143">
        <v>185</v>
      </c>
      <c r="E143">
        <v>0</v>
      </c>
      <c r="F143">
        <v>0</v>
      </c>
      <c r="G143">
        <v>20</v>
      </c>
      <c r="H143">
        <v>20</v>
      </c>
      <c r="I143" t="s">
        <v>1023</v>
      </c>
      <c r="U143"/>
      <c r="V143"/>
      <c r="W143"/>
    </row>
    <row r="144" spans="1:23">
      <c r="A144" s="2" t="s">
        <v>168</v>
      </c>
      <c r="B144">
        <v>0</v>
      </c>
      <c r="C144">
        <v>0</v>
      </c>
      <c r="D144">
        <v>185</v>
      </c>
      <c r="E144">
        <v>0</v>
      </c>
      <c r="F144">
        <v>0</v>
      </c>
      <c r="G144">
        <v>20</v>
      </c>
      <c r="H144">
        <v>20</v>
      </c>
      <c r="I144" t="s">
        <v>1023</v>
      </c>
      <c r="U144"/>
      <c r="V144"/>
      <c r="W144"/>
    </row>
    <row r="145" spans="1:23">
      <c r="A145" s="2" t="s">
        <v>169</v>
      </c>
      <c r="B145">
        <v>0</v>
      </c>
      <c r="C145">
        <v>0</v>
      </c>
      <c r="D145">
        <v>185</v>
      </c>
      <c r="E145">
        <v>0</v>
      </c>
      <c r="F145">
        <v>0</v>
      </c>
      <c r="G145">
        <v>20</v>
      </c>
      <c r="H145">
        <v>20</v>
      </c>
      <c r="I145" t="s">
        <v>1023</v>
      </c>
      <c r="U145"/>
      <c r="V145"/>
      <c r="W145"/>
    </row>
    <row r="146" spans="1:23">
      <c r="A146" s="2" t="s">
        <v>170</v>
      </c>
      <c r="B146">
        <v>0</v>
      </c>
      <c r="C146">
        <v>0</v>
      </c>
      <c r="D146">
        <v>185</v>
      </c>
      <c r="E146">
        <v>0</v>
      </c>
      <c r="F146">
        <v>0</v>
      </c>
      <c r="G146">
        <v>20</v>
      </c>
      <c r="H146">
        <v>20</v>
      </c>
      <c r="I146" t="s">
        <v>1023</v>
      </c>
      <c r="U146"/>
      <c r="V146"/>
      <c r="W146"/>
    </row>
    <row r="147" spans="1:23">
      <c r="A147" s="2" t="s">
        <v>171</v>
      </c>
      <c r="B147">
        <v>0</v>
      </c>
      <c r="C147">
        <v>0</v>
      </c>
      <c r="D147">
        <v>185</v>
      </c>
      <c r="E147">
        <v>0</v>
      </c>
      <c r="F147">
        <v>0</v>
      </c>
      <c r="G147">
        <v>20</v>
      </c>
      <c r="H147">
        <v>20</v>
      </c>
      <c r="I147" t="s">
        <v>1023</v>
      </c>
      <c r="U147"/>
      <c r="V147"/>
      <c r="W147"/>
    </row>
    <row r="148" spans="1:23">
      <c r="A148" s="2" t="s">
        <v>172</v>
      </c>
      <c r="B148">
        <v>0</v>
      </c>
      <c r="C148">
        <v>0</v>
      </c>
      <c r="D148">
        <v>185</v>
      </c>
      <c r="E148">
        <v>0</v>
      </c>
      <c r="F148">
        <v>0</v>
      </c>
      <c r="G148">
        <v>20</v>
      </c>
      <c r="H148">
        <v>20</v>
      </c>
      <c r="I148" t="s">
        <v>1023</v>
      </c>
      <c r="U148"/>
      <c r="V148"/>
      <c r="W148"/>
    </row>
    <row r="149" spans="1:23">
      <c r="A149" s="2" t="s">
        <v>173</v>
      </c>
      <c r="B149">
        <v>0</v>
      </c>
      <c r="C149">
        <v>0</v>
      </c>
      <c r="D149">
        <v>185</v>
      </c>
      <c r="E149">
        <v>0</v>
      </c>
      <c r="F149">
        <v>0</v>
      </c>
      <c r="G149">
        <v>20</v>
      </c>
      <c r="H149">
        <v>20</v>
      </c>
      <c r="I149" t="s">
        <v>1023</v>
      </c>
      <c r="U149"/>
      <c r="V149"/>
      <c r="W149"/>
    </row>
    <row r="150" spans="1:23">
      <c r="A150" s="2" t="s">
        <v>174</v>
      </c>
      <c r="B150">
        <v>0</v>
      </c>
      <c r="C150">
        <v>0</v>
      </c>
      <c r="D150">
        <v>185</v>
      </c>
      <c r="E150">
        <v>0</v>
      </c>
      <c r="F150">
        <v>0</v>
      </c>
      <c r="G150">
        <v>20</v>
      </c>
      <c r="H150">
        <v>20</v>
      </c>
      <c r="I150" t="s">
        <v>1023</v>
      </c>
      <c r="U150"/>
      <c r="V150"/>
      <c r="W150"/>
    </row>
    <row r="151" spans="1:23">
      <c r="A151" s="2" t="s">
        <v>175</v>
      </c>
      <c r="B151">
        <v>0</v>
      </c>
      <c r="C151">
        <v>0</v>
      </c>
      <c r="D151">
        <v>185</v>
      </c>
      <c r="E151">
        <v>0</v>
      </c>
      <c r="F151">
        <v>0</v>
      </c>
      <c r="G151">
        <v>20</v>
      </c>
      <c r="H151">
        <v>20</v>
      </c>
      <c r="I151" t="s">
        <v>1023</v>
      </c>
      <c r="U151"/>
      <c r="V151"/>
      <c r="W151"/>
    </row>
    <row r="152" spans="1:23">
      <c r="A152" s="2" t="s">
        <v>176</v>
      </c>
      <c r="B152">
        <v>0</v>
      </c>
      <c r="C152">
        <v>0</v>
      </c>
      <c r="D152">
        <v>185</v>
      </c>
      <c r="E152">
        <v>0</v>
      </c>
      <c r="F152">
        <v>0</v>
      </c>
      <c r="G152">
        <v>20</v>
      </c>
      <c r="H152">
        <v>20</v>
      </c>
      <c r="I152" t="s">
        <v>1023</v>
      </c>
      <c r="U152"/>
      <c r="V152"/>
      <c r="W152"/>
    </row>
    <row r="153" spans="1:23">
      <c r="A153" s="2" t="s">
        <v>177</v>
      </c>
      <c r="B153">
        <v>0</v>
      </c>
      <c r="C153">
        <v>0</v>
      </c>
      <c r="D153">
        <v>185</v>
      </c>
      <c r="E153">
        <v>0</v>
      </c>
      <c r="F153">
        <v>0</v>
      </c>
      <c r="G153">
        <v>20</v>
      </c>
      <c r="H153">
        <v>20</v>
      </c>
      <c r="I153" t="s">
        <v>1023</v>
      </c>
      <c r="U153"/>
      <c r="V153"/>
      <c r="W153"/>
    </row>
    <row r="154" spans="1:23">
      <c r="A154" s="2" t="s">
        <v>178</v>
      </c>
      <c r="B154">
        <v>0</v>
      </c>
      <c r="C154">
        <v>0</v>
      </c>
      <c r="D154">
        <v>185</v>
      </c>
      <c r="E154">
        <v>0</v>
      </c>
      <c r="F154">
        <v>0</v>
      </c>
      <c r="G154">
        <v>20</v>
      </c>
      <c r="H154">
        <v>20</v>
      </c>
      <c r="I154" t="s">
        <v>1023</v>
      </c>
      <c r="U154"/>
      <c r="V154"/>
      <c r="W154"/>
    </row>
    <row r="155" spans="1:23">
      <c r="A155" s="2" t="s">
        <v>179</v>
      </c>
      <c r="B155">
        <v>0</v>
      </c>
      <c r="C155">
        <v>0</v>
      </c>
      <c r="D155">
        <v>185</v>
      </c>
      <c r="E155">
        <v>0</v>
      </c>
      <c r="F155">
        <v>0</v>
      </c>
      <c r="G155">
        <v>20</v>
      </c>
      <c r="H155">
        <v>20</v>
      </c>
      <c r="I155" t="s">
        <v>1023</v>
      </c>
      <c r="U155"/>
      <c r="V155"/>
      <c r="W155"/>
    </row>
    <row r="156" spans="1:23">
      <c r="A156" s="2" t="s">
        <v>180</v>
      </c>
      <c r="B156">
        <v>0</v>
      </c>
      <c r="C156">
        <v>0</v>
      </c>
      <c r="D156">
        <v>185</v>
      </c>
      <c r="E156">
        <v>0</v>
      </c>
      <c r="F156">
        <v>0</v>
      </c>
      <c r="G156">
        <v>20</v>
      </c>
      <c r="H156">
        <v>20</v>
      </c>
      <c r="I156" t="s">
        <v>1023</v>
      </c>
      <c r="U156"/>
      <c r="V156"/>
      <c r="W156"/>
    </row>
    <row r="157" spans="1:23">
      <c r="A157" s="2" t="s">
        <v>181</v>
      </c>
      <c r="B157">
        <v>0</v>
      </c>
      <c r="C157">
        <v>0</v>
      </c>
      <c r="D157">
        <v>185</v>
      </c>
      <c r="E157">
        <v>0</v>
      </c>
      <c r="F157">
        <v>0</v>
      </c>
      <c r="G157">
        <v>20</v>
      </c>
      <c r="H157">
        <v>20</v>
      </c>
      <c r="I157" t="s">
        <v>1023</v>
      </c>
      <c r="U157"/>
      <c r="V157"/>
      <c r="W157"/>
    </row>
    <row r="158" spans="1:23">
      <c r="A158" s="2" t="s">
        <v>182</v>
      </c>
      <c r="B158">
        <v>0</v>
      </c>
      <c r="C158">
        <v>0</v>
      </c>
      <c r="D158">
        <v>185</v>
      </c>
      <c r="E158">
        <v>0</v>
      </c>
      <c r="F158">
        <v>0</v>
      </c>
      <c r="G158">
        <v>20</v>
      </c>
      <c r="H158">
        <v>20</v>
      </c>
      <c r="I158" t="s">
        <v>1023</v>
      </c>
      <c r="U158"/>
      <c r="V158"/>
      <c r="W158"/>
    </row>
    <row r="159" spans="1:23">
      <c r="A159" s="2" t="s">
        <v>183</v>
      </c>
      <c r="B159">
        <v>0</v>
      </c>
      <c r="C159">
        <v>0</v>
      </c>
      <c r="D159">
        <v>185</v>
      </c>
      <c r="E159">
        <v>0</v>
      </c>
      <c r="F159">
        <v>0</v>
      </c>
      <c r="G159">
        <v>20</v>
      </c>
      <c r="H159">
        <v>20</v>
      </c>
      <c r="I159" t="s">
        <v>1023</v>
      </c>
      <c r="U159"/>
      <c r="V159"/>
      <c r="W159"/>
    </row>
    <row r="160" spans="1:23">
      <c r="A160" s="2" t="s">
        <v>184</v>
      </c>
      <c r="B160">
        <v>0</v>
      </c>
      <c r="C160">
        <v>0</v>
      </c>
      <c r="D160">
        <v>185</v>
      </c>
      <c r="E160">
        <v>0</v>
      </c>
      <c r="F160">
        <v>0</v>
      </c>
      <c r="G160">
        <v>20</v>
      </c>
      <c r="H160">
        <v>20</v>
      </c>
      <c r="I160" t="s">
        <v>1023</v>
      </c>
      <c r="U160"/>
      <c r="V160"/>
      <c r="W160"/>
    </row>
    <row r="161" spans="1:23">
      <c r="A161" s="2" t="s">
        <v>185</v>
      </c>
      <c r="B161">
        <v>0</v>
      </c>
      <c r="C161">
        <v>0</v>
      </c>
      <c r="D161">
        <v>185</v>
      </c>
      <c r="E161">
        <v>0</v>
      </c>
      <c r="F161">
        <v>0</v>
      </c>
      <c r="G161">
        <v>20</v>
      </c>
      <c r="H161">
        <v>20</v>
      </c>
      <c r="I161" t="s">
        <v>1023</v>
      </c>
      <c r="U161"/>
      <c r="V161"/>
      <c r="W161"/>
    </row>
    <row r="162" spans="1:23">
      <c r="A162" s="2" t="s">
        <v>186</v>
      </c>
      <c r="B162">
        <v>0</v>
      </c>
      <c r="C162">
        <v>0</v>
      </c>
      <c r="D162">
        <v>185</v>
      </c>
      <c r="E162">
        <v>0</v>
      </c>
      <c r="F162">
        <v>0</v>
      </c>
      <c r="G162">
        <v>20</v>
      </c>
      <c r="H162">
        <v>20</v>
      </c>
      <c r="I162" t="s">
        <v>1023</v>
      </c>
      <c r="U162"/>
      <c r="V162"/>
      <c r="W162"/>
    </row>
    <row r="163" spans="1:23">
      <c r="A163" s="2" t="s">
        <v>187</v>
      </c>
      <c r="B163">
        <v>0</v>
      </c>
      <c r="C163">
        <v>0</v>
      </c>
      <c r="D163">
        <v>185</v>
      </c>
      <c r="E163">
        <v>0</v>
      </c>
      <c r="F163">
        <v>0</v>
      </c>
      <c r="G163">
        <v>20</v>
      </c>
      <c r="H163">
        <v>20</v>
      </c>
      <c r="I163" t="s">
        <v>1023</v>
      </c>
      <c r="U163"/>
      <c r="V163"/>
      <c r="W163"/>
    </row>
    <row r="164" spans="1:23">
      <c r="A164" s="2" t="s">
        <v>188</v>
      </c>
      <c r="B164">
        <v>0</v>
      </c>
      <c r="C164">
        <v>0</v>
      </c>
      <c r="D164">
        <v>185</v>
      </c>
      <c r="E164">
        <v>0</v>
      </c>
      <c r="F164">
        <v>0</v>
      </c>
      <c r="G164">
        <v>20</v>
      </c>
      <c r="H164">
        <v>20</v>
      </c>
      <c r="I164" t="s">
        <v>1023</v>
      </c>
      <c r="U164"/>
      <c r="V164"/>
      <c r="W164"/>
    </row>
    <row r="165" spans="1:23">
      <c r="A165" s="2" t="s">
        <v>189</v>
      </c>
      <c r="B165">
        <v>0</v>
      </c>
      <c r="C165">
        <v>0</v>
      </c>
      <c r="D165">
        <v>185</v>
      </c>
      <c r="E165">
        <v>0</v>
      </c>
      <c r="F165">
        <v>0</v>
      </c>
      <c r="G165">
        <v>20</v>
      </c>
      <c r="H165">
        <v>20</v>
      </c>
      <c r="I165" t="s">
        <v>1023</v>
      </c>
      <c r="U165"/>
      <c r="V165"/>
      <c r="W165"/>
    </row>
    <row r="166" spans="1:23">
      <c r="A166" s="2" t="s">
        <v>190</v>
      </c>
      <c r="B166">
        <v>0</v>
      </c>
      <c r="C166">
        <v>0</v>
      </c>
      <c r="D166">
        <v>185</v>
      </c>
      <c r="E166">
        <v>0</v>
      </c>
      <c r="F166">
        <v>0</v>
      </c>
      <c r="G166">
        <v>20</v>
      </c>
      <c r="H166">
        <v>20</v>
      </c>
      <c r="I166" t="s">
        <v>1023</v>
      </c>
      <c r="U166"/>
      <c r="V166"/>
      <c r="W166"/>
    </row>
    <row r="167" spans="1:23">
      <c r="A167" s="2" t="s">
        <v>191</v>
      </c>
      <c r="B167">
        <v>0</v>
      </c>
      <c r="C167">
        <v>0</v>
      </c>
      <c r="D167">
        <v>185</v>
      </c>
      <c r="E167">
        <v>0</v>
      </c>
      <c r="F167">
        <v>0</v>
      </c>
      <c r="G167">
        <v>20</v>
      </c>
      <c r="H167">
        <v>20</v>
      </c>
      <c r="I167" t="s">
        <v>1023</v>
      </c>
      <c r="U167"/>
      <c r="V167"/>
      <c r="W167"/>
    </row>
    <row r="168" spans="1:23">
      <c r="A168" s="2" t="s">
        <v>192</v>
      </c>
      <c r="B168">
        <v>0</v>
      </c>
      <c r="C168">
        <v>0</v>
      </c>
      <c r="D168">
        <v>185</v>
      </c>
      <c r="E168">
        <v>0</v>
      </c>
      <c r="F168">
        <v>0</v>
      </c>
      <c r="G168">
        <v>20</v>
      </c>
      <c r="H168">
        <v>20</v>
      </c>
      <c r="I168" t="s">
        <v>1023</v>
      </c>
      <c r="U168"/>
      <c r="V168"/>
      <c r="W168"/>
    </row>
    <row r="169" spans="1:23">
      <c r="A169" s="2" t="s">
        <v>193</v>
      </c>
      <c r="B169">
        <v>0</v>
      </c>
      <c r="C169">
        <v>0</v>
      </c>
      <c r="D169">
        <v>185</v>
      </c>
      <c r="E169">
        <v>0</v>
      </c>
      <c r="F169">
        <v>0</v>
      </c>
      <c r="G169">
        <v>20</v>
      </c>
      <c r="H169">
        <v>20</v>
      </c>
      <c r="I169" t="s">
        <v>1023</v>
      </c>
      <c r="U169"/>
      <c r="V169"/>
      <c r="W169"/>
    </row>
    <row r="170" spans="1:23">
      <c r="A170" s="2" t="s">
        <v>194</v>
      </c>
      <c r="B170">
        <v>0</v>
      </c>
      <c r="C170">
        <v>0</v>
      </c>
      <c r="D170">
        <v>185</v>
      </c>
      <c r="E170">
        <v>0</v>
      </c>
      <c r="F170">
        <v>0</v>
      </c>
      <c r="G170">
        <v>20</v>
      </c>
      <c r="H170">
        <v>20</v>
      </c>
      <c r="I170" t="s">
        <v>1023</v>
      </c>
      <c r="U170"/>
      <c r="V170"/>
      <c r="W170"/>
    </row>
    <row r="171" spans="1:23">
      <c r="A171" s="2" t="s">
        <v>195</v>
      </c>
      <c r="B171">
        <v>0</v>
      </c>
      <c r="C171">
        <v>0</v>
      </c>
      <c r="D171">
        <v>185</v>
      </c>
      <c r="E171">
        <v>0</v>
      </c>
      <c r="F171">
        <v>0</v>
      </c>
      <c r="G171">
        <v>20</v>
      </c>
      <c r="H171">
        <v>20</v>
      </c>
      <c r="I171" t="s">
        <v>1023</v>
      </c>
      <c r="U171"/>
      <c r="V171"/>
      <c r="W171"/>
    </row>
    <row r="172" spans="1:23">
      <c r="A172" s="2" t="s">
        <v>196</v>
      </c>
      <c r="B172">
        <v>0</v>
      </c>
      <c r="C172">
        <v>0</v>
      </c>
      <c r="D172">
        <v>185</v>
      </c>
      <c r="E172">
        <v>0</v>
      </c>
      <c r="F172">
        <v>0</v>
      </c>
      <c r="G172">
        <v>20</v>
      </c>
      <c r="H172">
        <v>20</v>
      </c>
      <c r="I172" t="s">
        <v>1023</v>
      </c>
      <c r="U172"/>
      <c r="V172"/>
      <c r="W172"/>
    </row>
    <row r="173" spans="1:23">
      <c r="A173" s="2" t="s">
        <v>197</v>
      </c>
      <c r="B173">
        <v>0</v>
      </c>
      <c r="C173">
        <v>0</v>
      </c>
      <c r="D173">
        <v>185</v>
      </c>
      <c r="E173">
        <v>0</v>
      </c>
      <c r="F173">
        <v>0</v>
      </c>
      <c r="G173">
        <v>20</v>
      </c>
      <c r="H173">
        <v>20</v>
      </c>
      <c r="I173" t="s">
        <v>1023</v>
      </c>
      <c r="U173"/>
      <c r="V173"/>
      <c r="W173"/>
    </row>
    <row r="174" spans="1:23">
      <c r="A174" s="2" t="s">
        <v>198</v>
      </c>
      <c r="B174">
        <v>0</v>
      </c>
      <c r="C174">
        <v>0</v>
      </c>
      <c r="D174">
        <v>185</v>
      </c>
      <c r="E174">
        <v>0</v>
      </c>
      <c r="F174">
        <v>0</v>
      </c>
      <c r="G174">
        <v>20</v>
      </c>
      <c r="H174">
        <v>20</v>
      </c>
      <c r="I174" t="s">
        <v>1023</v>
      </c>
      <c r="U174"/>
      <c r="V174"/>
      <c r="W174"/>
    </row>
    <row r="175" spans="1:23">
      <c r="A175" s="2" t="s">
        <v>199</v>
      </c>
      <c r="B175">
        <v>0</v>
      </c>
      <c r="C175">
        <v>0</v>
      </c>
      <c r="D175">
        <v>185</v>
      </c>
      <c r="E175">
        <v>0</v>
      </c>
      <c r="F175">
        <v>0</v>
      </c>
      <c r="G175">
        <v>20</v>
      </c>
      <c r="H175">
        <v>20</v>
      </c>
      <c r="I175" t="s">
        <v>1023</v>
      </c>
      <c r="U175"/>
      <c r="V175"/>
      <c r="W175"/>
    </row>
    <row r="176" spans="1:23">
      <c r="A176" s="2" t="s">
        <v>200</v>
      </c>
      <c r="B176">
        <v>0</v>
      </c>
      <c r="C176">
        <v>0</v>
      </c>
      <c r="D176">
        <v>185</v>
      </c>
      <c r="E176">
        <v>0</v>
      </c>
      <c r="F176">
        <v>0</v>
      </c>
      <c r="G176">
        <v>20</v>
      </c>
      <c r="H176">
        <v>20</v>
      </c>
      <c r="I176" t="s">
        <v>1023</v>
      </c>
      <c r="U176"/>
      <c r="V176"/>
      <c r="W176"/>
    </row>
    <row r="177" spans="1:23">
      <c r="A177" s="2" t="s">
        <v>201</v>
      </c>
      <c r="B177">
        <v>0</v>
      </c>
      <c r="C177">
        <v>0</v>
      </c>
      <c r="D177">
        <v>185</v>
      </c>
      <c r="E177">
        <v>0</v>
      </c>
      <c r="F177">
        <v>0</v>
      </c>
      <c r="G177">
        <v>20</v>
      </c>
      <c r="H177">
        <v>20</v>
      </c>
      <c r="I177" t="s">
        <v>1023</v>
      </c>
      <c r="U177"/>
      <c r="V177"/>
      <c r="W177"/>
    </row>
    <row r="178" spans="1:23">
      <c r="A178" s="2" t="s">
        <v>202</v>
      </c>
      <c r="B178">
        <v>0</v>
      </c>
      <c r="C178">
        <v>0</v>
      </c>
      <c r="D178">
        <v>185</v>
      </c>
      <c r="E178">
        <v>0</v>
      </c>
      <c r="F178">
        <v>0</v>
      </c>
      <c r="G178">
        <v>20</v>
      </c>
      <c r="H178">
        <v>20</v>
      </c>
      <c r="I178" t="s">
        <v>1023</v>
      </c>
      <c r="U178"/>
      <c r="V178"/>
      <c r="W178"/>
    </row>
    <row r="179" spans="1:23">
      <c r="A179" s="2" t="s">
        <v>203</v>
      </c>
      <c r="B179">
        <v>0</v>
      </c>
      <c r="C179">
        <v>0</v>
      </c>
      <c r="D179">
        <v>185</v>
      </c>
      <c r="E179">
        <v>0</v>
      </c>
      <c r="F179">
        <v>0</v>
      </c>
      <c r="G179">
        <v>20</v>
      </c>
      <c r="H179">
        <v>20</v>
      </c>
      <c r="I179" t="s">
        <v>1023</v>
      </c>
      <c r="U179"/>
      <c r="V179"/>
      <c r="W179"/>
    </row>
    <row r="180" spans="1:23">
      <c r="A180" s="2" t="s">
        <v>204</v>
      </c>
      <c r="B180">
        <v>0</v>
      </c>
      <c r="C180">
        <v>0</v>
      </c>
      <c r="D180">
        <v>185</v>
      </c>
      <c r="E180">
        <v>0</v>
      </c>
      <c r="F180">
        <v>0</v>
      </c>
      <c r="G180">
        <v>20</v>
      </c>
      <c r="H180">
        <v>20</v>
      </c>
      <c r="I180" t="s">
        <v>1023</v>
      </c>
      <c r="U180"/>
      <c r="V180"/>
      <c r="W180"/>
    </row>
    <row r="181" spans="1:23">
      <c r="A181" s="2" t="s">
        <v>205</v>
      </c>
      <c r="B181">
        <v>0</v>
      </c>
      <c r="C181">
        <v>0</v>
      </c>
      <c r="D181">
        <v>185</v>
      </c>
      <c r="E181">
        <v>0</v>
      </c>
      <c r="F181">
        <v>0</v>
      </c>
      <c r="G181">
        <v>20</v>
      </c>
      <c r="H181">
        <v>20</v>
      </c>
      <c r="I181" t="s">
        <v>1023</v>
      </c>
      <c r="U181"/>
      <c r="V181"/>
      <c r="W181"/>
    </row>
    <row r="182" spans="1:23">
      <c r="A182" s="2" t="s">
        <v>206</v>
      </c>
      <c r="B182">
        <v>0</v>
      </c>
      <c r="C182">
        <v>0</v>
      </c>
      <c r="D182">
        <v>185</v>
      </c>
      <c r="E182">
        <v>0</v>
      </c>
      <c r="F182">
        <v>0</v>
      </c>
      <c r="G182">
        <v>20</v>
      </c>
      <c r="H182">
        <v>20</v>
      </c>
      <c r="I182" t="s">
        <v>1023</v>
      </c>
      <c r="U182"/>
      <c r="V182"/>
      <c r="W182"/>
    </row>
    <row r="183" spans="1:23">
      <c r="A183" s="2" t="s">
        <v>207</v>
      </c>
      <c r="B183">
        <v>0</v>
      </c>
      <c r="C183">
        <v>0</v>
      </c>
      <c r="D183">
        <v>185</v>
      </c>
      <c r="E183">
        <v>0</v>
      </c>
      <c r="F183">
        <v>0</v>
      </c>
      <c r="G183">
        <v>20</v>
      </c>
      <c r="H183">
        <v>20</v>
      </c>
      <c r="I183" t="s">
        <v>1023</v>
      </c>
      <c r="U183"/>
      <c r="V183"/>
      <c r="W183"/>
    </row>
    <row r="184" spans="1:23">
      <c r="A184" s="2" t="s">
        <v>208</v>
      </c>
      <c r="B184">
        <v>0</v>
      </c>
      <c r="C184">
        <v>0</v>
      </c>
      <c r="D184">
        <v>185</v>
      </c>
      <c r="E184">
        <v>0</v>
      </c>
      <c r="F184">
        <v>0</v>
      </c>
      <c r="G184">
        <v>20</v>
      </c>
      <c r="H184">
        <v>20</v>
      </c>
      <c r="I184" t="s">
        <v>1023</v>
      </c>
      <c r="U184"/>
      <c r="V184"/>
      <c r="W184"/>
    </row>
    <row r="185" spans="1:23">
      <c r="A185" s="2" t="s">
        <v>209</v>
      </c>
      <c r="B185">
        <v>0</v>
      </c>
      <c r="C185">
        <v>0</v>
      </c>
      <c r="D185">
        <v>185</v>
      </c>
      <c r="E185">
        <v>0</v>
      </c>
      <c r="F185">
        <v>0</v>
      </c>
      <c r="G185">
        <v>20</v>
      </c>
      <c r="H185">
        <v>20</v>
      </c>
      <c r="I185" t="s">
        <v>1023</v>
      </c>
      <c r="U185"/>
      <c r="V185"/>
      <c r="W185"/>
    </row>
    <row r="186" spans="1:23">
      <c r="A186" s="2" t="s">
        <v>210</v>
      </c>
      <c r="B186">
        <v>0</v>
      </c>
      <c r="C186">
        <v>0</v>
      </c>
      <c r="D186">
        <v>185</v>
      </c>
      <c r="E186">
        <v>0</v>
      </c>
      <c r="F186">
        <v>0</v>
      </c>
      <c r="G186">
        <v>20</v>
      </c>
      <c r="H186">
        <v>20</v>
      </c>
      <c r="I186" t="s">
        <v>1023</v>
      </c>
      <c r="U186"/>
      <c r="V186"/>
      <c r="W186"/>
    </row>
    <row r="187" spans="1:23">
      <c r="A187" s="2" t="s">
        <v>211</v>
      </c>
      <c r="B187">
        <v>0</v>
      </c>
      <c r="C187">
        <v>0</v>
      </c>
      <c r="D187">
        <v>185</v>
      </c>
      <c r="E187">
        <v>0</v>
      </c>
      <c r="F187">
        <v>0</v>
      </c>
      <c r="G187">
        <v>20</v>
      </c>
      <c r="H187">
        <v>20</v>
      </c>
      <c r="I187" t="s">
        <v>1023</v>
      </c>
      <c r="U187"/>
      <c r="V187"/>
      <c r="W187"/>
    </row>
    <row r="188" spans="1:23">
      <c r="A188" s="2" t="s">
        <v>212</v>
      </c>
      <c r="B188">
        <v>0</v>
      </c>
      <c r="C188">
        <v>0</v>
      </c>
      <c r="D188">
        <v>185</v>
      </c>
      <c r="E188">
        <v>0</v>
      </c>
      <c r="F188">
        <v>0</v>
      </c>
      <c r="G188">
        <v>20</v>
      </c>
      <c r="H188">
        <v>20</v>
      </c>
      <c r="I188" t="s">
        <v>1023</v>
      </c>
      <c r="U188"/>
      <c r="V188"/>
      <c r="W188"/>
    </row>
    <row r="189" spans="1:23">
      <c r="A189" s="2" t="s">
        <v>213</v>
      </c>
      <c r="B189">
        <v>0</v>
      </c>
      <c r="C189">
        <v>0</v>
      </c>
      <c r="D189">
        <v>185</v>
      </c>
      <c r="E189">
        <v>0</v>
      </c>
      <c r="F189">
        <v>0</v>
      </c>
      <c r="G189">
        <v>20</v>
      </c>
      <c r="H189">
        <v>20</v>
      </c>
      <c r="I189" t="s">
        <v>1023</v>
      </c>
      <c r="U189"/>
      <c r="V189"/>
      <c r="W189"/>
    </row>
    <row r="190" spans="1:23">
      <c r="A190" s="2" t="s">
        <v>214</v>
      </c>
      <c r="B190">
        <v>0</v>
      </c>
      <c r="C190">
        <v>0</v>
      </c>
      <c r="D190">
        <v>185</v>
      </c>
      <c r="E190">
        <v>0</v>
      </c>
      <c r="F190">
        <v>0</v>
      </c>
      <c r="G190">
        <v>20</v>
      </c>
      <c r="H190">
        <v>20</v>
      </c>
      <c r="I190" t="s">
        <v>1023</v>
      </c>
      <c r="U190"/>
      <c r="V190"/>
      <c r="W190"/>
    </row>
    <row r="191" spans="1:23">
      <c r="A191" s="2" t="s">
        <v>215</v>
      </c>
      <c r="B191">
        <v>0</v>
      </c>
      <c r="C191">
        <v>0</v>
      </c>
      <c r="D191">
        <v>185</v>
      </c>
      <c r="E191">
        <v>0</v>
      </c>
      <c r="F191">
        <v>0</v>
      </c>
      <c r="G191">
        <v>20</v>
      </c>
      <c r="H191">
        <v>20</v>
      </c>
      <c r="I191" t="s">
        <v>1023</v>
      </c>
      <c r="U191"/>
      <c r="V191"/>
      <c r="W191"/>
    </row>
    <row r="192" spans="1:23">
      <c r="A192" s="2" t="s">
        <v>216</v>
      </c>
      <c r="B192">
        <v>0</v>
      </c>
      <c r="C192">
        <v>0</v>
      </c>
      <c r="D192">
        <v>185</v>
      </c>
      <c r="E192">
        <v>0</v>
      </c>
      <c r="F192">
        <v>0</v>
      </c>
      <c r="G192">
        <v>20</v>
      </c>
      <c r="H192">
        <v>20</v>
      </c>
      <c r="I192" t="s">
        <v>1023</v>
      </c>
      <c r="U192"/>
      <c r="V192"/>
      <c r="W192"/>
    </row>
    <row r="193" spans="1:23">
      <c r="A193" s="2" t="s">
        <v>217</v>
      </c>
      <c r="B193">
        <v>0</v>
      </c>
      <c r="C193">
        <v>0</v>
      </c>
      <c r="D193">
        <v>185</v>
      </c>
      <c r="E193">
        <v>0</v>
      </c>
      <c r="F193">
        <v>0</v>
      </c>
      <c r="G193">
        <v>20</v>
      </c>
      <c r="H193">
        <v>20</v>
      </c>
      <c r="I193" t="s">
        <v>1023</v>
      </c>
      <c r="U193"/>
      <c r="V193"/>
      <c r="W193"/>
    </row>
    <row r="194" spans="1:23">
      <c r="A194" s="2" t="s">
        <v>218</v>
      </c>
      <c r="B194">
        <v>0</v>
      </c>
      <c r="C194">
        <v>0</v>
      </c>
      <c r="D194">
        <v>185</v>
      </c>
      <c r="E194">
        <v>0</v>
      </c>
      <c r="F194">
        <v>0</v>
      </c>
      <c r="G194">
        <v>20</v>
      </c>
      <c r="H194">
        <v>20</v>
      </c>
      <c r="I194" t="s">
        <v>1023</v>
      </c>
      <c r="U194"/>
      <c r="V194"/>
      <c r="W194"/>
    </row>
    <row r="195" spans="1:23">
      <c r="A195" s="2" t="s">
        <v>219</v>
      </c>
      <c r="B195">
        <v>0</v>
      </c>
      <c r="C195">
        <v>0</v>
      </c>
      <c r="D195">
        <v>185</v>
      </c>
      <c r="E195">
        <v>0</v>
      </c>
      <c r="F195">
        <v>0</v>
      </c>
      <c r="G195">
        <v>20</v>
      </c>
      <c r="H195">
        <v>20</v>
      </c>
      <c r="I195" t="s">
        <v>1023</v>
      </c>
      <c r="U195"/>
      <c r="V195"/>
      <c r="W195"/>
    </row>
    <row r="196" spans="1:23">
      <c r="A196" s="2" t="s">
        <v>220</v>
      </c>
      <c r="B196">
        <v>0</v>
      </c>
      <c r="C196">
        <v>0</v>
      </c>
      <c r="D196">
        <v>185</v>
      </c>
      <c r="E196">
        <v>0</v>
      </c>
      <c r="F196">
        <v>0</v>
      </c>
      <c r="G196">
        <v>20</v>
      </c>
      <c r="H196">
        <v>20</v>
      </c>
      <c r="I196" t="s">
        <v>1023</v>
      </c>
      <c r="U196"/>
      <c r="V196"/>
      <c r="W196"/>
    </row>
    <row r="197" spans="1:23">
      <c r="A197" s="2" t="s">
        <v>221</v>
      </c>
      <c r="B197">
        <v>0</v>
      </c>
      <c r="C197">
        <v>0</v>
      </c>
      <c r="D197">
        <v>185</v>
      </c>
      <c r="E197">
        <v>0</v>
      </c>
      <c r="F197">
        <v>0</v>
      </c>
      <c r="G197">
        <v>20</v>
      </c>
      <c r="H197">
        <v>20</v>
      </c>
      <c r="I197" t="s">
        <v>1023</v>
      </c>
      <c r="U197"/>
      <c r="V197"/>
      <c r="W197"/>
    </row>
    <row r="198" spans="1:23">
      <c r="A198" s="2" t="s">
        <v>222</v>
      </c>
      <c r="B198">
        <v>0</v>
      </c>
      <c r="C198">
        <v>0</v>
      </c>
      <c r="D198">
        <v>185</v>
      </c>
      <c r="E198">
        <v>0</v>
      </c>
      <c r="F198">
        <v>0</v>
      </c>
      <c r="G198">
        <v>20</v>
      </c>
      <c r="H198">
        <v>20</v>
      </c>
      <c r="I198" t="s">
        <v>1023</v>
      </c>
      <c r="U198"/>
      <c r="V198"/>
      <c r="W198"/>
    </row>
    <row r="199" spans="1:23">
      <c r="A199" s="2" t="s">
        <v>223</v>
      </c>
      <c r="B199">
        <v>0</v>
      </c>
      <c r="C199">
        <v>0</v>
      </c>
      <c r="D199">
        <v>185</v>
      </c>
      <c r="E199">
        <v>0</v>
      </c>
      <c r="F199">
        <v>0</v>
      </c>
      <c r="G199">
        <v>20</v>
      </c>
      <c r="H199">
        <v>20</v>
      </c>
      <c r="I199" t="s">
        <v>1023</v>
      </c>
      <c r="U199"/>
      <c r="V199"/>
      <c r="W199"/>
    </row>
    <row r="200" spans="1:23">
      <c r="A200" s="2" t="s">
        <v>224</v>
      </c>
      <c r="B200">
        <v>0</v>
      </c>
      <c r="C200">
        <v>0</v>
      </c>
      <c r="D200">
        <v>185</v>
      </c>
      <c r="E200">
        <v>0</v>
      </c>
      <c r="F200">
        <v>0</v>
      </c>
      <c r="G200">
        <v>20</v>
      </c>
      <c r="H200">
        <v>20</v>
      </c>
      <c r="I200" t="s">
        <v>1023</v>
      </c>
      <c r="U200"/>
      <c r="V200"/>
      <c r="W200"/>
    </row>
    <row r="201" spans="1:23">
      <c r="A201" s="2" t="s">
        <v>225</v>
      </c>
      <c r="B201">
        <v>0</v>
      </c>
      <c r="C201">
        <v>0</v>
      </c>
      <c r="D201">
        <v>185</v>
      </c>
      <c r="E201">
        <v>0</v>
      </c>
      <c r="F201">
        <v>0</v>
      </c>
      <c r="G201">
        <v>20</v>
      </c>
      <c r="H201">
        <v>20</v>
      </c>
      <c r="I201" t="s">
        <v>1023</v>
      </c>
      <c r="U201"/>
      <c r="V201"/>
      <c r="W201"/>
    </row>
    <row r="202" spans="1:23">
      <c r="A202" s="2" t="s">
        <v>226</v>
      </c>
      <c r="B202">
        <v>0</v>
      </c>
      <c r="C202">
        <v>0</v>
      </c>
      <c r="D202">
        <v>185</v>
      </c>
      <c r="E202">
        <v>0</v>
      </c>
      <c r="F202">
        <v>0</v>
      </c>
      <c r="G202">
        <v>20</v>
      </c>
      <c r="H202">
        <v>20</v>
      </c>
      <c r="I202" t="s">
        <v>1023</v>
      </c>
      <c r="U202"/>
      <c r="V202"/>
      <c r="W202"/>
    </row>
    <row r="203" spans="1:23">
      <c r="A203" s="2" t="s">
        <v>227</v>
      </c>
      <c r="B203">
        <v>0</v>
      </c>
      <c r="C203">
        <v>0</v>
      </c>
      <c r="D203">
        <v>185</v>
      </c>
      <c r="E203">
        <v>0</v>
      </c>
      <c r="F203">
        <v>0</v>
      </c>
      <c r="G203">
        <v>20</v>
      </c>
      <c r="H203">
        <v>20</v>
      </c>
      <c r="I203" t="s">
        <v>1023</v>
      </c>
      <c r="U203"/>
      <c r="V203"/>
      <c r="W203"/>
    </row>
    <row r="204" spans="1:23">
      <c r="A204" s="2" t="s">
        <v>228</v>
      </c>
      <c r="B204">
        <v>0</v>
      </c>
      <c r="C204">
        <v>0</v>
      </c>
      <c r="D204">
        <v>185</v>
      </c>
      <c r="E204">
        <v>0</v>
      </c>
      <c r="F204">
        <v>0</v>
      </c>
      <c r="G204">
        <v>20</v>
      </c>
      <c r="H204">
        <v>20</v>
      </c>
      <c r="I204" t="s">
        <v>1023</v>
      </c>
      <c r="U204"/>
      <c r="V204"/>
      <c r="W204"/>
    </row>
    <row r="205" spans="1:23">
      <c r="A205" s="2" t="s">
        <v>229</v>
      </c>
      <c r="B205">
        <v>0</v>
      </c>
      <c r="C205">
        <v>0</v>
      </c>
      <c r="D205">
        <v>185</v>
      </c>
      <c r="E205">
        <v>0</v>
      </c>
      <c r="F205">
        <v>0</v>
      </c>
      <c r="G205">
        <v>20</v>
      </c>
      <c r="H205">
        <v>20</v>
      </c>
      <c r="I205" t="s">
        <v>1023</v>
      </c>
      <c r="U205"/>
      <c r="V205"/>
      <c r="W205"/>
    </row>
    <row r="206" spans="1:23">
      <c r="A206" s="2" t="s">
        <v>230</v>
      </c>
      <c r="B206">
        <v>0</v>
      </c>
      <c r="C206">
        <v>0</v>
      </c>
      <c r="D206">
        <v>185</v>
      </c>
      <c r="E206">
        <v>0</v>
      </c>
      <c r="F206">
        <v>0</v>
      </c>
      <c r="G206">
        <v>20</v>
      </c>
      <c r="H206">
        <v>20</v>
      </c>
      <c r="I206" t="s">
        <v>1023</v>
      </c>
      <c r="U206"/>
      <c r="V206"/>
      <c r="W206"/>
    </row>
    <row r="207" spans="1:23">
      <c r="A207" s="2" t="s">
        <v>231</v>
      </c>
      <c r="B207">
        <v>0</v>
      </c>
      <c r="C207">
        <v>0</v>
      </c>
      <c r="D207">
        <v>185</v>
      </c>
      <c r="E207">
        <v>0</v>
      </c>
      <c r="F207">
        <v>0</v>
      </c>
      <c r="G207">
        <v>20</v>
      </c>
      <c r="H207">
        <v>20</v>
      </c>
      <c r="I207" t="s">
        <v>1023</v>
      </c>
      <c r="U207"/>
      <c r="V207"/>
      <c r="W207"/>
    </row>
    <row r="208" spans="1:23">
      <c r="A208" s="2" t="s">
        <v>232</v>
      </c>
      <c r="B208">
        <v>0</v>
      </c>
      <c r="C208">
        <v>0</v>
      </c>
      <c r="D208">
        <v>185</v>
      </c>
      <c r="E208">
        <v>0</v>
      </c>
      <c r="F208">
        <v>0</v>
      </c>
      <c r="G208">
        <v>20</v>
      </c>
      <c r="H208">
        <v>20</v>
      </c>
      <c r="I208" t="s">
        <v>1023</v>
      </c>
      <c r="U208"/>
      <c r="V208"/>
      <c r="W208"/>
    </row>
    <row r="209" spans="1:23">
      <c r="A209" s="2" t="s">
        <v>233</v>
      </c>
      <c r="B209">
        <v>0</v>
      </c>
      <c r="C209">
        <v>0</v>
      </c>
      <c r="D209">
        <v>185</v>
      </c>
      <c r="E209">
        <v>0</v>
      </c>
      <c r="F209">
        <v>0</v>
      </c>
      <c r="G209">
        <v>20</v>
      </c>
      <c r="H209">
        <v>20</v>
      </c>
      <c r="I209" t="s">
        <v>1023</v>
      </c>
      <c r="U209"/>
      <c r="V209"/>
      <c r="W209"/>
    </row>
    <row r="210" spans="1:23">
      <c r="A210" s="2" t="s">
        <v>234</v>
      </c>
      <c r="B210">
        <v>0</v>
      </c>
      <c r="C210">
        <v>0</v>
      </c>
      <c r="D210">
        <v>185</v>
      </c>
      <c r="E210">
        <v>0</v>
      </c>
      <c r="F210">
        <v>0</v>
      </c>
      <c r="G210">
        <v>20</v>
      </c>
      <c r="H210">
        <v>20</v>
      </c>
      <c r="I210" t="s">
        <v>1023</v>
      </c>
      <c r="U210"/>
      <c r="V210"/>
      <c r="W210"/>
    </row>
    <row r="211" spans="1:23">
      <c r="A211" s="2" t="s">
        <v>235</v>
      </c>
      <c r="B211">
        <v>0</v>
      </c>
      <c r="C211">
        <v>0</v>
      </c>
      <c r="D211">
        <v>185</v>
      </c>
      <c r="E211">
        <v>0</v>
      </c>
      <c r="F211">
        <v>0</v>
      </c>
      <c r="G211">
        <v>20</v>
      </c>
      <c r="H211">
        <v>20</v>
      </c>
      <c r="I211" t="s">
        <v>1023</v>
      </c>
      <c r="U211"/>
      <c r="V211"/>
      <c r="W211"/>
    </row>
    <row r="212" spans="1:23">
      <c r="A212" s="2" t="s">
        <v>236</v>
      </c>
      <c r="B212">
        <v>0</v>
      </c>
      <c r="C212">
        <v>0</v>
      </c>
      <c r="D212">
        <v>185</v>
      </c>
      <c r="E212">
        <v>0</v>
      </c>
      <c r="F212">
        <v>0</v>
      </c>
      <c r="G212">
        <v>20</v>
      </c>
      <c r="H212">
        <v>20</v>
      </c>
      <c r="I212" t="s">
        <v>1023</v>
      </c>
      <c r="U212"/>
      <c r="V212"/>
      <c r="W212"/>
    </row>
    <row r="213" spans="1:23">
      <c r="A213" s="2" t="s">
        <v>237</v>
      </c>
      <c r="B213">
        <v>0</v>
      </c>
      <c r="C213">
        <v>0</v>
      </c>
      <c r="D213">
        <v>185</v>
      </c>
      <c r="E213">
        <v>0</v>
      </c>
      <c r="F213">
        <v>0</v>
      </c>
      <c r="G213">
        <v>20</v>
      </c>
      <c r="H213">
        <v>20</v>
      </c>
      <c r="I213" t="s">
        <v>1023</v>
      </c>
      <c r="U213"/>
      <c r="V213"/>
      <c r="W213"/>
    </row>
    <row r="214" spans="1:23">
      <c r="A214" s="2" t="s">
        <v>238</v>
      </c>
      <c r="B214">
        <v>0</v>
      </c>
      <c r="C214">
        <v>0</v>
      </c>
      <c r="D214">
        <v>185</v>
      </c>
      <c r="E214">
        <v>0</v>
      </c>
      <c r="F214">
        <v>0</v>
      </c>
      <c r="G214">
        <v>20</v>
      </c>
      <c r="H214">
        <v>20</v>
      </c>
      <c r="I214" t="s">
        <v>1023</v>
      </c>
      <c r="U214"/>
      <c r="V214"/>
      <c r="W214"/>
    </row>
    <row r="215" spans="1:23">
      <c r="A215" s="2" t="s">
        <v>936</v>
      </c>
      <c r="B215">
        <v>0</v>
      </c>
      <c r="C215">
        <v>0</v>
      </c>
      <c r="D215">
        <v>185</v>
      </c>
      <c r="E215">
        <v>0</v>
      </c>
      <c r="F215">
        <v>0</v>
      </c>
      <c r="G215">
        <v>20</v>
      </c>
      <c r="H215">
        <v>20</v>
      </c>
      <c r="I215" t="s">
        <v>1023</v>
      </c>
      <c r="U215"/>
      <c r="V215"/>
      <c r="W215"/>
    </row>
    <row r="216" spans="1:23">
      <c r="A216" s="2" t="s">
        <v>239</v>
      </c>
      <c r="B216">
        <v>0</v>
      </c>
      <c r="C216">
        <v>0</v>
      </c>
      <c r="D216">
        <v>185</v>
      </c>
      <c r="E216">
        <v>0</v>
      </c>
      <c r="F216">
        <v>0</v>
      </c>
      <c r="G216">
        <v>20</v>
      </c>
      <c r="H216">
        <v>20</v>
      </c>
      <c r="I216" t="s">
        <v>1023</v>
      </c>
      <c r="U216"/>
      <c r="V216"/>
      <c r="W216"/>
    </row>
    <row r="217" spans="1:23">
      <c r="A217" s="2" t="s">
        <v>240</v>
      </c>
      <c r="B217">
        <v>0</v>
      </c>
      <c r="C217">
        <v>0</v>
      </c>
      <c r="D217">
        <v>185</v>
      </c>
      <c r="E217">
        <v>0</v>
      </c>
      <c r="F217">
        <v>0</v>
      </c>
      <c r="G217">
        <v>20</v>
      </c>
      <c r="H217">
        <v>20</v>
      </c>
      <c r="I217" t="s">
        <v>1023</v>
      </c>
      <c r="U217"/>
      <c r="V217"/>
      <c r="W217"/>
    </row>
    <row r="218" spans="1:23">
      <c r="A218" s="2" t="s">
        <v>241</v>
      </c>
      <c r="B218">
        <v>0</v>
      </c>
      <c r="C218">
        <v>0</v>
      </c>
      <c r="D218">
        <v>185</v>
      </c>
      <c r="E218">
        <v>0</v>
      </c>
      <c r="F218">
        <v>0</v>
      </c>
      <c r="G218">
        <v>20</v>
      </c>
      <c r="H218">
        <v>20</v>
      </c>
      <c r="I218" t="s">
        <v>1023</v>
      </c>
      <c r="U218"/>
      <c r="V218"/>
      <c r="W218"/>
    </row>
    <row r="219" spans="1:23">
      <c r="A219" s="2" t="s">
        <v>242</v>
      </c>
      <c r="B219">
        <v>0</v>
      </c>
      <c r="C219">
        <v>0</v>
      </c>
      <c r="D219">
        <v>185</v>
      </c>
      <c r="E219">
        <v>0</v>
      </c>
      <c r="F219">
        <v>0</v>
      </c>
      <c r="G219">
        <v>20</v>
      </c>
      <c r="H219">
        <v>20</v>
      </c>
      <c r="I219" t="s">
        <v>1023</v>
      </c>
      <c r="U219"/>
      <c r="V219"/>
      <c r="W219"/>
    </row>
    <row r="220" spans="1:23">
      <c r="A220" s="2" t="s">
        <v>243</v>
      </c>
      <c r="B220">
        <v>0</v>
      </c>
      <c r="C220">
        <v>0</v>
      </c>
      <c r="D220">
        <v>185</v>
      </c>
      <c r="E220">
        <v>0</v>
      </c>
      <c r="F220">
        <v>0</v>
      </c>
      <c r="G220">
        <v>20</v>
      </c>
      <c r="H220">
        <v>20</v>
      </c>
      <c r="I220" t="s">
        <v>1023</v>
      </c>
      <c r="U220"/>
      <c r="V220"/>
      <c r="W220"/>
    </row>
    <row r="221" spans="1:23">
      <c r="A221" s="2" t="s">
        <v>244</v>
      </c>
      <c r="B221">
        <v>0</v>
      </c>
      <c r="C221">
        <v>0</v>
      </c>
      <c r="D221">
        <v>185</v>
      </c>
      <c r="E221">
        <v>0</v>
      </c>
      <c r="F221">
        <v>0</v>
      </c>
      <c r="G221">
        <v>20</v>
      </c>
      <c r="H221">
        <v>20</v>
      </c>
      <c r="I221" t="s">
        <v>1023</v>
      </c>
      <c r="U221"/>
      <c r="V221"/>
      <c r="W221"/>
    </row>
    <row r="222" spans="1:23">
      <c r="A222" s="2" t="s">
        <v>245</v>
      </c>
      <c r="B222">
        <v>0</v>
      </c>
      <c r="C222">
        <v>0</v>
      </c>
      <c r="D222">
        <v>185</v>
      </c>
      <c r="E222">
        <v>0</v>
      </c>
      <c r="F222">
        <v>0</v>
      </c>
      <c r="G222">
        <v>20</v>
      </c>
      <c r="H222">
        <v>20</v>
      </c>
      <c r="I222" t="s">
        <v>1023</v>
      </c>
      <c r="U222"/>
      <c r="V222"/>
      <c r="W222"/>
    </row>
    <row r="223" spans="1:23">
      <c r="A223" s="2" t="s">
        <v>246</v>
      </c>
      <c r="B223">
        <v>0</v>
      </c>
      <c r="C223">
        <v>0</v>
      </c>
      <c r="D223">
        <v>185</v>
      </c>
      <c r="E223">
        <v>0</v>
      </c>
      <c r="F223">
        <v>0</v>
      </c>
      <c r="G223">
        <v>20</v>
      </c>
      <c r="H223">
        <v>20</v>
      </c>
      <c r="I223" t="s">
        <v>1023</v>
      </c>
      <c r="U223"/>
      <c r="V223"/>
      <c r="W223"/>
    </row>
    <row r="224" spans="1:23">
      <c r="A224" s="2" t="s">
        <v>247</v>
      </c>
      <c r="B224">
        <v>0</v>
      </c>
      <c r="C224">
        <v>0</v>
      </c>
      <c r="D224">
        <v>185</v>
      </c>
      <c r="E224">
        <v>0</v>
      </c>
      <c r="F224">
        <v>0</v>
      </c>
      <c r="G224">
        <v>20</v>
      </c>
      <c r="H224">
        <v>20</v>
      </c>
      <c r="I224" t="s">
        <v>1023</v>
      </c>
      <c r="U224"/>
      <c r="V224"/>
      <c r="W224"/>
    </row>
    <row r="225" spans="1:23">
      <c r="A225" s="2" t="s">
        <v>248</v>
      </c>
      <c r="B225">
        <v>0</v>
      </c>
      <c r="C225">
        <v>0</v>
      </c>
      <c r="D225">
        <v>185</v>
      </c>
      <c r="E225">
        <v>0</v>
      </c>
      <c r="F225">
        <v>0</v>
      </c>
      <c r="G225">
        <v>20</v>
      </c>
      <c r="H225">
        <v>20</v>
      </c>
      <c r="I225" t="s">
        <v>1023</v>
      </c>
      <c r="U225"/>
      <c r="V225"/>
      <c r="W225"/>
    </row>
    <row r="226" spans="1:23">
      <c r="A226" s="2" t="s">
        <v>249</v>
      </c>
      <c r="B226">
        <v>0</v>
      </c>
      <c r="C226">
        <v>0</v>
      </c>
      <c r="D226">
        <v>185</v>
      </c>
      <c r="E226">
        <v>0</v>
      </c>
      <c r="F226">
        <v>0</v>
      </c>
      <c r="G226">
        <v>20</v>
      </c>
      <c r="H226">
        <v>20</v>
      </c>
      <c r="I226" t="s">
        <v>1023</v>
      </c>
      <c r="U226"/>
      <c r="V226"/>
      <c r="W226"/>
    </row>
    <row r="227" spans="1:23">
      <c r="A227" s="2" t="s">
        <v>250</v>
      </c>
      <c r="B227">
        <v>0</v>
      </c>
      <c r="C227">
        <v>0</v>
      </c>
      <c r="D227">
        <v>185</v>
      </c>
      <c r="E227">
        <v>0</v>
      </c>
      <c r="F227">
        <v>0</v>
      </c>
      <c r="G227">
        <v>20</v>
      </c>
      <c r="H227">
        <v>20</v>
      </c>
      <c r="I227" t="s">
        <v>1023</v>
      </c>
      <c r="U227"/>
      <c r="V227"/>
      <c r="W227"/>
    </row>
    <row r="228" spans="1:23">
      <c r="A228" s="2" t="s">
        <v>251</v>
      </c>
      <c r="B228">
        <v>0</v>
      </c>
      <c r="C228">
        <v>0</v>
      </c>
      <c r="D228">
        <v>185</v>
      </c>
      <c r="E228">
        <v>0</v>
      </c>
      <c r="F228">
        <v>0</v>
      </c>
      <c r="G228">
        <v>20</v>
      </c>
      <c r="H228">
        <v>20</v>
      </c>
      <c r="I228" t="s">
        <v>1023</v>
      </c>
      <c r="U228"/>
      <c r="V228"/>
      <c r="W228"/>
    </row>
    <row r="229" spans="1:23">
      <c r="A229" s="2" t="s">
        <v>252</v>
      </c>
      <c r="B229">
        <v>0</v>
      </c>
      <c r="C229">
        <v>0</v>
      </c>
      <c r="D229">
        <v>185</v>
      </c>
      <c r="E229">
        <v>0</v>
      </c>
      <c r="F229">
        <v>0</v>
      </c>
      <c r="G229">
        <v>20</v>
      </c>
      <c r="H229">
        <v>20</v>
      </c>
      <c r="I229" t="s">
        <v>1023</v>
      </c>
      <c r="U229"/>
      <c r="V229"/>
      <c r="W229"/>
    </row>
    <row r="230" spans="1:23">
      <c r="A230" s="2" t="s">
        <v>253</v>
      </c>
      <c r="B230">
        <v>0</v>
      </c>
      <c r="C230">
        <v>0</v>
      </c>
      <c r="D230">
        <v>185</v>
      </c>
      <c r="E230">
        <v>0</v>
      </c>
      <c r="F230">
        <v>0</v>
      </c>
      <c r="G230">
        <v>20</v>
      </c>
      <c r="H230">
        <v>20</v>
      </c>
      <c r="I230" t="s">
        <v>1023</v>
      </c>
      <c r="U230"/>
      <c r="V230"/>
      <c r="W230"/>
    </row>
    <row r="231" spans="1:23">
      <c r="A231" s="2" t="s">
        <v>254</v>
      </c>
      <c r="B231">
        <v>0</v>
      </c>
      <c r="C231">
        <v>0</v>
      </c>
      <c r="D231">
        <v>185</v>
      </c>
      <c r="E231">
        <v>0</v>
      </c>
      <c r="F231">
        <v>0</v>
      </c>
      <c r="G231">
        <v>20</v>
      </c>
      <c r="H231">
        <v>20</v>
      </c>
      <c r="I231" t="s">
        <v>1023</v>
      </c>
      <c r="U231"/>
      <c r="V231"/>
      <c r="W231"/>
    </row>
    <row r="232" spans="1:23">
      <c r="A232" s="2" t="s">
        <v>255</v>
      </c>
      <c r="B232">
        <v>0</v>
      </c>
      <c r="C232">
        <v>0</v>
      </c>
      <c r="D232">
        <v>185</v>
      </c>
      <c r="E232">
        <v>0</v>
      </c>
      <c r="F232">
        <v>0</v>
      </c>
      <c r="G232">
        <v>20</v>
      </c>
      <c r="H232">
        <v>20</v>
      </c>
      <c r="I232" t="s">
        <v>1023</v>
      </c>
      <c r="U232"/>
      <c r="V232"/>
      <c r="W232"/>
    </row>
    <row r="233" spans="1:23">
      <c r="A233" s="2" t="s">
        <v>256</v>
      </c>
      <c r="B233">
        <v>0</v>
      </c>
      <c r="C233">
        <v>0</v>
      </c>
      <c r="D233">
        <v>185</v>
      </c>
      <c r="E233">
        <v>0</v>
      </c>
      <c r="F233">
        <v>0</v>
      </c>
      <c r="G233">
        <v>20</v>
      </c>
      <c r="H233">
        <v>20</v>
      </c>
      <c r="I233" t="s">
        <v>1023</v>
      </c>
      <c r="U233"/>
      <c r="V233"/>
      <c r="W233"/>
    </row>
    <row r="234" spans="1:23">
      <c r="A234" s="2" t="s">
        <v>257</v>
      </c>
      <c r="B234">
        <v>0</v>
      </c>
      <c r="C234">
        <v>0</v>
      </c>
      <c r="D234">
        <v>185</v>
      </c>
      <c r="E234">
        <v>0</v>
      </c>
      <c r="F234">
        <v>0</v>
      </c>
      <c r="G234">
        <v>20</v>
      </c>
      <c r="H234">
        <v>20</v>
      </c>
      <c r="I234" t="s">
        <v>1023</v>
      </c>
      <c r="U234"/>
      <c r="V234"/>
      <c r="W234"/>
    </row>
    <row r="235" spans="1:23">
      <c r="A235" s="2" t="s">
        <v>258</v>
      </c>
      <c r="B235">
        <v>0</v>
      </c>
      <c r="C235">
        <v>0</v>
      </c>
      <c r="D235">
        <v>185</v>
      </c>
      <c r="E235">
        <v>0</v>
      </c>
      <c r="F235">
        <v>0</v>
      </c>
      <c r="G235">
        <v>20</v>
      </c>
      <c r="H235">
        <v>20</v>
      </c>
      <c r="I235" t="s">
        <v>1023</v>
      </c>
      <c r="U235"/>
      <c r="V235"/>
      <c r="W235"/>
    </row>
    <row r="236" spans="1:23">
      <c r="A236" s="2" t="s">
        <v>259</v>
      </c>
      <c r="B236">
        <v>0</v>
      </c>
      <c r="C236">
        <v>0</v>
      </c>
      <c r="D236">
        <v>185</v>
      </c>
      <c r="E236">
        <v>0</v>
      </c>
      <c r="F236">
        <v>0</v>
      </c>
      <c r="G236">
        <v>20</v>
      </c>
      <c r="H236">
        <v>20</v>
      </c>
      <c r="I236" t="s">
        <v>1023</v>
      </c>
      <c r="U236"/>
      <c r="V236"/>
      <c r="W236"/>
    </row>
    <row r="237" spans="1:23">
      <c r="A237" s="2" t="s">
        <v>260</v>
      </c>
      <c r="B237">
        <v>0</v>
      </c>
      <c r="C237">
        <v>0</v>
      </c>
      <c r="D237">
        <v>185</v>
      </c>
      <c r="E237">
        <v>0</v>
      </c>
      <c r="F237">
        <v>0</v>
      </c>
      <c r="G237">
        <v>20</v>
      </c>
      <c r="H237">
        <v>20</v>
      </c>
      <c r="I237" t="s">
        <v>1023</v>
      </c>
      <c r="U237"/>
      <c r="V237"/>
      <c r="W237"/>
    </row>
    <row r="238" spans="1:23">
      <c r="A238" s="2" t="s">
        <v>261</v>
      </c>
      <c r="B238">
        <v>0</v>
      </c>
      <c r="C238">
        <v>0</v>
      </c>
      <c r="D238">
        <v>185</v>
      </c>
      <c r="E238">
        <v>0</v>
      </c>
      <c r="F238">
        <v>0</v>
      </c>
      <c r="G238">
        <v>20</v>
      </c>
      <c r="H238">
        <v>20</v>
      </c>
      <c r="I238" t="s">
        <v>1023</v>
      </c>
      <c r="U238"/>
      <c r="V238"/>
      <c r="W238"/>
    </row>
    <row r="239" spans="1:23">
      <c r="A239" s="2" t="s">
        <v>262</v>
      </c>
      <c r="B239">
        <v>0</v>
      </c>
      <c r="C239">
        <v>0</v>
      </c>
      <c r="D239">
        <v>185</v>
      </c>
      <c r="E239">
        <v>0</v>
      </c>
      <c r="F239">
        <v>0</v>
      </c>
      <c r="G239">
        <v>20</v>
      </c>
      <c r="H239">
        <v>20</v>
      </c>
      <c r="I239" t="s">
        <v>1023</v>
      </c>
      <c r="U239"/>
      <c r="V239"/>
      <c r="W239"/>
    </row>
    <row r="240" spans="1:23">
      <c r="A240" s="2" t="s">
        <v>263</v>
      </c>
      <c r="B240">
        <v>0</v>
      </c>
      <c r="C240">
        <v>0</v>
      </c>
      <c r="D240">
        <v>185</v>
      </c>
      <c r="E240">
        <v>0</v>
      </c>
      <c r="F240">
        <v>0</v>
      </c>
      <c r="G240">
        <v>20</v>
      </c>
      <c r="H240">
        <v>20</v>
      </c>
      <c r="I240" t="s">
        <v>1023</v>
      </c>
      <c r="U240"/>
      <c r="V240"/>
      <c r="W240"/>
    </row>
    <row r="241" spans="1:23">
      <c r="A241" s="2" t="s">
        <v>264</v>
      </c>
      <c r="B241">
        <v>0</v>
      </c>
      <c r="C241">
        <v>0</v>
      </c>
      <c r="D241">
        <v>185</v>
      </c>
      <c r="E241">
        <v>0</v>
      </c>
      <c r="F241">
        <v>0</v>
      </c>
      <c r="G241">
        <v>20</v>
      </c>
      <c r="H241">
        <v>20</v>
      </c>
      <c r="I241" t="s">
        <v>1023</v>
      </c>
      <c r="U241"/>
      <c r="V241"/>
      <c r="W241"/>
    </row>
    <row r="242" spans="1:23">
      <c r="A242" s="2" t="s">
        <v>265</v>
      </c>
      <c r="B242">
        <v>0</v>
      </c>
      <c r="C242">
        <v>0</v>
      </c>
      <c r="D242">
        <v>185</v>
      </c>
      <c r="E242">
        <v>0</v>
      </c>
      <c r="F242">
        <v>0</v>
      </c>
      <c r="G242">
        <v>20</v>
      </c>
      <c r="H242">
        <v>20</v>
      </c>
      <c r="I242" t="s">
        <v>1023</v>
      </c>
      <c r="U242"/>
      <c r="V242"/>
      <c r="W242"/>
    </row>
    <row r="243" spans="1:23">
      <c r="A243" s="2" t="s">
        <v>266</v>
      </c>
      <c r="B243">
        <v>0</v>
      </c>
      <c r="C243">
        <v>0</v>
      </c>
      <c r="D243">
        <v>185</v>
      </c>
      <c r="E243">
        <v>0</v>
      </c>
      <c r="F243">
        <v>0</v>
      </c>
      <c r="G243">
        <v>20</v>
      </c>
      <c r="H243">
        <v>20</v>
      </c>
      <c r="I243" t="s">
        <v>1023</v>
      </c>
      <c r="U243"/>
      <c r="V243"/>
      <c r="W243"/>
    </row>
    <row r="244" spans="1:23">
      <c r="A244" s="2" t="s">
        <v>267</v>
      </c>
      <c r="B244">
        <v>0</v>
      </c>
      <c r="C244">
        <v>0</v>
      </c>
      <c r="D244">
        <v>185</v>
      </c>
      <c r="E244">
        <v>0</v>
      </c>
      <c r="F244">
        <v>0</v>
      </c>
      <c r="G244">
        <v>20</v>
      </c>
      <c r="H244">
        <v>20</v>
      </c>
      <c r="I244" t="s">
        <v>1023</v>
      </c>
      <c r="U244"/>
      <c r="V244"/>
      <c r="W244"/>
    </row>
    <row r="245" spans="1:23">
      <c r="A245" s="2" t="s">
        <v>268</v>
      </c>
      <c r="B245">
        <v>0</v>
      </c>
      <c r="C245">
        <v>0</v>
      </c>
      <c r="D245">
        <v>185</v>
      </c>
      <c r="E245">
        <v>0</v>
      </c>
      <c r="F245">
        <v>0</v>
      </c>
      <c r="G245">
        <v>20</v>
      </c>
      <c r="H245">
        <v>20</v>
      </c>
      <c r="I245" t="s">
        <v>1023</v>
      </c>
      <c r="U245"/>
      <c r="V245"/>
      <c r="W245"/>
    </row>
    <row r="246" spans="1:23">
      <c r="A246" s="2" t="s">
        <v>269</v>
      </c>
      <c r="B246">
        <v>0</v>
      </c>
      <c r="C246">
        <v>0</v>
      </c>
      <c r="D246">
        <v>185</v>
      </c>
      <c r="E246">
        <v>0</v>
      </c>
      <c r="F246">
        <v>0</v>
      </c>
      <c r="G246">
        <v>20</v>
      </c>
      <c r="H246">
        <v>20</v>
      </c>
      <c r="I246" t="s">
        <v>1023</v>
      </c>
      <c r="U246"/>
      <c r="V246"/>
      <c r="W246"/>
    </row>
    <row r="247" spans="1:23">
      <c r="A247" s="2" t="s">
        <v>270</v>
      </c>
      <c r="B247">
        <v>0</v>
      </c>
      <c r="C247">
        <v>0</v>
      </c>
      <c r="D247">
        <v>185</v>
      </c>
      <c r="E247">
        <v>0</v>
      </c>
      <c r="F247">
        <v>0</v>
      </c>
      <c r="G247">
        <v>20</v>
      </c>
      <c r="H247">
        <v>20</v>
      </c>
      <c r="I247" t="s">
        <v>1023</v>
      </c>
      <c r="U247"/>
      <c r="V247"/>
      <c r="W247"/>
    </row>
    <row r="248" spans="1:23">
      <c r="A248" s="2" t="s">
        <v>271</v>
      </c>
      <c r="B248">
        <v>0</v>
      </c>
      <c r="C248">
        <v>0</v>
      </c>
      <c r="D248">
        <v>185</v>
      </c>
      <c r="E248">
        <v>0</v>
      </c>
      <c r="F248">
        <v>0</v>
      </c>
      <c r="G248">
        <v>20</v>
      </c>
      <c r="H248">
        <v>20</v>
      </c>
      <c r="I248" t="s">
        <v>1023</v>
      </c>
      <c r="U248"/>
      <c r="V248"/>
      <c r="W248"/>
    </row>
    <row r="249" spans="1:23">
      <c r="A249" s="2" t="s">
        <v>272</v>
      </c>
      <c r="B249">
        <v>0</v>
      </c>
      <c r="C249">
        <v>0</v>
      </c>
      <c r="D249">
        <v>185</v>
      </c>
      <c r="E249">
        <v>0</v>
      </c>
      <c r="F249">
        <v>0</v>
      </c>
      <c r="G249">
        <v>20</v>
      </c>
      <c r="H249">
        <v>20</v>
      </c>
      <c r="I249" t="s">
        <v>1023</v>
      </c>
      <c r="U249"/>
      <c r="V249"/>
      <c r="W249"/>
    </row>
    <row r="250" spans="1:23">
      <c r="A250" s="2" t="s">
        <v>273</v>
      </c>
      <c r="B250">
        <v>0</v>
      </c>
      <c r="C250">
        <v>0</v>
      </c>
      <c r="D250">
        <v>185</v>
      </c>
      <c r="E250">
        <v>0</v>
      </c>
      <c r="F250">
        <v>0</v>
      </c>
      <c r="G250">
        <v>20</v>
      </c>
      <c r="H250">
        <v>20</v>
      </c>
      <c r="I250" t="s">
        <v>1023</v>
      </c>
      <c r="U250"/>
      <c r="V250"/>
      <c r="W250"/>
    </row>
    <row r="251" spans="1:23">
      <c r="A251" s="2" t="s">
        <v>274</v>
      </c>
      <c r="B251">
        <v>0</v>
      </c>
      <c r="C251">
        <v>0</v>
      </c>
      <c r="D251">
        <v>185</v>
      </c>
      <c r="E251">
        <v>0</v>
      </c>
      <c r="F251">
        <v>0</v>
      </c>
      <c r="G251">
        <v>20</v>
      </c>
      <c r="H251">
        <v>20</v>
      </c>
      <c r="I251" t="s">
        <v>1023</v>
      </c>
      <c r="U251"/>
      <c r="V251"/>
      <c r="W251"/>
    </row>
    <row r="252" spans="1:23">
      <c r="A252" s="2" t="s">
        <v>275</v>
      </c>
      <c r="B252">
        <v>0</v>
      </c>
      <c r="C252">
        <v>0</v>
      </c>
      <c r="D252">
        <v>185</v>
      </c>
      <c r="E252">
        <v>0</v>
      </c>
      <c r="F252">
        <v>0</v>
      </c>
      <c r="G252">
        <v>20</v>
      </c>
      <c r="H252">
        <v>20</v>
      </c>
      <c r="I252" t="s">
        <v>1023</v>
      </c>
      <c r="U252"/>
      <c r="V252"/>
      <c r="W252"/>
    </row>
    <row r="253" spans="1:23">
      <c r="A253" s="2" t="s">
        <v>276</v>
      </c>
      <c r="B253">
        <v>0</v>
      </c>
      <c r="C253">
        <v>0</v>
      </c>
      <c r="D253">
        <v>185</v>
      </c>
      <c r="E253">
        <v>0</v>
      </c>
      <c r="F253">
        <v>0</v>
      </c>
      <c r="G253">
        <v>20</v>
      </c>
      <c r="H253">
        <v>20</v>
      </c>
      <c r="I253" t="s">
        <v>1023</v>
      </c>
      <c r="U253"/>
      <c r="V253"/>
      <c r="W253"/>
    </row>
    <row r="254" spans="1:23">
      <c r="A254" s="2" t="s">
        <v>277</v>
      </c>
      <c r="B254">
        <v>0</v>
      </c>
      <c r="C254">
        <v>0</v>
      </c>
      <c r="D254">
        <v>185</v>
      </c>
      <c r="E254">
        <v>0</v>
      </c>
      <c r="F254">
        <v>0</v>
      </c>
      <c r="G254">
        <v>20</v>
      </c>
      <c r="H254">
        <v>20</v>
      </c>
      <c r="I254" t="s">
        <v>1023</v>
      </c>
      <c r="U254"/>
      <c r="V254"/>
      <c r="W254"/>
    </row>
    <row r="255" spans="1:23">
      <c r="A255" s="2" t="s">
        <v>278</v>
      </c>
      <c r="B255">
        <v>0</v>
      </c>
      <c r="C255">
        <v>0</v>
      </c>
      <c r="D255">
        <v>185</v>
      </c>
      <c r="E255">
        <v>0</v>
      </c>
      <c r="F255">
        <v>0</v>
      </c>
      <c r="G255">
        <v>20</v>
      </c>
      <c r="H255">
        <v>20</v>
      </c>
      <c r="I255" t="s">
        <v>1023</v>
      </c>
      <c r="U255"/>
      <c r="V255"/>
      <c r="W255"/>
    </row>
    <row r="256" spans="1:23">
      <c r="A256" s="2" t="s">
        <v>279</v>
      </c>
      <c r="B256">
        <v>0</v>
      </c>
      <c r="C256">
        <v>0</v>
      </c>
      <c r="D256">
        <v>185</v>
      </c>
      <c r="E256">
        <v>0</v>
      </c>
      <c r="F256">
        <v>0</v>
      </c>
      <c r="G256">
        <v>20</v>
      </c>
      <c r="H256">
        <v>20</v>
      </c>
      <c r="I256" t="s">
        <v>1023</v>
      </c>
      <c r="U256"/>
      <c r="V256"/>
      <c r="W256"/>
    </row>
    <row r="257" spans="1:23">
      <c r="A257" s="2" t="s">
        <v>280</v>
      </c>
      <c r="B257">
        <v>0</v>
      </c>
      <c r="C257">
        <v>0</v>
      </c>
      <c r="D257">
        <v>185</v>
      </c>
      <c r="E257">
        <v>0</v>
      </c>
      <c r="F257">
        <v>0</v>
      </c>
      <c r="G257">
        <v>20</v>
      </c>
      <c r="H257">
        <v>20</v>
      </c>
      <c r="I257" t="s">
        <v>1023</v>
      </c>
      <c r="U257"/>
      <c r="V257"/>
      <c r="W257"/>
    </row>
    <row r="258" spans="1:23">
      <c r="A258" s="2" t="s">
        <v>281</v>
      </c>
      <c r="B258">
        <v>0</v>
      </c>
      <c r="C258">
        <v>0</v>
      </c>
      <c r="D258">
        <v>185</v>
      </c>
      <c r="E258">
        <v>0</v>
      </c>
      <c r="F258">
        <v>0</v>
      </c>
      <c r="G258">
        <v>20</v>
      </c>
      <c r="H258">
        <v>20</v>
      </c>
      <c r="I258" t="s">
        <v>1023</v>
      </c>
      <c r="U258"/>
      <c r="V258"/>
      <c r="W258"/>
    </row>
    <row r="259" spans="1:23">
      <c r="A259" s="2" t="s">
        <v>282</v>
      </c>
      <c r="B259">
        <v>0</v>
      </c>
      <c r="C259">
        <v>0</v>
      </c>
      <c r="D259">
        <v>185</v>
      </c>
      <c r="E259">
        <v>0</v>
      </c>
      <c r="F259">
        <v>0</v>
      </c>
      <c r="G259">
        <v>20</v>
      </c>
      <c r="H259">
        <v>20</v>
      </c>
      <c r="I259" t="s">
        <v>1023</v>
      </c>
      <c r="U259"/>
      <c r="V259"/>
      <c r="W259"/>
    </row>
    <row r="260" spans="1:23">
      <c r="A260" s="2" t="s">
        <v>283</v>
      </c>
      <c r="B260">
        <v>0</v>
      </c>
      <c r="C260">
        <v>0</v>
      </c>
      <c r="D260">
        <v>185</v>
      </c>
      <c r="E260">
        <v>0</v>
      </c>
      <c r="F260">
        <v>0</v>
      </c>
      <c r="G260">
        <v>20</v>
      </c>
      <c r="H260">
        <v>20</v>
      </c>
      <c r="I260" t="s">
        <v>1023</v>
      </c>
      <c r="U260"/>
      <c r="V260"/>
      <c r="W260"/>
    </row>
    <row r="261" spans="1:23">
      <c r="A261" s="2" t="s">
        <v>284</v>
      </c>
      <c r="B261">
        <v>0</v>
      </c>
      <c r="C261">
        <v>0</v>
      </c>
      <c r="D261">
        <v>185</v>
      </c>
      <c r="E261">
        <v>0</v>
      </c>
      <c r="F261">
        <v>0</v>
      </c>
      <c r="G261">
        <v>20</v>
      </c>
      <c r="H261">
        <v>20</v>
      </c>
      <c r="I261" t="s">
        <v>1023</v>
      </c>
      <c r="U261"/>
      <c r="V261"/>
      <c r="W261"/>
    </row>
    <row r="262" spans="1:23">
      <c r="A262" s="2" t="s">
        <v>285</v>
      </c>
      <c r="B262">
        <v>0</v>
      </c>
      <c r="C262">
        <v>0</v>
      </c>
      <c r="D262">
        <v>185</v>
      </c>
      <c r="E262">
        <v>0</v>
      </c>
      <c r="F262">
        <v>0</v>
      </c>
      <c r="G262">
        <v>20</v>
      </c>
      <c r="H262">
        <v>20</v>
      </c>
      <c r="I262" t="s">
        <v>1023</v>
      </c>
      <c r="U262"/>
      <c r="V262"/>
      <c r="W262"/>
    </row>
    <row r="263" spans="1:23">
      <c r="A263" s="2" t="s">
        <v>286</v>
      </c>
      <c r="B263">
        <v>0</v>
      </c>
      <c r="C263">
        <v>0</v>
      </c>
      <c r="D263">
        <v>185</v>
      </c>
      <c r="E263">
        <v>0</v>
      </c>
      <c r="F263">
        <v>0</v>
      </c>
      <c r="G263">
        <v>20</v>
      </c>
      <c r="H263">
        <v>20</v>
      </c>
      <c r="I263" t="s">
        <v>1023</v>
      </c>
      <c r="U263"/>
      <c r="V263"/>
      <c r="W263"/>
    </row>
    <row r="264" spans="1:23">
      <c r="A264" s="2" t="s">
        <v>287</v>
      </c>
      <c r="B264">
        <v>0</v>
      </c>
      <c r="C264">
        <v>0</v>
      </c>
      <c r="D264">
        <v>185</v>
      </c>
      <c r="E264">
        <v>0</v>
      </c>
      <c r="F264">
        <v>0</v>
      </c>
      <c r="G264">
        <v>20</v>
      </c>
      <c r="H264">
        <v>20</v>
      </c>
      <c r="I264" t="s">
        <v>1023</v>
      </c>
      <c r="U264"/>
      <c r="V264"/>
      <c r="W264"/>
    </row>
    <row r="265" spans="1:23">
      <c r="A265" s="2" t="s">
        <v>288</v>
      </c>
      <c r="B265">
        <v>0</v>
      </c>
      <c r="C265">
        <v>0</v>
      </c>
      <c r="D265">
        <v>185</v>
      </c>
      <c r="E265">
        <v>0</v>
      </c>
      <c r="F265">
        <v>0</v>
      </c>
      <c r="G265">
        <v>20</v>
      </c>
      <c r="H265">
        <v>20</v>
      </c>
      <c r="I265" t="s">
        <v>1023</v>
      </c>
      <c r="U265"/>
      <c r="V265"/>
      <c r="W265"/>
    </row>
    <row r="266" spans="1:23">
      <c r="A266" s="2" t="s">
        <v>289</v>
      </c>
      <c r="B266">
        <v>0</v>
      </c>
      <c r="C266">
        <v>0</v>
      </c>
      <c r="D266">
        <v>185</v>
      </c>
      <c r="E266">
        <v>0</v>
      </c>
      <c r="F266">
        <v>0</v>
      </c>
      <c r="G266">
        <v>20</v>
      </c>
      <c r="H266">
        <v>20</v>
      </c>
      <c r="I266" t="s">
        <v>1023</v>
      </c>
      <c r="U266"/>
      <c r="V266"/>
      <c r="W266"/>
    </row>
    <row r="267" spans="1:23">
      <c r="A267" s="2" t="s">
        <v>290</v>
      </c>
      <c r="B267">
        <v>0</v>
      </c>
      <c r="C267">
        <v>0</v>
      </c>
      <c r="D267">
        <v>185</v>
      </c>
      <c r="E267">
        <v>0</v>
      </c>
      <c r="F267">
        <v>0</v>
      </c>
      <c r="G267">
        <v>20</v>
      </c>
      <c r="H267">
        <v>20</v>
      </c>
      <c r="I267" t="s">
        <v>1023</v>
      </c>
      <c r="U267"/>
      <c r="V267"/>
      <c r="W267"/>
    </row>
    <row r="268" spans="1:23">
      <c r="A268" s="2" t="s">
        <v>291</v>
      </c>
      <c r="B268">
        <v>0</v>
      </c>
      <c r="C268">
        <v>0</v>
      </c>
      <c r="D268">
        <v>185</v>
      </c>
      <c r="E268">
        <v>0</v>
      </c>
      <c r="F268">
        <v>0</v>
      </c>
      <c r="G268">
        <v>20</v>
      </c>
      <c r="H268">
        <v>20</v>
      </c>
      <c r="I268" t="s">
        <v>1023</v>
      </c>
      <c r="U268"/>
      <c r="V268"/>
      <c r="W268"/>
    </row>
    <row r="269" spans="1:23">
      <c r="A269" s="2" t="s">
        <v>292</v>
      </c>
      <c r="B269">
        <v>0</v>
      </c>
      <c r="C269">
        <v>0</v>
      </c>
      <c r="D269">
        <v>185</v>
      </c>
      <c r="E269">
        <v>0</v>
      </c>
      <c r="F269">
        <v>0</v>
      </c>
      <c r="G269">
        <v>20</v>
      </c>
      <c r="H269">
        <v>20</v>
      </c>
      <c r="I269" t="s">
        <v>1023</v>
      </c>
      <c r="U269"/>
      <c r="V269"/>
      <c r="W269"/>
    </row>
    <row r="270" spans="1:23">
      <c r="A270" s="2" t="s">
        <v>293</v>
      </c>
      <c r="B270">
        <v>0</v>
      </c>
      <c r="C270">
        <v>0</v>
      </c>
      <c r="D270">
        <v>185</v>
      </c>
      <c r="E270">
        <v>0</v>
      </c>
      <c r="F270">
        <v>0</v>
      </c>
      <c r="G270">
        <v>20</v>
      </c>
      <c r="H270">
        <v>20</v>
      </c>
      <c r="I270" t="s">
        <v>1023</v>
      </c>
      <c r="U270"/>
      <c r="V270"/>
      <c r="W270"/>
    </row>
    <row r="271" spans="1:23">
      <c r="A271" s="2" t="s">
        <v>294</v>
      </c>
      <c r="B271">
        <v>0</v>
      </c>
      <c r="C271">
        <v>0</v>
      </c>
      <c r="D271">
        <v>185</v>
      </c>
      <c r="E271">
        <v>0</v>
      </c>
      <c r="F271">
        <v>0</v>
      </c>
      <c r="G271">
        <v>20</v>
      </c>
      <c r="H271">
        <v>20</v>
      </c>
      <c r="I271" t="s">
        <v>1023</v>
      </c>
      <c r="U271"/>
      <c r="V271"/>
      <c r="W271"/>
    </row>
    <row r="272" spans="1:23">
      <c r="A272" s="2" t="s">
        <v>295</v>
      </c>
      <c r="B272">
        <v>0</v>
      </c>
      <c r="C272">
        <v>0</v>
      </c>
      <c r="D272">
        <v>185</v>
      </c>
      <c r="E272">
        <v>0</v>
      </c>
      <c r="F272">
        <v>0</v>
      </c>
      <c r="G272">
        <v>20</v>
      </c>
      <c r="H272">
        <v>20</v>
      </c>
      <c r="I272" t="s">
        <v>1023</v>
      </c>
      <c r="U272"/>
      <c r="V272"/>
      <c r="W272"/>
    </row>
    <row r="273" spans="1:23">
      <c r="A273" s="2" t="s">
        <v>296</v>
      </c>
      <c r="B273">
        <v>0</v>
      </c>
      <c r="C273">
        <v>0</v>
      </c>
      <c r="D273">
        <v>185</v>
      </c>
      <c r="E273">
        <v>0</v>
      </c>
      <c r="F273">
        <v>0</v>
      </c>
      <c r="G273">
        <v>20</v>
      </c>
      <c r="H273">
        <v>20</v>
      </c>
      <c r="I273" t="s">
        <v>1023</v>
      </c>
      <c r="U273"/>
      <c r="V273"/>
      <c r="W273"/>
    </row>
    <row r="274" spans="1:23">
      <c r="A274" s="2" t="s">
        <v>297</v>
      </c>
      <c r="B274">
        <v>0</v>
      </c>
      <c r="C274">
        <v>0</v>
      </c>
      <c r="D274">
        <v>185</v>
      </c>
      <c r="E274">
        <v>0</v>
      </c>
      <c r="F274">
        <v>0</v>
      </c>
      <c r="G274">
        <v>20</v>
      </c>
      <c r="H274">
        <v>20</v>
      </c>
      <c r="I274" t="s">
        <v>1023</v>
      </c>
      <c r="U274"/>
      <c r="V274"/>
      <c r="W274"/>
    </row>
    <row r="275" spans="1:23">
      <c r="A275" s="2" t="s">
        <v>298</v>
      </c>
      <c r="B275">
        <v>0</v>
      </c>
      <c r="C275">
        <v>0</v>
      </c>
      <c r="D275">
        <v>185</v>
      </c>
      <c r="E275">
        <v>0</v>
      </c>
      <c r="F275">
        <v>0</v>
      </c>
      <c r="G275">
        <v>20</v>
      </c>
      <c r="H275">
        <v>20</v>
      </c>
      <c r="I275" t="s">
        <v>1023</v>
      </c>
      <c r="U275"/>
      <c r="V275"/>
      <c r="W275"/>
    </row>
    <row r="276" spans="1:23">
      <c r="A276" s="2" t="s">
        <v>299</v>
      </c>
      <c r="B276">
        <v>0</v>
      </c>
      <c r="C276">
        <v>0</v>
      </c>
      <c r="D276">
        <v>185</v>
      </c>
      <c r="E276">
        <v>0</v>
      </c>
      <c r="F276">
        <v>0</v>
      </c>
      <c r="G276">
        <v>20</v>
      </c>
      <c r="H276">
        <v>20</v>
      </c>
      <c r="I276" t="s">
        <v>1023</v>
      </c>
      <c r="U276"/>
      <c r="V276"/>
      <c r="W276"/>
    </row>
    <row r="277" spans="1:23">
      <c r="A277" s="2" t="s">
        <v>300</v>
      </c>
      <c r="B277">
        <v>0</v>
      </c>
      <c r="C277">
        <v>0</v>
      </c>
      <c r="D277">
        <v>185</v>
      </c>
      <c r="E277">
        <v>0</v>
      </c>
      <c r="F277">
        <v>0</v>
      </c>
      <c r="G277">
        <v>20</v>
      </c>
      <c r="H277">
        <v>20</v>
      </c>
      <c r="I277" t="s">
        <v>1023</v>
      </c>
      <c r="U277"/>
      <c r="V277"/>
      <c r="W277"/>
    </row>
    <row r="278" spans="1:23">
      <c r="A278" s="2" t="s">
        <v>301</v>
      </c>
      <c r="B278">
        <v>0</v>
      </c>
      <c r="C278">
        <v>0</v>
      </c>
      <c r="D278">
        <v>185</v>
      </c>
      <c r="E278">
        <v>0</v>
      </c>
      <c r="F278">
        <v>0</v>
      </c>
      <c r="G278">
        <v>20</v>
      </c>
      <c r="H278">
        <v>20</v>
      </c>
      <c r="I278" t="s">
        <v>1023</v>
      </c>
      <c r="U278"/>
      <c r="V278"/>
      <c r="W278"/>
    </row>
    <row r="279" spans="1:23">
      <c r="A279" s="2" t="s">
        <v>302</v>
      </c>
      <c r="B279">
        <v>0</v>
      </c>
      <c r="C279">
        <v>0</v>
      </c>
      <c r="D279">
        <v>185</v>
      </c>
      <c r="E279">
        <v>0</v>
      </c>
      <c r="F279">
        <v>0</v>
      </c>
      <c r="G279">
        <v>20</v>
      </c>
      <c r="H279">
        <v>20</v>
      </c>
      <c r="I279" t="s">
        <v>1023</v>
      </c>
      <c r="U279"/>
      <c r="V279"/>
      <c r="W279"/>
    </row>
    <row r="280" spans="1:23">
      <c r="A280" s="2" t="s">
        <v>303</v>
      </c>
      <c r="B280">
        <v>0</v>
      </c>
      <c r="C280">
        <v>0</v>
      </c>
      <c r="D280">
        <v>185</v>
      </c>
      <c r="E280">
        <v>0</v>
      </c>
      <c r="F280">
        <v>0</v>
      </c>
      <c r="G280">
        <v>20</v>
      </c>
      <c r="H280">
        <v>20</v>
      </c>
      <c r="I280" t="s">
        <v>1023</v>
      </c>
      <c r="U280"/>
      <c r="V280"/>
      <c r="W280"/>
    </row>
    <row r="281" spans="1:23">
      <c r="A281" s="2" t="s">
        <v>304</v>
      </c>
      <c r="B281">
        <v>0</v>
      </c>
      <c r="C281">
        <v>0</v>
      </c>
      <c r="D281">
        <v>185</v>
      </c>
      <c r="E281">
        <v>0</v>
      </c>
      <c r="F281">
        <v>0</v>
      </c>
      <c r="G281">
        <v>20</v>
      </c>
      <c r="H281">
        <v>20</v>
      </c>
      <c r="I281" t="s">
        <v>1023</v>
      </c>
      <c r="U281"/>
      <c r="V281"/>
      <c r="W281"/>
    </row>
    <row r="282" spans="1:23">
      <c r="A282" s="2" t="s">
        <v>305</v>
      </c>
      <c r="B282">
        <v>0</v>
      </c>
      <c r="C282">
        <v>0</v>
      </c>
      <c r="D282">
        <v>185</v>
      </c>
      <c r="E282">
        <v>0</v>
      </c>
      <c r="F282">
        <v>0</v>
      </c>
      <c r="G282">
        <v>20</v>
      </c>
      <c r="H282">
        <v>20</v>
      </c>
      <c r="I282" t="s">
        <v>1023</v>
      </c>
      <c r="U282"/>
      <c r="V282"/>
      <c r="W282"/>
    </row>
    <row r="283" spans="1:23">
      <c r="A283" s="2" t="s">
        <v>306</v>
      </c>
      <c r="B283">
        <v>0</v>
      </c>
      <c r="C283">
        <v>0</v>
      </c>
      <c r="D283">
        <v>185</v>
      </c>
      <c r="E283">
        <v>0</v>
      </c>
      <c r="F283">
        <v>0</v>
      </c>
      <c r="G283">
        <v>20</v>
      </c>
      <c r="H283">
        <v>20</v>
      </c>
      <c r="I283" t="s">
        <v>1023</v>
      </c>
      <c r="U283"/>
      <c r="V283"/>
      <c r="W283"/>
    </row>
    <row r="284" spans="1:23">
      <c r="A284" s="2" t="s">
        <v>307</v>
      </c>
      <c r="B284">
        <v>0</v>
      </c>
      <c r="C284">
        <v>0</v>
      </c>
      <c r="D284">
        <v>185</v>
      </c>
      <c r="E284">
        <v>0</v>
      </c>
      <c r="F284">
        <v>0</v>
      </c>
      <c r="G284">
        <v>20</v>
      </c>
      <c r="H284">
        <v>20</v>
      </c>
      <c r="I284" t="s">
        <v>1023</v>
      </c>
      <c r="U284"/>
      <c r="V284"/>
      <c r="W284"/>
    </row>
    <row r="285" spans="1:23">
      <c r="A285" s="2" t="s">
        <v>308</v>
      </c>
      <c r="B285">
        <v>0</v>
      </c>
      <c r="C285">
        <v>0</v>
      </c>
      <c r="D285">
        <v>185</v>
      </c>
      <c r="E285">
        <v>0</v>
      </c>
      <c r="F285">
        <v>0</v>
      </c>
      <c r="G285">
        <v>20</v>
      </c>
      <c r="H285">
        <v>20</v>
      </c>
      <c r="I285" t="s">
        <v>1023</v>
      </c>
      <c r="U285"/>
      <c r="V285"/>
      <c r="W285"/>
    </row>
    <row r="286" spans="1:23">
      <c r="A286" s="2" t="s">
        <v>309</v>
      </c>
      <c r="B286">
        <v>0</v>
      </c>
      <c r="C286">
        <v>0</v>
      </c>
      <c r="D286">
        <v>185</v>
      </c>
      <c r="E286">
        <v>0</v>
      </c>
      <c r="F286">
        <v>0</v>
      </c>
      <c r="G286">
        <v>20</v>
      </c>
      <c r="H286">
        <v>20</v>
      </c>
      <c r="I286" t="s">
        <v>1023</v>
      </c>
      <c r="U286"/>
      <c r="V286"/>
      <c r="W286"/>
    </row>
    <row r="287" spans="1:23">
      <c r="A287" s="2" t="s">
        <v>310</v>
      </c>
      <c r="B287">
        <v>0</v>
      </c>
      <c r="C287">
        <v>0</v>
      </c>
      <c r="D287">
        <v>185</v>
      </c>
      <c r="E287">
        <v>0</v>
      </c>
      <c r="F287">
        <v>0</v>
      </c>
      <c r="G287">
        <v>20</v>
      </c>
      <c r="H287">
        <v>20</v>
      </c>
      <c r="I287" t="s">
        <v>1023</v>
      </c>
      <c r="U287"/>
      <c r="V287"/>
      <c r="W287"/>
    </row>
    <row r="288" spans="1:23">
      <c r="A288" s="2" t="s">
        <v>311</v>
      </c>
      <c r="B288">
        <v>0</v>
      </c>
      <c r="C288">
        <v>0</v>
      </c>
      <c r="D288">
        <v>185</v>
      </c>
      <c r="E288">
        <v>0</v>
      </c>
      <c r="F288">
        <v>0</v>
      </c>
      <c r="G288">
        <v>20</v>
      </c>
      <c r="H288">
        <v>20</v>
      </c>
      <c r="I288" t="s">
        <v>1023</v>
      </c>
      <c r="U288"/>
      <c r="V288"/>
      <c r="W288"/>
    </row>
    <row r="289" spans="1:23">
      <c r="A289" s="2" t="s">
        <v>312</v>
      </c>
      <c r="B289">
        <v>0</v>
      </c>
      <c r="C289">
        <v>0</v>
      </c>
      <c r="D289">
        <v>185</v>
      </c>
      <c r="E289">
        <v>0</v>
      </c>
      <c r="F289">
        <v>0</v>
      </c>
      <c r="G289">
        <v>20</v>
      </c>
      <c r="H289">
        <v>20</v>
      </c>
      <c r="I289" t="s">
        <v>1023</v>
      </c>
      <c r="U289"/>
      <c r="V289"/>
      <c r="W289"/>
    </row>
    <row r="290" spans="1:23">
      <c r="A290" s="2" t="s">
        <v>313</v>
      </c>
      <c r="B290">
        <v>0</v>
      </c>
      <c r="C290">
        <v>0</v>
      </c>
      <c r="D290">
        <v>185</v>
      </c>
      <c r="E290">
        <v>0</v>
      </c>
      <c r="F290">
        <v>0</v>
      </c>
      <c r="G290">
        <v>20</v>
      </c>
      <c r="H290">
        <v>20</v>
      </c>
      <c r="I290" t="s">
        <v>1023</v>
      </c>
      <c r="U290"/>
      <c r="V290"/>
      <c r="W290"/>
    </row>
    <row r="291" spans="1:23">
      <c r="A291" s="2" t="s">
        <v>314</v>
      </c>
      <c r="B291">
        <v>0</v>
      </c>
      <c r="C291">
        <v>0</v>
      </c>
      <c r="D291">
        <v>185</v>
      </c>
      <c r="E291">
        <v>0</v>
      </c>
      <c r="F291">
        <v>0</v>
      </c>
      <c r="G291">
        <v>20</v>
      </c>
      <c r="H291">
        <v>20</v>
      </c>
      <c r="I291" t="s">
        <v>1023</v>
      </c>
      <c r="U291"/>
      <c r="V291"/>
      <c r="W291"/>
    </row>
    <row r="292" spans="1:23">
      <c r="A292" s="2" t="s">
        <v>315</v>
      </c>
      <c r="B292">
        <v>0</v>
      </c>
      <c r="C292">
        <v>0</v>
      </c>
      <c r="D292">
        <v>185</v>
      </c>
      <c r="E292">
        <v>0</v>
      </c>
      <c r="F292">
        <v>0</v>
      </c>
      <c r="G292">
        <v>20</v>
      </c>
      <c r="H292">
        <v>20</v>
      </c>
      <c r="I292" t="s">
        <v>1023</v>
      </c>
      <c r="U292"/>
      <c r="V292"/>
      <c r="W292"/>
    </row>
    <row r="293" spans="1:23">
      <c r="A293" s="2" t="s">
        <v>316</v>
      </c>
      <c r="B293">
        <v>0</v>
      </c>
      <c r="C293">
        <v>0</v>
      </c>
      <c r="D293">
        <v>185</v>
      </c>
      <c r="E293">
        <v>0</v>
      </c>
      <c r="F293">
        <v>0</v>
      </c>
      <c r="G293">
        <v>20</v>
      </c>
      <c r="H293">
        <v>20</v>
      </c>
      <c r="I293" t="s">
        <v>1023</v>
      </c>
      <c r="U293"/>
      <c r="V293"/>
      <c r="W293"/>
    </row>
    <row r="294" spans="1:23">
      <c r="A294" s="2" t="s">
        <v>317</v>
      </c>
      <c r="B294">
        <v>0</v>
      </c>
      <c r="C294">
        <v>0</v>
      </c>
      <c r="D294">
        <v>185</v>
      </c>
      <c r="E294">
        <v>0</v>
      </c>
      <c r="F294">
        <v>0</v>
      </c>
      <c r="G294">
        <v>20</v>
      </c>
      <c r="H294">
        <v>20</v>
      </c>
      <c r="I294" t="s">
        <v>1023</v>
      </c>
      <c r="U294"/>
      <c r="V294"/>
      <c r="W294"/>
    </row>
    <row r="295" spans="1:23">
      <c r="A295" s="2" t="s">
        <v>318</v>
      </c>
      <c r="B295">
        <v>0</v>
      </c>
      <c r="C295">
        <v>0</v>
      </c>
      <c r="D295">
        <v>185</v>
      </c>
      <c r="E295">
        <v>0</v>
      </c>
      <c r="F295">
        <v>0</v>
      </c>
      <c r="G295">
        <v>20</v>
      </c>
      <c r="H295">
        <v>20</v>
      </c>
      <c r="I295" t="s">
        <v>1023</v>
      </c>
      <c r="U295"/>
      <c r="V295"/>
      <c r="W295"/>
    </row>
    <row r="296" spans="1:23">
      <c r="A296" s="2" t="s">
        <v>319</v>
      </c>
      <c r="B296">
        <v>0</v>
      </c>
      <c r="C296">
        <v>0</v>
      </c>
      <c r="D296">
        <v>185</v>
      </c>
      <c r="E296">
        <v>0</v>
      </c>
      <c r="F296">
        <v>0</v>
      </c>
      <c r="G296">
        <v>20</v>
      </c>
      <c r="H296">
        <v>20</v>
      </c>
      <c r="I296" t="s">
        <v>1023</v>
      </c>
      <c r="U296"/>
      <c r="V296"/>
      <c r="W296"/>
    </row>
    <row r="297" spans="1:23">
      <c r="A297" s="2" t="s">
        <v>320</v>
      </c>
      <c r="B297">
        <v>0</v>
      </c>
      <c r="C297">
        <v>0</v>
      </c>
      <c r="D297">
        <v>185</v>
      </c>
      <c r="E297">
        <v>0</v>
      </c>
      <c r="F297">
        <v>0</v>
      </c>
      <c r="G297">
        <v>20</v>
      </c>
      <c r="H297">
        <v>20</v>
      </c>
      <c r="I297" t="s">
        <v>1023</v>
      </c>
      <c r="U297"/>
      <c r="V297"/>
      <c r="W297"/>
    </row>
    <row r="298" spans="1:23">
      <c r="A298" s="2" t="s">
        <v>321</v>
      </c>
      <c r="B298">
        <v>0</v>
      </c>
      <c r="C298">
        <v>0</v>
      </c>
      <c r="D298">
        <v>185</v>
      </c>
      <c r="E298">
        <v>0</v>
      </c>
      <c r="F298">
        <v>0</v>
      </c>
      <c r="G298">
        <v>20</v>
      </c>
      <c r="H298">
        <v>20</v>
      </c>
      <c r="I298" t="s">
        <v>1023</v>
      </c>
      <c r="U298"/>
      <c r="V298"/>
      <c r="W298"/>
    </row>
    <row r="299" spans="1:23">
      <c r="A299" s="2" t="s">
        <v>322</v>
      </c>
      <c r="B299">
        <v>0</v>
      </c>
      <c r="C299">
        <v>0</v>
      </c>
      <c r="D299">
        <v>185</v>
      </c>
      <c r="E299">
        <v>0</v>
      </c>
      <c r="F299">
        <v>0</v>
      </c>
      <c r="G299">
        <v>20</v>
      </c>
      <c r="H299">
        <v>20</v>
      </c>
      <c r="I299" t="s">
        <v>1023</v>
      </c>
      <c r="U299"/>
      <c r="V299"/>
      <c r="W299"/>
    </row>
    <row r="300" spans="1:23">
      <c r="A300" s="2" t="s">
        <v>323</v>
      </c>
      <c r="B300">
        <v>0</v>
      </c>
      <c r="C300">
        <v>0</v>
      </c>
      <c r="D300">
        <v>185</v>
      </c>
      <c r="E300">
        <v>0</v>
      </c>
      <c r="F300">
        <v>0</v>
      </c>
      <c r="G300">
        <v>20</v>
      </c>
      <c r="H300">
        <v>20</v>
      </c>
      <c r="I300" t="s">
        <v>1023</v>
      </c>
      <c r="U300"/>
      <c r="V300"/>
      <c r="W300"/>
    </row>
    <row r="301" spans="1:23">
      <c r="A301" s="2" t="s">
        <v>324</v>
      </c>
      <c r="B301">
        <v>0</v>
      </c>
      <c r="C301">
        <v>0</v>
      </c>
      <c r="D301">
        <v>185</v>
      </c>
      <c r="E301">
        <v>0</v>
      </c>
      <c r="F301">
        <v>0</v>
      </c>
      <c r="G301">
        <v>20</v>
      </c>
      <c r="H301">
        <v>20</v>
      </c>
      <c r="I301" t="s">
        <v>1023</v>
      </c>
      <c r="U301"/>
      <c r="V301"/>
      <c r="W301"/>
    </row>
    <row r="302" spans="1:23">
      <c r="A302" s="2" t="s">
        <v>327</v>
      </c>
      <c r="B302">
        <v>0</v>
      </c>
      <c r="C302">
        <v>0</v>
      </c>
      <c r="D302">
        <v>185</v>
      </c>
      <c r="E302">
        <v>0</v>
      </c>
      <c r="F302">
        <v>0</v>
      </c>
      <c r="G302">
        <v>20</v>
      </c>
      <c r="H302">
        <v>20</v>
      </c>
      <c r="I302" t="s">
        <v>1023</v>
      </c>
      <c r="U302"/>
      <c r="V302"/>
      <c r="W302"/>
    </row>
    <row r="303" spans="1:23">
      <c r="A303" s="2" t="s">
        <v>328</v>
      </c>
      <c r="B303">
        <v>0</v>
      </c>
      <c r="C303">
        <v>0</v>
      </c>
      <c r="D303">
        <v>185</v>
      </c>
      <c r="E303">
        <v>0</v>
      </c>
      <c r="F303">
        <v>0</v>
      </c>
      <c r="G303">
        <v>20</v>
      </c>
      <c r="H303">
        <v>20</v>
      </c>
      <c r="I303" t="s">
        <v>1023</v>
      </c>
      <c r="U303"/>
      <c r="V303"/>
      <c r="W303"/>
    </row>
    <row r="304" spans="1:23">
      <c r="A304" s="2" t="s">
        <v>329</v>
      </c>
      <c r="B304">
        <v>0</v>
      </c>
      <c r="C304">
        <v>0</v>
      </c>
      <c r="D304">
        <v>185</v>
      </c>
      <c r="E304">
        <v>0</v>
      </c>
      <c r="F304">
        <v>0</v>
      </c>
      <c r="G304">
        <v>20</v>
      </c>
      <c r="H304">
        <v>20</v>
      </c>
      <c r="I304" t="s">
        <v>1023</v>
      </c>
      <c r="U304"/>
      <c r="V304"/>
      <c r="W304"/>
    </row>
    <row r="305" spans="1:23">
      <c r="A305" s="2" t="s">
        <v>330</v>
      </c>
      <c r="B305">
        <v>0</v>
      </c>
      <c r="C305">
        <v>0</v>
      </c>
      <c r="D305">
        <v>185</v>
      </c>
      <c r="E305">
        <v>0</v>
      </c>
      <c r="F305">
        <v>0</v>
      </c>
      <c r="G305">
        <v>20</v>
      </c>
      <c r="H305">
        <v>20</v>
      </c>
      <c r="I305" t="s">
        <v>1023</v>
      </c>
      <c r="U305"/>
      <c r="V305"/>
      <c r="W305"/>
    </row>
    <row r="306" spans="1:23">
      <c r="A306" s="2" t="s">
        <v>331</v>
      </c>
      <c r="B306">
        <v>0</v>
      </c>
      <c r="C306">
        <v>0</v>
      </c>
      <c r="D306">
        <v>185</v>
      </c>
      <c r="E306">
        <v>0</v>
      </c>
      <c r="F306">
        <v>0</v>
      </c>
      <c r="G306">
        <v>20</v>
      </c>
      <c r="H306">
        <v>20</v>
      </c>
      <c r="I306" t="s">
        <v>1023</v>
      </c>
      <c r="U306"/>
      <c r="V306"/>
      <c r="W306"/>
    </row>
    <row r="307" spans="1:23">
      <c r="A307" s="2" t="s">
        <v>332</v>
      </c>
      <c r="B307">
        <v>0</v>
      </c>
      <c r="C307">
        <v>0</v>
      </c>
      <c r="D307">
        <v>185</v>
      </c>
      <c r="E307">
        <v>0</v>
      </c>
      <c r="F307">
        <v>0</v>
      </c>
      <c r="G307">
        <v>20</v>
      </c>
      <c r="H307">
        <v>20</v>
      </c>
      <c r="I307" t="s">
        <v>1023</v>
      </c>
      <c r="U307"/>
      <c r="V307"/>
      <c r="W307"/>
    </row>
    <row r="308" spans="1:23">
      <c r="A308" s="2" t="s">
        <v>333</v>
      </c>
      <c r="B308">
        <v>0</v>
      </c>
      <c r="C308">
        <v>0</v>
      </c>
      <c r="D308">
        <v>185</v>
      </c>
      <c r="E308">
        <v>0</v>
      </c>
      <c r="F308">
        <v>0</v>
      </c>
      <c r="G308">
        <v>20</v>
      </c>
      <c r="H308">
        <v>20</v>
      </c>
      <c r="I308" t="s">
        <v>1023</v>
      </c>
      <c r="U308"/>
      <c r="V308"/>
      <c r="W308"/>
    </row>
    <row r="309" spans="1:23">
      <c r="A309" s="2" t="s">
        <v>334</v>
      </c>
      <c r="B309">
        <v>0</v>
      </c>
      <c r="C309">
        <v>0</v>
      </c>
      <c r="D309">
        <v>185</v>
      </c>
      <c r="E309">
        <v>0</v>
      </c>
      <c r="F309">
        <v>0</v>
      </c>
      <c r="G309">
        <v>20</v>
      </c>
      <c r="H309">
        <v>20</v>
      </c>
      <c r="I309" t="s">
        <v>1023</v>
      </c>
      <c r="U309"/>
      <c r="V309"/>
      <c r="W309"/>
    </row>
    <row r="310" spans="1:23">
      <c r="A310" s="2" t="s">
        <v>335</v>
      </c>
      <c r="B310">
        <v>0</v>
      </c>
      <c r="C310">
        <v>0</v>
      </c>
      <c r="D310">
        <v>185</v>
      </c>
      <c r="E310">
        <v>0</v>
      </c>
      <c r="F310">
        <v>0</v>
      </c>
      <c r="G310">
        <v>20</v>
      </c>
      <c r="H310">
        <v>20</v>
      </c>
      <c r="I310" t="s">
        <v>1023</v>
      </c>
      <c r="U310"/>
      <c r="V310"/>
      <c r="W310"/>
    </row>
    <row r="311" spans="1:23">
      <c r="A311" s="2" t="s">
        <v>336</v>
      </c>
      <c r="B311">
        <v>0</v>
      </c>
      <c r="C311">
        <v>0</v>
      </c>
      <c r="D311">
        <v>185</v>
      </c>
      <c r="E311">
        <v>0</v>
      </c>
      <c r="F311">
        <v>0</v>
      </c>
      <c r="G311">
        <v>20</v>
      </c>
      <c r="H311">
        <v>20</v>
      </c>
      <c r="I311" t="s">
        <v>1023</v>
      </c>
      <c r="U311"/>
      <c r="V311"/>
      <c r="W311"/>
    </row>
    <row r="312" spans="1:23">
      <c r="A312" s="2" t="s">
        <v>337</v>
      </c>
      <c r="B312">
        <v>0</v>
      </c>
      <c r="C312">
        <v>0</v>
      </c>
      <c r="D312">
        <v>185</v>
      </c>
      <c r="E312">
        <v>0</v>
      </c>
      <c r="F312">
        <v>0</v>
      </c>
      <c r="G312">
        <v>20</v>
      </c>
      <c r="H312">
        <v>20</v>
      </c>
      <c r="I312" t="s">
        <v>1023</v>
      </c>
      <c r="U312"/>
      <c r="V312"/>
      <c r="W312"/>
    </row>
    <row r="313" spans="1:23">
      <c r="A313" s="2" t="s">
        <v>338</v>
      </c>
      <c r="B313">
        <v>0</v>
      </c>
      <c r="C313">
        <v>0</v>
      </c>
      <c r="D313">
        <v>185</v>
      </c>
      <c r="E313">
        <v>0</v>
      </c>
      <c r="F313">
        <v>0</v>
      </c>
      <c r="G313">
        <v>20</v>
      </c>
      <c r="H313">
        <v>20</v>
      </c>
      <c r="I313" t="s">
        <v>1023</v>
      </c>
      <c r="U313"/>
      <c r="V313"/>
      <c r="W313"/>
    </row>
    <row r="314" spans="1:23">
      <c r="A314" s="2" t="s">
        <v>339</v>
      </c>
      <c r="B314">
        <v>0</v>
      </c>
      <c r="C314">
        <v>0</v>
      </c>
      <c r="D314">
        <v>185</v>
      </c>
      <c r="E314">
        <v>0</v>
      </c>
      <c r="F314">
        <v>0</v>
      </c>
      <c r="G314">
        <v>20</v>
      </c>
      <c r="H314">
        <v>20</v>
      </c>
      <c r="I314" t="s">
        <v>1023</v>
      </c>
      <c r="U314"/>
      <c r="V314"/>
      <c r="W314"/>
    </row>
    <row r="315" spans="1:23">
      <c r="A315" s="2" t="s">
        <v>340</v>
      </c>
      <c r="B315">
        <v>0</v>
      </c>
      <c r="C315">
        <v>0</v>
      </c>
      <c r="D315">
        <v>185</v>
      </c>
      <c r="E315">
        <v>0</v>
      </c>
      <c r="F315">
        <v>0</v>
      </c>
      <c r="G315">
        <v>20</v>
      </c>
      <c r="H315">
        <v>20</v>
      </c>
      <c r="I315" t="s">
        <v>1023</v>
      </c>
      <c r="U315"/>
      <c r="V315"/>
      <c r="W315"/>
    </row>
    <row r="316" spans="1:23">
      <c r="A316" s="2" t="s">
        <v>341</v>
      </c>
      <c r="B316">
        <v>0</v>
      </c>
      <c r="C316">
        <v>0</v>
      </c>
      <c r="D316">
        <v>185</v>
      </c>
      <c r="E316">
        <v>0</v>
      </c>
      <c r="F316">
        <v>0</v>
      </c>
      <c r="G316">
        <v>20</v>
      </c>
      <c r="H316">
        <v>20</v>
      </c>
      <c r="I316" t="s">
        <v>1023</v>
      </c>
      <c r="U316"/>
      <c r="V316"/>
      <c r="W316"/>
    </row>
    <row r="317" spans="1:23">
      <c r="A317" s="2" t="s">
        <v>342</v>
      </c>
      <c r="B317">
        <v>0</v>
      </c>
      <c r="C317">
        <v>0</v>
      </c>
      <c r="D317">
        <v>185</v>
      </c>
      <c r="E317">
        <v>0</v>
      </c>
      <c r="F317">
        <v>0</v>
      </c>
      <c r="G317">
        <v>20</v>
      </c>
      <c r="H317">
        <v>20</v>
      </c>
      <c r="I317" t="s">
        <v>1023</v>
      </c>
      <c r="U317"/>
      <c r="V317"/>
      <c r="W317"/>
    </row>
    <row r="318" spans="1:23">
      <c r="A318" s="2" t="s">
        <v>343</v>
      </c>
      <c r="B318">
        <v>0</v>
      </c>
      <c r="C318">
        <v>0</v>
      </c>
      <c r="D318">
        <v>185</v>
      </c>
      <c r="E318">
        <v>0</v>
      </c>
      <c r="F318">
        <v>0</v>
      </c>
      <c r="G318">
        <v>20</v>
      </c>
      <c r="H318">
        <v>20</v>
      </c>
      <c r="I318" t="s">
        <v>1023</v>
      </c>
      <c r="U318"/>
      <c r="V318"/>
      <c r="W318"/>
    </row>
    <row r="319" spans="1:23">
      <c r="A319" s="2" t="s">
        <v>344</v>
      </c>
      <c r="B319">
        <v>0</v>
      </c>
      <c r="C319">
        <v>0</v>
      </c>
      <c r="D319">
        <v>185</v>
      </c>
      <c r="E319">
        <v>0</v>
      </c>
      <c r="F319">
        <v>0</v>
      </c>
      <c r="G319">
        <v>20</v>
      </c>
      <c r="H319">
        <v>20</v>
      </c>
      <c r="I319" t="s">
        <v>1023</v>
      </c>
      <c r="U319"/>
      <c r="V319"/>
      <c r="W319"/>
    </row>
    <row r="320" spans="1:23">
      <c r="A320" s="2" t="s">
        <v>345</v>
      </c>
      <c r="B320">
        <v>0</v>
      </c>
      <c r="C320">
        <v>0</v>
      </c>
      <c r="D320">
        <v>185</v>
      </c>
      <c r="E320">
        <v>0</v>
      </c>
      <c r="F320">
        <v>0</v>
      </c>
      <c r="G320">
        <v>20</v>
      </c>
      <c r="H320">
        <v>20</v>
      </c>
      <c r="I320" t="s">
        <v>1023</v>
      </c>
      <c r="U320"/>
      <c r="V320"/>
      <c r="W320"/>
    </row>
    <row r="321" spans="1:23">
      <c r="A321" s="2" t="s">
        <v>346</v>
      </c>
      <c r="B321">
        <v>0</v>
      </c>
      <c r="C321">
        <v>0</v>
      </c>
      <c r="D321">
        <v>185</v>
      </c>
      <c r="E321">
        <v>0</v>
      </c>
      <c r="F321">
        <v>0</v>
      </c>
      <c r="G321">
        <v>20</v>
      </c>
      <c r="H321">
        <v>20</v>
      </c>
      <c r="I321" t="s">
        <v>1023</v>
      </c>
      <c r="U321"/>
      <c r="V321"/>
      <c r="W321"/>
    </row>
    <row r="322" spans="1:23">
      <c r="A322" s="2" t="s">
        <v>347</v>
      </c>
      <c r="B322">
        <v>0</v>
      </c>
      <c r="C322">
        <v>0</v>
      </c>
      <c r="D322">
        <v>185</v>
      </c>
      <c r="E322">
        <v>0</v>
      </c>
      <c r="F322">
        <v>0</v>
      </c>
      <c r="G322">
        <v>20</v>
      </c>
      <c r="H322">
        <v>20</v>
      </c>
      <c r="I322" t="s">
        <v>1023</v>
      </c>
      <c r="U322"/>
      <c r="V322"/>
      <c r="W322"/>
    </row>
    <row r="323" spans="1:23">
      <c r="A323" s="2" t="s">
        <v>348</v>
      </c>
      <c r="B323">
        <v>0</v>
      </c>
      <c r="C323">
        <v>0</v>
      </c>
      <c r="D323">
        <v>185</v>
      </c>
      <c r="E323">
        <v>0</v>
      </c>
      <c r="F323">
        <v>0</v>
      </c>
      <c r="G323">
        <v>20</v>
      </c>
      <c r="H323">
        <v>20</v>
      </c>
      <c r="I323" t="s">
        <v>1023</v>
      </c>
      <c r="U323"/>
      <c r="V323"/>
      <c r="W323"/>
    </row>
    <row r="324" spans="1:23">
      <c r="A324" s="2" t="s">
        <v>349</v>
      </c>
      <c r="B324">
        <v>0</v>
      </c>
      <c r="C324">
        <v>0</v>
      </c>
      <c r="D324">
        <v>185</v>
      </c>
      <c r="E324">
        <v>0</v>
      </c>
      <c r="F324">
        <v>0</v>
      </c>
      <c r="G324">
        <v>20</v>
      </c>
      <c r="H324">
        <v>20</v>
      </c>
      <c r="I324" t="s">
        <v>1023</v>
      </c>
      <c r="U324"/>
      <c r="V324"/>
      <c r="W324"/>
    </row>
    <row r="325" spans="1:23">
      <c r="A325" s="2" t="s">
        <v>350</v>
      </c>
      <c r="B325">
        <v>0</v>
      </c>
      <c r="C325">
        <v>0</v>
      </c>
      <c r="D325">
        <v>185</v>
      </c>
      <c r="E325">
        <v>0</v>
      </c>
      <c r="F325">
        <v>0</v>
      </c>
      <c r="G325">
        <v>20</v>
      </c>
      <c r="H325">
        <v>20</v>
      </c>
      <c r="I325" t="s">
        <v>1023</v>
      </c>
      <c r="U325"/>
      <c r="V325"/>
      <c r="W325"/>
    </row>
    <row r="326" spans="1:23">
      <c r="A326" s="2" t="s">
        <v>351</v>
      </c>
      <c r="B326">
        <v>0</v>
      </c>
      <c r="C326">
        <v>0</v>
      </c>
      <c r="D326">
        <v>185</v>
      </c>
      <c r="E326">
        <v>0</v>
      </c>
      <c r="F326">
        <v>0</v>
      </c>
      <c r="G326">
        <v>20</v>
      </c>
      <c r="H326">
        <v>20</v>
      </c>
      <c r="I326" t="s">
        <v>1023</v>
      </c>
      <c r="U326"/>
      <c r="V326"/>
      <c r="W326"/>
    </row>
    <row r="327" spans="1:23">
      <c r="A327" s="2" t="s">
        <v>352</v>
      </c>
      <c r="B327">
        <v>0</v>
      </c>
      <c r="C327">
        <v>0</v>
      </c>
      <c r="D327">
        <v>185</v>
      </c>
      <c r="E327">
        <v>0</v>
      </c>
      <c r="F327">
        <v>0</v>
      </c>
      <c r="G327">
        <v>20</v>
      </c>
      <c r="H327">
        <v>20</v>
      </c>
      <c r="I327" t="s">
        <v>1023</v>
      </c>
      <c r="U327"/>
      <c r="V327"/>
      <c r="W327"/>
    </row>
    <row r="328" spans="1:23">
      <c r="A328" s="2" t="s">
        <v>353</v>
      </c>
      <c r="B328">
        <v>0</v>
      </c>
      <c r="C328">
        <v>0</v>
      </c>
      <c r="D328">
        <v>185</v>
      </c>
      <c r="E328">
        <v>0</v>
      </c>
      <c r="F328">
        <v>0</v>
      </c>
      <c r="G328">
        <v>20</v>
      </c>
      <c r="H328">
        <v>20</v>
      </c>
      <c r="I328" t="s">
        <v>1023</v>
      </c>
      <c r="U328"/>
      <c r="V328"/>
      <c r="W328"/>
    </row>
    <row r="329" spans="1:23">
      <c r="A329" s="2" t="s">
        <v>354</v>
      </c>
      <c r="B329">
        <v>0</v>
      </c>
      <c r="C329">
        <v>0</v>
      </c>
      <c r="D329">
        <v>185</v>
      </c>
      <c r="E329">
        <v>0</v>
      </c>
      <c r="F329">
        <v>0</v>
      </c>
      <c r="G329">
        <v>20</v>
      </c>
      <c r="H329">
        <v>20</v>
      </c>
      <c r="I329" t="s">
        <v>1023</v>
      </c>
      <c r="U329"/>
      <c r="V329"/>
      <c r="W329"/>
    </row>
    <row r="330" spans="1:23">
      <c r="A330" s="2" t="s">
        <v>355</v>
      </c>
      <c r="B330">
        <v>0</v>
      </c>
      <c r="C330">
        <v>0</v>
      </c>
      <c r="D330">
        <v>185</v>
      </c>
      <c r="E330">
        <v>0</v>
      </c>
      <c r="F330">
        <v>0</v>
      </c>
      <c r="G330">
        <v>20</v>
      </c>
      <c r="H330">
        <v>20</v>
      </c>
      <c r="I330" t="s">
        <v>1023</v>
      </c>
      <c r="U330"/>
      <c r="V330"/>
      <c r="W330"/>
    </row>
    <row r="331" spans="1:23">
      <c r="A331" s="2" t="s">
        <v>356</v>
      </c>
      <c r="B331">
        <v>0</v>
      </c>
      <c r="C331">
        <v>0</v>
      </c>
      <c r="D331">
        <v>185</v>
      </c>
      <c r="E331">
        <v>0</v>
      </c>
      <c r="F331">
        <v>0</v>
      </c>
      <c r="G331">
        <v>20</v>
      </c>
      <c r="H331">
        <v>20</v>
      </c>
      <c r="I331" t="s">
        <v>1023</v>
      </c>
      <c r="U331"/>
      <c r="V331"/>
      <c r="W331"/>
    </row>
    <row r="332" spans="1:23">
      <c r="A332" s="2" t="s">
        <v>357</v>
      </c>
      <c r="B332">
        <v>0</v>
      </c>
      <c r="C332">
        <v>0</v>
      </c>
      <c r="D332">
        <v>185</v>
      </c>
      <c r="E332">
        <v>0</v>
      </c>
      <c r="F332">
        <v>0</v>
      </c>
      <c r="G332">
        <v>20</v>
      </c>
      <c r="H332">
        <v>20</v>
      </c>
      <c r="I332" t="s">
        <v>1023</v>
      </c>
      <c r="U332"/>
      <c r="V332"/>
      <c r="W332"/>
    </row>
    <row r="333" spans="1:23">
      <c r="A333" s="2" t="s">
        <v>358</v>
      </c>
      <c r="B333">
        <v>0</v>
      </c>
      <c r="C333">
        <v>0</v>
      </c>
      <c r="D333">
        <v>185</v>
      </c>
      <c r="E333">
        <v>0</v>
      </c>
      <c r="F333">
        <v>0</v>
      </c>
      <c r="G333">
        <v>20</v>
      </c>
      <c r="H333">
        <v>20</v>
      </c>
      <c r="I333" t="s">
        <v>1023</v>
      </c>
      <c r="U333"/>
      <c r="V333"/>
      <c r="W333"/>
    </row>
    <row r="334" spans="1:23">
      <c r="A334" s="2" t="s">
        <v>359</v>
      </c>
      <c r="B334">
        <v>0</v>
      </c>
      <c r="C334">
        <v>0</v>
      </c>
      <c r="D334">
        <v>185</v>
      </c>
      <c r="E334">
        <v>0</v>
      </c>
      <c r="F334">
        <v>0</v>
      </c>
      <c r="G334">
        <v>20</v>
      </c>
      <c r="H334">
        <v>20</v>
      </c>
      <c r="I334" t="s">
        <v>1023</v>
      </c>
      <c r="U334"/>
      <c r="V334"/>
      <c r="W334"/>
    </row>
    <row r="335" spans="1:23">
      <c r="A335" s="2" t="s">
        <v>360</v>
      </c>
      <c r="B335">
        <v>0</v>
      </c>
      <c r="C335">
        <v>0</v>
      </c>
      <c r="D335">
        <v>185</v>
      </c>
      <c r="E335">
        <v>0</v>
      </c>
      <c r="F335">
        <v>0</v>
      </c>
      <c r="G335">
        <v>20</v>
      </c>
      <c r="H335">
        <v>20</v>
      </c>
      <c r="I335" t="s">
        <v>1023</v>
      </c>
      <c r="U335"/>
      <c r="V335"/>
      <c r="W335"/>
    </row>
    <row r="336" spans="1:23">
      <c r="A336" s="2" t="s">
        <v>361</v>
      </c>
      <c r="B336">
        <v>0</v>
      </c>
      <c r="C336">
        <v>0</v>
      </c>
      <c r="D336">
        <v>185</v>
      </c>
      <c r="E336">
        <v>0</v>
      </c>
      <c r="F336">
        <v>0</v>
      </c>
      <c r="G336">
        <v>20</v>
      </c>
      <c r="H336">
        <v>20</v>
      </c>
      <c r="I336" t="s">
        <v>1023</v>
      </c>
      <c r="U336"/>
      <c r="V336"/>
      <c r="W336"/>
    </row>
    <row r="337" spans="1:23">
      <c r="A337" s="2" t="s">
        <v>362</v>
      </c>
      <c r="B337">
        <v>0</v>
      </c>
      <c r="C337">
        <v>0</v>
      </c>
      <c r="D337">
        <v>185</v>
      </c>
      <c r="E337">
        <v>0</v>
      </c>
      <c r="F337">
        <v>0</v>
      </c>
      <c r="G337">
        <v>20</v>
      </c>
      <c r="H337">
        <v>20</v>
      </c>
      <c r="I337" t="s">
        <v>1023</v>
      </c>
      <c r="U337"/>
      <c r="V337"/>
      <c r="W337"/>
    </row>
    <row r="338" spans="1:23">
      <c r="A338" s="2" t="s">
        <v>363</v>
      </c>
      <c r="B338">
        <v>0</v>
      </c>
      <c r="C338">
        <v>0</v>
      </c>
      <c r="D338">
        <v>185</v>
      </c>
      <c r="E338">
        <v>0</v>
      </c>
      <c r="F338">
        <v>0</v>
      </c>
      <c r="G338">
        <v>20</v>
      </c>
      <c r="H338">
        <v>20</v>
      </c>
      <c r="I338" t="s">
        <v>1023</v>
      </c>
      <c r="U338"/>
      <c r="V338"/>
      <c r="W338"/>
    </row>
    <row r="339" spans="1:23">
      <c r="A339" s="2" t="s">
        <v>364</v>
      </c>
      <c r="B339">
        <v>0</v>
      </c>
      <c r="C339">
        <v>0</v>
      </c>
      <c r="D339">
        <v>185</v>
      </c>
      <c r="E339">
        <v>0</v>
      </c>
      <c r="F339">
        <v>0</v>
      </c>
      <c r="G339">
        <v>20</v>
      </c>
      <c r="H339">
        <v>20</v>
      </c>
      <c r="I339" t="s">
        <v>1023</v>
      </c>
      <c r="U339"/>
      <c r="V339"/>
      <c r="W339"/>
    </row>
    <row r="340" spans="1:23">
      <c r="A340" s="2" t="s">
        <v>365</v>
      </c>
      <c r="B340">
        <v>0</v>
      </c>
      <c r="C340">
        <v>0</v>
      </c>
      <c r="D340">
        <v>185</v>
      </c>
      <c r="E340">
        <v>0</v>
      </c>
      <c r="F340">
        <v>0</v>
      </c>
      <c r="G340">
        <v>20</v>
      </c>
      <c r="H340">
        <v>20</v>
      </c>
      <c r="I340" t="s">
        <v>1023</v>
      </c>
      <c r="U340"/>
      <c r="V340"/>
      <c r="W340"/>
    </row>
    <row r="341" spans="1:23">
      <c r="A341" s="2" t="s">
        <v>366</v>
      </c>
      <c r="B341">
        <v>0</v>
      </c>
      <c r="C341">
        <v>0</v>
      </c>
      <c r="D341">
        <v>185</v>
      </c>
      <c r="E341">
        <v>0</v>
      </c>
      <c r="F341">
        <v>0</v>
      </c>
      <c r="G341">
        <v>20</v>
      </c>
      <c r="H341">
        <v>20</v>
      </c>
      <c r="I341" t="s">
        <v>1023</v>
      </c>
      <c r="U341"/>
      <c r="V341"/>
      <c r="W341"/>
    </row>
    <row r="342" spans="1:23">
      <c r="A342" s="2" t="s">
        <v>367</v>
      </c>
      <c r="B342">
        <v>0</v>
      </c>
      <c r="C342">
        <v>0</v>
      </c>
      <c r="D342">
        <v>185</v>
      </c>
      <c r="E342">
        <v>0</v>
      </c>
      <c r="F342">
        <v>0</v>
      </c>
      <c r="G342">
        <v>20</v>
      </c>
      <c r="H342">
        <v>20</v>
      </c>
      <c r="I342" t="s">
        <v>1023</v>
      </c>
      <c r="U342"/>
      <c r="V342"/>
      <c r="W342"/>
    </row>
    <row r="343" spans="1:23">
      <c r="A343" s="2" t="s">
        <v>368</v>
      </c>
      <c r="B343">
        <v>0</v>
      </c>
      <c r="C343">
        <v>0</v>
      </c>
      <c r="D343">
        <v>185</v>
      </c>
      <c r="E343">
        <v>0</v>
      </c>
      <c r="F343">
        <v>0</v>
      </c>
      <c r="G343">
        <v>20</v>
      </c>
      <c r="H343">
        <v>20</v>
      </c>
      <c r="I343" t="s">
        <v>1023</v>
      </c>
      <c r="U343"/>
      <c r="V343"/>
      <c r="W343"/>
    </row>
    <row r="344" spans="1:23">
      <c r="A344" s="2" t="s">
        <v>369</v>
      </c>
      <c r="B344">
        <v>0</v>
      </c>
      <c r="C344">
        <v>0</v>
      </c>
      <c r="D344">
        <v>185</v>
      </c>
      <c r="E344">
        <v>0</v>
      </c>
      <c r="F344">
        <v>0</v>
      </c>
      <c r="G344">
        <v>20</v>
      </c>
      <c r="H344">
        <v>20</v>
      </c>
      <c r="I344" t="s">
        <v>1023</v>
      </c>
      <c r="U344"/>
      <c r="V344"/>
      <c r="W344"/>
    </row>
    <row r="345" spans="1:23">
      <c r="A345" s="2" t="s">
        <v>370</v>
      </c>
      <c r="B345">
        <v>0</v>
      </c>
      <c r="C345">
        <v>0</v>
      </c>
      <c r="D345">
        <v>185</v>
      </c>
      <c r="E345">
        <v>0</v>
      </c>
      <c r="F345">
        <v>0</v>
      </c>
      <c r="G345">
        <v>20</v>
      </c>
      <c r="H345">
        <v>20</v>
      </c>
      <c r="I345" t="s">
        <v>1023</v>
      </c>
      <c r="U345"/>
      <c r="V345"/>
      <c r="W345"/>
    </row>
    <row r="346" spans="1:23">
      <c r="A346" s="2" t="s">
        <v>371</v>
      </c>
      <c r="B346">
        <v>0</v>
      </c>
      <c r="C346">
        <v>0</v>
      </c>
      <c r="D346">
        <v>185</v>
      </c>
      <c r="E346">
        <v>0</v>
      </c>
      <c r="F346">
        <v>0</v>
      </c>
      <c r="G346">
        <v>20</v>
      </c>
      <c r="H346">
        <v>20</v>
      </c>
      <c r="I346" t="s">
        <v>1023</v>
      </c>
      <c r="U346"/>
      <c r="V346"/>
      <c r="W346"/>
    </row>
    <row r="347" spans="1:23">
      <c r="A347" s="2" t="s">
        <v>372</v>
      </c>
      <c r="B347">
        <v>0</v>
      </c>
      <c r="C347">
        <v>0</v>
      </c>
      <c r="D347">
        <v>185</v>
      </c>
      <c r="E347">
        <v>0</v>
      </c>
      <c r="F347">
        <v>0</v>
      </c>
      <c r="G347">
        <v>20</v>
      </c>
      <c r="H347">
        <v>20</v>
      </c>
      <c r="I347" t="s">
        <v>1023</v>
      </c>
      <c r="U347"/>
      <c r="V347"/>
      <c r="W347"/>
    </row>
    <row r="348" spans="1:23">
      <c r="A348" s="2" t="s">
        <v>373</v>
      </c>
      <c r="B348">
        <v>0</v>
      </c>
      <c r="C348">
        <v>0</v>
      </c>
      <c r="D348">
        <v>185</v>
      </c>
      <c r="E348">
        <v>0</v>
      </c>
      <c r="F348">
        <v>0</v>
      </c>
      <c r="G348">
        <v>20</v>
      </c>
      <c r="H348">
        <v>20</v>
      </c>
      <c r="I348" t="s">
        <v>1023</v>
      </c>
      <c r="U348"/>
      <c r="V348"/>
      <c r="W348"/>
    </row>
    <row r="349" spans="1:23">
      <c r="A349" s="2" t="s">
        <v>374</v>
      </c>
      <c r="B349">
        <v>0</v>
      </c>
      <c r="C349">
        <v>0</v>
      </c>
      <c r="D349">
        <v>185</v>
      </c>
      <c r="E349">
        <v>0</v>
      </c>
      <c r="F349">
        <v>0</v>
      </c>
      <c r="G349">
        <v>20</v>
      </c>
      <c r="H349">
        <v>20</v>
      </c>
      <c r="I349" t="s">
        <v>1023</v>
      </c>
      <c r="U349"/>
      <c r="V349"/>
      <c r="W349"/>
    </row>
    <row r="350" spans="1:23">
      <c r="A350" s="2" t="s">
        <v>375</v>
      </c>
      <c r="B350">
        <v>0</v>
      </c>
      <c r="C350">
        <v>0</v>
      </c>
      <c r="D350">
        <v>185</v>
      </c>
      <c r="E350">
        <v>0</v>
      </c>
      <c r="F350">
        <v>0</v>
      </c>
      <c r="G350">
        <v>20</v>
      </c>
      <c r="H350">
        <v>20</v>
      </c>
      <c r="I350" t="s">
        <v>1023</v>
      </c>
      <c r="U350"/>
      <c r="V350"/>
      <c r="W350"/>
    </row>
    <row r="351" spans="1:23">
      <c r="A351" s="2" t="s">
        <v>376</v>
      </c>
      <c r="B351">
        <v>0</v>
      </c>
      <c r="C351">
        <v>0</v>
      </c>
      <c r="D351">
        <v>185</v>
      </c>
      <c r="E351">
        <v>0</v>
      </c>
      <c r="F351">
        <v>0</v>
      </c>
      <c r="G351">
        <v>20</v>
      </c>
      <c r="H351">
        <v>20</v>
      </c>
      <c r="I351" t="s">
        <v>1023</v>
      </c>
      <c r="U351"/>
      <c r="V351"/>
      <c r="W351"/>
    </row>
    <row r="352" spans="1:23">
      <c r="A352" s="2" t="s">
        <v>377</v>
      </c>
      <c r="B352">
        <v>0</v>
      </c>
      <c r="C352">
        <v>0</v>
      </c>
      <c r="D352">
        <v>185</v>
      </c>
      <c r="E352">
        <v>0</v>
      </c>
      <c r="F352">
        <v>0</v>
      </c>
      <c r="G352">
        <v>20</v>
      </c>
      <c r="H352">
        <v>20</v>
      </c>
      <c r="I352" t="s">
        <v>1023</v>
      </c>
      <c r="U352"/>
      <c r="V352"/>
      <c r="W352"/>
    </row>
    <row r="353" spans="1:23">
      <c r="A353" s="2" t="s">
        <v>378</v>
      </c>
      <c r="B353">
        <v>0</v>
      </c>
      <c r="C353">
        <v>0</v>
      </c>
      <c r="D353">
        <v>185</v>
      </c>
      <c r="E353">
        <v>0</v>
      </c>
      <c r="F353">
        <v>0</v>
      </c>
      <c r="G353">
        <v>20</v>
      </c>
      <c r="H353">
        <v>20</v>
      </c>
      <c r="I353" t="s">
        <v>1023</v>
      </c>
      <c r="U353"/>
      <c r="V353"/>
      <c r="W353"/>
    </row>
    <row r="354" spans="1:23">
      <c r="A354" s="2" t="s">
        <v>379</v>
      </c>
      <c r="B354">
        <v>0</v>
      </c>
      <c r="C354">
        <v>0</v>
      </c>
      <c r="D354">
        <v>185</v>
      </c>
      <c r="E354">
        <v>0</v>
      </c>
      <c r="F354">
        <v>0</v>
      </c>
      <c r="G354">
        <v>20</v>
      </c>
      <c r="H354">
        <v>20</v>
      </c>
      <c r="I354" t="s">
        <v>1023</v>
      </c>
      <c r="U354"/>
      <c r="V354"/>
      <c r="W354"/>
    </row>
    <row r="355" spans="1:23">
      <c r="A355" s="2" t="s">
        <v>380</v>
      </c>
      <c r="B355">
        <v>0</v>
      </c>
      <c r="C355">
        <v>0</v>
      </c>
      <c r="D355">
        <v>185</v>
      </c>
      <c r="E355">
        <v>0</v>
      </c>
      <c r="F355">
        <v>0</v>
      </c>
      <c r="G355">
        <v>20</v>
      </c>
      <c r="H355">
        <v>20</v>
      </c>
      <c r="I355" t="s">
        <v>1023</v>
      </c>
      <c r="U355"/>
      <c r="V355"/>
      <c r="W355"/>
    </row>
    <row r="356" spans="1:23">
      <c r="A356" s="2" t="s">
        <v>381</v>
      </c>
      <c r="B356">
        <v>0</v>
      </c>
      <c r="C356">
        <v>0</v>
      </c>
      <c r="D356">
        <v>185</v>
      </c>
      <c r="E356">
        <v>0</v>
      </c>
      <c r="F356">
        <v>0</v>
      </c>
      <c r="G356">
        <v>20</v>
      </c>
      <c r="H356">
        <v>20</v>
      </c>
      <c r="I356" t="s">
        <v>1023</v>
      </c>
      <c r="U356"/>
      <c r="V356"/>
      <c r="W356"/>
    </row>
    <row r="357" spans="1:23">
      <c r="A357" s="2" t="s">
        <v>382</v>
      </c>
      <c r="B357">
        <v>0</v>
      </c>
      <c r="C357">
        <v>0</v>
      </c>
      <c r="D357">
        <v>185</v>
      </c>
      <c r="E357">
        <v>0</v>
      </c>
      <c r="F357">
        <v>0</v>
      </c>
      <c r="G357">
        <v>20</v>
      </c>
      <c r="H357">
        <v>20</v>
      </c>
      <c r="I357" t="s">
        <v>1023</v>
      </c>
      <c r="U357"/>
      <c r="V357"/>
      <c r="W357"/>
    </row>
    <row r="358" spans="1:23">
      <c r="A358" s="2" t="s">
        <v>383</v>
      </c>
      <c r="B358">
        <v>0</v>
      </c>
      <c r="C358">
        <v>0</v>
      </c>
      <c r="D358">
        <v>185</v>
      </c>
      <c r="E358">
        <v>0</v>
      </c>
      <c r="F358">
        <v>0</v>
      </c>
      <c r="G358">
        <v>20</v>
      </c>
      <c r="H358">
        <v>20</v>
      </c>
      <c r="I358" t="s">
        <v>1023</v>
      </c>
      <c r="U358"/>
      <c r="V358"/>
      <c r="W358"/>
    </row>
    <row r="359" spans="1:23">
      <c r="A359" s="2" t="s">
        <v>384</v>
      </c>
      <c r="B359">
        <v>0</v>
      </c>
      <c r="C359">
        <v>0</v>
      </c>
      <c r="D359">
        <v>185</v>
      </c>
      <c r="E359">
        <v>0</v>
      </c>
      <c r="F359">
        <v>0</v>
      </c>
      <c r="G359">
        <v>20</v>
      </c>
      <c r="H359">
        <v>20</v>
      </c>
      <c r="I359" t="s">
        <v>1023</v>
      </c>
      <c r="U359"/>
      <c r="V359"/>
      <c r="W359"/>
    </row>
    <row r="360" spans="1:23">
      <c r="A360" s="2" t="s">
        <v>385</v>
      </c>
      <c r="B360">
        <v>0</v>
      </c>
      <c r="C360">
        <v>0</v>
      </c>
      <c r="D360">
        <v>185</v>
      </c>
      <c r="E360">
        <v>0</v>
      </c>
      <c r="F360">
        <v>0</v>
      </c>
      <c r="G360">
        <v>20</v>
      </c>
      <c r="H360">
        <v>20</v>
      </c>
      <c r="I360" t="s">
        <v>1023</v>
      </c>
      <c r="U360"/>
      <c r="V360"/>
      <c r="W360"/>
    </row>
    <row r="361" spans="1:23">
      <c r="A361" s="2" t="s">
        <v>386</v>
      </c>
      <c r="B361">
        <v>0</v>
      </c>
      <c r="C361">
        <v>0</v>
      </c>
      <c r="D361">
        <v>185</v>
      </c>
      <c r="E361">
        <v>0</v>
      </c>
      <c r="F361">
        <v>0</v>
      </c>
      <c r="G361">
        <v>20</v>
      </c>
      <c r="H361">
        <v>20</v>
      </c>
      <c r="I361" t="s">
        <v>1023</v>
      </c>
      <c r="U361"/>
      <c r="V361"/>
      <c r="W361"/>
    </row>
    <row r="362" spans="1:23">
      <c r="A362" s="2" t="s">
        <v>387</v>
      </c>
      <c r="B362">
        <v>0</v>
      </c>
      <c r="C362">
        <v>0</v>
      </c>
      <c r="D362">
        <v>185</v>
      </c>
      <c r="E362">
        <v>0</v>
      </c>
      <c r="F362">
        <v>0</v>
      </c>
      <c r="G362">
        <v>20</v>
      </c>
      <c r="H362">
        <v>20</v>
      </c>
      <c r="I362" t="s">
        <v>1023</v>
      </c>
      <c r="U362"/>
      <c r="V362"/>
      <c r="W362"/>
    </row>
    <row r="363" spans="1:23">
      <c r="A363" s="2" t="s">
        <v>388</v>
      </c>
      <c r="B363">
        <v>0</v>
      </c>
      <c r="C363">
        <v>0</v>
      </c>
      <c r="D363">
        <v>185</v>
      </c>
      <c r="E363">
        <v>0</v>
      </c>
      <c r="F363">
        <v>0</v>
      </c>
      <c r="G363">
        <v>20</v>
      </c>
      <c r="H363">
        <v>20</v>
      </c>
      <c r="I363" t="s">
        <v>1023</v>
      </c>
      <c r="U363"/>
      <c r="V363"/>
      <c r="W363"/>
    </row>
    <row r="364" spans="1:23">
      <c r="A364" s="2" t="s">
        <v>389</v>
      </c>
      <c r="B364">
        <v>0</v>
      </c>
      <c r="C364">
        <v>0</v>
      </c>
      <c r="D364">
        <v>185</v>
      </c>
      <c r="E364">
        <v>0</v>
      </c>
      <c r="F364">
        <v>0</v>
      </c>
      <c r="G364">
        <v>20</v>
      </c>
      <c r="H364">
        <v>20</v>
      </c>
      <c r="I364" t="s">
        <v>1023</v>
      </c>
      <c r="U364"/>
      <c r="V364"/>
      <c r="W364"/>
    </row>
    <row r="365" spans="1:23">
      <c r="A365" s="2" t="s">
        <v>390</v>
      </c>
      <c r="B365">
        <v>0</v>
      </c>
      <c r="C365">
        <v>0</v>
      </c>
      <c r="D365">
        <v>185</v>
      </c>
      <c r="E365">
        <v>0</v>
      </c>
      <c r="F365">
        <v>0</v>
      </c>
      <c r="G365">
        <v>20</v>
      </c>
      <c r="H365">
        <v>20</v>
      </c>
      <c r="I365" t="s">
        <v>1023</v>
      </c>
      <c r="U365"/>
      <c r="V365"/>
      <c r="W365"/>
    </row>
    <row r="366" spans="1:23">
      <c r="A366" s="2" t="s">
        <v>391</v>
      </c>
      <c r="B366">
        <v>0</v>
      </c>
      <c r="C366">
        <v>0</v>
      </c>
      <c r="D366">
        <v>185</v>
      </c>
      <c r="E366">
        <v>0</v>
      </c>
      <c r="F366">
        <v>0</v>
      </c>
      <c r="G366">
        <v>20</v>
      </c>
      <c r="H366">
        <v>20</v>
      </c>
      <c r="I366" t="s">
        <v>1023</v>
      </c>
      <c r="U366"/>
      <c r="V366"/>
      <c r="W366"/>
    </row>
    <row r="367" spans="1:23">
      <c r="A367" s="2" t="s">
        <v>392</v>
      </c>
      <c r="B367">
        <v>0</v>
      </c>
      <c r="C367">
        <v>0</v>
      </c>
      <c r="D367">
        <v>185</v>
      </c>
      <c r="E367">
        <v>0</v>
      </c>
      <c r="F367">
        <v>0</v>
      </c>
      <c r="G367">
        <v>20</v>
      </c>
      <c r="H367">
        <v>20</v>
      </c>
      <c r="I367" t="s">
        <v>1023</v>
      </c>
      <c r="U367"/>
      <c r="V367"/>
      <c r="W367"/>
    </row>
    <row r="368" spans="1:23">
      <c r="A368" s="2" t="s">
        <v>393</v>
      </c>
      <c r="B368">
        <v>0</v>
      </c>
      <c r="C368">
        <v>0</v>
      </c>
      <c r="D368">
        <v>185</v>
      </c>
      <c r="E368">
        <v>0</v>
      </c>
      <c r="F368">
        <v>0</v>
      </c>
      <c r="G368">
        <v>20</v>
      </c>
      <c r="H368">
        <v>20</v>
      </c>
      <c r="I368" t="s">
        <v>1023</v>
      </c>
      <c r="U368"/>
      <c r="V368"/>
      <c r="W368"/>
    </row>
    <row r="369" spans="1:23">
      <c r="A369" s="2" t="s">
        <v>394</v>
      </c>
      <c r="B369">
        <v>0</v>
      </c>
      <c r="C369">
        <v>0</v>
      </c>
      <c r="D369">
        <v>185</v>
      </c>
      <c r="E369">
        <v>0</v>
      </c>
      <c r="F369">
        <v>0</v>
      </c>
      <c r="G369">
        <v>20</v>
      </c>
      <c r="H369">
        <v>20</v>
      </c>
      <c r="I369" t="s">
        <v>1023</v>
      </c>
      <c r="U369"/>
      <c r="V369"/>
      <c r="W369"/>
    </row>
    <row r="370" spans="1:23">
      <c r="A370" s="2" t="s">
        <v>395</v>
      </c>
      <c r="B370">
        <v>0</v>
      </c>
      <c r="C370">
        <v>0</v>
      </c>
      <c r="D370">
        <v>185</v>
      </c>
      <c r="E370">
        <v>0</v>
      </c>
      <c r="F370">
        <v>0</v>
      </c>
      <c r="G370">
        <v>20</v>
      </c>
      <c r="H370">
        <v>20</v>
      </c>
      <c r="I370" t="s">
        <v>1023</v>
      </c>
      <c r="U370"/>
      <c r="V370"/>
      <c r="W370"/>
    </row>
    <row r="371" spans="1:23">
      <c r="A371" s="2" t="s">
        <v>396</v>
      </c>
      <c r="B371">
        <v>0</v>
      </c>
      <c r="C371">
        <v>0</v>
      </c>
      <c r="D371">
        <v>185</v>
      </c>
      <c r="E371">
        <v>0</v>
      </c>
      <c r="F371">
        <v>0</v>
      </c>
      <c r="G371">
        <v>20</v>
      </c>
      <c r="H371">
        <v>20</v>
      </c>
      <c r="I371" t="s">
        <v>1023</v>
      </c>
      <c r="U371"/>
      <c r="V371"/>
      <c r="W371"/>
    </row>
    <row r="372" spans="1:23">
      <c r="A372" s="2" t="s">
        <v>397</v>
      </c>
      <c r="B372">
        <v>0</v>
      </c>
      <c r="C372">
        <v>0</v>
      </c>
      <c r="D372">
        <v>185</v>
      </c>
      <c r="E372">
        <v>0</v>
      </c>
      <c r="F372">
        <v>0</v>
      </c>
      <c r="G372">
        <v>20</v>
      </c>
      <c r="H372">
        <v>20</v>
      </c>
      <c r="I372" t="s">
        <v>1023</v>
      </c>
      <c r="U372"/>
      <c r="V372"/>
      <c r="W372"/>
    </row>
    <row r="373" spans="1:23">
      <c r="A373" s="2" t="s">
        <v>398</v>
      </c>
      <c r="B373">
        <v>0</v>
      </c>
      <c r="C373">
        <v>0</v>
      </c>
      <c r="D373">
        <v>185</v>
      </c>
      <c r="E373">
        <v>0</v>
      </c>
      <c r="F373">
        <v>0</v>
      </c>
      <c r="G373">
        <v>20</v>
      </c>
      <c r="H373">
        <v>20</v>
      </c>
      <c r="I373" t="s">
        <v>1023</v>
      </c>
      <c r="U373"/>
      <c r="V373"/>
      <c r="W373"/>
    </row>
    <row r="374" spans="1:23">
      <c r="A374" s="2" t="s">
        <v>399</v>
      </c>
      <c r="B374">
        <v>0</v>
      </c>
      <c r="C374">
        <v>0</v>
      </c>
      <c r="D374">
        <v>185</v>
      </c>
      <c r="E374">
        <v>0</v>
      </c>
      <c r="F374">
        <v>0</v>
      </c>
      <c r="G374">
        <v>20</v>
      </c>
      <c r="H374">
        <v>20</v>
      </c>
      <c r="I374" t="s">
        <v>1023</v>
      </c>
      <c r="U374"/>
      <c r="V374"/>
      <c r="W374"/>
    </row>
    <row r="375" spans="1:23">
      <c r="A375" s="2" t="s">
        <v>400</v>
      </c>
      <c r="B375">
        <v>0</v>
      </c>
      <c r="C375">
        <v>0</v>
      </c>
      <c r="D375">
        <v>185</v>
      </c>
      <c r="E375">
        <v>0</v>
      </c>
      <c r="F375">
        <v>0</v>
      </c>
      <c r="G375">
        <v>20</v>
      </c>
      <c r="H375">
        <v>20</v>
      </c>
      <c r="I375" t="s">
        <v>1023</v>
      </c>
      <c r="U375"/>
      <c r="V375"/>
      <c r="W375"/>
    </row>
    <row r="376" spans="1:23">
      <c r="A376" s="2" t="s">
        <v>401</v>
      </c>
      <c r="B376">
        <v>0</v>
      </c>
      <c r="C376">
        <v>0</v>
      </c>
      <c r="D376">
        <v>185</v>
      </c>
      <c r="E376">
        <v>0</v>
      </c>
      <c r="F376">
        <v>0</v>
      </c>
      <c r="G376">
        <v>20</v>
      </c>
      <c r="H376">
        <v>20</v>
      </c>
      <c r="I376" t="s">
        <v>1023</v>
      </c>
      <c r="U376"/>
      <c r="V376"/>
      <c r="W376"/>
    </row>
    <row r="377" spans="1:23">
      <c r="A377" s="2" t="s">
        <v>402</v>
      </c>
      <c r="B377">
        <v>0</v>
      </c>
      <c r="C377">
        <v>0</v>
      </c>
      <c r="D377">
        <v>185</v>
      </c>
      <c r="E377">
        <v>0</v>
      </c>
      <c r="F377">
        <v>0</v>
      </c>
      <c r="G377">
        <v>20</v>
      </c>
      <c r="H377">
        <v>20</v>
      </c>
      <c r="I377" t="s">
        <v>1023</v>
      </c>
      <c r="U377"/>
      <c r="V377"/>
      <c r="W377"/>
    </row>
    <row r="378" spans="1:23">
      <c r="A378" s="2" t="s">
        <v>403</v>
      </c>
      <c r="B378">
        <v>0</v>
      </c>
      <c r="C378">
        <v>0</v>
      </c>
      <c r="D378">
        <v>185</v>
      </c>
      <c r="E378">
        <v>0</v>
      </c>
      <c r="F378">
        <v>0</v>
      </c>
      <c r="G378">
        <v>20</v>
      </c>
      <c r="H378">
        <v>20</v>
      </c>
      <c r="I378" t="s">
        <v>1023</v>
      </c>
      <c r="U378"/>
      <c r="V378"/>
      <c r="W378"/>
    </row>
    <row r="379" spans="1:23">
      <c r="A379" s="2" t="s">
        <v>404</v>
      </c>
      <c r="B379">
        <v>0</v>
      </c>
      <c r="C379">
        <v>0</v>
      </c>
      <c r="D379">
        <v>185</v>
      </c>
      <c r="E379">
        <v>0</v>
      </c>
      <c r="F379">
        <v>0</v>
      </c>
      <c r="G379">
        <v>20</v>
      </c>
      <c r="H379">
        <v>20</v>
      </c>
      <c r="I379" t="s">
        <v>1023</v>
      </c>
      <c r="U379"/>
      <c r="V379"/>
      <c r="W379"/>
    </row>
    <row r="380" spans="1:23">
      <c r="A380" s="2" t="s">
        <v>405</v>
      </c>
      <c r="B380">
        <v>0</v>
      </c>
      <c r="C380">
        <v>0</v>
      </c>
      <c r="D380">
        <v>185</v>
      </c>
      <c r="E380">
        <v>0</v>
      </c>
      <c r="F380">
        <v>0</v>
      </c>
      <c r="G380">
        <v>20</v>
      </c>
      <c r="H380">
        <v>20</v>
      </c>
      <c r="I380" t="s">
        <v>1023</v>
      </c>
      <c r="U380"/>
      <c r="V380"/>
      <c r="W380"/>
    </row>
    <row r="381" spans="1:23">
      <c r="A381" s="2" t="s">
        <v>406</v>
      </c>
      <c r="B381">
        <v>0</v>
      </c>
      <c r="C381">
        <v>0</v>
      </c>
      <c r="D381">
        <v>185</v>
      </c>
      <c r="E381">
        <v>0</v>
      </c>
      <c r="F381">
        <v>0</v>
      </c>
      <c r="G381">
        <v>20</v>
      </c>
      <c r="H381">
        <v>20</v>
      </c>
      <c r="I381" t="s">
        <v>1023</v>
      </c>
      <c r="U381"/>
      <c r="V381"/>
      <c r="W381"/>
    </row>
    <row r="382" spans="1:23">
      <c r="A382" s="2" t="s">
        <v>407</v>
      </c>
      <c r="B382">
        <v>0</v>
      </c>
      <c r="C382">
        <v>0</v>
      </c>
      <c r="D382">
        <v>185</v>
      </c>
      <c r="E382">
        <v>0</v>
      </c>
      <c r="F382">
        <v>0</v>
      </c>
      <c r="G382">
        <v>20</v>
      </c>
      <c r="H382">
        <v>20</v>
      </c>
      <c r="I382" t="s">
        <v>1023</v>
      </c>
      <c r="U382"/>
      <c r="V382"/>
      <c r="W382"/>
    </row>
    <row r="383" spans="1:23">
      <c r="A383" s="2" t="s">
        <v>408</v>
      </c>
      <c r="B383">
        <v>0</v>
      </c>
      <c r="C383">
        <v>0</v>
      </c>
      <c r="D383">
        <v>185</v>
      </c>
      <c r="E383">
        <v>0</v>
      </c>
      <c r="F383">
        <v>0</v>
      </c>
      <c r="G383">
        <v>20</v>
      </c>
      <c r="H383">
        <v>20</v>
      </c>
      <c r="I383" t="s">
        <v>1023</v>
      </c>
      <c r="U383"/>
      <c r="V383"/>
      <c r="W383"/>
    </row>
    <row r="384" spans="1:23">
      <c r="A384" s="2" t="s">
        <v>409</v>
      </c>
      <c r="B384">
        <v>0</v>
      </c>
      <c r="C384">
        <v>0</v>
      </c>
      <c r="D384">
        <v>185</v>
      </c>
      <c r="E384">
        <v>0</v>
      </c>
      <c r="F384">
        <v>0</v>
      </c>
      <c r="G384">
        <v>20</v>
      </c>
      <c r="H384">
        <v>20</v>
      </c>
      <c r="I384" t="s">
        <v>1023</v>
      </c>
      <c r="U384"/>
      <c r="V384"/>
      <c r="W384"/>
    </row>
    <row r="385" spans="1:23">
      <c r="A385" s="2" t="s">
        <v>410</v>
      </c>
      <c r="B385">
        <v>0</v>
      </c>
      <c r="C385">
        <v>0</v>
      </c>
      <c r="D385">
        <v>185</v>
      </c>
      <c r="E385">
        <v>0</v>
      </c>
      <c r="F385">
        <v>0</v>
      </c>
      <c r="G385">
        <v>20</v>
      </c>
      <c r="H385">
        <v>20</v>
      </c>
      <c r="I385" t="s">
        <v>1023</v>
      </c>
      <c r="U385"/>
      <c r="V385"/>
      <c r="W385"/>
    </row>
    <row r="386" spans="1:23">
      <c r="A386" s="2" t="s">
        <v>411</v>
      </c>
      <c r="B386">
        <v>0</v>
      </c>
      <c r="C386">
        <v>0</v>
      </c>
      <c r="D386">
        <v>185</v>
      </c>
      <c r="E386">
        <v>0</v>
      </c>
      <c r="F386">
        <v>0</v>
      </c>
      <c r="G386">
        <v>20</v>
      </c>
      <c r="H386">
        <v>20</v>
      </c>
      <c r="I386" t="s">
        <v>1023</v>
      </c>
      <c r="U386"/>
      <c r="V386"/>
      <c r="W386"/>
    </row>
    <row r="387" spans="1:23">
      <c r="A387" s="2" t="s">
        <v>412</v>
      </c>
      <c r="B387">
        <v>0</v>
      </c>
      <c r="C387">
        <v>0</v>
      </c>
      <c r="D387">
        <v>185</v>
      </c>
      <c r="E387">
        <v>0</v>
      </c>
      <c r="F387">
        <v>0</v>
      </c>
      <c r="G387">
        <v>20</v>
      </c>
      <c r="H387">
        <v>20</v>
      </c>
      <c r="I387" t="s">
        <v>1023</v>
      </c>
      <c r="U387"/>
      <c r="V387"/>
      <c r="W387"/>
    </row>
    <row r="388" spans="1:23">
      <c r="A388" s="2" t="s">
        <v>413</v>
      </c>
      <c r="B388">
        <v>0</v>
      </c>
      <c r="C388">
        <v>0</v>
      </c>
      <c r="D388">
        <v>185</v>
      </c>
      <c r="E388">
        <v>0</v>
      </c>
      <c r="F388">
        <v>0</v>
      </c>
      <c r="G388">
        <v>20</v>
      </c>
      <c r="H388">
        <v>20</v>
      </c>
      <c r="I388" t="s">
        <v>1023</v>
      </c>
      <c r="U388"/>
      <c r="V388"/>
      <c r="W388"/>
    </row>
    <row r="389" spans="1:23">
      <c r="A389" s="2" t="s">
        <v>414</v>
      </c>
      <c r="B389">
        <v>0</v>
      </c>
      <c r="C389">
        <v>0</v>
      </c>
      <c r="D389">
        <v>185</v>
      </c>
      <c r="E389">
        <v>0</v>
      </c>
      <c r="F389">
        <v>0</v>
      </c>
      <c r="G389">
        <v>20</v>
      </c>
      <c r="H389">
        <v>20</v>
      </c>
      <c r="I389" t="s">
        <v>1023</v>
      </c>
      <c r="U389"/>
      <c r="V389"/>
      <c r="W389"/>
    </row>
    <row r="390" spans="1:23">
      <c r="A390" s="2" t="s">
        <v>415</v>
      </c>
      <c r="B390">
        <v>0</v>
      </c>
      <c r="C390">
        <v>0</v>
      </c>
      <c r="D390">
        <v>185</v>
      </c>
      <c r="E390">
        <v>0</v>
      </c>
      <c r="F390">
        <v>0</v>
      </c>
      <c r="G390">
        <v>20</v>
      </c>
      <c r="H390">
        <v>20</v>
      </c>
      <c r="I390" t="s">
        <v>1023</v>
      </c>
      <c r="U390"/>
      <c r="V390"/>
      <c r="W390"/>
    </row>
    <row r="391" spans="1:23">
      <c r="A391" s="2" t="s">
        <v>416</v>
      </c>
      <c r="B391">
        <v>0</v>
      </c>
      <c r="C391">
        <v>0</v>
      </c>
      <c r="D391">
        <v>185</v>
      </c>
      <c r="E391">
        <v>0</v>
      </c>
      <c r="F391">
        <v>0</v>
      </c>
      <c r="G391">
        <v>20</v>
      </c>
      <c r="H391">
        <v>20</v>
      </c>
      <c r="I391" t="s">
        <v>1023</v>
      </c>
      <c r="U391"/>
      <c r="V391"/>
      <c r="W391"/>
    </row>
    <row r="392" spans="1:23">
      <c r="A392" s="2" t="s">
        <v>417</v>
      </c>
      <c r="B392">
        <v>0</v>
      </c>
      <c r="C392">
        <v>0</v>
      </c>
      <c r="D392">
        <v>185</v>
      </c>
      <c r="E392">
        <v>0</v>
      </c>
      <c r="F392">
        <v>0</v>
      </c>
      <c r="G392">
        <v>20</v>
      </c>
      <c r="H392">
        <v>20</v>
      </c>
      <c r="I392" t="s">
        <v>1023</v>
      </c>
      <c r="U392"/>
      <c r="V392"/>
      <c r="W392"/>
    </row>
    <row r="393" spans="1:23">
      <c r="A393" s="2" t="s">
        <v>418</v>
      </c>
      <c r="B393">
        <v>0</v>
      </c>
      <c r="C393">
        <v>0</v>
      </c>
      <c r="D393">
        <v>185</v>
      </c>
      <c r="E393">
        <v>0</v>
      </c>
      <c r="F393">
        <v>0</v>
      </c>
      <c r="G393">
        <v>20</v>
      </c>
      <c r="H393">
        <v>20</v>
      </c>
      <c r="I393" t="s">
        <v>1023</v>
      </c>
      <c r="U393"/>
      <c r="V393"/>
      <c r="W393"/>
    </row>
    <row r="394" spans="1:23">
      <c r="A394" s="2" t="s">
        <v>419</v>
      </c>
      <c r="B394">
        <v>0</v>
      </c>
      <c r="C394">
        <v>0</v>
      </c>
      <c r="D394">
        <v>185</v>
      </c>
      <c r="E394">
        <v>0</v>
      </c>
      <c r="F394">
        <v>0</v>
      </c>
      <c r="G394">
        <v>20</v>
      </c>
      <c r="H394">
        <v>20</v>
      </c>
      <c r="I394" t="s">
        <v>1023</v>
      </c>
      <c r="U394"/>
      <c r="V394"/>
      <c r="W394"/>
    </row>
    <row r="395" spans="1:23">
      <c r="A395" s="2" t="s">
        <v>420</v>
      </c>
      <c r="B395">
        <v>0</v>
      </c>
      <c r="C395">
        <v>0</v>
      </c>
      <c r="D395">
        <v>185</v>
      </c>
      <c r="E395">
        <v>0</v>
      </c>
      <c r="F395">
        <v>0</v>
      </c>
      <c r="G395">
        <v>20</v>
      </c>
      <c r="H395">
        <v>20</v>
      </c>
      <c r="I395" t="s">
        <v>1023</v>
      </c>
      <c r="U395"/>
      <c r="V395"/>
      <c r="W395"/>
    </row>
    <row r="396" spans="1:23">
      <c r="A396" s="2" t="s">
        <v>421</v>
      </c>
      <c r="B396">
        <v>0</v>
      </c>
      <c r="C396">
        <v>0</v>
      </c>
      <c r="D396">
        <v>185</v>
      </c>
      <c r="E396">
        <v>0</v>
      </c>
      <c r="F396">
        <v>0</v>
      </c>
      <c r="G396">
        <v>20</v>
      </c>
      <c r="H396">
        <v>20</v>
      </c>
      <c r="I396" t="s">
        <v>1023</v>
      </c>
      <c r="U396"/>
      <c r="V396"/>
      <c r="W396"/>
    </row>
    <row r="397" spans="1:23">
      <c r="A397" s="2" t="s">
        <v>422</v>
      </c>
      <c r="B397">
        <v>0</v>
      </c>
      <c r="C397">
        <v>0</v>
      </c>
      <c r="D397">
        <v>185</v>
      </c>
      <c r="E397">
        <v>0</v>
      </c>
      <c r="F397">
        <v>0</v>
      </c>
      <c r="G397">
        <v>20</v>
      </c>
      <c r="H397">
        <v>20</v>
      </c>
      <c r="I397" t="s">
        <v>1023</v>
      </c>
      <c r="U397"/>
      <c r="V397"/>
      <c r="W397"/>
    </row>
    <row r="398" spans="1:23">
      <c r="A398" s="2" t="s">
        <v>423</v>
      </c>
      <c r="B398">
        <v>0</v>
      </c>
      <c r="C398">
        <v>0</v>
      </c>
      <c r="D398">
        <v>185</v>
      </c>
      <c r="E398">
        <v>0</v>
      </c>
      <c r="F398">
        <v>0</v>
      </c>
      <c r="G398">
        <v>20</v>
      </c>
      <c r="H398">
        <v>20</v>
      </c>
      <c r="I398" t="s">
        <v>1023</v>
      </c>
      <c r="U398"/>
      <c r="V398"/>
      <c r="W398"/>
    </row>
    <row r="399" spans="1:23">
      <c r="A399" s="2" t="s">
        <v>424</v>
      </c>
      <c r="B399">
        <v>0</v>
      </c>
      <c r="C399">
        <v>0</v>
      </c>
      <c r="D399">
        <v>185</v>
      </c>
      <c r="E399">
        <v>0</v>
      </c>
      <c r="F399">
        <v>0</v>
      </c>
      <c r="G399">
        <v>20</v>
      </c>
      <c r="H399">
        <v>20</v>
      </c>
      <c r="I399" t="s">
        <v>1023</v>
      </c>
      <c r="U399"/>
      <c r="V399"/>
      <c r="W399"/>
    </row>
    <row r="400" spans="1:23">
      <c r="A400" s="2" t="s">
        <v>425</v>
      </c>
      <c r="B400">
        <v>0</v>
      </c>
      <c r="C400">
        <v>0</v>
      </c>
      <c r="D400">
        <v>185</v>
      </c>
      <c r="E400">
        <v>0</v>
      </c>
      <c r="F400">
        <v>0</v>
      </c>
      <c r="G400">
        <v>20</v>
      </c>
      <c r="H400">
        <v>20</v>
      </c>
      <c r="I400" t="s">
        <v>1023</v>
      </c>
      <c r="U400"/>
      <c r="V400"/>
      <c r="W400"/>
    </row>
    <row r="401" spans="1:23">
      <c r="A401" s="2" t="s">
        <v>426</v>
      </c>
      <c r="B401">
        <v>0</v>
      </c>
      <c r="C401">
        <v>0</v>
      </c>
      <c r="D401">
        <v>185</v>
      </c>
      <c r="E401">
        <v>0</v>
      </c>
      <c r="F401">
        <v>0</v>
      </c>
      <c r="G401">
        <v>20</v>
      </c>
      <c r="H401">
        <v>20</v>
      </c>
      <c r="I401" t="s">
        <v>1023</v>
      </c>
      <c r="U401"/>
      <c r="V401"/>
      <c r="W401"/>
    </row>
    <row r="402" spans="1:23">
      <c r="A402" s="2" t="s">
        <v>427</v>
      </c>
      <c r="B402">
        <v>0</v>
      </c>
      <c r="C402">
        <v>0</v>
      </c>
      <c r="D402">
        <v>185</v>
      </c>
      <c r="E402">
        <v>0</v>
      </c>
      <c r="F402">
        <v>0</v>
      </c>
      <c r="G402">
        <v>20</v>
      </c>
      <c r="H402">
        <v>20</v>
      </c>
      <c r="I402" t="s">
        <v>1023</v>
      </c>
      <c r="U402"/>
      <c r="V402"/>
      <c r="W402"/>
    </row>
    <row r="403" spans="1:23">
      <c r="A403" s="2" t="s">
        <v>428</v>
      </c>
      <c r="B403">
        <v>0</v>
      </c>
      <c r="C403">
        <v>0</v>
      </c>
      <c r="D403">
        <v>185</v>
      </c>
      <c r="E403">
        <v>0</v>
      </c>
      <c r="F403">
        <v>0</v>
      </c>
      <c r="G403">
        <v>20</v>
      </c>
      <c r="H403">
        <v>20</v>
      </c>
      <c r="I403" t="s">
        <v>1023</v>
      </c>
      <c r="U403"/>
      <c r="V403"/>
      <c r="W403"/>
    </row>
    <row r="404" spans="1:23">
      <c r="A404" s="2" t="s">
        <v>429</v>
      </c>
      <c r="B404">
        <v>0</v>
      </c>
      <c r="C404">
        <v>0</v>
      </c>
      <c r="D404">
        <v>185</v>
      </c>
      <c r="E404">
        <v>0</v>
      </c>
      <c r="F404">
        <v>0</v>
      </c>
      <c r="G404">
        <v>20</v>
      </c>
      <c r="H404">
        <v>20</v>
      </c>
      <c r="I404" t="s">
        <v>1023</v>
      </c>
      <c r="U404"/>
      <c r="V404"/>
      <c r="W404"/>
    </row>
    <row r="405" spans="1:23">
      <c r="A405" s="2" t="s">
        <v>430</v>
      </c>
      <c r="B405">
        <v>0</v>
      </c>
      <c r="C405">
        <v>0</v>
      </c>
      <c r="D405">
        <v>185</v>
      </c>
      <c r="E405">
        <v>0</v>
      </c>
      <c r="F405">
        <v>0</v>
      </c>
      <c r="G405">
        <v>20</v>
      </c>
      <c r="H405">
        <v>20</v>
      </c>
      <c r="I405" t="s">
        <v>1023</v>
      </c>
      <c r="U405"/>
      <c r="V405"/>
      <c r="W405"/>
    </row>
    <row r="406" spans="1:23">
      <c r="A406" s="2" t="s">
        <v>431</v>
      </c>
      <c r="B406">
        <v>0</v>
      </c>
      <c r="C406">
        <v>0</v>
      </c>
      <c r="D406">
        <v>185</v>
      </c>
      <c r="E406">
        <v>0</v>
      </c>
      <c r="F406">
        <v>0</v>
      </c>
      <c r="G406">
        <v>20</v>
      </c>
      <c r="H406">
        <v>20</v>
      </c>
      <c r="I406" t="s">
        <v>1023</v>
      </c>
      <c r="U406"/>
      <c r="V406"/>
      <c r="W406"/>
    </row>
    <row r="407" spans="1:23">
      <c r="A407" s="2" t="s">
        <v>432</v>
      </c>
      <c r="B407">
        <v>0</v>
      </c>
      <c r="C407">
        <v>0</v>
      </c>
      <c r="D407">
        <v>185</v>
      </c>
      <c r="E407">
        <v>0</v>
      </c>
      <c r="F407">
        <v>0</v>
      </c>
      <c r="G407">
        <v>20</v>
      </c>
      <c r="H407">
        <v>20</v>
      </c>
      <c r="I407" t="s">
        <v>1023</v>
      </c>
      <c r="U407"/>
      <c r="V407"/>
      <c r="W407"/>
    </row>
    <row r="408" spans="1:23">
      <c r="A408" s="2" t="s">
        <v>433</v>
      </c>
      <c r="B408">
        <v>0</v>
      </c>
      <c r="C408">
        <v>0</v>
      </c>
      <c r="D408">
        <v>185</v>
      </c>
      <c r="E408">
        <v>0</v>
      </c>
      <c r="F408">
        <v>0</v>
      </c>
      <c r="G408">
        <v>20</v>
      </c>
      <c r="H408">
        <v>20</v>
      </c>
      <c r="I408" t="s">
        <v>1023</v>
      </c>
      <c r="U408"/>
      <c r="V408"/>
      <c r="W408"/>
    </row>
    <row r="409" spans="1:23">
      <c r="A409" s="2" t="s">
        <v>434</v>
      </c>
      <c r="B409">
        <v>0</v>
      </c>
      <c r="C409">
        <v>0</v>
      </c>
      <c r="D409">
        <v>185</v>
      </c>
      <c r="E409">
        <v>0</v>
      </c>
      <c r="F409">
        <v>0</v>
      </c>
      <c r="G409">
        <v>20</v>
      </c>
      <c r="H409">
        <v>20</v>
      </c>
      <c r="I409" t="s">
        <v>1023</v>
      </c>
      <c r="U409"/>
      <c r="V409"/>
      <c r="W409"/>
    </row>
    <row r="410" spans="1:23">
      <c r="A410" s="2" t="s">
        <v>435</v>
      </c>
      <c r="B410">
        <v>0</v>
      </c>
      <c r="C410">
        <v>0</v>
      </c>
      <c r="D410">
        <v>185</v>
      </c>
      <c r="E410">
        <v>0</v>
      </c>
      <c r="F410">
        <v>0</v>
      </c>
      <c r="G410">
        <v>20</v>
      </c>
      <c r="H410">
        <v>20</v>
      </c>
      <c r="I410" t="s">
        <v>1023</v>
      </c>
      <c r="U410"/>
      <c r="V410"/>
      <c r="W410"/>
    </row>
    <row r="411" spans="1:23">
      <c r="A411" s="2" t="s">
        <v>436</v>
      </c>
      <c r="B411">
        <v>0</v>
      </c>
      <c r="C411">
        <v>0</v>
      </c>
      <c r="D411">
        <v>185</v>
      </c>
      <c r="E411">
        <v>0</v>
      </c>
      <c r="F411">
        <v>0</v>
      </c>
      <c r="G411">
        <v>20</v>
      </c>
      <c r="H411">
        <v>20</v>
      </c>
      <c r="I411" t="s">
        <v>1023</v>
      </c>
      <c r="U411"/>
      <c r="V411"/>
      <c r="W411"/>
    </row>
    <row r="412" spans="1:23">
      <c r="A412" s="2" t="s">
        <v>437</v>
      </c>
      <c r="B412">
        <v>0</v>
      </c>
      <c r="C412">
        <v>0</v>
      </c>
      <c r="D412">
        <v>185</v>
      </c>
      <c r="E412">
        <v>0</v>
      </c>
      <c r="F412">
        <v>0</v>
      </c>
      <c r="G412">
        <v>20</v>
      </c>
      <c r="H412">
        <v>20</v>
      </c>
      <c r="I412" t="s">
        <v>1023</v>
      </c>
      <c r="U412"/>
      <c r="V412"/>
      <c r="W412"/>
    </row>
    <row r="413" spans="1:23">
      <c r="A413" s="2" t="s">
        <v>438</v>
      </c>
      <c r="B413">
        <v>0</v>
      </c>
      <c r="C413">
        <v>0</v>
      </c>
      <c r="D413">
        <v>185</v>
      </c>
      <c r="E413">
        <v>0</v>
      </c>
      <c r="F413">
        <v>0</v>
      </c>
      <c r="G413">
        <v>20</v>
      </c>
      <c r="H413">
        <v>20</v>
      </c>
      <c r="I413" t="s">
        <v>1023</v>
      </c>
      <c r="U413"/>
      <c r="V413"/>
      <c r="W413"/>
    </row>
    <row r="414" spans="1:23">
      <c r="A414" s="2" t="s">
        <v>439</v>
      </c>
      <c r="B414">
        <v>0</v>
      </c>
      <c r="C414">
        <v>0</v>
      </c>
      <c r="D414">
        <v>185</v>
      </c>
      <c r="E414">
        <v>0</v>
      </c>
      <c r="F414">
        <v>0</v>
      </c>
      <c r="G414">
        <v>20</v>
      </c>
      <c r="H414">
        <v>20</v>
      </c>
      <c r="I414" t="s">
        <v>1023</v>
      </c>
      <c r="U414"/>
      <c r="V414"/>
      <c r="W414"/>
    </row>
    <row r="415" spans="1:23">
      <c r="A415" s="2" t="s">
        <v>440</v>
      </c>
      <c r="B415">
        <v>0</v>
      </c>
      <c r="C415">
        <v>0</v>
      </c>
      <c r="D415">
        <v>185</v>
      </c>
      <c r="E415">
        <v>0</v>
      </c>
      <c r="F415">
        <v>0</v>
      </c>
      <c r="G415">
        <v>20</v>
      </c>
      <c r="H415">
        <v>20</v>
      </c>
      <c r="I415" t="s">
        <v>1023</v>
      </c>
      <c r="U415"/>
      <c r="V415"/>
      <c r="W415"/>
    </row>
    <row r="416" spans="1:23">
      <c r="A416" s="2" t="s">
        <v>441</v>
      </c>
      <c r="B416">
        <v>0</v>
      </c>
      <c r="C416">
        <v>0</v>
      </c>
      <c r="D416">
        <v>185</v>
      </c>
      <c r="E416">
        <v>0</v>
      </c>
      <c r="F416">
        <v>0</v>
      </c>
      <c r="G416">
        <v>20</v>
      </c>
      <c r="H416">
        <v>20</v>
      </c>
      <c r="I416" t="s">
        <v>1023</v>
      </c>
      <c r="U416"/>
      <c r="V416"/>
      <c r="W416"/>
    </row>
    <row r="417" spans="1:23">
      <c r="A417" s="2" t="s">
        <v>442</v>
      </c>
      <c r="B417">
        <v>0</v>
      </c>
      <c r="C417">
        <v>0</v>
      </c>
      <c r="D417">
        <v>185</v>
      </c>
      <c r="E417">
        <v>0</v>
      </c>
      <c r="F417">
        <v>0</v>
      </c>
      <c r="G417">
        <v>20</v>
      </c>
      <c r="H417">
        <v>20</v>
      </c>
      <c r="I417" t="s">
        <v>1023</v>
      </c>
      <c r="U417"/>
      <c r="V417"/>
      <c r="W417"/>
    </row>
    <row r="418" spans="1:23">
      <c r="A418" s="2" t="s">
        <v>443</v>
      </c>
      <c r="B418">
        <v>0</v>
      </c>
      <c r="C418">
        <v>0</v>
      </c>
      <c r="D418">
        <v>185</v>
      </c>
      <c r="E418">
        <v>0</v>
      </c>
      <c r="F418">
        <v>0</v>
      </c>
      <c r="G418">
        <v>20</v>
      </c>
      <c r="H418">
        <v>20</v>
      </c>
      <c r="I418" t="s">
        <v>1023</v>
      </c>
      <c r="U418"/>
      <c r="V418"/>
      <c r="W418"/>
    </row>
    <row r="419" spans="1:23">
      <c r="A419" s="2" t="s">
        <v>444</v>
      </c>
      <c r="B419">
        <v>0</v>
      </c>
      <c r="C419">
        <v>0</v>
      </c>
      <c r="D419">
        <v>185</v>
      </c>
      <c r="E419">
        <v>0</v>
      </c>
      <c r="F419">
        <v>0</v>
      </c>
      <c r="G419">
        <v>20</v>
      </c>
      <c r="H419">
        <v>20</v>
      </c>
      <c r="I419" t="s">
        <v>1023</v>
      </c>
      <c r="U419"/>
      <c r="V419"/>
      <c r="W419"/>
    </row>
    <row r="420" spans="1:23">
      <c r="A420" s="2" t="s">
        <v>445</v>
      </c>
      <c r="B420">
        <v>0</v>
      </c>
      <c r="C420">
        <v>0</v>
      </c>
      <c r="D420">
        <v>185</v>
      </c>
      <c r="E420">
        <v>0</v>
      </c>
      <c r="F420">
        <v>0</v>
      </c>
      <c r="G420">
        <v>20</v>
      </c>
      <c r="H420">
        <v>20</v>
      </c>
      <c r="I420" t="s">
        <v>1023</v>
      </c>
      <c r="U420"/>
      <c r="V420"/>
      <c r="W420"/>
    </row>
    <row r="421" spans="1:23">
      <c r="A421" s="2" t="s">
        <v>446</v>
      </c>
      <c r="B421">
        <v>0</v>
      </c>
      <c r="C421">
        <v>0</v>
      </c>
      <c r="D421">
        <v>185</v>
      </c>
      <c r="E421">
        <v>0</v>
      </c>
      <c r="F421">
        <v>0</v>
      </c>
      <c r="G421">
        <v>20</v>
      </c>
      <c r="H421">
        <v>20</v>
      </c>
      <c r="I421" t="s">
        <v>1023</v>
      </c>
      <c r="U421"/>
      <c r="V421"/>
      <c r="W421"/>
    </row>
    <row r="422" spans="1:23">
      <c r="A422" s="2" t="s">
        <v>447</v>
      </c>
      <c r="B422">
        <v>0</v>
      </c>
      <c r="C422">
        <v>0</v>
      </c>
      <c r="D422">
        <v>185</v>
      </c>
      <c r="E422">
        <v>0</v>
      </c>
      <c r="F422">
        <v>0</v>
      </c>
      <c r="G422">
        <v>20</v>
      </c>
      <c r="H422">
        <v>20</v>
      </c>
      <c r="I422" t="s">
        <v>1023</v>
      </c>
      <c r="U422"/>
      <c r="V422"/>
      <c r="W422"/>
    </row>
    <row r="423" spans="1:23">
      <c r="A423" s="2" t="s">
        <v>448</v>
      </c>
      <c r="B423">
        <v>0</v>
      </c>
      <c r="C423">
        <v>0</v>
      </c>
      <c r="D423">
        <v>185</v>
      </c>
      <c r="E423">
        <v>0</v>
      </c>
      <c r="F423">
        <v>0</v>
      </c>
      <c r="G423">
        <v>20</v>
      </c>
      <c r="H423">
        <v>20</v>
      </c>
      <c r="I423" t="s">
        <v>1023</v>
      </c>
      <c r="U423"/>
      <c r="V423"/>
      <c r="W423"/>
    </row>
    <row r="424" spans="1:23">
      <c r="A424" s="2" t="s">
        <v>449</v>
      </c>
      <c r="B424">
        <v>0</v>
      </c>
      <c r="C424">
        <v>0</v>
      </c>
      <c r="D424">
        <v>185</v>
      </c>
      <c r="E424">
        <v>0</v>
      </c>
      <c r="F424">
        <v>0</v>
      </c>
      <c r="G424">
        <v>20</v>
      </c>
      <c r="H424">
        <v>20</v>
      </c>
      <c r="I424" t="s">
        <v>1023</v>
      </c>
      <c r="U424"/>
      <c r="V424"/>
      <c r="W424"/>
    </row>
    <row r="425" spans="1:23">
      <c r="A425" s="2" t="s">
        <v>450</v>
      </c>
      <c r="B425">
        <v>0</v>
      </c>
      <c r="C425">
        <v>0</v>
      </c>
      <c r="D425">
        <v>185</v>
      </c>
      <c r="E425">
        <v>0</v>
      </c>
      <c r="F425">
        <v>0</v>
      </c>
      <c r="G425">
        <v>20</v>
      </c>
      <c r="H425">
        <v>20</v>
      </c>
      <c r="I425" t="s">
        <v>1023</v>
      </c>
      <c r="U425"/>
      <c r="V425"/>
      <c r="W425"/>
    </row>
    <row r="426" spans="1:23">
      <c r="A426" s="2" t="s">
        <v>451</v>
      </c>
      <c r="B426">
        <v>0</v>
      </c>
      <c r="C426">
        <v>0</v>
      </c>
      <c r="D426">
        <v>185</v>
      </c>
      <c r="E426">
        <v>0</v>
      </c>
      <c r="F426">
        <v>0</v>
      </c>
      <c r="G426">
        <v>20</v>
      </c>
      <c r="H426">
        <v>20</v>
      </c>
      <c r="I426" t="s">
        <v>1023</v>
      </c>
      <c r="U426"/>
      <c r="V426"/>
      <c r="W426"/>
    </row>
    <row r="427" spans="1:23">
      <c r="A427" s="2" t="s">
        <v>452</v>
      </c>
      <c r="B427">
        <v>0</v>
      </c>
      <c r="C427">
        <v>0</v>
      </c>
      <c r="D427">
        <v>185</v>
      </c>
      <c r="E427">
        <v>0</v>
      </c>
      <c r="F427">
        <v>0</v>
      </c>
      <c r="G427">
        <v>20</v>
      </c>
      <c r="H427">
        <v>20</v>
      </c>
      <c r="I427" t="s">
        <v>1023</v>
      </c>
      <c r="U427"/>
      <c r="V427"/>
      <c r="W427"/>
    </row>
    <row r="428" spans="1:23">
      <c r="A428" s="2" t="s">
        <v>453</v>
      </c>
      <c r="B428">
        <v>0</v>
      </c>
      <c r="C428">
        <v>0</v>
      </c>
      <c r="D428">
        <v>185</v>
      </c>
      <c r="E428">
        <v>0</v>
      </c>
      <c r="F428">
        <v>0</v>
      </c>
      <c r="G428">
        <v>20</v>
      </c>
      <c r="H428">
        <v>20</v>
      </c>
      <c r="I428" t="s">
        <v>1023</v>
      </c>
      <c r="U428"/>
      <c r="V428"/>
      <c r="W428"/>
    </row>
    <row r="429" spans="1:23">
      <c r="A429" s="2" t="s">
        <v>454</v>
      </c>
      <c r="B429">
        <v>0</v>
      </c>
      <c r="C429">
        <v>0</v>
      </c>
      <c r="D429">
        <v>185</v>
      </c>
      <c r="E429">
        <v>0</v>
      </c>
      <c r="F429">
        <v>0</v>
      </c>
      <c r="G429">
        <v>20</v>
      </c>
      <c r="H429">
        <v>20</v>
      </c>
      <c r="I429" t="s">
        <v>1023</v>
      </c>
      <c r="U429"/>
      <c r="V429"/>
      <c r="W429"/>
    </row>
    <row r="430" spans="1:23">
      <c r="A430" s="2" t="s">
        <v>455</v>
      </c>
      <c r="B430">
        <v>0</v>
      </c>
      <c r="C430">
        <v>0</v>
      </c>
      <c r="D430">
        <v>185</v>
      </c>
      <c r="E430">
        <v>0</v>
      </c>
      <c r="F430">
        <v>0</v>
      </c>
      <c r="G430">
        <v>20</v>
      </c>
      <c r="H430">
        <v>20</v>
      </c>
      <c r="I430" t="s">
        <v>1023</v>
      </c>
      <c r="U430"/>
      <c r="V430"/>
      <c r="W430"/>
    </row>
    <row r="431" spans="1:23">
      <c r="A431" s="2" t="s">
        <v>456</v>
      </c>
      <c r="B431">
        <v>0</v>
      </c>
      <c r="C431">
        <v>0</v>
      </c>
      <c r="D431">
        <v>185</v>
      </c>
      <c r="E431">
        <v>0</v>
      </c>
      <c r="F431">
        <v>0</v>
      </c>
      <c r="G431">
        <v>20</v>
      </c>
      <c r="H431">
        <v>20</v>
      </c>
      <c r="I431" t="s">
        <v>1023</v>
      </c>
      <c r="U431"/>
      <c r="V431"/>
      <c r="W431"/>
    </row>
    <row r="432" spans="1:23">
      <c r="A432" s="2" t="s">
        <v>457</v>
      </c>
      <c r="B432">
        <v>0</v>
      </c>
      <c r="C432">
        <v>0</v>
      </c>
      <c r="D432">
        <v>185</v>
      </c>
      <c r="E432">
        <v>0</v>
      </c>
      <c r="F432">
        <v>0</v>
      </c>
      <c r="G432">
        <v>20</v>
      </c>
      <c r="H432">
        <v>20</v>
      </c>
      <c r="I432" t="s">
        <v>1023</v>
      </c>
      <c r="U432"/>
      <c r="V432"/>
      <c r="W432"/>
    </row>
    <row r="433" spans="1:23">
      <c r="A433" s="2" t="s">
        <v>458</v>
      </c>
      <c r="B433">
        <v>0</v>
      </c>
      <c r="C433">
        <v>0</v>
      </c>
      <c r="D433">
        <v>185</v>
      </c>
      <c r="E433">
        <v>0</v>
      </c>
      <c r="F433">
        <v>0</v>
      </c>
      <c r="G433">
        <v>20</v>
      </c>
      <c r="H433">
        <v>20</v>
      </c>
      <c r="I433" t="s">
        <v>1023</v>
      </c>
      <c r="U433"/>
      <c r="V433"/>
      <c r="W433"/>
    </row>
    <row r="434" spans="1:23">
      <c r="A434" s="2" t="s">
        <v>459</v>
      </c>
      <c r="B434">
        <v>0</v>
      </c>
      <c r="C434">
        <v>0</v>
      </c>
      <c r="D434">
        <v>185</v>
      </c>
      <c r="E434">
        <v>0</v>
      </c>
      <c r="F434">
        <v>0</v>
      </c>
      <c r="G434">
        <v>20</v>
      </c>
      <c r="H434">
        <v>20</v>
      </c>
      <c r="I434" t="s">
        <v>1023</v>
      </c>
      <c r="U434"/>
      <c r="V434"/>
      <c r="W434"/>
    </row>
    <row r="435" spans="1:23">
      <c r="A435" s="2" t="s">
        <v>460</v>
      </c>
      <c r="B435">
        <v>0</v>
      </c>
      <c r="C435">
        <v>0</v>
      </c>
      <c r="D435">
        <v>185</v>
      </c>
      <c r="E435">
        <v>0</v>
      </c>
      <c r="F435">
        <v>0</v>
      </c>
      <c r="G435">
        <v>20</v>
      </c>
      <c r="H435">
        <v>20</v>
      </c>
      <c r="I435" t="s">
        <v>1023</v>
      </c>
      <c r="U435"/>
      <c r="V435"/>
      <c r="W435"/>
    </row>
    <row r="436" spans="1:23">
      <c r="A436" s="2" t="s">
        <v>461</v>
      </c>
      <c r="B436">
        <v>0</v>
      </c>
      <c r="C436">
        <v>0</v>
      </c>
      <c r="D436">
        <v>185</v>
      </c>
      <c r="E436">
        <v>0</v>
      </c>
      <c r="F436">
        <v>0</v>
      </c>
      <c r="G436">
        <v>20</v>
      </c>
      <c r="H436">
        <v>20</v>
      </c>
      <c r="I436" t="s">
        <v>1023</v>
      </c>
      <c r="U436"/>
      <c r="V436"/>
      <c r="W436"/>
    </row>
    <row r="437" spans="1:23">
      <c r="A437" s="2" t="s">
        <v>462</v>
      </c>
      <c r="B437">
        <v>0</v>
      </c>
      <c r="C437">
        <v>0</v>
      </c>
      <c r="D437">
        <v>185</v>
      </c>
      <c r="E437">
        <v>0</v>
      </c>
      <c r="F437">
        <v>0</v>
      </c>
      <c r="G437">
        <v>20</v>
      </c>
      <c r="H437">
        <v>20</v>
      </c>
      <c r="I437" t="s">
        <v>1023</v>
      </c>
      <c r="U437"/>
      <c r="V437"/>
      <c r="W437"/>
    </row>
    <row r="438" spans="1:23">
      <c r="A438" s="2" t="s">
        <v>463</v>
      </c>
      <c r="B438">
        <v>0</v>
      </c>
      <c r="C438">
        <v>0</v>
      </c>
      <c r="D438">
        <v>185</v>
      </c>
      <c r="E438">
        <v>0</v>
      </c>
      <c r="F438">
        <v>0</v>
      </c>
      <c r="G438">
        <v>20</v>
      </c>
      <c r="H438">
        <v>20</v>
      </c>
      <c r="I438" t="s">
        <v>1023</v>
      </c>
      <c r="U438"/>
      <c r="V438"/>
      <c r="W438"/>
    </row>
    <row r="439" spans="1:23">
      <c r="A439" s="2" t="s">
        <v>464</v>
      </c>
      <c r="B439">
        <v>0</v>
      </c>
      <c r="C439">
        <v>0</v>
      </c>
      <c r="D439">
        <v>185</v>
      </c>
      <c r="E439">
        <v>0</v>
      </c>
      <c r="F439">
        <v>0</v>
      </c>
      <c r="G439">
        <v>20</v>
      </c>
      <c r="H439">
        <v>20</v>
      </c>
      <c r="I439" t="s">
        <v>1023</v>
      </c>
      <c r="U439"/>
      <c r="V439"/>
      <c r="W439"/>
    </row>
    <row r="440" spans="1:23">
      <c r="A440" s="2" t="s">
        <v>465</v>
      </c>
      <c r="B440">
        <v>0</v>
      </c>
      <c r="C440">
        <v>0</v>
      </c>
      <c r="D440">
        <v>185</v>
      </c>
      <c r="E440">
        <v>0</v>
      </c>
      <c r="F440">
        <v>0</v>
      </c>
      <c r="G440">
        <v>20</v>
      </c>
      <c r="H440">
        <v>20</v>
      </c>
      <c r="I440" t="s">
        <v>1023</v>
      </c>
      <c r="U440"/>
      <c r="V440"/>
      <c r="W440"/>
    </row>
    <row r="441" spans="1:23">
      <c r="A441" s="2" t="s">
        <v>466</v>
      </c>
      <c r="B441">
        <v>0</v>
      </c>
      <c r="C441">
        <v>0</v>
      </c>
      <c r="D441">
        <v>185</v>
      </c>
      <c r="E441">
        <v>0</v>
      </c>
      <c r="F441">
        <v>0</v>
      </c>
      <c r="G441">
        <v>20</v>
      </c>
      <c r="H441">
        <v>20</v>
      </c>
      <c r="I441" t="s">
        <v>1023</v>
      </c>
      <c r="U441"/>
      <c r="V441"/>
      <c r="W441"/>
    </row>
    <row r="442" spans="1:23">
      <c r="A442" s="2" t="s">
        <v>467</v>
      </c>
      <c r="B442">
        <v>0</v>
      </c>
      <c r="C442">
        <v>0</v>
      </c>
      <c r="D442">
        <v>185</v>
      </c>
      <c r="E442">
        <v>0</v>
      </c>
      <c r="F442">
        <v>0</v>
      </c>
      <c r="G442">
        <v>20</v>
      </c>
      <c r="H442">
        <v>20</v>
      </c>
      <c r="I442" t="s">
        <v>1023</v>
      </c>
      <c r="U442"/>
      <c r="V442"/>
      <c r="W442"/>
    </row>
    <row r="443" spans="1:23">
      <c r="A443" s="2" t="s">
        <v>468</v>
      </c>
      <c r="B443">
        <v>0</v>
      </c>
      <c r="C443">
        <v>0</v>
      </c>
      <c r="D443">
        <v>185</v>
      </c>
      <c r="E443">
        <v>0</v>
      </c>
      <c r="F443">
        <v>0</v>
      </c>
      <c r="G443">
        <v>20</v>
      </c>
      <c r="H443">
        <v>20</v>
      </c>
      <c r="I443" t="s">
        <v>1023</v>
      </c>
      <c r="U443"/>
      <c r="V443"/>
      <c r="W443"/>
    </row>
    <row r="444" spans="1:23">
      <c r="A444" s="2" t="s">
        <v>469</v>
      </c>
      <c r="B444">
        <v>0</v>
      </c>
      <c r="C444">
        <v>0</v>
      </c>
      <c r="D444">
        <v>185</v>
      </c>
      <c r="E444">
        <v>0</v>
      </c>
      <c r="F444">
        <v>0</v>
      </c>
      <c r="G444">
        <v>20</v>
      </c>
      <c r="H444">
        <v>20</v>
      </c>
      <c r="I444" t="s">
        <v>1023</v>
      </c>
      <c r="U444"/>
      <c r="V444"/>
      <c r="W444"/>
    </row>
    <row r="445" spans="1:23">
      <c r="A445" s="2" t="s">
        <v>470</v>
      </c>
      <c r="B445">
        <v>0</v>
      </c>
      <c r="C445">
        <v>0</v>
      </c>
      <c r="D445">
        <v>185</v>
      </c>
      <c r="E445">
        <v>0</v>
      </c>
      <c r="F445">
        <v>0</v>
      </c>
      <c r="G445">
        <v>20</v>
      </c>
      <c r="H445">
        <v>20</v>
      </c>
      <c r="I445" t="s">
        <v>1023</v>
      </c>
      <c r="U445"/>
      <c r="V445"/>
      <c r="W445"/>
    </row>
    <row r="446" spans="1:23">
      <c r="A446" s="2" t="s">
        <v>471</v>
      </c>
      <c r="B446">
        <v>0</v>
      </c>
      <c r="C446">
        <v>0</v>
      </c>
      <c r="D446">
        <v>185</v>
      </c>
      <c r="E446">
        <v>0</v>
      </c>
      <c r="F446">
        <v>0</v>
      </c>
      <c r="G446">
        <v>20</v>
      </c>
      <c r="H446">
        <v>20</v>
      </c>
      <c r="I446" t="s">
        <v>1023</v>
      </c>
      <c r="U446"/>
      <c r="V446"/>
      <c r="W446"/>
    </row>
    <row r="447" spans="1:23">
      <c r="A447" s="2" t="s">
        <v>472</v>
      </c>
      <c r="B447">
        <v>0</v>
      </c>
      <c r="C447">
        <v>0</v>
      </c>
      <c r="D447">
        <v>185</v>
      </c>
      <c r="E447">
        <v>0</v>
      </c>
      <c r="F447">
        <v>0</v>
      </c>
      <c r="G447">
        <v>20</v>
      </c>
      <c r="H447">
        <v>20</v>
      </c>
      <c r="I447" t="s">
        <v>1023</v>
      </c>
      <c r="U447"/>
      <c r="V447"/>
      <c r="W447"/>
    </row>
    <row r="448" spans="1:23">
      <c r="A448" s="2" t="s">
        <v>473</v>
      </c>
      <c r="B448">
        <v>0</v>
      </c>
      <c r="C448">
        <v>0</v>
      </c>
      <c r="D448">
        <v>185</v>
      </c>
      <c r="E448">
        <v>0</v>
      </c>
      <c r="F448">
        <v>0</v>
      </c>
      <c r="G448">
        <v>20</v>
      </c>
      <c r="H448">
        <v>20</v>
      </c>
      <c r="I448" t="s">
        <v>1023</v>
      </c>
      <c r="U448"/>
      <c r="V448"/>
      <c r="W448"/>
    </row>
    <row r="449" spans="1:23">
      <c r="A449" s="2" t="s">
        <v>474</v>
      </c>
      <c r="B449">
        <v>0</v>
      </c>
      <c r="C449">
        <v>0</v>
      </c>
      <c r="D449">
        <v>185</v>
      </c>
      <c r="E449">
        <v>0</v>
      </c>
      <c r="F449">
        <v>0</v>
      </c>
      <c r="G449">
        <v>20</v>
      </c>
      <c r="H449">
        <v>20</v>
      </c>
      <c r="I449" t="s">
        <v>1023</v>
      </c>
      <c r="U449"/>
      <c r="V449"/>
      <c r="W449"/>
    </row>
    <row r="450" spans="1:23">
      <c r="A450" s="2" t="s">
        <v>475</v>
      </c>
      <c r="B450">
        <v>0</v>
      </c>
      <c r="C450">
        <v>0</v>
      </c>
      <c r="D450">
        <v>185</v>
      </c>
      <c r="E450">
        <v>0</v>
      </c>
      <c r="F450">
        <v>0</v>
      </c>
      <c r="G450">
        <v>20</v>
      </c>
      <c r="H450">
        <v>20</v>
      </c>
      <c r="I450" t="s">
        <v>1023</v>
      </c>
      <c r="U450"/>
      <c r="V450"/>
      <c r="W450"/>
    </row>
    <row r="451" spans="1:23">
      <c r="A451" s="2" t="s">
        <v>476</v>
      </c>
      <c r="B451">
        <v>0</v>
      </c>
      <c r="C451">
        <v>0</v>
      </c>
      <c r="D451">
        <v>185</v>
      </c>
      <c r="E451">
        <v>0</v>
      </c>
      <c r="F451">
        <v>0</v>
      </c>
      <c r="G451">
        <v>20</v>
      </c>
      <c r="H451">
        <v>20</v>
      </c>
      <c r="I451" t="s">
        <v>1023</v>
      </c>
      <c r="U451"/>
      <c r="V451"/>
      <c r="W451"/>
    </row>
    <row r="452" spans="1:23">
      <c r="A452" s="2" t="s">
        <v>477</v>
      </c>
      <c r="B452">
        <v>0</v>
      </c>
      <c r="C452">
        <v>0</v>
      </c>
      <c r="D452">
        <v>185</v>
      </c>
      <c r="E452">
        <v>0</v>
      </c>
      <c r="F452">
        <v>0</v>
      </c>
      <c r="G452">
        <v>20</v>
      </c>
      <c r="H452">
        <v>20</v>
      </c>
      <c r="I452" t="s">
        <v>1023</v>
      </c>
      <c r="U452"/>
      <c r="V452"/>
      <c r="W452"/>
    </row>
    <row r="453" spans="1:23">
      <c r="A453" s="2" t="s">
        <v>478</v>
      </c>
      <c r="B453">
        <v>0</v>
      </c>
      <c r="C453">
        <v>0</v>
      </c>
      <c r="D453">
        <v>185</v>
      </c>
      <c r="E453">
        <v>0</v>
      </c>
      <c r="F453">
        <v>0</v>
      </c>
      <c r="G453">
        <v>20</v>
      </c>
      <c r="H453">
        <v>20</v>
      </c>
      <c r="I453" t="s">
        <v>1023</v>
      </c>
      <c r="U453"/>
      <c r="V453"/>
      <c r="W453"/>
    </row>
    <row r="454" spans="1:23">
      <c r="A454" s="2" t="s">
        <v>480</v>
      </c>
      <c r="B454">
        <v>0</v>
      </c>
      <c r="C454">
        <v>0</v>
      </c>
      <c r="D454">
        <v>185</v>
      </c>
      <c r="E454">
        <v>0</v>
      </c>
      <c r="F454">
        <v>0</v>
      </c>
      <c r="G454">
        <v>20</v>
      </c>
      <c r="H454">
        <v>20</v>
      </c>
      <c r="I454" t="s">
        <v>1023</v>
      </c>
      <c r="U454"/>
      <c r="V454"/>
      <c r="W454"/>
    </row>
    <row r="455" spans="1:23">
      <c r="A455" s="2" t="s">
        <v>481</v>
      </c>
      <c r="B455">
        <v>0</v>
      </c>
      <c r="C455">
        <v>0</v>
      </c>
      <c r="D455">
        <v>185</v>
      </c>
      <c r="E455">
        <v>0</v>
      </c>
      <c r="F455">
        <v>0</v>
      </c>
      <c r="G455">
        <v>20</v>
      </c>
      <c r="H455">
        <v>20</v>
      </c>
      <c r="I455" t="s">
        <v>1023</v>
      </c>
      <c r="U455"/>
      <c r="V455"/>
      <c r="W455"/>
    </row>
    <row r="456" spans="1:23">
      <c r="A456" s="2" t="s">
        <v>482</v>
      </c>
      <c r="B456">
        <v>0</v>
      </c>
      <c r="C456">
        <v>0</v>
      </c>
      <c r="D456">
        <v>185</v>
      </c>
      <c r="E456">
        <v>0</v>
      </c>
      <c r="F456">
        <v>0</v>
      </c>
      <c r="G456">
        <v>20</v>
      </c>
      <c r="H456">
        <v>20</v>
      </c>
      <c r="I456" t="s">
        <v>1023</v>
      </c>
      <c r="U456"/>
      <c r="V456"/>
      <c r="W456"/>
    </row>
    <row r="457" spans="1:23">
      <c r="A457" s="2" t="s">
        <v>483</v>
      </c>
      <c r="B457">
        <v>0</v>
      </c>
      <c r="C457">
        <v>0</v>
      </c>
      <c r="D457">
        <v>185</v>
      </c>
      <c r="E457">
        <v>0</v>
      </c>
      <c r="F457">
        <v>0</v>
      </c>
      <c r="G457">
        <v>20</v>
      </c>
      <c r="H457">
        <v>20</v>
      </c>
      <c r="I457" t="s">
        <v>1023</v>
      </c>
      <c r="U457"/>
      <c r="V457"/>
      <c r="W457"/>
    </row>
    <row r="458" spans="1:23">
      <c r="A458" s="2" t="s">
        <v>484</v>
      </c>
      <c r="B458">
        <v>0</v>
      </c>
      <c r="C458">
        <v>0</v>
      </c>
      <c r="D458">
        <v>185</v>
      </c>
      <c r="E458">
        <v>0</v>
      </c>
      <c r="F458">
        <v>0</v>
      </c>
      <c r="G458">
        <v>20</v>
      </c>
      <c r="H458">
        <v>20</v>
      </c>
      <c r="I458" t="s">
        <v>1023</v>
      </c>
      <c r="U458"/>
      <c r="V458"/>
      <c r="W458"/>
    </row>
    <row r="459" spans="1:23">
      <c r="A459" s="2" t="s">
        <v>485</v>
      </c>
      <c r="B459">
        <v>0</v>
      </c>
      <c r="C459">
        <v>0</v>
      </c>
      <c r="D459">
        <v>185</v>
      </c>
      <c r="E459">
        <v>0</v>
      </c>
      <c r="F459">
        <v>0</v>
      </c>
      <c r="G459">
        <v>20</v>
      </c>
      <c r="H459">
        <v>20</v>
      </c>
      <c r="I459" t="s">
        <v>1023</v>
      </c>
      <c r="U459"/>
      <c r="V459"/>
      <c r="W459"/>
    </row>
    <row r="460" spans="1:23">
      <c r="A460" s="2" t="s">
        <v>486</v>
      </c>
      <c r="B460">
        <v>0</v>
      </c>
      <c r="C460">
        <v>0</v>
      </c>
      <c r="D460">
        <v>185</v>
      </c>
      <c r="E460">
        <v>0</v>
      </c>
      <c r="F460">
        <v>0</v>
      </c>
      <c r="G460">
        <v>20</v>
      </c>
      <c r="H460">
        <v>20</v>
      </c>
      <c r="I460" t="s">
        <v>1023</v>
      </c>
      <c r="U460"/>
      <c r="V460"/>
      <c r="W460"/>
    </row>
    <row r="461" spans="1:23">
      <c r="A461" s="2" t="s">
        <v>487</v>
      </c>
      <c r="B461">
        <v>0</v>
      </c>
      <c r="C461">
        <v>0</v>
      </c>
      <c r="D461">
        <v>185</v>
      </c>
      <c r="E461">
        <v>0</v>
      </c>
      <c r="F461">
        <v>0</v>
      </c>
      <c r="G461">
        <v>20</v>
      </c>
      <c r="H461">
        <v>20</v>
      </c>
      <c r="I461" t="s">
        <v>1023</v>
      </c>
      <c r="U461"/>
      <c r="V461"/>
      <c r="W461"/>
    </row>
    <row r="462" spans="1:23">
      <c r="A462" s="2" t="s">
        <v>488</v>
      </c>
      <c r="B462">
        <v>0</v>
      </c>
      <c r="C462">
        <v>0</v>
      </c>
      <c r="D462">
        <v>185</v>
      </c>
      <c r="E462">
        <v>0</v>
      </c>
      <c r="F462">
        <v>0</v>
      </c>
      <c r="G462">
        <v>20</v>
      </c>
      <c r="H462">
        <v>20</v>
      </c>
      <c r="I462" t="s">
        <v>1023</v>
      </c>
      <c r="U462"/>
      <c r="V462"/>
      <c r="W462"/>
    </row>
    <row r="463" spans="1:23">
      <c r="A463" s="2" t="s">
        <v>489</v>
      </c>
      <c r="B463">
        <v>0</v>
      </c>
      <c r="C463">
        <v>0</v>
      </c>
      <c r="D463">
        <v>185</v>
      </c>
      <c r="E463">
        <v>0</v>
      </c>
      <c r="F463">
        <v>0</v>
      </c>
      <c r="G463">
        <v>20</v>
      </c>
      <c r="H463">
        <v>20</v>
      </c>
      <c r="I463" t="s">
        <v>1023</v>
      </c>
      <c r="U463"/>
      <c r="V463"/>
      <c r="W463"/>
    </row>
    <row r="464" spans="1:23">
      <c r="A464" s="2" t="s">
        <v>490</v>
      </c>
      <c r="B464">
        <v>0</v>
      </c>
      <c r="C464">
        <v>0</v>
      </c>
      <c r="D464">
        <v>185</v>
      </c>
      <c r="E464">
        <v>0</v>
      </c>
      <c r="F464">
        <v>0</v>
      </c>
      <c r="G464">
        <v>20</v>
      </c>
      <c r="H464">
        <v>20</v>
      </c>
      <c r="I464" t="s">
        <v>1023</v>
      </c>
      <c r="U464"/>
      <c r="V464"/>
      <c r="W464"/>
    </row>
    <row r="465" spans="1:23">
      <c r="A465" s="2" t="s">
        <v>491</v>
      </c>
      <c r="B465">
        <v>0</v>
      </c>
      <c r="C465">
        <v>0</v>
      </c>
      <c r="D465">
        <v>185</v>
      </c>
      <c r="E465">
        <v>0</v>
      </c>
      <c r="F465">
        <v>0</v>
      </c>
      <c r="G465">
        <v>20</v>
      </c>
      <c r="H465">
        <v>20</v>
      </c>
      <c r="I465" t="s">
        <v>1023</v>
      </c>
      <c r="U465"/>
      <c r="V465"/>
      <c r="W465"/>
    </row>
    <row r="466" spans="1:23">
      <c r="A466" s="2" t="s">
        <v>492</v>
      </c>
      <c r="B466">
        <v>0</v>
      </c>
      <c r="C466">
        <v>0</v>
      </c>
      <c r="D466">
        <v>185</v>
      </c>
      <c r="E466">
        <v>0</v>
      </c>
      <c r="F466">
        <v>0</v>
      </c>
      <c r="G466">
        <v>20</v>
      </c>
      <c r="H466">
        <v>20</v>
      </c>
      <c r="I466" t="s">
        <v>1023</v>
      </c>
      <c r="U466"/>
      <c r="V466"/>
      <c r="W466"/>
    </row>
    <row r="467" spans="1:23">
      <c r="A467" s="2" t="s">
        <v>493</v>
      </c>
      <c r="B467">
        <v>0</v>
      </c>
      <c r="C467">
        <v>0</v>
      </c>
      <c r="D467">
        <v>185</v>
      </c>
      <c r="E467">
        <v>0</v>
      </c>
      <c r="F467">
        <v>0</v>
      </c>
      <c r="G467">
        <v>20</v>
      </c>
      <c r="H467">
        <v>20</v>
      </c>
      <c r="I467" t="s">
        <v>1023</v>
      </c>
      <c r="U467"/>
      <c r="V467"/>
      <c r="W467"/>
    </row>
    <row r="468" spans="1:23">
      <c r="A468" s="2" t="s">
        <v>494</v>
      </c>
      <c r="B468">
        <v>0</v>
      </c>
      <c r="C468">
        <v>0</v>
      </c>
      <c r="D468">
        <v>185</v>
      </c>
      <c r="E468">
        <v>0</v>
      </c>
      <c r="F468">
        <v>0</v>
      </c>
      <c r="G468">
        <v>20</v>
      </c>
      <c r="H468">
        <v>20</v>
      </c>
      <c r="I468" t="s">
        <v>1023</v>
      </c>
      <c r="U468"/>
      <c r="V468"/>
      <c r="W468"/>
    </row>
    <row r="469" spans="1:23">
      <c r="A469" s="2" t="s">
        <v>495</v>
      </c>
      <c r="B469">
        <v>0</v>
      </c>
      <c r="C469">
        <v>0</v>
      </c>
      <c r="D469">
        <v>185</v>
      </c>
      <c r="E469">
        <v>0</v>
      </c>
      <c r="F469">
        <v>0</v>
      </c>
      <c r="G469">
        <v>20</v>
      </c>
      <c r="H469">
        <v>20</v>
      </c>
      <c r="I469" t="s">
        <v>1023</v>
      </c>
      <c r="U469"/>
      <c r="V469"/>
      <c r="W469"/>
    </row>
    <row r="470" spans="1:23">
      <c r="A470" s="2" t="s">
        <v>496</v>
      </c>
      <c r="B470">
        <v>0</v>
      </c>
      <c r="C470">
        <v>0</v>
      </c>
      <c r="D470">
        <v>185</v>
      </c>
      <c r="E470">
        <v>0</v>
      </c>
      <c r="F470">
        <v>0</v>
      </c>
      <c r="G470">
        <v>20</v>
      </c>
      <c r="H470">
        <v>20</v>
      </c>
      <c r="I470" t="s">
        <v>1023</v>
      </c>
      <c r="U470"/>
      <c r="V470"/>
      <c r="W470"/>
    </row>
    <row r="471" spans="1:23">
      <c r="A471" s="2" t="s">
        <v>497</v>
      </c>
      <c r="B471">
        <v>0</v>
      </c>
      <c r="C471">
        <v>0</v>
      </c>
      <c r="D471">
        <v>185</v>
      </c>
      <c r="E471">
        <v>0</v>
      </c>
      <c r="F471">
        <v>0</v>
      </c>
      <c r="G471">
        <v>20</v>
      </c>
      <c r="H471">
        <v>20</v>
      </c>
      <c r="I471" t="s">
        <v>1023</v>
      </c>
      <c r="U471"/>
      <c r="V471"/>
      <c r="W471"/>
    </row>
    <row r="472" spans="1:23">
      <c r="A472" s="2" t="s">
        <v>498</v>
      </c>
      <c r="B472">
        <v>0</v>
      </c>
      <c r="C472">
        <v>0</v>
      </c>
      <c r="D472">
        <v>185</v>
      </c>
      <c r="E472">
        <v>0</v>
      </c>
      <c r="F472">
        <v>0</v>
      </c>
      <c r="G472">
        <v>20</v>
      </c>
      <c r="H472">
        <v>20</v>
      </c>
      <c r="I472" t="s">
        <v>1023</v>
      </c>
      <c r="U472"/>
      <c r="V472"/>
      <c r="W472"/>
    </row>
    <row r="473" spans="1:23">
      <c r="A473" s="2" t="s">
        <v>499</v>
      </c>
      <c r="B473">
        <v>0</v>
      </c>
      <c r="C473">
        <v>0</v>
      </c>
      <c r="D473">
        <v>185</v>
      </c>
      <c r="E473">
        <v>0</v>
      </c>
      <c r="F473">
        <v>0</v>
      </c>
      <c r="G473">
        <v>20</v>
      </c>
      <c r="H473">
        <v>20</v>
      </c>
      <c r="I473" t="s">
        <v>1023</v>
      </c>
      <c r="U473"/>
      <c r="V473"/>
      <c r="W473"/>
    </row>
    <row r="474" spans="1:23">
      <c r="A474" s="2" t="s">
        <v>500</v>
      </c>
      <c r="B474">
        <v>0</v>
      </c>
      <c r="C474">
        <v>0</v>
      </c>
      <c r="D474">
        <v>185</v>
      </c>
      <c r="E474">
        <v>0</v>
      </c>
      <c r="F474">
        <v>0</v>
      </c>
      <c r="G474">
        <v>20</v>
      </c>
      <c r="H474">
        <v>20</v>
      </c>
      <c r="I474" t="s">
        <v>1023</v>
      </c>
      <c r="U474"/>
      <c r="V474"/>
      <c r="W474"/>
    </row>
    <row r="475" spans="1:23">
      <c r="A475" s="2" t="s">
        <v>501</v>
      </c>
      <c r="B475">
        <v>0</v>
      </c>
      <c r="C475">
        <v>0</v>
      </c>
      <c r="D475">
        <v>185</v>
      </c>
      <c r="E475">
        <v>0</v>
      </c>
      <c r="F475">
        <v>0</v>
      </c>
      <c r="G475">
        <v>20</v>
      </c>
      <c r="H475">
        <v>20</v>
      </c>
      <c r="I475" t="s">
        <v>1023</v>
      </c>
      <c r="U475"/>
      <c r="V475"/>
      <c r="W475"/>
    </row>
    <row r="476" spans="1:23">
      <c r="A476" s="2" t="s">
        <v>502</v>
      </c>
      <c r="B476">
        <v>0</v>
      </c>
      <c r="C476">
        <v>0</v>
      </c>
      <c r="D476">
        <v>185</v>
      </c>
      <c r="E476">
        <v>0</v>
      </c>
      <c r="F476">
        <v>0</v>
      </c>
      <c r="G476">
        <v>20</v>
      </c>
      <c r="H476">
        <v>20</v>
      </c>
      <c r="I476" t="s">
        <v>1023</v>
      </c>
      <c r="U476"/>
      <c r="V476"/>
      <c r="W476"/>
    </row>
    <row r="477" spans="1:23">
      <c r="A477" s="2" t="s">
        <v>503</v>
      </c>
      <c r="B477">
        <v>0</v>
      </c>
      <c r="C477">
        <v>0</v>
      </c>
      <c r="D477">
        <v>185</v>
      </c>
      <c r="E477">
        <v>0</v>
      </c>
      <c r="F477">
        <v>0</v>
      </c>
      <c r="G477">
        <v>20</v>
      </c>
      <c r="H477">
        <v>20</v>
      </c>
      <c r="I477" t="s">
        <v>1023</v>
      </c>
      <c r="U477"/>
      <c r="V477"/>
      <c r="W477"/>
    </row>
    <row r="478" spans="1:23">
      <c r="A478" s="2" t="s">
        <v>504</v>
      </c>
      <c r="B478">
        <v>0</v>
      </c>
      <c r="C478">
        <v>0</v>
      </c>
      <c r="D478">
        <v>185</v>
      </c>
      <c r="E478">
        <v>0</v>
      </c>
      <c r="F478">
        <v>0</v>
      </c>
      <c r="G478">
        <v>20</v>
      </c>
      <c r="H478">
        <v>20</v>
      </c>
      <c r="I478" t="s">
        <v>1023</v>
      </c>
      <c r="U478"/>
      <c r="V478"/>
      <c r="W478"/>
    </row>
    <row r="479" spans="1:23">
      <c r="A479" s="2" t="s">
        <v>505</v>
      </c>
      <c r="B479">
        <v>0</v>
      </c>
      <c r="C479">
        <v>0</v>
      </c>
      <c r="D479">
        <v>185</v>
      </c>
      <c r="E479">
        <v>0</v>
      </c>
      <c r="F479">
        <v>0</v>
      </c>
      <c r="G479">
        <v>20</v>
      </c>
      <c r="H479">
        <v>20</v>
      </c>
      <c r="I479" t="s">
        <v>1023</v>
      </c>
      <c r="U479"/>
      <c r="V479"/>
      <c r="W479"/>
    </row>
    <row r="480" spans="1:23">
      <c r="A480" s="2" t="s">
        <v>506</v>
      </c>
      <c r="B480">
        <v>0</v>
      </c>
      <c r="C480">
        <v>0</v>
      </c>
      <c r="D480">
        <v>185</v>
      </c>
      <c r="E480">
        <v>0</v>
      </c>
      <c r="F480">
        <v>0</v>
      </c>
      <c r="G480">
        <v>20</v>
      </c>
      <c r="H480">
        <v>20</v>
      </c>
      <c r="I480" t="s">
        <v>1023</v>
      </c>
      <c r="U480"/>
      <c r="V480"/>
      <c r="W480"/>
    </row>
    <row r="481" spans="1:23">
      <c r="A481" s="2" t="s">
        <v>507</v>
      </c>
      <c r="B481">
        <v>0</v>
      </c>
      <c r="C481">
        <v>0</v>
      </c>
      <c r="D481">
        <v>185</v>
      </c>
      <c r="E481">
        <v>0</v>
      </c>
      <c r="F481">
        <v>0</v>
      </c>
      <c r="G481">
        <v>20</v>
      </c>
      <c r="H481">
        <v>20</v>
      </c>
      <c r="I481" t="s">
        <v>1023</v>
      </c>
      <c r="U481"/>
      <c r="V481"/>
      <c r="W481"/>
    </row>
    <row r="482" spans="1:23">
      <c r="A482" s="2" t="s">
        <v>508</v>
      </c>
      <c r="B482">
        <v>0</v>
      </c>
      <c r="C482">
        <v>0</v>
      </c>
      <c r="D482">
        <v>185</v>
      </c>
      <c r="E482">
        <v>0</v>
      </c>
      <c r="F482">
        <v>0</v>
      </c>
      <c r="G482">
        <v>20</v>
      </c>
      <c r="H482">
        <v>20</v>
      </c>
      <c r="I482" t="s">
        <v>1023</v>
      </c>
      <c r="U482"/>
      <c r="V482"/>
      <c r="W482"/>
    </row>
    <row r="483" spans="1:23">
      <c r="A483" s="2" t="s">
        <v>509</v>
      </c>
      <c r="B483">
        <v>0</v>
      </c>
      <c r="C483">
        <v>0</v>
      </c>
      <c r="D483">
        <v>185</v>
      </c>
      <c r="E483">
        <v>0</v>
      </c>
      <c r="F483">
        <v>0</v>
      </c>
      <c r="G483">
        <v>20</v>
      </c>
      <c r="H483">
        <v>20</v>
      </c>
      <c r="I483" t="s">
        <v>1023</v>
      </c>
      <c r="U483"/>
      <c r="V483"/>
      <c r="W483"/>
    </row>
    <row r="484" spans="1:23">
      <c r="A484" s="2" t="s">
        <v>510</v>
      </c>
      <c r="B484">
        <v>0</v>
      </c>
      <c r="C484">
        <v>0</v>
      </c>
      <c r="D484">
        <v>185</v>
      </c>
      <c r="E484">
        <v>0</v>
      </c>
      <c r="F484">
        <v>0</v>
      </c>
      <c r="G484">
        <v>20</v>
      </c>
      <c r="H484">
        <v>20</v>
      </c>
      <c r="I484" t="s">
        <v>1023</v>
      </c>
      <c r="U484"/>
      <c r="V484"/>
      <c r="W484"/>
    </row>
    <row r="485" spans="1:23">
      <c r="A485" s="2" t="s">
        <v>511</v>
      </c>
      <c r="B485">
        <v>0</v>
      </c>
      <c r="C485">
        <v>0</v>
      </c>
      <c r="D485">
        <v>185</v>
      </c>
      <c r="E485">
        <v>0</v>
      </c>
      <c r="F485">
        <v>0</v>
      </c>
      <c r="G485">
        <v>20</v>
      </c>
      <c r="H485">
        <v>20</v>
      </c>
      <c r="I485" t="s">
        <v>1023</v>
      </c>
      <c r="U485"/>
      <c r="V485"/>
      <c r="W485"/>
    </row>
    <row r="486" spans="1:23">
      <c r="A486" s="2" t="s">
        <v>512</v>
      </c>
      <c r="B486">
        <v>0</v>
      </c>
      <c r="C486">
        <v>0</v>
      </c>
      <c r="D486">
        <v>185</v>
      </c>
      <c r="E486">
        <v>0</v>
      </c>
      <c r="F486">
        <v>0</v>
      </c>
      <c r="G486">
        <v>20</v>
      </c>
      <c r="H486">
        <v>20</v>
      </c>
      <c r="I486" t="s">
        <v>1023</v>
      </c>
      <c r="U486"/>
      <c r="V486"/>
      <c r="W486"/>
    </row>
    <row r="487" spans="1:23">
      <c r="A487" s="2" t="s">
        <v>513</v>
      </c>
      <c r="B487">
        <v>0</v>
      </c>
      <c r="C487">
        <v>0</v>
      </c>
      <c r="D487">
        <v>185</v>
      </c>
      <c r="E487">
        <v>0</v>
      </c>
      <c r="F487">
        <v>0</v>
      </c>
      <c r="G487">
        <v>20</v>
      </c>
      <c r="H487">
        <v>20</v>
      </c>
      <c r="I487" t="s">
        <v>1023</v>
      </c>
      <c r="U487"/>
      <c r="V487"/>
      <c r="W487"/>
    </row>
    <row r="488" spans="1:23">
      <c r="A488" s="2" t="s">
        <v>514</v>
      </c>
      <c r="B488">
        <v>0</v>
      </c>
      <c r="C488">
        <v>0</v>
      </c>
      <c r="D488">
        <v>185</v>
      </c>
      <c r="E488">
        <v>0</v>
      </c>
      <c r="F488">
        <v>0</v>
      </c>
      <c r="G488">
        <v>20</v>
      </c>
      <c r="H488">
        <v>20</v>
      </c>
      <c r="I488" t="s">
        <v>1023</v>
      </c>
      <c r="U488"/>
      <c r="V488"/>
      <c r="W488"/>
    </row>
    <row r="489" spans="1:23">
      <c r="A489" s="2" t="s">
        <v>515</v>
      </c>
      <c r="B489">
        <v>0</v>
      </c>
      <c r="C489">
        <v>0</v>
      </c>
      <c r="D489">
        <v>185</v>
      </c>
      <c r="E489">
        <v>0</v>
      </c>
      <c r="F489">
        <v>0</v>
      </c>
      <c r="G489">
        <v>20</v>
      </c>
      <c r="H489">
        <v>20</v>
      </c>
      <c r="I489" t="s">
        <v>1023</v>
      </c>
      <c r="U489"/>
      <c r="V489"/>
      <c r="W489"/>
    </row>
    <row r="490" spans="1:23">
      <c r="A490" s="2" t="s">
        <v>516</v>
      </c>
      <c r="B490">
        <v>0</v>
      </c>
      <c r="C490">
        <v>0</v>
      </c>
      <c r="D490">
        <v>185</v>
      </c>
      <c r="E490">
        <v>0</v>
      </c>
      <c r="F490">
        <v>0</v>
      </c>
      <c r="G490">
        <v>20</v>
      </c>
      <c r="H490">
        <v>20</v>
      </c>
      <c r="I490" t="s">
        <v>1023</v>
      </c>
      <c r="U490"/>
      <c r="V490"/>
      <c r="W490"/>
    </row>
    <row r="491" spans="1:23">
      <c r="A491" s="2" t="s">
        <v>517</v>
      </c>
      <c r="B491">
        <v>0</v>
      </c>
      <c r="C491">
        <v>0</v>
      </c>
      <c r="D491">
        <v>185</v>
      </c>
      <c r="E491">
        <v>0</v>
      </c>
      <c r="F491">
        <v>0</v>
      </c>
      <c r="G491">
        <v>20</v>
      </c>
      <c r="H491">
        <v>20</v>
      </c>
      <c r="I491" t="s">
        <v>1023</v>
      </c>
      <c r="U491"/>
      <c r="V491"/>
      <c r="W491"/>
    </row>
    <row r="492" spans="1:23">
      <c r="A492" s="2" t="s">
        <v>518</v>
      </c>
      <c r="B492">
        <v>0</v>
      </c>
      <c r="C492">
        <v>0</v>
      </c>
      <c r="D492">
        <v>185</v>
      </c>
      <c r="E492">
        <v>0</v>
      </c>
      <c r="F492">
        <v>0</v>
      </c>
      <c r="G492">
        <v>20</v>
      </c>
      <c r="H492">
        <v>20</v>
      </c>
      <c r="I492" t="s">
        <v>1023</v>
      </c>
      <c r="U492"/>
      <c r="V492"/>
      <c r="W492"/>
    </row>
    <row r="493" spans="1:23">
      <c r="A493" s="2" t="s">
        <v>519</v>
      </c>
      <c r="B493">
        <v>0</v>
      </c>
      <c r="C493">
        <v>0</v>
      </c>
      <c r="D493">
        <v>185</v>
      </c>
      <c r="E493">
        <v>0</v>
      </c>
      <c r="F493">
        <v>0</v>
      </c>
      <c r="G493">
        <v>20</v>
      </c>
      <c r="H493">
        <v>20</v>
      </c>
      <c r="I493" t="s">
        <v>1023</v>
      </c>
      <c r="U493"/>
      <c r="V493"/>
      <c r="W493"/>
    </row>
    <row r="494" spans="1:23">
      <c r="A494" s="2" t="s">
        <v>520</v>
      </c>
      <c r="B494">
        <v>0</v>
      </c>
      <c r="C494">
        <v>0</v>
      </c>
      <c r="D494">
        <v>185</v>
      </c>
      <c r="E494">
        <v>0</v>
      </c>
      <c r="F494">
        <v>0</v>
      </c>
      <c r="G494">
        <v>20</v>
      </c>
      <c r="H494">
        <v>20</v>
      </c>
      <c r="I494" t="s">
        <v>1023</v>
      </c>
      <c r="U494"/>
      <c r="V494"/>
      <c r="W494"/>
    </row>
    <row r="495" spans="1:23">
      <c r="A495" s="2" t="s">
        <v>521</v>
      </c>
      <c r="B495">
        <v>0</v>
      </c>
      <c r="C495">
        <v>0</v>
      </c>
      <c r="D495">
        <v>185</v>
      </c>
      <c r="E495">
        <v>0</v>
      </c>
      <c r="F495">
        <v>0</v>
      </c>
      <c r="G495">
        <v>20</v>
      </c>
      <c r="H495">
        <v>20</v>
      </c>
      <c r="I495" t="s">
        <v>1023</v>
      </c>
      <c r="U495"/>
      <c r="V495"/>
      <c r="W495"/>
    </row>
    <row r="496" spans="1:23">
      <c r="A496" s="2" t="s">
        <v>522</v>
      </c>
      <c r="B496">
        <v>0</v>
      </c>
      <c r="C496">
        <v>0</v>
      </c>
      <c r="D496">
        <v>185</v>
      </c>
      <c r="E496">
        <v>0</v>
      </c>
      <c r="F496">
        <v>0</v>
      </c>
      <c r="G496">
        <v>20</v>
      </c>
      <c r="H496">
        <v>20</v>
      </c>
      <c r="I496" t="s">
        <v>1023</v>
      </c>
      <c r="U496"/>
      <c r="V496"/>
      <c r="W496"/>
    </row>
    <row r="497" spans="1:23">
      <c r="A497" s="2" t="s">
        <v>523</v>
      </c>
      <c r="B497">
        <v>0</v>
      </c>
      <c r="C497">
        <v>0</v>
      </c>
      <c r="D497">
        <v>185</v>
      </c>
      <c r="E497">
        <v>0</v>
      </c>
      <c r="F497">
        <v>0</v>
      </c>
      <c r="G497">
        <v>20</v>
      </c>
      <c r="H497">
        <v>20</v>
      </c>
      <c r="I497" t="s">
        <v>1023</v>
      </c>
      <c r="U497"/>
      <c r="V497"/>
      <c r="W497"/>
    </row>
    <row r="498" spans="1:23">
      <c r="A498" s="2" t="s">
        <v>524</v>
      </c>
      <c r="B498">
        <v>0</v>
      </c>
      <c r="C498">
        <v>0</v>
      </c>
      <c r="D498">
        <v>185</v>
      </c>
      <c r="E498">
        <v>0</v>
      </c>
      <c r="F498">
        <v>0</v>
      </c>
      <c r="G498">
        <v>20</v>
      </c>
      <c r="H498">
        <v>20</v>
      </c>
      <c r="I498" t="s">
        <v>1023</v>
      </c>
      <c r="U498"/>
      <c r="V498"/>
      <c r="W498"/>
    </row>
    <row r="499" spans="1:23">
      <c r="A499" s="2" t="s">
        <v>525</v>
      </c>
      <c r="B499">
        <v>0</v>
      </c>
      <c r="C499">
        <v>0</v>
      </c>
      <c r="D499">
        <v>185</v>
      </c>
      <c r="E499">
        <v>0</v>
      </c>
      <c r="F499">
        <v>0</v>
      </c>
      <c r="G499">
        <v>20</v>
      </c>
      <c r="H499">
        <v>20</v>
      </c>
      <c r="I499" t="s">
        <v>1023</v>
      </c>
      <c r="U499"/>
      <c r="V499"/>
      <c r="W499"/>
    </row>
    <row r="500" spans="1:23">
      <c r="A500" s="2" t="s">
        <v>526</v>
      </c>
      <c r="B500">
        <v>0</v>
      </c>
      <c r="C500">
        <v>0</v>
      </c>
      <c r="D500">
        <v>185</v>
      </c>
      <c r="E500">
        <v>0</v>
      </c>
      <c r="F500">
        <v>0</v>
      </c>
      <c r="G500">
        <v>20</v>
      </c>
      <c r="H500">
        <v>20</v>
      </c>
      <c r="I500" t="s">
        <v>1023</v>
      </c>
      <c r="U500"/>
      <c r="V500"/>
      <c r="W500"/>
    </row>
    <row r="501" spans="1:23">
      <c r="A501" s="2" t="s">
        <v>527</v>
      </c>
      <c r="B501">
        <v>0</v>
      </c>
      <c r="C501">
        <v>0</v>
      </c>
      <c r="D501">
        <v>185</v>
      </c>
      <c r="E501">
        <v>0</v>
      </c>
      <c r="F501">
        <v>0</v>
      </c>
      <c r="G501">
        <v>20</v>
      </c>
      <c r="H501">
        <v>20</v>
      </c>
      <c r="I501" t="s">
        <v>1023</v>
      </c>
      <c r="U501"/>
      <c r="V501"/>
      <c r="W501"/>
    </row>
    <row r="502" spans="1:23">
      <c r="A502" s="2" t="s">
        <v>528</v>
      </c>
      <c r="B502">
        <v>0</v>
      </c>
      <c r="C502">
        <v>0</v>
      </c>
      <c r="D502">
        <v>185</v>
      </c>
      <c r="E502">
        <v>0</v>
      </c>
      <c r="F502">
        <v>0</v>
      </c>
      <c r="G502">
        <v>20</v>
      </c>
      <c r="H502">
        <v>20</v>
      </c>
      <c r="I502" t="s">
        <v>1023</v>
      </c>
      <c r="U502"/>
      <c r="V502"/>
      <c r="W502"/>
    </row>
    <row r="503" spans="1:23">
      <c r="A503" s="2" t="s">
        <v>529</v>
      </c>
      <c r="B503">
        <v>0</v>
      </c>
      <c r="C503">
        <v>0</v>
      </c>
      <c r="D503">
        <v>185</v>
      </c>
      <c r="E503">
        <v>0</v>
      </c>
      <c r="F503">
        <v>0</v>
      </c>
      <c r="G503">
        <v>20</v>
      </c>
      <c r="H503">
        <v>20</v>
      </c>
      <c r="I503" t="s">
        <v>1023</v>
      </c>
      <c r="U503"/>
      <c r="V503"/>
      <c r="W503"/>
    </row>
    <row r="504" spans="1:23">
      <c r="A504" s="2" t="s">
        <v>530</v>
      </c>
      <c r="B504">
        <v>0</v>
      </c>
      <c r="C504">
        <v>0</v>
      </c>
      <c r="D504">
        <v>185</v>
      </c>
      <c r="E504">
        <v>0</v>
      </c>
      <c r="F504">
        <v>0</v>
      </c>
      <c r="G504">
        <v>20</v>
      </c>
      <c r="H504">
        <v>20</v>
      </c>
      <c r="I504" t="s">
        <v>1023</v>
      </c>
      <c r="U504"/>
      <c r="V504"/>
      <c r="W504"/>
    </row>
    <row r="505" spans="1:23">
      <c r="A505" s="2" t="s">
        <v>531</v>
      </c>
      <c r="B505">
        <v>0</v>
      </c>
      <c r="C505">
        <v>0</v>
      </c>
      <c r="D505">
        <v>185</v>
      </c>
      <c r="E505">
        <v>0</v>
      </c>
      <c r="F505">
        <v>0</v>
      </c>
      <c r="G505">
        <v>20</v>
      </c>
      <c r="H505">
        <v>20</v>
      </c>
      <c r="I505" t="s">
        <v>1023</v>
      </c>
      <c r="U505"/>
      <c r="V505"/>
      <c r="W505"/>
    </row>
    <row r="506" spans="1:23">
      <c r="A506" s="2" t="s">
        <v>533</v>
      </c>
      <c r="B506">
        <v>0</v>
      </c>
      <c r="C506">
        <v>0</v>
      </c>
      <c r="D506">
        <v>185</v>
      </c>
      <c r="E506">
        <v>0</v>
      </c>
      <c r="F506">
        <v>0</v>
      </c>
      <c r="G506">
        <v>20</v>
      </c>
      <c r="H506">
        <v>20</v>
      </c>
      <c r="I506" t="s">
        <v>1023</v>
      </c>
      <c r="U506"/>
      <c r="V506"/>
      <c r="W506"/>
    </row>
    <row r="507" spans="1:23">
      <c r="A507" s="2" t="s">
        <v>534</v>
      </c>
      <c r="B507">
        <v>0</v>
      </c>
      <c r="C507">
        <v>0</v>
      </c>
      <c r="D507">
        <v>185</v>
      </c>
      <c r="E507">
        <v>0</v>
      </c>
      <c r="F507">
        <v>0</v>
      </c>
      <c r="G507">
        <v>20</v>
      </c>
      <c r="H507">
        <v>20</v>
      </c>
      <c r="I507" t="s">
        <v>1023</v>
      </c>
      <c r="U507"/>
      <c r="V507"/>
      <c r="W507"/>
    </row>
    <row r="508" spans="1:23">
      <c r="A508" s="2" t="s">
        <v>535</v>
      </c>
      <c r="B508">
        <v>0</v>
      </c>
      <c r="C508">
        <v>0</v>
      </c>
      <c r="D508">
        <v>185</v>
      </c>
      <c r="E508">
        <v>0</v>
      </c>
      <c r="F508">
        <v>0</v>
      </c>
      <c r="G508">
        <v>20</v>
      </c>
      <c r="H508">
        <v>20</v>
      </c>
      <c r="I508" t="s">
        <v>1023</v>
      </c>
      <c r="U508"/>
      <c r="V508"/>
      <c r="W508"/>
    </row>
    <row r="509" spans="1:23">
      <c r="A509" s="2" t="s">
        <v>536</v>
      </c>
      <c r="B509">
        <v>0</v>
      </c>
      <c r="C509">
        <v>0</v>
      </c>
      <c r="D509">
        <v>185</v>
      </c>
      <c r="E509">
        <v>0</v>
      </c>
      <c r="F509">
        <v>0</v>
      </c>
      <c r="G509">
        <v>20</v>
      </c>
      <c r="H509">
        <v>20</v>
      </c>
      <c r="I509" t="s">
        <v>1023</v>
      </c>
      <c r="U509"/>
      <c r="V509"/>
      <c r="W509"/>
    </row>
    <row r="510" spans="1:23">
      <c r="A510" s="2" t="s">
        <v>537</v>
      </c>
      <c r="B510">
        <v>0</v>
      </c>
      <c r="C510">
        <v>0</v>
      </c>
      <c r="D510">
        <v>185</v>
      </c>
      <c r="E510">
        <v>0</v>
      </c>
      <c r="F510">
        <v>0</v>
      </c>
      <c r="G510">
        <v>20</v>
      </c>
      <c r="H510">
        <v>20</v>
      </c>
      <c r="I510" t="s">
        <v>1023</v>
      </c>
      <c r="U510"/>
      <c r="V510"/>
      <c r="W510"/>
    </row>
    <row r="511" spans="1:23">
      <c r="A511" s="2" t="s">
        <v>538</v>
      </c>
      <c r="B511">
        <v>0</v>
      </c>
      <c r="C511">
        <v>0</v>
      </c>
      <c r="D511">
        <v>185</v>
      </c>
      <c r="E511">
        <v>0</v>
      </c>
      <c r="F511">
        <v>0</v>
      </c>
      <c r="G511">
        <v>20</v>
      </c>
      <c r="H511">
        <v>20</v>
      </c>
      <c r="I511" t="s">
        <v>1023</v>
      </c>
      <c r="U511"/>
      <c r="V511"/>
      <c r="W511"/>
    </row>
    <row r="512" spans="1:23">
      <c r="A512" s="2" t="s">
        <v>539</v>
      </c>
      <c r="B512">
        <v>0</v>
      </c>
      <c r="C512">
        <v>0</v>
      </c>
      <c r="D512">
        <v>185</v>
      </c>
      <c r="E512">
        <v>0</v>
      </c>
      <c r="F512">
        <v>0</v>
      </c>
      <c r="G512">
        <v>20</v>
      </c>
      <c r="H512">
        <v>20</v>
      </c>
      <c r="I512" t="s">
        <v>1023</v>
      </c>
      <c r="U512"/>
      <c r="V512"/>
      <c r="W512"/>
    </row>
    <row r="513" spans="1:23">
      <c r="A513" s="2" t="s">
        <v>540</v>
      </c>
      <c r="B513">
        <v>0</v>
      </c>
      <c r="C513">
        <v>0</v>
      </c>
      <c r="D513">
        <v>185</v>
      </c>
      <c r="E513">
        <v>0</v>
      </c>
      <c r="F513">
        <v>0</v>
      </c>
      <c r="G513">
        <v>20</v>
      </c>
      <c r="H513">
        <v>20</v>
      </c>
      <c r="I513" t="s">
        <v>1023</v>
      </c>
      <c r="U513"/>
      <c r="V513"/>
      <c r="W513"/>
    </row>
    <row r="514" spans="1:23">
      <c r="A514" s="2" t="s">
        <v>541</v>
      </c>
      <c r="B514">
        <v>0</v>
      </c>
      <c r="C514">
        <v>0</v>
      </c>
      <c r="D514">
        <v>185</v>
      </c>
      <c r="E514">
        <v>0</v>
      </c>
      <c r="F514">
        <v>0</v>
      </c>
      <c r="G514">
        <v>20</v>
      </c>
      <c r="H514">
        <v>20</v>
      </c>
      <c r="I514" t="s">
        <v>1023</v>
      </c>
      <c r="U514"/>
      <c r="V514"/>
      <c r="W514"/>
    </row>
    <row r="515" spans="1:23">
      <c r="A515" s="2" t="s">
        <v>542</v>
      </c>
      <c r="B515">
        <v>0</v>
      </c>
      <c r="C515">
        <v>0</v>
      </c>
      <c r="D515">
        <v>185</v>
      </c>
      <c r="E515">
        <v>0</v>
      </c>
      <c r="F515">
        <v>0</v>
      </c>
      <c r="G515">
        <v>20</v>
      </c>
      <c r="H515">
        <v>20</v>
      </c>
      <c r="I515" t="s">
        <v>1023</v>
      </c>
      <c r="U515"/>
      <c r="V515"/>
      <c r="W515"/>
    </row>
    <row r="516" spans="1:23">
      <c r="A516" s="2" t="s">
        <v>543</v>
      </c>
      <c r="B516">
        <v>0</v>
      </c>
      <c r="C516">
        <v>0</v>
      </c>
      <c r="D516">
        <v>185</v>
      </c>
      <c r="E516">
        <v>0</v>
      </c>
      <c r="F516">
        <v>0</v>
      </c>
      <c r="G516">
        <v>20</v>
      </c>
      <c r="H516">
        <v>20</v>
      </c>
      <c r="I516" t="s">
        <v>1023</v>
      </c>
      <c r="U516"/>
      <c r="V516"/>
      <c r="W516"/>
    </row>
    <row r="517" spans="1:23">
      <c r="A517" s="2" t="s">
        <v>544</v>
      </c>
      <c r="B517">
        <v>0</v>
      </c>
      <c r="C517">
        <v>0</v>
      </c>
      <c r="D517">
        <v>185</v>
      </c>
      <c r="E517">
        <v>0</v>
      </c>
      <c r="F517">
        <v>0</v>
      </c>
      <c r="G517">
        <v>20</v>
      </c>
      <c r="H517">
        <v>20</v>
      </c>
      <c r="I517" t="s">
        <v>1023</v>
      </c>
      <c r="U517"/>
      <c r="V517"/>
      <c r="W517"/>
    </row>
    <row r="518" spans="1:23">
      <c r="A518" s="2" t="s">
        <v>545</v>
      </c>
      <c r="B518">
        <v>0</v>
      </c>
      <c r="C518">
        <v>0</v>
      </c>
      <c r="D518">
        <v>185</v>
      </c>
      <c r="E518">
        <v>0</v>
      </c>
      <c r="F518">
        <v>0</v>
      </c>
      <c r="G518">
        <v>20</v>
      </c>
      <c r="H518">
        <v>20</v>
      </c>
      <c r="I518" t="s">
        <v>1023</v>
      </c>
      <c r="U518"/>
      <c r="V518"/>
      <c r="W518"/>
    </row>
    <row r="519" spans="1:23">
      <c r="A519" s="2" t="s">
        <v>546</v>
      </c>
      <c r="B519">
        <v>0</v>
      </c>
      <c r="C519">
        <v>0</v>
      </c>
      <c r="D519">
        <v>185</v>
      </c>
      <c r="E519">
        <v>0</v>
      </c>
      <c r="F519">
        <v>0</v>
      </c>
      <c r="G519">
        <v>20</v>
      </c>
      <c r="H519">
        <v>20</v>
      </c>
      <c r="I519" t="s">
        <v>1023</v>
      </c>
      <c r="U519"/>
      <c r="V519"/>
      <c r="W519"/>
    </row>
    <row r="520" spans="1:23">
      <c r="A520" s="2" t="s">
        <v>547</v>
      </c>
      <c r="B520">
        <v>0</v>
      </c>
      <c r="C520">
        <v>0</v>
      </c>
      <c r="D520">
        <v>185</v>
      </c>
      <c r="E520">
        <v>0</v>
      </c>
      <c r="F520">
        <v>0</v>
      </c>
      <c r="G520">
        <v>20</v>
      </c>
      <c r="H520">
        <v>20</v>
      </c>
      <c r="I520" t="s">
        <v>1023</v>
      </c>
      <c r="U520"/>
      <c r="V520"/>
      <c r="W520"/>
    </row>
    <row r="521" spans="1:23">
      <c r="A521" s="2" t="s">
        <v>548</v>
      </c>
      <c r="B521">
        <v>0</v>
      </c>
      <c r="C521">
        <v>0</v>
      </c>
      <c r="D521">
        <v>185</v>
      </c>
      <c r="E521">
        <v>0</v>
      </c>
      <c r="F521">
        <v>0</v>
      </c>
      <c r="G521">
        <v>20</v>
      </c>
      <c r="H521">
        <v>20</v>
      </c>
      <c r="I521" t="s">
        <v>1023</v>
      </c>
      <c r="U521"/>
      <c r="V521"/>
      <c r="W521"/>
    </row>
    <row r="522" spans="1:23">
      <c r="A522" s="2" t="s">
        <v>549</v>
      </c>
      <c r="B522">
        <v>0</v>
      </c>
      <c r="C522">
        <v>0</v>
      </c>
      <c r="D522">
        <v>185</v>
      </c>
      <c r="E522">
        <v>0</v>
      </c>
      <c r="F522">
        <v>0</v>
      </c>
      <c r="G522">
        <v>20</v>
      </c>
      <c r="H522">
        <v>20</v>
      </c>
      <c r="I522" t="s">
        <v>1023</v>
      </c>
      <c r="U522"/>
      <c r="V522"/>
      <c r="W522"/>
    </row>
    <row r="523" spans="1:23">
      <c r="A523" s="2" t="s">
        <v>550</v>
      </c>
      <c r="B523">
        <v>0</v>
      </c>
      <c r="C523">
        <v>0</v>
      </c>
      <c r="D523">
        <v>185</v>
      </c>
      <c r="E523">
        <v>0</v>
      </c>
      <c r="F523">
        <v>0</v>
      </c>
      <c r="G523">
        <v>20</v>
      </c>
      <c r="H523">
        <v>20</v>
      </c>
      <c r="I523" t="s">
        <v>1023</v>
      </c>
      <c r="U523"/>
      <c r="V523"/>
      <c r="W523"/>
    </row>
    <row r="524" spans="1:23">
      <c r="A524" s="2" t="s">
        <v>551</v>
      </c>
      <c r="B524">
        <v>0</v>
      </c>
      <c r="C524">
        <v>0</v>
      </c>
      <c r="D524">
        <v>185</v>
      </c>
      <c r="E524">
        <v>0</v>
      </c>
      <c r="F524">
        <v>0</v>
      </c>
      <c r="G524">
        <v>20</v>
      </c>
      <c r="H524">
        <v>20</v>
      </c>
      <c r="I524" t="s">
        <v>1023</v>
      </c>
      <c r="U524"/>
      <c r="V524"/>
      <c r="W524"/>
    </row>
    <row r="525" spans="1:23">
      <c r="A525" s="2" t="s">
        <v>552</v>
      </c>
      <c r="B525">
        <v>0</v>
      </c>
      <c r="C525">
        <v>0</v>
      </c>
      <c r="D525">
        <v>185</v>
      </c>
      <c r="E525">
        <v>0</v>
      </c>
      <c r="F525">
        <v>0</v>
      </c>
      <c r="G525">
        <v>20</v>
      </c>
      <c r="H525">
        <v>20</v>
      </c>
      <c r="I525" t="s">
        <v>1023</v>
      </c>
      <c r="U525"/>
      <c r="V525"/>
      <c r="W525"/>
    </row>
    <row r="526" spans="1:23">
      <c r="A526" s="2" t="s">
        <v>553</v>
      </c>
      <c r="B526">
        <v>0</v>
      </c>
      <c r="C526">
        <v>0</v>
      </c>
      <c r="D526">
        <v>185</v>
      </c>
      <c r="E526">
        <v>0</v>
      </c>
      <c r="F526">
        <v>0</v>
      </c>
      <c r="G526">
        <v>20</v>
      </c>
      <c r="H526">
        <v>20</v>
      </c>
      <c r="I526" t="s">
        <v>1023</v>
      </c>
      <c r="U526"/>
      <c r="V526"/>
      <c r="W526"/>
    </row>
    <row r="527" spans="1:23">
      <c r="A527" s="2" t="s">
        <v>554</v>
      </c>
      <c r="B527">
        <v>0</v>
      </c>
      <c r="C527">
        <v>0</v>
      </c>
      <c r="D527">
        <v>185</v>
      </c>
      <c r="E527">
        <v>0</v>
      </c>
      <c r="F527">
        <v>0</v>
      </c>
      <c r="G527">
        <v>20</v>
      </c>
      <c r="H527">
        <v>20</v>
      </c>
      <c r="I527" t="s">
        <v>1023</v>
      </c>
      <c r="U527"/>
      <c r="V527"/>
      <c r="W527"/>
    </row>
    <row r="528" spans="1:23">
      <c r="A528" s="2" t="s">
        <v>555</v>
      </c>
      <c r="B528">
        <v>0</v>
      </c>
      <c r="C528">
        <v>0</v>
      </c>
      <c r="D528">
        <v>185</v>
      </c>
      <c r="E528">
        <v>0</v>
      </c>
      <c r="F528">
        <v>0</v>
      </c>
      <c r="G528">
        <v>20</v>
      </c>
      <c r="H528">
        <v>20</v>
      </c>
      <c r="I528" t="s">
        <v>1023</v>
      </c>
      <c r="U528"/>
      <c r="V528"/>
      <c r="W528"/>
    </row>
    <row r="529" spans="1:23">
      <c r="A529" s="2" t="s">
        <v>556</v>
      </c>
      <c r="B529">
        <v>0</v>
      </c>
      <c r="C529">
        <v>0</v>
      </c>
      <c r="D529">
        <v>185</v>
      </c>
      <c r="E529">
        <v>0</v>
      </c>
      <c r="F529">
        <v>0</v>
      </c>
      <c r="G529">
        <v>20</v>
      </c>
      <c r="H529">
        <v>20</v>
      </c>
      <c r="I529" t="s">
        <v>1023</v>
      </c>
      <c r="U529"/>
      <c r="V529"/>
      <c r="W529"/>
    </row>
    <row r="530" spans="1:23">
      <c r="A530" s="2" t="s">
        <v>557</v>
      </c>
      <c r="B530">
        <v>0</v>
      </c>
      <c r="C530">
        <v>0</v>
      </c>
      <c r="D530">
        <v>185</v>
      </c>
      <c r="E530">
        <v>0</v>
      </c>
      <c r="F530">
        <v>0</v>
      </c>
      <c r="G530">
        <v>20</v>
      </c>
      <c r="H530">
        <v>20</v>
      </c>
      <c r="I530" t="s">
        <v>1023</v>
      </c>
      <c r="U530"/>
      <c r="V530"/>
      <c r="W530"/>
    </row>
    <row r="531" spans="1:23">
      <c r="A531" s="2" t="s">
        <v>558</v>
      </c>
      <c r="B531">
        <v>0</v>
      </c>
      <c r="C531">
        <v>0</v>
      </c>
      <c r="D531">
        <v>185</v>
      </c>
      <c r="E531">
        <v>0</v>
      </c>
      <c r="F531">
        <v>0</v>
      </c>
      <c r="G531">
        <v>20</v>
      </c>
      <c r="H531">
        <v>20</v>
      </c>
      <c r="I531" t="s">
        <v>1023</v>
      </c>
      <c r="U531"/>
      <c r="V531"/>
      <c r="W531"/>
    </row>
    <row r="532" spans="1:23">
      <c r="A532" s="2" t="s">
        <v>559</v>
      </c>
      <c r="B532">
        <v>0</v>
      </c>
      <c r="C532">
        <v>0</v>
      </c>
      <c r="D532">
        <v>185</v>
      </c>
      <c r="E532">
        <v>0</v>
      </c>
      <c r="F532">
        <v>0</v>
      </c>
      <c r="G532">
        <v>20</v>
      </c>
      <c r="H532">
        <v>20</v>
      </c>
      <c r="I532" t="s">
        <v>1023</v>
      </c>
      <c r="U532"/>
      <c r="V532"/>
      <c r="W532"/>
    </row>
    <row r="533" spans="1:23">
      <c r="A533" s="2" t="s">
        <v>560</v>
      </c>
      <c r="B533">
        <v>0</v>
      </c>
      <c r="C533">
        <v>0</v>
      </c>
      <c r="D533">
        <v>185</v>
      </c>
      <c r="E533">
        <v>0</v>
      </c>
      <c r="F533">
        <v>0</v>
      </c>
      <c r="G533">
        <v>20</v>
      </c>
      <c r="H533">
        <v>20</v>
      </c>
      <c r="I533" t="s">
        <v>1023</v>
      </c>
      <c r="U533"/>
      <c r="V533"/>
      <c r="W533"/>
    </row>
    <row r="534" spans="1:23">
      <c r="A534" s="2" t="s">
        <v>561</v>
      </c>
      <c r="B534">
        <v>0</v>
      </c>
      <c r="C534">
        <v>0</v>
      </c>
      <c r="D534">
        <v>185</v>
      </c>
      <c r="E534">
        <v>0</v>
      </c>
      <c r="F534">
        <v>0</v>
      </c>
      <c r="G534">
        <v>20</v>
      </c>
      <c r="H534">
        <v>20</v>
      </c>
      <c r="I534" t="s">
        <v>1023</v>
      </c>
      <c r="U534"/>
      <c r="V534"/>
      <c r="W534"/>
    </row>
    <row r="535" spans="1:23">
      <c r="A535" s="2" t="s">
        <v>562</v>
      </c>
      <c r="B535">
        <v>0</v>
      </c>
      <c r="C535">
        <v>0</v>
      </c>
      <c r="D535">
        <v>185</v>
      </c>
      <c r="E535">
        <v>0</v>
      </c>
      <c r="F535">
        <v>0</v>
      </c>
      <c r="G535">
        <v>20</v>
      </c>
      <c r="H535">
        <v>20</v>
      </c>
      <c r="I535" t="s">
        <v>1023</v>
      </c>
      <c r="U535"/>
      <c r="V535"/>
      <c r="W535"/>
    </row>
    <row r="536" spans="1:23">
      <c r="A536" s="2" t="s">
        <v>563</v>
      </c>
      <c r="B536">
        <v>0</v>
      </c>
      <c r="C536">
        <v>0</v>
      </c>
      <c r="D536">
        <v>185</v>
      </c>
      <c r="E536">
        <v>0</v>
      </c>
      <c r="F536">
        <v>0</v>
      </c>
      <c r="G536">
        <v>20</v>
      </c>
      <c r="H536">
        <v>20</v>
      </c>
      <c r="I536" t="s">
        <v>1023</v>
      </c>
      <c r="U536"/>
      <c r="V536"/>
      <c r="W536"/>
    </row>
    <row r="537" spans="1:23">
      <c r="A537" s="2" t="s">
        <v>564</v>
      </c>
      <c r="B537">
        <v>0</v>
      </c>
      <c r="C537">
        <v>0</v>
      </c>
      <c r="D537">
        <v>185</v>
      </c>
      <c r="E537">
        <v>0</v>
      </c>
      <c r="F537">
        <v>0</v>
      </c>
      <c r="G537">
        <v>20</v>
      </c>
      <c r="H537">
        <v>20</v>
      </c>
      <c r="I537" t="s">
        <v>1023</v>
      </c>
      <c r="U537"/>
      <c r="V537"/>
      <c r="W537"/>
    </row>
    <row r="538" spans="1:23">
      <c r="A538" s="2" t="s">
        <v>565</v>
      </c>
      <c r="B538">
        <v>0</v>
      </c>
      <c r="C538">
        <v>0</v>
      </c>
      <c r="D538">
        <v>185</v>
      </c>
      <c r="E538">
        <v>0</v>
      </c>
      <c r="F538">
        <v>0</v>
      </c>
      <c r="G538">
        <v>20</v>
      </c>
      <c r="H538">
        <v>20</v>
      </c>
      <c r="I538" t="s">
        <v>1023</v>
      </c>
      <c r="U538"/>
      <c r="V538"/>
      <c r="W538"/>
    </row>
    <row r="539" spans="1:23">
      <c r="A539" s="2" t="s">
        <v>566</v>
      </c>
      <c r="B539">
        <v>0</v>
      </c>
      <c r="C539">
        <v>0</v>
      </c>
      <c r="D539">
        <v>185</v>
      </c>
      <c r="E539">
        <v>0</v>
      </c>
      <c r="F539">
        <v>0</v>
      </c>
      <c r="G539">
        <v>20</v>
      </c>
      <c r="H539">
        <v>20</v>
      </c>
      <c r="I539" t="s">
        <v>1023</v>
      </c>
      <c r="U539"/>
      <c r="V539"/>
      <c r="W539"/>
    </row>
    <row r="540" spans="1:23">
      <c r="A540" s="2" t="s">
        <v>567</v>
      </c>
      <c r="B540">
        <v>0</v>
      </c>
      <c r="C540">
        <v>0</v>
      </c>
      <c r="D540">
        <v>185</v>
      </c>
      <c r="E540">
        <v>0</v>
      </c>
      <c r="F540">
        <v>0</v>
      </c>
      <c r="G540">
        <v>20</v>
      </c>
      <c r="H540">
        <v>20</v>
      </c>
      <c r="I540" t="s">
        <v>1023</v>
      </c>
      <c r="U540"/>
      <c r="V540"/>
      <c r="W540"/>
    </row>
    <row r="541" spans="1:23">
      <c r="A541" s="2" t="s">
        <v>568</v>
      </c>
      <c r="B541">
        <v>0</v>
      </c>
      <c r="C541">
        <v>0</v>
      </c>
      <c r="D541">
        <v>185</v>
      </c>
      <c r="E541">
        <v>0</v>
      </c>
      <c r="F541">
        <v>0</v>
      </c>
      <c r="G541">
        <v>20</v>
      </c>
      <c r="H541">
        <v>20</v>
      </c>
      <c r="I541" t="s">
        <v>1023</v>
      </c>
      <c r="U541"/>
      <c r="V541"/>
      <c r="W541"/>
    </row>
    <row r="542" spans="1:23">
      <c r="A542" s="2" t="s">
        <v>569</v>
      </c>
      <c r="B542">
        <v>0</v>
      </c>
      <c r="C542">
        <v>0</v>
      </c>
      <c r="D542">
        <v>185</v>
      </c>
      <c r="E542">
        <v>0</v>
      </c>
      <c r="F542">
        <v>0</v>
      </c>
      <c r="G542">
        <v>20</v>
      </c>
      <c r="H542">
        <v>20</v>
      </c>
      <c r="I542" t="s">
        <v>1023</v>
      </c>
      <c r="U542"/>
      <c r="V542"/>
      <c r="W542"/>
    </row>
    <row r="543" spans="1:23">
      <c r="A543" s="2" t="s">
        <v>570</v>
      </c>
      <c r="B543">
        <v>0</v>
      </c>
      <c r="C543">
        <v>0</v>
      </c>
      <c r="D543">
        <v>185</v>
      </c>
      <c r="E543">
        <v>0</v>
      </c>
      <c r="F543">
        <v>0</v>
      </c>
      <c r="G543">
        <v>20</v>
      </c>
      <c r="H543">
        <v>20</v>
      </c>
      <c r="I543" t="s">
        <v>1023</v>
      </c>
      <c r="U543"/>
      <c r="V543"/>
      <c r="W543"/>
    </row>
    <row r="544" spans="1:23">
      <c r="A544" s="2" t="s">
        <v>571</v>
      </c>
      <c r="B544">
        <v>0</v>
      </c>
      <c r="C544">
        <v>0</v>
      </c>
      <c r="D544">
        <v>185</v>
      </c>
      <c r="E544">
        <v>0</v>
      </c>
      <c r="F544">
        <v>0</v>
      </c>
      <c r="G544">
        <v>20</v>
      </c>
      <c r="H544">
        <v>20</v>
      </c>
      <c r="I544" t="s">
        <v>1023</v>
      </c>
      <c r="U544"/>
      <c r="V544"/>
      <c r="W544"/>
    </row>
    <row r="545" spans="1:23">
      <c r="A545" s="2" t="s">
        <v>572</v>
      </c>
      <c r="B545">
        <v>0</v>
      </c>
      <c r="C545">
        <v>0</v>
      </c>
      <c r="D545">
        <v>185</v>
      </c>
      <c r="E545">
        <v>0</v>
      </c>
      <c r="F545">
        <v>0</v>
      </c>
      <c r="G545">
        <v>20</v>
      </c>
      <c r="H545">
        <v>20</v>
      </c>
      <c r="I545" t="s">
        <v>1023</v>
      </c>
      <c r="U545"/>
      <c r="V545"/>
      <c r="W545"/>
    </row>
    <row r="546" spans="1:23">
      <c r="A546" s="2" t="s">
        <v>573</v>
      </c>
      <c r="B546">
        <v>0</v>
      </c>
      <c r="C546">
        <v>0</v>
      </c>
      <c r="D546">
        <v>185</v>
      </c>
      <c r="E546">
        <v>0</v>
      </c>
      <c r="F546">
        <v>0</v>
      </c>
      <c r="G546">
        <v>20</v>
      </c>
      <c r="H546">
        <v>20</v>
      </c>
      <c r="I546" t="s">
        <v>1023</v>
      </c>
      <c r="U546"/>
      <c r="V546"/>
      <c r="W546"/>
    </row>
    <row r="547" spans="1:23">
      <c r="A547" s="2" t="s">
        <v>574</v>
      </c>
      <c r="B547">
        <v>0</v>
      </c>
      <c r="C547">
        <v>0</v>
      </c>
      <c r="D547">
        <v>185</v>
      </c>
      <c r="E547">
        <v>0</v>
      </c>
      <c r="F547">
        <v>0</v>
      </c>
      <c r="G547">
        <v>20</v>
      </c>
      <c r="H547">
        <v>20</v>
      </c>
      <c r="I547" t="s">
        <v>1023</v>
      </c>
      <c r="U547"/>
      <c r="V547"/>
      <c r="W547"/>
    </row>
    <row r="548" spans="1:23">
      <c r="A548" s="2" t="s">
        <v>575</v>
      </c>
      <c r="B548">
        <v>0</v>
      </c>
      <c r="C548">
        <v>0</v>
      </c>
      <c r="D548">
        <v>185</v>
      </c>
      <c r="E548">
        <v>0</v>
      </c>
      <c r="F548">
        <v>0</v>
      </c>
      <c r="G548">
        <v>20</v>
      </c>
      <c r="H548">
        <v>20</v>
      </c>
      <c r="I548" t="s">
        <v>1023</v>
      </c>
      <c r="U548"/>
      <c r="V548"/>
      <c r="W548"/>
    </row>
    <row r="549" spans="1:23">
      <c r="A549" s="2" t="s">
        <v>576</v>
      </c>
      <c r="B549">
        <v>0</v>
      </c>
      <c r="C549">
        <v>0</v>
      </c>
      <c r="D549">
        <v>185</v>
      </c>
      <c r="E549">
        <v>0</v>
      </c>
      <c r="F549">
        <v>0</v>
      </c>
      <c r="G549">
        <v>20</v>
      </c>
      <c r="H549">
        <v>20</v>
      </c>
      <c r="I549" t="s">
        <v>1023</v>
      </c>
      <c r="U549"/>
      <c r="V549"/>
      <c r="W549"/>
    </row>
    <row r="550" spans="1:23">
      <c r="A550" s="2" t="s">
        <v>577</v>
      </c>
      <c r="B550">
        <v>0</v>
      </c>
      <c r="C550">
        <v>0</v>
      </c>
      <c r="D550">
        <v>185</v>
      </c>
      <c r="E550">
        <v>0</v>
      </c>
      <c r="F550">
        <v>0</v>
      </c>
      <c r="G550">
        <v>20</v>
      </c>
      <c r="H550">
        <v>20</v>
      </c>
      <c r="I550" t="s">
        <v>1023</v>
      </c>
      <c r="U550"/>
      <c r="V550"/>
      <c r="W550"/>
    </row>
    <row r="551" spans="1:23">
      <c r="A551" s="2" t="s">
        <v>578</v>
      </c>
      <c r="B551">
        <v>0</v>
      </c>
      <c r="C551">
        <v>0</v>
      </c>
      <c r="D551">
        <v>185</v>
      </c>
      <c r="E551">
        <v>0</v>
      </c>
      <c r="F551">
        <v>0</v>
      </c>
      <c r="G551">
        <v>20</v>
      </c>
      <c r="H551">
        <v>20</v>
      </c>
      <c r="I551" t="s">
        <v>1023</v>
      </c>
      <c r="U551"/>
      <c r="V551"/>
      <c r="W551"/>
    </row>
    <row r="552" spans="1:23">
      <c r="A552" s="2" t="s">
        <v>579</v>
      </c>
      <c r="B552">
        <v>0</v>
      </c>
      <c r="C552">
        <v>0</v>
      </c>
      <c r="D552">
        <v>185</v>
      </c>
      <c r="E552">
        <v>0</v>
      </c>
      <c r="F552">
        <v>0</v>
      </c>
      <c r="G552">
        <v>20</v>
      </c>
      <c r="H552">
        <v>20</v>
      </c>
      <c r="I552" t="s">
        <v>1023</v>
      </c>
      <c r="U552"/>
      <c r="V552"/>
      <c r="W552"/>
    </row>
    <row r="553" spans="1:23">
      <c r="A553" s="2" t="s">
        <v>580</v>
      </c>
      <c r="B553">
        <v>0</v>
      </c>
      <c r="C553">
        <v>0</v>
      </c>
      <c r="D553">
        <v>185</v>
      </c>
      <c r="E553">
        <v>0</v>
      </c>
      <c r="F553">
        <v>0</v>
      </c>
      <c r="G553">
        <v>20</v>
      </c>
      <c r="H553">
        <v>20</v>
      </c>
      <c r="I553" t="s">
        <v>1023</v>
      </c>
      <c r="U553"/>
      <c r="V553"/>
      <c r="W553"/>
    </row>
    <row r="554" spans="1:23">
      <c r="A554" s="2" t="s">
        <v>581</v>
      </c>
      <c r="B554">
        <v>0</v>
      </c>
      <c r="C554">
        <v>0</v>
      </c>
      <c r="D554">
        <v>185</v>
      </c>
      <c r="E554">
        <v>0</v>
      </c>
      <c r="F554">
        <v>0</v>
      </c>
      <c r="G554">
        <v>20</v>
      </c>
      <c r="H554">
        <v>20</v>
      </c>
      <c r="I554" t="s">
        <v>1023</v>
      </c>
      <c r="U554"/>
      <c r="V554"/>
      <c r="W554"/>
    </row>
    <row r="555" spans="1:23">
      <c r="A555" s="2" t="s">
        <v>582</v>
      </c>
      <c r="B555">
        <v>0</v>
      </c>
      <c r="C555">
        <v>0</v>
      </c>
      <c r="D555">
        <v>185</v>
      </c>
      <c r="E555">
        <v>0</v>
      </c>
      <c r="F555">
        <v>0</v>
      </c>
      <c r="G555">
        <v>20</v>
      </c>
      <c r="H555">
        <v>20</v>
      </c>
      <c r="I555" t="s">
        <v>1023</v>
      </c>
      <c r="U555"/>
      <c r="V555"/>
      <c r="W555"/>
    </row>
    <row r="556" spans="1:23">
      <c r="A556" s="2" t="s">
        <v>583</v>
      </c>
      <c r="B556">
        <v>0</v>
      </c>
      <c r="C556">
        <v>0</v>
      </c>
      <c r="D556">
        <v>185</v>
      </c>
      <c r="E556">
        <v>0</v>
      </c>
      <c r="F556">
        <v>0</v>
      </c>
      <c r="G556">
        <v>20</v>
      </c>
      <c r="H556">
        <v>20</v>
      </c>
      <c r="I556" t="s">
        <v>1023</v>
      </c>
      <c r="U556"/>
      <c r="V556"/>
      <c r="W556"/>
    </row>
    <row r="557" spans="1:23">
      <c r="A557" s="2" t="s">
        <v>584</v>
      </c>
      <c r="B557">
        <v>0</v>
      </c>
      <c r="C557">
        <v>0</v>
      </c>
      <c r="D557">
        <v>185</v>
      </c>
      <c r="E557">
        <v>0</v>
      </c>
      <c r="F557">
        <v>0</v>
      </c>
      <c r="G557">
        <v>20</v>
      </c>
      <c r="H557">
        <v>20</v>
      </c>
      <c r="I557" t="s">
        <v>1023</v>
      </c>
      <c r="U557"/>
      <c r="V557"/>
      <c r="W557"/>
    </row>
    <row r="558" spans="1:23">
      <c r="A558" s="2" t="s">
        <v>585</v>
      </c>
      <c r="B558">
        <v>0</v>
      </c>
      <c r="C558">
        <v>0</v>
      </c>
      <c r="D558">
        <v>185</v>
      </c>
      <c r="E558">
        <v>0</v>
      </c>
      <c r="F558">
        <v>0</v>
      </c>
      <c r="G558">
        <v>20</v>
      </c>
      <c r="H558">
        <v>20</v>
      </c>
      <c r="I558" t="s">
        <v>1023</v>
      </c>
      <c r="U558"/>
      <c r="V558"/>
      <c r="W558"/>
    </row>
    <row r="559" spans="1:23">
      <c r="A559" s="2" t="s">
        <v>586</v>
      </c>
      <c r="B559">
        <v>0</v>
      </c>
      <c r="C559">
        <v>0</v>
      </c>
      <c r="D559">
        <v>185</v>
      </c>
      <c r="E559">
        <v>0</v>
      </c>
      <c r="F559">
        <v>0</v>
      </c>
      <c r="G559">
        <v>20</v>
      </c>
      <c r="H559">
        <v>20</v>
      </c>
      <c r="I559" t="s">
        <v>1023</v>
      </c>
      <c r="U559"/>
      <c r="V559"/>
      <c r="W559"/>
    </row>
    <row r="560" spans="1:23">
      <c r="A560" s="2" t="s">
        <v>587</v>
      </c>
      <c r="B560">
        <v>0</v>
      </c>
      <c r="C560">
        <v>0</v>
      </c>
      <c r="D560">
        <v>185</v>
      </c>
      <c r="E560">
        <v>0</v>
      </c>
      <c r="F560">
        <v>0</v>
      </c>
      <c r="G560">
        <v>20</v>
      </c>
      <c r="H560">
        <v>20</v>
      </c>
      <c r="I560" t="s">
        <v>1023</v>
      </c>
      <c r="U560"/>
      <c r="V560"/>
      <c r="W560"/>
    </row>
    <row r="561" spans="1:23">
      <c r="A561" s="2" t="s">
        <v>588</v>
      </c>
      <c r="B561">
        <v>0</v>
      </c>
      <c r="C561">
        <v>0</v>
      </c>
      <c r="D561">
        <v>185</v>
      </c>
      <c r="E561">
        <v>0</v>
      </c>
      <c r="F561">
        <v>0</v>
      </c>
      <c r="G561">
        <v>20</v>
      </c>
      <c r="H561">
        <v>20</v>
      </c>
      <c r="I561" t="s">
        <v>1023</v>
      </c>
      <c r="U561"/>
      <c r="V561"/>
      <c r="W561"/>
    </row>
    <row r="562" spans="1:23">
      <c r="A562" s="2" t="s">
        <v>589</v>
      </c>
      <c r="B562">
        <v>0</v>
      </c>
      <c r="C562">
        <v>0</v>
      </c>
      <c r="D562">
        <v>185</v>
      </c>
      <c r="E562">
        <v>0</v>
      </c>
      <c r="F562">
        <v>0</v>
      </c>
      <c r="G562">
        <v>20</v>
      </c>
      <c r="H562">
        <v>20</v>
      </c>
      <c r="I562" t="s">
        <v>1023</v>
      </c>
      <c r="U562"/>
      <c r="V562"/>
      <c r="W562"/>
    </row>
    <row r="563" spans="1:23">
      <c r="A563" s="2" t="s">
        <v>590</v>
      </c>
      <c r="B563">
        <v>0</v>
      </c>
      <c r="C563">
        <v>0</v>
      </c>
      <c r="D563">
        <v>185</v>
      </c>
      <c r="E563">
        <v>0</v>
      </c>
      <c r="F563">
        <v>0</v>
      </c>
      <c r="G563">
        <v>20</v>
      </c>
      <c r="H563">
        <v>20</v>
      </c>
      <c r="I563" t="s">
        <v>1023</v>
      </c>
      <c r="U563"/>
      <c r="V563"/>
      <c r="W563"/>
    </row>
    <row r="564" spans="1:23">
      <c r="A564" s="2" t="s">
        <v>591</v>
      </c>
      <c r="B564">
        <v>0</v>
      </c>
      <c r="C564">
        <v>0</v>
      </c>
      <c r="D564">
        <v>185</v>
      </c>
      <c r="E564">
        <v>0</v>
      </c>
      <c r="F564">
        <v>0</v>
      </c>
      <c r="G564">
        <v>20</v>
      </c>
      <c r="H564">
        <v>20</v>
      </c>
      <c r="I564" t="s">
        <v>1023</v>
      </c>
      <c r="U564"/>
      <c r="V564"/>
      <c r="W564"/>
    </row>
    <row r="565" spans="1:23">
      <c r="A565" s="2" t="s">
        <v>592</v>
      </c>
      <c r="B565">
        <v>0</v>
      </c>
      <c r="C565">
        <v>0</v>
      </c>
      <c r="D565">
        <v>185</v>
      </c>
      <c r="E565">
        <v>0</v>
      </c>
      <c r="F565">
        <v>0</v>
      </c>
      <c r="G565">
        <v>20</v>
      </c>
      <c r="H565">
        <v>20</v>
      </c>
      <c r="I565" t="s">
        <v>1023</v>
      </c>
      <c r="U565"/>
      <c r="V565"/>
      <c r="W565"/>
    </row>
    <row r="566" spans="1:23">
      <c r="A566" s="2" t="s">
        <v>593</v>
      </c>
      <c r="B566">
        <v>0</v>
      </c>
      <c r="C566">
        <v>0</v>
      </c>
      <c r="D566">
        <v>185</v>
      </c>
      <c r="E566">
        <v>0</v>
      </c>
      <c r="F566">
        <v>0</v>
      </c>
      <c r="G566">
        <v>20</v>
      </c>
      <c r="H566">
        <v>20</v>
      </c>
      <c r="I566" t="s">
        <v>1023</v>
      </c>
      <c r="U566"/>
      <c r="V566"/>
      <c r="W566"/>
    </row>
    <row r="567" spans="1:23">
      <c r="A567" s="2" t="s">
        <v>594</v>
      </c>
      <c r="B567">
        <v>0</v>
      </c>
      <c r="C567">
        <v>0</v>
      </c>
      <c r="D567">
        <v>185</v>
      </c>
      <c r="E567">
        <v>0</v>
      </c>
      <c r="F567">
        <v>0</v>
      </c>
      <c r="G567">
        <v>20</v>
      </c>
      <c r="H567">
        <v>20</v>
      </c>
      <c r="I567" t="s">
        <v>1023</v>
      </c>
      <c r="U567"/>
      <c r="V567"/>
      <c r="W567"/>
    </row>
    <row r="568" spans="1:23">
      <c r="A568" s="2" t="s">
        <v>595</v>
      </c>
      <c r="B568">
        <v>0</v>
      </c>
      <c r="C568">
        <v>0</v>
      </c>
      <c r="D568">
        <v>185</v>
      </c>
      <c r="E568">
        <v>0</v>
      </c>
      <c r="F568">
        <v>0</v>
      </c>
      <c r="G568">
        <v>20</v>
      </c>
      <c r="H568">
        <v>20</v>
      </c>
      <c r="I568" t="s">
        <v>1023</v>
      </c>
      <c r="U568"/>
      <c r="V568"/>
      <c r="W568"/>
    </row>
    <row r="569" spans="1:23">
      <c r="A569" s="2" t="s">
        <v>596</v>
      </c>
      <c r="B569">
        <v>0</v>
      </c>
      <c r="C569">
        <v>0</v>
      </c>
      <c r="D569">
        <v>185</v>
      </c>
      <c r="E569">
        <v>0</v>
      </c>
      <c r="F569">
        <v>0</v>
      </c>
      <c r="G569">
        <v>20</v>
      </c>
      <c r="H569">
        <v>20</v>
      </c>
      <c r="I569" t="s">
        <v>1023</v>
      </c>
      <c r="U569"/>
      <c r="V569"/>
      <c r="W569"/>
    </row>
    <row r="570" spans="1:23">
      <c r="A570" s="2" t="s">
        <v>597</v>
      </c>
      <c r="B570">
        <v>0</v>
      </c>
      <c r="C570">
        <v>0</v>
      </c>
      <c r="D570">
        <v>185</v>
      </c>
      <c r="E570">
        <v>0</v>
      </c>
      <c r="F570">
        <v>0</v>
      </c>
      <c r="G570">
        <v>20</v>
      </c>
      <c r="H570">
        <v>20</v>
      </c>
      <c r="I570" t="s">
        <v>1023</v>
      </c>
      <c r="U570"/>
      <c r="V570"/>
      <c r="W570"/>
    </row>
    <row r="571" spans="1:23">
      <c r="A571" s="2" t="s">
        <v>598</v>
      </c>
      <c r="B571">
        <v>0</v>
      </c>
      <c r="C571">
        <v>0</v>
      </c>
      <c r="D571">
        <v>185</v>
      </c>
      <c r="E571">
        <v>0</v>
      </c>
      <c r="F571">
        <v>0</v>
      </c>
      <c r="G571">
        <v>20</v>
      </c>
      <c r="H571">
        <v>20</v>
      </c>
      <c r="I571" t="s">
        <v>1023</v>
      </c>
      <c r="U571"/>
      <c r="V571"/>
      <c r="W571"/>
    </row>
    <row r="572" spans="1:23">
      <c r="A572" s="2" t="s">
        <v>910</v>
      </c>
      <c r="B572">
        <v>0</v>
      </c>
      <c r="C572">
        <v>0</v>
      </c>
      <c r="D572">
        <v>185</v>
      </c>
      <c r="E572">
        <v>0</v>
      </c>
      <c r="F572">
        <v>0</v>
      </c>
      <c r="G572">
        <v>20</v>
      </c>
      <c r="H572">
        <v>20</v>
      </c>
      <c r="I572" t="s">
        <v>1023</v>
      </c>
      <c r="U572"/>
      <c r="V572"/>
      <c r="W572"/>
    </row>
    <row r="573" spans="1:23">
      <c r="A573" s="2" t="s">
        <v>893</v>
      </c>
      <c r="B573">
        <v>0</v>
      </c>
      <c r="C573">
        <v>0</v>
      </c>
      <c r="D573">
        <v>185</v>
      </c>
      <c r="E573">
        <v>0</v>
      </c>
      <c r="F573">
        <v>0</v>
      </c>
      <c r="G573">
        <v>20</v>
      </c>
      <c r="H573">
        <v>20</v>
      </c>
      <c r="I573" t="s">
        <v>1023</v>
      </c>
      <c r="U573"/>
      <c r="V573"/>
      <c r="W573"/>
    </row>
    <row r="574" spans="1:23">
      <c r="A574" s="2" t="s">
        <v>894</v>
      </c>
      <c r="B574">
        <v>0</v>
      </c>
      <c r="C574">
        <v>0</v>
      </c>
      <c r="D574">
        <v>185</v>
      </c>
      <c r="E574">
        <v>0</v>
      </c>
      <c r="F574">
        <v>0</v>
      </c>
      <c r="G574">
        <v>20</v>
      </c>
      <c r="H574">
        <v>20</v>
      </c>
      <c r="I574" t="s">
        <v>1023</v>
      </c>
      <c r="U574"/>
      <c r="V574"/>
      <c r="W574"/>
    </row>
    <row r="575" spans="1:23">
      <c r="A575" s="2" t="s">
        <v>895</v>
      </c>
      <c r="B575">
        <v>0</v>
      </c>
      <c r="C575">
        <v>0</v>
      </c>
      <c r="D575">
        <v>185</v>
      </c>
      <c r="E575">
        <v>0</v>
      </c>
      <c r="F575">
        <v>0</v>
      </c>
      <c r="G575">
        <v>20</v>
      </c>
      <c r="H575">
        <v>20</v>
      </c>
      <c r="I575" t="s">
        <v>1023</v>
      </c>
      <c r="U575"/>
      <c r="V575"/>
      <c r="W575"/>
    </row>
    <row r="576" spans="1:23">
      <c r="A576" s="2" t="s">
        <v>896</v>
      </c>
      <c r="B576">
        <v>0</v>
      </c>
      <c r="C576">
        <v>0</v>
      </c>
      <c r="D576">
        <v>185</v>
      </c>
      <c r="E576">
        <v>0</v>
      </c>
      <c r="F576">
        <v>0</v>
      </c>
      <c r="G576">
        <v>20</v>
      </c>
      <c r="H576">
        <v>20</v>
      </c>
      <c r="I576" t="s">
        <v>1023</v>
      </c>
      <c r="U576"/>
      <c r="V576"/>
      <c r="W576"/>
    </row>
    <row r="577" spans="1:23">
      <c r="A577" s="2" t="s">
        <v>897</v>
      </c>
      <c r="B577">
        <v>0</v>
      </c>
      <c r="C577">
        <v>0</v>
      </c>
      <c r="D577">
        <v>185</v>
      </c>
      <c r="E577">
        <v>0</v>
      </c>
      <c r="F577">
        <v>0</v>
      </c>
      <c r="G577">
        <v>20</v>
      </c>
      <c r="H577">
        <v>20</v>
      </c>
      <c r="I577" t="s">
        <v>1023</v>
      </c>
      <c r="U577"/>
      <c r="V577"/>
      <c r="W577"/>
    </row>
    <row r="578" spans="1:23">
      <c r="A578" s="2" t="s">
        <v>898</v>
      </c>
      <c r="B578">
        <v>0</v>
      </c>
      <c r="C578">
        <v>0</v>
      </c>
      <c r="D578">
        <v>185</v>
      </c>
      <c r="E578">
        <v>0</v>
      </c>
      <c r="F578">
        <v>0</v>
      </c>
      <c r="G578">
        <v>20</v>
      </c>
      <c r="H578">
        <v>20</v>
      </c>
      <c r="I578" t="s">
        <v>1023</v>
      </c>
      <c r="U578"/>
      <c r="V578"/>
      <c r="W578"/>
    </row>
    <row r="579" spans="1:23">
      <c r="A579" s="2" t="s">
        <v>899</v>
      </c>
      <c r="B579">
        <v>0</v>
      </c>
      <c r="C579">
        <v>0</v>
      </c>
      <c r="D579">
        <v>185</v>
      </c>
      <c r="E579">
        <v>0</v>
      </c>
      <c r="F579">
        <v>0</v>
      </c>
      <c r="G579">
        <v>20</v>
      </c>
      <c r="H579">
        <v>20</v>
      </c>
      <c r="I579" t="s">
        <v>1023</v>
      </c>
      <c r="U579"/>
      <c r="V579"/>
      <c r="W579"/>
    </row>
    <row r="580" spans="1:23">
      <c r="A580" s="2" t="s">
        <v>900</v>
      </c>
      <c r="B580">
        <v>0</v>
      </c>
      <c r="C580">
        <v>0</v>
      </c>
      <c r="D580">
        <v>185</v>
      </c>
      <c r="E580">
        <v>0</v>
      </c>
      <c r="F580">
        <v>0</v>
      </c>
      <c r="G580">
        <v>20</v>
      </c>
      <c r="H580">
        <v>20</v>
      </c>
      <c r="I580" t="s">
        <v>1023</v>
      </c>
      <c r="U580"/>
      <c r="V580"/>
      <c r="W580"/>
    </row>
    <row r="581" spans="1:23">
      <c r="A581" s="2" t="s">
        <v>901</v>
      </c>
      <c r="B581">
        <v>0</v>
      </c>
      <c r="C581">
        <v>0</v>
      </c>
      <c r="D581">
        <v>185</v>
      </c>
      <c r="E581">
        <v>0</v>
      </c>
      <c r="F581">
        <v>0</v>
      </c>
      <c r="G581">
        <v>20</v>
      </c>
      <c r="H581">
        <v>20</v>
      </c>
      <c r="I581" t="s">
        <v>1023</v>
      </c>
      <c r="U581"/>
      <c r="V581"/>
      <c r="W581"/>
    </row>
    <row r="582" spans="1:23">
      <c r="A582" s="2" t="s">
        <v>902</v>
      </c>
      <c r="B582">
        <v>0</v>
      </c>
      <c r="C582">
        <v>0</v>
      </c>
      <c r="D582">
        <v>185</v>
      </c>
      <c r="E582">
        <v>0</v>
      </c>
      <c r="F582">
        <v>0</v>
      </c>
      <c r="G582">
        <v>20</v>
      </c>
      <c r="H582">
        <v>20</v>
      </c>
      <c r="I582" t="s">
        <v>1023</v>
      </c>
      <c r="U582"/>
      <c r="V582"/>
      <c r="W582"/>
    </row>
    <row r="583" spans="1:23">
      <c r="A583" s="2" t="s">
        <v>903</v>
      </c>
      <c r="B583">
        <v>0</v>
      </c>
      <c r="C583">
        <v>0</v>
      </c>
      <c r="D583">
        <v>185</v>
      </c>
      <c r="E583">
        <v>0</v>
      </c>
      <c r="F583">
        <v>0</v>
      </c>
      <c r="G583">
        <v>20</v>
      </c>
      <c r="H583">
        <v>20</v>
      </c>
      <c r="I583" t="s">
        <v>1023</v>
      </c>
      <c r="U583"/>
      <c r="V583"/>
      <c r="W583"/>
    </row>
    <row r="584" spans="1:23">
      <c r="A584" s="2" t="s">
        <v>904</v>
      </c>
      <c r="B584">
        <v>0</v>
      </c>
      <c r="C584">
        <v>0</v>
      </c>
      <c r="D584">
        <v>185</v>
      </c>
      <c r="E584">
        <v>0</v>
      </c>
      <c r="F584">
        <v>0</v>
      </c>
      <c r="G584">
        <v>20</v>
      </c>
      <c r="H584">
        <v>20</v>
      </c>
      <c r="I584" t="s">
        <v>1023</v>
      </c>
      <c r="U584"/>
      <c r="V584"/>
      <c r="W584"/>
    </row>
    <row r="585" spans="1:23">
      <c r="A585" s="2" t="s">
        <v>905</v>
      </c>
      <c r="B585">
        <v>0</v>
      </c>
      <c r="C585">
        <v>0</v>
      </c>
      <c r="D585">
        <v>185</v>
      </c>
      <c r="E585">
        <v>0</v>
      </c>
      <c r="F585">
        <v>0</v>
      </c>
      <c r="G585">
        <v>20</v>
      </c>
      <c r="H585">
        <v>20</v>
      </c>
      <c r="I585" t="s">
        <v>1023</v>
      </c>
      <c r="U585"/>
      <c r="V585"/>
      <c r="W585"/>
    </row>
    <row r="586" spans="1:23">
      <c r="A586" s="2" t="s">
        <v>906</v>
      </c>
      <c r="B586">
        <v>0</v>
      </c>
      <c r="C586">
        <v>0</v>
      </c>
      <c r="D586">
        <v>185</v>
      </c>
      <c r="E586">
        <v>0</v>
      </c>
      <c r="F586">
        <v>0</v>
      </c>
      <c r="G586">
        <v>20</v>
      </c>
      <c r="H586">
        <v>20</v>
      </c>
      <c r="I586" t="s">
        <v>1023</v>
      </c>
      <c r="U586"/>
      <c r="V586"/>
      <c r="W586"/>
    </row>
    <row r="587" spans="1:23">
      <c r="A587" s="2" t="s">
        <v>610</v>
      </c>
      <c r="B587">
        <v>0</v>
      </c>
      <c r="C587">
        <v>0</v>
      </c>
      <c r="D587">
        <v>185</v>
      </c>
      <c r="E587">
        <v>0</v>
      </c>
      <c r="F587">
        <v>0</v>
      </c>
      <c r="G587">
        <v>20</v>
      </c>
      <c r="H587">
        <v>20</v>
      </c>
      <c r="I587" t="s">
        <v>1023</v>
      </c>
      <c r="U587"/>
      <c r="V587"/>
      <c r="W587"/>
    </row>
    <row r="588" spans="1:23">
      <c r="A588" s="2" t="s">
        <v>611</v>
      </c>
      <c r="B588">
        <v>0</v>
      </c>
      <c r="C588">
        <v>0</v>
      </c>
      <c r="D588">
        <v>185</v>
      </c>
      <c r="E588">
        <v>0</v>
      </c>
      <c r="F588">
        <v>0</v>
      </c>
      <c r="G588">
        <v>20</v>
      </c>
      <c r="H588">
        <v>20</v>
      </c>
      <c r="I588" t="s">
        <v>1023</v>
      </c>
      <c r="U588"/>
      <c r="V588"/>
      <c r="W588"/>
    </row>
    <row r="589" spans="1:23">
      <c r="A589" s="2" t="s">
        <v>612</v>
      </c>
      <c r="B589">
        <v>0</v>
      </c>
      <c r="C589">
        <v>0</v>
      </c>
      <c r="D589">
        <v>185</v>
      </c>
      <c r="E589">
        <v>0</v>
      </c>
      <c r="F589">
        <v>0</v>
      </c>
      <c r="G589">
        <v>20</v>
      </c>
      <c r="H589">
        <v>20</v>
      </c>
      <c r="I589" t="s">
        <v>1023</v>
      </c>
      <c r="U589"/>
      <c r="V589"/>
      <c r="W589"/>
    </row>
    <row r="590" spans="1:23">
      <c r="A590" s="2" t="s">
        <v>613</v>
      </c>
      <c r="B590">
        <v>0</v>
      </c>
      <c r="C590">
        <v>0</v>
      </c>
      <c r="D590">
        <v>185</v>
      </c>
      <c r="E590">
        <v>0</v>
      </c>
      <c r="F590">
        <v>0</v>
      </c>
      <c r="G590">
        <v>20</v>
      </c>
      <c r="H590">
        <v>20</v>
      </c>
      <c r="I590" t="s">
        <v>1023</v>
      </c>
      <c r="U590"/>
      <c r="V590"/>
      <c r="W590"/>
    </row>
    <row r="591" spans="1:23">
      <c r="A591" s="2" t="s">
        <v>614</v>
      </c>
      <c r="B591">
        <v>0</v>
      </c>
      <c r="C591">
        <v>0</v>
      </c>
      <c r="D591">
        <v>185</v>
      </c>
      <c r="E591">
        <v>0</v>
      </c>
      <c r="F591">
        <v>0</v>
      </c>
      <c r="G591">
        <v>20</v>
      </c>
      <c r="H591">
        <v>20</v>
      </c>
      <c r="I591" t="s">
        <v>1023</v>
      </c>
      <c r="U591"/>
      <c r="V591"/>
      <c r="W591"/>
    </row>
    <row r="592" spans="1:23">
      <c r="A592" s="2" t="s">
        <v>615</v>
      </c>
      <c r="B592">
        <v>0</v>
      </c>
      <c r="C592">
        <v>0</v>
      </c>
      <c r="D592">
        <v>185</v>
      </c>
      <c r="E592">
        <v>0</v>
      </c>
      <c r="F592">
        <v>0</v>
      </c>
      <c r="G592">
        <v>20</v>
      </c>
      <c r="H592">
        <v>20</v>
      </c>
      <c r="I592" t="s">
        <v>1023</v>
      </c>
      <c r="U592"/>
      <c r="V592"/>
      <c r="W592"/>
    </row>
    <row r="593" spans="1:23">
      <c r="A593" s="2" t="s">
        <v>616</v>
      </c>
      <c r="B593">
        <v>0</v>
      </c>
      <c r="C593">
        <v>0</v>
      </c>
      <c r="D593">
        <v>185</v>
      </c>
      <c r="E593">
        <v>0</v>
      </c>
      <c r="F593">
        <v>0</v>
      </c>
      <c r="G593">
        <v>20</v>
      </c>
      <c r="H593">
        <v>20</v>
      </c>
      <c r="I593" t="s">
        <v>1023</v>
      </c>
      <c r="U593"/>
      <c r="V593"/>
      <c r="W593"/>
    </row>
    <row r="594" spans="1:23">
      <c r="A594" s="2" t="s">
        <v>617</v>
      </c>
      <c r="B594">
        <v>0</v>
      </c>
      <c r="C594">
        <v>0</v>
      </c>
      <c r="D594">
        <v>185</v>
      </c>
      <c r="E594">
        <v>0</v>
      </c>
      <c r="F594">
        <v>0</v>
      </c>
      <c r="G594">
        <v>20</v>
      </c>
      <c r="H594">
        <v>20</v>
      </c>
      <c r="I594" t="s">
        <v>1023</v>
      </c>
      <c r="U594"/>
      <c r="V594"/>
      <c r="W594"/>
    </row>
    <row r="595" spans="1:23">
      <c r="A595" s="2" t="s">
        <v>618</v>
      </c>
      <c r="B595">
        <v>0</v>
      </c>
      <c r="C595">
        <v>0</v>
      </c>
      <c r="D595">
        <v>185</v>
      </c>
      <c r="E595">
        <v>0</v>
      </c>
      <c r="F595">
        <v>0</v>
      </c>
      <c r="G595">
        <v>20</v>
      </c>
      <c r="H595">
        <v>20</v>
      </c>
      <c r="I595" t="s">
        <v>1023</v>
      </c>
      <c r="U595"/>
      <c r="V595"/>
      <c r="W595"/>
    </row>
    <row r="596" spans="1:23">
      <c r="A596" s="2" t="s">
        <v>619</v>
      </c>
      <c r="B596">
        <v>0</v>
      </c>
      <c r="C596">
        <v>0</v>
      </c>
      <c r="D596">
        <v>185</v>
      </c>
      <c r="E596">
        <v>0</v>
      </c>
      <c r="F596">
        <v>0</v>
      </c>
      <c r="G596">
        <v>20</v>
      </c>
      <c r="H596">
        <v>20</v>
      </c>
      <c r="I596" t="s">
        <v>1023</v>
      </c>
      <c r="U596"/>
      <c r="V596"/>
      <c r="W596"/>
    </row>
    <row r="597" spans="1:23">
      <c r="A597" s="2" t="s">
        <v>620</v>
      </c>
      <c r="B597">
        <v>0</v>
      </c>
      <c r="C597">
        <v>0</v>
      </c>
      <c r="D597">
        <v>185</v>
      </c>
      <c r="E597">
        <v>0</v>
      </c>
      <c r="F597">
        <v>0</v>
      </c>
      <c r="G597">
        <v>20</v>
      </c>
      <c r="H597">
        <v>20</v>
      </c>
      <c r="I597" t="s">
        <v>1023</v>
      </c>
      <c r="U597"/>
      <c r="V597"/>
      <c r="W597"/>
    </row>
    <row r="598" spans="1:23">
      <c r="A598" s="2" t="s">
        <v>621</v>
      </c>
      <c r="B598">
        <v>0</v>
      </c>
      <c r="C598">
        <v>0</v>
      </c>
      <c r="D598">
        <v>185</v>
      </c>
      <c r="E598">
        <v>0</v>
      </c>
      <c r="F598">
        <v>0</v>
      </c>
      <c r="G598">
        <v>20</v>
      </c>
      <c r="H598">
        <v>20</v>
      </c>
      <c r="I598" t="s">
        <v>1023</v>
      </c>
      <c r="U598"/>
      <c r="V598"/>
      <c r="W598"/>
    </row>
    <row r="599" spans="1:23">
      <c r="A599" s="2" t="s">
        <v>622</v>
      </c>
      <c r="B599">
        <v>0</v>
      </c>
      <c r="C599">
        <v>0</v>
      </c>
      <c r="D599">
        <v>185</v>
      </c>
      <c r="E599">
        <v>0</v>
      </c>
      <c r="F599">
        <v>0</v>
      </c>
      <c r="G599">
        <v>20</v>
      </c>
      <c r="H599">
        <v>20</v>
      </c>
      <c r="I599" t="s">
        <v>1023</v>
      </c>
      <c r="U599"/>
      <c r="V599"/>
      <c r="W599"/>
    </row>
    <row r="600" spans="1:23">
      <c r="A600" s="2" t="s">
        <v>623</v>
      </c>
      <c r="B600">
        <v>0</v>
      </c>
      <c r="C600">
        <v>0</v>
      </c>
      <c r="D600">
        <v>185</v>
      </c>
      <c r="E600">
        <v>0</v>
      </c>
      <c r="F600">
        <v>0</v>
      </c>
      <c r="G600">
        <v>20</v>
      </c>
      <c r="H600">
        <v>20</v>
      </c>
      <c r="I600" t="s">
        <v>1023</v>
      </c>
      <c r="U600"/>
      <c r="V600"/>
      <c r="W600"/>
    </row>
    <row r="601" spans="1:23">
      <c r="A601" s="2" t="s">
        <v>624</v>
      </c>
      <c r="B601">
        <v>0</v>
      </c>
      <c r="C601">
        <v>0</v>
      </c>
      <c r="D601">
        <v>185</v>
      </c>
      <c r="E601">
        <v>0</v>
      </c>
      <c r="F601">
        <v>0</v>
      </c>
      <c r="G601">
        <v>20</v>
      </c>
      <c r="H601">
        <v>20</v>
      </c>
      <c r="I601" t="s">
        <v>1023</v>
      </c>
      <c r="U601"/>
      <c r="V601"/>
      <c r="W601"/>
    </row>
    <row r="602" spans="1:23">
      <c r="A602" s="2" t="s">
        <v>625</v>
      </c>
      <c r="B602">
        <v>0</v>
      </c>
      <c r="C602">
        <v>0</v>
      </c>
      <c r="D602">
        <v>185</v>
      </c>
      <c r="E602">
        <v>0</v>
      </c>
      <c r="F602">
        <v>0</v>
      </c>
      <c r="G602">
        <v>20</v>
      </c>
      <c r="H602">
        <v>20</v>
      </c>
      <c r="I602" t="s">
        <v>1023</v>
      </c>
      <c r="U602"/>
      <c r="V602"/>
      <c r="W602"/>
    </row>
    <row r="603" spans="1:23">
      <c r="A603" s="2" t="s">
        <v>626</v>
      </c>
      <c r="B603">
        <v>0</v>
      </c>
      <c r="C603">
        <v>0</v>
      </c>
      <c r="D603">
        <v>185</v>
      </c>
      <c r="E603">
        <v>0</v>
      </c>
      <c r="F603">
        <v>0</v>
      </c>
      <c r="G603">
        <v>20</v>
      </c>
      <c r="H603">
        <v>20</v>
      </c>
      <c r="I603" t="s">
        <v>1023</v>
      </c>
      <c r="U603"/>
      <c r="V603"/>
      <c r="W603"/>
    </row>
    <row r="604" spans="1:23">
      <c r="A604" s="2" t="s">
        <v>627</v>
      </c>
      <c r="B604">
        <v>0</v>
      </c>
      <c r="C604">
        <v>0</v>
      </c>
      <c r="D604">
        <v>185</v>
      </c>
      <c r="E604">
        <v>0</v>
      </c>
      <c r="F604">
        <v>0</v>
      </c>
      <c r="G604">
        <v>20</v>
      </c>
      <c r="H604">
        <v>20</v>
      </c>
      <c r="I604" t="s">
        <v>1023</v>
      </c>
      <c r="U604"/>
      <c r="V604"/>
      <c r="W604"/>
    </row>
    <row r="605" spans="1:23">
      <c r="A605" s="2" t="s">
        <v>628</v>
      </c>
      <c r="B605">
        <v>0</v>
      </c>
      <c r="C605">
        <v>0</v>
      </c>
      <c r="D605">
        <v>185</v>
      </c>
      <c r="E605">
        <v>0</v>
      </c>
      <c r="F605">
        <v>0</v>
      </c>
      <c r="G605">
        <v>20</v>
      </c>
      <c r="H605">
        <v>20</v>
      </c>
      <c r="I605" t="s">
        <v>1023</v>
      </c>
      <c r="U605"/>
      <c r="V605"/>
      <c r="W605"/>
    </row>
    <row r="606" spans="1:23">
      <c r="A606" s="2" t="s">
        <v>629</v>
      </c>
      <c r="B606">
        <v>0</v>
      </c>
      <c r="C606">
        <v>0</v>
      </c>
      <c r="D606">
        <v>185</v>
      </c>
      <c r="E606">
        <v>0</v>
      </c>
      <c r="F606">
        <v>0</v>
      </c>
      <c r="G606">
        <v>20</v>
      </c>
      <c r="H606">
        <v>20</v>
      </c>
      <c r="I606" t="s">
        <v>1023</v>
      </c>
      <c r="U606"/>
      <c r="V606"/>
      <c r="W606"/>
    </row>
    <row r="607" spans="1:23">
      <c r="A607" s="2" t="s">
        <v>630</v>
      </c>
      <c r="B607">
        <v>0</v>
      </c>
      <c r="C607">
        <v>0</v>
      </c>
      <c r="D607">
        <v>185</v>
      </c>
      <c r="E607">
        <v>0</v>
      </c>
      <c r="F607">
        <v>0</v>
      </c>
      <c r="G607">
        <v>20</v>
      </c>
      <c r="H607">
        <v>20</v>
      </c>
      <c r="I607" t="s">
        <v>1023</v>
      </c>
      <c r="U607"/>
      <c r="V607"/>
      <c r="W607"/>
    </row>
    <row r="608" spans="1:23">
      <c r="A608" s="2" t="s">
        <v>631</v>
      </c>
      <c r="B608">
        <v>0</v>
      </c>
      <c r="C608">
        <v>0</v>
      </c>
      <c r="D608">
        <v>185</v>
      </c>
      <c r="E608">
        <v>0</v>
      </c>
      <c r="F608">
        <v>0</v>
      </c>
      <c r="G608">
        <v>20</v>
      </c>
      <c r="H608">
        <v>20</v>
      </c>
      <c r="I608" t="s">
        <v>1023</v>
      </c>
      <c r="U608"/>
      <c r="V608"/>
      <c r="W608"/>
    </row>
    <row r="609" spans="1:23">
      <c r="A609" s="2" t="s">
        <v>632</v>
      </c>
      <c r="B609">
        <v>0</v>
      </c>
      <c r="C609">
        <v>0</v>
      </c>
      <c r="D609">
        <v>185</v>
      </c>
      <c r="E609">
        <v>0</v>
      </c>
      <c r="F609">
        <v>0</v>
      </c>
      <c r="G609">
        <v>20</v>
      </c>
      <c r="H609">
        <v>20</v>
      </c>
      <c r="I609" t="s">
        <v>1023</v>
      </c>
      <c r="U609"/>
      <c r="V609"/>
      <c r="W609"/>
    </row>
    <row r="610" spans="1:23">
      <c r="A610" s="2" t="s">
        <v>633</v>
      </c>
      <c r="B610">
        <v>0</v>
      </c>
      <c r="C610">
        <v>0</v>
      </c>
      <c r="D610">
        <v>185</v>
      </c>
      <c r="E610">
        <v>0</v>
      </c>
      <c r="F610">
        <v>0</v>
      </c>
      <c r="G610">
        <v>20</v>
      </c>
      <c r="H610">
        <v>20</v>
      </c>
      <c r="I610" t="s">
        <v>1023</v>
      </c>
      <c r="U610"/>
      <c r="V610"/>
      <c r="W610"/>
    </row>
    <row r="611" spans="1:23">
      <c r="A611" s="2" t="s">
        <v>634</v>
      </c>
      <c r="B611">
        <v>0</v>
      </c>
      <c r="C611">
        <v>0</v>
      </c>
      <c r="D611">
        <v>185</v>
      </c>
      <c r="E611">
        <v>0</v>
      </c>
      <c r="F611">
        <v>0</v>
      </c>
      <c r="G611">
        <v>20</v>
      </c>
      <c r="H611">
        <v>20</v>
      </c>
      <c r="I611" t="s">
        <v>1023</v>
      </c>
      <c r="U611"/>
      <c r="V611"/>
      <c r="W611"/>
    </row>
    <row r="612" spans="1:23">
      <c r="A612" s="2" t="s">
        <v>635</v>
      </c>
      <c r="B612">
        <v>0</v>
      </c>
      <c r="C612">
        <v>0</v>
      </c>
      <c r="D612">
        <v>185</v>
      </c>
      <c r="E612">
        <v>0</v>
      </c>
      <c r="F612">
        <v>0</v>
      </c>
      <c r="G612">
        <v>20</v>
      </c>
      <c r="H612">
        <v>20</v>
      </c>
      <c r="I612" t="s">
        <v>1023</v>
      </c>
      <c r="U612"/>
      <c r="V612"/>
      <c r="W612"/>
    </row>
    <row r="613" spans="1:23">
      <c r="A613" s="2" t="s">
        <v>636</v>
      </c>
      <c r="B613">
        <v>0</v>
      </c>
      <c r="C613">
        <v>0</v>
      </c>
      <c r="D613">
        <v>185</v>
      </c>
      <c r="E613">
        <v>0</v>
      </c>
      <c r="F613">
        <v>0</v>
      </c>
      <c r="G613">
        <v>20</v>
      </c>
      <c r="H613">
        <v>20</v>
      </c>
      <c r="I613" t="s">
        <v>1023</v>
      </c>
      <c r="U613"/>
      <c r="V613"/>
      <c r="W613"/>
    </row>
    <row r="614" spans="1:23">
      <c r="A614" s="2" t="s">
        <v>637</v>
      </c>
      <c r="B614">
        <v>0</v>
      </c>
      <c r="C614">
        <v>0</v>
      </c>
      <c r="D614">
        <v>185</v>
      </c>
      <c r="E614">
        <v>0</v>
      </c>
      <c r="F614">
        <v>0</v>
      </c>
      <c r="G614">
        <v>20</v>
      </c>
      <c r="H614">
        <v>20</v>
      </c>
      <c r="I614" t="s">
        <v>1023</v>
      </c>
      <c r="U614"/>
      <c r="V614"/>
      <c r="W614"/>
    </row>
    <row r="615" spans="1:23">
      <c r="A615" s="2" t="s">
        <v>638</v>
      </c>
      <c r="B615">
        <v>0</v>
      </c>
      <c r="C615">
        <v>0</v>
      </c>
      <c r="D615">
        <v>185</v>
      </c>
      <c r="E615">
        <v>0</v>
      </c>
      <c r="F615">
        <v>0</v>
      </c>
      <c r="G615">
        <v>20</v>
      </c>
      <c r="H615">
        <v>20</v>
      </c>
      <c r="I615" t="s">
        <v>1023</v>
      </c>
      <c r="U615"/>
      <c r="V615"/>
      <c r="W615"/>
    </row>
    <row r="616" spans="1:23">
      <c r="A616" s="2" t="s">
        <v>639</v>
      </c>
      <c r="B616">
        <v>0</v>
      </c>
      <c r="C616">
        <v>0</v>
      </c>
      <c r="D616">
        <v>185</v>
      </c>
      <c r="E616">
        <v>0</v>
      </c>
      <c r="F616">
        <v>0</v>
      </c>
      <c r="G616">
        <v>20</v>
      </c>
      <c r="H616">
        <v>20</v>
      </c>
      <c r="I616" t="s">
        <v>1023</v>
      </c>
      <c r="U616"/>
      <c r="V616"/>
      <c r="W616"/>
    </row>
    <row r="617" spans="1:23">
      <c r="A617" s="2" t="s">
        <v>640</v>
      </c>
      <c r="B617">
        <v>0</v>
      </c>
      <c r="C617">
        <v>0</v>
      </c>
      <c r="D617">
        <v>185</v>
      </c>
      <c r="E617">
        <v>0</v>
      </c>
      <c r="F617">
        <v>0</v>
      </c>
      <c r="G617">
        <v>20</v>
      </c>
      <c r="H617">
        <v>20</v>
      </c>
      <c r="I617" t="s">
        <v>1023</v>
      </c>
      <c r="U617"/>
      <c r="V617"/>
      <c r="W617"/>
    </row>
    <row r="618" spans="1:23">
      <c r="A618" s="2" t="s">
        <v>641</v>
      </c>
      <c r="B618">
        <v>0</v>
      </c>
      <c r="C618">
        <v>0</v>
      </c>
      <c r="D618">
        <v>185</v>
      </c>
      <c r="E618">
        <v>0</v>
      </c>
      <c r="F618">
        <v>0</v>
      </c>
      <c r="G618">
        <v>20</v>
      </c>
      <c r="H618">
        <v>20</v>
      </c>
      <c r="I618" t="s">
        <v>1023</v>
      </c>
      <c r="U618"/>
      <c r="V618"/>
      <c r="W618"/>
    </row>
    <row r="619" spans="1:23">
      <c r="A619" s="2" t="s">
        <v>642</v>
      </c>
      <c r="B619">
        <v>0</v>
      </c>
      <c r="C619">
        <v>0</v>
      </c>
      <c r="D619">
        <v>185</v>
      </c>
      <c r="E619">
        <v>0</v>
      </c>
      <c r="F619">
        <v>0</v>
      </c>
      <c r="G619">
        <v>20</v>
      </c>
      <c r="H619">
        <v>20</v>
      </c>
      <c r="I619" t="s">
        <v>1023</v>
      </c>
      <c r="U619"/>
      <c r="V619"/>
      <c r="W619"/>
    </row>
    <row r="620" spans="1:23">
      <c r="A620" s="2" t="s">
        <v>643</v>
      </c>
      <c r="B620">
        <v>0</v>
      </c>
      <c r="C620">
        <v>0</v>
      </c>
      <c r="D620">
        <v>185</v>
      </c>
      <c r="E620">
        <v>0</v>
      </c>
      <c r="F620">
        <v>0</v>
      </c>
      <c r="G620">
        <v>20</v>
      </c>
      <c r="H620">
        <v>20</v>
      </c>
      <c r="I620" t="s">
        <v>1023</v>
      </c>
      <c r="U620"/>
      <c r="V620"/>
      <c r="W620"/>
    </row>
    <row r="621" spans="1:23">
      <c r="A621" s="2" t="s">
        <v>644</v>
      </c>
      <c r="B621">
        <v>0</v>
      </c>
      <c r="C621">
        <v>0</v>
      </c>
      <c r="D621">
        <v>185</v>
      </c>
      <c r="E621">
        <v>0</v>
      </c>
      <c r="F621">
        <v>0</v>
      </c>
      <c r="G621">
        <v>20</v>
      </c>
      <c r="H621">
        <v>20</v>
      </c>
      <c r="I621" t="s">
        <v>1023</v>
      </c>
      <c r="U621"/>
      <c r="V621"/>
      <c r="W621"/>
    </row>
    <row r="622" spans="1:23">
      <c r="A622" s="2" t="s">
        <v>645</v>
      </c>
      <c r="B622">
        <v>0</v>
      </c>
      <c r="C622">
        <v>0</v>
      </c>
      <c r="D622">
        <v>185</v>
      </c>
      <c r="E622">
        <v>0</v>
      </c>
      <c r="F622">
        <v>0</v>
      </c>
      <c r="G622">
        <v>20</v>
      </c>
      <c r="H622">
        <v>20</v>
      </c>
      <c r="I622" t="s">
        <v>1023</v>
      </c>
      <c r="U622"/>
      <c r="V622"/>
      <c r="W622"/>
    </row>
    <row r="623" spans="1:23">
      <c r="A623" s="2" t="s">
        <v>646</v>
      </c>
      <c r="B623">
        <v>0</v>
      </c>
      <c r="C623">
        <v>0</v>
      </c>
      <c r="D623">
        <v>185</v>
      </c>
      <c r="E623">
        <v>0</v>
      </c>
      <c r="F623">
        <v>0</v>
      </c>
      <c r="G623">
        <v>20</v>
      </c>
      <c r="H623">
        <v>20</v>
      </c>
      <c r="I623" t="s">
        <v>1023</v>
      </c>
      <c r="U623"/>
      <c r="V623"/>
      <c r="W623"/>
    </row>
    <row r="624" spans="1:23">
      <c r="A624" s="2" t="s">
        <v>647</v>
      </c>
      <c r="B624">
        <v>0</v>
      </c>
      <c r="C624">
        <v>0</v>
      </c>
      <c r="D624">
        <v>185</v>
      </c>
      <c r="E624">
        <v>0</v>
      </c>
      <c r="F624">
        <v>0</v>
      </c>
      <c r="G624">
        <v>20</v>
      </c>
      <c r="H624">
        <v>20</v>
      </c>
      <c r="I624" t="s">
        <v>1023</v>
      </c>
      <c r="U624"/>
      <c r="V624"/>
      <c r="W624"/>
    </row>
    <row r="625" spans="1:23">
      <c r="A625" s="2" t="s">
        <v>648</v>
      </c>
      <c r="B625">
        <v>0</v>
      </c>
      <c r="C625">
        <v>0</v>
      </c>
      <c r="D625">
        <v>185</v>
      </c>
      <c r="E625">
        <v>0</v>
      </c>
      <c r="F625">
        <v>0</v>
      </c>
      <c r="G625">
        <v>20</v>
      </c>
      <c r="H625">
        <v>20</v>
      </c>
      <c r="I625" t="s">
        <v>1023</v>
      </c>
      <c r="U625"/>
      <c r="V625"/>
      <c r="W625"/>
    </row>
    <row r="626" spans="1:23">
      <c r="A626" s="2" t="s">
        <v>649</v>
      </c>
      <c r="B626">
        <v>0</v>
      </c>
      <c r="C626">
        <v>0</v>
      </c>
      <c r="D626">
        <v>185</v>
      </c>
      <c r="E626">
        <v>0</v>
      </c>
      <c r="F626">
        <v>0</v>
      </c>
      <c r="G626">
        <v>20</v>
      </c>
      <c r="H626">
        <v>20</v>
      </c>
      <c r="I626" t="s">
        <v>1023</v>
      </c>
      <c r="U626"/>
      <c r="V626"/>
      <c r="W626"/>
    </row>
    <row r="627" spans="1:23">
      <c r="A627" s="2" t="s">
        <v>650</v>
      </c>
      <c r="B627">
        <v>0</v>
      </c>
      <c r="C627">
        <v>0</v>
      </c>
      <c r="D627">
        <v>185</v>
      </c>
      <c r="E627">
        <v>0</v>
      </c>
      <c r="F627">
        <v>0</v>
      </c>
      <c r="G627">
        <v>20</v>
      </c>
      <c r="H627">
        <v>20</v>
      </c>
      <c r="I627" t="s">
        <v>1023</v>
      </c>
      <c r="U627"/>
      <c r="V627"/>
      <c r="W627"/>
    </row>
    <row r="628" spans="1:23">
      <c r="A628" s="2" t="s">
        <v>651</v>
      </c>
      <c r="B628">
        <v>0</v>
      </c>
      <c r="C628">
        <v>0</v>
      </c>
      <c r="D628">
        <v>185</v>
      </c>
      <c r="E628">
        <v>0</v>
      </c>
      <c r="F628">
        <v>0</v>
      </c>
      <c r="G628">
        <v>20</v>
      </c>
      <c r="H628">
        <v>20</v>
      </c>
      <c r="I628" t="s">
        <v>1023</v>
      </c>
      <c r="U628"/>
      <c r="V628"/>
      <c r="W628"/>
    </row>
    <row r="629" spans="1:23">
      <c r="A629" s="2" t="s">
        <v>652</v>
      </c>
      <c r="B629">
        <v>0</v>
      </c>
      <c r="C629">
        <v>0</v>
      </c>
      <c r="D629">
        <v>185</v>
      </c>
      <c r="E629">
        <v>0</v>
      </c>
      <c r="F629">
        <v>0</v>
      </c>
      <c r="G629">
        <v>20</v>
      </c>
      <c r="H629">
        <v>20</v>
      </c>
      <c r="I629" t="s">
        <v>1023</v>
      </c>
      <c r="U629"/>
      <c r="V629"/>
      <c r="W629"/>
    </row>
    <row r="630" spans="1:23">
      <c r="A630" s="2" t="s">
        <v>653</v>
      </c>
      <c r="B630">
        <v>0</v>
      </c>
      <c r="C630">
        <v>0</v>
      </c>
      <c r="D630">
        <v>185</v>
      </c>
      <c r="E630">
        <v>0</v>
      </c>
      <c r="F630">
        <v>0</v>
      </c>
      <c r="G630">
        <v>20</v>
      </c>
      <c r="H630">
        <v>20</v>
      </c>
      <c r="I630" t="s">
        <v>1023</v>
      </c>
      <c r="U630"/>
      <c r="V630"/>
      <c r="W630"/>
    </row>
    <row r="631" spans="1:23">
      <c r="A631" s="2" t="s">
        <v>654</v>
      </c>
      <c r="B631">
        <v>0</v>
      </c>
      <c r="C631">
        <v>0</v>
      </c>
      <c r="D631">
        <v>185</v>
      </c>
      <c r="E631">
        <v>0</v>
      </c>
      <c r="F631">
        <v>0</v>
      </c>
      <c r="G631">
        <v>20</v>
      </c>
      <c r="H631">
        <v>20</v>
      </c>
      <c r="I631" t="s">
        <v>1023</v>
      </c>
      <c r="U631"/>
      <c r="V631"/>
      <c r="W631"/>
    </row>
    <row r="632" spans="1:23">
      <c r="A632" s="2" t="s">
        <v>655</v>
      </c>
      <c r="B632">
        <v>0</v>
      </c>
      <c r="C632">
        <v>0</v>
      </c>
      <c r="D632">
        <v>185</v>
      </c>
      <c r="E632">
        <v>0</v>
      </c>
      <c r="F632">
        <v>0</v>
      </c>
      <c r="G632">
        <v>20</v>
      </c>
      <c r="H632">
        <v>20</v>
      </c>
      <c r="I632" t="s">
        <v>1023</v>
      </c>
      <c r="U632"/>
      <c r="V632"/>
      <c r="W632"/>
    </row>
    <row r="633" spans="1:23">
      <c r="A633" s="2" t="s">
        <v>656</v>
      </c>
      <c r="B633">
        <v>0</v>
      </c>
      <c r="C633">
        <v>0</v>
      </c>
      <c r="D633">
        <v>185</v>
      </c>
      <c r="E633">
        <v>0</v>
      </c>
      <c r="F633">
        <v>0</v>
      </c>
      <c r="G633">
        <v>20</v>
      </c>
      <c r="H633">
        <v>20</v>
      </c>
      <c r="I633" t="s">
        <v>1023</v>
      </c>
      <c r="U633"/>
      <c r="V633"/>
      <c r="W633"/>
    </row>
    <row r="634" spans="1:23">
      <c r="A634" s="2" t="s">
        <v>657</v>
      </c>
      <c r="B634">
        <v>0</v>
      </c>
      <c r="C634">
        <v>0</v>
      </c>
      <c r="D634">
        <v>185</v>
      </c>
      <c r="E634">
        <v>0</v>
      </c>
      <c r="F634">
        <v>0</v>
      </c>
      <c r="G634">
        <v>20</v>
      </c>
      <c r="H634">
        <v>20</v>
      </c>
      <c r="I634" t="s">
        <v>1023</v>
      </c>
      <c r="U634"/>
      <c r="V634"/>
      <c r="W634"/>
    </row>
    <row r="635" spans="1:23">
      <c r="A635" s="2" t="s">
        <v>658</v>
      </c>
      <c r="B635">
        <v>0</v>
      </c>
      <c r="C635">
        <v>0</v>
      </c>
      <c r="D635">
        <v>185</v>
      </c>
      <c r="E635">
        <v>0</v>
      </c>
      <c r="F635">
        <v>0</v>
      </c>
      <c r="G635">
        <v>20</v>
      </c>
      <c r="H635">
        <v>20</v>
      </c>
      <c r="I635" t="s">
        <v>1023</v>
      </c>
      <c r="U635"/>
      <c r="V635"/>
      <c r="W635"/>
    </row>
    <row r="636" spans="1:23">
      <c r="A636" s="2" t="s">
        <v>659</v>
      </c>
      <c r="B636">
        <v>0</v>
      </c>
      <c r="C636">
        <v>0</v>
      </c>
      <c r="D636">
        <v>185</v>
      </c>
      <c r="E636">
        <v>0</v>
      </c>
      <c r="F636">
        <v>0</v>
      </c>
      <c r="G636">
        <v>20</v>
      </c>
      <c r="H636">
        <v>20</v>
      </c>
      <c r="I636" t="s">
        <v>1023</v>
      </c>
      <c r="U636"/>
      <c r="V636"/>
      <c r="W636"/>
    </row>
    <row r="637" spans="1:23">
      <c r="A637" s="2" t="s">
        <v>660</v>
      </c>
      <c r="B637">
        <v>0</v>
      </c>
      <c r="C637">
        <v>0</v>
      </c>
      <c r="D637">
        <v>185</v>
      </c>
      <c r="E637">
        <v>0</v>
      </c>
      <c r="F637">
        <v>0</v>
      </c>
      <c r="G637">
        <v>20</v>
      </c>
      <c r="H637">
        <v>20</v>
      </c>
      <c r="I637" t="s">
        <v>1023</v>
      </c>
      <c r="U637"/>
      <c r="V637"/>
      <c r="W637"/>
    </row>
    <row r="638" spans="1:23">
      <c r="A638" s="2" t="s">
        <v>661</v>
      </c>
      <c r="B638">
        <v>0</v>
      </c>
      <c r="C638">
        <v>0</v>
      </c>
      <c r="D638">
        <v>185</v>
      </c>
      <c r="E638">
        <v>0</v>
      </c>
      <c r="F638">
        <v>0</v>
      </c>
      <c r="G638">
        <v>20</v>
      </c>
      <c r="H638">
        <v>20</v>
      </c>
      <c r="I638" t="s">
        <v>1023</v>
      </c>
      <c r="U638"/>
      <c r="V638"/>
      <c r="W638"/>
    </row>
    <row r="639" spans="1:23">
      <c r="A639" s="2" t="s">
        <v>662</v>
      </c>
      <c r="B639">
        <v>0</v>
      </c>
      <c r="C639">
        <v>0</v>
      </c>
      <c r="D639">
        <v>185</v>
      </c>
      <c r="E639">
        <v>0</v>
      </c>
      <c r="F639">
        <v>0</v>
      </c>
      <c r="G639">
        <v>20</v>
      </c>
      <c r="H639">
        <v>20</v>
      </c>
      <c r="I639" t="s">
        <v>1023</v>
      </c>
      <c r="U639"/>
      <c r="V639"/>
      <c r="W639"/>
    </row>
    <row r="640" spans="1:23">
      <c r="A640" s="2" t="s">
        <v>663</v>
      </c>
      <c r="B640">
        <v>0</v>
      </c>
      <c r="C640">
        <v>0</v>
      </c>
      <c r="D640">
        <v>185</v>
      </c>
      <c r="E640">
        <v>0</v>
      </c>
      <c r="F640">
        <v>0</v>
      </c>
      <c r="G640">
        <v>20</v>
      </c>
      <c r="H640">
        <v>20</v>
      </c>
      <c r="I640" t="s">
        <v>1023</v>
      </c>
      <c r="U640"/>
      <c r="V640"/>
      <c r="W640"/>
    </row>
    <row r="641" spans="1:23">
      <c r="A641" s="2" t="s">
        <v>664</v>
      </c>
      <c r="B641">
        <v>0</v>
      </c>
      <c r="C641">
        <v>0</v>
      </c>
      <c r="D641">
        <v>185</v>
      </c>
      <c r="E641">
        <v>0</v>
      </c>
      <c r="F641">
        <v>0</v>
      </c>
      <c r="G641">
        <v>20</v>
      </c>
      <c r="H641">
        <v>20</v>
      </c>
      <c r="I641" t="s">
        <v>1023</v>
      </c>
      <c r="U641"/>
      <c r="V641"/>
      <c r="W641"/>
    </row>
    <row r="642" spans="1:23">
      <c r="A642" s="2" t="s">
        <v>665</v>
      </c>
      <c r="B642">
        <v>0</v>
      </c>
      <c r="C642">
        <v>0</v>
      </c>
      <c r="D642">
        <v>185</v>
      </c>
      <c r="E642">
        <v>0</v>
      </c>
      <c r="F642">
        <v>0</v>
      </c>
      <c r="G642">
        <v>20</v>
      </c>
      <c r="H642">
        <v>20</v>
      </c>
      <c r="I642" t="s">
        <v>1023</v>
      </c>
      <c r="U642"/>
      <c r="V642"/>
      <c r="W642"/>
    </row>
    <row r="643" spans="1:23">
      <c r="A643" s="2" t="s">
        <v>666</v>
      </c>
      <c r="B643">
        <v>0</v>
      </c>
      <c r="C643">
        <v>0</v>
      </c>
      <c r="D643">
        <v>185</v>
      </c>
      <c r="E643">
        <v>0</v>
      </c>
      <c r="F643">
        <v>0</v>
      </c>
      <c r="G643">
        <v>20</v>
      </c>
      <c r="H643">
        <v>20</v>
      </c>
      <c r="I643" t="s">
        <v>1023</v>
      </c>
      <c r="U643"/>
      <c r="V643"/>
      <c r="W643"/>
    </row>
    <row r="644" spans="1:23">
      <c r="A644" s="2" t="s">
        <v>667</v>
      </c>
      <c r="B644">
        <v>0</v>
      </c>
      <c r="C644">
        <v>0</v>
      </c>
      <c r="D644">
        <v>185</v>
      </c>
      <c r="E644">
        <v>0</v>
      </c>
      <c r="F644">
        <v>0</v>
      </c>
      <c r="G644">
        <v>20</v>
      </c>
      <c r="H644">
        <v>20</v>
      </c>
      <c r="I644" t="s">
        <v>1023</v>
      </c>
      <c r="U644"/>
      <c r="V644"/>
      <c r="W644"/>
    </row>
    <row r="645" spans="1:23">
      <c r="A645" s="2" t="s">
        <v>668</v>
      </c>
      <c r="B645">
        <v>0</v>
      </c>
      <c r="C645">
        <v>0</v>
      </c>
      <c r="D645">
        <v>185</v>
      </c>
      <c r="E645">
        <v>0</v>
      </c>
      <c r="F645">
        <v>0</v>
      </c>
      <c r="G645">
        <v>20</v>
      </c>
      <c r="H645">
        <v>20</v>
      </c>
      <c r="I645" t="s">
        <v>1023</v>
      </c>
      <c r="U645"/>
      <c r="V645"/>
      <c r="W645"/>
    </row>
    <row r="646" spans="1:23">
      <c r="A646" s="2" t="s">
        <v>669</v>
      </c>
      <c r="B646">
        <v>0</v>
      </c>
      <c r="C646">
        <v>0</v>
      </c>
      <c r="D646">
        <v>185</v>
      </c>
      <c r="E646">
        <v>0</v>
      </c>
      <c r="F646">
        <v>0</v>
      </c>
      <c r="G646">
        <v>20</v>
      </c>
      <c r="H646">
        <v>20</v>
      </c>
      <c r="I646" t="s">
        <v>1023</v>
      </c>
      <c r="U646"/>
      <c r="V646"/>
      <c r="W646"/>
    </row>
    <row r="647" spans="1:23">
      <c r="A647" s="2" t="s">
        <v>670</v>
      </c>
      <c r="B647">
        <v>0</v>
      </c>
      <c r="C647">
        <v>0</v>
      </c>
      <c r="D647">
        <v>185</v>
      </c>
      <c r="E647">
        <v>0</v>
      </c>
      <c r="F647">
        <v>0</v>
      </c>
      <c r="G647">
        <v>20</v>
      </c>
      <c r="H647">
        <v>20</v>
      </c>
      <c r="I647" t="s">
        <v>1023</v>
      </c>
      <c r="U647"/>
      <c r="V647"/>
      <c r="W647"/>
    </row>
    <row r="648" spans="1:23">
      <c r="A648" s="2" t="s">
        <v>671</v>
      </c>
      <c r="B648">
        <v>0</v>
      </c>
      <c r="C648">
        <v>0</v>
      </c>
      <c r="D648">
        <v>185</v>
      </c>
      <c r="E648">
        <v>0</v>
      </c>
      <c r="F648">
        <v>0</v>
      </c>
      <c r="G648">
        <v>20</v>
      </c>
      <c r="H648">
        <v>20</v>
      </c>
      <c r="I648" t="s">
        <v>1023</v>
      </c>
      <c r="U648"/>
      <c r="V648"/>
      <c r="W648"/>
    </row>
    <row r="649" spans="1:23">
      <c r="A649" s="2" t="s">
        <v>754</v>
      </c>
      <c r="B649">
        <v>0</v>
      </c>
      <c r="C649">
        <v>0</v>
      </c>
      <c r="D649">
        <v>185</v>
      </c>
      <c r="E649">
        <v>0</v>
      </c>
      <c r="F649">
        <v>0</v>
      </c>
      <c r="G649">
        <v>20</v>
      </c>
      <c r="H649">
        <v>20</v>
      </c>
      <c r="I649" t="s">
        <v>1023</v>
      </c>
      <c r="U649"/>
      <c r="V649"/>
      <c r="W649"/>
    </row>
    <row r="650" spans="1:23">
      <c r="A650" s="2" t="s">
        <v>753</v>
      </c>
      <c r="B650">
        <v>0</v>
      </c>
      <c r="C650">
        <v>0</v>
      </c>
      <c r="D650">
        <v>185</v>
      </c>
      <c r="E650">
        <v>0</v>
      </c>
      <c r="F650">
        <v>0</v>
      </c>
      <c r="G650">
        <v>20</v>
      </c>
      <c r="H650">
        <v>20</v>
      </c>
      <c r="I650" t="s">
        <v>1023</v>
      </c>
      <c r="U650"/>
      <c r="V650"/>
      <c r="W650"/>
    </row>
    <row r="651" spans="1:23">
      <c r="A651" s="2" t="s">
        <v>755</v>
      </c>
      <c r="B651">
        <v>0</v>
      </c>
      <c r="C651">
        <v>0</v>
      </c>
      <c r="D651">
        <v>185</v>
      </c>
      <c r="E651">
        <v>0</v>
      </c>
      <c r="F651">
        <v>0</v>
      </c>
      <c r="G651">
        <v>20</v>
      </c>
      <c r="H651">
        <v>20</v>
      </c>
      <c r="I651" t="s">
        <v>1023</v>
      </c>
      <c r="U651"/>
      <c r="V651"/>
      <c r="W651"/>
    </row>
    <row r="652" spans="1:23">
      <c r="A652" s="2" t="s">
        <v>756</v>
      </c>
      <c r="B652">
        <v>0</v>
      </c>
      <c r="C652">
        <v>0</v>
      </c>
      <c r="D652">
        <v>185</v>
      </c>
      <c r="E652">
        <v>0</v>
      </c>
      <c r="F652">
        <v>0</v>
      </c>
      <c r="G652">
        <v>20</v>
      </c>
      <c r="H652">
        <v>20</v>
      </c>
      <c r="I652" t="s">
        <v>1023</v>
      </c>
      <c r="U652"/>
      <c r="V652"/>
      <c r="W652"/>
    </row>
    <row r="653" spans="1:23">
      <c r="A653" s="2" t="s">
        <v>757</v>
      </c>
      <c r="B653">
        <v>0</v>
      </c>
      <c r="C653">
        <v>0</v>
      </c>
      <c r="D653">
        <v>185</v>
      </c>
      <c r="E653">
        <v>0</v>
      </c>
      <c r="F653">
        <v>0</v>
      </c>
      <c r="G653">
        <v>20</v>
      </c>
      <c r="H653">
        <v>20</v>
      </c>
      <c r="I653" t="s">
        <v>1023</v>
      </c>
      <c r="U653"/>
      <c r="V653"/>
      <c r="W653"/>
    </row>
    <row r="654" spans="1:23">
      <c r="A654" s="2" t="s">
        <v>758</v>
      </c>
      <c r="B654">
        <v>0</v>
      </c>
      <c r="C654">
        <v>0</v>
      </c>
      <c r="D654">
        <v>185</v>
      </c>
      <c r="E654">
        <v>0</v>
      </c>
      <c r="F654">
        <v>0</v>
      </c>
      <c r="G654">
        <v>20</v>
      </c>
      <c r="H654">
        <v>20</v>
      </c>
      <c r="I654" t="s">
        <v>1023</v>
      </c>
      <c r="U654"/>
      <c r="V654"/>
      <c r="W654"/>
    </row>
    <row r="655" spans="1:23">
      <c r="A655" s="2" t="s">
        <v>760</v>
      </c>
      <c r="B655">
        <v>0</v>
      </c>
      <c r="C655">
        <v>0</v>
      </c>
      <c r="D655">
        <v>185</v>
      </c>
      <c r="E655">
        <v>0</v>
      </c>
      <c r="F655">
        <v>0</v>
      </c>
      <c r="G655">
        <v>20</v>
      </c>
      <c r="H655">
        <v>20</v>
      </c>
      <c r="I655" t="s">
        <v>1023</v>
      </c>
      <c r="U655"/>
      <c r="V655"/>
      <c r="W655"/>
    </row>
    <row r="656" spans="1:23">
      <c r="A656" s="2" t="s">
        <v>761</v>
      </c>
      <c r="B656">
        <v>0</v>
      </c>
      <c r="C656">
        <v>0</v>
      </c>
      <c r="D656">
        <v>185</v>
      </c>
      <c r="E656">
        <v>0</v>
      </c>
      <c r="F656">
        <v>0</v>
      </c>
      <c r="G656">
        <v>20</v>
      </c>
      <c r="H656">
        <v>20</v>
      </c>
      <c r="I656" t="s">
        <v>1023</v>
      </c>
      <c r="U656"/>
      <c r="V656"/>
      <c r="W656"/>
    </row>
    <row r="657" spans="1:23">
      <c r="A657" s="2" t="s">
        <v>762</v>
      </c>
      <c r="B657">
        <v>0</v>
      </c>
      <c r="C657">
        <v>0</v>
      </c>
      <c r="D657">
        <v>185</v>
      </c>
      <c r="E657">
        <v>0</v>
      </c>
      <c r="F657">
        <v>0</v>
      </c>
      <c r="G657">
        <v>20</v>
      </c>
      <c r="H657">
        <v>20</v>
      </c>
      <c r="I657" t="s">
        <v>1023</v>
      </c>
      <c r="U657"/>
      <c r="V657"/>
      <c r="W657"/>
    </row>
    <row r="658" spans="1:23">
      <c r="A658" s="2" t="s">
        <v>763</v>
      </c>
      <c r="B658">
        <v>0</v>
      </c>
      <c r="C658">
        <v>0</v>
      </c>
      <c r="D658">
        <v>185</v>
      </c>
      <c r="E658">
        <v>0</v>
      </c>
      <c r="F658">
        <v>0</v>
      </c>
      <c r="G658">
        <v>20</v>
      </c>
      <c r="H658">
        <v>20</v>
      </c>
      <c r="I658" t="s">
        <v>1023</v>
      </c>
      <c r="U658"/>
      <c r="V658"/>
      <c r="W658"/>
    </row>
    <row r="659" spans="1:23">
      <c r="A659" s="2" t="s">
        <v>835</v>
      </c>
      <c r="B659">
        <v>0</v>
      </c>
      <c r="C659">
        <v>0</v>
      </c>
      <c r="D659">
        <v>185</v>
      </c>
      <c r="E659">
        <v>0</v>
      </c>
      <c r="F659">
        <v>0</v>
      </c>
      <c r="G659">
        <v>20</v>
      </c>
      <c r="H659">
        <v>20</v>
      </c>
      <c r="I659" t="s">
        <v>1023</v>
      </c>
      <c r="U659"/>
      <c r="V659"/>
      <c r="W659"/>
    </row>
    <row r="660" spans="1:23">
      <c r="A660" s="2" t="s">
        <v>836</v>
      </c>
      <c r="B660">
        <v>0</v>
      </c>
      <c r="C660">
        <v>0</v>
      </c>
      <c r="D660">
        <v>185</v>
      </c>
      <c r="E660">
        <v>0</v>
      </c>
      <c r="F660">
        <v>0</v>
      </c>
      <c r="G660">
        <v>20</v>
      </c>
      <c r="H660">
        <v>20</v>
      </c>
      <c r="I660" t="s">
        <v>1023</v>
      </c>
      <c r="U660"/>
      <c r="V660"/>
      <c r="W660"/>
    </row>
    <row r="661" spans="1:23">
      <c r="A661" s="2" t="s">
        <v>837</v>
      </c>
      <c r="B661">
        <v>0</v>
      </c>
      <c r="C661">
        <v>0</v>
      </c>
      <c r="D661">
        <v>185</v>
      </c>
      <c r="E661">
        <v>0</v>
      </c>
      <c r="F661">
        <v>0</v>
      </c>
      <c r="G661">
        <v>20</v>
      </c>
      <c r="H661">
        <v>20</v>
      </c>
      <c r="I661" t="s">
        <v>1023</v>
      </c>
      <c r="U661"/>
      <c r="V661"/>
      <c r="W661"/>
    </row>
    <row r="662" spans="1:23">
      <c r="A662" s="2" t="s">
        <v>838</v>
      </c>
      <c r="B662">
        <v>0</v>
      </c>
      <c r="C662">
        <v>0</v>
      </c>
      <c r="D662">
        <v>185</v>
      </c>
      <c r="E662">
        <v>0</v>
      </c>
      <c r="F662">
        <v>0</v>
      </c>
      <c r="G662">
        <v>20</v>
      </c>
      <c r="H662">
        <v>20</v>
      </c>
      <c r="I662" t="s">
        <v>1023</v>
      </c>
      <c r="U662"/>
      <c r="V662"/>
      <c r="W662"/>
    </row>
    <row r="663" spans="1:23">
      <c r="A663" s="2" t="s">
        <v>839</v>
      </c>
      <c r="B663">
        <v>0</v>
      </c>
      <c r="C663">
        <v>0</v>
      </c>
      <c r="D663">
        <v>185</v>
      </c>
      <c r="E663">
        <v>0</v>
      </c>
      <c r="F663">
        <v>0</v>
      </c>
      <c r="G663">
        <v>20</v>
      </c>
      <c r="H663">
        <v>20</v>
      </c>
      <c r="I663" t="s">
        <v>1023</v>
      </c>
      <c r="U663"/>
      <c r="V663"/>
      <c r="W663"/>
    </row>
    <row r="664" spans="1:23">
      <c r="A664" s="2" t="s">
        <v>840</v>
      </c>
      <c r="B664">
        <v>0</v>
      </c>
      <c r="C664">
        <v>0</v>
      </c>
      <c r="D664">
        <v>185</v>
      </c>
      <c r="E664">
        <v>0</v>
      </c>
      <c r="F664">
        <v>0</v>
      </c>
      <c r="G664">
        <v>20</v>
      </c>
      <c r="H664">
        <v>20</v>
      </c>
      <c r="I664" t="s">
        <v>1023</v>
      </c>
      <c r="U664"/>
      <c r="V664"/>
      <c r="W664"/>
    </row>
    <row r="665" spans="1:23">
      <c r="A665" s="2" t="s">
        <v>841</v>
      </c>
      <c r="B665">
        <v>0</v>
      </c>
      <c r="C665">
        <v>0</v>
      </c>
      <c r="D665">
        <v>185</v>
      </c>
      <c r="E665">
        <v>0</v>
      </c>
      <c r="F665">
        <v>0</v>
      </c>
      <c r="G665">
        <v>20</v>
      </c>
      <c r="H665">
        <v>20</v>
      </c>
      <c r="I665" t="s">
        <v>1023</v>
      </c>
      <c r="U665"/>
      <c r="V665"/>
      <c r="W665"/>
    </row>
    <row r="666" spans="1:23">
      <c r="A666" s="2" t="s">
        <v>842</v>
      </c>
      <c r="B666">
        <v>0</v>
      </c>
      <c r="C666">
        <v>0</v>
      </c>
      <c r="D666">
        <v>185</v>
      </c>
      <c r="E666">
        <v>0</v>
      </c>
      <c r="F666">
        <v>0</v>
      </c>
      <c r="G666">
        <v>20</v>
      </c>
      <c r="H666">
        <v>20</v>
      </c>
      <c r="I666" t="s">
        <v>1023</v>
      </c>
      <c r="U666"/>
      <c r="V666"/>
      <c r="W666"/>
    </row>
    <row r="667" spans="1:23">
      <c r="A667" s="2" t="s">
        <v>843</v>
      </c>
      <c r="B667">
        <v>0</v>
      </c>
      <c r="C667">
        <v>0</v>
      </c>
      <c r="D667">
        <v>185</v>
      </c>
      <c r="E667">
        <v>0</v>
      </c>
      <c r="F667">
        <v>0</v>
      </c>
      <c r="G667">
        <v>20</v>
      </c>
      <c r="H667">
        <v>20</v>
      </c>
      <c r="I667" t="s">
        <v>1023</v>
      </c>
      <c r="U667"/>
      <c r="V667"/>
      <c r="W667"/>
    </row>
    <row r="668" spans="1:23">
      <c r="A668" s="2" t="s">
        <v>844</v>
      </c>
      <c r="B668">
        <v>0</v>
      </c>
      <c r="C668">
        <v>0</v>
      </c>
      <c r="D668">
        <v>185</v>
      </c>
      <c r="E668">
        <v>0</v>
      </c>
      <c r="F668">
        <v>0</v>
      </c>
      <c r="G668">
        <v>20</v>
      </c>
      <c r="H668">
        <v>20</v>
      </c>
      <c r="I668" t="s">
        <v>1023</v>
      </c>
      <c r="U668"/>
      <c r="V668"/>
      <c r="W668"/>
    </row>
    <row r="669" spans="1:23">
      <c r="A669" s="2" t="s">
        <v>845</v>
      </c>
      <c r="B669">
        <v>0</v>
      </c>
      <c r="C669">
        <v>0</v>
      </c>
      <c r="D669">
        <v>185</v>
      </c>
      <c r="E669">
        <v>0</v>
      </c>
      <c r="F669">
        <v>0</v>
      </c>
      <c r="G669">
        <v>20</v>
      </c>
      <c r="H669">
        <v>20</v>
      </c>
      <c r="I669" t="s">
        <v>1023</v>
      </c>
      <c r="U669"/>
      <c r="V669"/>
      <c r="W669"/>
    </row>
    <row r="670" spans="1:23">
      <c r="A670" s="2" t="s">
        <v>846</v>
      </c>
      <c r="B670">
        <v>0</v>
      </c>
      <c r="C670">
        <v>0</v>
      </c>
      <c r="D670">
        <v>185</v>
      </c>
      <c r="E670">
        <v>0</v>
      </c>
      <c r="F670">
        <v>0</v>
      </c>
      <c r="G670">
        <v>20</v>
      </c>
      <c r="H670">
        <v>20</v>
      </c>
      <c r="I670" t="s">
        <v>1023</v>
      </c>
      <c r="U670"/>
      <c r="V670"/>
      <c r="W670"/>
    </row>
    <row r="671" spans="1:23">
      <c r="A671" s="2" t="s">
        <v>847</v>
      </c>
      <c r="B671">
        <v>0</v>
      </c>
      <c r="C671">
        <v>0</v>
      </c>
      <c r="D671">
        <v>185</v>
      </c>
      <c r="E671">
        <v>0</v>
      </c>
      <c r="F671">
        <v>0</v>
      </c>
      <c r="G671">
        <v>20</v>
      </c>
      <c r="H671">
        <v>20</v>
      </c>
      <c r="I671" t="s">
        <v>1023</v>
      </c>
      <c r="U671"/>
      <c r="V671"/>
      <c r="W671"/>
    </row>
    <row r="672" spans="1:23">
      <c r="A672" s="2" t="s">
        <v>848</v>
      </c>
      <c r="B672">
        <v>0</v>
      </c>
      <c r="C672">
        <v>0</v>
      </c>
      <c r="D672">
        <v>185</v>
      </c>
      <c r="E672">
        <v>0</v>
      </c>
      <c r="F672">
        <v>0</v>
      </c>
      <c r="G672">
        <v>20</v>
      </c>
      <c r="H672">
        <v>20</v>
      </c>
      <c r="I672" t="s">
        <v>1023</v>
      </c>
      <c r="U672"/>
      <c r="V672"/>
      <c r="W672"/>
    </row>
    <row r="673" spans="1:23">
      <c r="A673" s="2" t="s">
        <v>849</v>
      </c>
      <c r="B673">
        <v>0</v>
      </c>
      <c r="C673">
        <v>0</v>
      </c>
      <c r="D673">
        <v>185</v>
      </c>
      <c r="E673">
        <v>0</v>
      </c>
      <c r="F673">
        <v>0</v>
      </c>
      <c r="G673">
        <v>20</v>
      </c>
      <c r="H673">
        <v>20</v>
      </c>
      <c r="I673" t="s">
        <v>1023</v>
      </c>
      <c r="U673"/>
      <c r="V673"/>
      <c r="W673"/>
    </row>
    <row r="674" spans="1:23">
      <c r="A674" s="2" t="s">
        <v>850</v>
      </c>
      <c r="B674">
        <v>0</v>
      </c>
      <c r="C674">
        <v>0</v>
      </c>
      <c r="D674">
        <v>185</v>
      </c>
      <c r="E674">
        <v>0</v>
      </c>
      <c r="F674">
        <v>0</v>
      </c>
      <c r="G674">
        <v>20</v>
      </c>
      <c r="H674">
        <v>20</v>
      </c>
      <c r="I674" t="s">
        <v>1023</v>
      </c>
      <c r="U674"/>
      <c r="V674"/>
      <c r="W674"/>
    </row>
    <row r="675" spans="1:23">
      <c r="A675" s="2" t="s">
        <v>851</v>
      </c>
      <c r="B675">
        <v>0</v>
      </c>
      <c r="C675">
        <v>0</v>
      </c>
      <c r="D675">
        <v>185</v>
      </c>
      <c r="E675">
        <v>0</v>
      </c>
      <c r="F675">
        <v>0</v>
      </c>
      <c r="G675">
        <v>20</v>
      </c>
      <c r="H675">
        <v>20</v>
      </c>
      <c r="I675" t="s">
        <v>1023</v>
      </c>
      <c r="U675"/>
      <c r="V675"/>
      <c r="W675"/>
    </row>
    <row r="676" spans="1:23">
      <c r="A676" s="2" t="s">
        <v>852</v>
      </c>
      <c r="B676">
        <v>0</v>
      </c>
      <c r="C676">
        <v>0</v>
      </c>
      <c r="D676">
        <v>185</v>
      </c>
      <c r="E676">
        <v>0</v>
      </c>
      <c r="F676">
        <v>0</v>
      </c>
      <c r="G676">
        <v>20</v>
      </c>
      <c r="H676">
        <v>20</v>
      </c>
      <c r="I676" t="s">
        <v>1023</v>
      </c>
      <c r="U676"/>
      <c r="V676"/>
      <c r="W676"/>
    </row>
    <row r="677" spans="1:23">
      <c r="A677" s="2" t="s">
        <v>853</v>
      </c>
      <c r="B677">
        <v>0</v>
      </c>
      <c r="C677">
        <v>0</v>
      </c>
      <c r="D677">
        <v>185</v>
      </c>
      <c r="E677">
        <v>0</v>
      </c>
      <c r="F677">
        <v>0</v>
      </c>
      <c r="G677">
        <v>20</v>
      </c>
      <c r="H677">
        <v>20</v>
      </c>
      <c r="I677" t="s">
        <v>1023</v>
      </c>
      <c r="U677"/>
      <c r="V677"/>
      <c r="W677"/>
    </row>
    <row r="678" spans="1:23">
      <c r="A678" s="2" t="s">
        <v>854</v>
      </c>
      <c r="B678">
        <v>0</v>
      </c>
      <c r="C678">
        <v>0</v>
      </c>
      <c r="D678">
        <v>185</v>
      </c>
      <c r="E678">
        <v>0</v>
      </c>
      <c r="F678">
        <v>0</v>
      </c>
      <c r="G678">
        <v>20</v>
      </c>
      <c r="H678">
        <v>20</v>
      </c>
      <c r="I678" t="s">
        <v>1023</v>
      </c>
      <c r="U678"/>
      <c r="V678"/>
      <c r="W678"/>
    </row>
    <row r="679" spans="1:23">
      <c r="A679" s="2" t="s">
        <v>855</v>
      </c>
      <c r="B679">
        <v>0</v>
      </c>
      <c r="C679">
        <v>0</v>
      </c>
      <c r="D679">
        <v>185</v>
      </c>
      <c r="E679">
        <v>0</v>
      </c>
      <c r="F679">
        <v>0</v>
      </c>
      <c r="G679">
        <v>20</v>
      </c>
      <c r="H679">
        <v>20</v>
      </c>
      <c r="I679" t="s">
        <v>1023</v>
      </c>
      <c r="U679"/>
      <c r="V679"/>
      <c r="W679"/>
    </row>
    <row r="680" spans="1:23">
      <c r="A680" s="2" t="s">
        <v>856</v>
      </c>
      <c r="B680">
        <v>0</v>
      </c>
      <c r="C680">
        <v>0</v>
      </c>
      <c r="D680">
        <v>185</v>
      </c>
      <c r="E680">
        <v>0</v>
      </c>
      <c r="F680">
        <v>0</v>
      </c>
      <c r="G680">
        <v>20</v>
      </c>
      <c r="H680">
        <v>20</v>
      </c>
      <c r="I680" t="s">
        <v>1023</v>
      </c>
      <c r="U680"/>
      <c r="V680"/>
      <c r="W680"/>
    </row>
    <row r="681" spans="1:23">
      <c r="A681" s="2" t="s">
        <v>857</v>
      </c>
      <c r="B681">
        <v>0</v>
      </c>
      <c r="C681">
        <v>0</v>
      </c>
      <c r="D681">
        <v>185</v>
      </c>
      <c r="E681">
        <v>0</v>
      </c>
      <c r="F681">
        <v>0</v>
      </c>
      <c r="G681">
        <v>20</v>
      </c>
      <c r="H681">
        <v>20</v>
      </c>
      <c r="I681" t="s">
        <v>1023</v>
      </c>
      <c r="U681"/>
      <c r="V681"/>
      <c r="W681"/>
    </row>
    <row r="682" spans="1:23">
      <c r="A682" s="2" t="s">
        <v>858</v>
      </c>
      <c r="B682">
        <v>0</v>
      </c>
      <c r="C682">
        <v>0</v>
      </c>
      <c r="D682">
        <v>185</v>
      </c>
      <c r="E682">
        <v>0</v>
      </c>
      <c r="F682">
        <v>0</v>
      </c>
      <c r="G682">
        <v>20</v>
      </c>
      <c r="H682">
        <v>20</v>
      </c>
      <c r="I682" t="s">
        <v>1023</v>
      </c>
      <c r="U682"/>
      <c r="V682"/>
      <c r="W682"/>
    </row>
    <row r="683" spans="1:23">
      <c r="A683" s="2" t="s">
        <v>859</v>
      </c>
      <c r="B683">
        <v>0</v>
      </c>
      <c r="C683">
        <v>0</v>
      </c>
      <c r="D683">
        <v>185</v>
      </c>
      <c r="E683">
        <v>0</v>
      </c>
      <c r="F683">
        <v>0</v>
      </c>
      <c r="G683">
        <v>20</v>
      </c>
      <c r="H683">
        <v>20</v>
      </c>
      <c r="I683" t="s">
        <v>1023</v>
      </c>
      <c r="U683"/>
      <c r="V683"/>
      <c r="W683"/>
    </row>
    <row r="684" spans="1:23">
      <c r="A684" s="2" t="s">
        <v>860</v>
      </c>
      <c r="B684">
        <v>0</v>
      </c>
      <c r="C684">
        <v>0</v>
      </c>
      <c r="D684">
        <v>185</v>
      </c>
      <c r="E684">
        <v>0</v>
      </c>
      <c r="F684">
        <v>0</v>
      </c>
      <c r="G684">
        <v>20</v>
      </c>
      <c r="H684">
        <v>20</v>
      </c>
      <c r="I684" t="s">
        <v>1023</v>
      </c>
      <c r="U684"/>
      <c r="V684"/>
      <c r="W684"/>
    </row>
    <row r="685" spans="1:23">
      <c r="A685" s="2" t="s">
        <v>861</v>
      </c>
      <c r="B685">
        <v>0</v>
      </c>
      <c r="C685">
        <v>0</v>
      </c>
      <c r="D685">
        <v>185</v>
      </c>
      <c r="E685">
        <v>0</v>
      </c>
      <c r="F685">
        <v>0</v>
      </c>
      <c r="G685">
        <v>20</v>
      </c>
      <c r="H685">
        <v>20</v>
      </c>
      <c r="I685" t="s">
        <v>1023</v>
      </c>
      <c r="U685"/>
      <c r="V685"/>
      <c r="W685"/>
    </row>
    <row r="686" spans="1:23">
      <c r="A686" s="2" t="s">
        <v>862</v>
      </c>
      <c r="B686">
        <v>0</v>
      </c>
      <c r="C686">
        <v>0</v>
      </c>
      <c r="D686">
        <v>185</v>
      </c>
      <c r="E686">
        <v>0</v>
      </c>
      <c r="F686">
        <v>0</v>
      </c>
      <c r="G686">
        <v>20</v>
      </c>
      <c r="H686">
        <v>20</v>
      </c>
      <c r="I686" t="s">
        <v>1023</v>
      </c>
      <c r="U686"/>
      <c r="V686"/>
      <c r="W686"/>
    </row>
    <row r="687" spans="1:23">
      <c r="A687" s="2" t="s">
        <v>863</v>
      </c>
      <c r="B687">
        <v>0</v>
      </c>
      <c r="C687">
        <v>0</v>
      </c>
      <c r="D687">
        <v>185</v>
      </c>
      <c r="E687">
        <v>0</v>
      </c>
      <c r="F687">
        <v>0</v>
      </c>
      <c r="G687">
        <v>20</v>
      </c>
      <c r="H687">
        <v>20</v>
      </c>
      <c r="I687" t="s">
        <v>1023</v>
      </c>
      <c r="U687"/>
      <c r="V687"/>
      <c r="W687"/>
    </row>
    <row r="688" spans="1:23">
      <c r="A688" s="2" t="s">
        <v>864</v>
      </c>
      <c r="B688">
        <v>0</v>
      </c>
      <c r="C688">
        <v>0</v>
      </c>
      <c r="D688">
        <v>185</v>
      </c>
      <c r="E688">
        <v>0</v>
      </c>
      <c r="F688">
        <v>0</v>
      </c>
      <c r="G688">
        <v>20</v>
      </c>
      <c r="H688">
        <v>20</v>
      </c>
      <c r="I688" t="s">
        <v>1023</v>
      </c>
      <c r="U688"/>
      <c r="V688"/>
      <c r="W688"/>
    </row>
    <row r="689" spans="1:23">
      <c r="A689" s="2" t="s">
        <v>865</v>
      </c>
      <c r="B689">
        <v>0</v>
      </c>
      <c r="C689">
        <v>0</v>
      </c>
      <c r="D689">
        <v>185</v>
      </c>
      <c r="E689">
        <v>0</v>
      </c>
      <c r="F689">
        <v>0</v>
      </c>
      <c r="G689">
        <v>20</v>
      </c>
      <c r="H689">
        <v>20</v>
      </c>
      <c r="I689" t="s">
        <v>1023</v>
      </c>
      <c r="U689"/>
      <c r="V689"/>
      <c r="W689"/>
    </row>
    <row r="690" spans="1:23">
      <c r="A690" s="2" t="s">
        <v>866</v>
      </c>
      <c r="B690">
        <v>0</v>
      </c>
      <c r="C690">
        <v>0</v>
      </c>
      <c r="D690">
        <v>185</v>
      </c>
      <c r="E690">
        <v>0</v>
      </c>
      <c r="F690">
        <v>0</v>
      </c>
      <c r="G690">
        <v>20</v>
      </c>
      <c r="H690">
        <v>20</v>
      </c>
      <c r="I690" t="s">
        <v>1023</v>
      </c>
      <c r="U690"/>
      <c r="V690"/>
      <c r="W690"/>
    </row>
    <row r="691" spans="1:23">
      <c r="A691" s="2" t="s">
        <v>867</v>
      </c>
      <c r="B691">
        <v>0</v>
      </c>
      <c r="C691">
        <v>0</v>
      </c>
      <c r="D691">
        <v>185</v>
      </c>
      <c r="E691">
        <v>0</v>
      </c>
      <c r="F691">
        <v>0</v>
      </c>
      <c r="G691">
        <v>20</v>
      </c>
      <c r="H691">
        <v>20</v>
      </c>
      <c r="I691" t="s">
        <v>1023</v>
      </c>
      <c r="U691"/>
      <c r="V691"/>
      <c r="W691"/>
    </row>
    <row r="692" spans="1:23">
      <c r="A692" s="2" t="s">
        <v>868</v>
      </c>
      <c r="B692">
        <v>0</v>
      </c>
      <c r="C692">
        <v>0</v>
      </c>
      <c r="D692">
        <v>185</v>
      </c>
      <c r="E692">
        <v>0</v>
      </c>
      <c r="F692">
        <v>0</v>
      </c>
      <c r="G692">
        <v>20</v>
      </c>
      <c r="H692">
        <v>20</v>
      </c>
      <c r="I692" t="s">
        <v>1023</v>
      </c>
      <c r="U692"/>
      <c r="V692"/>
      <c r="W692"/>
    </row>
    <row r="693" spans="1:23">
      <c r="A693" s="2" t="s">
        <v>869</v>
      </c>
      <c r="B693">
        <v>0</v>
      </c>
      <c r="C693">
        <v>0</v>
      </c>
      <c r="D693">
        <v>185</v>
      </c>
      <c r="E693">
        <v>0</v>
      </c>
      <c r="F693">
        <v>0</v>
      </c>
      <c r="G693">
        <v>20</v>
      </c>
      <c r="H693">
        <v>20</v>
      </c>
      <c r="I693" t="s">
        <v>1023</v>
      </c>
      <c r="U693"/>
      <c r="V693"/>
      <c r="W693"/>
    </row>
    <row r="694" spans="1:23">
      <c r="A694" s="2" t="s">
        <v>870</v>
      </c>
      <c r="B694">
        <v>0</v>
      </c>
      <c r="C694">
        <v>0</v>
      </c>
      <c r="D694">
        <v>185</v>
      </c>
      <c r="E694">
        <v>0</v>
      </c>
      <c r="F694">
        <v>0</v>
      </c>
      <c r="G694">
        <v>20</v>
      </c>
      <c r="H694">
        <v>20</v>
      </c>
      <c r="I694" t="s">
        <v>1023</v>
      </c>
      <c r="U694"/>
      <c r="V694"/>
      <c r="W694"/>
    </row>
    <row r="695" spans="1:23">
      <c r="A695" s="2" t="s">
        <v>871</v>
      </c>
      <c r="B695">
        <v>0</v>
      </c>
      <c r="C695">
        <v>0</v>
      </c>
      <c r="D695">
        <v>185</v>
      </c>
      <c r="E695">
        <v>0</v>
      </c>
      <c r="F695">
        <v>0</v>
      </c>
      <c r="G695">
        <v>20</v>
      </c>
      <c r="H695">
        <v>20</v>
      </c>
      <c r="I695" t="s">
        <v>1023</v>
      </c>
      <c r="U695"/>
      <c r="V695"/>
      <c r="W695"/>
    </row>
    <row r="696" spans="1:23">
      <c r="A696" s="2" t="s">
        <v>872</v>
      </c>
      <c r="B696">
        <v>0</v>
      </c>
      <c r="C696">
        <v>0</v>
      </c>
      <c r="D696">
        <v>185</v>
      </c>
      <c r="E696">
        <v>0</v>
      </c>
      <c r="F696">
        <v>0</v>
      </c>
      <c r="G696">
        <v>20</v>
      </c>
      <c r="H696">
        <v>20</v>
      </c>
      <c r="I696" t="s">
        <v>1023</v>
      </c>
      <c r="U696"/>
      <c r="V696"/>
      <c r="W696"/>
    </row>
    <row r="697" spans="1:23">
      <c r="A697" s="2" t="s">
        <v>873</v>
      </c>
      <c r="B697">
        <v>0</v>
      </c>
      <c r="C697">
        <v>0</v>
      </c>
      <c r="D697">
        <v>185</v>
      </c>
      <c r="E697">
        <v>0</v>
      </c>
      <c r="F697">
        <v>0</v>
      </c>
      <c r="G697">
        <v>20</v>
      </c>
      <c r="H697">
        <v>20</v>
      </c>
      <c r="I697" t="s">
        <v>1023</v>
      </c>
      <c r="U697"/>
      <c r="V697"/>
      <c r="W697"/>
    </row>
    <row r="698" spans="1:23">
      <c r="A698" s="2" t="s">
        <v>874</v>
      </c>
      <c r="B698">
        <v>0</v>
      </c>
      <c r="C698">
        <v>0</v>
      </c>
      <c r="D698">
        <v>185</v>
      </c>
      <c r="E698">
        <v>0</v>
      </c>
      <c r="F698">
        <v>0</v>
      </c>
      <c r="G698">
        <v>20</v>
      </c>
      <c r="H698">
        <v>20</v>
      </c>
      <c r="I698" t="s">
        <v>1023</v>
      </c>
      <c r="U698"/>
      <c r="V698"/>
      <c r="W698"/>
    </row>
    <row r="699" spans="1:23">
      <c r="A699" s="2" t="s">
        <v>875</v>
      </c>
      <c r="B699">
        <v>0</v>
      </c>
      <c r="C699">
        <v>0</v>
      </c>
      <c r="D699">
        <v>185</v>
      </c>
      <c r="E699">
        <v>0</v>
      </c>
      <c r="F699">
        <v>0</v>
      </c>
      <c r="G699">
        <v>20</v>
      </c>
      <c r="H699">
        <v>20</v>
      </c>
      <c r="I699" t="s">
        <v>1023</v>
      </c>
      <c r="U699"/>
      <c r="V699"/>
      <c r="W699"/>
    </row>
    <row r="700" spans="1:23">
      <c r="A700" s="2" t="s">
        <v>876</v>
      </c>
      <c r="B700">
        <v>0</v>
      </c>
      <c r="C700">
        <v>0</v>
      </c>
      <c r="D700">
        <v>185</v>
      </c>
      <c r="E700">
        <v>0</v>
      </c>
      <c r="F700">
        <v>0</v>
      </c>
      <c r="G700">
        <v>20</v>
      </c>
      <c r="H700">
        <v>20</v>
      </c>
      <c r="I700" t="s">
        <v>1023</v>
      </c>
      <c r="U700"/>
      <c r="V700"/>
      <c r="W700"/>
    </row>
    <row r="701" spans="1:23">
      <c r="A701" s="2" t="s">
        <v>877</v>
      </c>
      <c r="B701">
        <v>0</v>
      </c>
      <c r="C701">
        <v>0</v>
      </c>
      <c r="D701">
        <v>185</v>
      </c>
      <c r="E701">
        <v>0</v>
      </c>
      <c r="F701">
        <v>0</v>
      </c>
      <c r="G701">
        <v>20</v>
      </c>
      <c r="H701">
        <v>20</v>
      </c>
      <c r="I701" t="s">
        <v>1023</v>
      </c>
      <c r="U701"/>
      <c r="V701"/>
      <c r="W701"/>
    </row>
    <row r="702" spans="1:23">
      <c r="A702" s="2" t="s">
        <v>878</v>
      </c>
      <c r="B702">
        <v>0</v>
      </c>
      <c r="C702">
        <v>0</v>
      </c>
      <c r="D702">
        <v>185</v>
      </c>
      <c r="E702">
        <v>0</v>
      </c>
      <c r="F702">
        <v>0</v>
      </c>
      <c r="G702">
        <v>20</v>
      </c>
      <c r="H702">
        <v>20</v>
      </c>
      <c r="I702" t="s">
        <v>1023</v>
      </c>
      <c r="U702"/>
      <c r="V702"/>
      <c r="W702"/>
    </row>
    <row r="703" spans="1:23">
      <c r="A703" s="2" t="s">
        <v>879</v>
      </c>
      <c r="B703">
        <v>0</v>
      </c>
      <c r="C703">
        <v>0</v>
      </c>
      <c r="D703">
        <v>185</v>
      </c>
      <c r="E703">
        <v>0</v>
      </c>
      <c r="F703">
        <v>0</v>
      </c>
      <c r="G703">
        <v>20</v>
      </c>
      <c r="H703">
        <v>20</v>
      </c>
      <c r="I703" t="s">
        <v>1023</v>
      </c>
      <c r="U703"/>
      <c r="V703"/>
      <c r="W703"/>
    </row>
    <row r="704" spans="1:23">
      <c r="A704" s="2" t="s">
        <v>880</v>
      </c>
      <c r="B704">
        <v>0</v>
      </c>
      <c r="C704">
        <v>0</v>
      </c>
      <c r="D704">
        <v>185</v>
      </c>
      <c r="E704">
        <v>0</v>
      </c>
      <c r="F704">
        <v>0</v>
      </c>
      <c r="G704">
        <v>20</v>
      </c>
      <c r="H704">
        <v>20</v>
      </c>
      <c r="I704" t="s">
        <v>1023</v>
      </c>
      <c r="U704"/>
      <c r="V704"/>
      <c r="W704"/>
    </row>
    <row r="705" spans="1:23">
      <c r="A705" s="2" t="s">
        <v>881</v>
      </c>
      <c r="B705">
        <v>0</v>
      </c>
      <c r="C705">
        <v>0</v>
      </c>
      <c r="D705">
        <v>185</v>
      </c>
      <c r="E705">
        <v>0</v>
      </c>
      <c r="F705">
        <v>0</v>
      </c>
      <c r="G705">
        <v>20</v>
      </c>
      <c r="H705">
        <v>20</v>
      </c>
      <c r="I705" t="s">
        <v>1023</v>
      </c>
      <c r="U705"/>
      <c r="V705"/>
      <c r="W705"/>
    </row>
    <row r="706" spans="1:23">
      <c r="A706" s="2" t="s">
        <v>882</v>
      </c>
      <c r="B706">
        <v>0</v>
      </c>
      <c r="C706">
        <v>0</v>
      </c>
      <c r="D706">
        <v>185</v>
      </c>
      <c r="E706">
        <v>0</v>
      </c>
      <c r="F706">
        <v>0</v>
      </c>
      <c r="G706">
        <v>20</v>
      </c>
      <c r="H706">
        <v>20</v>
      </c>
      <c r="I706" t="s">
        <v>1023</v>
      </c>
      <c r="U706"/>
      <c r="V706"/>
      <c r="W706"/>
    </row>
    <row r="707" spans="1:23">
      <c r="A707" s="2" t="s">
        <v>883</v>
      </c>
      <c r="B707">
        <v>0</v>
      </c>
      <c r="C707">
        <v>0</v>
      </c>
      <c r="D707">
        <v>185</v>
      </c>
      <c r="E707">
        <v>0</v>
      </c>
      <c r="F707">
        <v>0</v>
      </c>
      <c r="G707">
        <v>20</v>
      </c>
      <c r="H707">
        <v>20</v>
      </c>
      <c r="I707" t="s">
        <v>1023</v>
      </c>
      <c r="U707"/>
      <c r="V707"/>
      <c r="W707"/>
    </row>
    <row r="708" spans="1:23">
      <c r="A708" s="2" t="s">
        <v>884</v>
      </c>
      <c r="B708">
        <v>0</v>
      </c>
      <c r="C708">
        <v>0</v>
      </c>
      <c r="D708">
        <v>185</v>
      </c>
      <c r="E708">
        <v>0</v>
      </c>
      <c r="F708">
        <v>0</v>
      </c>
      <c r="G708">
        <v>20</v>
      </c>
      <c r="H708">
        <v>20</v>
      </c>
      <c r="I708" t="s">
        <v>1023</v>
      </c>
      <c r="U708"/>
      <c r="V708"/>
      <c r="W708"/>
    </row>
    <row r="709" spans="1:23">
      <c r="A709" s="2" t="s">
        <v>885</v>
      </c>
      <c r="B709">
        <v>0</v>
      </c>
      <c r="C709">
        <v>0</v>
      </c>
      <c r="D709">
        <v>185</v>
      </c>
      <c r="E709">
        <v>0</v>
      </c>
      <c r="F709">
        <v>0</v>
      </c>
      <c r="G709">
        <v>20</v>
      </c>
      <c r="H709">
        <v>20</v>
      </c>
      <c r="I709" t="s">
        <v>1023</v>
      </c>
      <c r="U709"/>
      <c r="V709"/>
      <c r="W709"/>
    </row>
    <row r="710" spans="1:23">
      <c r="A710" s="2" t="s">
        <v>886</v>
      </c>
      <c r="B710">
        <v>0</v>
      </c>
      <c r="C710">
        <v>0</v>
      </c>
      <c r="D710">
        <v>185</v>
      </c>
      <c r="E710">
        <v>0</v>
      </c>
      <c r="F710">
        <v>0</v>
      </c>
      <c r="G710">
        <v>20</v>
      </c>
      <c r="H710">
        <v>20</v>
      </c>
      <c r="I710" t="s">
        <v>1023</v>
      </c>
      <c r="U710"/>
      <c r="V710"/>
      <c r="W710"/>
    </row>
    <row r="711" spans="1:23">
      <c r="A711" s="2" t="s">
        <v>887</v>
      </c>
      <c r="B711">
        <v>0</v>
      </c>
      <c r="C711">
        <v>0</v>
      </c>
      <c r="D711">
        <v>185</v>
      </c>
      <c r="E711">
        <v>0</v>
      </c>
      <c r="F711">
        <v>0</v>
      </c>
      <c r="G711">
        <v>20</v>
      </c>
      <c r="H711">
        <v>20</v>
      </c>
      <c r="I711" t="s">
        <v>1023</v>
      </c>
      <c r="U711"/>
      <c r="V711"/>
      <c r="W711"/>
    </row>
    <row r="712" spans="1:23">
      <c r="A712" s="2" t="s">
        <v>888</v>
      </c>
      <c r="B712">
        <v>0</v>
      </c>
      <c r="C712">
        <v>0</v>
      </c>
      <c r="D712">
        <v>185</v>
      </c>
      <c r="E712">
        <v>0</v>
      </c>
      <c r="F712">
        <v>0</v>
      </c>
      <c r="G712">
        <v>20</v>
      </c>
      <c r="H712">
        <v>20</v>
      </c>
      <c r="I712" t="s">
        <v>1023</v>
      </c>
      <c r="U712"/>
      <c r="V712"/>
      <c r="W712"/>
    </row>
    <row r="713" spans="1:23">
      <c r="A713" s="2" t="s">
        <v>889</v>
      </c>
      <c r="B713">
        <v>0</v>
      </c>
      <c r="C713">
        <v>0</v>
      </c>
      <c r="D713">
        <v>185</v>
      </c>
      <c r="E713">
        <v>0</v>
      </c>
      <c r="F713">
        <v>0</v>
      </c>
      <c r="G713">
        <v>20</v>
      </c>
      <c r="H713">
        <v>20</v>
      </c>
      <c r="I713" t="s">
        <v>1023</v>
      </c>
      <c r="U713"/>
      <c r="V713"/>
      <c r="W713"/>
    </row>
    <row r="714" spans="1:23">
      <c r="A714" s="2" t="s">
        <v>890</v>
      </c>
      <c r="B714">
        <v>0</v>
      </c>
      <c r="C714">
        <v>0</v>
      </c>
      <c r="D714">
        <v>185</v>
      </c>
      <c r="E714">
        <v>0</v>
      </c>
      <c r="F714">
        <v>0</v>
      </c>
      <c r="G714">
        <v>20</v>
      </c>
      <c r="H714">
        <v>20</v>
      </c>
      <c r="I714" t="s">
        <v>1023</v>
      </c>
      <c r="U714"/>
      <c r="V714"/>
      <c r="W714"/>
    </row>
    <row r="715" spans="1:23">
      <c r="A715" s="2" t="s">
        <v>891</v>
      </c>
      <c r="B715">
        <v>0</v>
      </c>
      <c r="C715">
        <v>0</v>
      </c>
      <c r="D715">
        <v>185</v>
      </c>
      <c r="E715">
        <v>0</v>
      </c>
      <c r="F715">
        <v>0</v>
      </c>
      <c r="G715">
        <v>20</v>
      </c>
      <c r="H715">
        <v>20</v>
      </c>
      <c r="I715" t="s">
        <v>1023</v>
      </c>
      <c r="U715"/>
      <c r="V715"/>
      <c r="W715"/>
    </row>
    <row r="716" spans="1:23">
      <c r="A716" s="2" t="s">
        <v>892</v>
      </c>
      <c r="B716">
        <v>0</v>
      </c>
      <c r="C716">
        <v>0</v>
      </c>
      <c r="D716">
        <v>185</v>
      </c>
      <c r="E716">
        <v>0</v>
      </c>
      <c r="F716">
        <v>0</v>
      </c>
      <c r="G716">
        <v>20</v>
      </c>
      <c r="H716">
        <v>20</v>
      </c>
      <c r="I716" t="s">
        <v>1023</v>
      </c>
      <c r="U716"/>
      <c r="V716"/>
      <c r="W716"/>
    </row>
    <row r="717" spans="1:23">
      <c r="A717" s="2" t="s">
        <v>907</v>
      </c>
      <c r="B717">
        <v>0</v>
      </c>
      <c r="C717">
        <v>0</v>
      </c>
      <c r="D717">
        <v>185</v>
      </c>
      <c r="E717">
        <v>0</v>
      </c>
      <c r="F717">
        <v>0</v>
      </c>
      <c r="G717">
        <v>20</v>
      </c>
      <c r="H717">
        <v>20</v>
      </c>
      <c r="I717" t="s">
        <v>1023</v>
      </c>
      <c r="U717"/>
      <c r="V717"/>
      <c r="W717"/>
    </row>
    <row r="718" spans="1:23">
      <c r="A718" s="2" t="s">
        <v>908</v>
      </c>
      <c r="B718">
        <v>0</v>
      </c>
      <c r="C718">
        <v>0</v>
      </c>
      <c r="D718">
        <v>185</v>
      </c>
      <c r="E718">
        <v>0</v>
      </c>
      <c r="F718">
        <v>0</v>
      </c>
      <c r="G718">
        <v>20</v>
      </c>
      <c r="H718">
        <v>20</v>
      </c>
      <c r="I718" t="s">
        <v>1023</v>
      </c>
      <c r="U718"/>
      <c r="V718"/>
      <c r="W718"/>
    </row>
    <row r="719" spans="1:23">
      <c r="A719" s="2" t="s">
        <v>764</v>
      </c>
      <c r="B719">
        <v>0</v>
      </c>
      <c r="C719">
        <v>0</v>
      </c>
      <c r="D719">
        <v>185</v>
      </c>
      <c r="E719">
        <v>0</v>
      </c>
      <c r="F719">
        <v>0</v>
      </c>
      <c r="G719">
        <v>20</v>
      </c>
      <c r="H719">
        <v>20</v>
      </c>
      <c r="I719" t="s">
        <v>1023</v>
      </c>
      <c r="U719"/>
      <c r="V719"/>
      <c r="W719"/>
    </row>
    <row r="720" spans="1:23">
      <c r="A720" s="2" t="s">
        <v>765</v>
      </c>
      <c r="B720">
        <v>0</v>
      </c>
      <c r="C720">
        <v>0</v>
      </c>
      <c r="D720">
        <v>185</v>
      </c>
      <c r="E720">
        <v>0</v>
      </c>
      <c r="F720">
        <v>0</v>
      </c>
      <c r="G720">
        <v>20</v>
      </c>
      <c r="H720">
        <v>20</v>
      </c>
      <c r="I720" t="s">
        <v>1023</v>
      </c>
      <c r="U720"/>
      <c r="V720"/>
      <c r="W720"/>
    </row>
    <row r="721" spans="1:23">
      <c r="A721" s="2" t="s">
        <v>766</v>
      </c>
      <c r="B721">
        <v>0</v>
      </c>
      <c r="C721">
        <v>0</v>
      </c>
      <c r="D721">
        <v>185</v>
      </c>
      <c r="E721">
        <v>0</v>
      </c>
      <c r="F721">
        <v>0</v>
      </c>
      <c r="G721">
        <v>20</v>
      </c>
      <c r="H721">
        <v>20</v>
      </c>
      <c r="I721" t="s">
        <v>1023</v>
      </c>
      <c r="U721"/>
      <c r="V721"/>
      <c r="W721"/>
    </row>
    <row r="722" spans="1:23">
      <c r="A722" s="2" t="s">
        <v>767</v>
      </c>
      <c r="B722">
        <v>0</v>
      </c>
      <c r="C722">
        <v>0</v>
      </c>
      <c r="D722">
        <v>185</v>
      </c>
      <c r="E722">
        <v>0</v>
      </c>
      <c r="F722">
        <v>0</v>
      </c>
      <c r="G722">
        <v>20</v>
      </c>
      <c r="H722">
        <v>20</v>
      </c>
      <c r="I722" t="s">
        <v>1023</v>
      </c>
      <c r="U722"/>
      <c r="V722"/>
      <c r="W722"/>
    </row>
    <row r="723" spans="1:23">
      <c r="A723" s="2" t="s">
        <v>768</v>
      </c>
      <c r="B723">
        <v>0</v>
      </c>
      <c r="C723">
        <v>0</v>
      </c>
      <c r="D723">
        <v>185</v>
      </c>
      <c r="E723">
        <v>0</v>
      </c>
      <c r="F723">
        <v>0</v>
      </c>
      <c r="G723">
        <v>20</v>
      </c>
      <c r="H723">
        <v>20</v>
      </c>
      <c r="I723" t="s">
        <v>1023</v>
      </c>
      <c r="U723"/>
      <c r="V723"/>
      <c r="W723"/>
    </row>
    <row r="724" spans="1:23">
      <c r="A724" s="2" t="s">
        <v>769</v>
      </c>
      <c r="B724">
        <v>0</v>
      </c>
      <c r="C724">
        <v>0</v>
      </c>
      <c r="D724">
        <v>185</v>
      </c>
      <c r="E724">
        <v>0</v>
      </c>
      <c r="F724">
        <v>0</v>
      </c>
      <c r="G724">
        <v>20</v>
      </c>
      <c r="H724">
        <v>20</v>
      </c>
      <c r="I724" t="s">
        <v>1023</v>
      </c>
      <c r="U724"/>
      <c r="V724"/>
      <c r="W724"/>
    </row>
    <row r="725" spans="1:23">
      <c r="A725" s="2" t="s">
        <v>770</v>
      </c>
      <c r="B725">
        <v>0</v>
      </c>
      <c r="C725">
        <v>0</v>
      </c>
      <c r="D725">
        <v>185</v>
      </c>
      <c r="E725">
        <v>0</v>
      </c>
      <c r="F725">
        <v>0</v>
      </c>
      <c r="G725">
        <v>20</v>
      </c>
      <c r="H725">
        <v>20</v>
      </c>
      <c r="I725" t="s">
        <v>1023</v>
      </c>
      <c r="U725"/>
      <c r="V725"/>
      <c r="W725"/>
    </row>
    <row r="726" spans="1:23">
      <c r="A726" s="2" t="s">
        <v>771</v>
      </c>
      <c r="B726">
        <v>0</v>
      </c>
      <c r="C726">
        <v>0</v>
      </c>
      <c r="D726">
        <v>185</v>
      </c>
      <c r="E726">
        <v>0</v>
      </c>
      <c r="F726">
        <v>0</v>
      </c>
      <c r="G726">
        <v>20</v>
      </c>
      <c r="H726">
        <v>20</v>
      </c>
      <c r="I726" t="s">
        <v>1023</v>
      </c>
      <c r="U726"/>
      <c r="V726"/>
      <c r="W726"/>
    </row>
    <row r="727" spans="1:23">
      <c r="A727" s="2" t="s">
        <v>772</v>
      </c>
      <c r="B727">
        <v>0</v>
      </c>
      <c r="C727">
        <v>0</v>
      </c>
      <c r="D727">
        <v>185</v>
      </c>
      <c r="E727">
        <v>0</v>
      </c>
      <c r="F727">
        <v>0</v>
      </c>
      <c r="G727">
        <v>20</v>
      </c>
      <c r="H727">
        <v>20</v>
      </c>
      <c r="I727" t="s">
        <v>1023</v>
      </c>
      <c r="U727"/>
      <c r="V727"/>
      <c r="W727"/>
    </row>
    <row r="728" spans="1:23">
      <c r="A728" s="2" t="s">
        <v>773</v>
      </c>
      <c r="B728">
        <v>0</v>
      </c>
      <c r="C728">
        <v>0</v>
      </c>
      <c r="D728">
        <v>185</v>
      </c>
      <c r="E728">
        <v>0</v>
      </c>
      <c r="F728">
        <v>0</v>
      </c>
      <c r="G728">
        <v>20</v>
      </c>
      <c r="H728">
        <v>20</v>
      </c>
      <c r="I728" t="s">
        <v>1023</v>
      </c>
      <c r="U728"/>
      <c r="V728"/>
      <c r="W728"/>
    </row>
    <row r="729" spans="1:23">
      <c r="A729" s="2" t="s">
        <v>774</v>
      </c>
      <c r="B729">
        <v>0</v>
      </c>
      <c r="C729">
        <v>0</v>
      </c>
      <c r="D729">
        <v>185</v>
      </c>
      <c r="E729">
        <v>0</v>
      </c>
      <c r="F729">
        <v>0</v>
      </c>
      <c r="G729">
        <v>20</v>
      </c>
      <c r="H729">
        <v>20</v>
      </c>
      <c r="I729" t="s">
        <v>1023</v>
      </c>
      <c r="U729"/>
      <c r="V729"/>
      <c r="W729"/>
    </row>
    <row r="730" spans="1:23">
      <c r="A730" s="2" t="s">
        <v>775</v>
      </c>
      <c r="B730">
        <v>0</v>
      </c>
      <c r="C730">
        <v>0</v>
      </c>
      <c r="D730">
        <v>185</v>
      </c>
      <c r="E730">
        <v>0</v>
      </c>
      <c r="F730">
        <v>0</v>
      </c>
      <c r="G730">
        <v>20</v>
      </c>
      <c r="H730">
        <v>20</v>
      </c>
      <c r="I730" t="s">
        <v>1023</v>
      </c>
      <c r="U730"/>
      <c r="V730"/>
      <c r="W730"/>
    </row>
    <row r="731" spans="1:23">
      <c r="A731" s="2" t="s">
        <v>776</v>
      </c>
      <c r="B731">
        <v>0</v>
      </c>
      <c r="C731">
        <v>0</v>
      </c>
      <c r="D731">
        <v>185</v>
      </c>
      <c r="E731">
        <v>0</v>
      </c>
      <c r="F731">
        <v>0</v>
      </c>
      <c r="G731">
        <v>20</v>
      </c>
      <c r="H731">
        <v>20</v>
      </c>
      <c r="I731" t="s">
        <v>1023</v>
      </c>
      <c r="U731"/>
      <c r="V731"/>
      <c r="W731"/>
    </row>
    <row r="732" spans="1:23">
      <c r="A732" s="2" t="s">
        <v>777</v>
      </c>
      <c r="B732">
        <v>0</v>
      </c>
      <c r="C732">
        <v>0</v>
      </c>
      <c r="D732">
        <v>185</v>
      </c>
      <c r="E732">
        <v>0</v>
      </c>
      <c r="F732">
        <v>0</v>
      </c>
      <c r="G732">
        <v>20</v>
      </c>
      <c r="H732">
        <v>20</v>
      </c>
      <c r="I732" t="s">
        <v>1023</v>
      </c>
      <c r="U732"/>
      <c r="V732"/>
      <c r="W732"/>
    </row>
    <row r="733" spans="1:23">
      <c r="A733" s="2" t="s">
        <v>778</v>
      </c>
      <c r="B733">
        <v>0</v>
      </c>
      <c r="C733">
        <v>0</v>
      </c>
      <c r="D733">
        <v>185</v>
      </c>
      <c r="E733">
        <v>0</v>
      </c>
      <c r="F733">
        <v>0</v>
      </c>
      <c r="G733">
        <v>20</v>
      </c>
      <c r="H733">
        <v>20</v>
      </c>
      <c r="I733" t="s">
        <v>1023</v>
      </c>
      <c r="U733"/>
      <c r="V733"/>
      <c r="W733"/>
    </row>
    <row r="734" spans="1:23">
      <c r="A734" s="2" t="s">
        <v>779</v>
      </c>
      <c r="B734">
        <v>0</v>
      </c>
      <c r="C734">
        <v>0</v>
      </c>
      <c r="D734">
        <v>185</v>
      </c>
      <c r="E734">
        <v>0</v>
      </c>
      <c r="F734">
        <v>0</v>
      </c>
      <c r="G734">
        <v>20</v>
      </c>
      <c r="H734">
        <v>20</v>
      </c>
      <c r="I734" t="s">
        <v>1023</v>
      </c>
      <c r="U734"/>
      <c r="V734"/>
      <c r="W734"/>
    </row>
    <row r="735" spans="1:23">
      <c r="A735" s="2" t="s">
        <v>780</v>
      </c>
      <c r="B735">
        <v>0</v>
      </c>
      <c r="C735">
        <v>0</v>
      </c>
      <c r="D735">
        <v>185</v>
      </c>
      <c r="E735">
        <v>0</v>
      </c>
      <c r="F735">
        <v>0</v>
      </c>
      <c r="G735">
        <v>20</v>
      </c>
      <c r="H735">
        <v>20</v>
      </c>
      <c r="I735" t="s">
        <v>1023</v>
      </c>
      <c r="U735"/>
      <c r="V735"/>
      <c r="W735"/>
    </row>
    <row r="736" spans="1:23">
      <c r="A736" s="2" t="s">
        <v>781</v>
      </c>
      <c r="B736">
        <v>0</v>
      </c>
      <c r="C736">
        <v>0</v>
      </c>
      <c r="D736">
        <v>185</v>
      </c>
      <c r="E736">
        <v>0</v>
      </c>
      <c r="F736">
        <v>0</v>
      </c>
      <c r="G736">
        <v>20</v>
      </c>
      <c r="H736">
        <v>20</v>
      </c>
      <c r="I736" t="s">
        <v>1023</v>
      </c>
      <c r="U736"/>
      <c r="V736"/>
      <c r="W736"/>
    </row>
    <row r="737" spans="1:23">
      <c r="A737" s="2" t="s">
        <v>782</v>
      </c>
      <c r="B737">
        <v>0</v>
      </c>
      <c r="C737">
        <v>0</v>
      </c>
      <c r="D737">
        <v>185</v>
      </c>
      <c r="E737">
        <v>0</v>
      </c>
      <c r="F737">
        <v>0</v>
      </c>
      <c r="G737">
        <v>20</v>
      </c>
      <c r="H737">
        <v>20</v>
      </c>
      <c r="I737" t="s">
        <v>1023</v>
      </c>
      <c r="U737"/>
      <c r="V737"/>
      <c r="W737"/>
    </row>
    <row r="738" spans="1:23">
      <c r="A738" s="2" t="s">
        <v>783</v>
      </c>
      <c r="B738">
        <v>0</v>
      </c>
      <c r="C738">
        <v>0</v>
      </c>
      <c r="D738">
        <v>185</v>
      </c>
      <c r="E738">
        <v>0</v>
      </c>
      <c r="F738">
        <v>0</v>
      </c>
      <c r="G738">
        <v>20</v>
      </c>
      <c r="H738">
        <v>20</v>
      </c>
      <c r="I738" t="s">
        <v>1023</v>
      </c>
      <c r="U738"/>
      <c r="V738"/>
      <c r="W738"/>
    </row>
    <row r="739" spans="1:23">
      <c r="A739" s="2" t="s">
        <v>784</v>
      </c>
      <c r="B739">
        <v>0</v>
      </c>
      <c r="C739">
        <v>0</v>
      </c>
      <c r="D739">
        <v>185</v>
      </c>
      <c r="E739">
        <v>0</v>
      </c>
      <c r="F739">
        <v>0</v>
      </c>
      <c r="G739">
        <v>20</v>
      </c>
      <c r="H739">
        <v>20</v>
      </c>
      <c r="I739" t="s">
        <v>1023</v>
      </c>
      <c r="U739"/>
      <c r="V739"/>
      <c r="W739"/>
    </row>
    <row r="740" spans="1:23">
      <c r="A740" s="2" t="s">
        <v>785</v>
      </c>
      <c r="B740">
        <v>0</v>
      </c>
      <c r="C740">
        <v>0</v>
      </c>
      <c r="D740">
        <v>185</v>
      </c>
      <c r="E740">
        <v>0</v>
      </c>
      <c r="F740">
        <v>0</v>
      </c>
      <c r="G740">
        <v>20</v>
      </c>
      <c r="H740">
        <v>20</v>
      </c>
      <c r="I740" t="s">
        <v>1023</v>
      </c>
      <c r="U740"/>
      <c r="V740"/>
      <c r="W740"/>
    </row>
    <row r="741" spans="1:23">
      <c r="A741" s="2" t="s">
        <v>786</v>
      </c>
      <c r="B741">
        <v>0</v>
      </c>
      <c r="C741">
        <v>0</v>
      </c>
      <c r="D741">
        <v>185</v>
      </c>
      <c r="E741">
        <v>0</v>
      </c>
      <c r="F741">
        <v>0</v>
      </c>
      <c r="G741">
        <v>20</v>
      </c>
      <c r="H741">
        <v>20</v>
      </c>
      <c r="I741" t="s">
        <v>1023</v>
      </c>
      <c r="U741"/>
      <c r="V741"/>
      <c r="W741"/>
    </row>
    <row r="742" spans="1:23">
      <c r="A742" s="2" t="s">
        <v>787</v>
      </c>
      <c r="B742">
        <v>0</v>
      </c>
      <c r="C742">
        <v>0</v>
      </c>
      <c r="D742">
        <v>185</v>
      </c>
      <c r="E742">
        <v>0</v>
      </c>
      <c r="F742">
        <v>0</v>
      </c>
      <c r="G742">
        <v>20</v>
      </c>
      <c r="H742">
        <v>20</v>
      </c>
      <c r="I742" t="s">
        <v>1023</v>
      </c>
      <c r="U742"/>
      <c r="V742"/>
      <c r="W742"/>
    </row>
    <row r="743" spans="1:23">
      <c r="A743" s="2" t="s">
        <v>788</v>
      </c>
      <c r="B743">
        <v>0</v>
      </c>
      <c r="C743">
        <v>0</v>
      </c>
      <c r="D743">
        <v>185</v>
      </c>
      <c r="E743">
        <v>0</v>
      </c>
      <c r="F743">
        <v>0</v>
      </c>
      <c r="G743">
        <v>20</v>
      </c>
      <c r="H743">
        <v>20</v>
      </c>
      <c r="I743" t="s">
        <v>1023</v>
      </c>
      <c r="U743"/>
      <c r="V743"/>
      <c r="W743"/>
    </row>
    <row r="744" spans="1:23">
      <c r="A744" s="2" t="s">
        <v>789</v>
      </c>
      <c r="B744">
        <v>0</v>
      </c>
      <c r="C744">
        <v>0</v>
      </c>
      <c r="D744">
        <v>185</v>
      </c>
      <c r="E744">
        <v>0</v>
      </c>
      <c r="F744">
        <v>0</v>
      </c>
      <c r="G744">
        <v>20</v>
      </c>
      <c r="H744">
        <v>20</v>
      </c>
      <c r="I744" t="s">
        <v>1023</v>
      </c>
      <c r="U744"/>
      <c r="V744"/>
      <c r="W744"/>
    </row>
    <row r="745" spans="1:23">
      <c r="A745" s="2" t="s">
        <v>790</v>
      </c>
      <c r="B745">
        <v>0</v>
      </c>
      <c r="C745">
        <v>0</v>
      </c>
      <c r="D745">
        <v>185</v>
      </c>
      <c r="E745">
        <v>0</v>
      </c>
      <c r="F745">
        <v>0</v>
      </c>
      <c r="G745">
        <v>20</v>
      </c>
      <c r="H745">
        <v>20</v>
      </c>
      <c r="I745" t="s">
        <v>1023</v>
      </c>
      <c r="U745"/>
      <c r="V745"/>
      <c r="W745"/>
    </row>
    <row r="746" spans="1:23">
      <c r="A746" s="2" t="s">
        <v>791</v>
      </c>
      <c r="B746">
        <v>0</v>
      </c>
      <c r="C746">
        <v>0</v>
      </c>
      <c r="D746">
        <v>185</v>
      </c>
      <c r="E746">
        <v>0</v>
      </c>
      <c r="F746">
        <v>0</v>
      </c>
      <c r="G746">
        <v>20</v>
      </c>
      <c r="H746">
        <v>20</v>
      </c>
      <c r="I746" t="s">
        <v>1023</v>
      </c>
      <c r="U746"/>
      <c r="V746"/>
      <c r="W746"/>
    </row>
    <row r="747" spans="1:23">
      <c r="A747" s="2" t="s">
        <v>792</v>
      </c>
      <c r="B747">
        <v>0</v>
      </c>
      <c r="C747">
        <v>0</v>
      </c>
      <c r="D747">
        <v>185</v>
      </c>
      <c r="E747">
        <v>0</v>
      </c>
      <c r="F747">
        <v>0</v>
      </c>
      <c r="G747">
        <v>20</v>
      </c>
      <c r="H747">
        <v>20</v>
      </c>
      <c r="I747" t="s">
        <v>1023</v>
      </c>
      <c r="U747"/>
      <c r="V747"/>
      <c r="W747"/>
    </row>
    <row r="748" spans="1:23">
      <c r="A748" s="2" t="s">
        <v>793</v>
      </c>
      <c r="B748">
        <v>0</v>
      </c>
      <c r="C748">
        <v>0</v>
      </c>
      <c r="D748">
        <v>185</v>
      </c>
      <c r="E748">
        <v>0</v>
      </c>
      <c r="F748">
        <v>0</v>
      </c>
      <c r="G748">
        <v>20</v>
      </c>
      <c r="H748">
        <v>20</v>
      </c>
      <c r="I748" t="s">
        <v>1023</v>
      </c>
      <c r="U748"/>
      <c r="V748"/>
      <c r="W748"/>
    </row>
    <row r="749" spans="1:23">
      <c r="A749" s="2" t="s">
        <v>794</v>
      </c>
      <c r="B749">
        <v>0</v>
      </c>
      <c r="C749">
        <v>0</v>
      </c>
      <c r="D749">
        <v>185</v>
      </c>
      <c r="E749">
        <v>0</v>
      </c>
      <c r="F749">
        <v>0</v>
      </c>
      <c r="G749">
        <v>20</v>
      </c>
      <c r="H749">
        <v>20</v>
      </c>
      <c r="I749" t="s">
        <v>1023</v>
      </c>
      <c r="U749"/>
      <c r="V749"/>
      <c r="W749"/>
    </row>
    <row r="750" spans="1:23">
      <c r="A750" s="2" t="s">
        <v>795</v>
      </c>
      <c r="B750">
        <v>0</v>
      </c>
      <c r="C750">
        <v>0</v>
      </c>
      <c r="D750">
        <v>185</v>
      </c>
      <c r="E750">
        <v>0</v>
      </c>
      <c r="F750">
        <v>0</v>
      </c>
      <c r="G750">
        <v>20</v>
      </c>
      <c r="H750">
        <v>20</v>
      </c>
      <c r="I750" t="s">
        <v>1023</v>
      </c>
      <c r="U750"/>
      <c r="V750"/>
      <c r="W750"/>
    </row>
    <row r="751" spans="1:23">
      <c r="A751" s="2" t="s">
        <v>796</v>
      </c>
      <c r="B751">
        <v>0</v>
      </c>
      <c r="C751">
        <v>0</v>
      </c>
      <c r="D751">
        <v>185</v>
      </c>
      <c r="E751">
        <v>0</v>
      </c>
      <c r="F751">
        <v>0</v>
      </c>
      <c r="G751">
        <v>20</v>
      </c>
      <c r="H751">
        <v>20</v>
      </c>
      <c r="I751" t="s">
        <v>1023</v>
      </c>
      <c r="U751"/>
      <c r="V751"/>
      <c r="W751"/>
    </row>
    <row r="752" spans="1:23">
      <c r="A752" s="2" t="s">
        <v>797</v>
      </c>
      <c r="B752">
        <v>0</v>
      </c>
      <c r="C752">
        <v>0</v>
      </c>
      <c r="D752">
        <v>185</v>
      </c>
      <c r="E752">
        <v>0</v>
      </c>
      <c r="F752">
        <v>0</v>
      </c>
      <c r="G752">
        <v>20</v>
      </c>
      <c r="H752">
        <v>20</v>
      </c>
      <c r="I752" t="s">
        <v>1023</v>
      </c>
      <c r="U752"/>
      <c r="V752"/>
      <c r="W752"/>
    </row>
    <row r="753" spans="1:23">
      <c r="A753" s="2" t="s">
        <v>798</v>
      </c>
      <c r="B753">
        <v>0</v>
      </c>
      <c r="C753">
        <v>0</v>
      </c>
      <c r="D753">
        <v>185</v>
      </c>
      <c r="E753">
        <v>0</v>
      </c>
      <c r="F753">
        <v>0</v>
      </c>
      <c r="G753">
        <v>20</v>
      </c>
      <c r="H753">
        <v>20</v>
      </c>
      <c r="I753" t="s">
        <v>1023</v>
      </c>
      <c r="U753"/>
      <c r="V753"/>
      <c r="W753"/>
    </row>
    <row r="754" spans="1:23">
      <c r="A754" s="2" t="s">
        <v>799</v>
      </c>
      <c r="B754">
        <v>0</v>
      </c>
      <c r="C754">
        <v>0</v>
      </c>
      <c r="D754">
        <v>185</v>
      </c>
      <c r="E754">
        <v>0</v>
      </c>
      <c r="F754">
        <v>0</v>
      </c>
      <c r="G754">
        <v>20</v>
      </c>
      <c r="H754">
        <v>20</v>
      </c>
      <c r="I754" t="s">
        <v>1023</v>
      </c>
      <c r="U754"/>
      <c r="V754"/>
      <c r="W754"/>
    </row>
    <row r="755" spans="1:23">
      <c r="A755" s="2" t="s">
        <v>800</v>
      </c>
      <c r="B755">
        <v>0</v>
      </c>
      <c r="C755">
        <v>0</v>
      </c>
      <c r="D755">
        <v>185</v>
      </c>
      <c r="E755">
        <v>0</v>
      </c>
      <c r="F755">
        <v>0</v>
      </c>
      <c r="G755">
        <v>20</v>
      </c>
      <c r="H755">
        <v>20</v>
      </c>
      <c r="I755" t="s">
        <v>1023</v>
      </c>
      <c r="U755"/>
      <c r="V755"/>
      <c r="W755"/>
    </row>
    <row r="756" spans="1:23">
      <c r="A756" s="2" t="s">
        <v>801</v>
      </c>
      <c r="B756">
        <v>0</v>
      </c>
      <c r="C756">
        <v>0</v>
      </c>
      <c r="D756">
        <v>185</v>
      </c>
      <c r="E756">
        <v>0</v>
      </c>
      <c r="F756">
        <v>0</v>
      </c>
      <c r="G756">
        <v>20</v>
      </c>
      <c r="H756">
        <v>20</v>
      </c>
      <c r="I756" t="s">
        <v>1023</v>
      </c>
      <c r="U756"/>
      <c r="V756"/>
      <c r="W756"/>
    </row>
    <row r="757" spans="1:23">
      <c r="A757" s="2" t="s">
        <v>802</v>
      </c>
      <c r="B757">
        <v>0</v>
      </c>
      <c r="C757">
        <v>0</v>
      </c>
      <c r="D757">
        <v>185</v>
      </c>
      <c r="E757">
        <v>0</v>
      </c>
      <c r="F757">
        <v>0</v>
      </c>
      <c r="G757">
        <v>20</v>
      </c>
      <c r="H757">
        <v>20</v>
      </c>
      <c r="I757" t="s">
        <v>1023</v>
      </c>
      <c r="U757"/>
      <c r="V757"/>
      <c r="W757"/>
    </row>
    <row r="758" spans="1:23">
      <c r="A758" s="2" t="s">
        <v>803</v>
      </c>
      <c r="B758">
        <v>0</v>
      </c>
      <c r="C758">
        <v>0</v>
      </c>
      <c r="D758">
        <v>185</v>
      </c>
      <c r="E758">
        <v>0</v>
      </c>
      <c r="F758">
        <v>0</v>
      </c>
      <c r="G758">
        <v>20</v>
      </c>
      <c r="H758">
        <v>20</v>
      </c>
      <c r="I758" t="s">
        <v>1023</v>
      </c>
      <c r="U758"/>
      <c r="V758"/>
      <c r="W758"/>
    </row>
    <row r="759" spans="1:23">
      <c r="A759" s="2" t="s">
        <v>804</v>
      </c>
      <c r="B759">
        <v>0</v>
      </c>
      <c r="C759">
        <v>0</v>
      </c>
      <c r="D759">
        <v>185</v>
      </c>
      <c r="E759">
        <v>0</v>
      </c>
      <c r="F759">
        <v>0</v>
      </c>
      <c r="G759">
        <v>20</v>
      </c>
      <c r="H759">
        <v>20</v>
      </c>
      <c r="I759" t="s">
        <v>1023</v>
      </c>
      <c r="U759"/>
      <c r="V759"/>
      <c r="W759"/>
    </row>
    <row r="760" spans="1:23">
      <c r="A760" s="2" t="s">
        <v>805</v>
      </c>
      <c r="B760">
        <v>0</v>
      </c>
      <c r="C760">
        <v>0</v>
      </c>
      <c r="D760">
        <v>185</v>
      </c>
      <c r="E760">
        <v>0</v>
      </c>
      <c r="F760">
        <v>0</v>
      </c>
      <c r="G760">
        <v>20</v>
      </c>
      <c r="H760">
        <v>20</v>
      </c>
      <c r="I760" t="s">
        <v>1023</v>
      </c>
      <c r="U760"/>
      <c r="V760"/>
      <c r="W760"/>
    </row>
    <row r="761" spans="1:23">
      <c r="A761" s="2" t="s">
        <v>806</v>
      </c>
      <c r="B761">
        <v>0</v>
      </c>
      <c r="C761">
        <v>0</v>
      </c>
      <c r="D761">
        <v>185</v>
      </c>
      <c r="E761">
        <v>0</v>
      </c>
      <c r="F761">
        <v>0</v>
      </c>
      <c r="G761">
        <v>20</v>
      </c>
      <c r="H761">
        <v>20</v>
      </c>
      <c r="I761" t="s">
        <v>1023</v>
      </c>
      <c r="U761"/>
      <c r="V761"/>
      <c r="W761"/>
    </row>
    <row r="762" spans="1:23">
      <c r="A762" s="2" t="s">
        <v>807</v>
      </c>
      <c r="B762">
        <v>0</v>
      </c>
      <c r="C762">
        <v>0</v>
      </c>
      <c r="D762">
        <v>185</v>
      </c>
      <c r="E762">
        <v>0</v>
      </c>
      <c r="F762">
        <v>0</v>
      </c>
      <c r="G762">
        <v>20</v>
      </c>
      <c r="H762">
        <v>20</v>
      </c>
      <c r="I762" t="s">
        <v>1023</v>
      </c>
      <c r="U762"/>
      <c r="V762"/>
      <c r="W762"/>
    </row>
    <row r="763" spans="1:23">
      <c r="A763" s="2" t="s">
        <v>808</v>
      </c>
      <c r="B763">
        <v>0</v>
      </c>
      <c r="C763">
        <v>0</v>
      </c>
      <c r="D763">
        <v>185</v>
      </c>
      <c r="E763">
        <v>0</v>
      </c>
      <c r="F763">
        <v>0</v>
      </c>
      <c r="G763">
        <v>20</v>
      </c>
      <c r="H763">
        <v>20</v>
      </c>
      <c r="I763" t="s">
        <v>1023</v>
      </c>
      <c r="U763"/>
      <c r="V763"/>
      <c r="W763"/>
    </row>
    <row r="764" spans="1:23">
      <c r="A764" s="2" t="s">
        <v>809</v>
      </c>
      <c r="B764">
        <v>0</v>
      </c>
      <c r="C764">
        <v>0</v>
      </c>
      <c r="D764">
        <v>185</v>
      </c>
      <c r="E764">
        <v>0</v>
      </c>
      <c r="F764">
        <v>0</v>
      </c>
      <c r="G764">
        <v>20</v>
      </c>
      <c r="H764">
        <v>20</v>
      </c>
      <c r="I764" t="s">
        <v>1023</v>
      </c>
      <c r="U764"/>
      <c r="V764"/>
      <c r="W764"/>
    </row>
    <row r="765" spans="1:23">
      <c r="A765" s="2" t="s">
        <v>810</v>
      </c>
      <c r="B765">
        <v>0</v>
      </c>
      <c r="C765">
        <v>0</v>
      </c>
      <c r="D765">
        <v>185</v>
      </c>
      <c r="E765">
        <v>0</v>
      </c>
      <c r="F765">
        <v>0</v>
      </c>
      <c r="G765">
        <v>20</v>
      </c>
      <c r="H765">
        <v>20</v>
      </c>
      <c r="I765" t="s">
        <v>1023</v>
      </c>
      <c r="U765"/>
      <c r="V765"/>
      <c r="W765"/>
    </row>
    <row r="766" spans="1:23">
      <c r="A766" s="2" t="s">
        <v>811</v>
      </c>
      <c r="B766">
        <v>0</v>
      </c>
      <c r="C766">
        <v>0</v>
      </c>
      <c r="D766">
        <v>185</v>
      </c>
      <c r="E766">
        <v>0</v>
      </c>
      <c r="F766">
        <v>0</v>
      </c>
      <c r="G766">
        <v>20</v>
      </c>
      <c r="H766">
        <v>20</v>
      </c>
      <c r="I766" t="s">
        <v>1023</v>
      </c>
      <c r="U766"/>
      <c r="V766"/>
      <c r="W766"/>
    </row>
    <row r="767" spans="1:23">
      <c r="A767" s="2" t="s">
        <v>812</v>
      </c>
      <c r="B767">
        <v>0</v>
      </c>
      <c r="C767">
        <v>0</v>
      </c>
      <c r="D767">
        <v>185</v>
      </c>
      <c r="E767">
        <v>0</v>
      </c>
      <c r="F767">
        <v>0</v>
      </c>
      <c r="G767">
        <v>20</v>
      </c>
      <c r="H767">
        <v>20</v>
      </c>
      <c r="I767" t="s">
        <v>1023</v>
      </c>
      <c r="U767"/>
      <c r="V767"/>
      <c r="W767"/>
    </row>
    <row r="768" spans="1:23">
      <c r="A768" s="2" t="s">
        <v>813</v>
      </c>
      <c r="B768">
        <v>0</v>
      </c>
      <c r="C768">
        <v>0</v>
      </c>
      <c r="D768">
        <v>185</v>
      </c>
      <c r="E768">
        <v>0</v>
      </c>
      <c r="F768">
        <v>0</v>
      </c>
      <c r="G768">
        <v>20</v>
      </c>
      <c r="H768">
        <v>20</v>
      </c>
      <c r="I768" t="s">
        <v>1023</v>
      </c>
      <c r="U768"/>
      <c r="V768"/>
      <c r="W768"/>
    </row>
    <row r="769" spans="1:23">
      <c r="A769" s="2" t="s">
        <v>814</v>
      </c>
      <c r="B769">
        <v>0</v>
      </c>
      <c r="C769">
        <v>0</v>
      </c>
      <c r="D769">
        <v>185</v>
      </c>
      <c r="E769">
        <v>0</v>
      </c>
      <c r="F769">
        <v>0</v>
      </c>
      <c r="G769">
        <v>20</v>
      </c>
      <c r="H769">
        <v>20</v>
      </c>
      <c r="I769" t="s">
        <v>1023</v>
      </c>
      <c r="U769"/>
      <c r="V769"/>
      <c r="W769"/>
    </row>
    <row r="770" spans="1:23">
      <c r="A770" s="2" t="s">
        <v>815</v>
      </c>
      <c r="B770">
        <v>0</v>
      </c>
      <c r="C770">
        <v>0</v>
      </c>
      <c r="D770">
        <v>185</v>
      </c>
      <c r="E770">
        <v>0</v>
      </c>
      <c r="F770">
        <v>0</v>
      </c>
      <c r="G770">
        <v>20</v>
      </c>
      <c r="H770">
        <v>20</v>
      </c>
      <c r="I770" t="s">
        <v>1023</v>
      </c>
      <c r="U770"/>
      <c r="V770"/>
      <c r="W770"/>
    </row>
    <row r="771" spans="1:23">
      <c r="A771" s="2" t="s">
        <v>816</v>
      </c>
      <c r="B771">
        <v>0</v>
      </c>
      <c r="C771">
        <v>0</v>
      </c>
      <c r="D771">
        <v>185</v>
      </c>
      <c r="E771">
        <v>0</v>
      </c>
      <c r="F771">
        <v>0</v>
      </c>
      <c r="G771">
        <v>20</v>
      </c>
      <c r="H771">
        <v>20</v>
      </c>
      <c r="I771" t="s">
        <v>1023</v>
      </c>
      <c r="U771"/>
      <c r="V771"/>
      <c r="W771"/>
    </row>
    <row r="772" spans="1:23">
      <c r="A772" s="2" t="s">
        <v>817</v>
      </c>
      <c r="B772">
        <v>0</v>
      </c>
      <c r="C772">
        <v>0</v>
      </c>
      <c r="D772">
        <v>185</v>
      </c>
      <c r="E772">
        <v>0</v>
      </c>
      <c r="F772">
        <v>0</v>
      </c>
      <c r="G772">
        <v>20</v>
      </c>
      <c r="H772">
        <v>20</v>
      </c>
      <c r="I772" t="s">
        <v>1023</v>
      </c>
      <c r="U772"/>
      <c r="V772"/>
      <c r="W772"/>
    </row>
    <row r="773" spans="1:23">
      <c r="A773" s="2" t="s">
        <v>818</v>
      </c>
      <c r="B773">
        <v>0</v>
      </c>
      <c r="C773">
        <v>0</v>
      </c>
      <c r="D773">
        <v>185</v>
      </c>
      <c r="E773">
        <v>0</v>
      </c>
      <c r="F773">
        <v>0</v>
      </c>
      <c r="G773">
        <v>20</v>
      </c>
      <c r="H773">
        <v>20</v>
      </c>
      <c r="I773" t="s">
        <v>1023</v>
      </c>
      <c r="U773"/>
      <c r="V773"/>
      <c r="W773"/>
    </row>
    <row r="774" spans="1:23">
      <c r="A774" s="2" t="s">
        <v>819</v>
      </c>
      <c r="B774">
        <v>0</v>
      </c>
      <c r="C774">
        <v>0</v>
      </c>
      <c r="D774">
        <v>185</v>
      </c>
      <c r="E774">
        <v>0</v>
      </c>
      <c r="F774">
        <v>0</v>
      </c>
      <c r="G774">
        <v>20</v>
      </c>
      <c r="H774">
        <v>20</v>
      </c>
      <c r="I774" t="s">
        <v>1023</v>
      </c>
      <c r="U774"/>
      <c r="V774"/>
      <c r="W774"/>
    </row>
    <row r="775" spans="1:23">
      <c r="A775" s="2" t="s">
        <v>820</v>
      </c>
      <c r="B775">
        <v>0</v>
      </c>
      <c r="C775">
        <v>0</v>
      </c>
      <c r="D775">
        <v>185</v>
      </c>
      <c r="E775">
        <v>0</v>
      </c>
      <c r="F775">
        <v>0</v>
      </c>
      <c r="G775">
        <v>20</v>
      </c>
      <c r="H775">
        <v>20</v>
      </c>
      <c r="I775" t="s">
        <v>1023</v>
      </c>
      <c r="U775"/>
      <c r="V775"/>
      <c r="W775"/>
    </row>
    <row r="776" spans="1:23">
      <c r="A776" s="2" t="s">
        <v>821</v>
      </c>
      <c r="B776">
        <v>0</v>
      </c>
      <c r="C776">
        <v>0</v>
      </c>
      <c r="D776">
        <v>185</v>
      </c>
      <c r="E776">
        <v>0</v>
      </c>
      <c r="F776">
        <v>0</v>
      </c>
      <c r="G776">
        <v>20</v>
      </c>
      <c r="H776">
        <v>20</v>
      </c>
      <c r="I776" t="s">
        <v>1023</v>
      </c>
      <c r="U776"/>
      <c r="V776"/>
      <c r="W776"/>
    </row>
    <row r="777" spans="1:23">
      <c r="A777" s="2" t="s">
        <v>822</v>
      </c>
      <c r="B777">
        <v>0</v>
      </c>
      <c r="C777">
        <v>0</v>
      </c>
      <c r="D777">
        <v>185</v>
      </c>
      <c r="E777">
        <v>0</v>
      </c>
      <c r="F777">
        <v>0</v>
      </c>
      <c r="G777">
        <v>20</v>
      </c>
      <c r="H777">
        <v>20</v>
      </c>
      <c r="I777" t="s">
        <v>1023</v>
      </c>
      <c r="U777"/>
      <c r="V777"/>
      <c r="W777"/>
    </row>
    <row r="778" spans="1:23">
      <c r="A778" s="2" t="s">
        <v>823</v>
      </c>
      <c r="B778">
        <v>0</v>
      </c>
      <c r="C778">
        <v>0</v>
      </c>
      <c r="D778">
        <v>185</v>
      </c>
      <c r="E778">
        <v>0</v>
      </c>
      <c r="F778">
        <v>0</v>
      </c>
      <c r="G778">
        <v>20</v>
      </c>
      <c r="H778">
        <v>20</v>
      </c>
      <c r="I778" t="s">
        <v>1023</v>
      </c>
      <c r="U778"/>
      <c r="V778"/>
      <c r="W778"/>
    </row>
    <row r="779" spans="1:23">
      <c r="A779" s="2" t="s">
        <v>824</v>
      </c>
      <c r="B779">
        <v>0</v>
      </c>
      <c r="C779">
        <v>0</v>
      </c>
      <c r="D779">
        <v>185</v>
      </c>
      <c r="E779">
        <v>0</v>
      </c>
      <c r="F779">
        <v>0</v>
      </c>
      <c r="G779">
        <v>20</v>
      </c>
      <c r="H779">
        <v>20</v>
      </c>
      <c r="I779" t="s">
        <v>1023</v>
      </c>
      <c r="U779"/>
      <c r="V779"/>
      <c r="W779"/>
    </row>
    <row r="780" spans="1:23">
      <c r="A780" s="2" t="s">
        <v>825</v>
      </c>
      <c r="B780">
        <v>0</v>
      </c>
      <c r="C780">
        <v>0</v>
      </c>
      <c r="D780">
        <v>185</v>
      </c>
      <c r="E780">
        <v>0</v>
      </c>
      <c r="F780">
        <v>0</v>
      </c>
      <c r="G780">
        <v>20</v>
      </c>
      <c r="H780">
        <v>20</v>
      </c>
      <c r="I780" t="s">
        <v>1023</v>
      </c>
      <c r="U780"/>
      <c r="V780"/>
      <c r="W780"/>
    </row>
    <row r="781" spans="1:23">
      <c r="A781" s="2" t="s">
        <v>826</v>
      </c>
      <c r="B781">
        <v>0</v>
      </c>
      <c r="C781">
        <v>0</v>
      </c>
      <c r="D781">
        <v>185</v>
      </c>
      <c r="E781">
        <v>0</v>
      </c>
      <c r="F781">
        <v>0</v>
      </c>
      <c r="G781">
        <v>20</v>
      </c>
      <c r="H781">
        <v>20</v>
      </c>
      <c r="I781" t="s">
        <v>1023</v>
      </c>
      <c r="U781"/>
      <c r="V781"/>
      <c r="W781"/>
    </row>
    <row r="782" spans="1:23">
      <c r="A782" s="2" t="s">
        <v>827</v>
      </c>
      <c r="B782">
        <v>0</v>
      </c>
      <c r="C782">
        <v>0</v>
      </c>
      <c r="D782">
        <v>185</v>
      </c>
      <c r="E782">
        <v>0</v>
      </c>
      <c r="F782">
        <v>0</v>
      </c>
      <c r="G782">
        <v>20</v>
      </c>
      <c r="H782">
        <v>20</v>
      </c>
      <c r="I782" t="s">
        <v>1023</v>
      </c>
      <c r="U782"/>
      <c r="V782"/>
      <c r="W782"/>
    </row>
    <row r="783" spans="1:23">
      <c r="A783" s="2" t="s">
        <v>828</v>
      </c>
      <c r="B783">
        <v>0</v>
      </c>
      <c r="C783">
        <v>0</v>
      </c>
      <c r="D783">
        <v>185</v>
      </c>
      <c r="E783">
        <v>0</v>
      </c>
      <c r="F783">
        <v>0</v>
      </c>
      <c r="G783">
        <v>20</v>
      </c>
      <c r="H783">
        <v>20</v>
      </c>
      <c r="I783" t="s">
        <v>1023</v>
      </c>
      <c r="U783"/>
      <c r="V783"/>
      <c r="W783"/>
    </row>
    <row r="784" spans="1:23">
      <c r="A784" s="2" t="s">
        <v>829</v>
      </c>
      <c r="B784">
        <v>0</v>
      </c>
      <c r="C784">
        <v>0</v>
      </c>
      <c r="D784">
        <v>185</v>
      </c>
      <c r="E784">
        <v>0</v>
      </c>
      <c r="F784">
        <v>0</v>
      </c>
      <c r="G784">
        <v>20</v>
      </c>
      <c r="H784">
        <v>20</v>
      </c>
      <c r="I784" t="s">
        <v>1023</v>
      </c>
      <c r="U784"/>
      <c r="V784"/>
      <c r="W784"/>
    </row>
    <row r="785" spans="1:23">
      <c r="A785" s="2" t="s">
        <v>830</v>
      </c>
      <c r="B785">
        <v>0</v>
      </c>
      <c r="C785">
        <v>0</v>
      </c>
      <c r="D785">
        <v>185</v>
      </c>
      <c r="E785">
        <v>0</v>
      </c>
      <c r="F785">
        <v>0</v>
      </c>
      <c r="G785">
        <v>20</v>
      </c>
      <c r="H785">
        <v>20</v>
      </c>
      <c r="I785" t="s">
        <v>1023</v>
      </c>
      <c r="U785"/>
      <c r="V785"/>
      <c r="W785"/>
    </row>
    <row r="786" spans="1:23">
      <c r="A786" s="2" t="s">
        <v>831</v>
      </c>
      <c r="B786">
        <v>0</v>
      </c>
      <c r="C786">
        <v>0</v>
      </c>
      <c r="D786">
        <v>185</v>
      </c>
      <c r="E786">
        <v>0</v>
      </c>
      <c r="F786">
        <v>0</v>
      </c>
      <c r="G786">
        <v>20</v>
      </c>
      <c r="H786">
        <v>20</v>
      </c>
      <c r="I786" t="s">
        <v>1023</v>
      </c>
      <c r="U786"/>
      <c r="V786"/>
      <c r="W786"/>
    </row>
    <row r="787" spans="1:23">
      <c r="A787" s="2" t="s">
        <v>832</v>
      </c>
      <c r="B787">
        <v>0</v>
      </c>
      <c r="C787">
        <v>0</v>
      </c>
      <c r="D787">
        <v>185</v>
      </c>
      <c r="E787">
        <v>0</v>
      </c>
      <c r="F787">
        <v>0</v>
      </c>
      <c r="G787">
        <v>20</v>
      </c>
      <c r="H787">
        <v>20</v>
      </c>
      <c r="I787" t="s">
        <v>1023</v>
      </c>
      <c r="U787"/>
      <c r="V787"/>
      <c r="W787"/>
    </row>
    <row r="788" spans="1:23">
      <c r="A788" s="2" t="s">
        <v>833</v>
      </c>
      <c r="B788">
        <v>0</v>
      </c>
      <c r="C788">
        <v>0</v>
      </c>
      <c r="D788">
        <v>185</v>
      </c>
      <c r="E788">
        <v>0</v>
      </c>
      <c r="F788">
        <v>0</v>
      </c>
      <c r="G788">
        <v>20</v>
      </c>
      <c r="H788">
        <v>20</v>
      </c>
      <c r="I788" t="s">
        <v>1023</v>
      </c>
      <c r="U788"/>
      <c r="V788"/>
      <c r="W788"/>
    </row>
    <row r="789" spans="1:23">
      <c r="A789" s="2" t="s">
        <v>834</v>
      </c>
      <c r="B789">
        <v>0</v>
      </c>
      <c r="C789">
        <v>0</v>
      </c>
      <c r="D789">
        <v>185</v>
      </c>
      <c r="E789">
        <v>0</v>
      </c>
      <c r="F789">
        <v>0</v>
      </c>
      <c r="G789">
        <v>20</v>
      </c>
      <c r="H789">
        <v>20</v>
      </c>
      <c r="I789" t="s">
        <v>1023</v>
      </c>
      <c r="U789"/>
      <c r="V789"/>
      <c r="W789"/>
    </row>
  </sheetData>
  <conditionalFormatting sqref="K790:M1048576">
    <cfRule type="cellIs" dxfId="2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789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8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7" sqref="E7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</sheetData>
  <conditionalFormatting sqref="I790:K1048576">
    <cfRule type="cellIs" dxfId="1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89"/>
  <sheetViews>
    <sheetView tabSelected="1" zoomScaleNormal="100" workbookViewId="0">
      <pane xSplit="1" ySplit="1" topLeftCell="B574" activePane="bottomRight" state="frozen"/>
      <selection activeCell="Q19" sqref="Q19"/>
      <selection pane="topRight" activeCell="Q19" sqref="Q19"/>
      <selection pane="bottomLeft" activeCell="Q19" sqref="Q19"/>
      <selection pane="bottomRight" activeCell="C578" sqref="C578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9491</v>
      </c>
      <c r="C1" s="1" t="s">
        <v>9013</v>
      </c>
      <c r="D1" s="1" t="s">
        <v>9473</v>
      </c>
    </row>
    <row r="2" spans="1:13">
      <c r="A2" s="2" t="s">
        <v>531</v>
      </c>
      <c r="B2" t="s">
        <v>9492</v>
      </c>
      <c r="C2" t="s">
        <v>9431</v>
      </c>
      <c r="D2" t="s">
        <v>9474</v>
      </c>
      <c r="K2"/>
      <c r="L2"/>
      <c r="M2"/>
    </row>
    <row r="3" spans="1:13">
      <c r="A3" s="2" t="s">
        <v>300</v>
      </c>
      <c r="B3" t="s">
        <v>9492</v>
      </c>
      <c r="C3" t="s">
        <v>9432</v>
      </c>
      <c r="D3" t="s">
        <v>9474</v>
      </c>
      <c r="K3"/>
      <c r="L3"/>
      <c r="M3"/>
    </row>
    <row r="4" spans="1:13">
      <c r="A4" s="2" t="s">
        <v>266</v>
      </c>
      <c r="B4" t="s">
        <v>9492</v>
      </c>
      <c r="C4" t="s">
        <v>9432</v>
      </c>
      <c r="D4" t="s">
        <v>9474</v>
      </c>
      <c r="K4"/>
      <c r="L4"/>
      <c r="M4"/>
    </row>
    <row r="5" spans="1:13">
      <c r="A5" s="2" t="s">
        <v>291</v>
      </c>
      <c r="B5" t="s">
        <v>9492</v>
      </c>
      <c r="C5" t="s">
        <v>9432</v>
      </c>
      <c r="D5" t="s">
        <v>9474</v>
      </c>
      <c r="K5"/>
      <c r="L5"/>
      <c r="M5"/>
    </row>
    <row r="6" spans="1:13">
      <c r="A6" s="2" t="s">
        <v>247</v>
      </c>
      <c r="B6" t="s">
        <v>9492</v>
      </c>
      <c r="C6" t="s">
        <v>9432</v>
      </c>
      <c r="D6" t="s">
        <v>9474</v>
      </c>
      <c r="K6"/>
      <c r="L6"/>
      <c r="M6"/>
    </row>
    <row r="7" spans="1:13">
      <c r="A7" s="2" t="s">
        <v>230</v>
      </c>
      <c r="B7" t="s">
        <v>9492</v>
      </c>
      <c r="C7" t="s">
        <v>9432</v>
      </c>
      <c r="D7" t="s">
        <v>9474</v>
      </c>
      <c r="K7"/>
      <c r="L7"/>
      <c r="M7"/>
    </row>
    <row r="8" spans="1:13">
      <c r="A8" s="2" t="s">
        <v>297</v>
      </c>
      <c r="B8" t="s">
        <v>9492</v>
      </c>
      <c r="C8" t="s">
        <v>9432</v>
      </c>
      <c r="D8" t="s">
        <v>9474</v>
      </c>
      <c r="K8"/>
      <c r="L8"/>
      <c r="M8"/>
    </row>
    <row r="9" spans="1:13">
      <c r="A9" s="2" t="s">
        <v>298</v>
      </c>
      <c r="B9" t="s">
        <v>9492</v>
      </c>
      <c r="C9" t="s">
        <v>9432</v>
      </c>
      <c r="D9" t="s">
        <v>9474</v>
      </c>
      <c r="K9"/>
      <c r="L9"/>
      <c r="M9"/>
    </row>
    <row r="10" spans="1:13">
      <c r="A10" s="2" t="s">
        <v>244</v>
      </c>
      <c r="B10" t="s">
        <v>9492</v>
      </c>
      <c r="C10" t="s">
        <v>9432</v>
      </c>
      <c r="D10" t="s">
        <v>9474</v>
      </c>
      <c r="K10"/>
      <c r="L10"/>
      <c r="M10"/>
    </row>
    <row r="11" spans="1:13">
      <c r="A11" s="2" t="s">
        <v>232</v>
      </c>
      <c r="B11" t="s">
        <v>9492</v>
      </c>
      <c r="C11" t="s">
        <v>9432</v>
      </c>
      <c r="D11" t="s">
        <v>9474</v>
      </c>
      <c r="K11"/>
      <c r="L11"/>
      <c r="M11"/>
    </row>
    <row r="12" spans="1:13">
      <c r="A12" s="2" t="s">
        <v>274</v>
      </c>
      <c r="B12" t="s">
        <v>9492</v>
      </c>
      <c r="C12" t="s">
        <v>9432</v>
      </c>
      <c r="D12" t="s">
        <v>9474</v>
      </c>
      <c r="K12"/>
      <c r="L12"/>
      <c r="M12"/>
    </row>
    <row r="13" spans="1:13">
      <c r="A13" s="2" t="s">
        <v>201</v>
      </c>
      <c r="B13" t="s">
        <v>9492</v>
      </c>
      <c r="C13" t="s">
        <v>9432</v>
      </c>
      <c r="D13" t="s">
        <v>9474</v>
      </c>
      <c r="K13"/>
      <c r="L13"/>
      <c r="M13"/>
    </row>
    <row r="14" spans="1:13">
      <c r="A14" s="2" t="s">
        <v>321</v>
      </c>
      <c r="B14" t="s">
        <v>9492</v>
      </c>
      <c r="C14" t="s">
        <v>9432</v>
      </c>
      <c r="D14" t="s">
        <v>9474</v>
      </c>
      <c r="K14"/>
      <c r="L14"/>
      <c r="M14"/>
    </row>
    <row r="15" spans="1:13">
      <c r="A15" s="2" t="s">
        <v>280</v>
      </c>
      <c r="B15" t="s">
        <v>9492</v>
      </c>
      <c r="C15" t="s">
        <v>9432</v>
      </c>
      <c r="D15" t="s">
        <v>9474</v>
      </c>
      <c r="K15"/>
      <c r="L15"/>
      <c r="M15"/>
    </row>
    <row r="16" spans="1:13">
      <c r="A16" s="2" t="s">
        <v>319</v>
      </c>
      <c r="B16" t="s">
        <v>9492</v>
      </c>
      <c r="C16" t="s">
        <v>9435</v>
      </c>
      <c r="D16" t="s">
        <v>9475</v>
      </c>
      <c r="K16"/>
      <c r="L16"/>
      <c r="M16"/>
    </row>
    <row r="17" spans="1:13">
      <c r="A17" s="2" t="s">
        <v>235</v>
      </c>
      <c r="B17" t="s">
        <v>9492</v>
      </c>
      <c r="C17" t="s">
        <v>9432</v>
      </c>
      <c r="D17" t="s">
        <v>9474</v>
      </c>
      <c r="K17"/>
      <c r="L17"/>
      <c r="M17"/>
    </row>
    <row r="18" spans="1:13">
      <c r="A18" s="2" t="s">
        <v>264</v>
      </c>
      <c r="B18" t="s">
        <v>9492</v>
      </c>
      <c r="C18" t="s">
        <v>9471</v>
      </c>
      <c r="D18" t="s">
        <v>9475</v>
      </c>
      <c r="K18"/>
      <c r="L18"/>
      <c r="M18"/>
    </row>
    <row r="19" spans="1:13">
      <c r="A19" s="2" t="s">
        <v>270</v>
      </c>
      <c r="B19" t="s">
        <v>9492</v>
      </c>
      <c r="C19" t="s">
        <v>9432</v>
      </c>
      <c r="D19" t="s">
        <v>9474</v>
      </c>
      <c r="K19"/>
      <c r="L19"/>
      <c r="M19"/>
    </row>
    <row r="20" spans="1:13">
      <c r="A20" s="2" t="s">
        <v>282</v>
      </c>
      <c r="B20" t="s">
        <v>9492</v>
      </c>
      <c r="C20" t="s">
        <v>9432</v>
      </c>
      <c r="D20" t="s">
        <v>9474</v>
      </c>
      <c r="K20"/>
      <c r="L20"/>
      <c r="M20"/>
    </row>
    <row r="21" spans="1:13">
      <c r="A21" s="2" t="s">
        <v>211</v>
      </c>
      <c r="B21" t="s">
        <v>9492</v>
      </c>
      <c r="C21" t="s">
        <v>9432</v>
      </c>
      <c r="D21" t="s">
        <v>9474</v>
      </c>
      <c r="K21"/>
      <c r="L21"/>
      <c r="M21"/>
    </row>
    <row r="22" spans="1:13">
      <c r="A22" s="2" t="s">
        <v>306</v>
      </c>
      <c r="B22" t="s">
        <v>9492</v>
      </c>
      <c r="C22" t="s">
        <v>9435</v>
      </c>
      <c r="D22" t="s">
        <v>9474</v>
      </c>
      <c r="K22"/>
      <c r="L22"/>
      <c r="M22"/>
    </row>
    <row r="23" spans="1:13">
      <c r="A23" s="2" t="s">
        <v>225</v>
      </c>
      <c r="B23" t="s">
        <v>9492</v>
      </c>
      <c r="C23" t="s">
        <v>9432</v>
      </c>
      <c r="D23" t="s">
        <v>9474</v>
      </c>
      <c r="K23"/>
      <c r="L23"/>
      <c r="M23"/>
    </row>
    <row r="24" spans="1:13">
      <c r="A24" s="2" t="s">
        <v>248</v>
      </c>
      <c r="B24" t="s">
        <v>9492</v>
      </c>
      <c r="C24" t="s">
        <v>9432</v>
      </c>
      <c r="D24" t="s">
        <v>9474</v>
      </c>
      <c r="K24"/>
      <c r="L24"/>
      <c r="M24"/>
    </row>
    <row r="25" spans="1:13">
      <c r="A25" s="2" t="s">
        <v>216</v>
      </c>
      <c r="B25" t="s">
        <v>9492</v>
      </c>
      <c r="C25" t="s">
        <v>9471</v>
      </c>
      <c r="D25" t="s">
        <v>9475</v>
      </c>
      <c r="K25"/>
      <c r="L25"/>
      <c r="M25"/>
    </row>
    <row r="26" spans="1:13">
      <c r="A26" s="2" t="s">
        <v>222</v>
      </c>
      <c r="B26" t="s">
        <v>9492</v>
      </c>
      <c r="C26" t="s">
        <v>9471</v>
      </c>
      <c r="D26" t="s">
        <v>9479</v>
      </c>
      <c r="K26"/>
      <c r="L26"/>
      <c r="M26"/>
    </row>
    <row r="27" spans="1:13">
      <c r="A27" s="2" t="s">
        <v>292</v>
      </c>
      <c r="B27" t="s">
        <v>9492</v>
      </c>
      <c r="C27" t="s">
        <v>9432</v>
      </c>
      <c r="D27" t="s">
        <v>9474</v>
      </c>
      <c r="K27"/>
      <c r="L27"/>
      <c r="M27"/>
    </row>
    <row r="28" spans="1:13">
      <c r="A28" s="2" t="s">
        <v>268</v>
      </c>
      <c r="B28" t="s">
        <v>9492</v>
      </c>
      <c r="C28" t="s">
        <v>9432</v>
      </c>
      <c r="D28" t="s">
        <v>9474</v>
      </c>
      <c r="K28"/>
      <c r="L28"/>
      <c r="M28"/>
    </row>
    <row r="29" spans="1:13">
      <c r="A29" s="2" t="s">
        <v>205</v>
      </c>
      <c r="B29" t="s">
        <v>9492</v>
      </c>
      <c r="C29" t="s">
        <v>9432</v>
      </c>
      <c r="D29" t="s">
        <v>9474</v>
      </c>
      <c r="K29"/>
      <c r="L29"/>
      <c r="M29"/>
    </row>
    <row r="30" spans="1:13">
      <c r="A30" s="2" t="s">
        <v>295</v>
      </c>
      <c r="B30" t="s">
        <v>9492</v>
      </c>
      <c r="C30" t="s">
        <v>9432</v>
      </c>
      <c r="D30" t="s">
        <v>9474</v>
      </c>
      <c r="K30"/>
      <c r="L30"/>
      <c r="M30"/>
    </row>
    <row r="31" spans="1:13">
      <c r="A31" s="2" t="s">
        <v>223</v>
      </c>
      <c r="B31" t="s">
        <v>9492</v>
      </c>
      <c r="C31" t="s">
        <v>9432</v>
      </c>
      <c r="D31" t="s">
        <v>9474</v>
      </c>
      <c r="K31"/>
      <c r="L31"/>
      <c r="M31"/>
    </row>
    <row r="32" spans="1:13">
      <c r="A32" s="2" t="s">
        <v>259</v>
      </c>
      <c r="B32" t="s">
        <v>9492</v>
      </c>
      <c r="C32" t="s">
        <v>9471</v>
      </c>
      <c r="D32" t="s">
        <v>9478</v>
      </c>
      <c r="K32"/>
      <c r="L32"/>
      <c r="M32"/>
    </row>
    <row r="33" spans="1:13">
      <c r="A33" s="2" t="s">
        <v>238</v>
      </c>
      <c r="B33" t="s">
        <v>9492</v>
      </c>
      <c r="C33" t="s">
        <v>9432</v>
      </c>
      <c r="D33" t="s">
        <v>9474</v>
      </c>
      <c r="K33"/>
      <c r="L33"/>
      <c r="M33"/>
    </row>
    <row r="34" spans="1:13">
      <c r="A34" s="2" t="s">
        <v>212</v>
      </c>
      <c r="B34" t="s">
        <v>9492</v>
      </c>
      <c r="C34" t="s">
        <v>9432</v>
      </c>
      <c r="D34" t="s">
        <v>9474</v>
      </c>
      <c r="K34"/>
      <c r="L34"/>
      <c r="M34"/>
    </row>
    <row r="35" spans="1:13">
      <c r="A35" s="2" t="s">
        <v>209</v>
      </c>
      <c r="B35" t="s">
        <v>9492</v>
      </c>
      <c r="C35" t="s">
        <v>9432</v>
      </c>
      <c r="D35" t="s">
        <v>9474</v>
      </c>
      <c r="K35"/>
      <c r="L35"/>
      <c r="M35"/>
    </row>
    <row r="36" spans="1:13">
      <c r="A36" s="2" t="s">
        <v>288</v>
      </c>
      <c r="B36" t="s">
        <v>9492</v>
      </c>
      <c r="C36" t="s">
        <v>9432</v>
      </c>
      <c r="D36" t="s">
        <v>9474</v>
      </c>
      <c r="K36"/>
      <c r="L36"/>
      <c r="M36"/>
    </row>
    <row r="37" spans="1:13">
      <c r="A37" s="2" t="s">
        <v>213</v>
      </c>
      <c r="B37" t="s">
        <v>9492</v>
      </c>
      <c r="C37" t="s">
        <v>9435</v>
      </c>
      <c r="D37" t="s">
        <v>9475</v>
      </c>
      <c r="K37"/>
      <c r="L37"/>
      <c r="M37"/>
    </row>
    <row r="38" spans="1:13">
      <c r="A38" s="2" t="s">
        <v>293</v>
      </c>
      <c r="B38" t="s">
        <v>9492</v>
      </c>
      <c r="C38" t="s">
        <v>9432</v>
      </c>
      <c r="D38" t="s">
        <v>9474</v>
      </c>
      <c r="K38"/>
      <c r="L38"/>
      <c r="M38"/>
    </row>
    <row r="39" spans="1:13">
      <c r="A39" s="2" t="s">
        <v>279</v>
      </c>
      <c r="B39" t="s">
        <v>9492</v>
      </c>
      <c r="C39" t="s">
        <v>9432</v>
      </c>
      <c r="D39" t="s">
        <v>9474</v>
      </c>
      <c r="K39"/>
      <c r="L39"/>
      <c r="M39"/>
    </row>
    <row r="40" spans="1:13">
      <c r="A40" s="2" t="s">
        <v>239</v>
      </c>
      <c r="B40" t="s">
        <v>9492</v>
      </c>
      <c r="C40" t="s">
        <v>9432</v>
      </c>
      <c r="D40" t="s">
        <v>9474</v>
      </c>
      <c r="K40"/>
      <c r="L40"/>
      <c r="M40"/>
    </row>
    <row r="41" spans="1:13">
      <c r="A41" s="2" t="s">
        <v>253</v>
      </c>
      <c r="B41" t="s">
        <v>9492</v>
      </c>
      <c r="C41" t="s">
        <v>9432</v>
      </c>
      <c r="D41" t="s">
        <v>9474</v>
      </c>
      <c r="K41"/>
      <c r="L41"/>
      <c r="M41"/>
    </row>
    <row r="42" spans="1:13">
      <c r="A42" s="2" t="s">
        <v>256</v>
      </c>
      <c r="B42" t="s">
        <v>9492</v>
      </c>
      <c r="C42" t="s">
        <v>9432</v>
      </c>
      <c r="D42" t="s">
        <v>9474</v>
      </c>
      <c r="K42"/>
      <c r="L42"/>
      <c r="M42"/>
    </row>
    <row r="43" spans="1:13">
      <c r="A43" s="2" t="s">
        <v>236</v>
      </c>
      <c r="B43" t="s">
        <v>9492</v>
      </c>
      <c r="C43" t="s">
        <v>9432</v>
      </c>
      <c r="D43" t="s">
        <v>9474</v>
      </c>
      <c r="K43"/>
      <c r="L43"/>
      <c r="M43"/>
    </row>
    <row r="44" spans="1:13">
      <c r="A44" s="2" t="s">
        <v>219</v>
      </c>
      <c r="B44" t="s">
        <v>9492</v>
      </c>
      <c r="C44" t="s">
        <v>9432</v>
      </c>
      <c r="D44" t="s">
        <v>9474</v>
      </c>
      <c r="K44"/>
      <c r="L44"/>
      <c r="M44"/>
    </row>
    <row r="45" spans="1:13">
      <c r="A45" s="2" t="s">
        <v>226</v>
      </c>
      <c r="B45" t="s">
        <v>9492</v>
      </c>
      <c r="C45" t="s">
        <v>9432</v>
      </c>
      <c r="D45" t="s">
        <v>9474</v>
      </c>
      <c r="K45"/>
      <c r="L45"/>
      <c r="M45"/>
    </row>
    <row r="46" spans="1:13">
      <c r="A46" s="2" t="s">
        <v>316</v>
      </c>
      <c r="B46" t="s">
        <v>9492</v>
      </c>
      <c r="C46" t="s">
        <v>9432</v>
      </c>
      <c r="D46" t="s">
        <v>9474</v>
      </c>
      <c r="K46"/>
      <c r="L46"/>
      <c r="M46"/>
    </row>
    <row r="47" spans="1:13">
      <c r="A47" s="2" t="s">
        <v>233</v>
      </c>
      <c r="B47" t="s">
        <v>9492</v>
      </c>
      <c r="C47" t="s">
        <v>9432</v>
      </c>
      <c r="D47" t="s">
        <v>9474</v>
      </c>
      <c r="K47"/>
      <c r="L47"/>
      <c r="M47"/>
    </row>
    <row r="48" spans="1:13">
      <c r="A48" s="2" t="s">
        <v>302</v>
      </c>
      <c r="B48" t="s">
        <v>9492</v>
      </c>
      <c r="C48" t="s">
        <v>9432</v>
      </c>
      <c r="D48" t="s">
        <v>9474</v>
      </c>
      <c r="K48"/>
      <c r="L48"/>
      <c r="M48"/>
    </row>
    <row r="49" spans="1:13">
      <c r="A49" s="2" t="s">
        <v>220</v>
      </c>
      <c r="B49" t="s">
        <v>9492</v>
      </c>
      <c r="C49" t="s">
        <v>9432</v>
      </c>
      <c r="D49" t="s">
        <v>9474</v>
      </c>
      <c r="K49"/>
      <c r="L49"/>
      <c r="M49"/>
    </row>
    <row r="50" spans="1:13">
      <c r="A50" s="2" t="s">
        <v>242</v>
      </c>
      <c r="B50" t="s">
        <v>9492</v>
      </c>
      <c r="C50" t="s">
        <v>9432</v>
      </c>
      <c r="D50" t="s">
        <v>9474</v>
      </c>
      <c r="K50"/>
      <c r="L50"/>
      <c r="M50"/>
    </row>
    <row r="51" spans="1:13">
      <c r="A51" s="2" t="s">
        <v>286</v>
      </c>
      <c r="B51" t="s">
        <v>9492</v>
      </c>
      <c r="C51" t="s">
        <v>9432</v>
      </c>
      <c r="D51" t="s">
        <v>9474</v>
      </c>
      <c r="K51"/>
      <c r="L51"/>
      <c r="M51"/>
    </row>
    <row r="52" spans="1:13">
      <c r="A52" s="2" t="s">
        <v>314</v>
      </c>
      <c r="B52" t="s">
        <v>9492</v>
      </c>
      <c r="C52" t="s">
        <v>9432</v>
      </c>
      <c r="D52" t="s">
        <v>9474</v>
      </c>
      <c r="K52"/>
      <c r="L52"/>
      <c r="M52"/>
    </row>
    <row r="53" spans="1:13">
      <c r="A53" s="2" t="s">
        <v>217</v>
      </c>
      <c r="B53" t="s">
        <v>9492</v>
      </c>
      <c r="C53" t="s">
        <v>9432</v>
      </c>
      <c r="D53" t="s">
        <v>9474</v>
      </c>
      <c r="K53"/>
      <c r="L53"/>
      <c r="M53"/>
    </row>
    <row r="54" spans="1:13">
      <c r="A54" s="2" t="s">
        <v>254</v>
      </c>
      <c r="B54" t="s">
        <v>9492</v>
      </c>
      <c r="C54" t="s">
        <v>9432</v>
      </c>
      <c r="D54" t="s">
        <v>9474</v>
      </c>
      <c r="K54"/>
      <c r="L54"/>
      <c r="M54"/>
    </row>
    <row r="55" spans="1:13">
      <c r="A55" s="2" t="s">
        <v>199</v>
      </c>
      <c r="B55" t="s">
        <v>9492</v>
      </c>
      <c r="C55" t="s">
        <v>9471</v>
      </c>
      <c r="D55" t="s">
        <v>9475</v>
      </c>
      <c r="K55"/>
      <c r="L55"/>
      <c r="M55"/>
    </row>
    <row r="56" spans="1:13">
      <c r="A56" s="2" t="s">
        <v>196</v>
      </c>
      <c r="B56" t="s">
        <v>9492</v>
      </c>
      <c r="C56" t="s">
        <v>9432</v>
      </c>
      <c r="D56" t="s">
        <v>9474</v>
      </c>
      <c r="K56"/>
      <c r="L56"/>
      <c r="M56"/>
    </row>
    <row r="57" spans="1:13">
      <c r="A57" s="2" t="s">
        <v>257</v>
      </c>
      <c r="B57" t="s">
        <v>9492</v>
      </c>
      <c r="C57" t="s">
        <v>9432</v>
      </c>
      <c r="D57" t="s">
        <v>9474</v>
      </c>
      <c r="K57"/>
      <c r="L57"/>
      <c r="M57"/>
    </row>
    <row r="58" spans="1:13">
      <c r="A58" s="2" t="s">
        <v>215</v>
      </c>
      <c r="B58" t="s">
        <v>9492</v>
      </c>
      <c r="C58" t="s">
        <v>9432</v>
      </c>
      <c r="D58" t="s">
        <v>9474</v>
      </c>
      <c r="K58"/>
      <c r="L58"/>
      <c r="M58"/>
    </row>
    <row r="59" spans="1:13">
      <c r="A59" s="2" t="s">
        <v>214</v>
      </c>
      <c r="B59" t="s">
        <v>9492</v>
      </c>
      <c r="C59" t="s">
        <v>9432</v>
      </c>
      <c r="D59" t="s">
        <v>9474</v>
      </c>
      <c r="K59"/>
      <c r="L59"/>
      <c r="M59"/>
    </row>
    <row r="60" spans="1:13">
      <c r="A60" s="2" t="s">
        <v>227</v>
      </c>
      <c r="B60" t="s">
        <v>9492</v>
      </c>
      <c r="C60" t="s">
        <v>9432</v>
      </c>
      <c r="D60" t="s">
        <v>9474</v>
      </c>
      <c r="K60"/>
      <c r="L60"/>
      <c r="M60"/>
    </row>
    <row r="61" spans="1:13">
      <c r="A61" s="2" t="s">
        <v>290</v>
      </c>
      <c r="B61" t="s">
        <v>9492</v>
      </c>
      <c r="C61" t="s">
        <v>9432</v>
      </c>
      <c r="D61" t="s">
        <v>9474</v>
      </c>
      <c r="K61"/>
      <c r="L61"/>
      <c r="M61"/>
    </row>
    <row r="62" spans="1:13">
      <c r="A62" s="2" t="s">
        <v>251</v>
      </c>
      <c r="B62" t="s">
        <v>9492</v>
      </c>
      <c r="C62" t="s">
        <v>9432</v>
      </c>
      <c r="D62" t="s">
        <v>9474</v>
      </c>
      <c r="K62"/>
      <c r="L62"/>
      <c r="M62"/>
    </row>
    <row r="63" spans="1:13">
      <c r="A63" s="2" t="s">
        <v>272</v>
      </c>
      <c r="B63" t="s">
        <v>9492</v>
      </c>
      <c r="C63" t="s">
        <v>9432</v>
      </c>
      <c r="D63" t="s">
        <v>9474</v>
      </c>
      <c r="K63"/>
      <c r="L63"/>
      <c r="M63"/>
    </row>
    <row r="64" spans="1:13">
      <c r="A64" s="2" t="s">
        <v>267</v>
      </c>
      <c r="B64" t="s">
        <v>9492</v>
      </c>
      <c r="C64" t="s">
        <v>9432</v>
      </c>
      <c r="D64" t="s">
        <v>9474</v>
      </c>
      <c r="K64"/>
      <c r="L64"/>
      <c r="M64"/>
    </row>
    <row r="65" spans="1:13">
      <c r="A65" s="2" t="s">
        <v>284</v>
      </c>
      <c r="B65" t="s">
        <v>9492</v>
      </c>
      <c r="C65" t="s">
        <v>9432</v>
      </c>
      <c r="D65" t="s">
        <v>9474</v>
      </c>
      <c r="K65"/>
      <c r="L65"/>
      <c r="M65"/>
    </row>
    <row r="66" spans="1:13">
      <c r="A66" s="2" t="s">
        <v>287</v>
      </c>
      <c r="B66" t="s">
        <v>9492</v>
      </c>
      <c r="C66" t="s">
        <v>9432</v>
      </c>
      <c r="D66" t="s">
        <v>9474</v>
      </c>
      <c r="K66"/>
      <c r="L66"/>
      <c r="M66"/>
    </row>
    <row r="67" spans="1:13">
      <c r="A67" s="2" t="s">
        <v>311</v>
      </c>
      <c r="B67" t="s">
        <v>9492</v>
      </c>
      <c r="C67" t="s">
        <v>9432</v>
      </c>
      <c r="D67" t="s">
        <v>9474</v>
      </c>
      <c r="K67"/>
      <c r="L67"/>
      <c r="M67"/>
    </row>
    <row r="68" spans="1:13">
      <c r="A68" s="2" t="s">
        <v>273</v>
      </c>
      <c r="B68" t="s">
        <v>9492</v>
      </c>
      <c r="C68" t="s">
        <v>9432</v>
      </c>
      <c r="D68" t="s">
        <v>9474</v>
      </c>
      <c r="K68"/>
      <c r="L68"/>
      <c r="M68"/>
    </row>
    <row r="69" spans="1:13">
      <c r="A69" s="2" t="s">
        <v>277</v>
      </c>
      <c r="B69" t="s">
        <v>9492</v>
      </c>
      <c r="C69" t="s">
        <v>9432</v>
      </c>
      <c r="D69" t="s">
        <v>9474</v>
      </c>
      <c r="K69"/>
      <c r="L69"/>
      <c r="M69"/>
    </row>
    <row r="70" spans="1:13">
      <c r="A70" s="2" t="s">
        <v>626</v>
      </c>
      <c r="B70" t="s">
        <v>9492</v>
      </c>
      <c r="C70" t="s">
        <v>9432</v>
      </c>
      <c r="D70" t="s">
        <v>9474</v>
      </c>
      <c r="K70"/>
      <c r="L70"/>
      <c r="M70"/>
    </row>
    <row r="71" spans="1:13">
      <c r="A71" s="2" t="s">
        <v>210</v>
      </c>
      <c r="B71" t="s">
        <v>9492</v>
      </c>
      <c r="C71" t="s">
        <v>9471</v>
      </c>
      <c r="D71" t="s">
        <v>9475</v>
      </c>
      <c r="K71"/>
      <c r="L71"/>
      <c r="M71"/>
    </row>
    <row r="72" spans="1:13">
      <c r="A72" s="2" t="s">
        <v>269</v>
      </c>
      <c r="B72" t="s">
        <v>9492</v>
      </c>
      <c r="C72" t="s">
        <v>9432</v>
      </c>
      <c r="D72" t="s">
        <v>9474</v>
      </c>
      <c r="K72"/>
      <c r="L72"/>
      <c r="M72"/>
    </row>
    <row r="73" spans="1:13">
      <c r="A73" s="2" t="s">
        <v>304</v>
      </c>
      <c r="B73" t="s">
        <v>9492</v>
      </c>
      <c r="C73" t="s">
        <v>9432</v>
      </c>
      <c r="D73" t="s">
        <v>9474</v>
      </c>
      <c r="K73"/>
      <c r="L73"/>
      <c r="M73"/>
    </row>
    <row r="74" spans="1:13">
      <c r="A74" s="2" t="s">
        <v>198</v>
      </c>
      <c r="B74" t="s">
        <v>9492</v>
      </c>
      <c r="C74" t="s">
        <v>9432</v>
      </c>
      <c r="D74" t="s">
        <v>9474</v>
      </c>
      <c r="K74"/>
      <c r="L74"/>
      <c r="M74"/>
    </row>
    <row r="75" spans="1:13">
      <c r="A75" s="2" t="s">
        <v>206</v>
      </c>
      <c r="B75" t="s">
        <v>9492</v>
      </c>
      <c r="C75" t="s">
        <v>9471</v>
      </c>
      <c r="D75" t="s">
        <v>9475</v>
      </c>
      <c r="K75"/>
      <c r="L75"/>
      <c r="M75"/>
    </row>
    <row r="76" spans="1:13">
      <c r="A76" s="2" t="s">
        <v>315</v>
      </c>
      <c r="B76" t="s">
        <v>9492</v>
      </c>
      <c r="C76" t="s">
        <v>9432</v>
      </c>
      <c r="D76" t="s">
        <v>9474</v>
      </c>
      <c r="K76"/>
      <c r="L76"/>
      <c r="M76"/>
    </row>
    <row r="77" spans="1:13">
      <c r="A77" s="2" t="s">
        <v>320</v>
      </c>
      <c r="B77" t="s">
        <v>9492</v>
      </c>
      <c r="C77" t="s">
        <v>9432</v>
      </c>
      <c r="D77" t="s">
        <v>9474</v>
      </c>
      <c r="K77"/>
      <c r="L77"/>
      <c r="M77"/>
    </row>
    <row r="78" spans="1:13">
      <c r="A78" s="2" t="s">
        <v>278</v>
      </c>
      <c r="B78" t="s">
        <v>9492</v>
      </c>
      <c r="C78" t="s">
        <v>9432</v>
      </c>
      <c r="D78" t="s">
        <v>9474</v>
      </c>
      <c r="K78"/>
      <c r="L78"/>
      <c r="M78"/>
    </row>
    <row r="79" spans="1:13">
      <c r="A79" s="2" t="s">
        <v>240</v>
      </c>
      <c r="B79" t="s">
        <v>9492</v>
      </c>
      <c r="C79" t="s">
        <v>9471</v>
      </c>
      <c r="D79" t="s">
        <v>9479</v>
      </c>
      <c r="K79"/>
      <c r="L79"/>
      <c r="M79"/>
    </row>
    <row r="80" spans="1:13">
      <c r="A80" s="2" t="s">
        <v>294</v>
      </c>
      <c r="B80" t="s">
        <v>9492</v>
      </c>
      <c r="C80" t="s">
        <v>9432</v>
      </c>
      <c r="D80" t="s">
        <v>9474</v>
      </c>
      <c r="K80"/>
      <c r="L80"/>
      <c r="M80"/>
    </row>
    <row r="81" spans="1:13">
      <c r="A81" s="2" t="s">
        <v>296</v>
      </c>
      <c r="B81" t="s">
        <v>9492</v>
      </c>
      <c r="C81" t="s">
        <v>9432</v>
      </c>
      <c r="D81" t="s">
        <v>9474</v>
      </c>
      <c r="K81"/>
      <c r="L81"/>
      <c r="M81"/>
    </row>
    <row r="82" spans="1:13">
      <c r="A82" s="2" t="s">
        <v>307</v>
      </c>
      <c r="B82" t="s">
        <v>9492</v>
      </c>
      <c r="C82" t="s">
        <v>9432</v>
      </c>
      <c r="D82" t="s">
        <v>9474</v>
      </c>
      <c r="K82"/>
      <c r="L82"/>
      <c r="M82"/>
    </row>
    <row r="83" spans="1:13">
      <c r="A83" s="2" t="s">
        <v>313</v>
      </c>
      <c r="B83" t="s">
        <v>9492</v>
      </c>
      <c r="C83" t="s">
        <v>9432</v>
      </c>
      <c r="D83" t="s">
        <v>9474</v>
      </c>
      <c r="K83"/>
      <c r="L83"/>
      <c r="M83"/>
    </row>
    <row r="84" spans="1:13">
      <c r="A84" s="2" t="s">
        <v>241</v>
      </c>
      <c r="B84" t="s">
        <v>9492</v>
      </c>
      <c r="C84" t="s">
        <v>9432</v>
      </c>
      <c r="D84" t="s">
        <v>9474</v>
      </c>
      <c r="K84"/>
      <c r="L84"/>
      <c r="M84"/>
    </row>
    <row r="85" spans="1:13">
      <c r="A85" s="2" t="s">
        <v>221</v>
      </c>
      <c r="B85" t="s">
        <v>9492</v>
      </c>
      <c r="C85" t="s">
        <v>9432</v>
      </c>
      <c r="D85" t="s">
        <v>9474</v>
      </c>
      <c r="K85"/>
      <c r="L85"/>
      <c r="M85"/>
    </row>
    <row r="86" spans="1:13">
      <c r="A86" s="2" t="s">
        <v>229</v>
      </c>
      <c r="B86" t="s">
        <v>9492</v>
      </c>
      <c r="C86" t="s">
        <v>9432</v>
      </c>
      <c r="D86" t="s">
        <v>9474</v>
      </c>
      <c r="K86"/>
      <c r="L86"/>
      <c r="M86"/>
    </row>
    <row r="87" spans="1:13">
      <c r="A87" s="2" t="s">
        <v>312</v>
      </c>
      <c r="B87" t="s">
        <v>9492</v>
      </c>
      <c r="C87" t="s">
        <v>9432</v>
      </c>
      <c r="D87" t="s">
        <v>9474</v>
      </c>
      <c r="K87"/>
      <c r="L87"/>
      <c r="M87"/>
    </row>
    <row r="88" spans="1:13">
      <c r="A88" s="2" t="s">
        <v>258</v>
      </c>
      <c r="B88" t="s">
        <v>9492</v>
      </c>
      <c r="C88" t="s">
        <v>9471</v>
      </c>
      <c r="D88" t="s">
        <v>9475</v>
      </c>
      <c r="K88"/>
      <c r="L88"/>
      <c r="M88"/>
    </row>
    <row r="89" spans="1:13">
      <c r="A89" s="2" t="s">
        <v>255</v>
      </c>
      <c r="B89" t="s">
        <v>9492</v>
      </c>
      <c r="C89" t="s">
        <v>9471</v>
      </c>
      <c r="D89" t="s">
        <v>9478</v>
      </c>
      <c r="K89"/>
      <c r="L89"/>
      <c r="M89"/>
    </row>
    <row r="90" spans="1:13">
      <c r="A90" s="2" t="s">
        <v>231</v>
      </c>
      <c r="B90" t="s">
        <v>9492</v>
      </c>
      <c r="C90" t="s">
        <v>9432</v>
      </c>
      <c r="D90" t="s">
        <v>9474</v>
      </c>
      <c r="K90"/>
      <c r="L90"/>
      <c r="M90"/>
    </row>
    <row r="91" spans="1:13">
      <c r="A91" s="2" t="s">
        <v>224</v>
      </c>
      <c r="B91" t="s">
        <v>9492</v>
      </c>
      <c r="C91" t="s">
        <v>9432</v>
      </c>
      <c r="D91" t="s">
        <v>9474</v>
      </c>
      <c r="K91"/>
      <c r="L91"/>
      <c r="M91"/>
    </row>
    <row r="92" spans="1:13">
      <c r="A92" s="2" t="s">
        <v>243</v>
      </c>
      <c r="B92" t="s">
        <v>9492</v>
      </c>
      <c r="C92" t="s">
        <v>9432</v>
      </c>
      <c r="D92" t="s">
        <v>9474</v>
      </c>
      <c r="K92"/>
      <c r="L92"/>
      <c r="M92"/>
    </row>
    <row r="93" spans="1:13">
      <c r="A93" s="2" t="s">
        <v>283</v>
      </c>
      <c r="B93" t="s">
        <v>9492</v>
      </c>
      <c r="C93" t="s">
        <v>9432</v>
      </c>
      <c r="D93" t="s">
        <v>9474</v>
      </c>
      <c r="K93"/>
      <c r="L93"/>
      <c r="M93"/>
    </row>
    <row r="94" spans="1:13">
      <c r="A94" s="2" t="s">
        <v>310</v>
      </c>
      <c r="B94" t="s">
        <v>9492</v>
      </c>
      <c r="C94" t="s">
        <v>9432</v>
      </c>
      <c r="D94" t="s">
        <v>9474</v>
      </c>
      <c r="K94"/>
      <c r="L94"/>
      <c r="M94"/>
    </row>
    <row r="95" spans="1:13">
      <c r="A95" s="2" t="s">
        <v>317</v>
      </c>
      <c r="B95" t="s">
        <v>9492</v>
      </c>
      <c r="C95" t="s">
        <v>9432</v>
      </c>
      <c r="D95" t="s">
        <v>9474</v>
      </c>
      <c r="K95"/>
      <c r="L95"/>
      <c r="M95"/>
    </row>
    <row r="96" spans="1:13">
      <c r="A96" s="2" t="s">
        <v>299</v>
      </c>
      <c r="B96" t="s">
        <v>9492</v>
      </c>
      <c r="C96" t="s">
        <v>9432</v>
      </c>
      <c r="D96" t="s">
        <v>9474</v>
      </c>
      <c r="K96"/>
      <c r="L96"/>
      <c r="M96"/>
    </row>
    <row r="97" spans="1:13">
      <c r="A97" s="2" t="s">
        <v>276</v>
      </c>
      <c r="B97" t="s">
        <v>9492</v>
      </c>
      <c r="C97" t="s">
        <v>9432</v>
      </c>
      <c r="D97" t="s">
        <v>9474</v>
      </c>
      <c r="K97"/>
      <c r="L97"/>
      <c r="M97"/>
    </row>
    <row r="98" spans="1:13">
      <c r="A98" s="2" t="s">
        <v>318</v>
      </c>
      <c r="B98" t="s">
        <v>9492</v>
      </c>
      <c r="C98" t="s">
        <v>9432</v>
      </c>
      <c r="D98" t="s">
        <v>9474</v>
      </c>
      <c r="K98"/>
      <c r="L98"/>
      <c r="M98"/>
    </row>
    <row r="99" spans="1:13">
      <c r="A99" s="2" t="s">
        <v>289</v>
      </c>
      <c r="B99" t="s">
        <v>9492</v>
      </c>
      <c r="C99" t="s">
        <v>9432</v>
      </c>
      <c r="D99" t="s">
        <v>9474</v>
      </c>
      <c r="K99"/>
      <c r="L99"/>
      <c r="M99"/>
    </row>
    <row r="100" spans="1:13">
      <c r="A100" s="2" t="s">
        <v>271</v>
      </c>
      <c r="B100" t="s">
        <v>9492</v>
      </c>
      <c r="C100" t="s">
        <v>9432</v>
      </c>
      <c r="D100" t="s">
        <v>9474</v>
      </c>
      <c r="K100"/>
      <c r="L100"/>
      <c r="M100"/>
    </row>
    <row r="101" spans="1:13">
      <c r="A101" s="2" t="s">
        <v>237</v>
      </c>
      <c r="B101" t="s">
        <v>9492</v>
      </c>
      <c r="C101" t="s">
        <v>9432</v>
      </c>
      <c r="D101" t="s">
        <v>9474</v>
      </c>
      <c r="K101"/>
      <c r="L101"/>
      <c r="M101"/>
    </row>
    <row r="102" spans="1:13">
      <c r="A102" s="2" t="s">
        <v>200</v>
      </c>
      <c r="B102" t="s">
        <v>9492</v>
      </c>
      <c r="C102" t="s">
        <v>9432</v>
      </c>
      <c r="D102" t="s">
        <v>9474</v>
      </c>
      <c r="K102"/>
      <c r="L102"/>
      <c r="M102"/>
    </row>
    <row r="103" spans="1:13">
      <c r="A103" s="2" t="s">
        <v>301</v>
      </c>
      <c r="B103" t="s">
        <v>9492</v>
      </c>
      <c r="C103" t="s">
        <v>9432</v>
      </c>
      <c r="D103" t="s">
        <v>9474</v>
      </c>
      <c r="K103"/>
      <c r="L103"/>
      <c r="M103"/>
    </row>
    <row r="104" spans="1:13">
      <c r="A104" s="2" t="s">
        <v>303</v>
      </c>
      <c r="B104" t="s">
        <v>9492</v>
      </c>
      <c r="C104" t="s">
        <v>9432</v>
      </c>
      <c r="D104" t="s">
        <v>9474</v>
      </c>
      <c r="K104"/>
      <c r="L104"/>
      <c r="M104"/>
    </row>
    <row r="105" spans="1:13">
      <c r="A105" s="2" t="s">
        <v>246</v>
      </c>
      <c r="B105" t="s">
        <v>9492</v>
      </c>
      <c r="C105" t="s">
        <v>9432</v>
      </c>
      <c r="D105" t="s">
        <v>9474</v>
      </c>
      <c r="K105"/>
      <c r="L105"/>
      <c r="M105"/>
    </row>
    <row r="106" spans="1:13">
      <c r="A106" s="2" t="s">
        <v>228</v>
      </c>
      <c r="B106" t="s">
        <v>9492</v>
      </c>
      <c r="C106" t="s">
        <v>9471</v>
      </c>
      <c r="D106" t="s">
        <v>9475</v>
      </c>
      <c r="K106"/>
      <c r="L106"/>
      <c r="M106"/>
    </row>
    <row r="107" spans="1:13">
      <c r="A107" s="2" t="s">
        <v>281</v>
      </c>
      <c r="B107" t="s">
        <v>9492</v>
      </c>
      <c r="C107" t="s">
        <v>9432</v>
      </c>
      <c r="D107" t="s">
        <v>9474</v>
      </c>
      <c r="K107"/>
      <c r="L107"/>
      <c r="M107"/>
    </row>
    <row r="108" spans="1:13">
      <c r="A108" s="2" t="s">
        <v>249</v>
      </c>
      <c r="B108" t="s">
        <v>9492</v>
      </c>
      <c r="C108" t="s">
        <v>9432</v>
      </c>
      <c r="D108" t="s">
        <v>9474</v>
      </c>
      <c r="K108"/>
      <c r="L108"/>
      <c r="M108"/>
    </row>
    <row r="109" spans="1:13">
      <c r="A109" s="2" t="s">
        <v>250</v>
      </c>
      <c r="B109" t="s">
        <v>9492</v>
      </c>
      <c r="C109" t="s">
        <v>9432</v>
      </c>
      <c r="D109" t="s">
        <v>9474</v>
      </c>
      <c r="K109"/>
      <c r="L109"/>
      <c r="M109"/>
    </row>
    <row r="110" spans="1:13">
      <c r="A110" s="2" t="s">
        <v>322</v>
      </c>
      <c r="B110" t="s">
        <v>9492</v>
      </c>
      <c r="C110" t="s">
        <v>9432</v>
      </c>
      <c r="D110" t="s">
        <v>9474</v>
      </c>
      <c r="K110"/>
      <c r="L110"/>
      <c r="M110"/>
    </row>
    <row r="111" spans="1:13">
      <c r="A111" s="2" t="s">
        <v>263</v>
      </c>
      <c r="B111" t="s">
        <v>9492</v>
      </c>
      <c r="C111" t="s">
        <v>9471</v>
      </c>
      <c r="D111" t="s">
        <v>9475</v>
      </c>
      <c r="K111"/>
      <c r="L111"/>
      <c r="M111"/>
    </row>
    <row r="112" spans="1:13">
      <c r="A112" s="2" t="s">
        <v>260</v>
      </c>
      <c r="B112" t="s">
        <v>9492</v>
      </c>
      <c r="C112" t="s">
        <v>9471</v>
      </c>
      <c r="D112" t="s">
        <v>9475</v>
      </c>
      <c r="K112"/>
      <c r="L112"/>
      <c r="M112"/>
    </row>
    <row r="113" spans="1:13">
      <c r="A113" s="2" t="s">
        <v>309</v>
      </c>
      <c r="B113" t="s">
        <v>9492</v>
      </c>
      <c r="C113" t="s">
        <v>9435</v>
      </c>
      <c r="D113" t="s">
        <v>9474</v>
      </c>
      <c r="K113"/>
      <c r="L113"/>
      <c r="M113"/>
    </row>
    <row r="114" spans="1:13">
      <c r="A114" s="2" t="s">
        <v>308</v>
      </c>
      <c r="B114" t="s">
        <v>9492</v>
      </c>
      <c r="C114" t="s">
        <v>9438</v>
      </c>
      <c r="D114" t="s">
        <v>9474</v>
      </c>
      <c r="K114"/>
      <c r="L114"/>
      <c r="M114"/>
    </row>
    <row r="115" spans="1:13">
      <c r="A115" s="2" t="s">
        <v>305</v>
      </c>
      <c r="B115" t="s">
        <v>9492</v>
      </c>
      <c r="C115" t="s">
        <v>9432</v>
      </c>
      <c r="D115" t="s">
        <v>9474</v>
      </c>
      <c r="K115"/>
      <c r="L115"/>
      <c r="M115"/>
    </row>
    <row r="116" spans="1:13">
      <c r="A116" s="2" t="s">
        <v>252</v>
      </c>
      <c r="B116" t="s">
        <v>9492</v>
      </c>
      <c r="C116" t="s">
        <v>9432</v>
      </c>
      <c r="D116" t="s">
        <v>9474</v>
      </c>
      <c r="K116"/>
      <c r="L116"/>
      <c r="M116"/>
    </row>
    <row r="117" spans="1:13">
      <c r="A117" s="2" t="s">
        <v>208</v>
      </c>
      <c r="B117" t="s">
        <v>9492</v>
      </c>
      <c r="C117" t="s">
        <v>9432</v>
      </c>
      <c r="D117" t="s">
        <v>9474</v>
      </c>
      <c r="K117"/>
      <c r="L117"/>
      <c r="M117"/>
    </row>
    <row r="118" spans="1:13">
      <c r="A118" s="2" t="s">
        <v>323</v>
      </c>
      <c r="B118" t="s">
        <v>9492</v>
      </c>
      <c r="C118" t="s">
        <v>9432</v>
      </c>
      <c r="D118" t="s">
        <v>9474</v>
      </c>
      <c r="K118"/>
      <c r="L118"/>
      <c r="M118"/>
    </row>
    <row r="119" spans="1:13">
      <c r="A119" s="2" t="s">
        <v>218</v>
      </c>
      <c r="B119" t="s">
        <v>9492</v>
      </c>
      <c r="C119" t="s">
        <v>9432</v>
      </c>
      <c r="D119" t="s">
        <v>9474</v>
      </c>
      <c r="K119"/>
      <c r="L119"/>
      <c r="M119"/>
    </row>
    <row r="120" spans="1:13">
      <c r="A120" s="2" t="s">
        <v>245</v>
      </c>
      <c r="B120" t="s">
        <v>9492</v>
      </c>
      <c r="C120" t="s">
        <v>9471</v>
      </c>
      <c r="D120" t="s">
        <v>9479</v>
      </c>
      <c r="K120"/>
      <c r="L120"/>
      <c r="M120"/>
    </row>
    <row r="121" spans="1:13">
      <c r="A121" s="2" t="s">
        <v>936</v>
      </c>
      <c r="B121" t="s">
        <v>9492</v>
      </c>
      <c r="C121" t="s">
        <v>9471</v>
      </c>
      <c r="D121" t="s">
        <v>9479</v>
      </c>
      <c r="K121"/>
      <c r="L121"/>
      <c r="M121"/>
    </row>
    <row r="122" spans="1:13">
      <c r="A122" s="2" t="s">
        <v>203</v>
      </c>
      <c r="B122" t="s">
        <v>9492</v>
      </c>
      <c r="C122" t="s">
        <v>9435</v>
      </c>
      <c r="D122" t="s">
        <v>9475</v>
      </c>
      <c r="K122"/>
      <c r="L122"/>
      <c r="M122"/>
    </row>
    <row r="123" spans="1:13">
      <c r="A123" s="2" t="s">
        <v>197</v>
      </c>
      <c r="B123" t="s">
        <v>9492</v>
      </c>
      <c r="C123" t="s">
        <v>9432</v>
      </c>
      <c r="D123" t="s">
        <v>9474</v>
      </c>
      <c r="K123"/>
      <c r="L123"/>
      <c r="M123"/>
    </row>
    <row r="124" spans="1:13">
      <c r="A124" s="2" t="s">
        <v>285</v>
      </c>
      <c r="B124" t="s">
        <v>9492</v>
      </c>
      <c r="C124" t="s">
        <v>9432</v>
      </c>
      <c r="D124" t="s">
        <v>9474</v>
      </c>
      <c r="K124"/>
      <c r="L124"/>
      <c r="M124"/>
    </row>
    <row r="125" spans="1:13">
      <c r="A125" s="2" t="s">
        <v>262</v>
      </c>
      <c r="B125" t="s">
        <v>9492</v>
      </c>
      <c r="C125" t="s">
        <v>9432</v>
      </c>
      <c r="D125" t="s">
        <v>9474</v>
      </c>
      <c r="K125"/>
      <c r="L125"/>
      <c r="M125"/>
    </row>
    <row r="126" spans="1:13">
      <c r="A126" s="2" t="s">
        <v>207</v>
      </c>
      <c r="B126" t="s">
        <v>9492</v>
      </c>
      <c r="C126" t="s">
        <v>9435</v>
      </c>
      <c r="D126" t="s">
        <v>9475</v>
      </c>
      <c r="K126"/>
      <c r="L126"/>
      <c r="M126"/>
    </row>
    <row r="127" spans="1:13">
      <c r="A127" s="2" t="s">
        <v>265</v>
      </c>
      <c r="B127" t="s">
        <v>9492</v>
      </c>
      <c r="C127" t="s">
        <v>9432</v>
      </c>
      <c r="D127" t="s">
        <v>9474</v>
      </c>
      <c r="K127"/>
      <c r="L127"/>
      <c r="M127"/>
    </row>
    <row r="128" spans="1:13">
      <c r="A128" s="2" t="s">
        <v>261</v>
      </c>
      <c r="B128" t="s">
        <v>9492</v>
      </c>
      <c r="C128" t="s">
        <v>9432</v>
      </c>
      <c r="D128" t="s">
        <v>9474</v>
      </c>
      <c r="K128"/>
      <c r="L128"/>
      <c r="M128"/>
    </row>
    <row r="129" spans="1:13">
      <c r="A129" s="2" t="s">
        <v>234</v>
      </c>
      <c r="B129" t="s">
        <v>9492</v>
      </c>
      <c r="C129" t="s">
        <v>9439</v>
      </c>
      <c r="D129" t="s">
        <v>9474</v>
      </c>
      <c r="K129"/>
      <c r="L129"/>
      <c r="M129"/>
    </row>
    <row r="130" spans="1:13">
      <c r="A130" s="2" t="s">
        <v>204</v>
      </c>
      <c r="B130" t="s">
        <v>9492</v>
      </c>
      <c r="C130" t="s">
        <v>9435</v>
      </c>
      <c r="D130" t="s">
        <v>9475</v>
      </c>
      <c r="K130"/>
      <c r="L130"/>
      <c r="M130"/>
    </row>
    <row r="131" spans="1:13">
      <c r="A131" s="2" t="s">
        <v>202</v>
      </c>
      <c r="B131" t="s">
        <v>9492</v>
      </c>
      <c r="C131" t="s">
        <v>9432</v>
      </c>
      <c r="D131" t="s">
        <v>9474</v>
      </c>
      <c r="K131"/>
      <c r="L131"/>
      <c r="M131"/>
    </row>
    <row r="132" spans="1:13">
      <c r="A132" s="2" t="s">
        <v>275</v>
      </c>
      <c r="B132" t="s">
        <v>9492</v>
      </c>
      <c r="C132" t="s">
        <v>9432</v>
      </c>
      <c r="D132" t="s">
        <v>9474</v>
      </c>
      <c r="K132"/>
      <c r="L132"/>
      <c r="M132"/>
    </row>
    <row r="133" spans="1:13">
      <c r="A133" s="2" t="s">
        <v>521</v>
      </c>
      <c r="B133" t="s">
        <v>9492</v>
      </c>
      <c r="C133" t="s">
        <v>9440</v>
      </c>
      <c r="D133" t="s">
        <v>9474</v>
      </c>
      <c r="K133"/>
      <c r="L133"/>
      <c r="M133"/>
    </row>
    <row r="134" spans="1:13">
      <c r="A134" s="2" t="s">
        <v>526</v>
      </c>
      <c r="B134" t="s">
        <v>9492</v>
      </c>
      <c r="C134" t="s">
        <v>9440</v>
      </c>
      <c r="D134" t="s">
        <v>9474</v>
      </c>
      <c r="K134"/>
      <c r="L134"/>
      <c r="M134"/>
    </row>
    <row r="135" spans="1:13">
      <c r="A135" s="2" t="s">
        <v>498</v>
      </c>
      <c r="B135" t="s">
        <v>9492</v>
      </c>
      <c r="C135" t="s">
        <v>9440</v>
      </c>
      <c r="D135" t="s">
        <v>9474</v>
      </c>
      <c r="K135"/>
      <c r="L135"/>
      <c r="M135"/>
    </row>
    <row r="136" spans="1:13">
      <c r="A136" s="2" t="s">
        <v>480</v>
      </c>
      <c r="B136" t="s">
        <v>9492</v>
      </c>
      <c r="C136" t="s">
        <v>9440</v>
      </c>
      <c r="D136" t="s">
        <v>9474</v>
      </c>
      <c r="K136"/>
      <c r="L136"/>
      <c r="M136"/>
    </row>
    <row r="137" spans="1:13">
      <c r="A137" s="2" t="s">
        <v>509</v>
      </c>
      <c r="B137" t="s">
        <v>9492</v>
      </c>
      <c r="C137" t="s">
        <v>9440</v>
      </c>
      <c r="D137" t="s">
        <v>9474</v>
      </c>
      <c r="K137"/>
      <c r="L137"/>
      <c r="M137"/>
    </row>
    <row r="138" spans="1:13">
      <c r="A138" s="2" t="s">
        <v>483</v>
      </c>
      <c r="B138" t="s">
        <v>9492</v>
      </c>
      <c r="C138" t="s">
        <v>9440</v>
      </c>
      <c r="D138" t="s">
        <v>9474</v>
      </c>
      <c r="K138"/>
      <c r="L138"/>
      <c r="M138"/>
    </row>
    <row r="139" spans="1:13">
      <c r="A139" s="2" t="s">
        <v>524</v>
      </c>
      <c r="B139" t="s">
        <v>9492</v>
      </c>
      <c r="C139" t="s">
        <v>9440</v>
      </c>
      <c r="D139" t="s">
        <v>9474</v>
      </c>
      <c r="K139"/>
      <c r="L139"/>
      <c r="M139"/>
    </row>
    <row r="140" spans="1:13">
      <c r="A140" s="2" t="s">
        <v>508</v>
      </c>
      <c r="B140" t="s">
        <v>9492</v>
      </c>
      <c r="C140" t="s">
        <v>9440</v>
      </c>
      <c r="D140" t="s">
        <v>9474</v>
      </c>
      <c r="K140"/>
      <c r="L140"/>
      <c r="M140"/>
    </row>
    <row r="141" spans="1:13">
      <c r="A141" s="2" t="s">
        <v>497</v>
      </c>
      <c r="B141" t="s">
        <v>9492</v>
      </c>
      <c r="C141" t="s">
        <v>9440</v>
      </c>
      <c r="D141" t="s">
        <v>9474</v>
      </c>
      <c r="K141"/>
      <c r="L141"/>
      <c r="M141"/>
    </row>
    <row r="142" spans="1:13">
      <c r="A142" s="2" t="s">
        <v>516</v>
      </c>
      <c r="B142" t="s">
        <v>9492</v>
      </c>
      <c r="C142" t="s">
        <v>9440</v>
      </c>
      <c r="D142" t="s">
        <v>9474</v>
      </c>
      <c r="K142"/>
      <c r="L142"/>
      <c r="M142"/>
    </row>
    <row r="143" spans="1:13">
      <c r="A143" s="2" t="s">
        <v>514</v>
      </c>
      <c r="B143" t="s">
        <v>9492</v>
      </c>
      <c r="C143" t="s">
        <v>9440</v>
      </c>
      <c r="D143" t="s">
        <v>9474</v>
      </c>
      <c r="K143"/>
      <c r="L143"/>
      <c r="M143"/>
    </row>
    <row r="144" spans="1:13">
      <c r="A144" s="2" t="s">
        <v>486</v>
      </c>
      <c r="B144" t="s">
        <v>9492</v>
      </c>
      <c r="C144" t="s">
        <v>9440</v>
      </c>
      <c r="D144" t="s">
        <v>9474</v>
      </c>
      <c r="K144"/>
      <c r="L144"/>
      <c r="M144"/>
    </row>
    <row r="145" spans="1:13">
      <c r="A145" s="2" t="s">
        <v>525</v>
      </c>
      <c r="B145" t="s">
        <v>9492</v>
      </c>
      <c r="C145" t="s">
        <v>9440</v>
      </c>
      <c r="D145" t="s">
        <v>9474</v>
      </c>
      <c r="K145"/>
      <c r="L145"/>
      <c r="M145"/>
    </row>
    <row r="146" spans="1:13">
      <c r="A146" s="2" t="s">
        <v>489</v>
      </c>
      <c r="B146" t="s">
        <v>9492</v>
      </c>
      <c r="C146" t="s">
        <v>9440</v>
      </c>
      <c r="D146" t="s">
        <v>9474</v>
      </c>
      <c r="K146"/>
      <c r="L146"/>
      <c r="M146"/>
    </row>
    <row r="147" spans="1:13">
      <c r="A147" s="2" t="s">
        <v>513</v>
      </c>
      <c r="B147" t="s">
        <v>9492</v>
      </c>
      <c r="C147" t="s">
        <v>9440</v>
      </c>
      <c r="D147" t="s">
        <v>9474</v>
      </c>
      <c r="K147"/>
      <c r="L147"/>
      <c r="M147"/>
    </row>
    <row r="148" spans="1:13">
      <c r="A148" s="2" t="s">
        <v>501</v>
      </c>
      <c r="B148" t="s">
        <v>9492</v>
      </c>
      <c r="C148" t="s">
        <v>9440</v>
      </c>
      <c r="D148" t="s">
        <v>9474</v>
      </c>
      <c r="K148"/>
      <c r="L148"/>
      <c r="M148"/>
    </row>
    <row r="149" spans="1:13">
      <c r="A149" s="2" t="s">
        <v>504</v>
      </c>
      <c r="B149" t="s">
        <v>9492</v>
      </c>
      <c r="C149" t="s">
        <v>9440</v>
      </c>
      <c r="D149" t="s">
        <v>9474</v>
      </c>
      <c r="K149"/>
      <c r="L149"/>
      <c r="M149"/>
    </row>
    <row r="150" spans="1:13">
      <c r="A150" s="2" t="s">
        <v>481</v>
      </c>
      <c r="B150" t="s">
        <v>9492</v>
      </c>
      <c r="C150" t="s">
        <v>9440</v>
      </c>
      <c r="D150" t="s">
        <v>9474</v>
      </c>
      <c r="K150"/>
      <c r="L150"/>
      <c r="M150"/>
    </row>
    <row r="151" spans="1:13">
      <c r="A151" s="2" t="s">
        <v>495</v>
      </c>
      <c r="B151" t="s">
        <v>9492</v>
      </c>
      <c r="C151" t="s">
        <v>9440</v>
      </c>
      <c r="D151" t="s">
        <v>9474</v>
      </c>
      <c r="K151"/>
      <c r="L151"/>
      <c r="M151"/>
    </row>
    <row r="152" spans="1:13">
      <c r="A152" s="2" t="s">
        <v>500</v>
      </c>
      <c r="B152" t="s">
        <v>9492</v>
      </c>
      <c r="C152" t="s">
        <v>9440</v>
      </c>
      <c r="D152" t="s">
        <v>9474</v>
      </c>
      <c r="K152"/>
      <c r="L152"/>
      <c r="M152"/>
    </row>
    <row r="153" spans="1:13">
      <c r="A153" s="2" t="s">
        <v>518</v>
      </c>
      <c r="B153" t="s">
        <v>9492</v>
      </c>
      <c r="C153" t="s">
        <v>9440</v>
      </c>
      <c r="D153" t="s">
        <v>9474</v>
      </c>
      <c r="K153"/>
      <c r="L153"/>
      <c r="M153"/>
    </row>
    <row r="154" spans="1:13">
      <c r="A154" s="2" t="s">
        <v>517</v>
      </c>
      <c r="B154" t="s">
        <v>9492</v>
      </c>
      <c r="C154" t="s">
        <v>9440</v>
      </c>
      <c r="D154" t="s">
        <v>9474</v>
      </c>
      <c r="K154"/>
      <c r="L154"/>
      <c r="M154"/>
    </row>
    <row r="155" spans="1:13">
      <c r="A155" s="2" t="s">
        <v>493</v>
      </c>
      <c r="B155" t="s">
        <v>9492</v>
      </c>
      <c r="C155" t="s">
        <v>9440</v>
      </c>
      <c r="D155" t="s">
        <v>9474</v>
      </c>
      <c r="K155"/>
      <c r="L155"/>
      <c r="M155"/>
    </row>
    <row r="156" spans="1:13">
      <c r="A156" s="2" t="s">
        <v>520</v>
      </c>
      <c r="B156" t="s">
        <v>9492</v>
      </c>
      <c r="C156" t="s">
        <v>9440</v>
      </c>
      <c r="D156" t="s">
        <v>9474</v>
      </c>
      <c r="K156"/>
      <c r="L156"/>
      <c r="M156"/>
    </row>
    <row r="157" spans="1:13">
      <c r="A157" s="2" t="s">
        <v>494</v>
      </c>
      <c r="B157" t="s">
        <v>9492</v>
      </c>
      <c r="C157" t="s">
        <v>9440</v>
      </c>
      <c r="D157" t="s">
        <v>9474</v>
      </c>
      <c r="K157"/>
      <c r="L157"/>
      <c r="M157"/>
    </row>
    <row r="158" spans="1:13">
      <c r="A158" s="2" t="s">
        <v>478</v>
      </c>
      <c r="B158" t="s">
        <v>9492</v>
      </c>
      <c r="C158" t="s">
        <v>9440</v>
      </c>
      <c r="D158" t="s">
        <v>9474</v>
      </c>
      <c r="K158"/>
      <c r="L158"/>
      <c r="M158"/>
    </row>
    <row r="159" spans="1:13">
      <c r="A159" s="2" t="s">
        <v>482</v>
      </c>
      <c r="B159" t="s">
        <v>9492</v>
      </c>
      <c r="C159" t="s">
        <v>9440</v>
      </c>
      <c r="D159" t="s">
        <v>9474</v>
      </c>
      <c r="K159"/>
      <c r="L159"/>
      <c r="M159"/>
    </row>
    <row r="160" spans="1:13">
      <c r="A160" s="2" t="s">
        <v>484</v>
      </c>
      <c r="B160" t="s">
        <v>9492</v>
      </c>
      <c r="C160" t="s">
        <v>9440</v>
      </c>
      <c r="D160" t="s">
        <v>9474</v>
      </c>
      <c r="K160"/>
      <c r="L160"/>
      <c r="M160"/>
    </row>
    <row r="161" spans="1:13">
      <c r="A161" s="2" t="s">
        <v>523</v>
      </c>
      <c r="B161" t="s">
        <v>9492</v>
      </c>
      <c r="C161" t="s">
        <v>9440</v>
      </c>
      <c r="D161" t="s">
        <v>9474</v>
      </c>
      <c r="K161"/>
      <c r="L161"/>
      <c r="M161"/>
    </row>
    <row r="162" spans="1:13">
      <c r="A162" s="2" t="s">
        <v>506</v>
      </c>
      <c r="B162" t="s">
        <v>9492</v>
      </c>
      <c r="C162" t="s">
        <v>9440</v>
      </c>
      <c r="D162" t="s">
        <v>9474</v>
      </c>
      <c r="K162"/>
      <c r="L162"/>
      <c r="M162"/>
    </row>
    <row r="163" spans="1:13">
      <c r="A163" s="2" t="s">
        <v>507</v>
      </c>
      <c r="B163" t="s">
        <v>9492</v>
      </c>
      <c r="C163" t="s">
        <v>9440</v>
      </c>
      <c r="D163" t="s">
        <v>9474</v>
      </c>
      <c r="K163"/>
      <c r="L163"/>
      <c r="M163"/>
    </row>
    <row r="164" spans="1:13">
      <c r="A164" s="2" t="s">
        <v>527</v>
      </c>
      <c r="B164" t="s">
        <v>9492</v>
      </c>
      <c r="C164" t="s">
        <v>9440</v>
      </c>
      <c r="D164" t="s">
        <v>9474</v>
      </c>
      <c r="K164"/>
      <c r="L164"/>
      <c r="M164"/>
    </row>
    <row r="165" spans="1:13">
      <c r="A165" s="2" t="s">
        <v>503</v>
      </c>
      <c r="B165" t="s">
        <v>9492</v>
      </c>
      <c r="C165" t="s">
        <v>9440</v>
      </c>
      <c r="D165" t="s">
        <v>9474</v>
      </c>
      <c r="K165"/>
      <c r="L165"/>
      <c r="M165"/>
    </row>
    <row r="166" spans="1:13">
      <c r="A166" s="2" t="s">
        <v>510</v>
      </c>
      <c r="B166" t="s">
        <v>9492</v>
      </c>
      <c r="C166" t="s">
        <v>9440</v>
      </c>
      <c r="D166" t="s">
        <v>9474</v>
      </c>
      <c r="K166"/>
      <c r="L166"/>
      <c r="M166"/>
    </row>
    <row r="167" spans="1:13">
      <c r="A167" s="2" t="s">
        <v>519</v>
      </c>
      <c r="B167" t="s">
        <v>9492</v>
      </c>
      <c r="C167" t="s">
        <v>9440</v>
      </c>
      <c r="D167" t="s">
        <v>9474</v>
      </c>
      <c r="K167"/>
      <c r="L167"/>
      <c r="M167"/>
    </row>
    <row r="168" spans="1:13">
      <c r="A168" s="2" t="s">
        <v>485</v>
      </c>
      <c r="B168" t="s">
        <v>9492</v>
      </c>
      <c r="C168" t="s">
        <v>9440</v>
      </c>
      <c r="D168" t="s">
        <v>9474</v>
      </c>
      <c r="K168"/>
      <c r="L168"/>
      <c r="M168"/>
    </row>
    <row r="169" spans="1:13">
      <c r="A169" s="2" t="s">
        <v>496</v>
      </c>
      <c r="B169" t="s">
        <v>9492</v>
      </c>
      <c r="C169" t="s">
        <v>9440</v>
      </c>
      <c r="D169" t="s">
        <v>9474</v>
      </c>
      <c r="K169"/>
      <c r="L169"/>
      <c r="M169"/>
    </row>
    <row r="170" spans="1:13">
      <c r="A170" s="2" t="s">
        <v>528</v>
      </c>
      <c r="B170" t="s">
        <v>9492</v>
      </c>
      <c r="C170" t="s">
        <v>9440</v>
      </c>
      <c r="D170" t="s">
        <v>9474</v>
      </c>
      <c r="K170"/>
      <c r="L170"/>
      <c r="M170"/>
    </row>
    <row r="171" spans="1:13">
      <c r="A171" s="2" t="s">
        <v>529</v>
      </c>
      <c r="B171" t="s">
        <v>9492</v>
      </c>
      <c r="C171" t="s">
        <v>9440</v>
      </c>
      <c r="D171" t="s">
        <v>9474</v>
      </c>
      <c r="K171"/>
      <c r="L171"/>
      <c r="M171"/>
    </row>
    <row r="172" spans="1:13">
      <c r="A172" s="2" t="s">
        <v>499</v>
      </c>
      <c r="B172" t="s">
        <v>9492</v>
      </c>
      <c r="C172" t="s">
        <v>9440</v>
      </c>
      <c r="D172" t="s">
        <v>9474</v>
      </c>
      <c r="K172"/>
      <c r="L172"/>
      <c r="M172"/>
    </row>
    <row r="173" spans="1:13">
      <c r="A173" s="2" t="s">
        <v>487</v>
      </c>
      <c r="B173" t="s">
        <v>9492</v>
      </c>
      <c r="C173" t="s">
        <v>9440</v>
      </c>
      <c r="D173" t="s">
        <v>9474</v>
      </c>
      <c r="K173"/>
      <c r="L173"/>
      <c r="M173"/>
    </row>
    <row r="174" spans="1:13">
      <c r="A174" s="2" t="s">
        <v>512</v>
      </c>
      <c r="B174" t="s">
        <v>9492</v>
      </c>
      <c r="C174" t="s">
        <v>9440</v>
      </c>
      <c r="D174" t="s">
        <v>9474</v>
      </c>
      <c r="K174"/>
      <c r="L174"/>
      <c r="M174"/>
    </row>
    <row r="175" spans="1:13">
      <c r="A175" s="2" t="s">
        <v>530</v>
      </c>
      <c r="B175" t="s">
        <v>9492</v>
      </c>
      <c r="C175" t="s">
        <v>9440</v>
      </c>
      <c r="D175" t="s">
        <v>9474</v>
      </c>
      <c r="K175"/>
      <c r="L175"/>
      <c r="M175"/>
    </row>
    <row r="176" spans="1:13">
      <c r="A176" s="2" t="s">
        <v>491</v>
      </c>
      <c r="B176" t="s">
        <v>9492</v>
      </c>
      <c r="C176" t="s">
        <v>9440</v>
      </c>
      <c r="D176" t="s">
        <v>9474</v>
      </c>
      <c r="K176"/>
      <c r="L176"/>
      <c r="M176"/>
    </row>
    <row r="177" spans="1:13">
      <c r="A177" s="2" t="s">
        <v>511</v>
      </c>
      <c r="B177" t="s">
        <v>9492</v>
      </c>
      <c r="C177" t="s">
        <v>9440</v>
      </c>
      <c r="D177" t="s">
        <v>9474</v>
      </c>
      <c r="K177"/>
      <c r="L177"/>
      <c r="M177"/>
    </row>
    <row r="178" spans="1:13">
      <c r="A178" s="2" t="s">
        <v>490</v>
      </c>
      <c r="B178" t="s">
        <v>9492</v>
      </c>
      <c r="C178" t="s">
        <v>9440</v>
      </c>
      <c r="D178" t="s">
        <v>9474</v>
      </c>
      <c r="K178"/>
      <c r="L178"/>
      <c r="M178"/>
    </row>
    <row r="179" spans="1:13">
      <c r="A179" s="2" t="s">
        <v>522</v>
      </c>
      <c r="B179" t="s">
        <v>9492</v>
      </c>
      <c r="C179" t="s">
        <v>9440</v>
      </c>
      <c r="D179" t="s">
        <v>9474</v>
      </c>
      <c r="K179"/>
      <c r="L179"/>
      <c r="M179"/>
    </row>
    <row r="180" spans="1:13">
      <c r="A180" s="2" t="s">
        <v>502</v>
      </c>
      <c r="B180" t="s">
        <v>9492</v>
      </c>
      <c r="C180" t="s">
        <v>9440</v>
      </c>
      <c r="D180" t="s">
        <v>9474</v>
      </c>
      <c r="K180"/>
      <c r="L180"/>
      <c r="M180"/>
    </row>
    <row r="181" spans="1:13">
      <c r="A181" s="2" t="s">
        <v>505</v>
      </c>
      <c r="B181" t="s">
        <v>9492</v>
      </c>
      <c r="C181" t="s">
        <v>9440</v>
      </c>
      <c r="D181" t="s">
        <v>9474</v>
      </c>
      <c r="K181"/>
      <c r="L181"/>
      <c r="M181"/>
    </row>
    <row r="182" spans="1:13">
      <c r="A182" s="2" t="s">
        <v>492</v>
      </c>
      <c r="B182" t="s">
        <v>9492</v>
      </c>
      <c r="C182" t="s">
        <v>9440</v>
      </c>
      <c r="D182" t="s">
        <v>9474</v>
      </c>
      <c r="K182"/>
      <c r="L182"/>
      <c r="M182"/>
    </row>
    <row r="183" spans="1:13">
      <c r="A183" s="2" t="s">
        <v>515</v>
      </c>
      <c r="B183" t="s">
        <v>9492</v>
      </c>
      <c r="C183" t="s">
        <v>9440</v>
      </c>
      <c r="D183" t="s">
        <v>9474</v>
      </c>
      <c r="K183"/>
      <c r="L183"/>
      <c r="M183"/>
    </row>
    <row r="184" spans="1:13">
      <c r="A184" s="2" t="s">
        <v>488</v>
      </c>
      <c r="B184" t="s">
        <v>9492</v>
      </c>
      <c r="C184" t="s">
        <v>9440</v>
      </c>
      <c r="D184" t="s">
        <v>9474</v>
      </c>
      <c r="K184"/>
      <c r="L184"/>
      <c r="M184"/>
    </row>
    <row r="185" spans="1:13">
      <c r="A185" s="2" t="s">
        <v>439</v>
      </c>
      <c r="B185" t="s">
        <v>9493</v>
      </c>
      <c r="C185" t="s">
        <v>9432</v>
      </c>
      <c r="D185" t="s">
        <v>9474</v>
      </c>
      <c r="K185"/>
      <c r="L185"/>
      <c r="M185"/>
    </row>
    <row r="186" spans="1:13">
      <c r="A186" s="2" t="s">
        <v>631</v>
      </c>
      <c r="B186" t="s">
        <v>9493</v>
      </c>
      <c r="C186" t="s">
        <v>9432</v>
      </c>
      <c r="D186" t="s">
        <v>9474</v>
      </c>
      <c r="K186"/>
      <c r="L186"/>
      <c r="M186"/>
    </row>
    <row r="187" spans="1:13">
      <c r="A187" s="2" t="s">
        <v>383</v>
      </c>
      <c r="B187" t="s">
        <v>9493</v>
      </c>
      <c r="C187" t="s">
        <v>9432</v>
      </c>
      <c r="D187" t="s">
        <v>9474</v>
      </c>
      <c r="K187"/>
      <c r="L187"/>
      <c r="M187"/>
    </row>
    <row r="188" spans="1:13">
      <c r="A188" s="2" t="s">
        <v>421</v>
      </c>
      <c r="B188" t="s">
        <v>9493</v>
      </c>
      <c r="C188" t="s">
        <v>9432</v>
      </c>
      <c r="D188" t="s">
        <v>9474</v>
      </c>
      <c r="K188"/>
      <c r="L188"/>
      <c r="M188"/>
    </row>
    <row r="189" spans="1:13">
      <c r="A189" s="2" t="s">
        <v>428</v>
      </c>
      <c r="B189" t="s">
        <v>9493</v>
      </c>
      <c r="C189" t="s">
        <v>9432</v>
      </c>
      <c r="D189" t="s">
        <v>9474</v>
      </c>
      <c r="K189"/>
      <c r="L189"/>
      <c r="M189"/>
    </row>
    <row r="190" spans="1:13">
      <c r="A190" s="2" t="s">
        <v>429</v>
      </c>
      <c r="B190" t="s">
        <v>9493</v>
      </c>
      <c r="C190" t="s">
        <v>9432</v>
      </c>
      <c r="D190" t="s">
        <v>9474</v>
      </c>
      <c r="K190"/>
      <c r="L190"/>
      <c r="M190"/>
    </row>
    <row r="191" spans="1:13">
      <c r="A191" s="2" t="s">
        <v>416</v>
      </c>
      <c r="B191" t="s">
        <v>9493</v>
      </c>
      <c r="C191" t="s">
        <v>9471</v>
      </c>
      <c r="D191" t="s">
        <v>9475</v>
      </c>
      <c r="K191"/>
      <c r="L191"/>
      <c r="M191"/>
    </row>
    <row r="192" spans="1:13">
      <c r="A192" s="2" t="s">
        <v>405</v>
      </c>
      <c r="B192" t="s">
        <v>9493</v>
      </c>
      <c r="C192" t="s">
        <v>9432</v>
      </c>
      <c r="D192" t="s">
        <v>9474</v>
      </c>
      <c r="K192"/>
      <c r="L192"/>
      <c r="M192"/>
    </row>
    <row r="193" spans="1:13">
      <c r="A193" s="2" t="s">
        <v>477</v>
      </c>
      <c r="B193" t="s">
        <v>9493</v>
      </c>
      <c r="C193" t="s">
        <v>9432</v>
      </c>
      <c r="D193" t="s">
        <v>9474</v>
      </c>
      <c r="K193"/>
      <c r="L193"/>
      <c r="M193"/>
    </row>
    <row r="194" spans="1:13">
      <c r="A194" s="2" t="s">
        <v>637</v>
      </c>
      <c r="B194" t="s">
        <v>9493</v>
      </c>
      <c r="C194" t="s">
        <v>9432</v>
      </c>
      <c r="D194" t="s">
        <v>9474</v>
      </c>
      <c r="K194"/>
      <c r="L194"/>
      <c r="M194"/>
    </row>
    <row r="195" spans="1:13">
      <c r="A195" s="2" t="s">
        <v>658</v>
      </c>
      <c r="B195" t="s">
        <v>9493</v>
      </c>
      <c r="C195" t="s">
        <v>9432</v>
      </c>
      <c r="D195" t="s">
        <v>9474</v>
      </c>
      <c r="K195"/>
      <c r="L195"/>
      <c r="M195"/>
    </row>
    <row r="196" spans="1:13">
      <c r="A196" s="2" t="s">
        <v>461</v>
      </c>
      <c r="B196" t="s">
        <v>9493</v>
      </c>
      <c r="C196" t="s">
        <v>9432</v>
      </c>
      <c r="D196" t="s">
        <v>9474</v>
      </c>
      <c r="K196"/>
      <c r="L196"/>
      <c r="M196"/>
    </row>
    <row r="197" spans="1:13">
      <c r="A197" s="2" t="s">
        <v>408</v>
      </c>
      <c r="B197" t="s">
        <v>9493</v>
      </c>
      <c r="C197" t="s">
        <v>9432</v>
      </c>
      <c r="D197" t="s">
        <v>9474</v>
      </c>
      <c r="K197"/>
      <c r="L197"/>
      <c r="M197"/>
    </row>
    <row r="198" spans="1:13">
      <c r="A198" s="2" t="s">
        <v>412</v>
      </c>
      <c r="B198" t="s">
        <v>9493</v>
      </c>
      <c r="C198" t="s">
        <v>9432</v>
      </c>
      <c r="D198" t="s">
        <v>9474</v>
      </c>
      <c r="K198"/>
      <c r="L198"/>
      <c r="M198"/>
    </row>
    <row r="199" spans="1:13">
      <c r="A199" s="2" t="s">
        <v>394</v>
      </c>
      <c r="B199" t="s">
        <v>9493</v>
      </c>
      <c r="C199" t="s">
        <v>9432</v>
      </c>
      <c r="D199" t="s">
        <v>9474</v>
      </c>
      <c r="K199"/>
      <c r="L199"/>
      <c r="M199"/>
    </row>
    <row r="200" spans="1:13">
      <c r="A200" s="2" t="s">
        <v>407</v>
      </c>
      <c r="B200" t="s">
        <v>9493</v>
      </c>
      <c r="C200" t="s">
        <v>9439</v>
      </c>
      <c r="D200" t="s">
        <v>9474</v>
      </c>
      <c r="K200"/>
      <c r="L200"/>
      <c r="M200"/>
    </row>
    <row r="201" spans="1:13">
      <c r="A201" s="2" t="s">
        <v>444</v>
      </c>
      <c r="B201" t="s">
        <v>9493</v>
      </c>
      <c r="C201" t="s">
        <v>9432</v>
      </c>
      <c r="D201" t="s">
        <v>9474</v>
      </c>
      <c r="K201"/>
      <c r="L201"/>
      <c r="M201"/>
    </row>
    <row r="202" spans="1:13">
      <c r="A202" s="2" t="s">
        <v>443</v>
      </c>
      <c r="B202" t="s">
        <v>9493</v>
      </c>
      <c r="C202" t="s">
        <v>9432</v>
      </c>
      <c r="D202" t="s">
        <v>9474</v>
      </c>
      <c r="K202"/>
      <c r="L202"/>
      <c r="M202"/>
    </row>
    <row r="203" spans="1:13">
      <c r="A203" s="2" t="s">
        <v>442</v>
      </c>
      <c r="B203" t="s">
        <v>9493</v>
      </c>
      <c r="C203" t="s">
        <v>9432</v>
      </c>
      <c r="D203" t="s">
        <v>9474</v>
      </c>
      <c r="K203"/>
      <c r="L203"/>
      <c r="M203"/>
    </row>
    <row r="204" spans="1:13">
      <c r="A204" s="2" t="s">
        <v>441</v>
      </c>
      <c r="B204" t="s">
        <v>9493</v>
      </c>
      <c r="C204" t="s">
        <v>9432</v>
      </c>
      <c r="D204" t="s">
        <v>9474</v>
      </c>
      <c r="K204"/>
      <c r="L204"/>
      <c r="M204"/>
    </row>
    <row r="205" spans="1:13">
      <c r="A205" s="2" t="s">
        <v>440</v>
      </c>
      <c r="B205" t="s">
        <v>9493</v>
      </c>
      <c r="C205" t="s">
        <v>9432</v>
      </c>
      <c r="D205" t="s">
        <v>9474</v>
      </c>
      <c r="K205"/>
      <c r="L205"/>
      <c r="M205"/>
    </row>
    <row r="206" spans="1:13">
      <c r="A206" s="2" t="s">
        <v>446</v>
      </c>
      <c r="B206" t="s">
        <v>9493</v>
      </c>
      <c r="C206" t="s">
        <v>9432</v>
      </c>
      <c r="D206" t="s">
        <v>9474</v>
      </c>
      <c r="K206"/>
      <c r="L206"/>
      <c r="M206"/>
    </row>
    <row r="207" spans="1:13">
      <c r="A207" s="2" t="s">
        <v>413</v>
      </c>
      <c r="B207" t="s">
        <v>9493</v>
      </c>
      <c r="C207" t="s">
        <v>9432</v>
      </c>
      <c r="D207" t="s">
        <v>9474</v>
      </c>
      <c r="K207"/>
      <c r="L207"/>
      <c r="M207"/>
    </row>
    <row r="208" spans="1:13">
      <c r="A208" s="2" t="s">
        <v>469</v>
      </c>
      <c r="B208" t="s">
        <v>9493</v>
      </c>
      <c r="C208" t="s">
        <v>9432</v>
      </c>
      <c r="D208" t="s">
        <v>9474</v>
      </c>
      <c r="K208"/>
      <c r="L208"/>
      <c r="M208"/>
    </row>
    <row r="209" spans="1:13">
      <c r="A209" s="2" t="s">
        <v>453</v>
      </c>
      <c r="B209" t="s">
        <v>9493</v>
      </c>
      <c r="C209" t="s">
        <v>9432</v>
      </c>
      <c r="D209" t="s">
        <v>9474</v>
      </c>
      <c r="K209"/>
      <c r="L209"/>
      <c r="M209"/>
    </row>
    <row r="210" spans="1:13">
      <c r="A210" s="2" t="s">
        <v>662</v>
      </c>
      <c r="B210" t="s">
        <v>9493</v>
      </c>
      <c r="C210" t="s">
        <v>9432</v>
      </c>
      <c r="D210" t="s">
        <v>9474</v>
      </c>
      <c r="K210"/>
      <c r="L210"/>
      <c r="M210"/>
    </row>
    <row r="211" spans="1:13">
      <c r="A211" s="2" t="s">
        <v>462</v>
      </c>
      <c r="B211" t="s">
        <v>9493</v>
      </c>
      <c r="C211" t="s">
        <v>9432</v>
      </c>
      <c r="D211" t="s">
        <v>9474</v>
      </c>
      <c r="K211"/>
      <c r="L211"/>
      <c r="M211"/>
    </row>
    <row r="212" spans="1:13">
      <c r="A212" s="2" t="s">
        <v>464</v>
      </c>
      <c r="B212" t="s">
        <v>9493</v>
      </c>
      <c r="C212" t="s">
        <v>9432</v>
      </c>
      <c r="D212" t="s">
        <v>9474</v>
      </c>
      <c r="K212"/>
      <c r="L212"/>
      <c r="M212"/>
    </row>
    <row r="213" spans="1:13">
      <c r="A213" s="2" t="s">
        <v>463</v>
      </c>
      <c r="B213" t="s">
        <v>9493</v>
      </c>
      <c r="C213" t="s">
        <v>9432</v>
      </c>
      <c r="D213" t="s">
        <v>9474</v>
      </c>
      <c r="K213"/>
      <c r="L213"/>
      <c r="M213"/>
    </row>
    <row r="214" spans="1:13">
      <c r="A214" s="2" t="s">
        <v>388</v>
      </c>
      <c r="B214" t="s">
        <v>9493</v>
      </c>
      <c r="C214" t="s">
        <v>9432</v>
      </c>
      <c r="D214" t="s">
        <v>9474</v>
      </c>
      <c r="K214"/>
      <c r="L214"/>
      <c r="M214"/>
    </row>
    <row r="215" spans="1:13">
      <c r="A215" s="2" t="s">
        <v>476</v>
      </c>
      <c r="B215" t="s">
        <v>9493</v>
      </c>
      <c r="C215" t="s">
        <v>9432</v>
      </c>
      <c r="D215" t="s">
        <v>9474</v>
      </c>
      <c r="K215"/>
      <c r="L215"/>
      <c r="M215"/>
    </row>
    <row r="216" spans="1:13">
      <c r="A216" s="2" t="s">
        <v>422</v>
      </c>
      <c r="B216" t="s">
        <v>9493</v>
      </c>
      <c r="C216" t="s">
        <v>9432</v>
      </c>
      <c r="D216" t="s">
        <v>9474</v>
      </c>
      <c r="K216"/>
      <c r="L216"/>
      <c r="M216"/>
    </row>
    <row r="217" spans="1:13">
      <c r="A217" s="2" t="s">
        <v>419</v>
      </c>
      <c r="B217" t="s">
        <v>9493</v>
      </c>
      <c r="C217" t="s">
        <v>9432</v>
      </c>
      <c r="D217" t="s">
        <v>9474</v>
      </c>
      <c r="K217"/>
      <c r="L217"/>
      <c r="M217"/>
    </row>
    <row r="218" spans="1:13">
      <c r="A218" s="2" t="s">
        <v>417</v>
      </c>
      <c r="B218" t="s">
        <v>9493</v>
      </c>
      <c r="C218" t="s">
        <v>9432</v>
      </c>
      <c r="D218" t="s">
        <v>9474</v>
      </c>
      <c r="K218"/>
      <c r="L218"/>
      <c r="M218"/>
    </row>
    <row r="219" spans="1:13">
      <c r="A219" s="2" t="s">
        <v>465</v>
      </c>
      <c r="B219" t="s">
        <v>9493</v>
      </c>
      <c r="C219" t="s">
        <v>9432</v>
      </c>
      <c r="D219" t="s">
        <v>9474</v>
      </c>
      <c r="K219"/>
      <c r="L219"/>
      <c r="M219"/>
    </row>
    <row r="220" spans="1:13">
      <c r="A220" s="2" t="s">
        <v>471</v>
      </c>
      <c r="B220" t="s">
        <v>9493</v>
      </c>
      <c r="C220" t="s">
        <v>9432</v>
      </c>
      <c r="D220" t="s">
        <v>9474</v>
      </c>
      <c r="K220"/>
      <c r="L220"/>
      <c r="M220"/>
    </row>
    <row r="221" spans="1:13">
      <c r="A221" s="2" t="s">
        <v>423</v>
      </c>
      <c r="B221" t="s">
        <v>9493</v>
      </c>
      <c r="C221" t="s">
        <v>9432</v>
      </c>
      <c r="D221" t="s">
        <v>9474</v>
      </c>
      <c r="K221"/>
      <c r="L221"/>
      <c r="M221"/>
    </row>
    <row r="222" spans="1:13">
      <c r="A222" s="2" t="s">
        <v>435</v>
      </c>
      <c r="B222" t="s">
        <v>9493</v>
      </c>
      <c r="C222" t="s">
        <v>9471</v>
      </c>
      <c r="D222" t="s">
        <v>9475</v>
      </c>
      <c r="K222"/>
      <c r="L222"/>
      <c r="M222"/>
    </row>
    <row r="223" spans="1:13">
      <c r="A223" s="2" t="s">
        <v>447</v>
      </c>
      <c r="B223" t="s">
        <v>9493</v>
      </c>
      <c r="C223" t="s">
        <v>9432</v>
      </c>
      <c r="D223" t="s">
        <v>9474</v>
      </c>
      <c r="K223"/>
      <c r="L223"/>
      <c r="M223"/>
    </row>
    <row r="224" spans="1:13">
      <c r="A224" s="2" t="s">
        <v>661</v>
      </c>
      <c r="B224" t="s">
        <v>9493</v>
      </c>
      <c r="C224" t="s">
        <v>9432</v>
      </c>
      <c r="D224" t="s">
        <v>9474</v>
      </c>
      <c r="K224"/>
      <c r="L224"/>
      <c r="M224"/>
    </row>
    <row r="225" spans="1:13">
      <c r="A225" s="2" t="s">
        <v>387</v>
      </c>
      <c r="B225" t="s">
        <v>9493</v>
      </c>
      <c r="C225" t="s">
        <v>9471</v>
      </c>
      <c r="D225" t="s">
        <v>9475</v>
      </c>
      <c r="K225"/>
      <c r="L225"/>
      <c r="M225"/>
    </row>
    <row r="226" spans="1:13">
      <c r="A226" s="2" t="s">
        <v>410</v>
      </c>
      <c r="B226" t="s">
        <v>9493</v>
      </c>
      <c r="C226" t="s">
        <v>9432</v>
      </c>
      <c r="D226" t="s">
        <v>9474</v>
      </c>
      <c r="K226"/>
      <c r="L226"/>
      <c r="M226"/>
    </row>
    <row r="227" spans="1:13">
      <c r="A227" s="2" t="s">
        <v>389</v>
      </c>
      <c r="B227" t="s">
        <v>9493</v>
      </c>
      <c r="C227" t="s">
        <v>9432</v>
      </c>
      <c r="D227" t="s">
        <v>9474</v>
      </c>
      <c r="K227"/>
      <c r="L227"/>
      <c r="M227"/>
    </row>
    <row r="228" spans="1:13">
      <c r="A228" s="2" t="s">
        <v>402</v>
      </c>
      <c r="B228" t="s">
        <v>9493</v>
      </c>
      <c r="C228" t="s">
        <v>9432</v>
      </c>
      <c r="D228" t="s">
        <v>9474</v>
      </c>
      <c r="K228"/>
      <c r="L228"/>
      <c r="M228"/>
    </row>
    <row r="229" spans="1:13">
      <c r="A229" s="2" t="s">
        <v>395</v>
      </c>
      <c r="B229" t="s">
        <v>9493</v>
      </c>
      <c r="C229" t="s">
        <v>9432</v>
      </c>
      <c r="D229" t="s">
        <v>9474</v>
      </c>
      <c r="K229"/>
      <c r="L229"/>
      <c r="M229"/>
    </row>
    <row r="230" spans="1:13">
      <c r="A230" s="2" t="s">
        <v>403</v>
      </c>
      <c r="B230" t="s">
        <v>9493</v>
      </c>
      <c r="C230" t="s">
        <v>9432</v>
      </c>
      <c r="D230" t="s">
        <v>9474</v>
      </c>
      <c r="K230"/>
      <c r="L230"/>
      <c r="M230"/>
    </row>
    <row r="231" spans="1:13">
      <c r="A231" s="2" t="s">
        <v>454</v>
      </c>
      <c r="B231" t="s">
        <v>9493</v>
      </c>
      <c r="C231" t="s">
        <v>9432</v>
      </c>
      <c r="D231" t="s">
        <v>9474</v>
      </c>
      <c r="K231"/>
      <c r="L231"/>
      <c r="M231"/>
    </row>
    <row r="232" spans="1:13">
      <c r="A232" s="2" t="s">
        <v>472</v>
      </c>
      <c r="B232" t="s">
        <v>9493</v>
      </c>
      <c r="C232" t="s">
        <v>9471</v>
      </c>
      <c r="D232" t="s">
        <v>9475</v>
      </c>
      <c r="K232"/>
      <c r="L232"/>
      <c r="M232"/>
    </row>
    <row r="233" spans="1:13">
      <c r="A233" s="2" t="s">
        <v>404</v>
      </c>
      <c r="B233" t="s">
        <v>9493</v>
      </c>
      <c r="C233" t="s">
        <v>9432</v>
      </c>
      <c r="D233" t="s">
        <v>9474</v>
      </c>
      <c r="K233"/>
      <c r="L233"/>
      <c r="M233"/>
    </row>
    <row r="234" spans="1:13">
      <c r="A234" s="2" t="s">
        <v>401</v>
      </c>
      <c r="B234" t="s">
        <v>9493</v>
      </c>
      <c r="C234" t="s">
        <v>9471</v>
      </c>
      <c r="D234" t="s">
        <v>9478</v>
      </c>
      <c r="K234"/>
      <c r="L234"/>
      <c r="M234"/>
    </row>
    <row r="235" spans="1:13">
      <c r="A235" s="2" t="s">
        <v>386</v>
      </c>
      <c r="B235" t="s">
        <v>9493</v>
      </c>
      <c r="C235" t="s">
        <v>9432</v>
      </c>
      <c r="D235" t="s">
        <v>9474</v>
      </c>
      <c r="K235"/>
      <c r="L235"/>
      <c r="M235"/>
    </row>
    <row r="236" spans="1:13">
      <c r="A236" s="2" t="s">
        <v>379</v>
      </c>
      <c r="B236" t="s">
        <v>9493</v>
      </c>
      <c r="C236" t="s">
        <v>9432</v>
      </c>
      <c r="D236" t="s">
        <v>9474</v>
      </c>
      <c r="K236"/>
      <c r="L236"/>
      <c r="M236"/>
    </row>
    <row r="237" spans="1:13">
      <c r="A237" s="2" t="s">
        <v>380</v>
      </c>
      <c r="B237" t="s">
        <v>9493</v>
      </c>
      <c r="C237" t="s">
        <v>9432</v>
      </c>
      <c r="D237" t="s">
        <v>9474</v>
      </c>
      <c r="K237"/>
      <c r="L237"/>
      <c r="M237"/>
    </row>
    <row r="238" spans="1:13">
      <c r="A238" s="2" t="s">
        <v>629</v>
      </c>
      <c r="B238" t="s">
        <v>9493</v>
      </c>
      <c r="C238" t="s">
        <v>9432</v>
      </c>
      <c r="D238" t="s">
        <v>9474</v>
      </c>
      <c r="K238"/>
      <c r="L238"/>
      <c r="M238"/>
    </row>
    <row r="239" spans="1:13">
      <c r="A239" s="2" t="s">
        <v>473</v>
      </c>
      <c r="B239" t="s">
        <v>9493</v>
      </c>
      <c r="C239" t="s">
        <v>9432</v>
      </c>
      <c r="D239" t="s">
        <v>9474</v>
      </c>
      <c r="K239"/>
      <c r="L239"/>
      <c r="M239"/>
    </row>
    <row r="240" spans="1:13">
      <c r="A240" s="2" t="s">
        <v>628</v>
      </c>
      <c r="B240" t="s">
        <v>9493</v>
      </c>
      <c r="C240" t="s">
        <v>9471</v>
      </c>
      <c r="D240" t="s">
        <v>9478</v>
      </c>
      <c r="K240"/>
      <c r="L240"/>
      <c r="M240"/>
    </row>
    <row r="241" spans="1:13">
      <c r="A241" s="2" t="s">
        <v>466</v>
      </c>
      <c r="B241" t="s">
        <v>9493</v>
      </c>
      <c r="C241" t="s">
        <v>9471</v>
      </c>
      <c r="D241" t="s">
        <v>9478</v>
      </c>
      <c r="K241"/>
      <c r="L241"/>
      <c r="M241"/>
    </row>
    <row r="242" spans="1:13">
      <c r="A242" s="2" t="s">
        <v>663</v>
      </c>
      <c r="B242" t="s">
        <v>9493</v>
      </c>
      <c r="C242" t="s">
        <v>9432</v>
      </c>
      <c r="D242" t="s">
        <v>9474</v>
      </c>
      <c r="K242"/>
      <c r="L242"/>
      <c r="M242"/>
    </row>
    <row r="243" spans="1:13">
      <c r="A243" s="2" t="s">
        <v>664</v>
      </c>
      <c r="B243" t="s">
        <v>9493</v>
      </c>
      <c r="C243" t="s">
        <v>9471</v>
      </c>
      <c r="D243" t="s">
        <v>9478</v>
      </c>
      <c r="K243"/>
      <c r="L243"/>
      <c r="M243"/>
    </row>
    <row r="244" spans="1:13">
      <c r="A244" s="2" t="s">
        <v>455</v>
      </c>
      <c r="B244" t="s">
        <v>9493</v>
      </c>
      <c r="C244" t="s">
        <v>9432</v>
      </c>
      <c r="D244" t="s">
        <v>9474</v>
      </c>
      <c r="K244"/>
      <c r="L244"/>
      <c r="M244"/>
    </row>
    <row r="245" spans="1:13">
      <c r="A245" s="2" t="s">
        <v>458</v>
      </c>
      <c r="B245" t="s">
        <v>9493</v>
      </c>
      <c r="C245" t="s">
        <v>9432</v>
      </c>
      <c r="D245" t="s">
        <v>9474</v>
      </c>
      <c r="K245"/>
      <c r="L245"/>
      <c r="M245"/>
    </row>
    <row r="246" spans="1:13">
      <c r="A246" s="2" t="s">
        <v>459</v>
      </c>
      <c r="B246" t="s">
        <v>9493</v>
      </c>
      <c r="C246" t="s">
        <v>9432</v>
      </c>
      <c r="D246" t="s">
        <v>9474</v>
      </c>
      <c r="K246"/>
      <c r="L246"/>
      <c r="M246"/>
    </row>
    <row r="247" spans="1:13">
      <c r="A247" s="2" t="s">
        <v>409</v>
      </c>
      <c r="B247" t="s">
        <v>9493</v>
      </c>
      <c r="C247" t="s">
        <v>9432</v>
      </c>
      <c r="D247" t="s">
        <v>9474</v>
      </c>
      <c r="K247"/>
      <c r="L247"/>
      <c r="M247"/>
    </row>
    <row r="248" spans="1:13">
      <c r="A248" s="2" t="s">
        <v>456</v>
      </c>
      <c r="B248" t="s">
        <v>9493</v>
      </c>
      <c r="C248" t="s">
        <v>9432</v>
      </c>
      <c r="D248" t="s">
        <v>9474</v>
      </c>
      <c r="K248"/>
      <c r="L248"/>
      <c r="M248"/>
    </row>
    <row r="249" spans="1:13">
      <c r="A249" s="2" t="s">
        <v>381</v>
      </c>
      <c r="B249" t="s">
        <v>9493</v>
      </c>
      <c r="C249" t="s">
        <v>9432</v>
      </c>
      <c r="D249" t="s">
        <v>9474</v>
      </c>
      <c r="K249"/>
      <c r="L249"/>
      <c r="M249"/>
    </row>
    <row r="250" spans="1:13">
      <c r="A250" s="2" t="s">
        <v>382</v>
      </c>
      <c r="B250" t="s">
        <v>9493</v>
      </c>
      <c r="C250" t="s">
        <v>9432</v>
      </c>
      <c r="D250" t="s">
        <v>9474</v>
      </c>
      <c r="K250"/>
      <c r="L250"/>
      <c r="M250"/>
    </row>
    <row r="251" spans="1:13">
      <c r="A251" s="2" t="s">
        <v>460</v>
      </c>
      <c r="B251" t="s">
        <v>9493</v>
      </c>
      <c r="C251" t="s">
        <v>9432</v>
      </c>
      <c r="D251" t="s">
        <v>9474</v>
      </c>
      <c r="K251"/>
      <c r="L251"/>
      <c r="M251"/>
    </row>
    <row r="252" spans="1:13">
      <c r="A252" s="2" t="s">
        <v>630</v>
      </c>
      <c r="B252" t="s">
        <v>9493</v>
      </c>
      <c r="C252" t="s">
        <v>9432</v>
      </c>
      <c r="D252" t="s">
        <v>9474</v>
      </c>
      <c r="K252"/>
      <c r="L252"/>
      <c r="M252"/>
    </row>
    <row r="253" spans="1:13">
      <c r="A253" s="2" t="s">
        <v>640</v>
      </c>
      <c r="B253" t="s">
        <v>9493</v>
      </c>
      <c r="C253" t="s">
        <v>9432</v>
      </c>
      <c r="D253" t="s">
        <v>9474</v>
      </c>
      <c r="K253"/>
      <c r="L253"/>
      <c r="M253"/>
    </row>
    <row r="254" spans="1:13">
      <c r="A254" s="2" t="s">
        <v>418</v>
      </c>
      <c r="B254" t="s">
        <v>9493</v>
      </c>
      <c r="C254" t="s">
        <v>9432</v>
      </c>
      <c r="D254" t="s">
        <v>9474</v>
      </c>
      <c r="K254"/>
      <c r="L254"/>
      <c r="M254"/>
    </row>
    <row r="255" spans="1:13">
      <c r="A255" s="2" t="s">
        <v>434</v>
      </c>
      <c r="B255" t="s">
        <v>9493</v>
      </c>
      <c r="C255" t="s">
        <v>9432</v>
      </c>
      <c r="D255" t="s">
        <v>9474</v>
      </c>
      <c r="K255"/>
      <c r="L255"/>
      <c r="M255"/>
    </row>
    <row r="256" spans="1:13">
      <c r="A256" s="2" t="s">
        <v>414</v>
      </c>
      <c r="B256" t="s">
        <v>9493</v>
      </c>
      <c r="C256" t="s">
        <v>9432</v>
      </c>
      <c r="D256" t="s">
        <v>9474</v>
      </c>
      <c r="K256"/>
      <c r="L256"/>
      <c r="M256"/>
    </row>
    <row r="257" spans="1:13">
      <c r="A257" s="2" t="s">
        <v>399</v>
      </c>
      <c r="B257" t="s">
        <v>9493</v>
      </c>
      <c r="C257" t="s">
        <v>9432</v>
      </c>
      <c r="D257" t="s">
        <v>9474</v>
      </c>
      <c r="K257"/>
      <c r="L257"/>
      <c r="M257"/>
    </row>
    <row r="258" spans="1:13">
      <c r="A258" s="2" t="s">
        <v>398</v>
      </c>
      <c r="B258" t="s">
        <v>9493</v>
      </c>
      <c r="C258" t="s">
        <v>9471</v>
      </c>
      <c r="D258" t="s">
        <v>9478</v>
      </c>
      <c r="K258"/>
      <c r="L258"/>
      <c r="M258"/>
    </row>
    <row r="259" spans="1:13">
      <c r="A259" s="2" t="s">
        <v>397</v>
      </c>
      <c r="B259" t="s">
        <v>9493</v>
      </c>
      <c r="C259" t="s">
        <v>9432</v>
      </c>
      <c r="D259" t="s">
        <v>9474</v>
      </c>
      <c r="K259"/>
      <c r="L259"/>
      <c r="M259"/>
    </row>
    <row r="260" spans="1:13">
      <c r="A260" s="2" t="s">
        <v>448</v>
      </c>
      <c r="B260" t="s">
        <v>9493</v>
      </c>
      <c r="C260" t="s">
        <v>9432</v>
      </c>
      <c r="D260" t="s">
        <v>9474</v>
      </c>
      <c r="K260"/>
      <c r="L260"/>
      <c r="M260"/>
    </row>
    <row r="261" spans="1:13">
      <c r="A261" s="2" t="s">
        <v>449</v>
      </c>
      <c r="B261" t="s">
        <v>9493</v>
      </c>
      <c r="C261" t="s">
        <v>9432</v>
      </c>
      <c r="D261" t="s">
        <v>9474</v>
      </c>
      <c r="K261"/>
      <c r="L261"/>
      <c r="M261"/>
    </row>
    <row r="262" spans="1:13">
      <c r="A262" s="2" t="s">
        <v>656</v>
      </c>
      <c r="B262" t="s">
        <v>9493</v>
      </c>
      <c r="C262" t="s">
        <v>9432</v>
      </c>
      <c r="D262" t="s">
        <v>9474</v>
      </c>
      <c r="K262"/>
      <c r="L262"/>
      <c r="M262"/>
    </row>
    <row r="263" spans="1:13">
      <c r="A263" s="2" t="s">
        <v>665</v>
      </c>
      <c r="B263" t="s">
        <v>9493</v>
      </c>
      <c r="C263" t="s">
        <v>9432</v>
      </c>
      <c r="D263" t="s">
        <v>9474</v>
      </c>
      <c r="K263"/>
      <c r="L263"/>
      <c r="M263"/>
    </row>
    <row r="264" spans="1:13">
      <c r="A264" s="2" t="s">
        <v>653</v>
      </c>
      <c r="B264" t="s">
        <v>9493</v>
      </c>
      <c r="C264" t="s">
        <v>9471</v>
      </c>
      <c r="D264" t="s">
        <v>9478</v>
      </c>
      <c r="K264"/>
      <c r="L264"/>
      <c r="M264"/>
    </row>
    <row r="265" spans="1:13">
      <c r="A265" s="2" t="s">
        <v>652</v>
      </c>
      <c r="B265" t="s">
        <v>9493</v>
      </c>
      <c r="C265" t="s">
        <v>9471</v>
      </c>
      <c r="D265" t="s">
        <v>9478</v>
      </c>
      <c r="K265"/>
      <c r="L265"/>
      <c r="M265"/>
    </row>
    <row r="266" spans="1:13">
      <c r="A266" s="2" t="s">
        <v>654</v>
      </c>
      <c r="B266" t="s">
        <v>9493</v>
      </c>
      <c r="C266" t="s">
        <v>9432</v>
      </c>
      <c r="D266" t="s">
        <v>9474</v>
      </c>
      <c r="K266"/>
      <c r="L266"/>
      <c r="M266"/>
    </row>
    <row r="267" spans="1:13">
      <c r="A267" s="2" t="s">
        <v>660</v>
      </c>
      <c r="B267" t="s">
        <v>9493</v>
      </c>
      <c r="C267" t="s">
        <v>9432</v>
      </c>
      <c r="D267" t="s">
        <v>9474</v>
      </c>
      <c r="K267"/>
      <c r="L267"/>
      <c r="M267"/>
    </row>
    <row r="268" spans="1:13">
      <c r="A268" s="2" t="s">
        <v>659</v>
      </c>
      <c r="B268" t="s">
        <v>9493</v>
      </c>
      <c r="C268" t="s">
        <v>9471</v>
      </c>
      <c r="D268" t="s">
        <v>9478</v>
      </c>
      <c r="K268"/>
      <c r="L268"/>
      <c r="M268"/>
    </row>
    <row r="269" spans="1:13">
      <c r="A269" s="2" t="s">
        <v>400</v>
      </c>
      <c r="B269" t="s">
        <v>9493</v>
      </c>
      <c r="C269" t="s">
        <v>9432</v>
      </c>
      <c r="D269" t="s">
        <v>9474</v>
      </c>
      <c r="K269"/>
      <c r="L269"/>
      <c r="M269"/>
    </row>
    <row r="270" spans="1:13">
      <c r="A270" s="2" t="s">
        <v>639</v>
      </c>
      <c r="B270" t="s">
        <v>9493</v>
      </c>
      <c r="C270" t="s">
        <v>9432</v>
      </c>
      <c r="D270" t="s">
        <v>9474</v>
      </c>
      <c r="K270"/>
      <c r="L270"/>
      <c r="M270"/>
    </row>
    <row r="271" spans="1:13">
      <c r="A271" s="2" t="s">
        <v>450</v>
      </c>
      <c r="B271" t="s">
        <v>9493</v>
      </c>
      <c r="C271" t="s">
        <v>9432</v>
      </c>
      <c r="D271" t="s">
        <v>9474</v>
      </c>
      <c r="K271"/>
      <c r="L271"/>
      <c r="M271"/>
    </row>
    <row r="272" spans="1:13">
      <c r="A272" s="2" t="s">
        <v>632</v>
      </c>
      <c r="B272" t="s">
        <v>9493</v>
      </c>
      <c r="C272" t="s">
        <v>9432</v>
      </c>
      <c r="D272" t="s">
        <v>9474</v>
      </c>
      <c r="K272"/>
      <c r="L272"/>
      <c r="M272"/>
    </row>
    <row r="273" spans="1:13">
      <c r="A273" s="2" t="s">
        <v>633</v>
      </c>
      <c r="B273" t="s">
        <v>9493</v>
      </c>
      <c r="C273" t="s">
        <v>9432</v>
      </c>
      <c r="D273" t="s">
        <v>9474</v>
      </c>
      <c r="K273"/>
      <c r="L273"/>
      <c r="M273"/>
    </row>
    <row r="274" spans="1:13">
      <c r="A274" s="2" t="s">
        <v>634</v>
      </c>
      <c r="B274" t="s">
        <v>9493</v>
      </c>
      <c r="C274" t="s">
        <v>9432</v>
      </c>
      <c r="D274" t="s">
        <v>9474</v>
      </c>
      <c r="K274"/>
      <c r="L274"/>
      <c r="M274"/>
    </row>
    <row r="275" spans="1:13">
      <c r="A275" s="2" t="s">
        <v>638</v>
      </c>
      <c r="B275" t="s">
        <v>9493</v>
      </c>
      <c r="C275" t="s">
        <v>9432</v>
      </c>
      <c r="D275" t="s">
        <v>9474</v>
      </c>
      <c r="K275"/>
      <c r="L275"/>
      <c r="M275"/>
    </row>
    <row r="276" spans="1:13">
      <c r="A276" s="2" t="s">
        <v>411</v>
      </c>
      <c r="B276" t="s">
        <v>9493</v>
      </c>
      <c r="C276" t="s">
        <v>9432</v>
      </c>
      <c r="D276" t="s">
        <v>9474</v>
      </c>
      <c r="K276"/>
      <c r="L276"/>
      <c r="M276"/>
    </row>
    <row r="277" spans="1:13">
      <c r="A277" s="2" t="s">
        <v>396</v>
      </c>
      <c r="B277" t="s">
        <v>9493</v>
      </c>
      <c r="C277" t="s">
        <v>9432</v>
      </c>
      <c r="D277" t="s">
        <v>9474</v>
      </c>
      <c r="K277"/>
      <c r="L277"/>
      <c r="M277"/>
    </row>
    <row r="278" spans="1:13">
      <c r="A278" s="2" t="s">
        <v>451</v>
      </c>
      <c r="B278" t="s">
        <v>9493</v>
      </c>
      <c r="C278" t="s">
        <v>9432</v>
      </c>
      <c r="D278" t="s">
        <v>9474</v>
      </c>
      <c r="K278"/>
      <c r="L278"/>
      <c r="M278"/>
    </row>
    <row r="279" spans="1:13">
      <c r="A279" s="2" t="s">
        <v>406</v>
      </c>
      <c r="B279" t="s">
        <v>9493</v>
      </c>
      <c r="C279" t="s">
        <v>9432</v>
      </c>
      <c r="D279" t="s">
        <v>9474</v>
      </c>
      <c r="K279"/>
      <c r="L279"/>
      <c r="M279"/>
    </row>
    <row r="280" spans="1:13">
      <c r="A280" s="2" t="s">
        <v>470</v>
      </c>
      <c r="B280" t="s">
        <v>9493</v>
      </c>
      <c r="C280" t="s">
        <v>9432</v>
      </c>
      <c r="D280" t="s">
        <v>9474</v>
      </c>
      <c r="K280"/>
      <c r="L280"/>
      <c r="M280"/>
    </row>
    <row r="281" spans="1:13">
      <c r="A281" s="2" t="s">
        <v>430</v>
      </c>
      <c r="B281" t="s">
        <v>9493</v>
      </c>
      <c r="C281" t="s">
        <v>9435</v>
      </c>
      <c r="D281" t="s">
        <v>9478</v>
      </c>
      <c r="K281"/>
      <c r="L281"/>
      <c r="M281"/>
    </row>
    <row r="282" spans="1:13">
      <c r="A282" s="2" t="s">
        <v>431</v>
      </c>
      <c r="B282" t="s">
        <v>9493</v>
      </c>
      <c r="C282" t="s">
        <v>9471</v>
      </c>
      <c r="D282" t="s">
        <v>9478</v>
      </c>
      <c r="K282"/>
      <c r="L282"/>
      <c r="M282"/>
    </row>
    <row r="283" spans="1:13">
      <c r="A283" s="2" t="s">
        <v>433</v>
      </c>
      <c r="B283" t="s">
        <v>9493</v>
      </c>
      <c r="C283" t="s">
        <v>9432</v>
      </c>
      <c r="D283" t="s">
        <v>9474</v>
      </c>
      <c r="K283"/>
      <c r="L283"/>
      <c r="M283"/>
    </row>
    <row r="284" spans="1:13">
      <c r="A284" s="2" t="s">
        <v>432</v>
      </c>
      <c r="B284" t="s">
        <v>9493</v>
      </c>
      <c r="C284" t="s">
        <v>9435</v>
      </c>
      <c r="D284" t="s">
        <v>9477</v>
      </c>
      <c r="K284"/>
      <c r="L284"/>
      <c r="M284"/>
    </row>
    <row r="285" spans="1:13">
      <c r="A285" s="2" t="s">
        <v>424</v>
      </c>
      <c r="B285" t="s">
        <v>9493</v>
      </c>
      <c r="C285" t="s">
        <v>9432</v>
      </c>
      <c r="D285" t="s">
        <v>9474</v>
      </c>
      <c r="K285"/>
      <c r="L285"/>
      <c r="M285"/>
    </row>
    <row r="286" spans="1:13">
      <c r="A286" s="2" t="s">
        <v>627</v>
      </c>
      <c r="B286" t="s">
        <v>9493</v>
      </c>
      <c r="C286" t="s">
        <v>9432</v>
      </c>
      <c r="D286" t="s">
        <v>9474</v>
      </c>
      <c r="K286"/>
      <c r="L286"/>
      <c r="M286"/>
    </row>
    <row r="287" spans="1:13">
      <c r="A287" s="2" t="s">
        <v>635</v>
      </c>
      <c r="B287" t="s">
        <v>9493</v>
      </c>
      <c r="C287" t="s">
        <v>9432</v>
      </c>
      <c r="D287" t="s">
        <v>9474</v>
      </c>
      <c r="K287"/>
      <c r="L287"/>
      <c r="M287"/>
    </row>
    <row r="288" spans="1:13">
      <c r="A288" s="2" t="s">
        <v>636</v>
      </c>
      <c r="B288" t="s">
        <v>9493</v>
      </c>
      <c r="C288" t="s">
        <v>9471</v>
      </c>
      <c r="D288" t="s">
        <v>9475</v>
      </c>
      <c r="K288"/>
      <c r="L288"/>
      <c r="M288"/>
    </row>
    <row r="289" spans="1:13">
      <c r="A289" s="2" t="s">
        <v>425</v>
      </c>
      <c r="B289" t="s">
        <v>9493</v>
      </c>
      <c r="C289" t="s">
        <v>9432</v>
      </c>
      <c r="D289" t="s">
        <v>9474</v>
      </c>
      <c r="K289"/>
      <c r="L289"/>
      <c r="M289"/>
    </row>
    <row r="290" spans="1:13">
      <c r="A290" s="2" t="s">
        <v>427</v>
      </c>
      <c r="B290" t="s">
        <v>9493</v>
      </c>
      <c r="C290" t="s">
        <v>9432</v>
      </c>
      <c r="D290" t="s">
        <v>9474</v>
      </c>
      <c r="K290"/>
      <c r="L290"/>
      <c r="M290"/>
    </row>
    <row r="291" spans="1:13">
      <c r="A291" s="2" t="s">
        <v>426</v>
      </c>
      <c r="B291" t="s">
        <v>9493</v>
      </c>
      <c r="C291" t="s">
        <v>9432</v>
      </c>
      <c r="D291" t="s">
        <v>9474</v>
      </c>
      <c r="K291"/>
      <c r="L291"/>
      <c r="M291"/>
    </row>
    <row r="292" spans="1:13">
      <c r="A292" s="2" t="s">
        <v>390</v>
      </c>
      <c r="B292" t="s">
        <v>9493</v>
      </c>
      <c r="C292" t="s">
        <v>9432</v>
      </c>
      <c r="D292" t="s">
        <v>9474</v>
      </c>
      <c r="K292"/>
      <c r="L292"/>
      <c r="M292"/>
    </row>
    <row r="293" spans="1:13">
      <c r="A293" s="2" t="s">
        <v>457</v>
      </c>
      <c r="B293" t="s">
        <v>9493</v>
      </c>
      <c r="C293" t="s">
        <v>9432</v>
      </c>
      <c r="D293" t="s">
        <v>9474</v>
      </c>
      <c r="K293"/>
      <c r="L293"/>
      <c r="M293"/>
    </row>
    <row r="294" spans="1:13">
      <c r="A294" s="2" t="s">
        <v>474</v>
      </c>
      <c r="B294" t="s">
        <v>9493</v>
      </c>
      <c r="C294" t="s">
        <v>9432</v>
      </c>
      <c r="D294" t="s">
        <v>9474</v>
      </c>
      <c r="K294"/>
      <c r="L294"/>
      <c r="M294"/>
    </row>
    <row r="295" spans="1:13">
      <c r="A295" s="2" t="s">
        <v>391</v>
      </c>
      <c r="B295" t="s">
        <v>9493</v>
      </c>
      <c r="C295" t="s">
        <v>9432</v>
      </c>
      <c r="D295" t="s">
        <v>9474</v>
      </c>
      <c r="K295"/>
      <c r="L295"/>
      <c r="M295"/>
    </row>
    <row r="296" spans="1:13">
      <c r="A296" s="2" t="s">
        <v>378</v>
      </c>
      <c r="B296" t="s">
        <v>9493</v>
      </c>
      <c r="C296" t="s">
        <v>9432</v>
      </c>
      <c r="D296" t="s">
        <v>9474</v>
      </c>
      <c r="K296"/>
      <c r="L296"/>
      <c r="M296"/>
    </row>
    <row r="297" spans="1:13">
      <c r="A297" s="2" t="s">
        <v>384</v>
      </c>
      <c r="B297" t="s">
        <v>9493</v>
      </c>
      <c r="C297" t="s">
        <v>9432</v>
      </c>
      <c r="D297" t="s">
        <v>9474</v>
      </c>
      <c r="K297"/>
      <c r="L297"/>
      <c r="M297"/>
    </row>
    <row r="298" spans="1:13">
      <c r="A298" s="2" t="s">
        <v>657</v>
      </c>
      <c r="B298" t="s">
        <v>9493</v>
      </c>
      <c r="C298" t="s">
        <v>9435</v>
      </c>
      <c r="D298" t="s">
        <v>9474</v>
      </c>
      <c r="K298"/>
      <c r="L298"/>
      <c r="M298"/>
    </row>
    <row r="299" spans="1:13">
      <c r="A299" s="2" t="s">
        <v>655</v>
      </c>
      <c r="B299" t="s">
        <v>9493</v>
      </c>
      <c r="C299" t="s">
        <v>9435</v>
      </c>
      <c r="D299" t="s">
        <v>9474</v>
      </c>
      <c r="K299"/>
      <c r="L299"/>
      <c r="M299"/>
    </row>
    <row r="300" spans="1:13">
      <c r="A300" s="2" t="s">
        <v>452</v>
      </c>
      <c r="B300" t="s">
        <v>9493</v>
      </c>
      <c r="C300" t="s">
        <v>9432</v>
      </c>
      <c r="D300" t="s">
        <v>9474</v>
      </c>
      <c r="K300"/>
      <c r="L300"/>
      <c r="M300"/>
    </row>
    <row r="301" spans="1:13">
      <c r="A301" s="2" t="s">
        <v>475</v>
      </c>
      <c r="B301" t="s">
        <v>9493</v>
      </c>
      <c r="C301" t="s">
        <v>9432</v>
      </c>
      <c r="D301" t="s">
        <v>9474</v>
      </c>
      <c r="K301"/>
      <c r="L301"/>
      <c r="M301"/>
    </row>
    <row r="302" spans="1:13">
      <c r="A302" s="2" t="s">
        <v>467</v>
      </c>
      <c r="B302" t="s">
        <v>9493</v>
      </c>
      <c r="C302" t="s">
        <v>9432</v>
      </c>
      <c r="D302" t="s">
        <v>9474</v>
      </c>
      <c r="K302"/>
      <c r="L302"/>
      <c r="M302"/>
    </row>
    <row r="303" spans="1:13">
      <c r="A303" s="2" t="s">
        <v>468</v>
      </c>
      <c r="B303" t="s">
        <v>9493</v>
      </c>
      <c r="C303" t="s">
        <v>9432</v>
      </c>
      <c r="D303" t="s">
        <v>9474</v>
      </c>
      <c r="K303"/>
      <c r="L303"/>
      <c r="M303"/>
    </row>
    <row r="304" spans="1:13">
      <c r="A304" s="2" t="s">
        <v>437</v>
      </c>
      <c r="B304" t="s">
        <v>9493</v>
      </c>
      <c r="C304" t="s">
        <v>9439</v>
      </c>
      <c r="D304" t="s">
        <v>9474</v>
      </c>
      <c r="K304"/>
      <c r="L304"/>
      <c r="M304"/>
    </row>
    <row r="305" spans="1:13">
      <c r="A305" s="2" t="s">
        <v>393</v>
      </c>
      <c r="B305" t="s">
        <v>9493</v>
      </c>
      <c r="C305" t="s">
        <v>9439</v>
      </c>
      <c r="D305" t="s">
        <v>9474</v>
      </c>
      <c r="K305"/>
      <c r="L305"/>
      <c r="M305"/>
    </row>
    <row r="306" spans="1:13">
      <c r="A306" s="2" t="s">
        <v>392</v>
      </c>
      <c r="B306" t="s">
        <v>9493</v>
      </c>
      <c r="C306" t="s">
        <v>9432</v>
      </c>
      <c r="D306" t="s">
        <v>9474</v>
      </c>
      <c r="K306"/>
      <c r="L306"/>
      <c r="M306"/>
    </row>
    <row r="307" spans="1:13">
      <c r="A307" s="2" t="s">
        <v>385</v>
      </c>
      <c r="B307" t="s">
        <v>9493</v>
      </c>
      <c r="C307" t="s">
        <v>9432</v>
      </c>
      <c r="D307" t="s">
        <v>9474</v>
      </c>
      <c r="K307"/>
      <c r="L307"/>
      <c r="M307"/>
    </row>
    <row r="308" spans="1:13">
      <c r="A308" s="2" t="s">
        <v>415</v>
      </c>
      <c r="B308" t="s">
        <v>9493</v>
      </c>
      <c r="C308" t="s">
        <v>9438</v>
      </c>
      <c r="D308" t="s">
        <v>9476</v>
      </c>
      <c r="K308"/>
      <c r="L308"/>
      <c r="M308"/>
    </row>
    <row r="309" spans="1:13">
      <c r="A309" s="2" t="s">
        <v>420</v>
      </c>
      <c r="B309" t="s">
        <v>9493</v>
      </c>
      <c r="C309" t="s">
        <v>9439</v>
      </c>
      <c r="D309" t="s">
        <v>9474</v>
      </c>
      <c r="K309"/>
      <c r="L309"/>
      <c r="M309"/>
    </row>
    <row r="310" spans="1:13">
      <c r="A310" s="2" t="s">
        <v>438</v>
      </c>
      <c r="B310" t="s">
        <v>9493</v>
      </c>
      <c r="C310" t="s">
        <v>9432</v>
      </c>
      <c r="D310" t="s">
        <v>9474</v>
      </c>
      <c r="K310"/>
      <c r="L310"/>
      <c r="M310"/>
    </row>
    <row r="311" spans="1:13">
      <c r="A311" s="2" t="s">
        <v>445</v>
      </c>
      <c r="B311" t="s">
        <v>9493</v>
      </c>
      <c r="C311" t="s">
        <v>9432</v>
      </c>
      <c r="D311" t="s">
        <v>9474</v>
      </c>
      <c r="K311"/>
      <c r="L311"/>
      <c r="M311"/>
    </row>
    <row r="312" spans="1:13">
      <c r="A312" s="2" t="s">
        <v>436</v>
      </c>
      <c r="B312" t="s">
        <v>9493</v>
      </c>
      <c r="C312" t="s">
        <v>9435</v>
      </c>
      <c r="D312" t="s">
        <v>9474</v>
      </c>
      <c r="K312"/>
      <c r="L312"/>
      <c r="M312"/>
    </row>
    <row r="313" spans="1:13">
      <c r="A313" s="2" t="s">
        <v>651</v>
      </c>
      <c r="B313" t="s">
        <v>9494</v>
      </c>
      <c r="C313" t="s">
        <v>9440</v>
      </c>
      <c r="D313" t="s">
        <v>9478</v>
      </c>
      <c r="K313"/>
      <c r="L313"/>
      <c r="M313"/>
    </row>
    <row r="314" spans="1:13">
      <c r="A314" s="2" t="s">
        <v>533</v>
      </c>
      <c r="B314" t="s">
        <v>9493</v>
      </c>
      <c r="C314" t="s">
        <v>9440</v>
      </c>
      <c r="D314" t="s">
        <v>9474</v>
      </c>
      <c r="K314"/>
      <c r="L314"/>
      <c r="M314"/>
    </row>
    <row r="315" spans="1:13">
      <c r="A315" s="2" t="s">
        <v>644</v>
      </c>
      <c r="B315" t="s">
        <v>9493</v>
      </c>
      <c r="C315" t="s">
        <v>9440</v>
      </c>
      <c r="D315" t="s">
        <v>9474</v>
      </c>
      <c r="K315"/>
      <c r="L315"/>
      <c r="M315"/>
    </row>
    <row r="316" spans="1:13">
      <c r="A316" s="2" t="s">
        <v>643</v>
      </c>
      <c r="B316" t="s">
        <v>9493</v>
      </c>
      <c r="C316" t="s">
        <v>9440</v>
      </c>
      <c r="D316" t="s">
        <v>9474</v>
      </c>
      <c r="K316"/>
      <c r="L316"/>
      <c r="M316"/>
    </row>
    <row r="317" spans="1:13">
      <c r="A317" s="2" t="s">
        <v>645</v>
      </c>
      <c r="B317" t="s">
        <v>9493</v>
      </c>
      <c r="C317" t="s">
        <v>9440</v>
      </c>
      <c r="D317" t="s">
        <v>9474</v>
      </c>
      <c r="K317"/>
      <c r="L317"/>
      <c r="M317"/>
    </row>
    <row r="318" spans="1:13">
      <c r="A318" s="2" t="s">
        <v>552</v>
      </c>
      <c r="B318" t="s">
        <v>9493</v>
      </c>
      <c r="C318" t="s">
        <v>9440</v>
      </c>
      <c r="D318" t="s">
        <v>9474</v>
      </c>
      <c r="K318"/>
      <c r="L318"/>
      <c r="M318"/>
    </row>
    <row r="319" spans="1:13">
      <c r="A319" s="2" t="s">
        <v>553</v>
      </c>
      <c r="B319" t="s">
        <v>9493</v>
      </c>
      <c r="C319" t="s">
        <v>9440</v>
      </c>
      <c r="D319" t="s">
        <v>9474</v>
      </c>
      <c r="K319"/>
      <c r="L319"/>
      <c r="M319"/>
    </row>
    <row r="320" spans="1:13">
      <c r="A320" s="2" t="s">
        <v>554</v>
      </c>
      <c r="B320" t="s">
        <v>9493</v>
      </c>
      <c r="C320" t="s">
        <v>9440</v>
      </c>
      <c r="D320" t="s">
        <v>9474</v>
      </c>
      <c r="K320"/>
      <c r="L320"/>
      <c r="M320"/>
    </row>
    <row r="321" spans="1:13">
      <c r="A321" s="2" t="s">
        <v>564</v>
      </c>
      <c r="B321" t="s">
        <v>9493</v>
      </c>
      <c r="C321" t="s">
        <v>9440</v>
      </c>
      <c r="D321" t="s">
        <v>9474</v>
      </c>
      <c r="K321"/>
      <c r="L321"/>
      <c r="M321"/>
    </row>
    <row r="322" spans="1:13">
      <c r="A322" s="2" t="s">
        <v>649</v>
      </c>
      <c r="B322" t="s">
        <v>9493</v>
      </c>
      <c r="C322" t="s">
        <v>9440</v>
      </c>
      <c r="D322" t="s">
        <v>9474</v>
      </c>
      <c r="K322"/>
      <c r="L322"/>
      <c r="M322"/>
    </row>
    <row r="323" spans="1:13">
      <c r="A323" s="2" t="s">
        <v>648</v>
      </c>
      <c r="B323" t="s">
        <v>9493</v>
      </c>
      <c r="C323" t="s">
        <v>9440</v>
      </c>
      <c r="D323" t="s">
        <v>9474</v>
      </c>
      <c r="K323"/>
      <c r="L323"/>
      <c r="M323"/>
    </row>
    <row r="324" spans="1:13">
      <c r="A324" s="2" t="s">
        <v>577</v>
      </c>
      <c r="B324" t="s">
        <v>9494</v>
      </c>
      <c r="C324" t="s">
        <v>9440</v>
      </c>
      <c r="D324" t="s">
        <v>9478</v>
      </c>
      <c r="K324"/>
      <c r="L324"/>
      <c r="M324"/>
    </row>
    <row r="325" spans="1:13">
      <c r="A325" s="2" t="s">
        <v>670</v>
      </c>
      <c r="B325" t="s">
        <v>9493</v>
      </c>
      <c r="C325" t="s">
        <v>9440</v>
      </c>
      <c r="D325" t="s">
        <v>9474</v>
      </c>
      <c r="K325"/>
      <c r="L325"/>
      <c r="M325"/>
    </row>
    <row r="326" spans="1:13">
      <c r="A326" s="2" t="s">
        <v>588</v>
      </c>
      <c r="B326" t="s">
        <v>9493</v>
      </c>
      <c r="C326" t="s">
        <v>9440</v>
      </c>
      <c r="D326" t="s">
        <v>9474</v>
      </c>
      <c r="K326"/>
      <c r="L326"/>
      <c r="M326"/>
    </row>
    <row r="327" spans="1:13">
      <c r="A327" s="2" t="s">
        <v>534</v>
      </c>
      <c r="B327" t="s">
        <v>9494</v>
      </c>
      <c r="C327" t="s">
        <v>9440</v>
      </c>
      <c r="D327" t="s">
        <v>9478</v>
      </c>
      <c r="K327"/>
      <c r="L327"/>
      <c r="M327"/>
    </row>
    <row r="328" spans="1:13">
      <c r="A328" s="2" t="s">
        <v>535</v>
      </c>
      <c r="B328" t="s">
        <v>9494</v>
      </c>
      <c r="C328" t="s">
        <v>9440</v>
      </c>
      <c r="D328" t="s">
        <v>9478</v>
      </c>
      <c r="K328"/>
      <c r="L328"/>
      <c r="M328"/>
    </row>
    <row r="329" spans="1:13">
      <c r="A329" s="2" t="s">
        <v>568</v>
      </c>
      <c r="B329" t="s">
        <v>9493</v>
      </c>
      <c r="C329" t="s">
        <v>9440</v>
      </c>
      <c r="D329" t="s">
        <v>9479</v>
      </c>
      <c r="K329"/>
      <c r="L329"/>
      <c r="M329"/>
    </row>
    <row r="330" spans="1:13">
      <c r="A330" s="2" t="s">
        <v>565</v>
      </c>
      <c r="B330" t="s">
        <v>9493</v>
      </c>
      <c r="C330" t="s">
        <v>9440</v>
      </c>
      <c r="D330" t="s">
        <v>9474</v>
      </c>
      <c r="K330"/>
      <c r="L330"/>
      <c r="M330"/>
    </row>
    <row r="331" spans="1:13">
      <c r="A331" s="2" t="s">
        <v>566</v>
      </c>
      <c r="B331" t="s">
        <v>9493</v>
      </c>
      <c r="C331" t="s">
        <v>9440</v>
      </c>
      <c r="D331" t="s">
        <v>9474</v>
      </c>
      <c r="K331"/>
      <c r="L331"/>
      <c r="M331"/>
    </row>
    <row r="332" spans="1:13">
      <c r="A332" s="2" t="s">
        <v>586</v>
      </c>
      <c r="B332" t="s">
        <v>9493</v>
      </c>
      <c r="C332" t="s">
        <v>9440</v>
      </c>
      <c r="D332" t="s">
        <v>9479</v>
      </c>
      <c r="K332"/>
      <c r="L332"/>
      <c r="M332"/>
    </row>
    <row r="333" spans="1:13">
      <c r="A333" s="2" t="s">
        <v>585</v>
      </c>
      <c r="B333" t="s">
        <v>9494</v>
      </c>
      <c r="C333" t="s">
        <v>9440</v>
      </c>
      <c r="D333" t="s">
        <v>9477</v>
      </c>
      <c r="K333"/>
      <c r="L333"/>
      <c r="M333"/>
    </row>
    <row r="334" spans="1:13">
      <c r="A334" s="2" t="s">
        <v>587</v>
      </c>
      <c r="B334" t="s">
        <v>9494</v>
      </c>
      <c r="C334" t="s">
        <v>9440</v>
      </c>
      <c r="D334" t="s">
        <v>9477</v>
      </c>
      <c r="K334"/>
      <c r="L334"/>
      <c r="M334"/>
    </row>
    <row r="335" spans="1:13">
      <c r="A335" s="2" t="s">
        <v>563</v>
      </c>
      <c r="B335" t="s">
        <v>9494</v>
      </c>
      <c r="C335" t="s">
        <v>9440</v>
      </c>
      <c r="D335" t="s">
        <v>9478</v>
      </c>
      <c r="K335"/>
      <c r="L335"/>
      <c r="M335"/>
    </row>
    <row r="336" spans="1:13">
      <c r="A336" s="2" t="s">
        <v>555</v>
      </c>
      <c r="B336" t="s">
        <v>9494</v>
      </c>
      <c r="C336" t="s">
        <v>9440</v>
      </c>
      <c r="D336" t="s">
        <v>9478</v>
      </c>
      <c r="K336"/>
      <c r="L336"/>
      <c r="M336"/>
    </row>
    <row r="337" spans="1:13">
      <c r="A337" s="2" t="s">
        <v>567</v>
      </c>
      <c r="B337" t="s">
        <v>9493</v>
      </c>
      <c r="C337" t="s">
        <v>9440</v>
      </c>
      <c r="D337" t="s">
        <v>9474</v>
      </c>
      <c r="K337"/>
      <c r="L337"/>
      <c r="M337"/>
    </row>
    <row r="338" spans="1:13">
      <c r="A338" s="2" t="s">
        <v>536</v>
      </c>
      <c r="B338" t="s">
        <v>9493</v>
      </c>
      <c r="C338" t="s">
        <v>9440</v>
      </c>
      <c r="D338" t="s">
        <v>9474</v>
      </c>
      <c r="K338"/>
      <c r="L338"/>
      <c r="M338"/>
    </row>
    <row r="339" spans="1:13">
      <c r="A339" s="2" t="s">
        <v>551</v>
      </c>
      <c r="B339" t="s">
        <v>9493</v>
      </c>
      <c r="C339" t="s">
        <v>9440</v>
      </c>
      <c r="D339" t="s">
        <v>9474</v>
      </c>
      <c r="K339"/>
      <c r="L339"/>
      <c r="M339"/>
    </row>
    <row r="340" spans="1:13">
      <c r="A340" s="2" t="s">
        <v>548</v>
      </c>
      <c r="B340" t="s">
        <v>9493</v>
      </c>
      <c r="C340" t="s">
        <v>9440</v>
      </c>
      <c r="D340" t="s">
        <v>9474</v>
      </c>
      <c r="K340"/>
      <c r="L340"/>
      <c r="M340"/>
    </row>
    <row r="341" spans="1:13">
      <c r="A341" s="2" t="s">
        <v>545</v>
      </c>
      <c r="B341" t="s">
        <v>9493</v>
      </c>
      <c r="C341" t="s">
        <v>9440</v>
      </c>
      <c r="D341" t="s">
        <v>9474</v>
      </c>
      <c r="K341"/>
      <c r="L341"/>
      <c r="M341"/>
    </row>
    <row r="342" spans="1:13">
      <c r="A342" s="2" t="s">
        <v>546</v>
      </c>
      <c r="B342" t="s">
        <v>9494</v>
      </c>
      <c r="C342" t="s">
        <v>9440</v>
      </c>
      <c r="D342" t="s">
        <v>9478</v>
      </c>
      <c r="K342"/>
      <c r="L342"/>
      <c r="M342"/>
    </row>
    <row r="343" spans="1:13">
      <c r="A343" s="2" t="s">
        <v>547</v>
      </c>
      <c r="B343" t="s">
        <v>9493</v>
      </c>
      <c r="C343" t="s">
        <v>9440</v>
      </c>
      <c r="D343" t="s">
        <v>9474</v>
      </c>
      <c r="K343"/>
      <c r="L343"/>
      <c r="M343"/>
    </row>
    <row r="344" spans="1:13">
      <c r="A344" s="2" t="s">
        <v>579</v>
      </c>
      <c r="B344" t="s">
        <v>9494</v>
      </c>
      <c r="C344" t="s">
        <v>9440</v>
      </c>
      <c r="D344" t="s">
        <v>9477</v>
      </c>
      <c r="K344"/>
      <c r="L344"/>
      <c r="M344"/>
    </row>
    <row r="345" spans="1:13">
      <c r="A345" s="2" t="s">
        <v>580</v>
      </c>
      <c r="B345" t="s">
        <v>9494</v>
      </c>
      <c r="C345" t="s">
        <v>9440</v>
      </c>
      <c r="D345" t="s">
        <v>9477</v>
      </c>
      <c r="K345"/>
      <c r="L345"/>
      <c r="M345"/>
    </row>
    <row r="346" spans="1:13">
      <c r="A346" s="2" t="s">
        <v>569</v>
      </c>
      <c r="B346" t="s">
        <v>9494</v>
      </c>
      <c r="C346" t="s">
        <v>9440</v>
      </c>
      <c r="D346" t="s">
        <v>9478</v>
      </c>
      <c r="K346"/>
      <c r="L346"/>
      <c r="M346"/>
    </row>
    <row r="347" spans="1:13">
      <c r="A347" s="2" t="s">
        <v>570</v>
      </c>
      <c r="B347" t="s">
        <v>9494</v>
      </c>
      <c r="C347" t="s">
        <v>9440</v>
      </c>
      <c r="D347" t="s">
        <v>9478</v>
      </c>
      <c r="K347"/>
      <c r="L347"/>
      <c r="M347"/>
    </row>
    <row r="348" spans="1:13">
      <c r="A348" s="2" t="s">
        <v>571</v>
      </c>
      <c r="B348" t="s">
        <v>9494</v>
      </c>
      <c r="C348" t="s">
        <v>9440</v>
      </c>
      <c r="D348" t="s">
        <v>9478</v>
      </c>
      <c r="K348"/>
      <c r="L348"/>
      <c r="M348"/>
    </row>
    <row r="349" spans="1:13">
      <c r="A349" s="2" t="s">
        <v>642</v>
      </c>
      <c r="B349" t="s">
        <v>9494</v>
      </c>
      <c r="C349" t="s">
        <v>9440</v>
      </c>
      <c r="D349" t="s">
        <v>9478</v>
      </c>
      <c r="K349"/>
      <c r="L349"/>
      <c r="M349"/>
    </row>
    <row r="350" spans="1:13">
      <c r="A350" s="2" t="s">
        <v>641</v>
      </c>
      <c r="B350" t="s">
        <v>9494</v>
      </c>
      <c r="C350" t="s">
        <v>9440</v>
      </c>
      <c r="D350" t="s">
        <v>9478</v>
      </c>
      <c r="K350"/>
      <c r="L350"/>
      <c r="M350"/>
    </row>
    <row r="351" spans="1:13">
      <c r="A351" s="2" t="s">
        <v>572</v>
      </c>
      <c r="B351" t="s">
        <v>9493</v>
      </c>
      <c r="C351" t="s">
        <v>9440</v>
      </c>
      <c r="D351" t="s">
        <v>9474</v>
      </c>
      <c r="K351"/>
      <c r="L351"/>
      <c r="M351"/>
    </row>
    <row r="352" spans="1:13">
      <c r="A352" s="2" t="s">
        <v>573</v>
      </c>
      <c r="B352" t="s">
        <v>9493</v>
      </c>
      <c r="C352" t="s">
        <v>9440</v>
      </c>
      <c r="D352" t="s">
        <v>9474</v>
      </c>
      <c r="K352"/>
      <c r="L352"/>
      <c r="M352"/>
    </row>
    <row r="353" spans="1:13">
      <c r="A353" s="2" t="s">
        <v>549</v>
      </c>
      <c r="B353" t="s">
        <v>9493</v>
      </c>
      <c r="C353" t="s">
        <v>9440</v>
      </c>
      <c r="D353" t="s">
        <v>9474</v>
      </c>
      <c r="K353"/>
      <c r="L353"/>
      <c r="M353"/>
    </row>
    <row r="354" spans="1:13">
      <c r="A354" s="2" t="s">
        <v>582</v>
      </c>
      <c r="B354" t="s">
        <v>9494</v>
      </c>
      <c r="C354" t="s">
        <v>9440</v>
      </c>
      <c r="D354" t="s">
        <v>9477</v>
      </c>
      <c r="K354"/>
      <c r="L354"/>
      <c r="M354"/>
    </row>
    <row r="355" spans="1:13">
      <c r="A355" s="2" t="s">
        <v>542</v>
      </c>
      <c r="B355" t="s">
        <v>9493</v>
      </c>
      <c r="C355" t="s">
        <v>9440</v>
      </c>
      <c r="D355" t="s">
        <v>9474</v>
      </c>
      <c r="K355"/>
      <c r="L355"/>
      <c r="M355"/>
    </row>
    <row r="356" spans="1:13">
      <c r="A356" s="2" t="s">
        <v>581</v>
      </c>
      <c r="B356" t="s">
        <v>9493</v>
      </c>
      <c r="C356" t="s">
        <v>9440</v>
      </c>
      <c r="D356" t="s">
        <v>9474</v>
      </c>
      <c r="K356"/>
      <c r="L356"/>
      <c r="M356"/>
    </row>
    <row r="357" spans="1:13">
      <c r="A357" s="2" t="s">
        <v>541</v>
      </c>
      <c r="B357" t="s">
        <v>9493</v>
      </c>
      <c r="C357" t="s">
        <v>9440</v>
      </c>
      <c r="D357" t="s">
        <v>9474</v>
      </c>
      <c r="K357"/>
      <c r="L357"/>
      <c r="M357"/>
    </row>
    <row r="358" spans="1:13">
      <c r="A358" s="2" t="s">
        <v>537</v>
      </c>
      <c r="B358" t="s">
        <v>9493</v>
      </c>
      <c r="C358" t="s">
        <v>9440</v>
      </c>
      <c r="D358" t="s">
        <v>9474</v>
      </c>
      <c r="K358"/>
      <c r="L358"/>
      <c r="M358"/>
    </row>
    <row r="359" spans="1:13">
      <c r="A359" s="2" t="s">
        <v>538</v>
      </c>
      <c r="B359" t="s">
        <v>9493</v>
      </c>
      <c r="C359" t="s">
        <v>9440</v>
      </c>
      <c r="D359" t="s">
        <v>9474</v>
      </c>
      <c r="K359"/>
      <c r="L359"/>
      <c r="M359"/>
    </row>
    <row r="360" spans="1:13">
      <c r="A360" s="2" t="s">
        <v>539</v>
      </c>
      <c r="B360" t="s">
        <v>9493</v>
      </c>
      <c r="C360" t="s">
        <v>9440</v>
      </c>
      <c r="D360" t="s">
        <v>9474</v>
      </c>
      <c r="K360"/>
      <c r="L360"/>
      <c r="M360"/>
    </row>
    <row r="361" spans="1:13">
      <c r="A361" s="2" t="s">
        <v>543</v>
      </c>
      <c r="B361" t="s">
        <v>9493</v>
      </c>
      <c r="C361" t="s">
        <v>9440</v>
      </c>
      <c r="D361" t="s">
        <v>9474</v>
      </c>
      <c r="K361"/>
      <c r="L361"/>
      <c r="M361"/>
    </row>
    <row r="362" spans="1:13">
      <c r="A362" s="2" t="s">
        <v>540</v>
      </c>
      <c r="B362" t="s">
        <v>9493</v>
      </c>
      <c r="C362" t="s">
        <v>9440</v>
      </c>
      <c r="D362" t="s">
        <v>9474</v>
      </c>
      <c r="K362"/>
      <c r="L362"/>
      <c r="M362"/>
    </row>
    <row r="363" spans="1:13">
      <c r="A363" s="2" t="s">
        <v>646</v>
      </c>
      <c r="B363" t="s">
        <v>9493</v>
      </c>
      <c r="C363" t="s">
        <v>9440</v>
      </c>
      <c r="D363" t="s">
        <v>9474</v>
      </c>
      <c r="K363"/>
      <c r="L363"/>
      <c r="M363"/>
    </row>
    <row r="364" spans="1:13">
      <c r="A364" s="2" t="s">
        <v>557</v>
      </c>
      <c r="B364" t="s">
        <v>9493</v>
      </c>
      <c r="C364" t="s">
        <v>9440</v>
      </c>
      <c r="D364" t="s">
        <v>9474</v>
      </c>
      <c r="K364"/>
      <c r="L364"/>
      <c r="M364"/>
    </row>
    <row r="365" spans="1:13">
      <c r="A365" s="2" t="s">
        <v>556</v>
      </c>
      <c r="B365" t="s">
        <v>9494</v>
      </c>
      <c r="C365" t="s">
        <v>9440</v>
      </c>
      <c r="D365" t="s">
        <v>9478</v>
      </c>
      <c r="K365"/>
      <c r="L365"/>
      <c r="M365"/>
    </row>
    <row r="366" spans="1:13">
      <c r="A366" s="2" t="s">
        <v>550</v>
      </c>
      <c r="B366" t="s">
        <v>9494</v>
      </c>
      <c r="C366" t="s">
        <v>9440</v>
      </c>
      <c r="D366" t="s">
        <v>9478</v>
      </c>
      <c r="K366"/>
      <c r="L366"/>
      <c r="M366"/>
    </row>
    <row r="367" spans="1:13">
      <c r="A367" s="2" t="s">
        <v>544</v>
      </c>
      <c r="B367" t="s">
        <v>9493</v>
      </c>
      <c r="C367" t="s">
        <v>9440</v>
      </c>
      <c r="D367" t="s">
        <v>9474</v>
      </c>
      <c r="K367"/>
      <c r="L367"/>
      <c r="M367"/>
    </row>
    <row r="368" spans="1:13">
      <c r="A368" s="2" t="s">
        <v>574</v>
      </c>
      <c r="B368" t="s">
        <v>9493</v>
      </c>
      <c r="C368" t="s">
        <v>9440</v>
      </c>
      <c r="D368" t="s">
        <v>9474</v>
      </c>
      <c r="K368"/>
      <c r="L368"/>
      <c r="M368"/>
    </row>
    <row r="369" spans="1:13">
      <c r="A369" s="2" t="s">
        <v>668</v>
      </c>
      <c r="B369" t="s">
        <v>9494</v>
      </c>
      <c r="C369" t="s">
        <v>9440</v>
      </c>
      <c r="D369" t="s">
        <v>9478</v>
      </c>
      <c r="K369"/>
      <c r="L369"/>
      <c r="M369"/>
    </row>
    <row r="370" spans="1:13">
      <c r="A370" s="2" t="s">
        <v>671</v>
      </c>
      <c r="B370" t="s">
        <v>9494</v>
      </c>
      <c r="C370" t="s">
        <v>9440</v>
      </c>
      <c r="D370" t="s">
        <v>9478</v>
      </c>
      <c r="K370"/>
      <c r="L370"/>
      <c r="M370"/>
    </row>
    <row r="371" spans="1:13">
      <c r="A371" s="2" t="s">
        <v>669</v>
      </c>
      <c r="B371" t="s">
        <v>9493</v>
      </c>
      <c r="C371" t="s">
        <v>9440</v>
      </c>
      <c r="D371" t="s">
        <v>9474</v>
      </c>
      <c r="K371"/>
      <c r="L371"/>
      <c r="M371"/>
    </row>
    <row r="372" spans="1:13">
      <c r="A372" s="2" t="s">
        <v>575</v>
      </c>
      <c r="B372" t="s">
        <v>9493</v>
      </c>
      <c r="C372" t="s">
        <v>9440</v>
      </c>
      <c r="D372" t="s">
        <v>9474</v>
      </c>
      <c r="K372"/>
      <c r="L372"/>
      <c r="M372"/>
    </row>
    <row r="373" spans="1:13">
      <c r="A373" s="2" t="s">
        <v>647</v>
      </c>
      <c r="B373" t="s">
        <v>9493</v>
      </c>
      <c r="C373" t="s">
        <v>9440</v>
      </c>
      <c r="D373" t="s">
        <v>9474</v>
      </c>
      <c r="K373"/>
      <c r="L373"/>
      <c r="M373"/>
    </row>
    <row r="374" spans="1:13">
      <c r="A374" s="2" t="s">
        <v>589</v>
      </c>
      <c r="B374" t="s">
        <v>9493</v>
      </c>
      <c r="C374" t="s">
        <v>9440</v>
      </c>
      <c r="D374" t="s">
        <v>9474</v>
      </c>
      <c r="K374"/>
      <c r="L374"/>
      <c r="M374"/>
    </row>
    <row r="375" spans="1:13">
      <c r="A375" s="2" t="s">
        <v>558</v>
      </c>
      <c r="B375" t="s">
        <v>9493</v>
      </c>
      <c r="C375" t="s">
        <v>9440</v>
      </c>
      <c r="D375" t="s">
        <v>9474</v>
      </c>
      <c r="K375"/>
      <c r="L375"/>
      <c r="M375"/>
    </row>
    <row r="376" spans="1:13">
      <c r="A376" s="2" t="s">
        <v>559</v>
      </c>
      <c r="B376" t="s">
        <v>9494</v>
      </c>
      <c r="C376" t="s">
        <v>9440</v>
      </c>
      <c r="D376" t="s">
        <v>9478</v>
      </c>
      <c r="K376"/>
      <c r="L376"/>
      <c r="M376"/>
    </row>
    <row r="377" spans="1:13">
      <c r="A377" s="2" t="s">
        <v>561</v>
      </c>
      <c r="B377" t="s">
        <v>9493</v>
      </c>
      <c r="C377" t="s">
        <v>9440</v>
      </c>
      <c r="D377" t="s">
        <v>9474</v>
      </c>
      <c r="K377"/>
      <c r="L377"/>
      <c r="M377"/>
    </row>
    <row r="378" spans="1:13">
      <c r="A378" s="2" t="s">
        <v>583</v>
      </c>
      <c r="B378" t="s">
        <v>9494</v>
      </c>
      <c r="C378" t="s">
        <v>9440</v>
      </c>
      <c r="D378" t="s">
        <v>9478</v>
      </c>
      <c r="K378"/>
      <c r="L378"/>
      <c r="M378"/>
    </row>
    <row r="379" spans="1:13">
      <c r="A379" s="2" t="s">
        <v>560</v>
      </c>
      <c r="B379" t="s">
        <v>9493</v>
      </c>
      <c r="C379" t="s">
        <v>9440</v>
      </c>
      <c r="D379" t="s">
        <v>9474</v>
      </c>
      <c r="K379"/>
      <c r="L379"/>
      <c r="M379"/>
    </row>
    <row r="380" spans="1:13">
      <c r="A380" s="2" t="s">
        <v>650</v>
      </c>
      <c r="B380" t="s">
        <v>9494</v>
      </c>
      <c r="C380" t="s">
        <v>9440</v>
      </c>
      <c r="D380" t="s">
        <v>9478</v>
      </c>
      <c r="K380"/>
      <c r="L380"/>
      <c r="M380"/>
    </row>
    <row r="381" spans="1:13">
      <c r="A381" s="2" t="s">
        <v>576</v>
      </c>
      <c r="B381" t="s">
        <v>9493</v>
      </c>
      <c r="C381" t="s">
        <v>9440</v>
      </c>
      <c r="D381" t="s">
        <v>9474</v>
      </c>
      <c r="K381"/>
      <c r="L381"/>
      <c r="M381"/>
    </row>
    <row r="382" spans="1:13">
      <c r="A382" s="2" t="s">
        <v>590</v>
      </c>
      <c r="B382" t="s">
        <v>9493</v>
      </c>
      <c r="C382" t="s">
        <v>9440</v>
      </c>
      <c r="D382" t="s">
        <v>9474</v>
      </c>
      <c r="K382"/>
      <c r="L382"/>
      <c r="M382"/>
    </row>
    <row r="383" spans="1:13">
      <c r="A383" s="2" t="s">
        <v>562</v>
      </c>
      <c r="B383" t="s">
        <v>9493</v>
      </c>
      <c r="C383" t="s">
        <v>9440</v>
      </c>
      <c r="D383" t="s">
        <v>9474</v>
      </c>
      <c r="K383"/>
      <c r="L383"/>
      <c r="M383"/>
    </row>
    <row r="384" spans="1:13">
      <c r="A384" s="2" t="s">
        <v>584</v>
      </c>
      <c r="B384" t="s">
        <v>9493</v>
      </c>
      <c r="C384" t="s">
        <v>9440</v>
      </c>
      <c r="D384" t="s">
        <v>9474</v>
      </c>
      <c r="K384"/>
      <c r="L384"/>
      <c r="M384"/>
    </row>
    <row r="385" spans="1:13">
      <c r="A385" s="2" t="s">
        <v>578</v>
      </c>
      <c r="B385" t="s">
        <v>9493</v>
      </c>
      <c r="C385" t="s">
        <v>9440</v>
      </c>
      <c r="D385" t="s">
        <v>9474</v>
      </c>
      <c r="K385"/>
      <c r="L385"/>
      <c r="M385"/>
    </row>
    <row r="386" spans="1:13">
      <c r="A386" s="2" t="s">
        <v>597</v>
      </c>
      <c r="B386" t="s">
        <v>9492</v>
      </c>
      <c r="C386" t="s">
        <v>9440</v>
      </c>
      <c r="D386" t="s">
        <v>9474</v>
      </c>
      <c r="K386"/>
      <c r="L386"/>
      <c r="M386"/>
    </row>
    <row r="387" spans="1:13">
      <c r="A387" s="2" t="s">
        <v>596</v>
      </c>
      <c r="B387" t="s">
        <v>9492</v>
      </c>
      <c r="C387" t="s">
        <v>9432</v>
      </c>
      <c r="D387" t="s">
        <v>9474</v>
      </c>
      <c r="K387"/>
      <c r="L387"/>
      <c r="M387"/>
    </row>
    <row r="388" spans="1:13">
      <c r="A388" s="2" t="s">
        <v>598</v>
      </c>
      <c r="B388" t="s">
        <v>9492</v>
      </c>
      <c r="C388" t="s">
        <v>9440</v>
      </c>
      <c r="D388" t="s">
        <v>9474</v>
      </c>
      <c r="K388"/>
      <c r="L388"/>
      <c r="M388"/>
    </row>
    <row r="389" spans="1:13">
      <c r="A389" s="2" t="s">
        <v>751</v>
      </c>
      <c r="B389" t="s">
        <v>9492</v>
      </c>
      <c r="C389" t="s">
        <v>9432</v>
      </c>
      <c r="D389" t="s">
        <v>9479</v>
      </c>
      <c r="K389"/>
      <c r="L389"/>
      <c r="M389"/>
    </row>
    <row r="390" spans="1:13">
      <c r="A390" s="2" t="s">
        <v>752</v>
      </c>
      <c r="B390" t="s">
        <v>9492</v>
      </c>
      <c r="C390" t="s">
        <v>9432</v>
      </c>
      <c r="D390" t="s">
        <v>9479</v>
      </c>
      <c r="K390"/>
      <c r="L390"/>
      <c r="M390"/>
    </row>
    <row r="391" spans="1:13">
      <c r="A391" s="2" t="s">
        <v>910</v>
      </c>
      <c r="B391" t="s">
        <v>9492</v>
      </c>
      <c r="C391" t="s">
        <v>9462</v>
      </c>
      <c r="D391" t="s">
        <v>9476</v>
      </c>
      <c r="K391"/>
      <c r="L391"/>
      <c r="M391"/>
    </row>
    <row r="392" spans="1:13">
      <c r="A392" s="2" t="s">
        <v>893</v>
      </c>
      <c r="B392" t="s">
        <v>9492</v>
      </c>
      <c r="C392" t="s">
        <v>9462</v>
      </c>
      <c r="D392" t="s">
        <v>9478</v>
      </c>
      <c r="K392"/>
      <c r="L392"/>
      <c r="M392"/>
    </row>
    <row r="393" spans="1:13">
      <c r="A393" s="2" t="s">
        <v>894</v>
      </c>
      <c r="B393" t="s">
        <v>9492</v>
      </c>
      <c r="C393" t="s">
        <v>9462</v>
      </c>
      <c r="D393" t="s">
        <v>9475</v>
      </c>
      <c r="K393"/>
      <c r="L393"/>
      <c r="M393"/>
    </row>
    <row r="394" spans="1:13">
      <c r="A394" s="2" t="s">
        <v>895</v>
      </c>
      <c r="B394" t="s">
        <v>9492</v>
      </c>
      <c r="C394" t="s">
        <v>9462</v>
      </c>
      <c r="D394" t="s">
        <v>9477</v>
      </c>
      <c r="K394"/>
      <c r="L394"/>
      <c r="M394"/>
    </row>
    <row r="395" spans="1:13">
      <c r="A395" s="2" t="s">
        <v>896</v>
      </c>
      <c r="B395" t="s">
        <v>9492</v>
      </c>
      <c r="C395" t="s">
        <v>9462</v>
      </c>
      <c r="D395" t="s">
        <v>9479</v>
      </c>
      <c r="K395"/>
      <c r="L395"/>
      <c r="M395"/>
    </row>
    <row r="396" spans="1:13">
      <c r="A396" s="2" t="s">
        <v>897</v>
      </c>
      <c r="B396" t="s">
        <v>9492</v>
      </c>
      <c r="C396" t="s">
        <v>9462</v>
      </c>
      <c r="D396" t="s">
        <v>9480</v>
      </c>
      <c r="K396"/>
      <c r="L396"/>
      <c r="M396"/>
    </row>
    <row r="397" spans="1:13">
      <c r="A397" s="2" t="s">
        <v>898</v>
      </c>
      <c r="B397" t="s">
        <v>9492</v>
      </c>
      <c r="C397" t="s">
        <v>9462</v>
      </c>
      <c r="D397" t="s">
        <v>9482</v>
      </c>
      <c r="K397"/>
      <c r="L397"/>
      <c r="M397"/>
    </row>
    <row r="398" spans="1:13">
      <c r="A398" s="2" t="s">
        <v>899</v>
      </c>
      <c r="B398" t="s">
        <v>9492</v>
      </c>
      <c r="C398" t="s">
        <v>9462</v>
      </c>
      <c r="D398" t="s">
        <v>9487</v>
      </c>
      <c r="K398"/>
      <c r="L398"/>
      <c r="M398"/>
    </row>
    <row r="399" spans="1:13">
      <c r="A399" s="2" t="s">
        <v>900</v>
      </c>
      <c r="B399" t="s">
        <v>9492</v>
      </c>
      <c r="C399" t="s">
        <v>9462</v>
      </c>
      <c r="D399" t="s">
        <v>9488</v>
      </c>
      <c r="K399"/>
      <c r="L399"/>
      <c r="M399"/>
    </row>
    <row r="400" spans="1:13">
      <c r="A400" s="2" t="s">
        <v>901</v>
      </c>
      <c r="B400" t="s">
        <v>9492</v>
      </c>
      <c r="C400" t="s">
        <v>9462</v>
      </c>
      <c r="D400" t="s">
        <v>9481</v>
      </c>
      <c r="K400"/>
      <c r="L400"/>
      <c r="M400"/>
    </row>
    <row r="401" spans="1:13">
      <c r="A401" s="2" t="s">
        <v>902</v>
      </c>
      <c r="B401" t="s">
        <v>9492</v>
      </c>
      <c r="C401" t="s">
        <v>9462</v>
      </c>
      <c r="D401" t="s">
        <v>9481</v>
      </c>
      <c r="K401"/>
      <c r="L401"/>
      <c r="M401"/>
    </row>
    <row r="402" spans="1:13">
      <c r="A402" s="2" t="s">
        <v>903</v>
      </c>
      <c r="B402" t="s">
        <v>9492</v>
      </c>
      <c r="C402" t="s">
        <v>9462</v>
      </c>
      <c r="D402" t="s">
        <v>9475</v>
      </c>
      <c r="K402"/>
      <c r="L402"/>
      <c r="M402"/>
    </row>
    <row r="403" spans="1:13">
      <c r="A403" s="2" t="s">
        <v>904</v>
      </c>
      <c r="B403" t="s">
        <v>9492</v>
      </c>
      <c r="C403" t="s">
        <v>9462</v>
      </c>
      <c r="D403" t="s">
        <v>9475</v>
      </c>
      <c r="K403"/>
      <c r="L403"/>
      <c r="M403"/>
    </row>
    <row r="404" spans="1:13">
      <c r="A404" s="2" t="s">
        <v>905</v>
      </c>
      <c r="B404" t="s">
        <v>9492</v>
      </c>
      <c r="C404" t="s">
        <v>9459</v>
      </c>
      <c r="D404" t="s">
        <v>9474</v>
      </c>
      <c r="K404"/>
      <c r="L404"/>
      <c r="M404"/>
    </row>
    <row r="405" spans="1:13">
      <c r="A405" s="2" t="s">
        <v>906</v>
      </c>
      <c r="B405" t="s">
        <v>9492</v>
      </c>
      <c r="C405" t="s">
        <v>9462</v>
      </c>
      <c r="D405" t="s">
        <v>9483</v>
      </c>
      <c r="K405"/>
      <c r="L405"/>
      <c r="M405"/>
    </row>
    <row r="406" spans="1:13">
      <c r="A406" s="2" t="s">
        <v>373</v>
      </c>
      <c r="B406" t="s">
        <v>9492</v>
      </c>
      <c r="C406" t="s">
        <v>9440</v>
      </c>
      <c r="D406" t="s">
        <v>9476</v>
      </c>
      <c r="K406"/>
      <c r="L406"/>
      <c r="M406"/>
    </row>
    <row r="407" spans="1:13">
      <c r="A407" s="2" t="s">
        <v>367</v>
      </c>
      <c r="B407" t="s">
        <v>9492</v>
      </c>
      <c r="C407" t="s">
        <v>9440</v>
      </c>
      <c r="D407" t="s">
        <v>9476</v>
      </c>
      <c r="K407"/>
      <c r="L407"/>
      <c r="M407"/>
    </row>
    <row r="408" spans="1:13">
      <c r="A408" s="2" t="s">
        <v>324</v>
      </c>
      <c r="B408" t="s">
        <v>9492</v>
      </c>
      <c r="C408" t="s">
        <v>9440</v>
      </c>
      <c r="D408" t="s">
        <v>9476</v>
      </c>
      <c r="K408"/>
      <c r="L408"/>
      <c r="M408"/>
    </row>
    <row r="409" spans="1:13">
      <c r="A409" s="2" t="s">
        <v>370</v>
      </c>
      <c r="B409" t="s">
        <v>9492</v>
      </c>
      <c r="C409" t="s">
        <v>9440</v>
      </c>
      <c r="D409" t="s">
        <v>9476</v>
      </c>
      <c r="K409"/>
      <c r="L409"/>
      <c r="M409"/>
    </row>
    <row r="410" spans="1:13">
      <c r="A410" s="2" t="s">
        <v>340</v>
      </c>
      <c r="B410" t="s">
        <v>9492</v>
      </c>
      <c r="C410" t="s">
        <v>9440</v>
      </c>
      <c r="D410" t="s">
        <v>9476</v>
      </c>
      <c r="K410"/>
      <c r="L410"/>
      <c r="M410"/>
    </row>
    <row r="411" spans="1:13">
      <c r="A411" s="2" t="s">
        <v>333</v>
      </c>
      <c r="B411" t="s">
        <v>9492</v>
      </c>
      <c r="C411" t="s">
        <v>9440</v>
      </c>
      <c r="D411" t="s">
        <v>9476</v>
      </c>
      <c r="K411"/>
      <c r="L411"/>
      <c r="M411"/>
    </row>
    <row r="412" spans="1:13">
      <c r="A412" s="2" t="s">
        <v>369</v>
      </c>
      <c r="B412" t="s">
        <v>9492</v>
      </c>
      <c r="C412" t="s">
        <v>9440</v>
      </c>
      <c r="D412" t="s">
        <v>9476</v>
      </c>
      <c r="K412"/>
      <c r="L412"/>
      <c r="M412"/>
    </row>
    <row r="413" spans="1:13">
      <c r="A413" s="2" t="s">
        <v>368</v>
      </c>
      <c r="B413" t="s">
        <v>9492</v>
      </c>
      <c r="C413" t="s">
        <v>9440</v>
      </c>
      <c r="D413" t="s">
        <v>9476</v>
      </c>
      <c r="K413"/>
      <c r="L413"/>
      <c r="M413"/>
    </row>
    <row r="414" spans="1:13">
      <c r="A414" s="2" t="s">
        <v>366</v>
      </c>
      <c r="B414" t="s">
        <v>9492</v>
      </c>
      <c r="C414" t="s">
        <v>9440</v>
      </c>
      <c r="D414" t="s">
        <v>9476</v>
      </c>
      <c r="K414"/>
      <c r="L414"/>
      <c r="M414"/>
    </row>
    <row r="415" spans="1:13">
      <c r="A415" s="2" t="s">
        <v>343</v>
      </c>
      <c r="B415" t="s">
        <v>9492</v>
      </c>
      <c r="C415" t="s">
        <v>9440</v>
      </c>
      <c r="D415" t="s">
        <v>9476</v>
      </c>
      <c r="K415"/>
      <c r="L415"/>
      <c r="M415"/>
    </row>
    <row r="416" spans="1:13">
      <c r="A416" s="2" t="s">
        <v>339</v>
      </c>
      <c r="B416" t="s">
        <v>9492</v>
      </c>
      <c r="C416" t="s">
        <v>9440</v>
      </c>
      <c r="D416" t="s">
        <v>9476</v>
      </c>
      <c r="K416"/>
      <c r="L416"/>
      <c r="M416"/>
    </row>
    <row r="417" spans="1:13">
      <c r="A417" s="2" t="s">
        <v>329</v>
      </c>
      <c r="B417" t="s">
        <v>9492</v>
      </c>
      <c r="C417" t="s">
        <v>9440</v>
      </c>
      <c r="D417" t="s">
        <v>9476</v>
      </c>
      <c r="K417"/>
      <c r="L417"/>
      <c r="M417"/>
    </row>
    <row r="418" spans="1:13">
      <c r="A418" s="2" t="s">
        <v>350</v>
      </c>
      <c r="B418" t="s">
        <v>9492</v>
      </c>
      <c r="C418" t="s">
        <v>9440</v>
      </c>
      <c r="D418" t="s">
        <v>9476</v>
      </c>
      <c r="K418"/>
      <c r="L418"/>
      <c r="M418"/>
    </row>
    <row r="419" spans="1:13">
      <c r="A419" s="2" t="s">
        <v>358</v>
      </c>
      <c r="B419" t="s">
        <v>9492</v>
      </c>
      <c r="C419" t="s">
        <v>9440</v>
      </c>
      <c r="D419" t="s">
        <v>9476</v>
      </c>
      <c r="K419"/>
      <c r="L419"/>
      <c r="M419"/>
    </row>
    <row r="420" spans="1:13">
      <c r="A420" s="2" t="s">
        <v>374</v>
      </c>
      <c r="B420" t="s">
        <v>9492</v>
      </c>
      <c r="C420" t="s">
        <v>9440</v>
      </c>
      <c r="D420" t="s">
        <v>9476</v>
      </c>
      <c r="K420"/>
      <c r="L420"/>
      <c r="M420"/>
    </row>
    <row r="421" spans="1:13">
      <c r="A421" s="2" t="s">
        <v>328</v>
      </c>
      <c r="B421" t="s">
        <v>9492</v>
      </c>
      <c r="C421" t="s">
        <v>9440</v>
      </c>
      <c r="D421" t="s">
        <v>9476</v>
      </c>
      <c r="K421"/>
      <c r="L421"/>
      <c r="M421"/>
    </row>
    <row r="422" spans="1:13">
      <c r="A422" s="2" t="s">
        <v>334</v>
      </c>
      <c r="B422" t="s">
        <v>9492</v>
      </c>
      <c r="C422" t="s">
        <v>9440</v>
      </c>
      <c r="D422" t="s">
        <v>9476</v>
      </c>
      <c r="K422"/>
      <c r="L422"/>
      <c r="M422"/>
    </row>
    <row r="423" spans="1:13">
      <c r="A423" s="2" t="s">
        <v>357</v>
      </c>
      <c r="B423" t="s">
        <v>9492</v>
      </c>
      <c r="C423" t="s">
        <v>9440</v>
      </c>
      <c r="D423" t="s">
        <v>9476</v>
      </c>
      <c r="K423"/>
      <c r="L423"/>
      <c r="M423"/>
    </row>
    <row r="424" spans="1:13">
      <c r="A424" s="2" t="s">
        <v>331</v>
      </c>
      <c r="B424" t="s">
        <v>9492</v>
      </c>
      <c r="C424" t="s">
        <v>9440</v>
      </c>
      <c r="D424" t="s">
        <v>9476</v>
      </c>
      <c r="K424"/>
      <c r="L424"/>
      <c r="M424"/>
    </row>
    <row r="425" spans="1:13">
      <c r="A425" s="2" t="s">
        <v>363</v>
      </c>
      <c r="B425" t="s">
        <v>9492</v>
      </c>
      <c r="C425" t="s">
        <v>9440</v>
      </c>
      <c r="D425" t="s">
        <v>9476</v>
      </c>
      <c r="K425"/>
      <c r="L425"/>
      <c r="M425"/>
    </row>
    <row r="426" spans="1:13">
      <c r="A426" s="2" t="s">
        <v>372</v>
      </c>
      <c r="B426" t="s">
        <v>9492</v>
      </c>
      <c r="C426" t="s">
        <v>9440</v>
      </c>
      <c r="D426" t="s">
        <v>9476</v>
      </c>
      <c r="K426"/>
      <c r="L426"/>
      <c r="M426"/>
    </row>
    <row r="427" spans="1:13">
      <c r="A427" s="2" t="s">
        <v>360</v>
      </c>
      <c r="B427" t="s">
        <v>9492</v>
      </c>
      <c r="C427" t="s">
        <v>9440</v>
      </c>
      <c r="D427" t="s">
        <v>9476</v>
      </c>
      <c r="K427"/>
      <c r="L427"/>
      <c r="M427"/>
    </row>
    <row r="428" spans="1:13">
      <c r="A428" s="2" t="s">
        <v>354</v>
      </c>
      <c r="B428" t="s">
        <v>9492</v>
      </c>
      <c r="C428" t="s">
        <v>9440</v>
      </c>
      <c r="D428" t="s">
        <v>9476</v>
      </c>
      <c r="K428"/>
      <c r="L428"/>
      <c r="M428"/>
    </row>
    <row r="429" spans="1:13">
      <c r="A429" s="2" t="s">
        <v>342</v>
      </c>
      <c r="B429" t="s">
        <v>9492</v>
      </c>
      <c r="C429" t="s">
        <v>9440</v>
      </c>
      <c r="D429" t="s">
        <v>9476</v>
      </c>
      <c r="K429"/>
      <c r="L429"/>
      <c r="M429"/>
    </row>
    <row r="430" spans="1:13">
      <c r="A430" s="2" t="s">
        <v>754</v>
      </c>
      <c r="B430" t="s">
        <v>9492</v>
      </c>
      <c r="C430" t="s">
        <v>9432</v>
      </c>
      <c r="D430" t="s">
        <v>9479</v>
      </c>
      <c r="K430"/>
      <c r="L430"/>
      <c r="M430"/>
    </row>
    <row r="431" spans="1:13">
      <c r="A431" s="2" t="s">
        <v>753</v>
      </c>
      <c r="B431" t="s">
        <v>9492</v>
      </c>
      <c r="C431" t="s">
        <v>9432</v>
      </c>
      <c r="D431" t="s">
        <v>9479</v>
      </c>
      <c r="K431"/>
      <c r="L431"/>
      <c r="M431"/>
    </row>
    <row r="432" spans="1:13">
      <c r="A432" s="2" t="s">
        <v>349</v>
      </c>
      <c r="B432" t="s">
        <v>9492</v>
      </c>
      <c r="C432" t="s">
        <v>9440</v>
      </c>
      <c r="D432" t="s">
        <v>9476</v>
      </c>
      <c r="K432"/>
      <c r="L432"/>
      <c r="M432"/>
    </row>
    <row r="433" spans="1:13">
      <c r="A433" s="2" t="s">
        <v>336</v>
      </c>
      <c r="B433" t="s">
        <v>9492</v>
      </c>
      <c r="C433" t="s">
        <v>9440</v>
      </c>
      <c r="D433" t="s">
        <v>9476</v>
      </c>
      <c r="K433"/>
      <c r="L433"/>
      <c r="M433"/>
    </row>
    <row r="434" spans="1:13">
      <c r="A434" s="2" t="s">
        <v>365</v>
      </c>
      <c r="B434" t="s">
        <v>9492</v>
      </c>
      <c r="C434" t="s">
        <v>9440</v>
      </c>
      <c r="D434" t="s">
        <v>9476</v>
      </c>
      <c r="K434"/>
      <c r="L434"/>
      <c r="M434"/>
    </row>
    <row r="435" spans="1:13">
      <c r="A435" s="2" t="s">
        <v>338</v>
      </c>
      <c r="B435" t="s">
        <v>9492</v>
      </c>
      <c r="C435" t="s">
        <v>9440</v>
      </c>
      <c r="D435" t="s">
        <v>9476</v>
      </c>
      <c r="K435"/>
      <c r="L435"/>
      <c r="M435"/>
    </row>
    <row r="436" spans="1:13">
      <c r="A436" s="2" t="s">
        <v>353</v>
      </c>
      <c r="B436" t="s">
        <v>9492</v>
      </c>
      <c r="C436" t="s">
        <v>9440</v>
      </c>
      <c r="D436" t="s">
        <v>9476</v>
      </c>
      <c r="K436"/>
      <c r="L436"/>
      <c r="M436"/>
    </row>
    <row r="437" spans="1:13">
      <c r="A437" s="2" t="s">
        <v>332</v>
      </c>
      <c r="B437" t="s">
        <v>9492</v>
      </c>
      <c r="C437" t="s">
        <v>9440</v>
      </c>
      <c r="D437" t="s">
        <v>9476</v>
      </c>
      <c r="K437"/>
      <c r="L437"/>
      <c r="M437"/>
    </row>
    <row r="438" spans="1:13">
      <c r="A438" s="2" t="s">
        <v>330</v>
      </c>
      <c r="B438" t="s">
        <v>9492</v>
      </c>
      <c r="C438" t="s">
        <v>9440</v>
      </c>
      <c r="D438" t="s">
        <v>9476</v>
      </c>
      <c r="K438"/>
      <c r="L438"/>
      <c r="M438"/>
    </row>
    <row r="439" spans="1:13">
      <c r="A439" s="2" t="s">
        <v>345</v>
      </c>
      <c r="B439" t="s">
        <v>9492</v>
      </c>
      <c r="C439" t="s">
        <v>9440</v>
      </c>
      <c r="D439" t="s">
        <v>9476</v>
      </c>
      <c r="K439"/>
      <c r="L439"/>
      <c r="M439"/>
    </row>
    <row r="440" spans="1:13">
      <c r="A440" s="2" t="s">
        <v>341</v>
      </c>
      <c r="B440" t="s">
        <v>9492</v>
      </c>
      <c r="C440" t="s">
        <v>9440</v>
      </c>
      <c r="D440" t="s">
        <v>9476</v>
      </c>
      <c r="K440"/>
      <c r="L440"/>
      <c r="M440"/>
    </row>
    <row r="441" spans="1:13">
      <c r="A441" s="2" t="s">
        <v>351</v>
      </c>
      <c r="B441" t="s">
        <v>9492</v>
      </c>
      <c r="C441" t="s">
        <v>9440</v>
      </c>
      <c r="D441" t="s">
        <v>9476</v>
      </c>
      <c r="K441"/>
      <c r="L441"/>
      <c r="M441"/>
    </row>
    <row r="442" spans="1:13">
      <c r="A442" s="2" t="s">
        <v>361</v>
      </c>
      <c r="B442" t="s">
        <v>9492</v>
      </c>
      <c r="C442" t="s">
        <v>9440</v>
      </c>
      <c r="D442" t="s">
        <v>9476</v>
      </c>
      <c r="K442"/>
      <c r="L442"/>
      <c r="M442"/>
    </row>
    <row r="443" spans="1:13">
      <c r="A443" s="2" t="s">
        <v>364</v>
      </c>
      <c r="B443" t="s">
        <v>9492</v>
      </c>
      <c r="C443" t="s">
        <v>9440</v>
      </c>
      <c r="D443" t="s">
        <v>9476</v>
      </c>
      <c r="K443"/>
      <c r="L443"/>
      <c r="M443"/>
    </row>
    <row r="444" spans="1:13">
      <c r="A444" s="2" t="s">
        <v>355</v>
      </c>
      <c r="B444" t="s">
        <v>9492</v>
      </c>
      <c r="C444" t="s">
        <v>9440</v>
      </c>
      <c r="D444" t="s">
        <v>9476</v>
      </c>
      <c r="K444"/>
      <c r="L444"/>
      <c r="M444"/>
    </row>
    <row r="445" spans="1:13">
      <c r="A445" s="2" t="s">
        <v>352</v>
      </c>
      <c r="B445" t="s">
        <v>9492</v>
      </c>
      <c r="C445" t="s">
        <v>9440</v>
      </c>
      <c r="D445" t="s">
        <v>9476</v>
      </c>
      <c r="K445"/>
      <c r="L445"/>
      <c r="M445"/>
    </row>
    <row r="446" spans="1:13">
      <c r="A446" s="2" t="s">
        <v>371</v>
      </c>
      <c r="B446" t="s">
        <v>9492</v>
      </c>
      <c r="C446" t="s">
        <v>9440</v>
      </c>
      <c r="D446" t="s">
        <v>9476</v>
      </c>
      <c r="K446"/>
      <c r="L446"/>
      <c r="M446"/>
    </row>
    <row r="447" spans="1:13">
      <c r="A447" s="2" t="s">
        <v>337</v>
      </c>
      <c r="B447" t="s">
        <v>9492</v>
      </c>
      <c r="C447" t="s">
        <v>9440</v>
      </c>
      <c r="D447" t="s">
        <v>9476</v>
      </c>
      <c r="K447"/>
      <c r="L447"/>
      <c r="M447"/>
    </row>
    <row r="448" spans="1:13">
      <c r="A448" s="2" t="s">
        <v>348</v>
      </c>
      <c r="B448" t="s">
        <v>9492</v>
      </c>
      <c r="C448" t="s">
        <v>9440</v>
      </c>
      <c r="D448" t="s">
        <v>9476</v>
      </c>
      <c r="K448"/>
      <c r="L448"/>
      <c r="M448"/>
    </row>
    <row r="449" spans="1:13">
      <c r="A449" s="2" t="s">
        <v>344</v>
      </c>
      <c r="B449" t="s">
        <v>9492</v>
      </c>
      <c r="C449" t="s">
        <v>9440</v>
      </c>
      <c r="D449" t="s">
        <v>9476</v>
      </c>
      <c r="K449"/>
      <c r="L449"/>
      <c r="M449"/>
    </row>
    <row r="450" spans="1:13">
      <c r="A450" s="2" t="s">
        <v>376</v>
      </c>
      <c r="B450" t="s">
        <v>9492</v>
      </c>
      <c r="C450" t="s">
        <v>9440</v>
      </c>
      <c r="D450" t="s">
        <v>9476</v>
      </c>
      <c r="K450"/>
      <c r="L450"/>
      <c r="M450"/>
    </row>
    <row r="451" spans="1:13">
      <c r="A451" s="2" t="s">
        <v>377</v>
      </c>
      <c r="B451" t="s">
        <v>9492</v>
      </c>
      <c r="C451" t="s">
        <v>9440</v>
      </c>
      <c r="D451" t="s">
        <v>9476</v>
      </c>
      <c r="K451"/>
      <c r="L451"/>
      <c r="M451"/>
    </row>
    <row r="452" spans="1:13">
      <c r="A452" s="2" t="s">
        <v>346</v>
      </c>
      <c r="B452" t="s">
        <v>9492</v>
      </c>
      <c r="C452" t="s">
        <v>9440</v>
      </c>
      <c r="D452" t="s">
        <v>9476</v>
      </c>
      <c r="K452"/>
      <c r="L452"/>
      <c r="M452"/>
    </row>
    <row r="453" spans="1:13">
      <c r="A453" s="2" t="s">
        <v>375</v>
      </c>
      <c r="B453" t="s">
        <v>9492</v>
      </c>
      <c r="C453" t="s">
        <v>9440</v>
      </c>
      <c r="D453" t="s">
        <v>9476</v>
      </c>
      <c r="K453"/>
      <c r="L453"/>
      <c r="M453"/>
    </row>
    <row r="454" spans="1:13">
      <c r="A454" s="2" t="s">
        <v>347</v>
      </c>
      <c r="B454" t="s">
        <v>9492</v>
      </c>
      <c r="C454" t="s">
        <v>9440</v>
      </c>
      <c r="D454" t="s">
        <v>9476</v>
      </c>
      <c r="K454"/>
      <c r="L454"/>
      <c r="M454"/>
    </row>
    <row r="455" spans="1:13">
      <c r="A455" s="2" t="s">
        <v>359</v>
      </c>
      <c r="B455" t="s">
        <v>9492</v>
      </c>
      <c r="C455" t="s">
        <v>9440</v>
      </c>
      <c r="D455" t="s">
        <v>9476</v>
      </c>
      <c r="K455"/>
      <c r="L455"/>
      <c r="M455"/>
    </row>
    <row r="456" spans="1:13">
      <c r="A456" s="2" t="s">
        <v>327</v>
      </c>
      <c r="B456" t="s">
        <v>9492</v>
      </c>
      <c r="C456" t="s">
        <v>9440</v>
      </c>
      <c r="D456" t="s">
        <v>9476</v>
      </c>
      <c r="K456"/>
      <c r="L456"/>
      <c r="M456"/>
    </row>
    <row r="457" spans="1:13">
      <c r="A457" s="2" t="s">
        <v>362</v>
      </c>
      <c r="B457" t="s">
        <v>9492</v>
      </c>
      <c r="C457" t="s">
        <v>9440</v>
      </c>
      <c r="D457" t="s">
        <v>9476</v>
      </c>
      <c r="K457"/>
      <c r="L457"/>
      <c r="M457"/>
    </row>
    <row r="458" spans="1:13">
      <c r="A458" s="2" t="s">
        <v>335</v>
      </c>
      <c r="B458" t="s">
        <v>9492</v>
      </c>
      <c r="C458" t="s">
        <v>9440</v>
      </c>
      <c r="D458" t="s">
        <v>9476</v>
      </c>
      <c r="K458"/>
      <c r="L458"/>
      <c r="M458"/>
    </row>
    <row r="459" spans="1:13">
      <c r="A459" s="2" t="s">
        <v>356</v>
      </c>
      <c r="B459" t="s">
        <v>9492</v>
      </c>
      <c r="C459" t="s">
        <v>9440</v>
      </c>
      <c r="D459" t="s">
        <v>9476</v>
      </c>
      <c r="K459"/>
      <c r="L459"/>
      <c r="M459"/>
    </row>
    <row r="460" spans="1:13">
      <c r="A460" s="2" t="s">
        <v>767</v>
      </c>
      <c r="B460" t="s">
        <v>9492</v>
      </c>
      <c r="C460" t="s">
        <v>9462</v>
      </c>
      <c r="D460" t="s">
        <v>9474</v>
      </c>
      <c r="K460"/>
      <c r="L460"/>
      <c r="M460"/>
    </row>
    <row r="461" spans="1:13">
      <c r="A461" s="2" t="s">
        <v>769</v>
      </c>
      <c r="B461" t="s">
        <v>9492</v>
      </c>
      <c r="C461" t="s">
        <v>9462</v>
      </c>
      <c r="D461" t="s">
        <v>9474</v>
      </c>
      <c r="K461"/>
      <c r="L461"/>
      <c r="M461"/>
    </row>
    <row r="462" spans="1:13">
      <c r="A462" s="2" t="s">
        <v>768</v>
      </c>
      <c r="B462" t="s">
        <v>9492</v>
      </c>
      <c r="C462" t="s">
        <v>9462</v>
      </c>
      <c r="D462" t="s">
        <v>9474</v>
      </c>
      <c r="K462"/>
      <c r="L462"/>
      <c r="M462"/>
    </row>
    <row r="463" spans="1:13">
      <c r="A463" s="2" t="s">
        <v>764</v>
      </c>
      <c r="B463" t="s">
        <v>9492</v>
      </c>
      <c r="C463" t="s">
        <v>9462</v>
      </c>
      <c r="D463" t="s">
        <v>9474</v>
      </c>
      <c r="K463"/>
      <c r="L463"/>
      <c r="M463"/>
    </row>
    <row r="464" spans="1:13">
      <c r="A464" s="2" t="s">
        <v>766</v>
      </c>
      <c r="B464" t="s">
        <v>9492</v>
      </c>
      <c r="C464" t="s">
        <v>9462</v>
      </c>
      <c r="D464" t="s">
        <v>9474</v>
      </c>
      <c r="K464"/>
      <c r="L464"/>
      <c r="M464"/>
    </row>
    <row r="465" spans="1:13">
      <c r="A465" s="2" t="s">
        <v>765</v>
      </c>
      <c r="B465" t="s">
        <v>9492</v>
      </c>
      <c r="C465" t="s">
        <v>9462</v>
      </c>
      <c r="D465" t="s">
        <v>9474</v>
      </c>
      <c r="K465"/>
      <c r="L465"/>
      <c r="M465"/>
    </row>
    <row r="466" spans="1:13">
      <c r="A466" s="2" t="s">
        <v>770</v>
      </c>
      <c r="B466" t="s">
        <v>9492</v>
      </c>
      <c r="C466" t="s">
        <v>9462</v>
      </c>
      <c r="D466" t="s">
        <v>9474</v>
      </c>
      <c r="K466"/>
      <c r="L466"/>
      <c r="M466"/>
    </row>
    <row r="467" spans="1:13">
      <c r="A467" s="2" t="s">
        <v>772</v>
      </c>
      <c r="B467" t="s">
        <v>9492</v>
      </c>
      <c r="C467" t="s">
        <v>9462</v>
      </c>
      <c r="D467" t="s">
        <v>9474</v>
      </c>
      <c r="K467"/>
      <c r="L467"/>
      <c r="M467"/>
    </row>
    <row r="468" spans="1:13">
      <c r="A468" s="2" t="s">
        <v>771</v>
      </c>
      <c r="B468" t="s">
        <v>9492</v>
      </c>
      <c r="C468" t="s">
        <v>9462</v>
      </c>
      <c r="D468" t="s">
        <v>9474</v>
      </c>
      <c r="K468"/>
      <c r="L468"/>
      <c r="M468"/>
    </row>
    <row r="469" spans="1:13">
      <c r="A469" s="2" t="s">
        <v>773</v>
      </c>
      <c r="B469" t="s">
        <v>9492</v>
      </c>
      <c r="C469" t="s">
        <v>9462</v>
      </c>
      <c r="D469" t="s">
        <v>9474</v>
      </c>
      <c r="K469"/>
      <c r="L469"/>
      <c r="M469"/>
    </row>
    <row r="470" spans="1:13">
      <c r="A470" s="2" t="s">
        <v>774</v>
      </c>
      <c r="B470" t="s">
        <v>9492</v>
      </c>
      <c r="C470" t="s">
        <v>9462</v>
      </c>
      <c r="D470" t="s">
        <v>9474</v>
      </c>
      <c r="K470"/>
      <c r="L470"/>
      <c r="M470"/>
    </row>
    <row r="471" spans="1:13">
      <c r="A471" s="2" t="s">
        <v>779</v>
      </c>
      <c r="B471" t="s">
        <v>9492</v>
      </c>
      <c r="C471" t="s">
        <v>9462</v>
      </c>
      <c r="D471" t="s">
        <v>9474</v>
      </c>
      <c r="K471"/>
      <c r="L471"/>
      <c r="M471"/>
    </row>
    <row r="472" spans="1:13">
      <c r="A472" s="2" t="s">
        <v>781</v>
      </c>
      <c r="B472" t="s">
        <v>9492</v>
      </c>
      <c r="C472" t="s">
        <v>9462</v>
      </c>
      <c r="D472" t="s">
        <v>9474</v>
      </c>
      <c r="K472"/>
      <c r="L472"/>
      <c r="M472"/>
    </row>
    <row r="473" spans="1:13">
      <c r="A473" s="2" t="s">
        <v>780</v>
      </c>
      <c r="B473" t="s">
        <v>9492</v>
      </c>
      <c r="C473" t="s">
        <v>9462</v>
      </c>
      <c r="D473" t="s">
        <v>9474</v>
      </c>
      <c r="K473"/>
      <c r="L473"/>
      <c r="M473"/>
    </row>
    <row r="474" spans="1:13">
      <c r="A474" s="2" t="s">
        <v>782</v>
      </c>
      <c r="B474" t="s">
        <v>9492</v>
      </c>
      <c r="C474" t="s">
        <v>9462</v>
      </c>
      <c r="D474" t="s">
        <v>9474</v>
      </c>
      <c r="K474"/>
      <c r="L474"/>
      <c r="M474"/>
    </row>
    <row r="475" spans="1:13">
      <c r="A475" s="2" t="s">
        <v>784</v>
      </c>
      <c r="B475" t="s">
        <v>9492</v>
      </c>
      <c r="C475" t="s">
        <v>9462</v>
      </c>
      <c r="D475" t="s">
        <v>9474</v>
      </c>
      <c r="K475"/>
      <c r="L475"/>
      <c r="M475"/>
    </row>
    <row r="476" spans="1:13">
      <c r="A476" s="2" t="s">
        <v>783</v>
      </c>
      <c r="B476" t="s">
        <v>9492</v>
      </c>
      <c r="C476" t="s">
        <v>9462</v>
      </c>
      <c r="D476" t="s">
        <v>9474</v>
      </c>
      <c r="K476"/>
      <c r="L476"/>
      <c r="M476"/>
    </row>
    <row r="477" spans="1:13">
      <c r="A477" s="2" t="s">
        <v>776</v>
      </c>
      <c r="B477" t="s">
        <v>9492</v>
      </c>
      <c r="C477" t="s">
        <v>9462</v>
      </c>
      <c r="D477" t="s">
        <v>9474</v>
      </c>
      <c r="K477"/>
      <c r="L477"/>
      <c r="M477"/>
    </row>
    <row r="478" spans="1:13">
      <c r="A478" s="2" t="s">
        <v>775</v>
      </c>
      <c r="B478" t="s">
        <v>9492</v>
      </c>
      <c r="C478" t="s">
        <v>9462</v>
      </c>
      <c r="D478" t="s">
        <v>9474</v>
      </c>
      <c r="K478"/>
      <c r="L478"/>
      <c r="M478"/>
    </row>
    <row r="479" spans="1:13">
      <c r="A479" s="2" t="s">
        <v>778</v>
      </c>
      <c r="B479" t="s">
        <v>9492</v>
      </c>
      <c r="C479" t="s">
        <v>9462</v>
      </c>
      <c r="D479" t="s">
        <v>9474</v>
      </c>
      <c r="K479"/>
      <c r="L479"/>
      <c r="M479"/>
    </row>
    <row r="480" spans="1:13">
      <c r="A480" s="2" t="s">
        <v>777</v>
      </c>
      <c r="B480" t="s">
        <v>9492</v>
      </c>
      <c r="C480" t="s">
        <v>9462</v>
      </c>
      <c r="D480" t="s">
        <v>9474</v>
      </c>
      <c r="K480"/>
      <c r="L480"/>
      <c r="M480"/>
    </row>
    <row r="481" spans="1:13">
      <c r="A481" s="2" t="s">
        <v>788</v>
      </c>
      <c r="B481" t="s">
        <v>9492</v>
      </c>
      <c r="C481" t="s">
        <v>9462</v>
      </c>
      <c r="D481" t="s">
        <v>9474</v>
      </c>
      <c r="K481"/>
      <c r="L481"/>
      <c r="M481"/>
    </row>
    <row r="482" spans="1:13">
      <c r="A482" s="2" t="s">
        <v>790</v>
      </c>
      <c r="B482" t="s">
        <v>9492</v>
      </c>
      <c r="C482" t="s">
        <v>9462</v>
      </c>
      <c r="D482" t="s">
        <v>9474</v>
      </c>
      <c r="K482"/>
      <c r="L482"/>
      <c r="M482"/>
    </row>
    <row r="483" spans="1:13">
      <c r="A483" s="2" t="s">
        <v>789</v>
      </c>
      <c r="B483" t="s">
        <v>9492</v>
      </c>
      <c r="C483" t="s">
        <v>9462</v>
      </c>
      <c r="D483" t="s">
        <v>9474</v>
      </c>
      <c r="K483"/>
      <c r="L483"/>
      <c r="M483"/>
    </row>
    <row r="484" spans="1:13">
      <c r="A484" s="2" t="s">
        <v>799</v>
      </c>
      <c r="B484" t="s">
        <v>9492</v>
      </c>
      <c r="C484" t="s">
        <v>9462</v>
      </c>
      <c r="D484" t="s">
        <v>9474</v>
      </c>
      <c r="K484"/>
      <c r="L484"/>
      <c r="M484"/>
    </row>
    <row r="485" spans="1:13">
      <c r="A485" s="2" t="s">
        <v>791</v>
      </c>
      <c r="B485" t="s">
        <v>9492</v>
      </c>
      <c r="C485" t="s">
        <v>9462</v>
      </c>
      <c r="D485" t="s">
        <v>9474</v>
      </c>
      <c r="K485"/>
      <c r="L485"/>
      <c r="M485"/>
    </row>
    <row r="486" spans="1:13">
      <c r="A486" s="2" t="s">
        <v>801</v>
      </c>
      <c r="B486" t="s">
        <v>9492</v>
      </c>
      <c r="C486" t="s">
        <v>9462</v>
      </c>
      <c r="D486" t="s">
        <v>9474</v>
      </c>
      <c r="K486"/>
      <c r="L486"/>
      <c r="M486"/>
    </row>
    <row r="487" spans="1:13">
      <c r="A487" s="2" t="s">
        <v>802</v>
      </c>
      <c r="B487" t="s">
        <v>9492</v>
      </c>
      <c r="C487" t="s">
        <v>9462</v>
      </c>
      <c r="D487" t="s">
        <v>9475</v>
      </c>
      <c r="K487"/>
      <c r="L487"/>
      <c r="M487"/>
    </row>
    <row r="488" spans="1:13">
      <c r="A488" s="2" t="s">
        <v>804</v>
      </c>
      <c r="B488" t="s">
        <v>9492</v>
      </c>
      <c r="C488" t="s">
        <v>9462</v>
      </c>
      <c r="D488" t="s">
        <v>9474</v>
      </c>
      <c r="K488"/>
      <c r="L488"/>
      <c r="M488"/>
    </row>
    <row r="489" spans="1:13">
      <c r="A489" s="2" t="s">
        <v>803</v>
      </c>
      <c r="B489" t="s">
        <v>9492</v>
      </c>
      <c r="C489" t="s">
        <v>9462</v>
      </c>
      <c r="D489" t="s">
        <v>9475</v>
      </c>
      <c r="K489"/>
      <c r="L489"/>
      <c r="M489"/>
    </row>
    <row r="490" spans="1:13">
      <c r="A490" s="2" t="s">
        <v>792</v>
      </c>
      <c r="B490" t="s">
        <v>9492</v>
      </c>
      <c r="C490" t="s">
        <v>9462</v>
      </c>
      <c r="D490" t="s">
        <v>9474</v>
      </c>
      <c r="K490"/>
      <c r="L490"/>
      <c r="M490"/>
    </row>
    <row r="491" spans="1:13">
      <c r="A491" s="2" t="s">
        <v>794</v>
      </c>
      <c r="B491" t="s">
        <v>9492</v>
      </c>
      <c r="C491" t="s">
        <v>9462</v>
      </c>
      <c r="D491" t="s">
        <v>9474</v>
      </c>
      <c r="K491"/>
      <c r="L491"/>
      <c r="M491"/>
    </row>
    <row r="492" spans="1:13">
      <c r="A492" s="2" t="s">
        <v>793</v>
      </c>
      <c r="B492" t="s">
        <v>9492</v>
      </c>
      <c r="C492" t="s">
        <v>9462</v>
      </c>
      <c r="D492" t="s">
        <v>9474</v>
      </c>
      <c r="K492"/>
      <c r="L492"/>
      <c r="M492"/>
    </row>
    <row r="493" spans="1:13">
      <c r="A493" s="2" t="s">
        <v>785</v>
      </c>
      <c r="B493" t="s">
        <v>9492</v>
      </c>
      <c r="C493" t="s">
        <v>9462</v>
      </c>
      <c r="D493" t="s">
        <v>9474</v>
      </c>
      <c r="K493"/>
      <c r="L493"/>
      <c r="M493"/>
    </row>
    <row r="494" spans="1:13">
      <c r="A494" s="2" t="s">
        <v>787</v>
      </c>
      <c r="B494" t="s">
        <v>9492</v>
      </c>
      <c r="C494" t="s">
        <v>9462</v>
      </c>
      <c r="D494" t="s">
        <v>9474</v>
      </c>
      <c r="K494"/>
      <c r="L494"/>
      <c r="M494"/>
    </row>
    <row r="495" spans="1:13">
      <c r="A495" s="2" t="s">
        <v>786</v>
      </c>
      <c r="B495" t="s">
        <v>9492</v>
      </c>
      <c r="C495" t="s">
        <v>9462</v>
      </c>
      <c r="D495" t="s">
        <v>9474</v>
      </c>
      <c r="K495"/>
      <c r="L495"/>
      <c r="M495"/>
    </row>
    <row r="496" spans="1:13">
      <c r="A496" s="2" t="s">
        <v>796</v>
      </c>
      <c r="B496" t="s">
        <v>9492</v>
      </c>
      <c r="C496" t="s">
        <v>9462</v>
      </c>
      <c r="D496" t="s">
        <v>9474</v>
      </c>
      <c r="K496"/>
      <c r="L496"/>
      <c r="M496"/>
    </row>
    <row r="497" spans="1:13">
      <c r="A497" s="2" t="s">
        <v>795</v>
      </c>
      <c r="B497" t="s">
        <v>9492</v>
      </c>
      <c r="C497" t="s">
        <v>9462</v>
      </c>
      <c r="D497" t="s">
        <v>9474</v>
      </c>
      <c r="K497"/>
      <c r="L497"/>
      <c r="M497"/>
    </row>
    <row r="498" spans="1:13">
      <c r="A498" s="2" t="s">
        <v>800</v>
      </c>
      <c r="B498" t="s">
        <v>9492</v>
      </c>
      <c r="C498" t="s">
        <v>9462</v>
      </c>
      <c r="D498" t="s">
        <v>9474</v>
      </c>
      <c r="K498"/>
      <c r="L498"/>
      <c r="M498"/>
    </row>
    <row r="499" spans="1:13">
      <c r="A499" s="2" t="s">
        <v>797</v>
      </c>
      <c r="B499" t="s">
        <v>9492</v>
      </c>
      <c r="C499" t="s">
        <v>9462</v>
      </c>
      <c r="D499" t="s">
        <v>9474</v>
      </c>
      <c r="K499"/>
      <c r="L499"/>
      <c r="M499"/>
    </row>
    <row r="500" spans="1:13">
      <c r="A500" s="2" t="s">
        <v>798</v>
      </c>
      <c r="B500" t="s">
        <v>9492</v>
      </c>
      <c r="C500" t="s">
        <v>9462</v>
      </c>
      <c r="D500" t="s">
        <v>9474</v>
      </c>
      <c r="K500"/>
      <c r="L500"/>
      <c r="M500"/>
    </row>
    <row r="501" spans="1:13">
      <c r="A501" s="2" t="s">
        <v>816</v>
      </c>
      <c r="B501" t="s">
        <v>9492</v>
      </c>
      <c r="C501" t="s">
        <v>9462</v>
      </c>
      <c r="D501" t="s">
        <v>9474</v>
      </c>
      <c r="K501"/>
      <c r="L501"/>
      <c r="M501"/>
    </row>
    <row r="502" spans="1:13">
      <c r="A502" s="2" t="s">
        <v>815</v>
      </c>
      <c r="B502" t="s">
        <v>9492</v>
      </c>
      <c r="C502" t="s">
        <v>9462</v>
      </c>
      <c r="D502" t="s">
        <v>9474</v>
      </c>
      <c r="K502"/>
      <c r="L502"/>
      <c r="M502"/>
    </row>
    <row r="503" spans="1:13">
      <c r="A503" s="2" t="s">
        <v>820</v>
      </c>
      <c r="B503" t="s">
        <v>9492</v>
      </c>
      <c r="C503" t="s">
        <v>9462</v>
      </c>
      <c r="D503" t="s">
        <v>9474</v>
      </c>
      <c r="K503"/>
      <c r="L503"/>
      <c r="M503"/>
    </row>
    <row r="504" spans="1:13">
      <c r="A504" s="2" t="s">
        <v>817</v>
      </c>
      <c r="B504" t="s">
        <v>9492</v>
      </c>
      <c r="C504" t="s">
        <v>9462</v>
      </c>
      <c r="D504" t="s">
        <v>9474</v>
      </c>
      <c r="K504"/>
      <c r="L504"/>
      <c r="M504"/>
    </row>
    <row r="505" spans="1:13">
      <c r="A505" s="2" t="s">
        <v>809</v>
      </c>
      <c r="B505" t="s">
        <v>9492</v>
      </c>
      <c r="C505" t="s">
        <v>9462</v>
      </c>
      <c r="D505" t="s">
        <v>9474</v>
      </c>
      <c r="K505"/>
      <c r="L505"/>
      <c r="M505"/>
    </row>
    <row r="506" spans="1:13">
      <c r="A506" s="2" t="s">
        <v>805</v>
      </c>
      <c r="B506" t="s">
        <v>9492</v>
      </c>
      <c r="C506" t="s">
        <v>9462</v>
      </c>
      <c r="D506" t="s">
        <v>9474</v>
      </c>
      <c r="K506"/>
      <c r="L506"/>
      <c r="M506"/>
    </row>
    <row r="507" spans="1:13">
      <c r="A507" s="2" t="s">
        <v>808</v>
      </c>
      <c r="B507" t="s">
        <v>9492</v>
      </c>
      <c r="C507" t="s">
        <v>9462</v>
      </c>
      <c r="D507" t="s">
        <v>9474</v>
      </c>
      <c r="K507"/>
      <c r="L507"/>
      <c r="M507"/>
    </row>
    <row r="508" spans="1:13">
      <c r="A508" s="2" t="s">
        <v>819</v>
      </c>
      <c r="B508" t="s">
        <v>9492</v>
      </c>
      <c r="C508" t="s">
        <v>9462</v>
      </c>
      <c r="D508" t="s">
        <v>9474</v>
      </c>
      <c r="K508"/>
      <c r="L508"/>
      <c r="M508"/>
    </row>
    <row r="509" spans="1:13">
      <c r="A509" s="2" t="s">
        <v>818</v>
      </c>
      <c r="B509" t="s">
        <v>9492</v>
      </c>
      <c r="C509" t="s">
        <v>9462</v>
      </c>
      <c r="D509" t="s">
        <v>9474</v>
      </c>
      <c r="K509"/>
      <c r="L509"/>
      <c r="M509"/>
    </row>
    <row r="510" spans="1:13">
      <c r="A510" s="2" t="s">
        <v>806</v>
      </c>
      <c r="B510" t="s">
        <v>9492</v>
      </c>
      <c r="C510" t="s">
        <v>9462</v>
      </c>
      <c r="D510" t="s">
        <v>9474</v>
      </c>
      <c r="K510"/>
      <c r="L510"/>
      <c r="M510"/>
    </row>
    <row r="511" spans="1:13">
      <c r="A511" s="2" t="s">
        <v>810</v>
      </c>
      <c r="B511" t="s">
        <v>9492</v>
      </c>
      <c r="C511" t="s">
        <v>9462</v>
      </c>
      <c r="D511" t="s">
        <v>9474</v>
      </c>
      <c r="K511"/>
      <c r="L511"/>
      <c r="M511"/>
    </row>
    <row r="512" spans="1:13">
      <c r="A512" s="2" t="s">
        <v>812</v>
      </c>
      <c r="B512" t="s">
        <v>9492</v>
      </c>
      <c r="C512" t="s">
        <v>9462</v>
      </c>
      <c r="D512" t="s">
        <v>9474</v>
      </c>
      <c r="K512"/>
      <c r="L512"/>
      <c r="M512"/>
    </row>
    <row r="513" spans="1:13">
      <c r="A513" s="2" t="s">
        <v>811</v>
      </c>
      <c r="B513" t="s">
        <v>9492</v>
      </c>
      <c r="C513" t="s">
        <v>9462</v>
      </c>
      <c r="D513" t="s">
        <v>9474</v>
      </c>
      <c r="K513"/>
      <c r="L513"/>
      <c r="M513"/>
    </row>
    <row r="514" spans="1:13">
      <c r="A514" s="2" t="s">
        <v>807</v>
      </c>
      <c r="B514" t="s">
        <v>9492</v>
      </c>
      <c r="C514" t="s">
        <v>9462</v>
      </c>
      <c r="D514" t="s">
        <v>9474</v>
      </c>
      <c r="K514"/>
      <c r="L514"/>
      <c r="M514"/>
    </row>
    <row r="515" spans="1:13">
      <c r="A515" s="2" t="s">
        <v>814</v>
      </c>
      <c r="B515" t="s">
        <v>9492</v>
      </c>
      <c r="C515" t="s">
        <v>9462</v>
      </c>
      <c r="D515" t="s">
        <v>9474</v>
      </c>
      <c r="K515"/>
      <c r="L515"/>
      <c r="M515"/>
    </row>
    <row r="516" spans="1:13">
      <c r="A516" s="2" t="s">
        <v>813</v>
      </c>
      <c r="B516" t="s">
        <v>9492</v>
      </c>
      <c r="C516" t="s">
        <v>9462</v>
      </c>
      <c r="D516" t="s">
        <v>9474</v>
      </c>
      <c r="K516"/>
      <c r="L516"/>
      <c r="M516"/>
    </row>
    <row r="517" spans="1:13">
      <c r="A517" s="2" t="s">
        <v>821</v>
      </c>
      <c r="B517" t="s">
        <v>9492</v>
      </c>
      <c r="C517" t="s">
        <v>9462</v>
      </c>
      <c r="D517" t="s">
        <v>9474</v>
      </c>
      <c r="K517"/>
      <c r="L517"/>
      <c r="M517"/>
    </row>
    <row r="518" spans="1:13">
      <c r="A518" s="2" t="s">
        <v>825</v>
      </c>
      <c r="B518" t="s">
        <v>9492</v>
      </c>
      <c r="C518" t="s">
        <v>9462</v>
      </c>
      <c r="D518" t="s">
        <v>9474</v>
      </c>
      <c r="K518"/>
      <c r="L518"/>
      <c r="M518"/>
    </row>
    <row r="519" spans="1:13">
      <c r="A519" s="2" t="s">
        <v>826</v>
      </c>
      <c r="B519" t="s">
        <v>9492</v>
      </c>
      <c r="C519" t="s">
        <v>9462</v>
      </c>
      <c r="D519" t="s">
        <v>9474</v>
      </c>
      <c r="K519"/>
      <c r="L519"/>
      <c r="M519"/>
    </row>
    <row r="520" spans="1:13">
      <c r="A520" s="2" t="s">
        <v>823</v>
      </c>
      <c r="B520" t="s">
        <v>9492</v>
      </c>
      <c r="C520" t="s">
        <v>9462</v>
      </c>
      <c r="D520" t="s">
        <v>9474</v>
      </c>
      <c r="K520"/>
      <c r="L520"/>
      <c r="M520"/>
    </row>
    <row r="521" spans="1:13">
      <c r="A521" s="2" t="s">
        <v>824</v>
      </c>
      <c r="B521" t="s">
        <v>9492</v>
      </c>
      <c r="C521" t="s">
        <v>9462</v>
      </c>
      <c r="D521" t="s">
        <v>9474</v>
      </c>
      <c r="K521"/>
      <c r="L521"/>
      <c r="M521"/>
    </row>
    <row r="522" spans="1:13">
      <c r="A522" s="2" t="s">
        <v>822</v>
      </c>
      <c r="B522" t="s">
        <v>9492</v>
      </c>
      <c r="C522" t="s">
        <v>9462</v>
      </c>
      <c r="D522" t="s">
        <v>9474</v>
      </c>
      <c r="K522"/>
      <c r="L522"/>
      <c r="M522"/>
    </row>
    <row r="523" spans="1:13">
      <c r="A523" s="2" t="s">
        <v>827</v>
      </c>
      <c r="B523" t="s">
        <v>9492</v>
      </c>
      <c r="C523" t="s">
        <v>9462</v>
      </c>
      <c r="D523" t="s">
        <v>9474</v>
      </c>
      <c r="K523"/>
      <c r="L523"/>
      <c r="M523"/>
    </row>
    <row r="524" spans="1:13">
      <c r="A524" s="2" t="s">
        <v>828</v>
      </c>
      <c r="B524" t="s">
        <v>9492</v>
      </c>
      <c r="C524" t="s">
        <v>9462</v>
      </c>
      <c r="D524" t="s">
        <v>9474</v>
      </c>
      <c r="K524"/>
      <c r="L524"/>
      <c r="M524"/>
    </row>
    <row r="525" spans="1:13">
      <c r="A525" s="2" t="s">
        <v>830</v>
      </c>
      <c r="B525" t="s">
        <v>9492</v>
      </c>
      <c r="C525" t="s">
        <v>9462</v>
      </c>
      <c r="D525" t="s">
        <v>9474</v>
      </c>
      <c r="K525"/>
      <c r="L525"/>
      <c r="M525"/>
    </row>
    <row r="526" spans="1:13">
      <c r="A526" s="2" t="s">
        <v>829</v>
      </c>
      <c r="B526" t="s">
        <v>9492</v>
      </c>
      <c r="C526" t="s">
        <v>9462</v>
      </c>
      <c r="D526" t="s">
        <v>9474</v>
      </c>
      <c r="K526"/>
      <c r="L526"/>
      <c r="M526"/>
    </row>
    <row r="527" spans="1:13">
      <c r="A527" s="2" t="s">
        <v>831</v>
      </c>
      <c r="B527" t="s">
        <v>9492</v>
      </c>
      <c r="C527" t="s">
        <v>9462</v>
      </c>
      <c r="D527" t="s">
        <v>9474</v>
      </c>
      <c r="K527"/>
      <c r="L527"/>
      <c r="M527"/>
    </row>
    <row r="528" spans="1:13">
      <c r="A528" s="2" t="s">
        <v>832</v>
      </c>
      <c r="B528" t="s">
        <v>9492</v>
      </c>
      <c r="C528" t="s">
        <v>9462</v>
      </c>
      <c r="D528" t="s">
        <v>9474</v>
      </c>
      <c r="K528"/>
      <c r="L528"/>
      <c r="M528"/>
    </row>
    <row r="529" spans="1:13">
      <c r="A529" s="2" t="s">
        <v>833</v>
      </c>
      <c r="B529" t="s">
        <v>9492</v>
      </c>
      <c r="C529" t="s">
        <v>9462</v>
      </c>
      <c r="D529" t="s">
        <v>9474</v>
      </c>
      <c r="K529"/>
      <c r="L529"/>
      <c r="M529"/>
    </row>
    <row r="530" spans="1:13">
      <c r="A530" s="2" t="s">
        <v>834</v>
      </c>
      <c r="B530" t="s">
        <v>9492</v>
      </c>
      <c r="C530" t="s">
        <v>9462</v>
      </c>
      <c r="D530" t="s">
        <v>9474</v>
      </c>
      <c r="K530"/>
      <c r="L530"/>
      <c r="M530"/>
    </row>
    <row r="531" spans="1:13">
      <c r="A531" s="2" t="s">
        <v>755</v>
      </c>
      <c r="B531" t="s">
        <v>9492</v>
      </c>
      <c r="C531" t="s">
        <v>9432</v>
      </c>
      <c r="D531" t="s">
        <v>9479</v>
      </c>
      <c r="K531"/>
      <c r="L531"/>
      <c r="M531"/>
    </row>
    <row r="532" spans="1:13">
      <c r="A532" s="2" t="s">
        <v>756</v>
      </c>
      <c r="B532" t="s">
        <v>9492</v>
      </c>
      <c r="C532" t="s">
        <v>9432</v>
      </c>
      <c r="D532" t="s">
        <v>9479</v>
      </c>
      <c r="K532"/>
      <c r="L532"/>
      <c r="M532"/>
    </row>
    <row r="533" spans="1:13">
      <c r="A533" s="2" t="s">
        <v>757</v>
      </c>
      <c r="B533" t="s">
        <v>9492</v>
      </c>
      <c r="C533" t="s">
        <v>9432</v>
      </c>
      <c r="D533" t="s">
        <v>9479</v>
      </c>
      <c r="K533"/>
      <c r="L533"/>
      <c r="M533"/>
    </row>
    <row r="534" spans="1:13">
      <c r="A534" s="2" t="s">
        <v>758</v>
      </c>
      <c r="B534" t="s">
        <v>9492</v>
      </c>
      <c r="C534" t="s">
        <v>9432</v>
      </c>
      <c r="D534" t="s">
        <v>9479</v>
      </c>
      <c r="K534"/>
      <c r="L534"/>
      <c r="M534"/>
    </row>
    <row r="535" spans="1:13">
      <c r="A535" s="2" t="s">
        <v>761</v>
      </c>
      <c r="B535" t="s">
        <v>9492</v>
      </c>
      <c r="C535" t="s">
        <v>9462</v>
      </c>
      <c r="D535" t="s">
        <v>9476</v>
      </c>
      <c r="K535"/>
      <c r="L535"/>
      <c r="M535"/>
    </row>
    <row r="536" spans="1:13">
      <c r="A536" s="2" t="s">
        <v>760</v>
      </c>
      <c r="B536" t="s">
        <v>9492</v>
      </c>
      <c r="C536" t="s">
        <v>9462</v>
      </c>
      <c r="D536" t="s">
        <v>9482</v>
      </c>
      <c r="K536"/>
      <c r="L536"/>
      <c r="M536"/>
    </row>
    <row r="537" spans="1:13">
      <c r="A537" s="2" t="s">
        <v>763</v>
      </c>
      <c r="B537" t="s">
        <v>9492</v>
      </c>
      <c r="C537" t="s">
        <v>9462</v>
      </c>
      <c r="D537" t="s">
        <v>9490</v>
      </c>
      <c r="K537"/>
      <c r="L537"/>
      <c r="M537"/>
    </row>
    <row r="538" spans="1:13">
      <c r="A538" s="2" t="s">
        <v>762</v>
      </c>
      <c r="B538" t="s">
        <v>9492</v>
      </c>
      <c r="C538" t="s">
        <v>9462</v>
      </c>
      <c r="D538" t="s">
        <v>9483</v>
      </c>
      <c r="K538"/>
      <c r="L538"/>
      <c r="M538"/>
    </row>
    <row r="539" spans="1:13">
      <c r="A539" s="2" t="s">
        <v>836</v>
      </c>
      <c r="B539" t="s">
        <v>9492</v>
      </c>
      <c r="C539" t="s">
        <v>9462</v>
      </c>
      <c r="D539" t="s">
        <v>9476</v>
      </c>
      <c r="K539"/>
      <c r="L539"/>
      <c r="M539"/>
    </row>
    <row r="540" spans="1:13">
      <c r="A540" s="2" t="s">
        <v>837</v>
      </c>
      <c r="B540" t="s">
        <v>9492</v>
      </c>
      <c r="C540" t="s">
        <v>9462</v>
      </c>
      <c r="D540" t="s">
        <v>9489</v>
      </c>
      <c r="K540"/>
      <c r="L540"/>
      <c r="M540"/>
    </row>
    <row r="541" spans="1:13">
      <c r="A541" s="2" t="s">
        <v>835</v>
      </c>
      <c r="B541" t="s">
        <v>9492</v>
      </c>
      <c r="C541" t="s">
        <v>9462</v>
      </c>
      <c r="D541" t="s">
        <v>9482</v>
      </c>
      <c r="K541"/>
      <c r="L541"/>
      <c r="M541"/>
    </row>
    <row r="542" spans="1:13">
      <c r="A542" s="2" t="s">
        <v>841</v>
      </c>
      <c r="B542" t="s">
        <v>9492</v>
      </c>
      <c r="C542" t="s">
        <v>9462</v>
      </c>
      <c r="D542" t="s">
        <v>9481</v>
      </c>
      <c r="K542"/>
      <c r="L542"/>
      <c r="M542"/>
    </row>
    <row r="543" spans="1:13">
      <c r="A543" s="2" t="s">
        <v>839</v>
      </c>
      <c r="B543" t="s">
        <v>9492</v>
      </c>
      <c r="C543" t="s">
        <v>9462</v>
      </c>
      <c r="D543" t="s">
        <v>9485</v>
      </c>
      <c r="K543"/>
      <c r="L543"/>
      <c r="M543"/>
    </row>
    <row r="544" spans="1:13">
      <c r="A544" s="2" t="s">
        <v>840</v>
      </c>
      <c r="B544" t="s">
        <v>9492</v>
      </c>
      <c r="C544" t="s">
        <v>9462</v>
      </c>
      <c r="D544" t="s">
        <v>9475</v>
      </c>
      <c r="K544"/>
      <c r="L544"/>
      <c r="M544"/>
    </row>
    <row r="545" spans="1:13">
      <c r="A545" s="2" t="s">
        <v>838</v>
      </c>
      <c r="B545" t="s">
        <v>9492</v>
      </c>
      <c r="C545" t="s">
        <v>9462</v>
      </c>
      <c r="D545" t="s">
        <v>9484</v>
      </c>
      <c r="K545"/>
      <c r="L545"/>
      <c r="M545"/>
    </row>
    <row r="546" spans="1:13">
      <c r="A546" s="2" t="s">
        <v>843</v>
      </c>
      <c r="B546" t="s">
        <v>9492</v>
      </c>
      <c r="C546" t="s">
        <v>9462</v>
      </c>
      <c r="D546" t="s">
        <v>9476</v>
      </c>
      <c r="K546"/>
      <c r="L546"/>
      <c r="M546"/>
    </row>
    <row r="547" spans="1:13">
      <c r="A547" s="2" t="s">
        <v>844</v>
      </c>
      <c r="B547" t="s">
        <v>9492</v>
      </c>
      <c r="C547" t="s">
        <v>9462</v>
      </c>
      <c r="D547" t="s">
        <v>9486</v>
      </c>
      <c r="K547"/>
      <c r="L547"/>
      <c r="M547"/>
    </row>
    <row r="548" spans="1:13">
      <c r="A548" s="2" t="s">
        <v>842</v>
      </c>
      <c r="B548" t="s">
        <v>9492</v>
      </c>
      <c r="C548" t="s">
        <v>9462</v>
      </c>
      <c r="D548" t="s">
        <v>9482</v>
      </c>
      <c r="K548"/>
      <c r="L548"/>
      <c r="M548"/>
    </row>
    <row r="549" spans="1:13">
      <c r="A549" s="2" t="s">
        <v>849</v>
      </c>
      <c r="B549" t="s">
        <v>9492</v>
      </c>
      <c r="C549" t="s">
        <v>9462</v>
      </c>
      <c r="D549" t="s">
        <v>9481</v>
      </c>
      <c r="K549"/>
      <c r="L549"/>
      <c r="M549"/>
    </row>
    <row r="550" spans="1:13">
      <c r="A550" s="2" t="s">
        <v>846</v>
      </c>
      <c r="B550" t="s">
        <v>9492</v>
      </c>
      <c r="C550" t="s">
        <v>9462</v>
      </c>
      <c r="D550" t="s">
        <v>9485</v>
      </c>
      <c r="K550"/>
      <c r="L550"/>
      <c r="M550"/>
    </row>
    <row r="551" spans="1:13">
      <c r="A551" s="2" t="s">
        <v>847</v>
      </c>
      <c r="B551" t="s">
        <v>9492</v>
      </c>
      <c r="C551" t="s">
        <v>9462</v>
      </c>
      <c r="D551" t="s">
        <v>9475</v>
      </c>
      <c r="K551"/>
      <c r="L551"/>
      <c r="M551"/>
    </row>
    <row r="552" spans="1:13">
      <c r="A552" s="2" t="s">
        <v>848</v>
      </c>
      <c r="B552" t="s">
        <v>9492</v>
      </c>
      <c r="C552" t="s">
        <v>9462</v>
      </c>
      <c r="D552" t="s">
        <v>9475</v>
      </c>
      <c r="K552"/>
      <c r="L552"/>
      <c r="M552"/>
    </row>
    <row r="553" spans="1:13">
      <c r="A553" s="2" t="s">
        <v>845</v>
      </c>
      <c r="B553" t="s">
        <v>9492</v>
      </c>
      <c r="C553" t="s">
        <v>9462</v>
      </c>
      <c r="D553" t="s">
        <v>9483</v>
      </c>
      <c r="K553"/>
      <c r="L553"/>
      <c r="M553"/>
    </row>
    <row r="554" spans="1:13">
      <c r="A554" s="2" t="s">
        <v>852</v>
      </c>
      <c r="B554" t="s">
        <v>9492</v>
      </c>
      <c r="C554" t="s">
        <v>9462</v>
      </c>
      <c r="D554" t="s">
        <v>9476</v>
      </c>
      <c r="K554"/>
      <c r="L554"/>
      <c r="M554"/>
    </row>
    <row r="555" spans="1:13">
      <c r="A555" s="2" t="s">
        <v>853</v>
      </c>
      <c r="B555" t="s">
        <v>9492</v>
      </c>
      <c r="C555" t="s">
        <v>9462</v>
      </c>
      <c r="D555" t="s">
        <v>9486</v>
      </c>
      <c r="K555"/>
      <c r="L555"/>
      <c r="M555"/>
    </row>
    <row r="556" spans="1:13">
      <c r="A556" s="2" t="s">
        <v>860</v>
      </c>
      <c r="B556" t="s">
        <v>9492</v>
      </c>
      <c r="C556" t="s">
        <v>9462</v>
      </c>
      <c r="D556" t="s">
        <v>9475</v>
      </c>
      <c r="K556"/>
      <c r="L556"/>
      <c r="M556"/>
    </row>
    <row r="557" spans="1:13">
      <c r="A557" s="2" t="s">
        <v>862</v>
      </c>
      <c r="B557" t="s">
        <v>9492</v>
      </c>
      <c r="C557" t="s">
        <v>9462</v>
      </c>
      <c r="D557" t="s">
        <v>9477</v>
      </c>
      <c r="K557"/>
      <c r="L557"/>
      <c r="M557"/>
    </row>
    <row r="558" spans="1:13">
      <c r="A558" s="2" t="s">
        <v>861</v>
      </c>
      <c r="B558" t="s">
        <v>9492</v>
      </c>
      <c r="C558" t="s">
        <v>9462</v>
      </c>
      <c r="D558" t="s">
        <v>9479</v>
      </c>
      <c r="K558"/>
      <c r="L558"/>
      <c r="M558"/>
    </row>
    <row r="559" spans="1:13">
      <c r="A559" s="2" t="s">
        <v>850</v>
      </c>
      <c r="B559" t="s">
        <v>9492</v>
      </c>
      <c r="C559" t="s">
        <v>9462</v>
      </c>
      <c r="D559" t="s">
        <v>9482</v>
      </c>
      <c r="K559"/>
      <c r="L559"/>
      <c r="M559"/>
    </row>
    <row r="560" spans="1:13">
      <c r="A560" s="2" t="s">
        <v>855</v>
      </c>
      <c r="B560" t="s">
        <v>9492</v>
      </c>
      <c r="C560" t="s">
        <v>9462</v>
      </c>
      <c r="D560" t="s">
        <v>9487</v>
      </c>
      <c r="K560"/>
      <c r="L560"/>
      <c r="M560"/>
    </row>
    <row r="561" spans="1:13">
      <c r="A561" s="2" t="s">
        <v>851</v>
      </c>
      <c r="B561" t="s">
        <v>9492</v>
      </c>
      <c r="C561" t="s">
        <v>9462</v>
      </c>
      <c r="D561" t="s">
        <v>9488</v>
      </c>
      <c r="K561"/>
      <c r="L561"/>
      <c r="M561"/>
    </row>
    <row r="562" spans="1:13">
      <c r="A562" s="2" t="s">
        <v>858</v>
      </c>
      <c r="B562" t="s">
        <v>9492</v>
      </c>
      <c r="C562" t="s">
        <v>9462</v>
      </c>
      <c r="D562" t="s">
        <v>9481</v>
      </c>
      <c r="K562"/>
      <c r="L562"/>
      <c r="M562"/>
    </row>
    <row r="563" spans="1:13">
      <c r="A563" s="2" t="s">
        <v>859</v>
      </c>
      <c r="B563" t="s">
        <v>9492</v>
      </c>
      <c r="C563" t="s">
        <v>9462</v>
      </c>
      <c r="D563" t="s">
        <v>9481</v>
      </c>
      <c r="K563"/>
      <c r="L563"/>
      <c r="M563"/>
    </row>
    <row r="564" spans="1:13">
      <c r="A564" s="2" t="s">
        <v>856</v>
      </c>
      <c r="B564" t="s">
        <v>9492</v>
      </c>
      <c r="C564" t="s">
        <v>9462</v>
      </c>
      <c r="D564" t="s">
        <v>9475</v>
      </c>
      <c r="K564"/>
      <c r="L564"/>
      <c r="M564"/>
    </row>
    <row r="565" spans="1:13">
      <c r="A565" s="2" t="s">
        <v>857</v>
      </c>
      <c r="B565" t="s">
        <v>9492</v>
      </c>
      <c r="C565" t="s">
        <v>9462</v>
      </c>
      <c r="D565" t="s">
        <v>9475</v>
      </c>
      <c r="K565"/>
      <c r="L565"/>
      <c r="M565"/>
    </row>
    <row r="566" spans="1:13">
      <c r="A566" s="2" t="s">
        <v>854</v>
      </c>
      <c r="B566" t="s">
        <v>9492</v>
      </c>
      <c r="C566" t="s">
        <v>9462</v>
      </c>
      <c r="D566" t="s">
        <v>9483</v>
      </c>
      <c r="K566"/>
      <c r="L566"/>
      <c r="M566"/>
    </row>
    <row r="567" spans="1:13">
      <c r="A567" s="2" t="s">
        <v>865</v>
      </c>
      <c r="B567" t="s">
        <v>9492</v>
      </c>
      <c r="C567" t="s">
        <v>9462</v>
      </c>
      <c r="D567" t="s">
        <v>9476</v>
      </c>
      <c r="K567"/>
      <c r="L567"/>
      <c r="M567"/>
    </row>
    <row r="568" spans="1:13">
      <c r="A568" s="2" t="s">
        <v>866</v>
      </c>
      <c r="B568" t="s">
        <v>9492</v>
      </c>
      <c r="C568" t="s">
        <v>9462</v>
      </c>
      <c r="D568" t="s">
        <v>9478</v>
      </c>
      <c r="K568"/>
      <c r="L568"/>
      <c r="M568"/>
    </row>
    <row r="569" spans="1:13">
      <c r="A569" s="2" t="s">
        <v>873</v>
      </c>
      <c r="B569" t="s">
        <v>9492</v>
      </c>
      <c r="C569" t="s">
        <v>9462</v>
      </c>
      <c r="D569" t="s">
        <v>9475</v>
      </c>
      <c r="K569"/>
      <c r="L569"/>
      <c r="M569"/>
    </row>
    <row r="570" spans="1:13">
      <c r="A570" s="2" t="s">
        <v>875</v>
      </c>
      <c r="B570" t="s">
        <v>9492</v>
      </c>
      <c r="C570" t="s">
        <v>9462</v>
      </c>
      <c r="D570" t="s">
        <v>9477</v>
      </c>
      <c r="K570"/>
      <c r="L570"/>
      <c r="M570"/>
    </row>
    <row r="571" spans="1:13">
      <c r="A571" s="2" t="s">
        <v>874</v>
      </c>
      <c r="B571" t="s">
        <v>9492</v>
      </c>
      <c r="C571" t="s">
        <v>9462</v>
      </c>
      <c r="D571" t="s">
        <v>9479</v>
      </c>
      <c r="K571"/>
      <c r="L571"/>
      <c r="M571"/>
    </row>
    <row r="572" spans="1:13">
      <c r="A572" s="2" t="s">
        <v>876</v>
      </c>
      <c r="B572" t="s">
        <v>9492</v>
      </c>
      <c r="C572" t="s">
        <v>9462</v>
      </c>
      <c r="D572" t="s">
        <v>9480</v>
      </c>
      <c r="K572"/>
      <c r="L572"/>
      <c r="M572"/>
    </row>
    <row r="573" spans="1:13">
      <c r="A573" s="2" t="s">
        <v>863</v>
      </c>
      <c r="B573" t="s">
        <v>9492</v>
      </c>
      <c r="C573" t="s">
        <v>9462</v>
      </c>
      <c r="D573" t="s">
        <v>9482</v>
      </c>
      <c r="K573"/>
      <c r="L573"/>
      <c r="M573"/>
    </row>
    <row r="574" spans="1:13">
      <c r="A574" s="2" t="s">
        <v>868</v>
      </c>
      <c r="B574" t="s">
        <v>9492</v>
      </c>
      <c r="C574" t="s">
        <v>9462</v>
      </c>
      <c r="D574" t="s">
        <v>9487</v>
      </c>
      <c r="K574"/>
      <c r="L574"/>
      <c r="M574"/>
    </row>
    <row r="575" spans="1:13">
      <c r="A575" s="2" t="s">
        <v>864</v>
      </c>
      <c r="B575" t="s">
        <v>9492</v>
      </c>
      <c r="C575" t="s">
        <v>9462</v>
      </c>
      <c r="D575" t="s">
        <v>9488</v>
      </c>
      <c r="K575"/>
      <c r="L575"/>
      <c r="M575"/>
    </row>
    <row r="576" spans="1:13">
      <c r="A576" s="2" t="s">
        <v>871</v>
      </c>
      <c r="B576" t="s">
        <v>9492</v>
      </c>
      <c r="C576" t="s">
        <v>9462</v>
      </c>
      <c r="D576" t="s">
        <v>9481</v>
      </c>
      <c r="K576"/>
      <c r="L576"/>
      <c r="M576"/>
    </row>
    <row r="577" spans="1:13">
      <c r="A577" s="2" t="s">
        <v>872</v>
      </c>
      <c r="B577" t="s">
        <v>9492</v>
      </c>
      <c r="C577" t="s">
        <v>9462</v>
      </c>
      <c r="D577" t="s">
        <v>9481</v>
      </c>
      <c r="K577"/>
      <c r="L577"/>
      <c r="M577"/>
    </row>
    <row r="578" spans="1:13">
      <c r="A578" s="2" t="s">
        <v>869</v>
      </c>
      <c r="B578" t="s">
        <v>9492</v>
      </c>
      <c r="C578" t="s">
        <v>9462</v>
      </c>
      <c r="D578" t="s">
        <v>9475</v>
      </c>
      <c r="K578"/>
      <c r="L578"/>
      <c r="M578"/>
    </row>
    <row r="579" spans="1:13">
      <c r="A579" s="2" t="s">
        <v>870</v>
      </c>
      <c r="B579" t="s">
        <v>9492</v>
      </c>
      <c r="C579" t="s">
        <v>9462</v>
      </c>
      <c r="D579" t="s">
        <v>9475</v>
      </c>
      <c r="K579"/>
      <c r="L579"/>
      <c r="M579"/>
    </row>
    <row r="580" spans="1:13">
      <c r="A580" s="2" t="s">
        <v>877</v>
      </c>
      <c r="B580" t="s">
        <v>9492</v>
      </c>
      <c r="C580" t="s">
        <v>9459</v>
      </c>
      <c r="D580" t="s">
        <v>9474</v>
      </c>
      <c r="K580"/>
      <c r="L580"/>
      <c r="M580"/>
    </row>
    <row r="581" spans="1:13">
      <c r="A581" s="2" t="s">
        <v>867</v>
      </c>
      <c r="B581" t="s">
        <v>9492</v>
      </c>
      <c r="C581" t="s">
        <v>9462</v>
      </c>
      <c r="D581" t="s">
        <v>9483</v>
      </c>
      <c r="K581"/>
      <c r="L581"/>
      <c r="M581"/>
    </row>
    <row r="582" spans="1:13">
      <c r="A582" s="2" t="s">
        <v>880</v>
      </c>
      <c r="B582" t="s">
        <v>9492</v>
      </c>
      <c r="C582" t="s">
        <v>9462</v>
      </c>
      <c r="D582" t="s">
        <v>9476</v>
      </c>
      <c r="K582"/>
      <c r="L582"/>
      <c r="M582"/>
    </row>
    <row r="583" spans="1:13">
      <c r="A583" s="2" t="s">
        <v>881</v>
      </c>
      <c r="B583" t="s">
        <v>9492</v>
      </c>
      <c r="C583" t="s">
        <v>9462</v>
      </c>
      <c r="D583" t="s">
        <v>9478</v>
      </c>
      <c r="K583"/>
      <c r="L583"/>
      <c r="M583"/>
    </row>
    <row r="584" spans="1:13">
      <c r="A584" s="2" t="s">
        <v>888</v>
      </c>
      <c r="B584" t="s">
        <v>9492</v>
      </c>
      <c r="C584" t="s">
        <v>9462</v>
      </c>
      <c r="D584" t="s">
        <v>9475</v>
      </c>
      <c r="K584"/>
      <c r="L584"/>
      <c r="M584"/>
    </row>
    <row r="585" spans="1:13">
      <c r="A585" s="2" t="s">
        <v>890</v>
      </c>
      <c r="B585" t="s">
        <v>9492</v>
      </c>
      <c r="C585" t="s">
        <v>9462</v>
      </c>
      <c r="D585" t="s">
        <v>9477</v>
      </c>
      <c r="K585"/>
      <c r="L585"/>
      <c r="M585"/>
    </row>
    <row r="586" spans="1:13">
      <c r="A586" s="2" t="s">
        <v>889</v>
      </c>
      <c r="B586" t="s">
        <v>9492</v>
      </c>
      <c r="C586" t="s">
        <v>9462</v>
      </c>
      <c r="D586" t="s">
        <v>9479</v>
      </c>
      <c r="K586"/>
      <c r="L586"/>
      <c r="M586"/>
    </row>
    <row r="587" spans="1:13">
      <c r="A587" s="2" t="s">
        <v>891</v>
      </c>
      <c r="B587" t="s">
        <v>9492</v>
      </c>
      <c r="C587" t="s">
        <v>9462</v>
      </c>
      <c r="D587" t="s">
        <v>9480</v>
      </c>
      <c r="K587"/>
      <c r="L587"/>
      <c r="M587"/>
    </row>
    <row r="588" spans="1:13">
      <c r="A588" s="2" t="s">
        <v>878</v>
      </c>
      <c r="B588" t="s">
        <v>9492</v>
      </c>
      <c r="C588" t="s">
        <v>9462</v>
      </c>
      <c r="D588" t="s">
        <v>9482</v>
      </c>
      <c r="K588"/>
      <c r="L588"/>
      <c r="M588"/>
    </row>
    <row r="589" spans="1:13">
      <c r="A589" s="2" t="s">
        <v>883</v>
      </c>
      <c r="B589" t="s">
        <v>9492</v>
      </c>
      <c r="C589" t="s">
        <v>9462</v>
      </c>
      <c r="D589" t="s">
        <v>9487</v>
      </c>
      <c r="K589"/>
      <c r="L589"/>
      <c r="M589"/>
    </row>
    <row r="590" spans="1:13">
      <c r="A590" s="2" t="s">
        <v>879</v>
      </c>
      <c r="B590" t="s">
        <v>9492</v>
      </c>
      <c r="C590" t="s">
        <v>9462</v>
      </c>
      <c r="D590" t="s">
        <v>9488</v>
      </c>
      <c r="K590"/>
      <c r="L590"/>
      <c r="M590"/>
    </row>
    <row r="591" spans="1:13">
      <c r="A591" s="2" t="s">
        <v>886</v>
      </c>
      <c r="B591" t="s">
        <v>9492</v>
      </c>
      <c r="C591" t="s">
        <v>9462</v>
      </c>
      <c r="D591" t="s">
        <v>9481</v>
      </c>
      <c r="K591"/>
      <c r="L591"/>
      <c r="M591"/>
    </row>
    <row r="592" spans="1:13">
      <c r="A592" s="2" t="s">
        <v>887</v>
      </c>
      <c r="B592" t="s">
        <v>9492</v>
      </c>
      <c r="C592" t="s">
        <v>9462</v>
      </c>
      <c r="D592" t="s">
        <v>9481</v>
      </c>
      <c r="K592"/>
      <c r="L592"/>
      <c r="M592"/>
    </row>
    <row r="593" spans="1:13">
      <c r="A593" s="2" t="s">
        <v>884</v>
      </c>
      <c r="B593" t="s">
        <v>9492</v>
      </c>
      <c r="C593" t="s">
        <v>9462</v>
      </c>
      <c r="D593" t="s">
        <v>9475</v>
      </c>
      <c r="K593"/>
      <c r="L593"/>
      <c r="M593"/>
    </row>
    <row r="594" spans="1:13">
      <c r="A594" s="2" t="s">
        <v>885</v>
      </c>
      <c r="B594" t="s">
        <v>9492</v>
      </c>
      <c r="C594" t="s">
        <v>9462</v>
      </c>
      <c r="D594" t="s">
        <v>9475</v>
      </c>
      <c r="K594"/>
      <c r="L594"/>
      <c r="M594"/>
    </row>
    <row r="595" spans="1:13">
      <c r="A595" s="2" t="s">
        <v>892</v>
      </c>
      <c r="B595" t="s">
        <v>9492</v>
      </c>
      <c r="C595" t="s">
        <v>9459</v>
      </c>
      <c r="D595" t="s">
        <v>9474</v>
      </c>
      <c r="K595"/>
      <c r="L595"/>
      <c r="M595"/>
    </row>
    <row r="596" spans="1:13">
      <c r="A596" s="2" t="s">
        <v>882</v>
      </c>
      <c r="B596" t="s">
        <v>9492</v>
      </c>
      <c r="C596" t="s">
        <v>9462</v>
      </c>
      <c r="D596" t="s">
        <v>9483</v>
      </c>
      <c r="K596"/>
      <c r="L596"/>
      <c r="M596"/>
    </row>
    <row r="597" spans="1:13">
      <c r="A597" s="2" t="s">
        <v>907</v>
      </c>
      <c r="B597" t="s">
        <v>9492</v>
      </c>
      <c r="C597" t="s">
        <v>9462</v>
      </c>
      <c r="D597" t="s">
        <v>9495</v>
      </c>
      <c r="K597"/>
      <c r="L597"/>
      <c r="M597"/>
    </row>
    <row r="598" spans="1:13">
      <c r="A598" s="2" t="s">
        <v>908</v>
      </c>
      <c r="B598" t="s">
        <v>9492</v>
      </c>
      <c r="C598" t="s">
        <v>9462</v>
      </c>
      <c r="D598" t="s">
        <v>9495</v>
      </c>
      <c r="K598"/>
      <c r="L598"/>
      <c r="M598"/>
    </row>
    <row r="599" spans="1:13">
      <c r="A599" s="2" t="s">
        <v>613</v>
      </c>
      <c r="B599" t="s">
        <v>9492</v>
      </c>
      <c r="C599" t="s">
        <v>9432</v>
      </c>
      <c r="D599" t="s">
        <v>9475</v>
      </c>
      <c r="K599"/>
      <c r="L599"/>
      <c r="M599"/>
    </row>
    <row r="600" spans="1:13">
      <c r="A600" s="2" t="s">
        <v>63</v>
      </c>
      <c r="B600" t="s">
        <v>9492</v>
      </c>
      <c r="C600" t="s">
        <v>9432</v>
      </c>
      <c r="D600" t="s">
        <v>9475</v>
      </c>
      <c r="K600"/>
      <c r="L600"/>
      <c r="M600"/>
    </row>
    <row r="601" spans="1:13">
      <c r="A601" s="2" t="s">
        <v>34</v>
      </c>
      <c r="B601" t="s">
        <v>9492</v>
      </c>
      <c r="C601" t="s">
        <v>9432</v>
      </c>
      <c r="D601" t="s">
        <v>9475</v>
      </c>
      <c r="K601"/>
      <c r="L601"/>
      <c r="M601"/>
    </row>
    <row r="602" spans="1:13">
      <c r="A602" s="2" t="s">
        <v>56</v>
      </c>
      <c r="B602" t="s">
        <v>9492</v>
      </c>
      <c r="C602" t="s">
        <v>9432</v>
      </c>
      <c r="D602" t="s">
        <v>9475</v>
      </c>
      <c r="K602"/>
      <c r="L602"/>
      <c r="M602"/>
    </row>
    <row r="603" spans="1:13">
      <c r="A603" s="2" t="s">
        <v>51</v>
      </c>
      <c r="B603" t="s">
        <v>9492</v>
      </c>
      <c r="C603" t="s">
        <v>9432</v>
      </c>
      <c r="D603" t="s">
        <v>9475</v>
      </c>
      <c r="K603"/>
      <c r="L603"/>
      <c r="M603"/>
    </row>
    <row r="604" spans="1:13">
      <c r="A604" s="2" t="s">
        <v>38</v>
      </c>
      <c r="B604" t="s">
        <v>9492</v>
      </c>
      <c r="C604" t="s">
        <v>9432</v>
      </c>
      <c r="D604" t="s">
        <v>9475</v>
      </c>
      <c r="K604"/>
      <c r="L604"/>
      <c r="M604"/>
    </row>
    <row r="605" spans="1:13">
      <c r="A605" s="2" t="s">
        <v>46</v>
      </c>
      <c r="B605" t="s">
        <v>9492</v>
      </c>
      <c r="C605" t="s">
        <v>9432</v>
      </c>
      <c r="D605" t="s">
        <v>9475</v>
      </c>
      <c r="K605"/>
      <c r="L605"/>
      <c r="M605"/>
    </row>
    <row r="606" spans="1:13">
      <c r="A606" s="2" t="s">
        <v>65</v>
      </c>
      <c r="B606" t="s">
        <v>9492</v>
      </c>
      <c r="C606" t="s">
        <v>9432</v>
      </c>
      <c r="D606" t="s">
        <v>9475</v>
      </c>
      <c r="K606"/>
      <c r="L606"/>
      <c r="M606"/>
    </row>
    <row r="607" spans="1:13">
      <c r="A607" s="2" t="s">
        <v>66</v>
      </c>
      <c r="B607" t="s">
        <v>9492</v>
      </c>
      <c r="C607" t="s">
        <v>9432</v>
      </c>
      <c r="D607" t="s">
        <v>9475</v>
      </c>
      <c r="K607"/>
      <c r="L607"/>
      <c r="M607"/>
    </row>
    <row r="608" spans="1:13">
      <c r="A608" s="2" t="s">
        <v>612</v>
      </c>
      <c r="B608" t="s">
        <v>9492</v>
      </c>
      <c r="C608" t="s">
        <v>9432</v>
      </c>
      <c r="D608" t="s">
        <v>9475</v>
      </c>
      <c r="K608"/>
      <c r="L608"/>
      <c r="M608"/>
    </row>
    <row r="609" spans="1:13">
      <c r="A609" s="2" t="s">
        <v>48</v>
      </c>
      <c r="B609" t="s">
        <v>9492</v>
      </c>
      <c r="C609" t="s">
        <v>9432</v>
      </c>
      <c r="D609" t="s">
        <v>9475</v>
      </c>
      <c r="K609"/>
      <c r="L609"/>
      <c r="M609"/>
    </row>
    <row r="610" spans="1:13">
      <c r="A610" s="2" t="s">
        <v>71</v>
      </c>
      <c r="B610" t="s">
        <v>9492</v>
      </c>
      <c r="C610" t="s">
        <v>9432</v>
      </c>
      <c r="D610" t="s">
        <v>9475</v>
      </c>
      <c r="K610"/>
      <c r="L610"/>
      <c r="M610"/>
    </row>
    <row r="611" spans="1:13">
      <c r="A611" s="2" t="s">
        <v>57</v>
      </c>
      <c r="B611" t="s">
        <v>9492</v>
      </c>
      <c r="C611" t="s">
        <v>9432</v>
      </c>
      <c r="D611" t="s">
        <v>9475</v>
      </c>
      <c r="K611"/>
      <c r="L611"/>
      <c r="M611"/>
    </row>
    <row r="612" spans="1:13">
      <c r="A612" s="2" t="s">
        <v>61</v>
      </c>
      <c r="B612" t="s">
        <v>9492</v>
      </c>
      <c r="C612" t="s">
        <v>9432</v>
      </c>
      <c r="D612" t="s">
        <v>9475</v>
      </c>
      <c r="K612"/>
      <c r="L612"/>
      <c r="M612"/>
    </row>
    <row r="613" spans="1:13">
      <c r="A613" s="2" t="s">
        <v>59</v>
      </c>
      <c r="B613" t="s">
        <v>9492</v>
      </c>
      <c r="C613" t="s">
        <v>9432</v>
      </c>
      <c r="D613" t="s">
        <v>9475</v>
      </c>
      <c r="K613"/>
      <c r="L613"/>
      <c r="M613"/>
    </row>
    <row r="614" spans="1:13">
      <c r="A614" s="2" t="s">
        <v>614</v>
      </c>
      <c r="B614" t="s">
        <v>9492</v>
      </c>
      <c r="C614" t="s">
        <v>9432</v>
      </c>
      <c r="D614" t="s">
        <v>9475</v>
      </c>
      <c r="K614"/>
      <c r="L614"/>
      <c r="M614"/>
    </row>
    <row r="615" spans="1:13">
      <c r="A615" s="2" t="s">
        <v>70</v>
      </c>
      <c r="B615" t="s">
        <v>9492</v>
      </c>
      <c r="C615" t="s">
        <v>9432</v>
      </c>
      <c r="D615" t="s">
        <v>9475</v>
      </c>
      <c r="K615"/>
      <c r="L615"/>
      <c r="M615"/>
    </row>
    <row r="616" spans="1:13">
      <c r="A616" s="2" t="s">
        <v>666</v>
      </c>
      <c r="B616" t="s">
        <v>9492</v>
      </c>
      <c r="C616" t="s">
        <v>9432</v>
      </c>
      <c r="D616" t="s">
        <v>9475</v>
      </c>
      <c r="K616"/>
      <c r="L616"/>
      <c r="M616"/>
    </row>
    <row r="617" spans="1:13">
      <c r="A617" s="2" t="s">
        <v>55</v>
      </c>
      <c r="B617" t="s">
        <v>9492</v>
      </c>
      <c r="C617" t="s">
        <v>9432</v>
      </c>
      <c r="D617" t="s">
        <v>9475</v>
      </c>
      <c r="K617"/>
      <c r="L617"/>
      <c r="M617"/>
    </row>
    <row r="618" spans="1:13">
      <c r="A618" s="2" t="s">
        <v>49</v>
      </c>
      <c r="B618" t="s">
        <v>9492</v>
      </c>
      <c r="C618" t="s">
        <v>9432</v>
      </c>
      <c r="D618" t="s">
        <v>9475</v>
      </c>
      <c r="K618"/>
      <c r="L618"/>
      <c r="M618"/>
    </row>
    <row r="619" spans="1:13">
      <c r="A619" s="2" t="s">
        <v>36</v>
      </c>
      <c r="B619" t="s">
        <v>9492</v>
      </c>
      <c r="C619" t="s">
        <v>9432</v>
      </c>
      <c r="D619" t="s">
        <v>9475</v>
      </c>
      <c r="K619"/>
      <c r="L619"/>
      <c r="M619"/>
    </row>
    <row r="620" spans="1:13">
      <c r="A620" s="2" t="s">
        <v>42</v>
      </c>
      <c r="B620" t="s">
        <v>9492</v>
      </c>
      <c r="C620" t="s">
        <v>9432</v>
      </c>
      <c r="D620" t="s">
        <v>9475</v>
      </c>
      <c r="K620"/>
      <c r="L620"/>
      <c r="M620"/>
    </row>
    <row r="621" spans="1:13">
      <c r="A621" s="2" t="s">
        <v>43</v>
      </c>
      <c r="B621" t="s">
        <v>9492</v>
      </c>
      <c r="C621" t="s">
        <v>9432</v>
      </c>
      <c r="D621" t="s">
        <v>9475</v>
      </c>
      <c r="K621"/>
      <c r="L621"/>
      <c r="M621"/>
    </row>
    <row r="622" spans="1:13">
      <c r="A622" s="2" t="s">
        <v>53</v>
      </c>
      <c r="B622" t="s">
        <v>9492</v>
      </c>
      <c r="C622" t="s">
        <v>9439</v>
      </c>
      <c r="D622" t="s">
        <v>9474</v>
      </c>
      <c r="K622"/>
      <c r="L622"/>
      <c r="M622"/>
    </row>
    <row r="623" spans="1:13">
      <c r="A623" s="2" t="s">
        <v>58</v>
      </c>
      <c r="B623" t="s">
        <v>9492</v>
      </c>
      <c r="C623" t="s">
        <v>9471</v>
      </c>
      <c r="D623" t="s">
        <v>9475</v>
      </c>
      <c r="K623"/>
      <c r="L623"/>
      <c r="M623"/>
    </row>
    <row r="624" spans="1:13">
      <c r="A624" s="2" t="s">
        <v>67</v>
      </c>
      <c r="B624" t="s">
        <v>9492</v>
      </c>
      <c r="C624" t="s">
        <v>9432</v>
      </c>
      <c r="D624" t="s">
        <v>9475</v>
      </c>
      <c r="K624"/>
      <c r="L624"/>
      <c r="M624"/>
    </row>
    <row r="625" spans="1:13">
      <c r="A625" s="2" t="s">
        <v>72</v>
      </c>
      <c r="B625" t="s">
        <v>9492</v>
      </c>
      <c r="C625" t="s">
        <v>9432</v>
      </c>
      <c r="D625" t="s">
        <v>9476</v>
      </c>
      <c r="K625"/>
      <c r="L625"/>
      <c r="M625"/>
    </row>
    <row r="626" spans="1:13">
      <c r="A626" s="2" t="s">
        <v>611</v>
      </c>
      <c r="B626" t="s">
        <v>9492</v>
      </c>
      <c r="C626" t="s">
        <v>9432</v>
      </c>
      <c r="D626" t="s">
        <v>9475</v>
      </c>
      <c r="K626"/>
      <c r="L626"/>
      <c r="M626"/>
    </row>
    <row r="627" spans="1:13">
      <c r="A627" s="2" t="s">
        <v>610</v>
      </c>
      <c r="B627" t="s">
        <v>9492</v>
      </c>
      <c r="C627" t="s">
        <v>9432</v>
      </c>
      <c r="D627" t="s">
        <v>9475</v>
      </c>
      <c r="K627"/>
      <c r="L627"/>
      <c r="M627"/>
    </row>
    <row r="628" spans="1:13">
      <c r="A628" s="2" t="s">
        <v>50</v>
      </c>
      <c r="B628" t="s">
        <v>9492</v>
      </c>
      <c r="C628" t="s">
        <v>9432</v>
      </c>
      <c r="D628" t="s">
        <v>9475</v>
      </c>
      <c r="K628"/>
      <c r="L628"/>
      <c r="M628"/>
    </row>
    <row r="629" spans="1:13">
      <c r="A629" s="2" t="s">
        <v>44</v>
      </c>
      <c r="B629" t="s">
        <v>9492</v>
      </c>
      <c r="C629" t="s">
        <v>9432</v>
      </c>
      <c r="D629" t="s">
        <v>9475</v>
      </c>
      <c r="K629"/>
      <c r="L629"/>
      <c r="M629"/>
    </row>
    <row r="630" spans="1:13">
      <c r="A630" s="2" t="s">
        <v>45</v>
      </c>
      <c r="B630" t="s">
        <v>9492</v>
      </c>
      <c r="C630" t="s">
        <v>9432</v>
      </c>
      <c r="D630" t="s">
        <v>9475</v>
      </c>
      <c r="K630"/>
      <c r="L630"/>
      <c r="M630"/>
    </row>
    <row r="631" spans="1:13">
      <c r="A631" s="2" t="s">
        <v>62</v>
      </c>
      <c r="B631" t="s">
        <v>9492</v>
      </c>
      <c r="C631" t="s">
        <v>9432</v>
      </c>
      <c r="D631" t="s">
        <v>9475</v>
      </c>
      <c r="K631"/>
      <c r="L631"/>
      <c r="M631"/>
    </row>
    <row r="632" spans="1:13">
      <c r="A632" s="2" t="s">
        <v>39</v>
      </c>
      <c r="B632" t="s">
        <v>9492</v>
      </c>
      <c r="C632" t="s">
        <v>9432</v>
      </c>
      <c r="D632" t="s">
        <v>9475</v>
      </c>
      <c r="K632"/>
      <c r="L632"/>
      <c r="M632"/>
    </row>
    <row r="633" spans="1:13">
      <c r="A633" s="2" t="s">
        <v>60</v>
      </c>
      <c r="B633" t="s">
        <v>9492</v>
      </c>
      <c r="C633" t="s">
        <v>9432</v>
      </c>
      <c r="D633" t="s">
        <v>9475</v>
      </c>
      <c r="K633"/>
      <c r="L633"/>
      <c r="M633"/>
    </row>
    <row r="634" spans="1:13">
      <c r="A634" s="2" t="s">
        <v>40</v>
      </c>
      <c r="B634" t="s">
        <v>9492</v>
      </c>
      <c r="C634" t="s">
        <v>9432</v>
      </c>
      <c r="D634" t="s">
        <v>9475</v>
      </c>
      <c r="K634"/>
      <c r="L634"/>
      <c r="M634"/>
    </row>
    <row r="635" spans="1:13">
      <c r="A635" s="2" t="s">
        <v>64</v>
      </c>
      <c r="B635" t="s">
        <v>9492</v>
      </c>
      <c r="C635" t="s">
        <v>9432</v>
      </c>
      <c r="D635" t="s">
        <v>9475</v>
      </c>
      <c r="K635"/>
      <c r="L635"/>
      <c r="M635"/>
    </row>
    <row r="636" spans="1:13">
      <c r="A636" s="2" t="s">
        <v>667</v>
      </c>
      <c r="B636" t="s">
        <v>9492</v>
      </c>
      <c r="C636" t="s">
        <v>9432</v>
      </c>
      <c r="D636" t="s">
        <v>9475</v>
      </c>
      <c r="K636"/>
      <c r="L636"/>
      <c r="M636"/>
    </row>
    <row r="637" spans="1:13">
      <c r="A637" s="2" t="s">
        <v>68</v>
      </c>
      <c r="B637" t="s">
        <v>9492</v>
      </c>
      <c r="C637" t="s">
        <v>9432</v>
      </c>
      <c r="D637" t="s">
        <v>9475</v>
      </c>
      <c r="K637"/>
      <c r="L637"/>
      <c r="M637"/>
    </row>
    <row r="638" spans="1:13">
      <c r="A638" s="2" t="s">
        <v>54</v>
      </c>
      <c r="B638" t="s">
        <v>9492</v>
      </c>
      <c r="C638" t="s">
        <v>9432</v>
      </c>
      <c r="D638" t="s">
        <v>9475</v>
      </c>
      <c r="K638"/>
      <c r="L638"/>
      <c r="M638"/>
    </row>
    <row r="639" spans="1:13">
      <c r="A639" s="2" t="s">
        <v>47</v>
      </c>
      <c r="B639" t="s">
        <v>9492</v>
      </c>
      <c r="C639" t="s">
        <v>9432</v>
      </c>
      <c r="D639" t="s">
        <v>9475</v>
      </c>
      <c r="K639"/>
      <c r="L639"/>
      <c r="M639"/>
    </row>
    <row r="640" spans="1:13">
      <c r="A640" s="2" t="s">
        <v>37</v>
      </c>
      <c r="B640" t="s">
        <v>9492</v>
      </c>
      <c r="C640" t="s">
        <v>9432</v>
      </c>
      <c r="D640" t="s">
        <v>9475</v>
      </c>
      <c r="K640"/>
      <c r="L640"/>
      <c r="M640"/>
    </row>
    <row r="641" spans="1:13">
      <c r="A641" s="2" t="s">
        <v>41</v>
      </c>
      <c r="B641" t="s">
        <v>9492</v>
      </c>
      <c r="C641" t="s">
        <v>9432</v>
      </c>
      <c r="D641" t="s">
        <v>9475</v>
      </c>
      <c r="K641"/>
      <c r="L641"/>
      <c r="M641"/>
    </row>
    <row r="642" spans="1:13">
      <c r="A642" s="2" t="s">
        <v>69</v>
      </c>
      <c r="B642" t="s">
        <v>9492</v>
      </c>
      <c r="C642" t="s">
        <v>9432</v>
      </c>
      <c r="D642" t="s">
        <v>9475</v>
      </c>
      <c r="K642"/>
      <c r="L642"/>
      <c r="M642"/>
    </row>
    <row r="643" spans="1:13">
      <c r="A643" s="2" t="s">
        <v>52</v>
      </c>
      <c r="B643" t="s">
        <v>9492</v>
      </c>
      <c r="C643" t="s">
        <v>9432</v>
      </c>
      <c r="D643" t="s">
        <v>9475</v>
      </c>
      <c r="K643"/>
      <c r="L643"/>
      <c r="M643"/>
    </row>
    <row r="644" spans="1:13">
      <c r="A644" s="2" t="s">
        <v>85</v>
      </c>
      <c r="B644" t="s">
        <v>9492</v>
      </c>
      <c r="C644" t="s">
        <v>9432</v>
      </c>
      <c r="D644" t="s">
        <v>9475</v>
      </c>
      <c r="K644"/>
      <c r="L644"/>
      <c r="M644"/>
    </row>
    <row r="645" spans="1:13">
      <c r="A645" s="2" t="s">
        <v>84</v>
      </c>
      <c r="B645" t="s">
        <v>9492</v>
      </c>
      <c r="C645" t="s">
        <v>9432</v>
      </c>
      <c r="D645" t="s">
        <v>9475</v>
      </c>
      <c r="K645"/>
      <c r="L645"/>
      <c r="M645"/>
    </row>
    <row r="646" spans="1:13">
      <c r="A646" s="2" t="s">
        <v>73</v>
      </c>
      <c r="B646" t="s">
        <v>9492</v>
      </c>
      <c r="C646" t="s">
        <v>9432</v>
      </c>
      <c r="D646" t="s">
        <v>9475</v>
      </c>
      <c r="K646"/>
      <c r="L646"/>
      <c r="M646"/>
    </row>
    <row r="647" spans="1:13">
      <c r="A647" s="2" t="s">
        <v>75</v>
      </c>
      <c r="B647" t="s">
        <v>9492</v>
      </c>
      <c r="C647" t="s">
        <v>9432</v>
      </c>
      <c r="D647" t="s">
        <v>9475</v>
      </c>
      <c r="K647"/>
      <c r="L647"/>
      <c r="M647"/>
    </row>
    <row r="648" spans="1:13">
      <c r="A648" s="2" t="s">
        <v>76</v>
      </c>
      <c r="B648" t="s">
        <v>9492</v>
      </c>
      <c r="C648" t="s">
        <v>9432</v>
      </c>
      <c r="D648" t="s">
        <v>9475</v>
      </c>
      <c r="K648"/>
      <c r="L648"/>
      <c r="M648"/>
    </row>
    <row r="649" spans="1:13">
      <c r="A649" s="2" t="s">
        <v>77</v>
      </c>
      <c r="B649" t="s">
        <v>9492</v>
      </c>
      <c r="C649" t="s">
        <v>9432</v>
      </c>
      <c r="D649" t="s">
        <v>9475</v>
      </c>
      <c r="K649"/>
      <c r="L649"/>
      <c r="M649"/>
    </row>
    <row r="650" spans="1:13">
      <c r="A650" s="2" t="s">
        <v>86</v>
      </c>
      <c r="B650" t="s">
        <v>9492</v>
      </c>
      <c r="C650" t="s">
        <v>9432</v>
      </c>
      <c r="D650" t="s">
        <v>9475</v>
      </c>
      <c r="K650"/>
      <c r="L650"/>
      <c r="M650"/>
    </row>
    <row r="651" spans="1:13">
      <c r="A651" s="2" t="s">
        <v>80</v>
      </c>
      <c r="B651" t="s">
        <v>9492</v>
      </c>
      <c r="C651" t="s">
        <v>9432</v>
      </c>
      <c r="D651" t="s">
        <v>9475</v>
      </c>
      <c r="K651"/>
      <c r="L651"/>
      <c r="M651"/>
    </row>
    <row r="652" spans="1:13">
      <c r="A652" s="2" t="s">
        <v>79</v>
      </c>
      <c r="B652" t="s">
        <v>9492</v>
      </c>
      <c r="C652" t="s">
        <v>9432</v>
      </c>
      <c r="D652" t="s">
        <v>9475</v>
      </c>
      <c r="K652"/>
      <c r="L652"/>
      <c r="M652"/>
    </row>
    <row r="653" spans="1:13">
      <c r="A653" s="2" t="s">
        <v>81</v>
      </c>
      <c r="B653" t="s">
        <v>9492</v>
      </c>
      <c r="C653" t="s">
        <v>9432</v>
      </c>
      <c r="D653" t="s">
        <v>9475</v>
      </c>
      <c r="K653"/>
      <c r="L653"/>
      <c r="M653"/>
    </row>
    <row r="654" spans="1:13">
      <c r="A654" s="2" t="s">
        <v>619</v>
      </c>
      <c r="B654" t="s">
        <v>9492</v>
      </c>
      <c r="C654" t="s">
        <v>9432</v>
      </c>
      <c r="D654" t="s">
        <v>9475</v>
      </c>
      <c r="K654"/>
      <c r="L654"/>
      <c r="M654"/>
    </row>
    <row r="655" spans="1:13">
      <c r="A655" s="2" t="s">
        <v>82</v>
      </c>
      <c r="B655" t="s">
        <v>9492</v>
      </c>
      <c r="C655" t="s">
        <v>9432</v>
      </c>
      <c r="D655" t="s">
        <v>9475</v>
      </c>
      <c r="K655"/>
      <c r="L655"/>
      <c r="M655"/>
    </row>
    <row r="656" spans="1:13">
      <c r="A656" s="2" t="s">
        <v>83</v>
      </c>
      <c r="B656" t="s">
        <v>9492</v>
      </c>
      <c r="C656" t="s">
        <v>9432</v>
      </c>
      <c r="D656" t="s">
        <v>9475</v>
      </c>
      <c r="K656"/>
      <c r="L656"/>
      <c r="M656"/>
    </row>
    <row r="657" spans="1:13">
      <c r="A657" s="2" t="s">
        <v>78</v>
      </c>
      <c r="B657" t="s">
        <v>9492</v>
      </c>
      <c r="C657" t="s">
        <v>9432</v>
      </c>
      <c r="D657" t="s">
        <v>9475</v>
      </c>
      <c r="K657"/>
      <c r="L657"/>
      <c r="M657"/>
    </row>
    <row r="658" spans="1:13">
      <c r="A658" s="2" t="s">
        <v>618</v>
      </c>
      <c r="B658" t="s">
        <v>9492</v>
      </c>
      <c r="C658" t="s">
        <v>9432</v>
      </c>
      <c r="D658" t="s">
        <v>9475</v>
      </c>
      <c r="K658"/>
      <c r="L658"/>
      <c r="M658"/>
    </row>
    <row r="659" spans="1:13">
      <c r="A659" s="2" t="s">
        <v>87</v>
      </c>
      <c r="B659" t="s">
        <v>9492</v>
      </c>
      <c r="C659" t="s">
        <v>9432</v>
      </c>
      <c r="D659" t="s">
        <v>9475</v>
      </c>
      <c r="K659"/>
      <c r="L659"/>
      <c r="M659"/>
    </row>
    <row r="660" spans="1:13">
      <c r="A660" s="2" t="s">
        <v>615</v>
      </c>
      <c r="B660" t="s">
        <v>9492</v>
      </c>
      <c r="C660" t="s">
        <v>9432</v>
      </c>
      <c r="D660" t="s">
        <v>9475</v>
      </c>
      <c r="K660"/>
      <c r="L660"/>
      <c r="M660"/>
    </row>
    <row r="661" spans="1:13">
      <c r="A661" s="2" t="s">
        <v>617</v>
      </c>
      <c r="B661" t="s">
        <v>9492</v>
      </c>
      <c r="C661" t="s">
        <v>9432</v>
      </c>
      <c r="D661" t="s">
        <v>9475</v>
      </c>
      <c r="K661"/>
      <c r="L661"/>
      <c r="M661"/>
    </row>
    <row r="662" spans="1:13">
      <c r="A662" s="2" t="s">
        <v>616</v>
      </c>
      <c r="B662" t="s">
        <v>9492</v>
      </c>
      <c r="C662" t="s">
        <v>9432</v>
      </c>
      <c r="D662" t="s">
        <v>9475</v>
      </c>
      <c r="K662"/>
      <c r="L662"/>
      <c r="M662"/>
    </row>
    <row r="663" spans="1:13">
      <c r="A663" s="2" t="s">
        <v>88</v>
      </c>
      <c r="B663" t="s">
        <v>9492</v>
      </c>
      <c r="C663" t="s">
        <v>9432</v>
      </c>
      <c r="D663" t="s">
        <v>9475</v>
      </c>
      <c r="K663"/>
      <c r="L663"/>
      <c r="M663"/>
    </row>
    <row r="664" spans="1:13">
      <c r="A664" s="2" t="s">
        <v>89</v>
      </c>
      <c r="B664" t="s">
        <v>9492</v>
      </c>
      <c r="C664" t="s">
        <v>9432</v>
      </c>
      <c r="D664" t="s">
        <v>9475</v>
      </c>
      <c r="K664"/>
      <c r="L664"/>
      <c r="M664"/>
    </row>
    <row r="665" spans="1:13">
      <c r="A665" s="2" t="s">
        <v>595</v>
      </c>
      <c r="B665" t="s">
        <v>9492</v>
      </c>
      <c r="C665" t="s">
        <v>9439</v>
      </c>
      <c r="D665" t="s">
        <v>9475</v>
      </c>
      <c r="K665"/>
      <c r="L665"/>
      <c r="M665"/>
    </row>
    <row r="666" spans="1:13">
      <c r="A666" s="2" t="s">
        <v>30</v>
      </c>
      <c r="B666" t="s">
        <v>9492</v>
      </c>
      <c r="C666" t="s">
        <v>9471</v>
      </c>
      <c r="D666" t="s">
        <v>9475</v>
      </c>
      <c r="K666"/>
      <c r="L666"/>
      <c r="M666"/>
    </row>
    <row r="667" spans="1:13">
      <c r="A667" s="2" t="s">
        <v>26</v>
      </c>
      <c r="B667" t="s">
        <v>9492</v>
      </c>
      <c r="C667" t="s">
        <v>9471</v>
      </c>
      <c r="D667" t="s">
        <v>9475</v>
      </c>
      <c r="K667"/>
      <c r="L667"/>
      <c r="M667"/>
    </row>
    <row r="668" spans="1:13">
      <c r="A668" s="2" t="s">
        <v>31</v>
      </c>
      <c r="B668" t="s">
        <v>9492</v>
      </c>
      <c r="C668" t="s">
        <v>9471</v>
      </c>
      <c r="D668" t="s">
        <v>9475</v>
      </c>
      <c r="K668"/>
      <c r="L668"/>
      <c r="M668"/>
    </row>
    <row r="669" spans="1:13">
      <c r="A669" s="2" t="s">
        <v>22</v>
      </c>
      <c r="B669" t="s">
        <v>9492</v>
      </c>
      <c r="C669" t="s">
        <v>9432</v>
      </c>
      <c r="D669" t="s">
        <v>9475</v>
      </c>
      <c r="K669"/>
      <c r="L669"/>
      <c r="M669"/>
    </row>
    <row r="670" spans="1:13">
      <c r="A670" s="2" t="s">
        <v>28</v>
      </c>
      <c r="B670" t="s">
        <v>9492</v>
      </c>
      <c r="C670" t="s">
        <v>9432</v>
      </c>
      <c r="D670" t="s">
        <v>9475</v>
      </c>
      <c r="K670"/>
      <c r="L670"/>
      <c r="M670"/>
    </row>
    <row r="671" spans="1:13">
      <c r="A671" s="2" t="s">
        <v>25</v>
      </c>
      <c r="B671" t="s">
        <v>9492</v>
      </c>
      <c r="C671" t="s">
        <v>9471</v>
      </c>
      <c r="D671" t="s">
        <v>9475</v>
      </c>
      <c r="K671"/>
      <c r="L671"/>
      <c r="M671"/>
    </row>
    <row r="672" spans="1:13">
      <c r="A672" s="2" t="s">
        <v>29</v>
      </c>
      <c r="B672" t="s">
        <v>9492</v>
      </c>
      <c r="C672" t="s">
        <v>9438</v>
      </c>
      <c r="D672" t="s">
        <v>9475</v>
      </c>
      <c r="K672"/>
      <c r="L672"/>
      <c r="M672"/>
    </row>
    <row r="673" spans="1:13">
      <c r="A673" s="2" t="s">
        <v>27</v>
      </c>
      <c r="B673" t="s">
        <v>9492</v>
      </c>
      <c r="C673" t="s">
        <v>9471</v>
      </c>
      <c r="D673" t="s">
        <v>9475</v>
      </c>
      <c r="K673"/>
      <c r="L673"/>
      <c r="M673"/>
    </row>
    <row r="674" spans="1:13">
      <c r="A674" s="2" t="s">
        <v>594</v>
      </c>
      <c r="B674" t="s">
        <v>9492</v>
      </c>
      <c r="C674" t="s">
        <v>9432</v>
      </c>
      <c r="D674" t="s">
        <v>9478</v>
      </c>
      <c r="K674"/>
      <c r="L674"/>
      <c r="M674"/>
    </row>
    <row r="675" spans="1:13">
      <c r="A675" s="2" t="s">
        <v>592</v>
      </c>
      <c r="B675" t="s">
        <v>9492</v>
      </c>
      <c r="C675" t="s">
        <v>9432</v>
      </c>
      <c r="D675" t="s">
        <v>9478</v>
      </c>
      <c r="K675"/>
      <c r="L675"/>
      <c r="M675"/>
    </row>
    <row r="676" spans="1:13">
      <c r="A676" s="2" t="s">
        <v>591</v>
      </c>
      <c r="B676" t="s">
        <v>9492</v>
      </c>
      <c r="C676" t="s">
        <v>9432</v>
      </c>
      <c r="D676" t="s">
        <v>9478</v>
      </c>
      <c r="K676"/>
      <c r="L676"/>
      <c r="M676"/>
    </row>
    <row r="677" spans="1:13">
      <c r="A677" s="2" t="s">
        <v>593</v>
      </c>
      <c r="B677" t="s">
        <v>9492</v>
      </c>
      <c r="C677" t="s">
        <v>9432</v>
      </c>
      <c r="D677" t="s">
        <v>9477</v>
      </c>
      <c r="K677"/>
      <c r="L677"/>
      <c r="M677"/>
    </row>
    <row r="678" spans="1:13">
      <c r="A678" s="2" t="s">
        <v>179</v>
      </c>
      <c r="B678" t="s">
        <v>9492</v>
      </c>
      <c r="C678" t="s">
        <v>9471</v>
      </c>
      <c r="D678" t="s">
        <v>9477</v>
      </c>
      <c r="K678"/>
      <c r="L678"/>
      <c r="M678"/>
    </row>
    <row r="679" spans="1:13">
      <c r="A679" s="2" t="s">
        <v>142</v>
      </c>
      <c r="B679" t="s">
        <v>9492</v>
      </c>
      <c r="C679" t="s">
        <v>9471</v>
      </c>
      <c r="D679" t="s">
        <v>9474</v>
      </c>
      <c r="K679"/>
      <c r="L679"/>
      <c r="M679"/>
    </row>
    <row r="680" spans="1:13">
      <c r="A680" s="2" t="s">
        <v>161</v>
      </c>
      <c r="B680" t="s">
        <v>9492</v>
      </c>
      <c r="C680" t="s">
        <v>9471</v>
      </c>
      <c r="D680" t="s">
        <v>9474</v>
      </c>
      <c r="K680"/>
      <c r="L680"/>
      <c r="M680"/>
    </row>
    <row r="681" spans="1:13">
      <c r="A681" s="2" t="s">
        <v>191</v>
      </c>
      <c r="B681" t="s">
        <v>9492</v>
      </c>
      <c r="C681" t="s">
        <v>9471</v>
      </c>
      <c r="D681" t="s">
        <v>9476</v>
      </c>
      <c r="K681"/>
      <c r="L681"/>
      <c r="M681"/>
    </row>
    <row r="682" spans="1:13">
      <c r="A682" s="2" t="s">
        <v>104</v>
      </c>
      <c r="B682" t="s">
        <v>9492</v>
      </c>
      <c r="C682" t="s">
        <v>9471</v>
      </c>
      <c r="D682" t="s">
        <v>9474</v>
      </c>
      <c r="K682"/>
      <c r="L682"/>
      <c r="M682"/>
    </row>
    <row r="683" spans="1:13">
      <c r="A683" s="2" t="s">
        <v>159</v>
      </c>
      <c r="B683" t="s">
        <v>9492</v>
      </c>
      <c r="C683" t="s">
        <v>9435</v>
      </c>
      <c r="D683" t="s">
        <v>9476</v>
      </c>
      <c r="K683"/>
      <c r="L683"/>
      <c r="M683"/>
    </row>
    <row r="684" spans="1:13">
      <c r="A684" s="2" t="s">
        <v>192</v>
      </c>
      <c r="B684" t="s">
        <v>9492</v>
      </c>
      <c r="C684" t="s">
        <v>9471</v>
      </c>
      <c r="D684" t="s">
        <v>9474</v>
      </c>
      <c r="K684"/>
      <c r="L684"/>
      <c r="M684"/>
    </row>
    <row r="685" spans="1:13">
      <c r="A685" s="2" t="s">
        <v>157</v>
      </c>
      <c r="B685" t="s">
        <v>9492</v>
      </c>
      <c r="C685" t="s">
        <v>9471</v>
      </c>
      <c r="D685" t="s">
        <v>9474</v>
      </c>
      <c r="K685"/>
      <c r="L685"/>
      <c r="M685"/>
    </row>
    <row r="686" spans="1:13">
      <c r="A686" s="2" t="s">
        <v>132</v>
      </c>
      <c r="B686" t="s">
        <v>9492</v>
      </c>
      <c r="C686" t="s">
        <v>9471</v>
      </c>
      <c r="D686" t="s">
        <v>9474</v>
      </c>
      <c r="K686"/>
      <c r="L686"/>
      <c r="M686"/>
    </row>
    <row r="687" spans="1:13">
      <c r="A687" s="2" t="s">
        <v>128</v>
      </c>
      <c r="B687" t="s">
        <v>9492</v>
      </c>
      <c r="C687" t="s">
        <v>9471</v>
      </c>
      <c r="D687" t="s">
        <v>9474</v>
      </c>
      <c r="K687"/>
      <c r="L687"/>
      <c r="M687"/>
    </row>
    <row r="688" spans="1:13">
      <c r="A688" s="2" t="s">
        <v>158</v>
      </c>
      <c r="B688" t="s">
        <v>9492</v>
      </c>
      <c r="C688" t="s">
        <v>9471</v>
      </c>
      <c r="D688" t="s">
        <v>9474</v>
      </c>
      <c r="K688"/>
      <c r="L688"/>
      <c r="M688"/>
    </row>
    <row r="689" spans="1:13">
      <c r="A689" s="2" t="s">
        <v>153</v>
      </c>
      <c r="B689" t="s">
        <v>9492</v>
      </c>
      <c r="C689" t="s">
        <v>9471</v>
      </c>
      <c r="D689" t="s">
        <v>9474</v>
      </c>
      <c r="K689"/>
      <c r="L689"/>
      <c r="M689"/>
    </row>
    <row r="690" spans="1:13">
      <c r="A690" s="2" t="s">
        <v>100</v>
      </c>
      <c r="B690" t="s">
        <v>9492</v>
      </c>
      <c r="C690" t="s">
        <v>9471</v>
      </c>
      <c r="D690" t="s">
        <v>9476</v>
      </c>
      <c r="K690"/>
      <c r="L690"/>
      <c r="M690"/>
    </row>
    <row r="691" spans="1:13">
      <c r="A691" s="2" t="s">
        <v>187</v>
      </c>
      <c r="B691" t="s">
        <v>9492</v>
      </c>
      <c r="C691" t="s">
        <v>9471</v>
      </c>
      <c r="D691" t="s">
        <v>9474</v>
      </c>
      <c r="K691"/>
      <c r="L691"/>
      <c r="M691"/>
    </row>
    <row r="692" spans="1:13">
      <c r="A692" s="2" t="s">
        <v>96</v>
      </c>
      <c r="B692" t="s">
        <v>9492</v>
      </c>
      <c r="C692" t="s">
        <v>9471</v>
      </c>
      <c r="D692" t="s">
        <v>9476</v>
      </c>
      <c r="K692"/>
      <c r="L692"/>
      <c r="M692"/>
    </row>
    <row r="693" spans="1:13">
      <c r="A693" s="2" t="s">
        <v>90</v>
      </c>
      <c r="B693" t="s">
        <v>9492</v>
      </c>
      <c r="C693" t="s">
        <v>9471</v>
      </c>
      <c r="D693" t="s">
        <v>9476</v>
      </c>
      <c r="K693"/>
      <c r="L693"/>
      <c r="M693"/>
    </row>
    <row r="694" spans="1:13">
      <c r="A694" s="2" t="s">
        <v>193</v>
      </c>
      <c r="B694" t="s">
        <v>9492</v>
      </c>
      <c r="C694" t="s">
        <v>9471</v>
      </c>
      <c r="D694" t="s">
        <v>9474</v>
      </c>
      <c r="K694"/>
      <c r="L694"/>
      <c r="M694"/>
    </row>
    <row r="695" spans="1:13">
      <c r="A695" s="2" t="s">
        <v>145</v>
      </c>
      <c r="B695" t="s">
        <v>9492</v>
      </c>
      <c r="C695" t="s">
        <v>9471</v>
      </c>
      <c r="D695" t="s">
        <v>9474</v>
      </c>
      <c r="K695"/>
      <c r="L695"/>
      <c r="M695"/>
    </row>
    <row r="696" spans="1:13">
      <c r="A696" s="2" t="s">
        <v>133</v>
      </c>
      <c r="B696" t="s">
        <v>9492</v>
      </c>
      <c r="C696" t="s">
        <v>9471</v>
      </c>
      <c r="D696" t="s">
        <v>9474</v>
      </c>
      <c r="K696"/>
      <c r="L696"/>
      <c r="M696"/>
    </row>
    <row r="697" spans="1:13">
      <c r="A697" s="2" t="s">
        <v>148</v>
      </c>
      <c r="B697" t="s">
        <v>9492</v>
      </c>
      <c r="C697" t="s">
        <v>9471</v>
      </c>
      <c r="D697" t="s">
        <v>9474</v>
      </c>
      <c r="K697"/>
      <c r="L697"/>
      <c r="M697"/>
    </row>
    <row r="698" spans="1:13">
      <c r="A698" s="2" t="s">
        <v>115</v>
      </c>
      <c r="B698" t="s">
        <v>9492</v>
      </c>
      <c r="C698" t="s">
        <v>9471</v>
      </c>
      <c r="D698" t="s">
        <v>9474</v>
      </c>
      <c r="K698"/>
      <c r="L698"/>
      <c r="M698"/>
    </row>
    <row r="699" spans="1:13">
      <c r="A699" s="2" t="s">
        <v>194</v>
      </c>
      <c r="B699" t="s">
        <v>9492</v>
      </c>
      <c r="C699" t="s">
        <v>9471</v>
      </c>
      <c r="D699" t="s">
        <v>9474</v>
      </c>
      <c r="K699"/>
      <c r="L699"/>
      <c r="M699"/>
    </row>
    <row r="700" spans="1:13">
      <c r="A700" s="2" t="s">
        <v>172</v>
      </c>
      <c r="B700" t="s">
        <v>9492</v>
      </c>
      <c r="C700" t="s">
        <v>9471</v>
      </c>
      <c r="D700" t="s">
        <v>9474</v>
      </c>
      <c r="K700"/>
      <c r="L700"/>
      <c r="M700"/>
    </row>
    <row r="701" spans="1:13">
      <c r="A701" s="2" t="s">
        <v>195</v>
      </c>
      <c r="B701" t="s">
        <v>9492</v>
      </c>
      <c r="C701" t="s">
        <v>9471</v>
      </c>
      <c r="D701" t="s">
        <v>9474</v>
      </c>
      <c r="K701"/>
      <c r="L701"/>
      <c r="M701"/>
    </row>
    <row r="702" spans="1:13">
      <c r="A702" s="2" t="s">
        <v>183</v>
      </c>
      <c r="B702" t="s">
        <v>9492</v>
      </c>
      <c r="C702" t="s">
        <v>9471</v>
      </c>
      <c r="D702" t="s">
        <v>9474</v>
      </c>
      <c r="K702"/>
      <c r="L702"/>
      <c r="M702"/>
    </row>
    <row r="703" spans="1:13">
      <c r="A703" s="2" t="s">
        <v>102</v>
      </c>
      <c r="B703" t="s">
        <v>9492</v>
      </c>
      <c r="C703" t="s">
        <v>9471</v>
      </c>
      <c r="D703" t="s">
        <v>9476</v>
      </c>
      <c r="K703"/>
      <c r="L703"/>
      <c r="M703"/>
    </row>
    <row r="704" spans="1:13">
      <c r="A704" s="2" t="s">
        <v>185</v>
      </c>
      <c r="B704" t="s">
        <v>9492</v>
      </c>
      <c r="C704" t="s">
        <v>9471</v>
      </c>
      <c r="D704" t="s">
        <v>9474</v>
      </c>
      <c r="K704"/>
      <c r="L704"/>
      <c r="M704"/>
    </row>
    <row r="705" spans="1:13">
      <c r="A705" s="2" t="s">
        <v>181</v>
      </c>
      <c r="B705" t="s">
        <v>9492</v>
      </c>
      <c r="C705" t="s">
        <v>9471</v>
      </c>
      <c r="D705" t="s">
        <v>9474</v>
      </c>
      <c r="K705"/>
      <c r="L705"/>
      <c r="M705"/>
    </row>
    <row r="706" spans="1:13">
      <c r="A706" s="2" t="s">
        <v>116</v>
      </c>
      <c r="B706" t="s">
        <v>9492</v>
      </c>
      <c r="C706" t="s">
        <v>9471</v>
      </c>
      <c r="D706" t="s">
        <v>9474</v>
      </c>
      <c r="K706"/>
      <c r="L706"/>
      <c r="M706"/>
    </row>
    <row r="707" spans="1:13">
      <c r="A707" s="2" t="s">
        <v>151</v>
      </c>
      <c r="B707" t="s">
        <v>9492</v>
      </c>
      <c r="C707" t="s">
        <v>9471</v>
      </c>
      <c r="D707" t="s">
        <v>9476</v>
      </c>
      <c r="K707"/>
      <c r="L707"/>
      <c r="M707"/>
    </row>
    <row r="708" spans="1:13">
      <c r="A708" s="2" t="s">
        <v>164</v>
      </c>
      <c r="B708" t="s">
        <v>9492</v>
      </c>
      <c r="C708" t="s">
        <v>9471</v>
      </c>
      <c r="D708" t="s">
        <v>9477</v>
      </c>
      <c r="K708"/>
      <c r="L708"/>
      <c r="M708"/>
    </row>
    <row r="709" spans="1:13">
      <c r="A709" s="2" t="s">
        <v>105</v>
      </c>
      <c r="B709" t="s">
        <v>9492</v>
      </c>
      <c r="C709" t="s">
        <v>9471</v>
      </c>
      <c r="D709" t="s">
        <v>9474</v>
      </c>
      <c r="K709"/>
      <c r="L709"/>
      <c r="M709"/>
    </row>
    <row r="710" spans="1:13">
      <c r="A710" s="2" t="s">
        <v>106</v>
      </c>
      <c r="B710" t="s">
        <v>9492</v>
      </c>
      <c r="C710" t="s">
        <v>9471</v>
      </c>
      <c r="D710" t="s">
        <v>9476</v>
      </c>
      <c r="K710"/>
      <c r="L710"/>
      <c r="M710"/>
    </row>
    <row r="711" spans="1:13">
      <c r="A711" s="2" t="s">
        <v>121</v>
      </c>
      <c r="B711" t="s">
        <v>9492</v>
      </c>
      <c r="C711" t="s">
        <v>9471</v>
      </c>
      <c r="D711" t="s">
        <v>9474</v>
      </c>
      <c r="K711"/>
      <c r="L711"/>
      <c r="M711"/>
    </row>
    <row r="712" spans="1:13">
      <c r="A712" s="2" t="s">
        <v>155</v>
      </c>
      <c r="B712" t="s">
        <v>9492</v>
      </c>
      <c r="C712" t="s">
        <v>9471</v>
      </c>
      <c r="D712" t="s">
        <v>9474</v>
      </c>
      <c r="K712"/>
      <c r="L712"/>
      <c r="M712"/>
    </row>
    <row r="713" spans="1:13">
      <c r="A713" s="2" t="s">
        <v>117</v>
      </c>
      <c r="B713" t="s">
        <v>9492</v>
      </c>
      <c r="C713" t="s">
        <v>9471</v>
      </c>
      <c r="D713" t="s">
        <v>9474</v>
      </c>
      <c r="K713"/>
      <c r="L713"/>
      <c r="M713"/>
    </row>
    <row r="714" spans="1:13">
      <c r="A714" s="2" t="s">
        <v>154</v>
      </c>
      <c r="B714" t="s">
        <v>9492</v>
      </c>
      <c r="C714" t="s">
        <v>9471</v>
      </c>
      <c r="D714" t="s">
        <v>9476</v>
      </c>
      <c r="K714"/>
      <c r="L714"/>
      <c r="M714"/>
    </row>
    <row r="715" spans="1:13">
      <c r="A715" s="2" t="s">
        <v>137</v>
      </c>
      <c r="B715" t="s">
        <v>9492</v>
      </c>
      <c r="C715" t="s">
        <v>9471</v>
      </c>
      <c r="D715" t="s">
        <v>9474</v>
      </c>
      <c r="K715"/>
      <c r="L715"/>
      <c r="M715"/>
    </row>
    <row r="716" spans="1:13">
      <c r="A716" s="2" t="s">
        <v>111</v>
      </c>
      <c r="B716" t="s">
        <v>9492</v>
      </c>
      <c r="C716" t="s">
        <v>9471</v>
      </c>
      <c r="D716" t="s">
        <v>9474</v>
      </c>
      <c r="K716"/>
      <c r="L716"/>
      <c r="M716"/>
    </row>
    <row r="717" spans="1:13">
      <c r="A717" s="2" t="s">
        <v>136</v>
      </c>
      <c r="B717" t="s">
        <v>9492</v>
      </c>
      <c r="C717" t="s">
        <v>9471</v>
      </c>
      <c r="D717" t="s">
        <v>9476</v>
      </c>
      <c r="K717"/>
      <c r="L717"/>
      <c r="M717"/>
    </row>
    <row r="718" spans="1:13">
      <c r="A718" s="2" t="s">
        <v>144</v>
      </c>
      <c r="B718" t="s">
        <v>9492</v>
      </c>
      <c r="C718" t="s">
        <v>9471</v>
      </c>
      <c r="D718" t="s">
        <v>9474</v>
      </c>
      <c r="K718"/>
      <c r="L718"/>
      <c r="M718"/>
    </row>
    <row r="719" spans="1:13">
      <c r="A719" s="2" t="s">
        <v>178</v>
      </c>
      <c r="B719" t="s">
        <v>9492</v>
      </c>
      <c r="C719" t="s">
        <v>9471</v>
      </c>
      <c r="D719" t="s">
        <v>9474</v>
      </c>
      <c r="K719"/>
      <c r="L719"/>
      <c r="M719"/>
    </row>
    <row r="720" spans="1:13">
      <c r="A720" s="2" t="s">
        <v>184</v>
      </c>
      <c r="B720" t="s">
        <v>9492</v>
      </c>
      <c r="C720" t="s">
        <v>9471</v>
      </c>
      <c r="D720" t="s">
        <v>9477</v>
      </c>
      <c r="K720"/>
      <c r="L720"/>
      <c r="M720"/>
    </row>
    <row r="721" spans="1:13">
      <c r="A721" s="2" t="s">
        <v>95</v>
      </c>
      <c r="B721" t="s">
        <v>9492</v>
      </c>
      <c r="C721" t="s">
        <v>9471</v>
      </c>
      <c r="D721" t="s">
        <v>9476</v>
      </c>
      <c r="K721"/>
      <c r="L721"/>
      <c r="M721"/>
    </row>
    <row r="722" spans="1:13">
      <c r="A722" s="2" t="s">
        <v>171</v>
      </c>
      <c r="B722" t="s">
        <v>9492</v>
      </c>
      <c r="C722" t="s">
        <v>9471</v>
      </c>
      <c r="D722" t="s">
        <v>9474</v>
      </c>
      <c r="K722"/>
      <c r="L722"/>
      <c r="M722"/>
    </row>
    <row r="723" spans="1:13">
      <c r="A723" s="2" t="s">
        <v>170</v>
      </c>
      <c r="B723" t="s">
        <v>9492</v>
      </c>
      <c r="C723" t="s">
        <v>9471</v>
      </c>
      <c r="D723" t="s">
        <v>9477</v>
      </c>
      <c r="K723"/>
      <c r="L723"/>
      <c r="M723"/>
    </row>
    <row r="724" spans="1:13">
      <c r="A724" s="2" t="s">
        <v>149</v>
      </c>
      <c r="B724" t="s">
        <v>9492</v>
      </c>
      <c r="C724" t="s">
        <v>9471</v>
      </c>
      <c r="D724" t="s">
        <v>9474</v>
      </c>
      <c r="K724"/>
      <c r="L724"/>
      <c r="M724"/>
    </row>
    <row r="725" spans="1:13">
      <c r="A725" s="2" t="s">
        <v>150</v>
      </c>
      <c r="B725" t="s">
        <v>9492</v>
      </c>
      <c r="C725" t="s">
        <v>9471</v>
      </c>
      <c r="D725" t="s">
        <v>9474</v>
      </c>
      <c r="K725"/>
      <c r="L725"/>
      <c r="M725"/>
    </row>
    <row r="726" spans="1:13">
      <c r="A726" s="2" t="s">
        <v>146</v>
      </c>
      <c r="B726" t="s">
        <v>9492</v>
      </c>
      <c r="C726" t="s">
        <v>9471</v>
      </c>
      <c r="D726" t="s">
        <v>9474</v>
      </c>
      <c r="K726"/>
      <c r="L726"/>
      <c r="M726"/>
    </row>
    <row r="727" spans="1:13">
      <c r="A727" s="2" t="s">
        <v>189</v>
      </c>
      <c r="B727" t="s">
        <v>9492</v>
      </c>
      <c r="C727" t="s">
        <v>9471</v>
      </c>
      <c r="D727" t="s">
        <v>9474</v>
      </c>
      <c r="K727"/>
      <c r="L727"/>
      <c r="M727"/>
    </row>
    <row r="728" spans="1:13">
      <c r="A728" s="2" t="s">
        <v>175</v>
      </c>
      <c r="B728" t="s">
        <v>9492</v>
      </c>
      <c r="C728" t="s">
        <v>9471</v>
      </c>
      <c r="D728" t="s">
        <v>9474</v>
      </c>
      <c r="K728"/>
      <c r="L728"/>
      <c r="M728"/>
    </row>
    <row r="729" spans="1:13">
      <c r="A729" s="2" t="s">
        <v>176</v>
      </c>
      <c r="B729" t="s">
        <v>9492</v>
      </c>
      <c r="C729" t="s">
        <v>9471</v>
      </c>
      <c r="D729" t="s">
        <v>9474</v>
      </c>
      <c r="K729"/>
      <c r="L729"/>
      <c r="M729"/>
    </row>
    <row r="730" spans="1:13">
      <c r="A730" s="2" t="s">
        <v>177</v>
      </c>
      <c r="B730" t="s">
        <v>9492</v>
      </c>
      <c r="C730" t="s">
        <v>9471</v>
      </c>
      <c r="D730" t="s">
        <v>9474</v>
      </c>
      <c r="K730"/>
      <c r="L730"/>
      <c r="M730"/>
    </row>
    <row r="731" spans="1:13">
      <c r="A731" s="2" t="s">
        <v>103</v>
      </c>
      <c r="B731" t="s">
        <v>9492</v>
      </c>
      <c r="C731" t="s">
        <v>9471</v>
      </c>
      <c r="D731" t="s">
        <v>9476</v>
      </c>
      <c r="K731"/>
      <c r="L731"/>
      <c r="M731"/>
    </row>
    <row r="732" spans="1:13">
      <c r="A732" s="2" t="s">
        <v>122</v>
      </c>
      <c r="B732" t="s">
        <v>9492</v>
      </c>
      <c r="C732" t="s">
        <v>9471</v>
      </c>
      <c r="D732" t="s">
        <v>9476</v>
      </c>
      <c r="K732"/>
      <c r="L732"/>
      <c r="M732"/>
    </row>
    <row r="733" spans="1:13">
      <c r="A733" s="2" t="s">
        <v>622</v>
      </c>
      <c r="B733" t="s">
        <v>9492</v>
      </c>
      <c r="C733" t="s">
        <v>9471</v>
      </c>
      <c r="D733" t="s">
        <v>9474</v>
      </c>
      <c r="K733"/>
      <c r="L733"/>
      <c r="M733"/>
    </row>
    <row r="734" spans="1:13">
      <c r="A734" s="2" t="s">
        <v>623</v>
      </c>
      <c r="B734" t="s">
        <v>9492</v>
      </c>
      <c r="C734" t="s">
        <v>9471</v>
      </c>
      <c r="D734" t="s">
        <v>9477</v>
      </c>
      <c r="K734"/>
      <c r="L734"/>
      <c r="M734"/>
    </row>
    <row r="735" spans="1:13">
      <c r="A735" s="2" t="s">
        <v>624</v>
      </c>
      <c r="B735" t="s">
        <v>9492</v>
      </c>
      <c r="C735" t="s">
        <v>9471</v>
      </c>
      <c r="D735" t="s">
        <v>9474</v>
      </c>
      <c r="K735"/>
      <c r="L735"/>
      <c r="M735"/>
    </row>
    <row r="736" spans="1:13">
      <c r="A736" s="2" t="s">
        <v>621</v>
      </c>
      <c r="B736" t="s">
        <v>9492</v>
      </c>
      <c r="C736" t="s">
        <v>9471</v>
      </c>
      <c r="D736" t="s">
        <v>9476</v>
      </c>
      <c r="K736"/>
      <c r="L736"/>
      <c r="M736"/>
    </row>
    <row r="737" spans="1:13">
      <c r="A737" s="2" t="s">
        <v>625</v>
      </c>
      <c r="B737" t="s">
        <v>9492</v>
      </c>
      <c r="C737" t="s">
        <v>9471</v>
      </c>
      <c r="D737" t="s">
        <v>9474</v>
      </c>
      <c r="K737"/>
      <c r="L737"/>
      <c r="M737"/>
    </row>
    <row r="738" spans="1:13">
      <c r="A738" s="2" t="s">
        <v>166</v>
      </c>
      <c r="B738" t="s">
        <v>9492</v>
      </c>
      <c r="C738" t="s">
        <v>9471</v>
      </c>
      <c r="D738" t="s">
        <v>9474</v>
      </c>
      <c r="K738"/>
      <c r="L738"/>
      <c r="M738"/>
    </row>
    <row r="739" spans="1:13">
      <c r="A739" s="2" t="s">
        <v>165</v>
      </c>
      <c r="B739" t="s">
        <v>9492</v>
      </c>
      <c r="C739" t="s">
        <v>9471</v>
      </c>
      <c r="D739" t="s">
        <v>9474</v>
      </c>
      <c r="K739"/>
      <c r="L739"/>
      <c r="M739"/>
    </row>
    <row r="740" spans="1:13">
      <c r="A740" s="2" t="s">
        <v>169</v>
      </c>
      <c r="B740" t="s">
        <v>9492</v>
      </c>
      <c r="C740" t="s">
        <v>9471</v>
      </c>
      <c r="D740" t="s">
        <v>9474</v>
      </c>
      <c r="K740"/>
      <c r="L740"/>
      <c r="M740"/>
    </row>
    <row r="741" spans="1:13">
      <c r="A741" s="2" t="s">
        <v>163</v>
      </c>
      <c r="B741" t="s">
        <v>9492</v>
      </c>
      <c r="C741" t="s">
        <v>9471</v>
      </c>
      <c r="D741" t="s">
        <v>9474</v>
      </c>
      <c r="K741"/>
      <c r="L741"/>
      <c r="M741"/>
    </row>
    <row r="742" spans="1:13">
      <c r="A742" s="2" t="s">
        <v>126</v>
      </c>
      <c r="B742" t="s">
        <v>9492</v>
      </c>
      <c r="C742" t="s">
        <v>9471</v>
      </c>
      <c r="D742" t="s">
        <v>9474</v>
      </c>
      <c r="K742"/>
      <c r="L742"/>
      <c r="M742"/>
    </row>
    <row r="743" spans="1:13">
      <c r="A743" s="2" t="s">
        <v>109</v>
      </c>
      <c r="B743" t="s">
        <v>9492</v>
      </c>
      <c r="C743" t="s">
        <v>9471</v>
      </c>
      <c r="D743" t="s">
        <v>9476</v>
      </c>
      <c r="K743"/>
      <c r="L743"/>
      <c r="M743"/>
    </row>
    <row r="744" spans="1:13">
      <c r="A744" s="2" t="s">
        <v>130</v>
      </c>
      <c r="B744" t="s">
        <v>9492</v>
      </c>
      <c r="C744" t="s">
        <v>9471</v>
      </c>
      <c r="D744" t="s">
        <v>9474</v>
      </c>
      <c r="K744"/>
      <c r="L744"/>
      <c r="M744"/>
    </row>
    <row r="745" spans="1:13">
      <c r="A745" s="2" t="s">
        <v>140</v>
      </c>
      <c r="B745" t="s">
        <v>9492</v>
      </c>
      <c r="C745" t="s">
        <v>9471</v>
      </c>
      <c r="D745" t="s">
        <v>9476</v>
      </c>
      <c r="K745"/>
      <c r="L745"/>
      <c r="M745"/>
    </row>
    <row r="746" spans="1:13">
      <c r="A746" s="2" t="s">
        <v>156</v>
      </c>
      <c r="B746" t="s">
        <v>9492</v>
      </c>
      <c r="C746" t="s">
        <v>9471</v>
      </c>
      <c r="D746" t="s">
        <v>9477</v>
      </c>
      <c r="K746"/>
      <c r="L746"/>
      <c r="M746"/>
    </row>
    <row r="747" spans="1:13">
      <c r="A747" s="2" t="s">
        <v>101</v>
      </c>
      <c r="B747" t="s">
        <v>9492</v>
      </c>
      <c r="C747" t="s">
        <v>9471</v>
      </c>
      <c r="D747" t="s">
        <v>9474</v>
      </c>
      <c r="K747"/>
      <c r="L747"/>
      <c r="M747"/>
    </row>
    <row r="748" spans="1:13">
      <c r="A748" s="2" t="s">
        <v>138</v>
      </c>
      <c r="B748" t="s">
        <v>9492</v>
      </c>
      <c r="C748" t="s">
        <v>9471</v>
      </c>
      <c r="D748" t="s">
        <v>9476</v>
      </c>
      <c r="K748"/>
      <c r="L748"/>
      <c r="M748"/>
    </row>
    <row r="749" spans="1:13">
      <c r="A749" s="2" t="s">
        <v>186</v>
      </c>
      <c r="B749" t="s">
        <v>9492</v>
      </c>
      <c r="C749" t="s">
        <v>9471</v>
      </c>
      <c r="D749" t="s">
        <v>9474</v>
      </c>
      <c r="K749"/>
      <c r="L749"/>
      <c r="M749"/>
    </row>
    <row r="750" spans="1:13">
      <c r="A750" s="2" t="s">
        <v>182</v>
      </c>
      <c r="B750" t="s">
        <v>9492</v>
      </c>
      <c r="C750" t="s">
        <v>9471</v>
      </c>
      <c r="D750" t="s">
        <v>9474</v>
      </c>
      <c r="K750"/>
      <c r="L750"/>
      <c r="M750"/>
    </row>
    <row r="751" spans="1:13">
      <c r="A751" s="2" t="s">
        <v>123</v>
      </c>
      <c r="B751" t="s">
        <v>9492</v>
      </c>
      <c r="C751" t="s">
        <v>9471</v>
      </c>
      <c r="D751" t="s">
        <v>9476</v>
      </c>
      <c r="K751"/>
      <c r="L751"/>
      <c r="M751"/>
    </row>
    <row r="752" spans="1:13">
      <c r="A752" s="2" t="s">
        <v>113</v>
      </c>
      <c r="B752" t="s">
        <v>9492</v>
      </c>
      <c r="C752" t="s">
        <v>9471</v>
      </c>
      <c r="D752" t="s">
        <v>9476</v>
      </c>
      <c r="K752"/>
      <c r="L752"/>
      <c r="M752"/>
    </row>
    <row r="753" spans="1:13">
      <c r="A753" s="2" t="s">
        <v>174</v>
      </c>
      <c r="B753" t="s">
        <v>9492</v>
      </c>
      <c r="C753" t="s">
        <v>9471</v>
      </c>
      <c r="D753" t="s">
        <v>9474</v>
      </c>
      <c r="K753"/>
      <c r="L753"/>
      <c r="M753"/>
    </row>
    <row r="754" spans="1:13">
      <c r="A754" s="2" t="s">
        <v>120</v>
      </c>
      <c r="B754" t="s">
        <v>9492</v>
      </c>
      <c r="C754" t="s">
        <v>9471</v>
      </c>
      <c r="D754" t="s">
        <v>9474</v>
      </c>
      <c r="K754"/>
      <c r="L754"/>
      <c r="M754"/>
    </row>
    <row r="755" spans="1:13">
      <c r="A755" s="2" t="s">
        <v>173</v>
      </c>
      <c r="B755" t="s">
        <v>9492</v>
      </c>
      <c r="C755" t="s">
        <v>9471</v>
      </c>
      <c r="D755" t="s">
        <v>9474</v>
      </c>
      <c r="K755"/>
      <c r="L755"/>
      <c r="M755"/>
    </row>
    <row r="756" spans="1:13">
      <c r="A756" s="2" t="s">
        <v>162</v>
      </c>
      <c r="B756" t="s">
        <v>9492</v>
      </c>
      <c r="C756" t="s">
        <v>9471</v>
      </c>
      <c r="D756" t="s">
        <v>9477</v>
      </c>
      <c r="K756"/>
      <c r="L756"/>
      <c r="M756"/>
    </row>
    <row r="757" spans="1:13">
      <c r="A757" s="2" t="s">
        <v>131</v>
      </c>
      <c r="B757" t="s">
        <v>9492</v>
      </c>
      <c r="C757" t="s">
        <v>9471</v>
      </c>
      <c r="D757" t="s">
        <v>9476</v>
      </c>
      <c r="K757"/>
      <c r="L757"/>
      <c r="M757"/>
    </row>
    <row r="758" spans="1:13">
      <c r="A758" s="2" t="s">
        <v>134</v>
      </c>
      <c r="B758" t="s">
        <v>9492</v>
      </c>
      <c r="C758" t="s">
        <v>9471</v>
      </c>
      <c r="D758" t="s">
        <v>9476</v>
      </c>
      <c r="K758"/>
      <c r="L758"/>
      <c r="M758"/>
    </row>
    <row r="759" spans="1:13">
      <c r="A759" s="2" t="s">
        <v>119</v>
      </c>
      <c r="B759" t="s">
        <v>9492</v>
      </c>
      <c r="C759" t="s">
        <v>9471</v>
      </c>
      <c r="D759" t="s">
        <v>9474</v>
      </c>
      <c r="K759"/>
      <c r="L759"/>
      <c r="M759"/>
    </row>
    <row r="760" spans="1:13">
      <c r="A760" s="2" t="s">
        <v>168</v>
      </c>
      <c r="B760" t="s">
        <v>9492</v>
      </c>
      <c r="C760" t="s">
        <v>9435</v>
      </c>
      <c r="D760" t="s">
        <v>9476</v>
      </c>
      <c r="K760"/>
      <c r="L760"/>
      <c r="M760"/>
    </row>
    <row r="761" spans="1:13">
      <c r="A761" s="2" t="s">
        <v>141</v>
      </c>
      <c r="B761" t="s">
        <v>9492</v>
      </c>
      <c r="C761" t="s">
        <v>9471</v>
      </c>
      <c r="D761" t="s">
        <v>9474</v>
      </c>
      <c r="K761"/>
      <c r="L761"/>
      <c r="M761"/>
    </row>
    <row r="762" spans="1:13">
      <c r="A762" s="2" t="s">
        <v>180</v>
      </c>
      <c r="B762" t="s">
        <v>9492</v>
      </c>
      <c r="C762" t="s">
        <v>9471</v>
      </c>
      <c r="D762" t="s">
        <v>9474</v>
      </c>
      <c r="K762"/>
      <c r="L762"/>
      <c r="M762"/>
    </row>
    <row r="763" spans="1:13">
      <c r="A763" s="2" t="s">
        <v>135</v>
      </c>
      <c r="B763" t="s">
        <v>9492</v>
      </c>
      <c r="C763" t="s">
        <v>9471</v>
      </c>
      <c r="D763" t="s">
        <v>9474</v>
      </c>
      <c r="K763"/>
      <c r="L763"/>
      <c r="M763"/>
    </row>
    <row r="764" spans="1:13">
      <c r="A764" s="2" t="s">
        <v>620</v>
      </c>
      <c r="B764" t="s">
        <v>9492</v>
      </c>
      <c r="C764" t="s">
        <v>9471</v>
      </c>
      <c r="D764" t="s">
        <v>9476</v>
      </c>
      <c r="K764"/>
      <c r="L764"/>
      <c r="M764"/>
    </row>
    <row r="765" spans="1:13">
      <c r="A765" s="2" t="s">
        <v>98</v>
      </c>
      <c r="B765" t="s">
        <v>9492</v>
      </c>
      <c r="C765" t="s">
        <v>9471</v>
      </c>
      <c r="D765" t="s">
        <v>9474</v>
      </c>
      <c r="K765"/>
      <c r="L765"/>
      <c r="M765"/>
    </row>
    <row r="766" spans="1:13">
      <c r="A766" s="2" t="s">
        <v>124</v>
      </c>
      <c r="B766" t="s">
        <v>9492</v>
      </c>
      <c r="C766" t="s">
        <v>9471</v>
      </c>
      <c r="D766" t="s">
        <v>9474</v>
      </c>
      <c r="K766"/>
      <c r="L766"/>
      <c r="M766"/>
    </row>
    <row r="767" spans="1:13">
      <c r="A767" s="2" t="s">
        <v>99</v>
      </c>
      <c r="B767" t="s">
        <v>9492</v>
      </c>
      <c r="C767" t="s">
        <v>9471</v>
      </c>
      <c r="D767" t="s">
        <v>9476</v>
      </c>
      <c r="K767"/>
      <c r="L767"/>
      <c r="M767"/>
    </row>
    <row r="768" spans="1:13">
      <c r="A768" s="2" t="s">
        <v>92</v>
      </c>
      <c r="B768" t="s">
        <v>9492</v>
      </c>
      <c r="C768" t="s">
        <v>9471</v>
      </c>
      <c r="D768" t="s">
        <v>9476</v>
      </c>
      <c r="K768"/>
      <c r="L768"/>
      <c r="M768"/>
    </row>
    <row r="769" spans="1:13">
      <c r="A769" s="2" t="s">
        <v>97</v>
      </c>
      <c r="B769" t="s">
        <v>9492</v>
      </c>
      <c r="C769" t="s">
        <v>9471</v>
      </c>
      <c r="D769" t="s">
        <v>9476</v>
      </c>
      <c r="K769"/>
      <c r="L769"/>
      <c r="M769"/>
    </row>
    <row r="770" spans="1:13">
      <c r="A770" s="2" t="s">
        <v>152</v>
      </c>
      <c r="B770" t="s">
        <v>9492</v>
      </c>
      <c r="C770" t="s">
        <v>9471</v>
      </c>
      <c r="D770" t="s">
        <v>9476</v>
      </c>
      <c r="K770"/>
      <c r="L770"/>
      <c r="M770"/>
    </row>
    <row r="771" spans="1:13">
      <c r="A771" s="2" t="s">
        <v>107</v>
      </c>
      <c r="B771" t="s">
        <v>9492</v>
      </c>
      <c r="C771" t="s">
        <v>9471</v>
      </c>
      <c r="D771" t="s">
        <v>9474</v>
      </c>
      <c r="K771"/>
      <c r="L771"/>
      <c r="M771"/>
    </row>
    <row r="772" spans="1:13">
      <c r="A772" s="2" t="s">
        <v>108</v>
      </c>
      <c r="B772" t="s">
        <v>9492</v>
      </c>
      <c r="C772" t="s">
        <v>9471</v>
      </c>
      <c r="D772" t="s">
        <v>9476</v>
      </c>
      <c r="K772"/>
      <c r="L772"/>
      <c r="M772"/>
    </row>
    <row r="773" spans="1:13">
      <c r="A773" s="2" t="s">
        <v>127</v>
      </c>
      <c r="B773" t="s">
        <v>9492</v>
      </c>
      <c r="C773" t="s">
        <v>9471</v>
      </c>
      <c r="D773" t="s">
        <v>9474</v>
      </c>
      <c r="K773"/>
      <c r="L773"/>
      <c r="M773"/>
    </row>
    <row r="774" spans="1:13">
      <c r="A774" s="2" t="s">
        <v>112</v>
      </c>
      <c r="B774" t="s">
        <v>9492</v>
      </c>
      <c r="C774" t="s">
        <v>9471</v>
      </c>
      <c r="D774" t="s">
        <v>9474</v>
      </c>
      <c r="K774"/>
      <c r="L774"/>
      <c r="M774"/>
    </row>
    <row r="775" spans="1:13">
      <c r="A775" s="2" t="s">
        <v>118</v>
      </c>
      <c r="B775" t="s">
        <v>9492</v>
      </c>
      <c r="C775" t="s">
        <v>9471</v>
      </c>
      <c r="D775" t="s">
        <v>9474</v>
      </c>
      <c r="K775"/>
      <c r="L775"/>
      <c r="M775"/>
    </row>
    <row r="776" spans="1:13">
      <c r="A776" s="2" t="s">
        <v>114</v>
      </c>
      <c r="B776" t="s">
        <v>9492</v>
      </c>
      <c r="C776" t="s">
        <v>9471</v>
      </c>
      <c r="D776" t="s">
        <v>9474</v>
      </c>
      <c r="K776"/>
      <c r="L776"/>
      <c r="M776"/>
    </row>
    <row r="777" spans="1:13">
      <c r="A777" s="2" t="s">
        <v>143</v>
      </c>
      <c r="B777" t="s">
        <v>9492</v>
      </c>
      <c r="C777" t="s">
        <v>9471</v>
      </c>
      <c r="D777" t="s">
        <v>9476</v>
      </c>
      <c r="K777"/>
      <c r="L777"/>
      <c r="M777"/>
    </row>
    <row r="778" spans="1:13">
      <c r="A778" s="2" t="s">
        <v>160</v>
      </c>
      <c r="B778" t="s">
        <v>9492</v>
      </c>
      <c r="C778" t="s">
        <v>9471</v>
      </c>
      <c r="D778" t="s">
        <v>9474</v>
      </c>
      <c r="K778"/>
      <c r="L778"/>
      <c r="M778"/>
    </row>
    <row r="779" spans="1:13">
      <c r="A779" s="2" t="s">
        <v>94</v>
      </c>
      <c r="B779" t="s">
        <v>9492</v>
      </c>
      <c r="C779" t="s">
        <v>9471</v>
      </c>
      <c r="D779" t="s">
        <v>9474</v>
      </c>
      <c r="K779"/>
      <c r="L779"/>
      <c r="M779"/>
    </row>
    <row r="780" spans="1:13">
      <c r="A780" s="2" t="s">
        <v>91</v>
      </c>
      <c r="B780" t="s">
        <v>9492</v>
      </c>
      <c r="C780" t="s">
        <v>9471</v>
      </c>
      <c r="D780" t="s">
        <v>9474</v>
      </c>
      <c r="K780"/>
      <c r="L780"/>
      <c r="M780"/>
    </row>
    <row r="781" spans="1:13">
      <c r="A781" s="2" t="s">
        <v>93</v>
      </c>
      <c r="B781" t="s">
        <v>9492</v>
      </c>
      <c r="C781" t="s">
        <v>9471</v>
      </c>
      <c r="D781" t="s">
        <v>9474</v>
      </c>
      <c r="K781"/>
      <c r="L781"/>
      <c r="M781"/>
    </row>
    <row r="782" spans="1:13">
      <c r="A782" s="2" t="s">
        <v>110</v>
      </c>
      <c r="B782" t="s">
        <v>9492</v>
      </c>
      <c r="C782" t="s">
        <v>9471</v>
      </c>
      <c r="D782" t="s">
        <v>9474</v>
      </c>
      <c r="K782"/>
      <c r="L782"/>
      <c r="M782"/>
    </row>
    <row r="783" spans="1:13">
      <c r="A783" s="2" t="s">
        <v>129</v>
      </c>
      <c r="B783" t="s">
        <v>9492</v>
      </c>
      <c r="C783" t="s">
        <v>9471</v>
      </c>
      <c r="D783" t="s">
        <v>9474</v>
      </c>
      <c r="K783"/>
      <c r="L783"/>
      <c r="M783"/>
    </row>
    <row r="784" spans="1:13">
      <c r="A784" s="2" t="s">
        <v>190</v>
      </c>
      <c r="B784" t="s">
        <v>9492</v>
      </c>
      <c r="C784" t="s">
        <v>9471</v>
      </c>
      <c r="D784" t="s">
        <v>9474</v>
      </c>
      <c r="K784"/>
      <c r="L784"/>
      <c r="M784"/>
    </row>
    <row r="785" spans="1:13">
      <c r="A785" s="2" t="s">
        <v>139</v>
      </c>
      <c r="B785" t="s">
        <v>9492</v>
      </c>
      <c r="C785" t="s">
        <v>9471</v>
      </c>
      <c r="D785" t="s">
        <v>9474</v>
      </c>
      <c r="K785"/>
      <c r="L785"/>
      <c r="M785"/>
    </row>
    <row r="786" spans="1:13">
      <c r="A786" s="2" t="s">
        <v>147</v>
      </c>
      <c r="B786" t="s">
        <v>9492</v>
      </c>
      <c r="C786" t="s">
        <v>9471</v>
      </c>
      <c r="D786" t="s">
        <v>9474</v>
      </c>
      <c r="K786"/>
      <c r="L786"/>
      <c r="M786"/>
    </row>
    <row r="787" spans="1:13">
      <c r="A787" s="2" t="s">
        <v>188</v>
      </c>
      <c r="B787" t="s">
        <v>9492</v>
      </c>
      <c r="C787" t="s">
        <v>9471</v>
      </c>
      <c r="D787" t="s">
        <v>9474</v>
      </c>
      <c r="K787"/>
      <c r="L787"/>
      <c r="M787"/>
    </row>
    <row r="788" spans="1:13">
      <c r="A788" s="2" t="s">
        <v>125</v>
      </c>
      <c r="B788" t="s">
        <v>9492</v>
      </c>
      <c r="C788" t="s">
        <v>9471</v>
      </c>
      <c r="D788" t="s">
        <v>9474</v>
      </c>
      <c r="K788"/>
      <c r="L788"/>
      <c r="M788"/>
    </row>
    <row r="789" spans="1:13">
      <c r="A789" s="2" t="s">
        <v>167</v>
      </c>
      <c r="B789" t="s">
        <v>9492</v>
      </c>
      <c r="C789" t="s">
        <v>9435</v>
      </c>
      <c r="D789" t="s">
        <v>9476</v>
      </c>
      <c r="K789"/>
      <c r="L789"/>
      <c r="M789"/>
    </row>
  </sheetData>
  <conditionalFormatting sqref="B1:C1048576">
    <cfRule type="containsText" dxfId="0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 D790:D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A2DA-AC19-4D58-A620-8C8AD7C64FC9}">
  <dimension ref="A1:B789"/>
  <sheetViews>
    <sheetView workbookViewId="0">
      <selection activeCell="B1" sqref="B1"/>
    </sheetView>
  </sheetViews>
  <sheetFormatPr defaultRowHeight="14.6"/>
  <cols>
    <col min="1" max="1" width="50.765625" bestFit="1" customWidth="1"/>
    <col min="2" max="2" width="34.53515625" bestFit="1" customWidth="1"/>
  </cols>
  <sheetData>
    <row r="1" spans="1:2">
      <c r="A1" s="25" t="s">
        <v>0</v>
      </c>
      <c r="B1" s="25" t="s">
        <v>8243</v>
      </c>
    </row>
    <row r="2" spans="1:2">
      <c r="A2" s="23" t="s">
        <v>751</v>
      </c>
      <c r="B2" s="27" t="s">
        <v>8244</v>
      </c>
    </row>
    <row r="3" spans="1:2">
      <c r="A3" s="24" t="s">
        <v>752</v>
      </c>
      <c r="B3" s="24" t="s">
        <v>8244</v>
      </c>
    </row>
    <row r="4" spans="1:2">
      <c r="A4" s="23" t="s">
        <v>22</v>
      </c>
      <c r="B4" s="24" t="s">
        <v>8245</v>
      </c>
    </row>
    <row r="5" spans="1:2">
      <c r="A5" s="24" t="s">
        <v>25</v>
      </c>
      <c r="B5" s="24" t="s">
        <v>8246</v>
      </c>
    </row>
    <row r="6" spans="1:2">
      <c r="A6" s="23" t="s">
        <v>26</v>
      </c>
      <c r="B6" s="24" t="s">
        <v>8247</v>
      </c>
    </row>
    <row r="7" spans="1:2">
      <c r="A7" s="24" t="s">
        <v>27</v>
      </c>
      <c r="B7" s="24" t="s">
        <v>8248</v>
      </c>
    </row>
    <row r="8" spans="1:2">
      <c r="A8" s="23" t="s">
        <v>28</v>
      </c>
      <c r="B8" s="24" t="s">
        <v>8249</v>
      </c>
    </row>
    <row r="9" spans="1:2">
      <c r="A9" s="24" t="s">
        <v>29</v>
      </c>
      <c r="B9" s="24" t="s">
        <v>8250</v>
      </c>
    </row>
    <row r="10" spans="1:2">
      <c r="A10" s="23" t="s">
        <v>30</v>
      </c>
      <c r="B10" s="24" t="s">
        <v>8251</v>
      </c>
    </row>
    <row r="11" spans="1:2">
      <c r="A11" s="24" t="s">
        <v>31</v>
      </c>
      <c r="B11" s="24" t="s">
        <v>8252</v>
      </c>
    </row>
    <row r="12" spans="1:2">
      <c r="A12" s="23" t="s">
        <v>34</v>
      </c>
      <c r="B12" s="24" t="s">
        <v>8253</v>
      </c>
    </row>
    <row r="13" spans="1:2">
      <c r="A13" s="24" t="s">
        <v>36</v>
      </c>
      <c r="B13" s="24" t="s">
        <v>8254</v>
      </c>
    </row>
    <row r="14" spans="1:2">
      <c r="A14" s="23" t="s">
        <v>37</v>
      </c>
      <c r="B14" s="24" t="s">
        <v>8255</v>
      </c>
    </row>
    <row r="15" spans="1:2">
      <c r="A15" s="24" t="s">
        <v>38</v>
      </c>
      <c r="B15" s="24" t="s">
        <v>8256</v>
      </c>
    </row>
    <row r="16" spans="1:2">
      <c r="A16" s="23" t="s">
        <v>39</v>
      </c>
      <c r="B16" s="24" t="s">
        <v>8257</v>
      </c>
    </row>
    <row r="17" spans="1:2">
      <c r="A17" s="24" t="s">
        <v>40</v>
      </c>
      <c r="B17" s="24" t="s">
        <v>8258</v>
      </c>
    </row>
    <row r="18" spans="1:2">
      <c r="A18" s="23" t="s">
        <v>41</v>
      </c>
      <c r="B18" s="24" t="s">
        <v>8259</v>
      </c>
    </row>
    <row r="19" spans="1:2">
      <c r="A19" s="24" t="s">
        <v>42</v>
      </c>
      <c r="B19" s="24" t="s">
        <v>8260</v>
      </c>
    </row>
    <row r="20" spans="1:2">
      <c r="A20" s="23" t="s">
        <v>43</v>
      </c>
      <c r="B20" s="24" t="s">
        <v>8261</v>
      </c>
    </row>
    <row r="21" spans="1:2">
      <c r="A21" s="24" t="s">
        <v>44</v>
      </c>
      <c r="B21" s="24" t="s">
        <v>8262</v>
      </c>
    </row>
    <row r="22" spans="1:2">
      <c r="A22" s="23" t="s">
        <v>45</v>
      </c>
      <c r="B22" s="24" t="s">
        <v>8263</v>
      </c>
    </row>
    <row r="23" spans="1:2">
      <c r="A23" s="24" t="s">
        <v>46</v>
      </c>
      <c r="B23" s="24" t="s">
        <v>8264</v>
      </c>
    </row>
    <row r="24" spans="1:2">
      <c r="A24" s="23" t="s">
        <v>47</v>
      </c>
      <c r="B24" s="24" t="s">
        <v>8265</v>
      </c>
    </row>
    <row r="25" spans="1:2">
      <c r="A25" s="24" t="s">
        <v>48</v>
      </c>
      <c r="B25" s="24" t="s">
        <v>8266</v>
      </c>
    </row>
    <row r="26" spans="1:2">
      <c r="A26" s="23" t="s">
        <v>49</v>
      </c>
      <c r="B26" s="24" t="s">
        <v>8267</v>
      </c>
    </row>
    <row r="27" spans="1:2">
      <c r="A27" s="24" t="s">
        <v>50</v>
      </c>
      <c r="B27" s="24" t="s">
        <v>8268</v>
      </c>
    </row>
    <row r="28" spans="1:2">
      <c r="A28" s="23" t="s">
        <v>51</v>
      </c>
      <c r="B28" s="24" t="s">
        <v>8269</v>
      </c>
    </row>
    <row r="29" spans="1:2">
      <c r="A29" s="24" t="s">
        <v>52</v>
      </c>
      <c r="B29" s="24" t="s">
        <v>8270</v>
      </c>
    </row>
    <row r="30" spans="1:2">
      <c r="A30" s="23" t="s">
        <v>53</v>
      </c>
      <c r="B30" s="24" t="s">
        <v>8271</v>
      </c>
    </row>
    <row r="31" spans="1:2">
      <c r="A31" s="24" t="s">
        <v>54</v>
      </c>
      <c r="B31" s="24" t="s">
        <v>8272</v>
      </c>
    </row>
    <row r="32" spans="1:2">
      <c r="A32" s="23" t="s">
        <v>55</v>
      </c>
      <c r="B32" s="24" t="s">
        <v>8273</v>
      </c>
    </row>
    <row r="33" spans="1:2">
      <c r="A33" s="24" t="s">
        <v>56</v>
      </c>
      <c r="B33" s="24" t="s">
        <v>8274</v>
      </c>
    </row>
    <row r="34" spans="1:2">
      <c r="A34" s="23" t="s">
        <v>57</v>
      </c>
      <c r="B34" s="24" t="s">
        <v>8275</v>
      </c>
    </row>
    <row r="35" spans="1:2">
      <c r="A35" s="24" t="s">
        <v>58</v>
      </c>
      <c r="B35" s="24" t="s">
        <v>8276</v>
      </c>
    </row>
    <row r="36" spans="1:2">
      <c r="A36" s="23" t="s">
        <v>59</v>
      </c>
      <c r="B36" s="24" t="s">
        <v>8277</v>
      </c>
    </row>
    <row r="37" spans="1:2">
      <c r="A37" s="24" t="s">
        <v>60</v>
      </c>
      <c r="B37" s="24" t="s">
        <v>8278</v>
      </c>
    </row>
    <row r="38" spans="1:2">
      <c r="A38" s="23" t="s">
        <v>61</v>
      </c>
      <c r="B38" s="24" t="s">
        <v>8279</v>
      </c>
    </row>
    <row r="39" spans="1:2">
      <c r="A39" s="24" t="s">
        <v>62</v>
      </c>
      <c r="B39" s="24" t="s">
        <v>8280</v>
      </c>
    </row>
    <row r="40" spans="1:2">
      <c r="A40" s="23" t="s">
        <v>63</v>
      </c>
      <c r="B40" s="24" t="s">
        <v>8281</v>
      </c>
    </row>
    <row r="41" spans="1:2">
      <c r="A41" s="24" t="s">
        <v>64</v>
      </c>
      <c r="B41" s="24" t="s">
        <v>8282</v>
      </c>
    </row>
    <row r="42" spans="1:2">
      <c r="A42" s="23" t="s">
        <v>65</v>
      </c>
      <c r="B42" s="24" t="s">
        <v>8283</v>
      </c>
    </row>
    <row r="43" spans="1:2">
      <c r="A43" s="24" t="s">
        <v>66</v>
      </c>
      <c r="B43" s="24" t="s">
        <v>8284</v>
      </c>
    </row>
    <row r="44" spans="1:2">
      <c r="A44" s="23" t="s">
        <v>67</v>
      </c>
      <c r="B44" s="24" t="s">
        <v>8285</v>
      </c>
    </row>
    <row r="45" spans="1:2">
      <c r="A45" s="24" t="s">
        <v>68</v>
      </c>
      <c r="B45" s="24" t="s">
        <v>8286</v>
      </c>
    </row>
    <row r="46" spans="1:2">
      <c r="A46" s="23" t="s">
        <v>69</v>
      </c>
      <c r="B46" s="24" t="s">
        <v>8287</v>
      </c>
    </row>
    <row r="47" spans="1:2">
      <c r="A47" s="24" t="s">
        <v>70</v>
      </c>
      <c r="B47" s="24" t="s">
        <v>8288</v>
      </c>
    </row>
    <row r="48" spans="1:2">
      <c r="A48" s="23" t="s">
        <v>71</v>
      </c>
      <c r="B48" s="24" t="s">
        <v>8289</v>
      </c>
    </row>
    <row r="49" spans="1:2">
      <c r="A49" s="24" t="s">
        <v>72</v>
      </c>
      <c r="B49" s="24" t="s">
        <v>8290</v>
      </c>
    </row>
    <row r="50" spans="1:2">
      <c r="A50" s="23" t="s">
        <v>73</v>
      </c>
      <c r="B50" s="24" t="s">
        <v>8291</v>
      </c>
    </row>
    <row r="51" spans="1:2">
      <c r="A51" s="24" t="s">
        <v>75</v>
      </c>
      <c r="B51" s="24" t="s">
        <v>8292</v>
      </c>
    </row>
    <row r="52" spans="1:2">
      <c r="A52" s="23" t="s">
        <v>76</v>
      </c>
      <c r="B52" s="24" t="s">
        <v>8293</v>
      </c>
    </row>
    <row r="53" spans="1:2">
      <c r="A53" s="24" t="s">
        <v>77</v>
      </c>
      <c r="B53" s="24" t="s">
        <v>8294</v>
      </c>
    </row>
    <row r="54" spans="1:2">
      <c r="A54" s="23" t="s">
        <v>78</v>
      </c>
      <c r="B54" s="24" t="s">
        <v>8295</v>
      </c>
    </row>
    <row r="55" spans="1:2">
      <c r="A55" s="24" t="s">
        <v>79</v>
      </c>
      <c r="B55" s="24" t="s">
        <v>8296</v>
      </c>
    </row>
    <row r="56" spans="1:2">
      <c r="A56" s="23" t="s">
        <v>80</v>
      </c>
      <c r="B56" s="24" t="s">
        <v>8297</v>
      </c>
    </row>
    <row r="57" spans="1:2">
      <c r="A57" s="24" t="s">
        <v>81</v>
      </c>
      <c r="B57" s="24" t="s">
        <v>8298</v>
      </c>
    </row>
    <row r="58" spans="1:2">
      <c r="A58" s="23" t="s">
        <v>82</v>
      </c>
      <c r="B58" s="24" t="s">
        <v>8299</v>
      </c>
    </row>
    <row r="59" spans="1:2">
      <c r="A59" s="24" t="s">
        <v>83</v>
      </c>
      <c r="B59" s="24" t="s">
        <v>8300</v>
      </c>
    </row>
    <row r="60" spans="1:2">
      <c r="A60" s="23" t="s">
        <v>84</v>
      </c>
      <c r="B60" s="24" t="s">
        <v>8301</v>
      </c>
    </row>
    <row r="61" spans="1:2">
      <c r="A61" s="24" t="s">
        <v>85</v>
      </c>
      <c r="B61" s="24" t="s">
        <v>8302</v>
      </c>
    </row>
    <row r="62" spans="1:2">
      <c r="A62" s="23" t="s">
        <v>86</v>
      </c>
      <c r="B62" s="24" t="s">
        <v>8303</v>
      </c>
    </row>
    <row r="63" spans="1:2">
      <c r="A63" s="24" t="s">
        <v>87</v>
      </c>
      <c r="B63" s="24" t="s">
        <v>8304</v>
      </c>
    </row>
    <row r="64" spans="1:2">
      <c r="A64" s="23" t="s">
        <v>88</v>
      </c>
      <c r="B64" s="24" t="s">
        <v>8305</v>
      </c>
    </row>
    <row r="65" spans="1:2">
      <c r="A65" s="24" t="s">
        <v>89</v>
      </c>
      <c r="B65" s="24" t="s">
        <v>8306</v>
      </c>
    </row>
    <row r="66" spans="1:2">
      <c r="A66" s="23" t="s">
        <v>90</v>
      </c>
      <c r="B66" s="24" t="s">
        <v>8307</v>
      </c>
    </row>
    <row r="67" spans="1:2">
      <c r="A67" s="24" t="s">
        <v>91</v>
      </c>
      <c r="B67" s="24" t="s">
        <v>8308</v>
      </c>
    </row>
    <row r="68" spans="1:2">
      <c r="A68" s="23" t="s">
        <v>92</v>
      </c>
      <c r="B68" s="24" t="s">
        <v>8309</v>
      </c>
    </row>
    <row r="69" spans="1:2">
      <c r="A69" s="24" t="s">
        <v>93</v>
      </c>
      <c r="B69" s="24" t="s">
        <v>8310</v>
      </c>
    </row>
    <row r="70" spans="1:2">
      <c r="A70" s="23" t="s">
        <v>94</v>
      </c>
      <c r="B70" s="24" t="s">
        <v>8311</v>
      </c>
    </row>
    <row r="71" spans="1:2">
      <c r="A71" s="24" t="s">
        <v>95</v>
      </c>
      <c r="B71" s="24" t="s">
        <v>8312</v>
      </c>
    </row>
    <row r="72" spans="1:2">
      <c r="A72" s="23" t="s">
        <v>96</v>
      </c>
      <c r="B72" s="24" t="s">
        <v>8313</v>
      </c>
    </row>
    <row r="73" spans="1:2">
      <c r="A73" s="24" t="s">
        <v>97</v>
      </c>
      <c r="B73" s="24" t="s">
        <v>8314</v>
      </c>
    </row>
    <row r="74" spans="1:2">
      <c r="A74" s="23" t="s">
        <v>98</v>
      </c>
      <c r="B74" s="24" t="s">
        <v>8315</v>
      </c>
    </row>
    <row r="75" spans="1:2">
      <c r="A75" s="24" t="s">
        <v>99</v>
      </c>
      <c r="B75" s="24" t="s">
        <v>8316</v>
      </c>
    </row>
    <row r="76" spans="1:2">
      <c r="A76" s="23" t="s">
        <v>100</v>
      </c>
      <c r="B76" s="24" t="s">
        <v>8317</v>
      </c>
    </row>
    <row r="77" spans="1:2">
      <c r="A77" s="24" t="s">
        <v>101</v>
      </c>
      <c r="B77" s="24" t="s">
        <v>8318</v>
      </c>
    </row>
    <row r="78" spans="1:2">
      <c r="A78" s="23" t="s">
        <v>102</v>
      </c>
      <c r="B78" s="24" t="s">
        <v>8319</v>
      </c>
    </row>
    <row r="79" spans="1:2">
      <c r="A79" s="24" t="s">
        <v>103</v>
      </c>
      <c r="B79" s="24" t="s">
        <v>8320</v>
      </c>
    </row>
    <row r="80" spans="1:2">
      <c r="A80" s="23" t="s">
        <v>104</v>
      </c>
      <c r="B80" s="24" t="s">
        <v>8321</v>
      </c>
    </row>
    <row r="81" spans="1:2">
      <c r="A81" s="24" t="s">
        <v>105</v>
      </c>
      <c r="B81" s="24" t="s">
        <v>8322</v>
      </c>
    </row>
    <row r="82" spans="1:2">
      <c r="A82" s="23" t="s">
        <v>106</v>
      </c>
      <c r="B82" s="24" t="s">
        <v>8323</v>
      </c>
    </row>
    <row r="83" spans="1:2">
      <c r="A83" s="24" t="s">
        <v>107</v>
      </c>
      <c r="B83" s="24" t="s">
        <v>8324</v>
      </c>
    </row>
    <row r="84" spans="1:2">
      <c r="A84" s="23" t="s">
        <v>108</v>
      </c>
      <c r="B84" s="24" t="s">
        <v>8325</v>
      </c>
    </row>
    <row r="85" spans="1:2">
      <c r="A85" s="24" t="s">
        <v>109</v>
      </c>
      <c r="B85" s="24" t="s">
        <v>8326</v>
      </c>
    </row>
    <row r="86" spans="1:2">
      <c r="A86" s="23" t="s">
        <v>110</v>
      </c>
      <c r="B86" s="24" t="s">
        <v>8327</v>
      </c>
    </row>
    <row r="87" spans="1:2">
      <c r="A87" s="24" t="s">
        <v>111</v>
      </c>
      <c r="B87" s="24" t="s">
        <v>8328</v>
      </c>
    </row>
    <row r="88" spans="1:2">
      <c r="A88" s="23" t="s">
        <v>112</v>
      </c>
      <c r="B88" s="24" t="s">
        <v>8329</v>
      </c>
    </row>
    <row r="89" spans="1:2">
      <c r="A89" s="24" t="s">
        <v>113</v>
      </c>
      <c r="B89" s="24" t="s">
        <v>8330</v>
      </c>
    </row>
    <row r="90" spans="1:2">
      <c r="A90" s="23" t="s">
        <v>114</v>
      </c>
      <c r="B90" s="24" t="s">
        <v>8331</v>
      </c>
    </row>
    <row r="91" spans="1:2">
      <c r="A91" s="24" t="s">
        <v>115</v>
      </c>
      <c r="B91" s="24" t="s">
        <v>8332</v>
      </c>
    </row>
    <row r="92" spans="1:2">
      <c r="A92" s="23" t="s">
        <v>116</v>
      </c>
      <c r="B92" s="24" t="s">
        <v>8333</v>
      </c>
    </row>
    <row r="93" spans="1:2">
      <c r="A93" s="24" t="s">
        <v>117</v>
      </c>
      <c r="B93" s="24" t="s">
        <v>8334</v>
      </c>
    </row>
    <row r="94" spans="1:2">
      <c r="A94" s="23" t="s">
        <v>118</v>
      </c>
      <c r="B94" s="24" t="s">
        <v>8335</v>
      </c>
    </row>
    <row r="95" spans="1:2">
      <c r="A95" s="24" t="s">
        <v>119</v>
      </c>
      <c r="B95" s="24" t="s">
        <v>8336</v>
      </c>
    </row>
    <row r="96" spans="1:2">
      <c r="A96" s="23" t="s">
        <v>120</v>
      </c>
      <c r="B96" s="24" t="s">
        <v>8337</v>
      </c>
    </row>
    <row r="97" spans="1:2">
      <c r="A97" s="24" t="s">
        <v>121</v>
      </c>
      <c r="B97" s="24" t="s">
        <v>8338</v>
      </c>
    </row>
    <row r="98" spans="1:2">
      <c r="A98" s="23" t="s">
        <v>122</v>
      </c>
      <c r="B98" s="24" t="s">
        <v>8339</v>
      </c>
    </row>
    <row r="99" spans="1:2">
      <c r="A99" s="24" t="s">
        <v>123</v>
      </c>
      <c r="B99" s="24" t="s">
        <v>8340</v>
      </c>
    </row>
    <row r="100" spans="1:2">
      <c r="A100" s="23" t="s">
        <v>124</v>
      </c>
      <c r="B100" s="24" t="s">
        <v>8341</v>
      </c>
    </row>
    <row r="101" spans="1:2">
      <c r="A101" s="24" t="s">
        <v>125</v>
      </c>
      <c r="B101" s="24" t="s">
        <v>8342</v>
      </c>
    </row>
    <row r="102" spans="1:2">
      <c r="A102" s="23" t="s">
        <v>126</v>
      </c>
      <c r="B102" s="24" t="s">
        <v>8343</v>
      </c>
    </row>
    <row r="103" spans="1:2">
      <c r="A103" s="24" t="s">
        <v>127</v>
      </c>
      <c r="B103" s="24" t="s">
        <v>8344</v>
      </c>
    </row>
    <row r="104" spans="1:2">
      <c r="A104" s="23" t="s">
        <v>128</v>
      </c>
      <c r="B104" s="24" t="s">
        <v>8345</v>
      </c>
    </row>
    <row r="105" spans="1:2">
      <c r="A105" s="24" t="s">
        <v>129</v>
      </c>
      <c r="B105" s="24" t="s">
        <v>8346</v>
      </c>
    </row>
    <row r="106" spans="1:2">
      <c r="A106" s="23" t="s">
        <v>130</v>
      </c>
      <c r="B106" s="24" t="s">
        <v>8347</v>
      </c>
    </row>
    <row r="107" spans="1:2">
      <c r="A107" s="24" t="s">
        <v>131</v>
      </c>
      <c r="B107" s="24" t="s">
        <v>8348</v>
      </c>
    </row>
    <row r="108" spans="1:2">
      <c r="A108" s="23" t="s">
        <v>132</v>
      </c>
      <c r="B108" s="24" t="s">
        <v>8349</v>
      </c>
    </row>
    <row r="109" spans="1:2">
      <c r="A109" s="24" t="s">
        <v>133</v>
      </c>
      <c r="B109" s="24" t="s">
        <v>8350</v>
      </c>
    </row>
    <row r="110" spans="1:2">
      <c r="A110" s="23" t="s">
        <v>134</v>
      </c>
      <c r="B110" s="24" t="s">
        <v>8351</v>
      </c>
    </row>
    <row r="111" spans="1:2">
      <c r="A111" s="24" t="s">
        <v>135</v>
      </c>
      <c r="B111" s="24" t="s">
        <v>8352</v>
      </c>
    </row>
    <row r="112" spans="1:2">
      <c r="A112" s="23" t="s">
        <v>136</v>
      </c>
      <c r="B112" s="24" t="s">
        <v>8353</v>
      </c>
    </row>
    <row r="113" spans="1:2">
      <c r="A113" s="24" t="s">
        <v>137</v>
      </c>
      <c r="B113" s="24" t="s">
        <v>8354</v>
      </c>
    </row>
    <row r="114" spans="1:2">
      <c r="A114" s="23" t="s">
        <v>138</v>
      </c>
      <c r="B114" s="24" t="s">
        <v>8355</v>
      </c>
    </row>
    <row r="115" spans="1:2">
      <c r="A115" s="24" t="s">
        <v>139</v>
      </c>
      <c r="B115" s="24" t="s">
        <v>8356</v>
      </c>
    </row>
    <row r="116" spans="1:2">
      <c r="A116" s="23" t="s">
        <v>140</v>
      </c>
      <c r="B116" s="24" t="s">
        <v>8357</v>
      </c>
    </row>
    <row r="117" spans="1:2">
      <c r="A117" s="24" t="s">
        <v>141</v>
      </c>
      <c r="B117" s="24" t="s">
        <v>8358</v>
      </c>
    </row>
    <row r="118" spans="1:2">
      <c r="A118" s="23" t="s">
        <v>142</v>
      </c>
      <c r="B118" s="24" t="s">
        <v>8359</v>
      </c>
    </row>
    <row r="119" spans="1:2">
      <c r="A119" s="24" t="s">
        <v>143</v>
      </c>
      <c r="B119" s="24" t="s">
        <v>8360</v>
      </c>
    </row>
    <row r="120" spans="1:2">
      <c r="A120" s="23" t="s">
        <v>144</v>
      </c>
      <c r="B120" s="24" t="s">
        <v>8361</v>
      </c>
    </row>
    <row r="121" spans="1:2">
      <c r="A121" s="24" t="s">
        <v>145</v>
      </c>
      <c r="B121" s="24" t="s">
        <v>8362</v>
      </c>
    </row>
    <row r="122" spans="1:2">
      <c r="A122" s="23" t="s">
        <v>146</v>
      </c>
      <c r="B122" s="24" t="s">
        <v>8363</v>
      </c>
    </row>
    <row r="123" spans="1:2">
      <c r="A123" s="24" t="s">
        <v>147</v>
      </c>
      <c r="B123" s="24" t="s">
        <v>8364</v>
      </c>
    </row>
    <row r="124" spans="1:2">
      <c r="A124" s="23" t="s">
        <v>148</v>
      </c>
      <c r="B124" s="24" t="s">
        <v>8365</v>
      </c>
    </row>
    <row r="125" spans="1:2">
      <c r="A125" s="24" t="s">
        <v>149</v>
      </c>
      <c r="B125" s="24" t="s">
        <v>8366</v>
      </c>
    </row>
    <row r="126" spans="1:2">
      <c r="A126" s="23" t="s">
        <v>150</v>
      </c>
      <c r="B126" s="24" t="s">
        <v>8367</v>
      </c>
    </row>
    <row r="127" spans="1:2">
      <c r="A127" s="24" t="s">
        <v>151</v>
      </c>
      <c r="B127" s="24" t="s">
        <v>8368</v>
      </c>
    </row>
    <row r="128" spans="1:2">
      <c r="A128" s="23" t="s">
        <v>152</v>
      </c>
      <c r="B128" s="24" t="s">
        <v>8369</v>
      </c>
    </row>
    <row r="129" spans="1:2">
      <c r="A129" s="24" t="s">
        <v>153</v>
      </c>
      <c r="B129" s="24" t="s">
        <v>8370</v>
      </c>
    </row>
    <row r="130" spans="1:2">
      <c r="A130" s="23" t="s">
        <v>154</v>
      </c>
      <c r="B130" s="24" t="s">
        <v>8371</v>
      </c>
    </row>
    <row r="131" spans="1:2">
      <c r="A131" s="24" t="s">
        <v>155</v>
      </c>
      <c r="B131" s="24" t="s">
        <v>8372</v>
      </c>
    </row>
    <row r="132" spans="1:2">
      <c r="A132" s="23" t="s">
        <v>156</v>
      </c>
      <c r="B132" s="24" t="s">
        <v>8373</v>
      </c>
    </row>
    <row r="133" spans="1:2">
      <c r="A133" s="24" t="s">
        <v>157</v>
      </c>
      <c r="B133" s="24" t="s">
        <v>8374</v>
      </c>
    </row>
    <row r="134" spans="1:2">
      <c r="A134" s="23" t="s">
        <v>158</v>
      </c>
      <c r="B134" s="24" t="s">
        <v>8375</v>
      </c>
    </row>
    <row r="135" spans="1:2">
      <c r="A135" s="24" t="s">
        <v>159</v>
      </c>
      <c r="B135" s="24" t="s">
        <v>8376</v>
      </c>
    </row>
    <row r="136" spans="1:2">
      <c r="A136" s="23" t="s">
        <v>160</v>
      </c>
      <c r="B136" s="24" t="s">
        <v>8377</v>
      </c>
    </row>
    <row r="137" spans="1:2">
      <c r="A137" s="24" t="s">
        <v>161</v>
      </c>
      <c r="B137" s="24" t="s">
        <v>8378</v>
      </c>
    </row>
    <row r="138" spans="1:2">
      <c r="A138" s="23" t="s">
        <v>162</v>
      </c>
      <c r="B138" s="24" t="s">
        <v>8379</v>
      </c>
    </row>
    <row r="139" spans="1:2">
      <c r="A139" s="24" t="s">
        <v>163</v>
      </c>
      <c r="B139" s="24" t="s">
        <v>8380</v>
      </c>
    </row>
    <row r="140" spans="1:2">
      <c r="A140" s="23" t="s">
        <v>164</v>
      </c>
      <c r="B140" s="24" t="s">
        <v>8381</v>
      </c>
    </row>
    <row r="141" spans="1:2">
      <c r="A141" s="24" t="s">
        <v>165</v>
      </c>
      <c r="B141" s="24" t="s">
        <v>8382</v>
      </c>
    </row>
    <row r="142" spans="1:2">
      <c r="A142" s="23" t="s">
        <v>166</v>
      </c>
      <c r="B142" s="24" t="s">
        <v>8383</v>
      </c>
    </row>
    <row r="143" spans="1:2">
      <c r="A143" s="24" t="s">
        <v>167</v>
      </c>
      <c r="B143" s="24" t="s">
        <v>8384</v>
      </c>
    </row>
    <row r="144" spans="1:2">
      <c r="A144" s="23" t="s">
        <v>168</v>
      </c>
      <c r="B144" s="24" t="s">
        <v>8385</v>
      </c>
    </row>
    <row r="145" spans="1:2">
      <c r="A145" s="24" t="s">
        <v>169</v>
      </c>
      <c r="B145" s="24" t="s">
        <v>8386</v>
      </c>
    </row>
    <row r="146" spans="1:2">
      <c r="A146" s="23" t="s">
        <v>170</v>
      </c>
      <c r="B146" s="24" t="s">
        <v>8387</v>
      </c>
    </row>
    <row r="147" spans="1:2">
      <c r="A147" s="24" t="s">
        <v>171</v>
      </c>
      <c r="B147" s="24" t="s">
        <v>8388</v>
      </c>
    </row>
    <row r="148" spans="1:2">
      <c r="A148" s="23" t="s">
        <v>172</v>
      </c>
      <c r="B148" s="24" t="s">
        <v>8389</v>
      </c>
    </row>
    <row r="149" spans="1:2">
      <c r="A149" s="24" t="s">
        <v>173</v>
      </c>
      <c r="B149" s="24" t="s">
        <v>8390</v>
      </c>
    </row>
    <row r="150" spans="1:2">
      <c r="A150" s="23" t="s">
        <v>174</v>
      </c>
      <c r="B150" s="24" t="s">
        <v>8391</v>
      </c>
    </row>
    <row r="151" spans="1:2">
      <c r="A151" s="24" t="s">
        <v>175</v>
      </c>
      <c r="B151" s="24" t="s">
        <v>8392</v>
      </c>
    </row>
    <row r="152" spans="1:2">
      <c r="A152" s="23" t="s">
        <v>176</v>
      </c>
      <c r="B152" s="24" t="s">
        <v>8393</v>
      </c>
    </row>
    <row r="153" spans="1:2">
      <c r="A153" s="24" t="s">
        <v>177</v>
      </c>
      <c r="B153" s="24" t="s">
        <v>8394</v>
      </c>
    </row>
    <row r="154" spans="1:2">
      <c r="A154" s="23" t="s">
        <v>178</v>
      </c>
      <c r="B154" s="24" t="s">
        <v>8395</v>
      </c>
    </row>
    <row r="155" spans="1:2">
      <c r="A155" s="24" t="s">
        <v>179</v>
      </c>
      <c r="B155" s="24" t="s">
        <v>8396</v>
      </c>
    </row>
    <row r="156" spans="1:2">
      <c r="A156" s="23" t="s">
        <v>180</v>
      </c>
      <c r="B156" s="24" t="s">
        <v>8397</v>
      </c>
    </row>
    <row r="157" spans="1:2">
      <c r="A157" s="24" t="s">
        <v>181</v>
      </c>
      <c r="B157" s="24" t="s">
        <v>8398</v>
      </c>
    </row>
    <row r="158" spans="1:2">
      <c r="A158" s="23" t="s">
        <v>182</v>
      </c>
      <c r="B158" s="24" t="s">
        <v>8399</v>
      </c>
    </row>
    <row r="159" spans="1:2">
      <c r="A159" s="24" t="s">
        <v>183</v>
      </c>
      <c r="B159" s="24" t="s">
        <v>8400</v>
      </c>
    </row>
    <row r="160" spans="1:2">
      <c r="A160" s="23" t="s">
        <v>184</v>
      </c>
      <c r="B160" s="24" t="s">
        <v>8401</v>
      </c>
    </row>
    <row r="161" spans="1:2">
      <c r="A161" s="24" t="s">
        <v>185</v>
      </c>
      <c r="B161" s="24" t="s">
        <v>8402</v>
      </c>
    </row>
    <row r="162" spans="1:2">
      <c r="A162" s="23" t="s">
        <v>186</v>
      </c>
      <c r="B162" s="24" t="s">
        <v>8403</v>
      </c>
    </row>
    <row r="163" spans="1:2">
      <c r="A163" s="24" t="s">
        <v>187</v>
      </c>
      <c r="B163" s="24" t="s">
        <v>8404</v>
      </c>
    </row>
    <row r="164" spans="1:2">
      <c r="A164" s="23" t="s">
        <v>188</v>
      </c>
      <c r="B164" s="24" t="s">
        <v>8405</v>
      </c>
    </row>
    <row r="165" spans="1:2">
      <c r="A165" s="24" t="s">
        <v>189</v>
      </c>
      <c r="B165" s="24" t="s">
        <v>8406</v>
      </c>
    </row>
    <row r="166" spans="1:2">
      <c r="A166" s="23" t="s">
        <v>190</v>
      </c>
      <c r="B166" s="24" t="s">
        <v>8407</v>
      </c>
    </row>
    <row r="167" spans="1:2">
      <c r="A167" s="24" t="s">
        <v>191</v>
      </c>
      <c r="B167" s="24" t="s">
        <v>8408</v>
      </c>
    </row>
    <row r="168" spans="1:2">
      <c r="A168" s="23" t="s">
        <v>192</v>
      </c>
      <c r="B168" s="24" t="s">
        <v>8409</v>
      </c>
    </row>
    <row r="169" spans="1:2">
      <c r="A169" s="24" t="s">
        <v>193</v>
      </c>
      <c r="B169" s="24" t="s">
        <v>8410</v>
      </c>
    </row>
    <row r="170" spans="1:2">
      <c r="A170" s="23" t="s">
        <v>194</v>
      </c>
      <c r="B170" s="24" t="s">
        <v>8411</v>
      </c>
    </row>
    <row r="171" spans="1:2">
      <c r="A171" s="24" t="s">
        <v>195</v>
      </c>
      <c r="B171" s="24" t="s">
        <v>8412</v>
      </c>
    </row>
    <row r="172" spans="1:2">
      <c r="A172" s="23" t="s">
        <v>196</v>
      </c>
      <c r="B172" s="24" t="s">
        <v>8413</v>
      </c>
    </row>
    <row r="173" spans="1:2">
      <c r="A173" s="24" t="s">
        <v>197</v>
      </c>
      <c r="B173" s="24" t="s">
        <v>8414</v>
      </c>
    </row>
    <row r="174" spans="1:2">
      <c r="A174" s="23" t="s">
        <v>198</v>
      </c>
      <c r="B174" s="24" t="s">
        <v>8415</v>
      </c>
    </row>
    <row r="175" spans="1:2">
      <c r="A175" s="24" t="s">
        <v>199</v>
      </c>
      <c r="B175" s="24" t="s">
        <v>8416</v>
      </c>
    </row>
    <row r="176" spans="1:2">
      <c r="A176" s="23" t="s">
        <v>200</v>
      </c>
      <c r="B176" s="24" t="s">
        <v>8417</v>
      </c>
    </row>
    <row r="177" spans="1:2">
      <c r="A177" s="24" t="s">
        <v>201</v>
      </c>
      <c r="B177" s="24" t="s">
        <v>8418</v>
      </c>
    </row>
    <row r="178" spans="1:2">
      <c r="A178" s="23" t="s">
        <v>202</v>
      </c>
      <c r="B178" s="24" t="s">
        <v>8419</v>
      </c>
    </row>
    <row r="179" spans="1:2">
      <c r="A179" s="24" t="s">
        <v>203</v>
      </c>
      <c r="B179" s="24" t="s">
        <v>8420</v>
      </c>
    </row>
    <row r="180" spans="1:2">
      <c r="A180" s="23" t="s">
        <v>204</v>
      </c>
      <c r="B180" s="24" t="s">
        <v>8421</v>
      </c>
    </row>
    <row r="181" spans="1:2">
      <c r="A181" s="24" t="s">
        <v>205</v>
      </c>
      <c r="B181" s="24" t="s">
        <v>8422</v>
      </c>
    </row>
    <row r="182" spans="1:2">
      <c r="A182" s="23" t="s">
        <v>206</v>
      </c>
      <c r="B182" s="24" t="s">
        <v>8423</v>
      </c>
    </row>
    <row r="183" spans="1:2">
      <c r="A183" s="24" t="s">
        <v>207</v>
      </c>
      <c r="B183" s="24" t="s">
        <v>8424</v>
      </c>
    </row>
    <row r="184" spans="1:2">
      <c r="A184" s="23" t="s">
        <v>208</v>
      </c>
      <c r="B184" s="24" t="s">
        <v>8425</v>
      </c>
    </row>
    <row r="185" spans="1:2">
      <c r="A185" s="24" t="s">
        <v>209</v>
      </c>
      <c r="B185" s="24" t="s">
        <v>8426</v>
      </c>
    </row>
    <row r="186" spans="1:2">
      <c r="A186" s="23" t="s">
        <v>210</v>
      </c>
      <c r="B186" s="24" t="s">
        <v>8427</v>
      </c>
    </row>
    <row r="187" spans="1:2">
      <c r="A187" s="24" t="s">
        <v>211</v>
      </c>
      <c r="B187" s="24" t="s">
        <v>8428</v>
      </c>
    </row>
    <row r="188" spans="1:2">
      <c r="A188" s="23" t="s">
        <v>212</v>
      </c>
      <c r="B188" s="24" t="s">
        <v>8429</v>
      </c>
    </row>
    <row r="189" spans="1:2">
      <c r="A189" s="24" t="s">
        <v>213</v>
      </c>
      <c r="B189" s="24" t="s">
        <v>8430</v>
      </c>
    </row>
    <row r="190" spans="1:2">
      <c r="A190" s="23" t="s">
        <v>214</v>
      </c>
      <c r="B190" s="24" t="s">
        <v>8431</v>
      </c>
    </row>
    <row r="191" spans="1:2">
      <c r="A191" s="24" t="s">
        <v>215</v>
      </c>
      <c r="B191" s="24" t="s">
        <v>8432</v>
      </c>
    </row>
    <row r="192" spans="1:2">
      <c r="A192" s="23" t="s">
        <v>216</v>
      </c>
      <c r="B192" s="24" t="s">
        <v>8433</v>
      </c>
    </row>
    <row r="193" spans="1:2">
      <c r="A193" s="24" t="s">
        <v>217</v>
      </c>
      <c r="B193" s="24" t="s">
        <v>8434</v>
      </c>
    </row>
    <row r="194" spans="1:2">
      <c r="A194" s="23" t="s">
        <v>218</v>
      </c>
      <c r="B194" s="24" t="s">
        <v>8435</v>
      </c>
    </row>
    <row r="195" spans="1:2">
      <c r="A195" s="24" t="s">
        <v>219</v>
      </c>
      <c r="B195" s="24" t="s">
        <v>8436</v>
      </c>
    </row>
    <row r="196" spans="1:2">
      <c r="A196" s="23" t="s">
        <v>220</v>
      </c>
      <c r="B196" s="24" t="s">
        <v>8437</v>
      </c>
    </row>
    <row r="197" spans="1:2">
      <c r="A197" s="24" t="s">
        <v>221</v>
      </c>
      <c r="B197" s="24" t="s">
        <v>8438</v>
      </c>
    </row>
    <row r="198" spans="1:2">
      <c r="A198" s="23" t="s">
        <v>222</v>
      </c>
      <c r="B198" s="24" t="s">
        <v>8439</v>
      </c>
    </row>
    <row r="199" spans="1:2">
      <c r="A199" s="24" t="s">
        <v>223</v>
      </c>
      <c r="B199" s="24" t="s">
        <v>8440</v>
      </c>
    </row>
    <row r="200" spans="1:2">
      <c r="A200" s="23" t="s">
        <v>224</v>
      </c>
      <c r="B200" s="24" t="s">
        <v>8441</v>
      </c>
    </row>
    <row r="201" spans="1:2">
      <c r="A201" s="24" t="s">
        <v>225</v>
      </c>
      <c r="B201" s="24" t="s">
        <v>8442</v>
      </c>
    </row>
    <row r="202" spans="1:2">
      <c r="A202" s="23" t="s">
        <v>226</v>
      </c>
      <c r="B202" s="24" t="s">
        <v>8443</v>
      </c>
    </row>
    <row r="203" spans="1:2">
      <c r="A203" s="24" t="s">
        <v>227</v>
      </c>
      <c r="B203" s="24" t="s">
        <v>8444</v>
      </c>
    </row>
    <row r="204" spans="1:2">
      <c r="A204" s="23" t="s">
        <v>228</v>
      </c>
      <c r="B204" s="24" t="s">
        <v>8445</v>
      </c>
    </row>
    <row r="205" spans="1:2">
      <c r="A205" s="24" t="s">
        <v>229</v>
      </c>
      <c r="B205" s="24" t="s">
        <v>8446</v>
      </c>
    </row>
    <row r="206" spans="1:2">
      <c r="A206" s="23" t="s">
        <v>230</v>
      </c>
      <c r="B206" s="24" t="s">
        <v>8447</v>
      </c>
    </row>
    <row r="207" spans="1:2">
      <c r="A207" s="24" t="s">
        <v>231</v>
      </c>
      <c r="B207" s="24" t="s">
        <v>8448</v>
      </c>
    </row>
    <row r="208" spans="1:2">
      <c r="A208" s="23" t="s">
        <v>232</v>
      </c>
      <c r="B208" s="24" t="s">
        <v>8449</v>
      </c>
    </row>
    <row r="209" spans="1:2">
      <c r="A209" s="24" t="s">
        <v>233</v>
      </c>
      <c r="B209" s="24" t="s">
        <v>8450</v>
      </c>
    </row>
    <row r="210" spans="1:2">
      <c r="A210" s="23" t="s">
        <v>234</v>
      </c>
      <c r="B210" s="24" t="s">
        <v>8451</v>
      </c>
    </row>
    <row r="211" spans="1:2">
      <c r="A211" s="24" t="s">
        <v>235</v>
      </c>
      <c r="B211" s="24" t="s">
        <v>8452</v>
      </c>
    </row>
    <row r="212" spans="1:2">
      <c r="A212" s="23" t="s">
        <v>236</v>
      </c>
      <c r="B212" s="24" t="s">
        <v>8453</v>
      </c>
    </row>
    <row r="213" spans="1:2">
      <c r="A213" s="24" t="s">
        <v>237</v>
      </c>
      <c r="B213" s="24" t="s">
        <v>8454</v>
      </c>
    </row>
    <row r="214" spans="1:2">
      <c r="A214" s="23" t="s">
        <v>238</v>
      </c>
      <c r="B214" s="24" t="s">
        <v>8455</v>
      </c>
    </row>
    <row r="215" spans="1:2">
      <c r="A215" s="24" t="s">
        <v>936</v>
      </c>
      <c r="B215" s="24" t="s">
        <v>8456</v>
      </c>
    </row>
    <row r="216" spans="1:2">
      <c r="A216" s="23" t="s">
        <v>239</v>
      </c>
      <c r="B216" s="24" t="s">
        <v>8457</v>
      </c>
    </row>
    <row r="217" spans="1:2">
      <c r="A217" s="24" t="s">
        <v>240</v>
      </c>
      <c r="B217" s="24" t="s">
        <v>8458</v>
      </c>
    </row>
    <row r="218" spans="1:2">
      <c r="A218" s="23" t="s">
        <v>241</v>
      </c>
      <c r="B218" s="24" t="s">
        <v>8459</v>
      </c>
    </row>
    <row r="219" spans="1:2">
      <c r="A219" s="24" t="s">
        <v>242</v>
      </c>
      <c r="B219" s="24" t="s">
        <v>8460</v>
      </c>
    </row>
    <row r="220" spans="1:2">
      <c r="A220" s="23" t="s">
        <v>243</v>
      </c>
      <c r="B220" s="24" t="s">
        <v>8461</v>
      </c>
    </row>
    <row r="221" spans="1:2">
      <c r="A221" s="24" t="s">
        <v>244</v>
      </c>
      <c r="B221" s="24" t="s">
        <v>8462</v>
      </c>
    </row>
    <row r="222" spans="1:2">
      <c r="A222" s="23" t="s">
        <v>245</v>
      </c>
      <c r="B222" s="24" t="s">
        <v>8463</v>
      </c>
    </row>
    <row r="223" spans="1:2">
      <c r="A223" s="24" t="s">
        <v>246</v>
      </c>
      <c r="B223" s="24" t="s">
        <v>8464</v>
      </c>
    </row>
    <row r="224" spans="1:2">
      <c r="A224" s="23" t="s">
        <v>247</v>
      </c>
      <c r="B224" s="24" t="s">
        <v>8465</v>
      </c>
    </row>
    <row r="225" spans="1:2">
      <c r="A225" s="24" t="s">
        <v>248</v>
      </c>
      <c r="B225" s="24" t="s">
        <v>8466</v>
      </c>
    </row>
    <row r="226" spans="1:2">
      <c r="A226" s="23" t="s">
        <v>249</v>
      </c>
      <c r="B226" s="24" t="s">
        <v>8467</v>
      </c>
    </row>
    <row r="227" spans="1:2">
      <c r="A227" s="24" t="s">
        <v>250</v>
      </c>
      <c r="B227" s="24" t="s">
        <v>8468</v>
      </c>
    </row>
    <row r="228" spans="1:2">
      <c r="A228" s="23" t="s">
        <v>251</v>
      </c>
      <c r="B228" s="24" t="s">
        <v>8469</v>
      </c>
    </row>
    <row r="229" spans="1:2">
      <c r="A229" s="24" t="s">
        <v>252</v>
      </c>
      <c r="B229" s="24" t="s">
        <v>8470</v>
      </c>
    </row>
    <row r="230" spans="1:2">
      <c r="A230" s="23" t="s">
        <v>253</v>
      </c>
      <c r="B230" s="24" t="s">
        <v>8471</v>
      </c>
    </row>
    <row r="231" spans="1:2">
      <c r="A231" s="24" t="s">
        <v>254</v>
      </c>
      <c r="B231" s="24" t="s">
        <v>8472</v>
      </c>
    </row>
    <row r="232" spans="1:2">
      <c r="A232" s="23" t="s">
        <v>255</v>
      </c>
      <c r="B232" s="24" t="s">
        <v>8473</v>
      </c>
    </row>
    <row r="233" spans="1:2">
      <c r="A233" s="24" t="s">
        <v>256</v>
      </c>
      <c r="B233" s="24" t="s">
        <v>8474</v>
      </c>
    </row>
    <row r="234" spans="1:2">
      <c r="A234" s="23" t="s">
        <v>257</v>
      </c>
      <c r="B234" s="24" t="s">
        <v>9011</v>
      </c>
    </row>
    <row r="235" spans="1:2">
      <c r="A235" s="24" t="s">
        <v>258</v>
      </c>
      <c r="B235" s="24" t="s">
        <v>8475</v>
      </c>
    </row>
    <row r="236" spans="1:2">
      <c r="A236" s="23" t="s">
        <v>259</v>
      </c>
      <c r="B236" s="24" t="s">
        <v>8476</v>
      </c>
    </row>
    <row r="237" spans="1:2">
      <c r="A237" s="24" t="s">
        <v>260</v>
      </c>
      <c r="B237" s="24" t="s">
        <v>8477</v>
      </c>
    </row>
    <row r="238" spans="1:2">
      <c r="A238" s="23" t="s">
        <v>261</v>
      </c>
      <c r="B238" s="24" t="s">
        <v>8478</v>
      </c>
    </row>
    <row r="239" spans="1:2">
      <c r="A239" s="24" t="s">
        <v>262</v>
      </c>
      <c r="B239" s="24" t="s">
        <v>8479</v>
      </c>
    </row>
    <row r="240" spans="1:2">
      <c r="A240" s="23" t="s">
        <v>263</v>
      </c>
      <c r="B240" s="24" t="s">
        <v>8480</v>
      </c>
    </row>
    <row r="241" spans="1:2">
      <c r="A241" s="24" t="s">
        <v>264</v>
      </c>
      <c r="B241" s="24" t="s">
        <v>8481</v>
      </c>
    </row>
    <row r="242" spans="1:2">
      <c r="A242" s="23" t="s">
        <v>265</v>
      </c>
      <c r="B242" s="24" t="s">
        <v>8482</v>
      </c>
    </row>
    <row r="243" spans="1:2">
      <c r="A243" s="24" t="s">
        <v>266</v>
      </c>
      <c r="B243" s="24" t="s">
        <v>8483</v>
      </c>
    </row>
    <row r="244" spans="1:2">
      <c r="A244" s="23" t="s">
        <v>267</v>
      </c>
      <c r="B244" s="24" t="s">
        <v>8484</v>
      </c>
    </row>
    <row r="245" spans="1:2">
      <c r="A245" s="24" t="s">
        <v>268</v>
      </c>
      <c r="B245" s="24" t="s">
        <v>8485</v>
      </c>
    </row>
    <row r="246" spans="1:2">
      <c r="A246" s="23" t="s">
        <v>269</v>
      </c>
      <c r="B246" s="24" t="s">
        <v>8486</v>
      </c>
    </row>
    <row r="247" spans="1:2">
      <c r="A247" s="24" t="s">
        <v>270</v>
      </c>
      <c r="B247" s="24" t="s">
        <v>8487</v>
      </c>
    </row>
    <row r="248" spans="1:2">
      <c r="A248" s="23" t="s">
        <v>271</v>
      </c>
      <c r="B248" s="24" t="s">
        <v>8488</v>
      </c>
    </row>
    <row r="249" spans="1:2">
      <c r="A249" s="24" t="s">
        <v>272</v>
      </c>
      <c r="B249" s="24" t="s">
        <v>8489</v>
      </c>
    </row>
    <row r="250" spans="1:2">
      <c r="A250" s="23" t="s">
        <v>273</v>
      </c>
      <c r="B250" s="24" t="s">
        <v>8490</v>
      </c>
    </row>
    <row r="251" spans="1:2">
      <c r="A251" s="24" t="s">
        <v>274</v>
      </c>
      <c r="B251" s="24" t="s">
        <v>8491</v>
      </c>
    </row>
    <row r="252" spans="1:2">
      <c r="A252" s="23" t="s">
        <v>275</v>
      </c>
      <c r="B252" s="24" t="s">
        <v>8492</v>
      </c>
    </row>
    <row r="253" spans="1:2">
      <c r="A253" s="24" t="s">
        <v>276</v>
      </c>
      <c r="B253" s="24" t="s">
        <v>8493</v>
      </c>
    </row>
    <row r="254" spans="1:2">
      <c r="A254" s="23" t="s">
        <v>277</v>
      </c>
      <c r="B254" s="24" t="s">
        <v>8494</v>
      </c>
    </row>
    <row r="255" spans="1:2">
      <c r="A255" s="24" t="s">
        <v>278</v>
      </c>
      <c r="B255" s="24" t="s">
        <v>8495</v>
      </c>
    </row>
    <row r="256" spans="1:2">
      <c r="A256" s="23" t="s">
        <v>279</v>
      </c>
      <c r="B256" s="24" t="s">
        <v>8496</v>
      </c>
    </row>
    <row r="257" spans="1:2">
      <c r="A257" s="24" t="s">
        <v>280</v>
      </c>
      <c r="B257" s="24" t="s">
        <v>8497</v>
      </c>
    </row>
    <row r="258" spans="1:2">
      <c r="A258" s="23" t="s">
        <v>281</v>
      </c>
      <c r="B258" s="24" t="s">
        <v>8498</v>
      </c>
    </row>
    <row r="259" spans="1:2">
      <c r="A259" s="24" t="s">
        <v>282</v>
      </c>
      <c r="B259" s="24" t="s">
        <v>8499</v>
      </c>
    </row>
    <row r="260" spans="1:2">
      <c r="A260" s="23" t="s">
        <v>283</v>
      </c>
      <c r="B260" s="24" t="s">
        <v>8500</v>
      </c>
    </row>
    <row r="261" spans="1:2">
      <c r="A261" s="24" t="s">
        <v>284</v>
      </c>
      <c r="B261" s="24" t="s">
        <v>8501</v>
      </c>
    </row>
    <row r="262" spans="1:2">
      <c r="A262" s="23" t="s">
        <v>285</v>
      </c>
      <c r="B262" s="24" t="s">
        <v>8502</v>
      </c>
    </row>
    <row r="263" spans="1:2">
      <c r="A263" s="24" t="s">
        <v>286</v>
      </c>
      <c r="B263" s="24" t="s">
        <v>8503</v>
      </c>
    </row>
    <row r="264" spans="1:2">
      <c r="A264" s="23" t="s">
        <v>287</v>
      </c>
      <c r="B264" s="24" t="s">
        <v>8504</v>
      </c>
    </row>
    <row r="265" spans="1:2">
      <c r="A265" s="24" t="s">
        <v>288</v>
      </c>
      <c r="B265" s="24" t="s">
        <v>8505</v>
      </c>
    </row>
    <row r="266" spans="1:2">
      <c r="A266" s="23" t="s">
        <v>289</v>
      </c>
      <c r="B266" s="24" t="s">
        <v>8506</v>
      </c>
    </row>
    <row r="267" spans="1:2">
      <c r="A267" s="24" t="s">
        <v>290</v>
      </c>
      <c r="B267" s="24" t="s">
        <v>8507</v>
      </c>
    </row>
    <row r="268" spans="1:2">
      <c r="A268" s="23" t="s">
        <v>291</v>
      </c>
      <c r="B268" s="24" t="s">
        <v>8508</v>
      </c>
    </row>
    <row r="269" spans="1:2">
      <c r="A269" s="24" t="s">
        <v>292</v>
      </c>
      <c r="B269" s="24" t="s">
        <v>8509</v>
      </c>
    </row>
    <row r="270" spans="1:2">
      <c r="A270" s="23" t="s">
        <v>293</v>
      </c>
      <c r="B270" s="24" t="s">
        <v>8510</v>
      </c>
    </row>
    <row r="271" spans="1:2">
      <c r="A271" s="24" t="s">
        <v>294</v>
      </c>
      <c r="B271" s="24" t="s">
        <v>8511</v>
      </c>
    </row>
    <row r="272" spans="1:2">
      <c r="A272" s="23" t="s">
        <v>295</v>
      </c>
      <c r="B272" s="24" t="s">
        <v>8512</v>
      </c>
    </row>
    <row r="273" spans="1:2">
      <c r="A273" s="24" t="s">
        <v>296</v>
      </c>
      <c r="B273" s="24" t="s">
        <v>8513</v>
      </c>
    </row>
    <row r="274" spans="1:2">
      <c r="A274" s="23" t="s">
        <v>297</v>
      </c>
      <c r="B274" s="24" t="s">
        <v>8514</v>
      </c>
    </row>
    <row r="275" spans="1:2">
      <c r="A275" s="24" t="s">
        <v>298</v>
      </c>
      <c r="B275" s="24" t="s">
        <v>8515</v>
      </c>
    </row>
    <row r="276" spans="1:2">
      <c r="A276" s="23" t="s">
        <v>299</v>
      </c>
      <c r="B276" s="24" t="s">
        <v>8516</v>
      </c>
    </row>
    <row r="277" spans="1:2">
      <c r="A277" s="24" t="s">
        <v>300</v>
      </c>
      <c r="B277" s="24" t="s">
        <v>8517</v>
      </c>
    </row>
    <row r="278" spans="1:2">
      <c r="A278" s="23" t="s">
        <v>301</v>
      </c>
      <c r="B278" s="24" t="s">
        <v>8518</v>
      </c>
    </row>
    <row r="279" spans="1:2">
      <c r="A279" s="24" t="s">
        <v>302</v>
      </c>
      <c r="B279" s="24" t="s">
        <v>8519</v>
      </c>
    </row>
    <row r="280" spans="1:2">
      <c r="A280" s="23" t="s">
        <v>303</v>
      </c>
      <c r="B280" s="24" t="s">
        <v>8520</v>
      </c>
    </row>
    <row r="281" spans="1:2">
      <c r="A281" s="24" t="s">
        <v>304</v>
      </c>
      <c r="B281" s="24" t="s">
        <v>8521</v>
      </c>
    </row>
    <row r="282" spans="1:2">
      <c r="A282" s="23" t="s">
        <v>305</v>
      </c>
      <c r="B282" s="24" t="s">
        <v>8522</v>
      </c>
    </row>
    <row r="283" spans="1:2">
      <c r="A283" s="24" t="s">
        <v>306</v>
      </c>
      <c r="B283" s="24" t="s">
        <v>8523</v>
      </c>
    </row>
    <row r="284" spans="1:2">
      <c r="A284" s="23" t="s">
        <v>307</v>
      </c>
      <c r="B284" s="24" t="s">
        <v>8524</v>
      </c>
    </row>
    <row r="285" spans="1:2">
      <c r="A285" s="24" t="s">
        <v>308</v>
      </c>
      <c r="B285" s="24" t="s">
        <v>8525</v>
      </c>
    </row>
    <row r="286" spans="1:2">
      <c r="A286" s="23" t="s">
        <v>309</v>
      </c>
      <c r="B286" s="24" t="s">
        <v>8526</v>
      </c>
    </row>
    <row r="287" spans="1:2">
      <c r="A287" s="24" t="s">
        <v>310</v>
      </c>
      <c r="B287" s="24" t="s">
        <v>8527</v>
      </c>
    </row>
    <row r="288" spans="1:2">
      <c r="A288" s="23" t="s">
        <v>311</v>
      </c>
      <c r="B288" s="24" t="s">
        <v>8528</v>
      </c>
    </row>
    <row r="289" spans="1:2">
      <c r="A289" s="24" t="s">
        <v>312</v>
      </c>
      <c r="B289" s="24" t="s">
        <v>8529</v>
      </c>
    </row>
    <row r="290" spans="1:2">
      <c r="A290" s="23" t="s">
        <v>313</v>
      </c>
      <c r="B290" s="24" t="s">
        <v>8530</v>
      </c>
    </row>
    <row r="291" spans="1:2">
      <c r="A291" s="24" t="s">
        <v>314</v>
      </c>
      <c r="B291" s="24" t="s">
        <v>8531</v>
      </c>
    </row>
    <row r="292" spans="1:2">
      <c r="A292" s="23" t="s">
        <v>315</v>
      </c>
      <c r="B292" s="24" t="s">
        <v>8532</v>
      </c>
    </row>
    <row r="293" spans="1:2">
      <c r="A293" s="24" t="s">
        <v>316</v>
      </c>
      <c r="B293" s="24" t="s">
        <v>8533</v>
      </c>
    </row>
    <row r="294" spans="1:2">
      <c r="A294" s="23" t="s">
        <v>317</v>
      </c>
      <c r="B294" s="24" t="s">
        <v>8534</v>
      </c>
    </row>
    <row r="295" spans="1:2">
      <c r="A295" s="24" t="s">
        <v>318</v>
      </c>
      <c r="B295" s="24" t="s">
        <v>8535</v>
      </c>
    </row>
    <row r="296" spans="1:2">
      <c r="A296" s="23" t="s">
        <v>319</v>
      </c>
      <c r="B296" s="24" t="s">
        <v>8536</v>
      </c>
    </row>
    <row r="297" spans="1:2">
      <c r="A297" s="24" t="s">
        <v>320</v>
      </c>
      <c r="B297" s="24" t="s">
        <v>8537</v>
      </c>
    </row>
    <row r="298" spans="1:2">
      <c r="A298" s="23" t="s">
        <v>321</v>
      </c>
      <c r="B298" s="24" t="s">
        <v>8538</v>
      </c>
    </row>
    <row r="299" spans="1:2">
      <c r="A299" s="24" t="s">
        <v>322</v>
      </c>
      <c r="B299" s="24" t="s">
        <v>8539</v>
      </c>
    </row>
    <row r="300" spans="1:2">
      <c r="A300" s="23" t="s">
        <v>323</v>
      </c>
      <c r="B300" s="24" t="s">
        <v>8540</v>
      </c>
    </row>
    <row r="301" spans="1:2">
      <c r="A301" s="24" t="s">
        <v>324</v>
      </c>
      <c r="B301" s="24" t="s">
        <v>8541</v>
      </c>
    </row>
    <row r="302" spans="1:2">
      <c r="A302" s="23" t="s">
        <v>327</v>
      </c>
      <c r="B302" s="24" t="s">
        <v>8542</v>
      </c>
    </row>
    <row r="303" spans="1:2">
      <c r="A303" s="24" t="s">
        <v>328</v>
      </c>
      <c r="B303" s="24" t="s">
        <v>8543</v>
      </c>
    </row>
    <row r="304" spans="1:2">
      <c r="A304" s="23" t="s">
        <v>329</v>
      </c>
      <c r="B304" s="24" t="s">
        <v>8544</v>
      </c>
    </row>
    <row r="305" spans="1:2">
      <c r="A305" s="24" t="s">
        <v>330</v>
      </c>
      <c r="B305" s="24" t="s">
        <v>8545</v>
      </c>
    </row>
    <row r="306" spans="1:2">
      <c r="A306" s="23" t="s">
        <v>331</v>
      </c>
      <c r="B306" s="24" t="s">
        <v>8546</v>
      </c>
    </row>
    <row r="307" spans="1:2">
      <c r="A307" s="24" t="s">
        <v>332</v>
      </c>
      <c r="B307" s="24" t="s">
        <v>8547</v>
      </c>
    </row>
    <row r="308" spans="1:2">
      <c r="A308" s="23" t="s">
        <v>333</v>
      </c>
      <c r="B308" s="24" t="s">
        <v>8548</v>
      </c>
    </row>
    <row r="309" spans="1:2">
      <c r="A309" s="24" t="s">
        <v>334</v>
      </c>
      <c r="B309" s="24" t="s">
        <v>8549</v>
      </c>
    </row>
    <row r="310" spans="1:2">
      <c r="A310" s="23" t="s">
        <v>335</v>
      </c>
      <c r="B310" s="24" t="s">
        <v>8550</v>
      </c>
    </row>
    <row r="311" spans="1:2">
      <c r="A311" s="24" t="s">
        <v>336</v>
      </c>
      <c r="B311" s="24" t="s">
        <v>8551</v>
      </c>
    </row>
    <row r="312" spans="1:2">
      <c r="A312" s="23" t="s">
        <v>337</v>
      </c>
      <c r="B312" s="24" t="s">
        <v>8552</v>
      </c>
    </row>
    <row r="313" spans="1:2">
      <c r="A313" s="24" t="s">
        <v>338</v>
      </c>
      <c r="B313" s="24" t="s">
        <v>8553</v>
      </c>
    </row>
    <row r="314" spans="1:2">
      <c r="A314" s="23" t="s">
        <v>339</v>
      </c>
      <c r="B314" s="24" t="s">
        <v>8554</v>
      </c>
    </row>
    <row r="315" spans="1:2">
      <c r="A315" s="24" t="s">
        <v>340</v>
      </c>
      <c r="B315" s="24" t="s">
        <v>8555</v>
      </c>
    </row>
    <row r="316" spans="1:2">
      <c r="A316" s="23" t="s">
        <v>341</v>
      </c>
      <c r="B316" s="24" t="s">
        <v>8556</v>
      </c>
    </row>
    <row r="317" spans="1:2">
      <c r="A317" s="24" t="s">
        <v>342</v>
      </c>
      <c r="B317" s="24" t="s">
        <v>8557</v>
      </c>
    </row>
    <row r="318" spans="1:2">
      <c r="A318" s="23" t="s">
        <v>343</v>
      </c>
      <c r="B318" s="24" t="s">
        <v>8558</v>
      </c>
    </row>
    <row r="319" spans="1:2">
      <c r="A319" s="24" t="s">
        <v>344</v>
      </c>
      <c r="B319" s="24" t="s">
        <v>8559</v>
      </c>
    </row>
    <row r="320" spans="1:2">
      <c r="A320" s="23" t="s">
        <v>345</v>
      </c>
      <c r="B320" s="24" t="s">
        <v>8560</v>
      </c>
    </row>
    <row r="321" spans="1:2">
      <c r="A321" s="24" t="s">
        <v>346</v>
      </c>
      <c r="B321" s="24" t="s">
        <v>8561</v>
      </c>
    </row>
    <row r="322" spans="1:2">
      <c r="A322" s="23" t="s">
        <v>347</v>
      </c>
      <c r="B322" s="24" t="s">
        <v>8562</v>
      </c>
    </row>
    <row r="323" spans="1:2">
      <c r="A323" s="24" t="s">
        <v>348</v>
      </c>
      <c r="B323" s="24" t="s">
        <v>8563</v>
      </c>
    </row>
    <row r="324" spans="1:2">
      <c r="A324" s="23" t="s">
        <v>349</v>
      </c>
      <c r="B324" s="24" t="s">
        <v>8564</v>
      </c>
    </row>
    <row r="325" spans="1:2">
      <c r="A325" s="24" t="s">
        <v>350</v>
      </c>
      <c r="B325" s="24" t="s">
        <v>8565</v>
      </c>
    </row>
    <row r="326" spans="1:2">
      <c r="A326" s="23" t="s">
        <v>351</v>
      </c>
      <c r="B326" s="24" t="s">
        <v>8566</v>
      </c>
    </row>
    <row r="327" spans="1:2">
      <c r="A327" s="24" t="s">
        <v>352</v>
      </c>
      <c r="B327" s="24" t="s">
        <v>8567</v>
      </c>
    </row>
    <row r="328" spans="1:2">
      <c r="A328" s="23" t="s">
        <v>353</v>
      </c>
      <c r="B328" s="24" t="s">
        <v>8568</v>
      </c>
    </row>
    <row r="329" spans="1:2">
      <c r="A329" s="24" t="s">
        <v>354</v>
      </c>
      <c r="B329" s="24" t="s">
        <v>8569</v>
      </c>
    </row>
    <row r="330" spans="1:2">
      <c r="A330" s="23" t="s">
        <v>355</v>
      </c>
      <c r="B330" s="24" t="s">
        <v>8570</v>
      </c>
    </row>
    <row r="331" spans="1:2">
      <c r="A331" s="24" t="s">
        <v>356</v>
      </c>
      <c r="B331" s="24" t="s">
        <v>8571</v>
      </c>
    </row>
    <row r="332" spans="1:2">
      <c r="A332" s="23" t="s">
        <v>357</v>
      </c>
      <c r="B332" s="24" t="s">
        <v>8572</v>
      </c>
    </row>
    <row r="333" spans="1:2">
      <c r="A333" s="24" t="s">
        <v>358</v>
      </c>
      <c r="B333" s="24" t="s">
        <v>8573</v>
      </c>
    </row>
    <row r="334" spans="1:2">
      <c r="A334" s="23" t="s">
        <v>359</v>
      </c>
      <c r="B334" s="24" t="s">
        <v>8574</v>
      </c>
    </row>
    <row r="335" spans="1:2">
      <c r="A335" s="24" t="s">
        <v>360</v>
      </c>
      <c r="B335" s="24" t="s">
        <v>8575</v>
      </c>
    </row>
    <row r="336" spans="1:2">
      <c r="A336" s="23" t="s">
        <v>361</v>
      </c>
      <c r="B336" s="24" t="s">
        <v>8576</v>
      </c>
    </row>
    <row r="337" spans="1:2">
      <c r="A337" s="24" t="s">
        <v>362</v>
      </c>
      <c r="B337" s="24" t="s">
        <v>8577</v>
      </c>
    </row>
    <row r="338" spans="1:2">
      <c r="A338" s="23" t="s">
        <v>363</v>
      </c>
      <c r="B338" s="24" t="s">
        <v>8578</v>
      </c>
    </row>
    <row r="339" spans="1:2">
      <c r="A339" s="24" t="s">
        <v>364</v>
      </c>
      <c r="B339" s="24" t="s">
        <v>8579</v>
      </c>
    </row>
    <row r="340" spans="1:2">
      <c r="A340" s="23" t="s">
        <v>365</v>
      </c>
      <c r="B340" s="24" t="s">
        <v>8580</v>
      </c>
    </row>
    <row r="341" spans="1:2">
      <c r="A341" s="24" t="s">
        <v>366</v>
      </c>
      <c r="B341" s="24" t="s">
        <v>8581</v>
      </c>
    </row>
    <row r="342" spans="1:2">
      <c r="A342" s="23" t="s">
        <v>367</v>
      </c>
      <c r="B342" s="24" t="s">
        <v>8582</v>
      </c>
    </row>
    <row r="343" spans="1:2">
      <c r="A343" s="24" t="s">
        <v>368</v>
      </c>
      <c r="B343" s="24" t="s">
        <v>8583</v>
      </c>
    </row>
    <row r="344" spans="1:2">
      <c r="A344" s="23" t="s">
        <v>369</v>
      </c>
      <c r="B344" s="24" t="s">
        <v>8584</v>
      </c>
    </row>
    <row r="345" spans="1:2">
      <c r="A345" s="24" t="s">
        <v>370</v>
      </c>
      <c r="B345" s="24" t="s">
        <v>8585</v>
      </c>
    </row>
    <row r="346" spans="1:2">
      <c r="A346" s="23" t="s">
        <v>371</v>
      </c>
      <c r="B346" s="24" t="s">
        <v>8586</v>
      </c>
    </row>
    <row r="347" spans="1:2">
      <c r="A347" s="24" t="s">
        <v>372</v>
      </c>
      <c r="B347" s="24" t="s">
        <v>8587</v>
      </c>
    </row>
    <row r="348" spans="1:2">
      <c r="A348" s="23" t="s">
        <v>373</v>
      </c>
      <c r="B348" s="24" t="s">
        <v>8588</v>
      </c>
    </row>
    <row r="349" spans="1:2">
      <c r="A349" s="24" t="s">
        <v>374</v>
      </c>
      <c r="B349" s="24" t="s">
        <v>8589</v>
      </c>
    </row>
    <row r="350" spans="1:2">
      <c r="A350" s="23" t="s">
        <v>375</v>
      </c>
      <c r="B350" s="24" t="s">
        <v>8590</v>
      </c>
    </row>
    <row r="351" spans="1:2">
      <c r="A351" s="24" t="s">
        <v>376</v>
      </c>
      <c r="B351" s="24" t="s">
        <v>8591</v>
      </c>
    </row>
    <row r="352" spans="1:2">
      <c r="A352" s="23" t="s">
        <v>377</v>
      </c>
      <c r="B352" s="24" t="s">
        <v>8592</v>
      </c>
    </row>
    <row r="353" spans="1:2">
      <c r="A353" s="24" t="s">
        <v>378</v>
      </c>
      <c r="B353" s="24" t="s">
        <v>8593</v>
      </c>
    </row>
    <row r="354" spans="1:2">
      <c r="A354" s="23" t="s">
        <v>379</v>
      </c>
      <c r="B354" s="24" t="s">
        <v>8594</v>
      </c>
    </row>
    <row r="355" spans="1:2">
      <c r="A355" s="24" t="s">
        <v>380</v>
      </c>
      <c r="B355" s="24" t="s">
        <v>8595</v>
      </c>
    </row>
    <row r="356" spans="1:2">
      <c r="A356" s="23" t="s">
        <v>381</v>
      </c>
      <c r="B356" s="24" t="s">
        <v>8596</v>
      </c>
    </row>
    <row r="357" spans="1:2">
      <c r="A357" s="24" t="s">
        <v>382</v>
      </c>
      <c r="B357" s="24" t="s">
        <v>8597</v>
      </c>
    </row>
    <row r="358" spans="1:2">
      <c r="A358" s="23" t="s">
        <v>383</v>
      </c>
      <c r="B358" s="24" t="s">
        <v>8598</v>
      </c>
    </row>
    <row r="359" spans="1:2">
      <c r="A359" s="24" t="s">
        <v>384</v>
      </c>
      <c r="B359" s="24" t="s">
        <v>8599</v>
      </c>
    </row>
    <row r="360" spans="1:2">
      <c r="A360" s="23" t="s">
        <v>385</v>
      </c>
      <c r="B360" s="24" t="s">
        <v>8600</v>
      </c>
    </row>
    <row r="361" spans="1:2">
      <c r="A361" s="24" t="s">
        <v>386</v>
      </c>
      <c r="B361" s="24" t="s">
        <v>8601</v>
      </c>
    </row>
    <row r="362" spans="1:2">
      <c r="A362" s="23" t="s">
        <v>387</v>
      </c>
      <c r="B362" s="24" t="s">
        <v>8602</v>
      </c>
    </row>
    <row r="363" spans="1:2">
      <c r="A363" s="24" t="s">
        <v>388</v>
      </c>
      <c r="B363" s="24" t="s">
        <v>8603</v>
      </c>
    </row>
    <row r="364" spans="1:2">
      <c r="A364" s="23" t="s">
        <v>389</v>
      </c>
      <c r="B364" s="24" t="s">
        <v>8604</v>
      </c>
    </row>
    <row r="365" spans="1:2">
      <c r="A365" s="24" t="s">
        <v>390</v>
      </c>
      <c r="B365" s="24" t="s">
        <v>8605</v>
      </c>
    </row>
    <row r="366" spans="1:2">
      <c r="A366" s="23" t="s">
        <v>391</v>
      </c>
      <c r="B366" s="24" t="s">
        <v>8606</v>
      </c>
    </row>
    <row r="367" spans="1:2">
      <c r="A367" s="24" t="s">
        <v>392</v>
      </c>
      <c r="B367" s="24" t="s">
        <v>8607</v>
      </c>
    </row>
    <row r="368" spans="1:2">
      <c r="A368" s="23" t="s">
        <v>393</v>
      </c>
      <c r="B368" s="24" t="s">
        <v>8608</v>
      </c>
    </row>
    <row r="369" spans="1:2">
      <c r="A369" s="24" t="s">
        <v>394</v>
      </c>
      <c r="B369" s="24" t="s">
        <v>8609</v>
      </c>
    </row>
    <row r="370" spans="1:2">
      <c r="A370" s="23" t="s">
        <v>395</v>
      </c>
      <c r="B370" s="24" t="s">
        <v>8610</v>
      </c>
    </row>
    <row r="371" spans="1:2">
      <c r="A371" s="24" t="s">
        <v>396</v>
      </c>
      <c r="B371" s="24" t="s">
        <v>8611</v>
      </c>
    </row>
    <row r="372" spans="1:2">
      <c r="A372" s="23" t="s">
        <v>397</v>
      </c>
      <c r="B372" s="24" t="s">
        <v>8612</v>
      </c>
    </row>
    <row r="373" spans="1:2">
      <c r="A373" s="24" t="s">
        <v>398</v>
      </c>
      <c r="B373" s="24" t="s">
        <v>8613</v>
      </c>
    </row>
    <row r="374" spans="1:2">
      <c r="A374" s="23" t="s">
        <v>399</v>
      </c>
      <c r="B374" s="24" t="s">
        <v>8614</v>
      </c>
    </row>
    <row r="375" spans="1:2">
      <c r="A375" s="24" t="s">
        <v>400</v>
      </c>
      <c r="B375" s="24" t="s">
        <v>8615</v>
      </c>
    </row>
    <row r="376" spans="1:2">
      <c r="A376" s="23" t="s">
        <v>401</v>
      </c>
      <c r="B376" s="24" t="s">
        <v>8616</v>
      </c>
    </row>
    <row r="377" spans="1:2">
      <c r="A377" s="24" t="s">
        <v>402</v>
      </c>
      <c r="B377" s="24" t="s">
        <v>8617</v>
      </c>
    </row>
    <row r="378" spans="1:2">
      <c r="A378" s="23" t="s">
        <v>403</v>
      </c>
      <c r="B378" s="24" t="s">
        <v>8618</v>
      </c>
    </row>
    <row r="379" spans="1:2">
      <c r="A379" s="24" t="s">
        <v>404</v>
      </c>
      <c r="B379" s="24" t="s">
        <v>8619</v>
      </c>
    </row>
    <row r="380" spans="1:2">
      <c r="A380" s="23" t="s">
        <v>405</v>
      </c>
      <c r="B380" s="24" t="s">
        <v>8620</v>
      </c>
    </row>
    <row r="381" spans="1:2">
      <c r="A381" s="24" t="s">
        <v>406</v>
      </c>
      <c r="B381" s="24" t="s">
        <v>8621</v>
      </c>
    </row>
    <row r="382" spans="1:2">
      <c r="A382" s="23" t="s">
        <v>407</v>
      </c>
      <c r="B382" s="24" t="s">
        <v>8622</v>
      </c>
    </row>
    <row r="383" spans="1:2">
      <c r="A383" s="24" t="s">
        <v>408</v>
      </c>
      <c r="B383" s="24" t="s">
        <v>8623</v>
      </c>
    </row>
    <row r="384" spans="1:2">
      <c r="A384" s="23" t="s">
        <v>409</v>
      </c>
      <c r="B384" s="24" t="s">
        <v>8624</v>
      </c>
    </row>
    <row r="385" spans="1:2">
      <c r="A385" s="24" t="s">
        <v>410</v>
      </c>
      <c r="B385" s="24" t="s">
        <v>8625</v>
      </c>
    </row>
    <row r="386" spans="1:2">
      <c r="A386" s="23" t="s">
        <v>411</v>
      </c>
      <c r="B386" s="24" t="s">
        <v>8626</v>
      </c>
    </row>
    <row r="387" spans="1:2">
      <c r="A387" s="24" t="s">
        <v>412</v>
      </c>
      <c r="B387" s="24" t="s">
        <v>8627</v>
      </c>
    </row>
    <row r="388" spans="1:2">
      <c r="A388" s="23" t="s">
        <v>413</v>
      </c>
      <c r="B388" s="24" t="s">
        <v>8628</v>
      </c>
    </row>
    <row r="389" spans="1:2">
      <c r="A389" s="24" t="s">
        <v>414</v>
      </c>
      <c r="B389" s="24" t="s">
        <v>8629</v>
      </c>
    </row>
    <row r="390" spans="1:2">
      <c r="A390" s="23" t="s">
        <v>415</v>
      </c>
      <c r="B390" s="24" t="s">
        <v>8630</v>
      </c>
    </row>
    <row r="391" spans="1:2">
      <c r="A391" s="24" t="s">
        <v>416</v>
      </c>
      <c r="B391" s="24" t="s">
        <v>8631</v>
      </c>
    </row>
    <row r="392" spans="1:2">
      <c r="A392" s="23" t="s">
        <v>417</v>
      </c>
      <c r="B392" s="24" t="s">
        <v>8632</v>
      </c>
    </row>
    <row r="393" spans="1:2">
      <c r="A393" s="24" t="s">
        <v>418</v>
      </c>
      <c r="B393" s="24" t="s">
        <v>8633</v>
      </c>
    </row>
    <row r="394" spans="1:2">
      <c r="A394" s="23" t="s">
        <v>419</v>
      </c>
      <c r="B394" s="24" t="s">
        <v>8634</v>
      </c>
    </row>
    <row r="395" spans="1:2">
      <c r="A395" s="24" t="s">
        <v>420</v>
      </c>
      <c r="B395" s="24" t="s">
        <v>8635</v>
      </c>
    </row>
    <row r="396" spans="1:2">
      <c r="A396" s="23" t="s">
        <v>421</v>
      </c>
      <c r="B396" s="24" t="s">
        <v>8636</v>
      </c>
    </row>
    <row r="397" spans="1:2">
      <c r="A397" s="24" t="s">
        <v>422</v>
      </c>
      <c r="B397" s="24" t="s">
        <v>8637</v>
      </c>
    </row>
    <row r="398" spans="1:2">
      <c r="A398" s="23" t="s">
        <v>423</v>
      </c>
      <c r="B398" s="24" t="s">
        <v>8638</v>
      </c>
    </row>
    <row r="399" spans="1:2">
      <c r="A399" s="24" t="s">
        <v>424</v>
      </c>
      <c r="B399" s="24" t="s">
        <v>8639</v>
      </c>
    </row>
    <row r="400" spans="1:2">
      <c r="A400" s="23" t="s">
        <v>425</v>
      </c>
      <c r="B400" s="24" t="s">
        <v>8640</v>
      </c>
    </row>
    <row r="401" spans="1:2">
      <c r="A401" s="24" t="s">
        <v>426</v>
      </c>
      <c r="B401" s="24" t="s">
        <v>8641</v>
      </c>
    </row>
    <row r="402" spans="1:2">
      <c r="A402" s="23" t="s">
        <v>427</v>
      </c>
      <c r="B402" s="24" t="s">
        <v>8642</v>
      </c>
    </row>
    <row r="403" spans="1:2">
      <c r="A403" s="24" t="s">
        <v>428</v>
      </c>
      <c r="B403" s="24" t="s">
        <v>8643</v>
      </c>
    </row>
    <row r="404" spans="1:2">
      <c r="A404" s="23" t="s">
        <v>429</v>
      </c>
      <c r="B404" s="24" t="s">
        <v>8644</v>
      </c>
    </row>
    <row r="405" spans="1:2">
      <c r="A405" s="24" t="s">
        <v>430</v>
      </c>
      <c r="B405" s="24" t="s">
        <v>8645</v>
      </c>
    </row>
    <row r="406" spans="1:2">
      <c r="A406" s="23" t="s">
        <v>431</v>
      </c>
      <c r="B406" s="24" t="s">
        <v>8646</v>
      </c>
    </row>
    <row r="407" spans="1:2">
      <c r="A407" s="24" t="s">
        <v>432</v>
      </c>
      <c r="B407" s="24" t="s">
        <v>8647</v>
      </c>
    </row>
    <row r="408" spans="1:2">
      <c r="A408" s="23" t="s">
        <v>433</v>
      </c>
      <c r="B408" s="24" t="s">
        <v>8648</v>
      </c>
    </row>
    <row r="409" spans="1:2">
      <c r="A409" s="24" t="s">
        <v>434</v>
      </c>
      <c r="B409" s="24" t="s">
        <v>8649</v>
      </c>
    </row>
    <row r="410" spans="1:2">
      <c r="A410" s="23" t="s">
        <v>435</v>
      </c>
      <c r="B410" s="24" t="s">
        <v>8650</v>
      </c>
    </row>
    <row r="411" spans="1:2">
      <c r="A411" s="24" t="s">
        <v>436</v>
      </c>
      <c r="B411" s="24" t="s">
        <v>8651</v>
      </c>
    </row>
    <row r="412" spans="1:2">
      <c r="A412" s="23" t="s">
        <v>437</v>
      </c>
      <c r="B412" s="24" t="s">
        <v>8652</v>
      </c>
    </row>
    <row r="413" spans="1:2">
      <c r="A413" s="24" t="s">
        <v>438</v>
      </c>
      <c r="B413" s="24" t="s">
        <v>8653</v>
      </c>
    </row>
    <row r="414" spans="1:2">
      <c r="A414" s="23" t="s">
        <v>439</v>
      </c>
      <c r="B414" s="24" t="s">
        <v>8654</v>
      </c>
    </row>
    <row r="415" spans="1:2">
      <c r="A415" s="24" t="s">
        <v>440</v>
      </c>
      <c r="B415" s="24" t="s">
        <v>8655</v>
      </c>
    </row>
    <row r="416" spans="1:2">
      <c r="A416" s="23" t="s">
        <v>441</v>
      </c>
      <c r="B416" s="24" t="s">
        <v>8656</v>
      </c>
    </row>
    <row r="417" spans="1:2">
      <c r="A417" s="24" t="s">
        <v>442</v>
      </c>
      <c r="B417" s="24" t="s">
        <v>8657</v>
      </c>
    </row>
    <row r="418" spans="1:2">
      <c r="A418" s="23" t="s">
        <v>443</v>
      </c>
      <c r="B418" s="24" t="s">
        <v>8658</v>
      </c>
    </row>
    <row r="419" spans="1:2">
      <c r="A419" s="24" t="s">
        <v>444</v>
      </c>
      <c r="B419" s="24" t="s">
        <v>8659</v>
      </c>
    </row>
    <row r="420" spans="1:2">
      <c r="A420" s="23" t="s">
        <v>445</v>
      </c>
      <c r="B420" s="24" t="s">
        <v>8660</v>
      </c>
    </row>
    <row r="421" spans="1:2">
      <c r="A421" s="24" t="s">
        <v>446</v>
      </c>
      <c r="B421" s="24" t="s">
        <v>8661</v>
      </c>
    </row>
    <row r="422" spans="1:2">
      <c r="A422" s="23" t="s">
        <v>447</v>
      </c>
      <c r="B422" s="24" t="s">
        <v>8662</v>
      </c>
    </row>
    <row r="423" spans="1:2">
      <c r="A423" s="24" t="s">
        <v>448</v>
      </c>
      <c r="B423" s="24" t="s">
        <v>8663</v>
      </c>
    </row>
    <row r="424" spans="1:2">
      <c r="A424" s="23" t="s">
        <v>449</v>
      </c>
      <c r="B424" s="24" t="s">
        <v>8664</v>
      </c>
    </row>
    <row r="425" spans="1:2">
      <c r="A425" s="24" t="s">
        <v>450</v>
      </c>
      <c r="B425" s="24" t="s">
        <v>8665</v>
      </c>
    </row>
    <row r="426" spans="1:2">
      <c r="A426" s="23" t="s">
        <v>451</v>
      </c>
      <c r="B426" s="24" t="s">
        <v>8666</v>
      </c>
    </row>
    <row r="427" spans="1:2">
      <c r="A427" s="24" t="s">
        <v>452</v>
      </c>
      <c r="B427" s="24" t="s">
        <v>8667</v>
      </c>
    </row>
    <row r="428" spans="1:2">
      <c r="A428" s="23" t="s">
        <v>453</v>
      </c>
      <c r="B428" s="24" t="s">
        <v>8668</v>
      </c>
    </row>
    <row r="429" spans="1:2">
      <c r="A429" s="24" t="s">
        <v>454</v>
      </c>
      <c r="B429" s="24" t="s">
        <v>8669</v>
      </c>
    </row>
    <row r="430" spans="1:2">
      <c r="A430" s="23" t="s">
        <v>455</v>
      </c>
      <c r="B430" s="24" t="s">
        <v>8670</v>
      </c>
    </row>
    <row r="431" spans="1:2">
      <c r="A431" s="24" t="s">
        <v>456</v>
      </c>
      <c r="B431" s="24" t="s">
        <v>8671</v>
      </c>
    </row>
    <row r="432" spans="1:2">
      <c r="A432" s="23" t="s">
        <v>457</v>
      </c>
      <c r="B432" s="24" t="s">
        <v>8672</v>
      </c>
    </row>
    <row r="433" spans="1:2">
      <c r="A433" s="24" t="s">
        <v>458</v>
      </c>
      <c r="B433" s="24" t="s">
        <v>8673</v>
      </c>
    </row>
    <row r="434" spans="1:2">
      <c r="A434" s="23" t="s">
        <v>459</v>
      </c>
      <c r="B434" s="24" t="s">
        <v>8674</v>
      </c>
    </row>
    <row r="435" spans="1:2">
      <c r="A435" s="24" t="s">
        <v>460</v>
      </c>
      <c r="B435" s="24" t="s">
        <v>8675</v>
      </c>
    </row>
    <row r="436" spans="1:2">
      <c r="A436" s="23" t="s">
        <v>461</v>
      </c>
      <c r="B436" s="24" t="s">
        <v>8676</v>
      </c>
    </row>
    <row r="437" spans="1:2">
      <c r="A437" s="24" t="s">
        <v>462</v>
      </c>
      <c r="B437" s="24" t="s">
        <v>8677</v>
      </c>
    </row>
    <row r="438" spans="1:2">
      <c r="A438" s="23" t="s">
        <v>463</v>
      </c>
      <c r="B438" s="24" t="s">
        <v>8678</v>
      </c>
    </row>
    <row r="439" spans="1:2">
      <c r="A439" s="24" t="s">
        <v>464</v>
      </c>
      <c r="B439" s="24" t="s">
        <v>8679</v>
      </c>
    </row>
    <row r="440" spans="1:2">
      <c r="A440" s="23" t="s">
        <v>465</v>
      </c>
      <c r="B440" s="24" t="s">
        <v>8680</v>
      </c>
    </row>
    <row r="441" spans="1:2">
      <c r="A441" s="24" t="s">
        <v>466</v>
      </c>
      <c r="B441" s="24" t="s">
        <v>8681</v>
      </c>
    </row>
    <row r="442" spans="1:2">
      <c r="A442" s="23" t="s">
        <v>467</v>
      </c>
      <c r="B442" s="24" t="s">
        <v>8682</v>
      </c>
    </row>
    <row r="443" spans="1:2">
      <c r="A443" s="24" t="s">
        <v>468</v>
      </c>
      <c r="B443" s="24" t="s">
        <v>8683</v>
      </c>
    </row>
    <row r="444" spans="1:2">
      <c r="A444" s="23" t="s">
        <v>469</v>
      </c>
      <c r="B444" s="24" t="s">
        <v>8684</v>
      </c>
    </row>
    <row r="445" spans="1:2">
      <c r="A445" s="24" t="s">
        <v>470</v>
      </c>
      <c r="B445" s="24" t="s">
        <v>8685</v>
      </c>
    </row>
    <row r="446" spans="1:2">
      <c r="A446" s="23" t="s">
        <v>471</v>
      </c>
      <c r="B446" s="24" t="s">
        <v>8686</v>
      </c>
    </row>
    <row r="447" spans="1:2">
      <c r="A447" s="24" t="s">
        <v>472</v>
      </c>
      <c r="B447" s="24" t="s">
        <v>8687</v>
      </c>
    </row>
    <row r="448" spans="1:2">
      <c r="A448" s="23" t="s">
        <v>473</v>
      </c>
      <c r="B448" s="24" t="s">
        <v>8688</v>
      </c>
    </row>
    <row r="449" spans="1:2">
      <c r="A449" s="24" t="s">
        <v>474</v>
      </c>
      <c r="B449" s="24" t="s">
        <v>8689</v>
      </c>
    </row>
    <row r="450" spans="1:2">
      <c r="A450" s="23" t="s">
        <v>475</v>
      </c>
      <c r="B450" s="24" t="s">
        <v>8690</v>
      </c>
    </row>
    <row r="451" spans="1:2">
      <c r="A451" s="24" t="s">
        <v>476</v>
      </c>
      <c r="B451" s="24" t="s">
        <v>8691</v>
      </c>
    </row>
    <row r="452" spans="1:2">
      <c r="A452" s="23" t="s">
        <v>477</v>
      </c>
      <c r="B452" s="24" t="s">
        <v>8692</v>
      </c>
    </row>
    <row r="453" spans="1:2">
      <c r="A453" s="24" t="s">
        <v>478</v>
      </c>
      <c r="B453" s="24" t="s">
        <v>8693</v>
      </c>
    </row>
    <row r="454" spans="1:2">
      <c r="A454" s="23" t="s">
        <v>480</v>
      </c>
      <c r="B454" s="24" t="s">
        <v>8694</v>
      </c>
    </row>
    <row r="455" spans="1:2">
      <c r="A455" s="24" t="s">
        <v>481</v>
      </c>
      <c r="B455" s="24" t="s">
        <v>8695</v>
      </c>
    </row>
    <row r="456" spans="1:2">
      <c r="A456" s="23" t="s">
        <v>482</v>
      </c>
      <c r="B456" s="24" t="s">
        <v>8696</v>
      </c>
    </row>
    <row r="457" spans="1:2">
      <c r="A457" s="24" t="s">
        <v>483</v>
      </c>
      <c r="B457" s="24" t="s">
        <v>8697</v>
      </c>
    </row>
    <row r="458" spans="1:2">
      <c r="A458" s="23" t="s">
        <v>484</v>
      </c>
      <c r="B458" s="24" t="s">
        <v>8698</v>
      </c>
    </row>
    <row r="459" spans="1:2">
      <c r="A459" s="24" t="s">
        <v>485</v>
      </c>
      <c r="B459" s="24" t="s">
        <v>8699</v>
      </c>
    </row>
    <row r="460" spans="1:2">
      <c r="A460" s="23" t="s">
        <v>486</v>
      </c>
      <c r="B460" s="24" t="s">
        <v>8700</v>
      </c>
    </row>
    <row r="461" spans="1:2">
      <c r="A461" s="24" t="s">
        <v>487</v>
      </c>
      <c r="B461" s="24" t="s">
        <v>8701</v>
      </c>
    </row>
    <row r="462" spans="1:2">
      <c r="A462" s="23" t="s">
        <v>488</v>
      </c>
      <c r="B462" s="24" t="s">
        <v>8702</v>
      </c>
    </row>
    <row r="463" spans="1:2">
      <c r="A463" s="24" t="s">
        <v>489</v>
      </c>
      <c r="B463" s="24" t="s">
        <v>8703</v>
      </c>
    </row>
    <row r="464" spans="1:2">
      <c r="A464" s="23" t="s">
        <v>490</v>
      </c>
      <c r="B464" s="24" t="s">
        <v>8704</v>
      </c>
    </row>
    <row r="465" spans="1:2">
      <c r="A465" s="24" t="s">
        <v>491</v>
      </c>
      <c r="B465" s="24" t="s">
        <v>8705</v>
      </c>
    </row>
    <row r="466" spans="1:2">
      <c r="A466" s="23" t="s">
        <v>492</v>
      </c>
      <c r="B466" s="24" t="s">
        <v>8706</v>
      </c>
    </row>
    <row r="467" spans="1:2">
      <c r="A467" s="24" t="s">
        <v>493</v>
      </c>
      <c r="B467" s="24" t="s">
        <v>8707</v>
      </c>
    </row>
    <row r="468" spans="1:2">
      <c r="A468" s="23" t="s">
        <v>494</v>
      </c>
      <c r="B468" s="24" t="s">
        <v>8708</v>
      </c>
    </row>
    <row r="469" spans="1:2">
      <c r="A469" s="24" t="s">
        <v>495</v>
      </c>
      <c r="B469" s="24" t="s">
        <v>8709</v>
      </c>
    </row>
    <row r="470" spans="1:2">
      <c r="A470" s="23" t="s">
        <v>496</v>
      </c>
      <c r="B470" s="24" t="s">
        <v>8710</v>
      </c>
    </row>
    <row r="471" spans="1:2">
      <c r="A471" s="24" t="s">
        <v>497</v>
      </c>
      <c r="B471" s="24" t="s">
        <v>8711</v>
      </c>
    </row>
    <row r="472" spans="1:2">
      <c r="A472" s="23" t="s">
        <v>498</v>
      </c>
      <c r="B472" s="24" t="s">
        <v>8712</v>
      </c>
    </row>
    <row r="473" spans="1:2">
      <c r="A473" s="24" t="s">
        <v>499</v>
      </c>
      <c r="B473" s="24" t="s">
        <v>8713</v>
      </c>
    </row>
    <row r="474" spans="1:2">
      <c r="A474" s="23" t="s">
        <v>500</v>
      </c>
      <c r="B474" s="24" t="s">
        <v>8714</v>
      </c>
    </row>
    <row r="475" spans="1:2">
      <c r="A475" s="24" t="s">
        <v>501</v>
      </c>
      <c r="B475" s="24" t="s">
        <v>8715</v>
      </c>
    </row>
    <row r="476" spans="1:2">
      <c r="A476" s="23" t="s">
        <v>502</v>
      </c>
      <c r="B476" s="24" t="s">
        <v>8716</v>
      </c>
    </row>
    <row r="477" spans="1:2">
      <c r="A477" s="24" t="s">
        <v>503</v>
      </c>
      <c r="B477" s="24" t="s">
        <v>8717</v>
      </c>
    </row>
    <row r="478" spans="1:2">
      <c r="A478" s="23" t="s">
        <v>504</v>
      </c>
      <c r="B478" s="24" t="s">
        <v>8718</v>
      </c>
    </row>
    <row r="479" spans="1:2">
      <c r="A479" s="24" t="s">
        <v>505</v>
      </c>
      <c r="B479" s="24" t="s">
        <v>8719</v>
      </c>
    </row>
    <row r="480" spans="1:2">
      <c r="A480" s="23" t="s">
        <v>506</v>
      </c>
      <c r="B480" s="24" t="s">
        <v>8720</v>
      </c>
    </row>
    <row r="481" spans="1:2">
      <c r="A481" s="24" t="s">
        <v>507</v>
      </c>
      <c r="B481" s="24" t="s">
        <v>8721</v>
      </c>
    </row>
    <row r="482" spans="1:2">
      <c r="A482" s="23" t="s">
        <v>508</v>
      </c>
      <c r="B482" s="24" t="s">
        <v>8722</v>
      </c>
    </row>
    <row r="483" spans="1:2">
      <c r="A483" s="24" t="s">
        <v>509</v>
      </c>
      <c r="B483" s="24" t="s">
        <v>8723</v>
      </c>
    </row>
    <row r="484" spans="1:2">
      <c r="A484" s="23" t="s">
        <v>510</v>
      </c>
      <c r="B484" s="24" t="s">
        <v>8724</v>
      </c>
    </row>
    <row r="485" spans="1:2">
      <c r="A485" s="24" t="s">
        <v>511</v>
      </c>
      <c r="B485" s="24" t="s">
        <v>8725</v>
      </c>
    </row>
    <row r="486" spans="1:2">
      <c r="A486" s="23" t="s">
        <v>512</v>
      </c>
      <c r="B486" s="24" t="s">
        <v>8726</v>
      </c>
    </row>
    <row r="487" spans="1:2">
      <c r="A487" s="24" t="s">
        <v>513</v>
      </c>
      <c r="B487" s="24" t="s">
        <v>8727</v>
      </c>
    </row>
    <row r="488" spans="1:2">
      <c r="A488" s="23" t="s">
        <v>514</v>
      </c>
      <c r="B488" s="24" t="s">
        <v>8728</v>
      </c>
    </row>
    <row r="489" spans="1:2">
      <c r="A489" s="24" t="s">
        <v>515</v>
      </c>
      <c r="B489" s="24" t="s">
        <v>8729</v>
      </c>
    </row>
    <row r="490" spans="1:2">
      <c r="A490" s="23" t="s">
        <v>516</v>
      </c>
      <c r="B490" s="24" t="s">
        <v>8730</v>
      </c>
    </row>
    <row r="491" spans="1:2">
      <c r="A491" s="24" t="s">
        <v>517</v>
      </c>
      <c r="B491" s="24" t="s">
        <v>8731</v>
      </c>
    </row>
    <row r="492" spans="1:2">
      <c r="A492" s="23" t="s">
        <v>518</v>
      </c>
      <c r="B492" s="24" t="s">
        <v>8732</v>
      </c>
    </row>
    <row r="493" spans="1:2">
      <c r="A493" s="24" t="s">
        <v>519</v>
      </c>
      <c r="B493" s="24" t="s">
        <v>8733</v>
      </c>
    </row>
    <row r="494" spans="1:2">
      <c r="A494" s="23" t="s">
        <v>520</v>
      </c>
      <c r="B494" s="24" t="s">
        <v>8734</v>
      </c>
    </row>
    <row r="495" spans="1:2">
      <c r="A495" s="24" t="s">
        <v>521</v>
      </c>
      <c r="B495" s="24" t="s">
        <v>8735</v>
      </c>
    </row>
    <row r="496" spans="1:2">
      <c r="A496" s="23" t="s">
        <v>522</v>
      </c>
      <c r="B496" s="24" t="s">
        <v>8736</v>
      </c>
    </row>
    <row r="497" spans="1:2">
      <c r="A497" s="24" t="s">
        <v>523</v>
      </c>
      <c r="B497" s="24" t="s">
        <v>8737</v>
      </c>
    </row>
    <row r="498" spans="1:2">
      <c r="A498" s="23" t="s">
        <v>524</v>
      </c>
      <c r="B498" s="24" t="s">
        <v>8738</v>
      </c>
    </row>
    <row r="499" spans="1:2">
      <c r="A499" s="24" t="s">
        <v>525</v>
      </c>
      <c r="B499" s="24" t="s">
        <v>8739</v>
      </c>
    </row>
    <row r="500" spans="1:2">
      <c r="A500" s="23" t="s">
        <v>526</v>
      </c>
      <c r="B500" s="24" t="s">
        <v>8740</v>
      </c>
    </row>
    <row r="501" spans="1:2">
      <c r="A501" s="24" t="s">
        <v>527</v>
      </c>
      <c r="B501" s="24" t="s">
        <v>8741</v>
      </c>
    </row>
    <row r="502" spans="1:2">
      <c r="A502" s="23" t="s">
        <v>528</v>
      </c>
      <c r="B502" s="24" t="s">
        <v>8742</v>
      </c>
    </row>
    <row r="503" spans="1:2">
      <c r="A503" s="24" t="s">
        <v>529</v>
      </c>
      <c r="B503" s="24" t="s">
        <v>8743</v>
      </c>
    </row>
    <row r="504" spans="1:2">
      <c r="A504" s="23" t="s">
        <v>530</v>
      </c>
      <c r="B504" s="24" t="s">
        <v>8744</v>
      </c>
    </row>
    <row r="505" spans="1:2">
      <c r="A505" s="24" t="s">
        <v>531</v>
      </c>
      <c r="B505" s="24" t="s">
        <v>8745</v>
      </c>
    </row>
    <row r="506" spans="1:2">
      <c r="A506" s="23" t="s">
        <v>533</v>
      </c>
      <c r="B506" s="24" t="s">
        <v>8746</v>
      </c>
    </row>
    <row r="507" spans="1:2">
      <c r="A507" s="24" t="s">
        <v>534</v>
      </c>
      <c r="B507" s="24" t="s">
        <v>8747</v>
      </c>
    </row>
    <row r="508" spans="1:2">
      <c r="A508" s="23" t="s">
        <v>535</v>
      </c>
      <c r="B508" s="24" t="s">
        <v>8748</v>
      </c>
    </row>
    <row r="509" spans="1:2">
      <c r="A509" s="24" t="s">
        <v>536</v>
      </c>
      <c r="B509" s="24" t="s">
        <v>8749</v>
      </c>
    </row>
    <row r="510" spans="1:2">
      <c r="A510" s="23" t="s">
        <v>537</v>
      </c>
      <c r="B510" s="24" t="s">
        <v>8750</v>
      </c>
    </row>
    <row r="511" spans="1:2">
      <c r="A511" s="24" t="s">
        <v>538</v>
      </c>
      <c r="B511" s="24" t="s">
        <v>8751</v>
      </c>
    </row>
    <row r="512" spans="1:2">
      <c r="A512" s="23" t="s">
        <v>539</v>
      </c>
      <c r="B512" s="24" t="s">
        <v>8752</v>
      </c>
    </row>
    <row r="513" spans="1:2">
      <c r="A513" s="24" t="s">
        <v>540</v>
      </c>
      <c r="B513" s="24" t="s">
        <v>8753</v>
      </c>
    </row>
    <row r="514" spans="1:2">
      <c r="A514" s="23" t="s">
        <v>541</v>
      </c>
      <c r="B514" s="24" t="s">
        <v>8754</v>
      </c>
    </row>
    <row r="515" spans="1:2">
      <c r="A515" s="24" t="s">
        <v>542</v>
      </c>
      <c r="B515" s="24" t="s">
        <v>8755</v>
      </c>
    </row>
    <row r="516" spans="1:2">
      <c r="A516" s="23" t="s">
        <v>543</v>
      </c>
      <c r="B516" s="24" t="s">
        <v>8756</v>
      </c>
    </row>
    <row r="517" spans="1:2">
      <c r="A517" s="24" t="s">
        <v>544</v>
      </c>
      <c r="B517" s="24" t="s">
        <v>8757</v>
      </c>
    </row>
    <row r="518" spans="1:2">
      <c r="A518" s="23" t="s">
        <v>545</v>
      </c>
      <c r="B518" s="24" t="s">
        <v>8758</v>
      </c>
    </row>
    <row r="519" spans="1:2">
      <c r="A519" s="24" t="s">
        <v>546</v>
      </c>
      <c r="B519" s="24" t="s">
        <v>8759</v>
      </c>
    </row>
    <row r="520" spans="1:2">
      <c r="A520" s="23" t="s">
        <v>547</v>
      </c>
      <c r="B520" s="24" t="s">
        <v>8760</v>
      </c>
    </row>
    <row r="521" spans="1:2">
      <c r="A521" s="24" t="s">
        <v>548</v>
      </c>
      <c r="B521" s="24" t="s">
        <v>8761</v>
      </c>
    </row>
    <row r="522" spans="1:2">
      <c r="A522" s="23" t="s">
        <v>549</v>
      </c>
      <c r="B522" s="24" t="s">
        <v>8762</v>
      </c>
    </row>
    <row r="523" spans="1:2">
      <c r="A523" s="24" t="s">
        <v>550</v>
      </c>
      <c r="B523" s="24" t="s">
        <v>8763</v>
      </c>
    </row>
    <row r="524" spans="1:2">
      <c r="A524" s="23" t="s">
        <v>551</v>
      </c>
      <c r="B524" s="24" t="s">
        <v>8764</v>
      </c>
    </row>
    <row r="525" spans="1:2">
      <c r="A525" s="24" t="s">
        <v>552</v>
      </c>
      <c r="B525" s="24" t="s">
        <v>8765</v>
      </c>
    </row>
    <row r="526" spans="1:2">
      <c r="A526" s="23" t="s">
        <v>553</v>
      </c>
      <c r="B526" s="24" t="s">
        <v>8766</v>
      </c>
    </row>
    <row r="527" spans="1:2">
      <c r="A527" s="24" t="s">
        <v>554</v>
      </c>
      <c r="B527" s="24" t="s">
        <v>8767</v>
      </c>
    </row>
    <row r="528" spans="1:2">
      <c r="A528" s="23" t="s">
        <v>555</v>
      </c>
      <c r="B528" s="24" t="s">
        <v>8768</v>
      </c>
    </row>
    <row r="529" spans="1:2">
      <c r="A529" s="24" t="s">
        <v>556</v>
      </c>
      <c r="B529" s="24" t="s">
        <v>8769</v>
      </c>
    </row>
    <row r="530" spans="1:2">
      <c r="A530" s="23" t="s">
        <v>557</v>
      </c>
      <c r="B530" s="24" t="s">
        <v>8770</v>
      </c>
    </row>
    <row r="531" spans="1:2">
      <c r="A531" s="24" t="s">
        <v>558</v>
      </c>
      <c r="B531" s="24" t="s">
        <v>8771</v>
      </c>
    </row>
    <row r="532" spans="1:2">
      <c r="A532" s="23" t="s">
        <v>559</v>
      </c>
      <c r="B532" s="24" t="s">
        <v>8772</v>
      </c>
    </row>
    <row r="533" spans="1:2">
      <c r="A533" s="24" t="s">
        <v>560</v>
      </c>
      <c r="B533" s="24" t="s">
        <v>8773</v>
      </c>
    </row>
    <row r="534" spans="1:2">
      <c r="A534" s="23" t="s">
        <v>561</v>
      </c>
      <c r="B534" s="24" t="s">
        <v>8774</v>
      </c>
    </row>
    <row r="535" spans="1:2">
      <c r="A535" s="24" t="s">
        <v>562</v>
      </c>
      <c r="B535" s="24" t="s">
        <v>8775</v>
      </c>
    </row>
    <row r="536" spans="1:2">
      <c r="A536" s="23" t="s">
        <v>563</v>
      </c>
      <c r="B536" s="24" t="s">
        <v>8776</v>
      </c>
    </row>
    <row r="537" spans="1:2">
      <c r="A537" s="24" t="s">
        <v>564</v>
      </c>
      <c r="B537" s="24" t="s">
        <v>8777</v>
      </c>
    </row>
    <row r="538" spans="1:2">
      <c r="A538" s="23" t="s">
        <v>565</v>
      </c>
      <c r="B538" s="24" t="s">
        <v>8778</v>
      </c>
    </row>
    <row r="539" spans="1:2">
      <c r="A539" s="24" t="s">
        <v>566</v>
      </c>
      <c r="B539" s="24" t="s">
        <v>8779</v>
      </c>
    </row>
    <row r="540" spans="1:2">
      <c r="A540" s="23" t="s">
        <v>567</v>
      </c>
      <c r="B540" s="24" t="s">
        <v>8780</v>
      </c>
    </row>
    <row r="541" spans="1:2">
      <c r="A541" s="24" t="s">
        <v>568</v>
      </c>
      <c r="B541" s="24" t="s">
        <v>8781</v>
      </c>
    </row>
    <row r="542" spans="1:2">
      <c r="A542" s="23" t="s">
        <v>569</v>
      </c>
      <c r="B542" s="24" t="s">
        <v>8782</v>
      </c>
    </row>
    <row r="543" spans="1:2">
      <c r="A543" s="24" t="s">
        <v>570</v>
      </c>
      <c r="B543" s="24" t="s">
        <v>8783</v>
      </c>
    </row>
    <row r="544" spans="1:2">
      <c r="A544" s="23" t="s">
        <v>571</v>
      </c>
      <c r="B544" s="24" t="s">
        <v>8784</v>
      </c>
    </row>
    <row r="545" spans="1:2">
      <c r="A545" s="24" t="s">
        <v>572</v>
      </c>
      <c r="B545" s="24" t="s">
        <v>8785</v>
      </c>
    </row>
    <row r="546" spans="1:2">
      <c r="A546" s="23" t="s">
        <v>573</v>
      </c>
      <c r="B546" s="24" t="s">
        <v>8786</v>
      </c>
    </row>
    <row r="547" spans="1:2">
      <c r="A547" s="24" t="s">
        <v>574</v>
      </c>
      <c r="B547" s="24" t="s">
        <v>8787</v>
      </c>
    </row>
    <row r="548" spans="1:2">
      <c r="A548" s="23" t="s">
        <v>575</v>
      </c>
      <c r="B548" s="24" t="s">
        <v>8788</v>
      </c>
    </row>
    <row r="549" spans="1:2">
      <c r="A549" s="24" t="s">
        <v>576</v>
      </c>
      <c r="B549" s="24" t="s">
        <v>8789</v>
      </c>
    </row>
    <row r="550" spans="1:2">
      <c r="A550" s="23" t="s">
        <v>577</v>
      </c>
      <c r="B550" s="24" t="s">
        <v>9012</v>
      </c>
    </row>
    <row r="551" spans="1:2">
      <c r="A551" s="24" t="s">
        <v>578</v>
      </c>
      <c r="B551" s="24" t="s">
        <v>8790</v>
      </c>
    </row>
    <row r="552" spans="1:2">
      <c r="A552" s="23" t="s">
        <v>579</v>
      </c>
      <c r="B552" s="24" t="s">
        <v>8791</v>
      </c>
    </row>
    <row r="553" spans="1:2">
      <c r="A553" s="24" t="s">
        <v>580</v>
      </c>
      <c r="B553" s="24" t="s">
        <v>8792</v>
      </c>
    </row>
    <row r="554" spans="1:2">
      <c r="A554" s="23" t="s">
        <v>581</v>
      </c>
      <c r="B554" s="24" t="s">
        <v>8793</v>
      </c>
    </row>
    <row r="555" spans="1:2">
      <c r="A555" s="24" t="s">
        <v>582</v>
      </c>
      <c r="B555" s="24" t="s">
        <v>8794</v>
      </c>
    </row>
    <row r="556" spans="1:2">
      <c r="A556" s="23" t="s">
        <v>583</v>
      </c>
      <c r="B556" s="24" t="s">
        <v>8795</v>
      </c>
    </row>
    <row r="557" spans="1:2">
      <c r="A557" s="24" t="s">
        <v>584</v>
      </c>
      <c r="B557" s="24" t="s">
        <v>8796</v>
      </c>
    </row>
    <row r="558" spans="1:2">
      <c r="A558" s="23" t="s">
        <v>585</v>
      </c>
      <c r="B558" s="24" t="s">
        <v>8797</v>
      </c>
    </row>
    <row r="559" spans="1:2">
      <c r="A559" s="24" t="s">
        <v>586</v>
      </c>
      <c r="B559" s="24" t="s">
        <v>8798</v>
      </c>
    </row>
    <row r="560" spans="1:2">
      <c r="A560" s="23" t="s">
        <v>587</v>
      </c>
      <c r="B560" s="24" t="s">
        <v>8799</v>
      </c>
    </row>
    <row r="561" spans="1:2">
      <c r="A561" s="24" t="s">
        <v>588</v>
      </c>
      <c r="B561" s="24" t="s">
        <v>8800</v>
      </c>
    </row>
    <row r="562" spans="1:2">
      <c r="A562" s="23" t="s">
        <v>589</v>
      </c>
      <c r="B562" s="24" t="s">
        <v>8801</v>
      </c>
    </row>
    <row r="563" spans="1:2">
      <c r="A563" s="24" t="s">
        <v>590</v>
      </c>
      <c r="B563" s="24" t="s">
        <v>8802</v>
      </c>
    </row>
    <row r="564" spans="1:2">
      <c r="A564" s="23" t="s">
        <v>591</v>
      </c>
      <c r="B564" s="24" t="s">
        <v>8803</v>
      </c>
    </row>
    <row r="565" spans="1:2">
      <c r="A565" s="24" t="s">
        <v>592</v>
      </c>
      <c r="B565" s="24" t="s">
        <v>8804</v>
      </c>
    </row>
    <row r="566" spans="1:2">
      <c r="A566" s="23" t="s">
        <v>593</v>
      </c>
      <c r="B566" s="24" t="s">
        <v>8805</v>
      </c>
    </row>
    <row r="567" spans="1:2">
      <c r="A567" s="24" t="s">
        <v>594</v>
      </c>
      <c r="B567" s="24" t="s">
        <v>8806</v>
      </c>
    </row>
    <row r="568" spans="1:2">
      <c r="A568" s="23" t="s">
        <v>595</v>
      </c>
      <c r="B568" s="24" t="s">
        <v>8807</v>
      </c>
    </row>
    <row r="569" spans="1:2">
      <c r="A569" s="24" t="s">
        <v>596</v>
      </c>
      <c r="B569" s="24" t="s">
        <v>8808</v>
      </c>
    </row>
    <row r="570" spans="1:2">
      <c r="A570" s="23" t="s">
        <v>597</v>
      </c>
      <c r="B570" s="24" t="s">
        <v>8809</v>
      </c>
    </row>
    <row r="571" spans="1:2">
      <c r="A571" s="24" t="s">
        <v>598</v>
      </c>
      <c r="B571" s="24" t="s">
        <v>8810</v>
      </c>
    </row>
    <row r="572" spans="1:2">
      <c r="A572" s="23" t="s">
        <v>910</v>
      </c>
      <c r="B572" s="24" t="s">
        <v>8811</v>
      </c>
    </row>
    <row r="573" spans="1:2">
      <c r="A573" s="24" t="s">
        <v>893</v>
      </c>
      <c r="B573" s="24" t="s">
        <v>8811</v>
      </c>
    </row>
    <row r="574" spans="1:2">
      <c r="A574" s="23" t="s">
        <v>894</v>
      </c>
      <c r="B574" s="24" t="s">
        <v>8812</v>
      </c>
    </row>
    <row r="575" spans="1:2">
      <c r="A575" s="24" t="s">
        <v>895</v>
      </c>
      <c r="B575" s="24" t="s">
        <v>8813</v>
      </c>
    </row>
    <row r="576" spans="1:2">
      <c r="A576" s="23" t="s">
        <v>896</v>
      </c>
      <c r="B576" s="24" t="s">
        <v>8814</v>
      </c>
    </row>
    <row r="577" spans="1:2">
      <c r="A577" s="24" t="s">
        <v>897</v>
      </c>
      <c r="B577" s="24" t="s">
        <v>8815</v>
      </c>
    </row>
    <row r="578" spans="1:2">
      <c r="A578" s="23" t="s">
        <v>898</v>
      </c>
      <c r="B578" s="24" t="s">
        <v>8816</v>
      </c>
    </row>
    <row r="579" spans="1:2">
      <c r="A579" s="24" t="s">
        <v>899</v>
      </c>
      <c r="B579" s="24" t="s">
        <v>8817</v>
      </c>
    </row>
    <row r="580" spans="1:2">
      <c r="A580" s="23" t="s">
        <v>900</v>
      </c>
      <c r="B580" s="24" t="s">
        <v>8818</v>
      </c>
    </row>
    <row r="581" spans="1:2">
      <c r="A581" s="24" t="s">
        <v>901</v>
      </c>
      <c r="B581" s="24" t="s">
        <v>8819</v>
      </c>
    </row>
    <row r="582" spans="1:2">
      <c r="A582" s="23" t="s">
        <v>902</v>
      </c>
      <c r="B582" s="24" t="s">
        <v>8819</v>
      </c>
    </row>
    <row r="583" spans="1:2">
      <c r="A583" s="24" t="s">
        <v>903</v>
      </c>
      <c r="B583" s="24" t="s">
        <v>8820</v>
      </c>
    </row>
    <row r="584" spans="1:2">
      <c r="A584" s="23" t="s">
        <v>904</v>
      </c>
      <c r="B584" s="24" t="s">
        <v>8820</v>
      </c>
    </row>
    <row r="585" spans="1:2">
      <c r="A585" s="24" t="s">
        <v>905</v>
      </c>
      <c r="B585" s="24" t="s">
        <v>8821</v>
      </c>
    </row>
    <row r="586" spans="1:2">
      <c r="A586" s="23" t="s">
        <v>906</v>
      </c>
      <c r="B586" s="24" t="s">
        <v>8822</v>
      </c>
    </row>
    <row r="587" spans="1:2">
      <c r="A587" s="24" t="s">
        <v>610</v>
      </c>
      <c r="B587" s="24" t="s">
        <v>8823</v>
      </c>
    </row>
    <row r="588" spans="1:2">
      <c r="A588" s="23" t="s">
        <v>611</v>
      </c>
      <c r="B588" s="24" t="s">
        <v>8824</v>
      </c>
    </row>
    <row r="589" spans="1:2">
      <c r="A589" s="24" t="s">
        <v>612</v>
      </c>
      <c r="B589" s="24" t="s">
        <v>8825</v>
      </c>
    </row>
    <row r="590" spans="1:2">
      <c r="A590" s="23" t="s">
        <v>613</v>
      </c>
      <c r="B590" s="24" t="s">
        <v>8826</v>
      </c>
    </row>
    <row r="591" spans="1:2">
      <c r="A591" s="24" t="s">
        <v>614</v>
      </c>
      <c r="B591" s="24" t="s">
        <v>8827</v>
      </c>
    </row>
    <row r="592" spans="1:2">
      <c r="A592" s="23" t="s">
        <v>615</v>
      </c>
      <c r="B592" s="24" t="s">
        <v>8828</v>
      </c>
    </row>
    <row r="593" spans="1:2">
      <c r="A593" s="24" t="s">
        <v>616</v>
      </c>
      <c r="B593" s="24" t="s">
        <v>8829</v>
      </c>
    </row>
    <row r="594" spans="1:2">
      <c r="A594" s="23" t="s">
        <v>617</v>
      </c>
      <c r="B594" s="24" t="s">
        <v>8830</v>
      </c>
    </row>
    <row r="595" spans="1:2">
      <c r="A595" s="24" t="s">
        <v>618</v>
      </c>
      <c r="B595" s="24" t="s">
        <v>8831</v>
      </c>
    </row>
    <row r="596" spans="1:2">
      <c r="A596" s="23" t="s">
        <v>619</v>
      </c>
      <c r="B596" s="24" t="s">
        <v>8832</v>
      </c>
    </row>
    <row r="597" spans="1:2">
      <c r="A597" s="24" t="s">
        <v>620</v>
      </c>
      <c r="B597" s="24" t="s">
        <v>8833</v>
      </c>
    </row>
    <row r="598" spans="1:2">
      <c r="A598" s="23" t="s">
        <v>621</v>
      </c>
      <c r="B598" s="24" t="s">
        <v>8834</v>
      </c>
    </row>
    <row r="599" spans="1:2">
      <c r="A599" s="24" t="s">
        <v>622</v>
      </c>
      <c r="B599" s="24" t="s">
        <v>8835</v>
      </c>
    </row>
    <row r="600" spans="1:2">
      <c r="A600" s="23" t="s">
        <v>623</v>
      </c>
      <c r="B600" s="24" t="s">
        <v>8836</v>
      </c>
    </row>
    <row r="601" spans="1:2">
      <c r="A601" s="24" t="s">
        <v>624</v>
      </c>
      <c r="B601" s="24" t="s">
        <v>8837</v>
      </c>
    </row>
    <row r="602" spans="1:2">
      <c r="A602" s="23" t="s">
        <v>625</v>
      </c>
      <c r="B602" s="24" t="s">
        <v>8838</v>
      </c>
    </row>
    <row r="603" spans="1:2">
      <c r="A603" s="24" t="s">
        <v>626</v>
      </c>
      <c r="B603" s="24" t="s">
        <v>8839</v>
      </c>
    </row>
    <row r="604" spans="1:2">
      <c r="A604" s="23" t="s">
        <v>627</v>
      </c>
      <c r="B604" s="24" t="s">
        <v>8840</v>
      </c>
    </row>
    <row r="605" spans="1:2">
      <c r="A605" s="24" t="s">
        <v>628</v>
      </c>
      <c r="B605" s="24" t="s">
        <v>8841</v>
      </c>
    </row>
    <row r="606" spans="1:2">
      <c r="A606" s="23" t="s">
        <v>629</v>
      </c>
      <c r="B606" s="24" t="s">
        <v>8842</v>
      </c>
    </row>
    <row r="607" spans="1:2">
      <c r="A607" s="24" t="s">
        <v>630</v>
      </c>
      <c r="B607" s="24" t="s">
        <v>8843</v>
      </c>
    </row>
    <row r="608" spans="1:2">
      <c r="A608" s="23" t="s">
        <v>631</v>
      </c>
      <c r="B608" s="24" t="s">
        <v>8844</v>
      </c>
    </row>
    <row r="609" spans="1:2">
      <c r="A609" s="24" t="s">
        <v>632</v>
      </c>
      <c r="B609" s="24" t="s">
        <v>8845</v>
      </c>
    </row>
    <row r="610" spans="1:2">
      <c r="A610" s="23" t="s">
        <v>633</v>
      </c>
      <c r="B610" s="24" t="s">
        <v>8846</v>
      </c>
    </row>
    <row r="611" spans="1:2">
      <c r="A611" s="24" t="s">
        <v>634</v>
      </c>
      <c r="B611" s="24" t="s">
        <v>8847</v>
      </c>
    </row>
    <row r="612" spans="1:2">
      <c r="A612" s="23" t="s">
        <v>635</v>
      </c>
      <c r="B612" s="24" t="s">
        <v>8848</v>
      </c>
    </row>
    <row r="613" spans="1:2">
      <c r="A613" s="24" t="s">
        <v>636</v>
      </c>
      <c r="B613" s="24" t="s">
        <v>8849</v>
      </c>
    </row>
    <row r="614" spans="1:2">
      <c r="A614" s="23" t="s">
        <v>637</v>
      </c>
      <c r="B614" s="24" t="s">
        <v>8850</v>
      </c>
    </row>
    <row r="615" spans="1:2">
      <c r="A615" s="24" t="s">
        <v>638</v>
      </c>
      <c r="B615" s="24" t="s">
        <v>8851</v>
      </c>
    </row>
    <row r="616" spans="1:2">
      <c r="A616" s="23" t="s">
        <v>639</v>
      </c>
      <c r="B616" s="24" t="s">
        <v>8852</v>
      </c>
    </row>
    <row r="617" spans="1:2">
      <c r="A617" s="24" t="s">
        <v>640</v>
      </c>
      <c r="B617" s="24" t="s">
        <v>8853</v>
      </c>
    </row>
    <row r="618" spans="1:2">
      <c r="A618" s="23" t="s">
        <v>641</v>
      </c>
      <c r="B618" s="24" t="s">
        <v>8854</v>
      </c>
    </row>
    <row r="619" spans="1:2">
      <c r="A619" s="24" t="s">
        <v>642</v>
      </c>
      <c r="B619" s="24" t="s">
        <v>8855</v>
      </c>
    </row>
    <row r="620" spans="1:2">
      <c r="A620" s="23" t="s">
        <v>643</v>
      </c>
      <c r="B620" s="24" t="s">
        <v>8856</v>
      </c>
    </row>
    <row r="621" spans="1:2">
      <c r="A621" s="24" t="s">
        <v>644</v>
      </c>
      <c r="B621" s="24" t="s">
        <v>8857</v>
      </c>
    </row>
    <row r="622" spans="1:2">
      <c r="A622" s="23" t="s">
        <v>645</v>
      </c>
      <c r="B622" s="24" t="s">
        <v>8858</v>
      </c>
    </row>
    <row r="623" spans="1:2">
      <c r="A623" s="24" t="s">
        <v>646</v>
      </c>
      <c r="B623" s="24" t="s">
        <v>8859</v>
      </c>
    </row>
    <row r="624" spans="1:2">
      <c r="A624" s="23" t="s">
        <v>647</v>
      </c>
      <c r="B624" s="24" t="s">
        <v>8860</v>
      </c>
    </row>
    <row r="625" spans="1:2">
      <c r="A625" s="24" t="s">
        <v>648</v>
      </c>
      <c r="B625" s="24" t="s">
        <v>8861</v>
      </c>
    </row>
    <row r="626" spans="1:2">
      <c r="A626" s="23" t="s">
        <v>649</v>
      </c>
      <c r="B626" s="24" t="s">
        <v>8862</v>
      </c>
    </row>
    <row r="627" spans="1:2">
      <c r="A627" s="24" t="s">
        <v>650</v>
      </c>
      <c r="B627" s="24" t="s">
        <v>8863</v>
      </c>
    </row>
    <row r="628" spans="1:2">
      <c r="A628" s="23" t="s">
        <v>651</v>
      </c>
      <c r="B628" s="24" t="s">
        <v>8864</v>
      </c>
    </row>
    <row r="629" spans="1:2">
      <c r="A629" s="24" t="s">
        <v>652</v>
      </c>
      <c r="B629" s="24" t="s">
        <v>8865</v>
      </c>
    </row>
    <row r="630" spans="1:2">
      <c r="A630" s="23" t="s">
        <v>653</v>
      </c>
      <c r="B630" s="24" t="s">
        <v>8866</v>
      </c>
    </row>
    <row r="631" spans="1:2">
      <c r="A631" s="24" t="s">
        <v>654</v>
      </c>
      <c r="B631" s="24" t="s">
        <v>8867</v>
      </c>
    </row>
    <row r="632" spans="1:2">
      <c r="A632" s="23" t="s">
        <v>655</v>
      </c>
      <c r="B632" s="24" t="s">
        <v>8868</v>
      </c>
    </row>
    <row r="633" spans="1:2">
      <c r="A633" s="24" t="s">
        <v>656</v>
      </c>
      <c r="B633" s="24" t="s">
        <v>8869</v>
      </c>
    </row>
    <row r="634" spans="1:2">
      <c r="A634" s="23" t="s">
        <v>657</v>
      </c>
      <c r="B634" s="24" t="s">
        <v>8870</v>
      </c>
    </row>
    <row r="635" spans="1:2">
      <c r="A635" s="24" t="s">
        <v>658</v>
      </c>
      <c r="B635" s="24" t="s">
        <v>8871</v>
      </c>
    </row>
    <row r="636" spans="1:2">
      <c r="A636" s="23" t="s">
        <v>659</v>
      </c>
      <c r="B636" s="24" t="s">
        <v>8872</v>
      </c>
    </row>
    <row r="637" spans="1:2">
      <c r="A637" s="24" t="s">
        <v>660</v>
      </c>
      <c r="B637" s="24" t="s">
        <v>8873</v>
      </c>
    </row>
    <row r="638" spans="1:2">
      <c r="A638" s="23" t="s">
        <v>661</v>
      </c>
      <c r="B638" s="24" t="s">
        <v>8874</v>
      </c>
    </row>
    <row r="639" spans="1:2">
      <c r="A639" s="24" t="s">
        <v>662</v>
      </c>
      <c r="B639" s="24" t="s">
        <v>8875</v>
      </c>
    </row>
    <row r="640" spans="1:2">
      <c r="A640" s="23" t="s">
        <v>663</v>
      </c>
      <c r="B640" s="24" t="s">
        <v>8876</v>
      </c>
    </row>
    <row r="641" spans="1:2">
      <c r="A641" s="24" t="s">
        <v>664</v>
      </c>
      <c r="B641" s="24" t="s">
        <v>8877</v>
      </c>
    </row>
    <row r="642" spans="1:2">
      <c r="A642" s="23" t="s">
        <v>665</v>
      </c>
      <c r="B642" s="24" t="s">
        <v>8878</v>
      </c>
    </row>
    <row r="643" spans="1:2">
      <c r="A643" s="24" t="s">
        <v>666</v>
      </c>
      <c r="B643" s="24" t="s">
        <v>8879</v>
      </c>
    </row>
    <row r="644" spans="1:2">
      <c r="A644" s="23" t="s">
        <v>667</v>
      </c>
      <c r="B644" s="24" t="s">
        <v>8880</v>
      </c>
    </row>
    <row r="645" spans="1:2">
      <c r="A645" s="24" t="s">
        <v>668</v>
      </c>
      <c r="B645" s="24" t="s">
        <v>8881</v>
      </c>
    </row>
    <row r="646" spans="1:2">
      <c r="A646" s="23" t="s">
        <v>669</v>
      </c>
      <c r="B646" s="24" t="s">
        <v>8882</v>
      </c>
    </row>
    <row r="647" spans="1:2">
      <c r="A647" s="24" t="s">
        <v>670</v>
      </c>
      <c r="B647" s="24" t="s">
        <v>8883</v>
      </c>
    </row>
    <row r="648" spans="1:2">
      <c r="A648" s="23" t="s">
        <v>671</v>
      </c>
      <c r="B648" s="24" t="s">
        <v>8884</v>
      </c>
    </row>
    <row r="649" spans="1:2">
      <c r="A649" s="24" t="s">
        <v>754</v>
      </c>
      <c r="B649" s="24" t="s">
        <v>8885</v>
      </c>
    </row>
    <row r="650" spans="1:2">
      <c r="A650" s="23" t="s">
        <v>753</v>
      </c>
      <c r="B650" s="24" t="s">
        <v>8885</v>
      </c>
    </row>
    <row r="651" spans="1:2">
      <c r="A651" s="24" t="s">
        <v>755</v>
      </c>
      <c r="B651" s="24" t="s">
        <v>8886</v>
      </c>
    </row>
    <row r="652" spans="1:2">
      <c r="A652" s="23" t="s">
        <v>756</v>
      </c>
      <c r="B652" s="24" t="s">
        <v>8887</v>
      </c>
    </row>
    <row r="653" spans="1:2">
      <c r="A653" s="24" t="s">
        <v>757</v>
      </c>
      <c r="B653" s="24" t="s">
        <v>8888</v>
      </c>
    </row>
    <row r="654" spans="1:2">
      <c r="A654" s="23" t="s">
        <v>758</v>
      </c>
      <c r="B654" s="24" t="s">
        <v>8888</v>
      </c>
    </row>
    <row r="655" spans="1:2">
      <c r="A655" s="24" t="s">
        <v>760</v>
      </c>
      <c r="B655" s="24" t="s">
        <v>8889</v>
      </c>
    </row>
    <row r="656" spans="1:2">
      <c r="A656" s="23" t="s">
        <v>761</v>
      </c>
      <c r="B656" s="24" t="s">
        <v>8890</v>
      </c>
    </row>
    <row r="657" spans="1:2">
      <c r="A657" s="24" t="s">
        <v>762</v>
      </c>
      <c r="B657" s="24" t="s">
        <v>8891</v>
      </c>
    </row>
    <row r="658" spans="1:2">
      <c r="A658" s="23" t="s">
        <v>763</v>
      </c>
      <c r="B658" s="24" t="s">
        <v>8892</v>
      </c>
    </row>
    <row r="659" spans="1:2">
      <c r="A659" s="24" t="s">
        <v>835</v>
      </c>
      <c r="B659" s="24" t="s">
        <v>8893</v>
      </c>
    </row>
    <row r="660" spans="1:2">
      <c r="A660" s="23" t="s">
        <v>836</v>
      </c>
      <c r="B660" s="24" t="s">
        <v>8894</v>
      </c>
    </row>
    <row r="661" spans="1:2">
      <c r="A661" s="24" t="s">
        <v>837</v>
      </c>
      <c r="B661" s="24" t="s">
        <v>8894</v>
      </c>
    </row>
    <row r="662" spans="1:2">
      <c r="A662" s="23" t="s">
        <v>838</v>
      </c>
      <c r="B662" s="24" t="s">
        <v>8895</v>
      </c>
    </row>
    <row r="663" spans="1:2">
      <c r="A663" s="24" t="s">
        <v>839</v>
      </c>
      <c r="B663" s="24" t="s">
        <v>8896</v>
      </c>
    </row>
    <row r="664" spans="1:2">
      <c r="A664" s="23" t="s">
        <v>840</v>
      </c>
      <c r="B664" s="24" t="s">
        <v>8897</v>
      </c>
    </row>
    <row r="665" spans="1:2">
      <c r="A665" s="24" t="s">
        <v>841</v>
      </c>
      <c r="B665" s="24" t="s">
        <v>8898</v>
      </c>
    </row>
    <row r="666" spans="1:2">
      <c r="A666" s="23" t="s">
        <v>842</v>
      </c>
      <c r="B666" s="24" t="s">
        <v>8899</v>
      </c>
    </row>
    <row r="667" spans="1:2">
      <c r="A667" s="24" t="s">
        <v>843</v>
      </c>
      <c r="B667" s="24" t="s">
        <v>8900</v>
      </c>
    </row>
    <row r="668" spans="1:2">
      <c r="A668" s="23" t="s">
        <v>844</v>
      </c>
      <c r="B668" s="24" t="s">
        <v>8900</v>
      </c>
    </row>
    <row r="669" spans="1:2">
      <c r="A669" s="24" t="s">
        <v>845</v>
      </c>
      <c r="B669" s="24" t="s">
        <v>8901</v>
      </c>
    </row>
    <row r="670" spans="1:2">
      <c r="A670" s="23" t="s">
        <v>846</v>
      </c>
      <c r="B670" s="24" t="s">
        <v>8902</v>
      </c>
    </row>
    <row r="671" spans="1:2">
      <c r="A671" s="24" t="s">
        <v>847</v>
      </c>
      <c r="B671" s="24" t="s">
        <v>8903</v>
      </c>
    </row>
    <row r="672" spans="1:2">
      <c r="A672" s="23" t="s">
        <v>848</v>
      </c>
      <c r="B672" s="24" t="s">
        <v>8903</v>
      </c>
    </row>
    <row r="673" spans="1:2">
      <c r="A673" s="24" t="s">
        <v>849</v>
      </c>
      <c r="B673" s="24" t="s">
        <v>8904</v>
      </c>
    </row>
    <row r="674" spans="1:2">
      <c r="A674" s="23" t="s">
        <v>850</v>
      </c>
      <c r="B674" s="24" t="s">
        <v>8905</v>
      </c>
    </row>
    <row r="675" spans="1:2">
      <c r="A675" s="24" t="s">
        <v>851</v>
      </c>
      <c r="B675" s="24" t="s">
        <v>8906</v>
      </c>
    </row>
    <row r="676" spans="1:2">
      <c r="A676" s="23" t="s">
        <v>852</v>
      </c>
      <c r="B676" s="24" t="s">
        <v>8907</v>
      </c>
    </row>
    <row r="677" spans="1:2">
      <c r="A677" s="24" t="s">
        <v>853</v>
      </c>
      <c r="B677" s="24" t="s">
        <v>8907</v>
      </c>
    </row>
    <row r="678" spans="1:2">
      <c r="A678" s="23" t="s">
        <v>854</v>
      </c>
      <c r="B678" s="24" t="s">
        <v>8908</v>
      </c>
    </row>
    <row r="679" spans="1:2">
      <c r="A679" s="24" t="s">
        <v>855</v>
      </c>
      <c r="B679" s="24" t="s">
        <v>8909</v>
      </c>
    </row>
    <row r="680" spans="1:2">
      <c r="A680" s="23" t="s">
        <v>856</v>
      </c>
      <c r="B680" s="24" t="s">
        <v>8910</v>
      </c>
    </row>
    <row r="681" spans="1:2">
      <c r="A681" s="24" t="s">
        <v>857</v>
      </c>
      <c r="B681" s="24" t="s">
        <v>8910</v>
      </c>
    </row>
    <row r="682" spans="1:2">
      <c r="A682" s="23" t="s">
        <v>858</v>
      </c>
      <c r="B682" s="24" t="s">
        <v>8911</v>
      </c>
    </row>
    <row r="683" spans="1:2">
      <c r="A683" s="24" t="s">
        <v>859</v>
      </c>
      <c r="B683" s="24" t="s">
        <v>8911</v>
      </c>
    </row>
    <row r="684" spans="1:2">
      <c r="A684" s="23" t="s">
        <v>860</v>
      </c>
      <c r="B684" s="24" t="s">
        <v>8912</v>
      </c>
    </row>
    <row r="685" spans="1:2">
      <c r="A685" s="24" t="s">
        <v>861</v>
      </c>
      <c r="B685" s="24" t="s">
        <v>8913</v>
      </c>
    </row>
    <row r="686" spans="1:2">
      <c r="A686" s="23" t="s">
        <v>862</v>
      </c>
      <c r="B686" s="24" t="s">
        <v>8914</v>
      </c>
    </row>
    <row r="687" spans="1:2">
      <c r="A687" s="24" t="s">
        <v>863</v>
      </c>
      <c r="B687" s="24" t="s">
        <v>8915</v>
      </c>
    </row>
    <row r="688" spans="1:2">
      <c r="A688" s="23" t="s">
        <v>864</v>
      </c>
      <c r="B688" s="24" t="s">
        <v>8916</v>
      </c>
    </row>
    <row r="689" spans="1:2">
      <c r="A689" s="24" t="s">
        <v>865</v>
      </c>
      <c r="B689" s="24" t="s">
        <v>8917</v>
      </c>
    </row>
    <row r="690" spans="1:2">
      <c r="A690" s="23" t="s">
        <v>866</v>
      </c>
      <c r="B690" s="24" t="s">
        <v>8917</v>
      </c>
    </row>
    <row r="691" spans="1:2">
      <c r="A691" s="24" t="s">
        <v>867</v>
      </c>
      <c r="B691" s="24" t="s">
        <v>8918</v>
      </c>
    </row>
    <row r="692" spans="1:2">
      <c r="A692" s="23" t="s">
        <v>868</v>
      </c>
      <c r="B692" s="24" t="s">
        <v>8919</v>
      </c>
    </row>
    <row r="693" spans="1:2">
      <c r="A693" s="24" t="s">
        <v>869</v>
      </c>
      <c r="B693" s="24" t="s">
        <v>8920</v>
      </c>
    </row>
    <row r="694" spans="1:2">
      <c r="A694" s="23" t="s">
        <v>870</v>
      </c>
      <c r="B694" s="24" t="s">
        <v>8920</v>
      </c>
    </row>
    <row r="695" spans="1:2">
      <c r="A695" s="24" t="s">
        <v>871</v>
      </c>
      <c r="B695" s="24" t="s">
        <v>8921</v>
      </c>
    </row>
    <row r="696" spans="1:2">
      <c r="A696" s="23" t="s">
        <v>872</v>
      </c>
      <c r="B696" s="24" t="s">
        <v>8921</v>
      </c>
    </row>
    <row r="697" spans="1:2">
      <c r="A697" s="24" t="s">
        <v>873</v>
      </c>
      <c r="B697" s="24" t="s">
        <v>8922</v>
      </c>
    </row>
    <row r="698" spans="1:2">
      <c r="A698" s="23" t="s">
        <v>874</v>
      </c>
      <c r="B698" s="24" t="s">
        <v>8923</v>
      </c>
    </row>
    <row r="699" spans="1:2">
      <c r="A699" s="24" t="s">
        <v>875</v>
      </c>
      <c r="B699" s="24" t="s">
        <v>8924</v>
      </c>
    </row>
    <row r="700" spans="1:2">
      <c r="A700" s="23" t="s">
        <v>876</v>
      </c>
      <c r="B700" s="24" t="s">
        <v>8925</v>
      </c>
    </row>
    <row r="701" spans="1:2">
      <c r="A701" s="24" t="s">
        <v>877</v>
      </c>
      <c r="B701" s="24" t="s">
        <v>8926</v>
      </c>
    </row>
    <row r="702" spans="1:2">
      <c r="A702" s="23" t="s">
        <v>878</v>
      </c>
      <c r="B702" s="24" t="s">
        <v>8927</v>
      </c>
    </row>
    <row r="703" spans="1:2">
      <c r="A703" s="24" t="s">
        <v>879</v>
      </c>
      <c r="B703" s="24" t="s">
        <v>8928</v>
      </c>
    </row>
    <row r="704" spans="1:2">
      <c r="A704" s="23" t="s">
        <v>880</v>
      </c>
      <c r="B704" s="24" t="s">
        <v>8929</v>
      </c>
    </row>
    <row r="705" spans="1:2">
      <c r="A705" s="24" t="s">
        <v>881</v>
      </c>
      <c r="B705" s="24" t="s">
        <v>8929</v>
      </c>
    </row>
    <row r="706" spans="1:2">
      <c r="A706" s="23" t="s">
        <v>882</v>
      </c>
      <c r="B706" s="24" t="s">
        <v>8930</v>
      </c>
    </row>
    <row r="707" spans="1:2">
      <c r="A707" s="24" t="s">
        <v>883</v>
      </c>
      <c r="B707" s="24" t="s">
        <v>8931</v>
      </c>
    </row>
    <row r="708" spans="1:2">
      <c r="A708" s="23" t="s">
        <v>884</v>
      </c>
      <c r="B708" s="24" t="s">
        <v>8932</v>
      </c>
    </row>
    <row r="709" spans="1:2">
      <c r="A709" s="24" t="s">
        <v>885</v>
      </c>
      <c r="B709" s="24" t="s">
        <v>8932</v>
      </c>
    </row>
    <row r="710" spans="1:2">
      <c r="A710" s="23" t="s">
        <v>886</v>
      </c>
      <c r="B710" s="24" t="s">
        <v>8933</v>
      </c>
    </row>
    <row r="711" spans="1:2">
      <c r="A711" s="24" t="s">
        <v>887</v>
      </c>
      <c r="B711" s="24" t="s">
        <v>8933</v>
      </c>
    </row>
    <row r="712" spans="1:2">
      <c r="A712" s="23" t="s">
        <v>888</v>
      </c>
      <c r="B712" s="24" t="s">
        <v>8934</v>
      </c>
    </row>
    <row r="713" spans="1:2">
      <c r="A713" s="24" t="s">
        <v>889</v>
      </c>
      <c r="B713" s="24" t="s">
        <v>8935</v>
      </c>
    </row>
    <row r="714" spans="1:2">
      <c r="A714" s="23" t="s">
        <v>890</v>
      </c>
      <c r="B714" s="24" t="s">
        <v>8936</v>
      </c>
    </row>
    <row r="715" spans="1:2">
      <c r="A715" s="24" t="s">
        <v>891</v>
      </c>
      <c r="B715" s="24" t="s">
        <v>8937</v>
      </c>
    </row>
    <row r="716" spans="1:2">
      <c r="A716" s="23" t="s">
        <v>892</v>
      </c>
      <c r="B716" s="24" t="s">
        <v>8938</v>
      </c>
    </row>
    <row r="717" spans="1:2">
      <c r="A717" s="24" t="s">
        <v>907</v>
      </c>
      <c r="B717" s="24" t="s">
        <v>8939</v>
      </c>
    </row>
    <row r="718" spans="1:2">
      <c r="A718" s="23" t="s">
        <v>908</v>
      </c>
      <c r="B718" s="24" t="s">
        <v>8939</v>
      </c>
    </row>
    <row r="719" spans="1:2">
      <c r="A719" s="24" t="s">
        <v>764</v>
      </c>
      <c r="B719" s="24" t="s">
        <v>8940</v>
      </c>
    </row>
    <row r="720" spans="1:2">
      <c r="A720" s="23" t="s">
        <v>765</v>
      </c>
      <c r="B720" s="24" t="s">
        <v>8941</v>
      </c>
    </row>
    <row r="721" spans="1:2">
      <c r="A721" s="24" t="s">
        <v>766</v>
      </c>
      <c r="B721" s="24" t="s">
        <v>8942</v>
      </c>
    </row>
    <row r="722" spans="1:2">
      <c r="A722" s="23" t="s">
        <v>767</v>
      </c>
      <c r="B722" s="24" t="s">
        <v>8943</v>
      </c>
    </row>
    <row r="723" spans="1:2">
      <c r="A723" s="24" t="s">
        <v>768</v>
      </c>
      <c r="B723" s="24" t="s">
        <v>8944</v>
      </c>
    </row>
    <row r="724" spans="1:2">
      <c r="A724" s="23" t="s">
        <v>769</v>
      </c>
      <c r="B724" s="24" t="s">
        <v>8945</v>
      </c>
    </row>
    <row r="725" spans="1:2">
      <c r="A725" s="24" t="s">
        <v>770</v>
      </c>
      <c r="B725" s="24" t="s">
        <v>8946</v>
      </c>
    </row>
    <row r="726" spans="1:2">
      <c r="A726" s="23" t="s">
        <v>771</v>
      </c>
      <c r="B726" s="24" t="s">
        <v>8947</v>
      </c>
    </row>
    <row r="727" spans="1:2">
      <c r="A727" s="24" t="s">
        <v>772</v>
      </c>
      <c r="B727" s="24" t="s">
        <v>8948</v>
      </c>
    </row>
    <row r="728" spans="1:2">
      <c r="A728" s="23" t="s">
        <v>773</v>
      </c>
      <c r="B728" s="24" t="s">
        <v>8949</v>
      </c>
    </row>
    <row r="729" spans="1:2">
      <c r="A729" s="24" t="s">
        <v>774</v>
      </c>
      <c r="B729" s="24" t="s">
        <v>8950</v>
      </c>
    </row>
    <row r="730" spans="1:2">
      <c r="A730" s="23" t="s">
        <v>775</v>
      </c>
      <c r="B730" s="24" t="s">
        <v>8951</v>
      </c>
    </row>
    <row r="731" spans="1:2">
      <c r="A731" s="24" t="s">
        <v>776</v>
      </c>
      <c r="B731" s="24" t="s">
        <v>8952</v>
      </c>
    </row>
    <row r="732" spans="1:2">
      <c r="A732" s="23" t="s">
        <v>777</v>
      </c>
      <c r="B732" s="24" t="s">
        <v>8953</v>
      </c>
    </row>
    <row r="733" spans="1:2">
      <c r="A733" s="24" t="s">
        <v>778</v>
      </c>
      <c r="B733" s="24" t="s">
        <v>8954</v>
      </c>
    </row>
    <row r="734" spans="1:2">
      <c r="A734" s="23" t="s">
        <v>779</v>
      </c>
      <c r="B734" s="24" t="s">
        <v>8955</v>
      </c>
    </row>
    <row r="735" spans="1:2">
      <c r="A735" s="24" t="s">
        <v>780</v>
      </c>
      <c r="B735" s="24" t="s">
        <v>8956</v>
      </c>
    </row>
    <row r="736" spans="1:2">
      <c r="A736" s="23" t="s">
        <v>781</v>
      </c>
      <c r="B736" s="24" t="s">
        <v>8957</v>
      </c>
    </row>
    <row r="737" spans="1:2">
      <c r="A737" s="24" t="s">
        <v>782</v>
      </c>
      <c r="B737" s="24" t="s">
        <v>8958</v>
      </c>
    </row>
    <row r="738" spans="1:2">
      <c r="A738" s="23" t="s">
        <v>783</v>
      </c>
      <c r="B738" s="24" t="s">
        <v>8959</v>
      </c>
    </row>
    <row r="739" spans="1:2">
      <c r="A739" s="24" t="s">
        <v>784</v>
      </c>
      <c r="B739" s="24" t="s">
        <v>8960</v>
      </c>
    </row>
    <row r="740" spans="1:2">
      <c r="A740" s="23" t="s">
        <v>785</v>
      </c>
      <c r="B740" s="24" t="s">
        <v>8961</v>
      </c>
    </row>
    <row r="741" spans="1:2">
      <c r="A741" s="24" t="s">
        <v>786</v>
      </c>
      <c r="B741" s="24" t="s">
        <v>8962</v>
      </c>
    </row>
    <row r="742" spans="1:2">
      <c r="A742" s="23" t="s">
        <v>787</v>
      </c>
      <c r="B742" s="24" t="s">
        <v>8963</v>
      </c>
    </row>
    <row r="743" spans="1:2">
      <c r="A743" s="24" t="s">
        <v>788</v>
      </c>
      <c r="B743" s="24" t="s">
        <v>8964</v>
      </c>
    </row>
    <row r="744" spans="1:2">
      <c r="A744" s="23" t="s">
        <v>789</v>
      </c>
      <c r="B744" s="24" t="s">
        <v>8965</v>
      </c>
    </row>
    <row r="745" spans="1:2">
      <c r="A745" s="24" t="s">
        <v>790</v>
      </c>
      <c r="B745" s="24" t="s">
        <v>8966</v>
      </c>
    </row>
    <row r="746" spans="1:2">
      <c r="A746" s="23" t="s">
        <v>791</v>
      </c>
      <c r="B746" s="24" t="s">
        <v>8967</v>
      </c>
    </row>
    <row r="747" spans="1:2">
      <c r="A747" s="24" t="s">
        <v>792</v>
      </c>
      <c r="B747" s="24" t="s">
        <v>8968</v>
      </c>
    </row>
    <row r="748" spans="1:2">
      <c r="A748" s="23" t="s">
        <v>793</v>
      </c>
      <c r="B748" s="24" t="s">
        <v>8969</v>
      </c>
    </row>
    <row r="749" spans="1:2">
      <c r="A749" s="24" t="s">
        <v>794</v>
      </c>
      <c r="B749" s="24" t="s">
        <v>8970</v>
      </c>
    </row>
    <row r="750" spans="1:2">
      <c r="A750" s="23" t="s">
        <v>795</v>
      </c>
      <c r="B750" s="24" t="s">
        <v>8971</v>
      </c>
    </row>
    <row r="751" spans="1:2">
      <c r="A751" s="24" t="s">
        <v>796</v>
      </c>
      <c r="B751" s="24" t="s">
        <v>8972</v>
      </c>
    </row>
    <row r="752" spans="1:2">
      <c r="A752" s="23" t="s">
        <v>797</v>
      </c>
      <c r="B752" s="24" t="s">
        <v>8973</v>
      </c>
    </row>
    <row r="753" spans="1:2">
      <c r="A753" s="24" t="s">
        <v>798</v>
      </c>
      <c r="B753" s="24" t="s">
        <v>8974</v>
      </c>
    </row>
    <row r="754" spans="1:2">
      <c r="A754" s="23" t="s">
        <v>799</v>
      </c>
      <c r="B754" s="24" t="s">
        <v>8975</v>
      </c>
    </row>
    <row r="755" spans="1:2">
      <c r="A755" s="24" t="s">
        <v>800</v>
      </c>
      <c r="B755" s="24" t="s">
        <v>8976</v>
      </c>
    </row>
    <row r="756" spans="1:2">
      <c r="A756" s="23" t="s">
        <v>801</v>
      </c>
      <c r="B756" s="24" t="s">
        <v>8977</v>
      </c>
    </row>
    <row r="757" spans="1:2">
      <c r="A757" s="24" t="s">
        <v>802</v>
      </c>
      <c r="B757" s="24" t="s">
        <v>8978</v>
      </c>
    </row>
    <row r="758" spans="1:2">
      <c r="A758" s="23" t="s">
        <v>803</v>
      </c>
      <c r="B758" s="24" t="s">
        <v>8979</v>
      </c>
    </row>
    <row r="759" spans="1:2">
      <c r="A759" s="24" t="s">
        <v>804</v>
      </c>
      <c r="B759" s="24" t="s">
        <v>8980</v>
      </c>
    </row>
    <row r="760" spans="1:2">
      <c r="A760" s="23" t="s">
        <v>805</v>
      </c>
      <c r="B760" s="24" t="s">
        <v>8981</v>
      </c>
    </row>
    <row r="761" spans="1:2">
      <c r="A761" s="24" t="s">
        <v>806</v>
      </c>
      <c r="B761" s="24" t="s">
        <v>8982</v>
      </c>
    </row>
    <row r="762" spans="1:2">
      <c r="A762" s="23" t="s">
        <v>807</v>
      </c>
      <c r="B762" s="24" t="s">
        <v>8983</v>
      </c>
    </row>
    <row r="763" spans="1:2">
      <c r="A763" s="24" t="s">
        <v>808</v>
      </c>
      <c r="B763" s="24" t="s">
        <v>8984</v>
      </c>
    </row>
    <row r="764" spans="1:2">
      <c r="A764" s="23" t="s">
        <v>809</v>
      </c>
      <c r="B764" s="24" t="s">
        <v>8985</v>
      </c>
    </row>
    <row r="765" spans="1:2">
      <c r="A765" s="24" t="s">
        <v>810</v>
      </c>
      <c r="B765" s="24" t="s">
        <v>8986</v>
      </c>
    </row>
    <row r="766" spans="1:2">
      <c r="A766" s="23" t="s">
        <v>811</v>
      </c>
      <c r="B766" s="24" t="s">
        <v>8987</v>
      </c>
    </row>
    <row r="767" spans="1:2">
      <c r="A767" s="24" t="s">
        <v>812</v>
      </c>
      <c r="B767" s="24" t="s">
        <v>8988</v>
      </c>
    </row>
    <row r="768" spans="1:2">
      <c r="A768" s="23" t="s">
        <v>813</v>
      </c>
      <c r="B768" s="24" t="s">
        <v>8989</v>
      </c>
    </row>
    <row r="769" spans="1:2">
      <c r="A769" s="24" t="s">
        <v>814</v>
      </c>
      <c r="B769" s="24" t="s">
        <v>8990</v>
      </c>
    </row>
    <row r="770" spans="1:2">
      <c r="A770" s="23" t="s">
        <v>815</v>
      </c>
      <c r="B770" s="24" t="s">
        <v>8991</v>
      </c>
    </row>
    <row r="771" spans="1:2">
      <c r="A771" s="24" t="s">
        <v>816</v>
      </c>
      <c r="B771" s="24" t="s">
        <v>8992</v>
      </c>
    </row>
    <row r="772" spans="1:2">
      <c r="A772" s="23" t="s">
        <v>817</v>
      </c>
      <c r="B772" s="24" t="s">
        <v>8993</v>
      </c>
    </row>
    <row r="773" spans="1:2">
      <c r="A773" s="24" t="s">
        <v>818</v>
      </c>
      <c r="B773" s="24" t="s">
        <v>8994</v>
      </c>
    </row>
    <row r="774" spans="1:2">
      <c r="A774" s="23" t="s">
        <v>819</v>
      </c>
      <c r="B774" s="24" t="s">
        <v>8995</v>
      </c>
    </row>
    <row r="775" spans="1:2">
      <c r="A775" s="24" t="s">
        <v>820</v>
      </c>
      <c r="B775" s="24" t="s">
        <v>8996</v>
      </c>
    </row>
    <row r="776" spans="1:2">
      <c r="A776" s="23" t="s">
        <v>821</v>
      </c>
      <c r="B776" s="24" t="s">
        <v>8997</v>
      </c>
    </row>
    <row r="777" spans="1:2">
      <c r="A777" s="24" t="s">
        <v>822</v>
      </c>
      <c r="B777" s="24" t="s">
        <v>8998</v>
      </c>
    </row>
    <row r="778" spans="1:2">
      <c r="A778" s="23" t="s">
        <v>823</v>
      </c>
      <c r="B778" s="24" t="s">
        <v>8999</v>
      </c>
    </row>
    <row r="779" spans="1:2">
      <c r="A779" s="24" t="s">
        <v>824</v>
      </c>
      <c r="B779" s="24" t="s">
        <v>9000</v>
      </c>
    </row>
    <row r="780" spans="1:2">
      <c r="A780" s="23" t="s">
        <v>825</v>
      </c>
      <c r="B780" s="24" t="s">
        <v>9001</v>
      </c>
    </row>
    <row r="781" spans="1:2">
      <c r="A781" s="24" t="s">
        <v>826</v>
      </c>
      <c r="B781" s="24" t="s">
        <v>9002</v>
      </c>
    </row>
    <row r="782" spans="1:2">
      <c r="A782" s="23" t="s">
        <v>827</v>
      </c>
      <c r="B782" s="24" t="s">
        <v>9003</v>
      </c>
    </row>
    <row r="783" spans="1:2">
      <c r="A783" s="24" t="s">
        <v>828</v>
      </c>
      <c r="B783" s="24" t="s">
        <v>9004</v>
      </c>
    </row>
    <row r="784" spans="1:2">
      <c r="A784" s="23" t="s">
        <v>829</v>
      </c>
      <c r="B784" s="24" t="s">
        <v>9005</v>
      </c>
    </row>
    <row r="785" spans="1:2">
      <c r="A785" s="24" t="s">
        <v>830</v>
      </c>
      <c r="B785" s="24" t="s">
        <v>9006</v>
      </c>
    </row>
    <row r="786" spans="1:2">
      <c r="A786" s="23" t="s">
        <v>831</v>
      </c>
      <c r="B786" s="24" t="s">
        <v>9007</v>
      </c>
    </row>
    <row r="787" spans="1:2">
      <c r="A787" s="24" t="s">
        <v>832</v>
      </c>
      <c r="B787" s="24" t="s">
        <v>9008</v>
      </c>
    </row>
    <row r="788" spans="1:2">
      <c r="A788" s="23" t="s">
        <v>833</v>
      </c>
      <c r="B788" s="24" t="s">
        <v>9009</v>
      </c>
    </row>
    <row r="789" spans="1:2">
      <c r="A789" s="26" t="s">
        <v>834</v>
      </c>
      <c r="B789" s="26" t="s">
        <v>9010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A29C-250B-4CAF-9FC4-39490EB3CCC9}">
  <dimension ref="A1:C7162"/>
  <sheetViews>
    <sheetView workbookViewId="0">
      <selection activeCell="D1" sqref="D1"/>
    </sheetView>
  </sheetViews>
  <sheetFormatPr defaultRowHeight="14.6"/>
  <cols>
    <col min="1" max="1" width="50.765625" bestFit="1" customWidth="1"/>
    <col min="2" max="2" width="8.15234375" bestFit="1" customWidth="1"/>
    <col min="3" max="3" width="74.15234375" bestFit="1" customWidth="1"/>
  </cols>
  <sheetData>
    <row r="1" spans="1:3">
      <c r="A1" s="1" t="s">
        <v>0</v>
      </c>
      <c r="B1" t="s">
        <v>8231</v>
      </c>
      <c r="C1" t="s">
        <v>8230</v>
      </c>
    </row>
    <row r="2" spans="1:3">
      <c r="A2" t="s">
        <v>531</v>
      </c>
      <c r="B2" t="s">
        <v>1075</v>
      </c>
      <c r="C2" t="s">
        <v>8229</v>
      </c>
    </row>
    <row r="3" spans="1:3">
      <c r="A3" t="s">
        <v>531</v>
      </c>
      <c r="B3" t="s">
        <v>1075</v>
      </c>
      <c r="C3" t="s">
        <v>8228</v>
      </c>
    </row>
    <row r="4" spans="1:3">
      <c r="A4" t="s">
        <v>531</v>
      </c>
      <c r="B4" t="s">
        <v>1075</v>
      </c>
      <c r="C4" t="s">
        <v>8227</v>
      </c>
    </row>
    <row r="5" spans="1:3">
      <c r="A5" t="s">
        <v>531</v>
      </c>
      <c r="B5" t="s">
        <v>1075</v>
      </c>
      <c r="C5" t="s">
        <v>8226</v>
      </c>
    </row>
    <row r="6" spans="1:3">
      <c r="A6" t="s">
        <v>531</v>
      </c>
      <c r="B6" t="s">
        <v>1075</v>
      </c>
      <c r="C6" t="s">
        <v>8225</v>
      </c>
    </row>
    <row r="7" spans="1:3">
      <c r="A7" t="s">
        <v>531</v>
      </c>
      <c r="B7" t="s">
        <v>1075</v>
      </c>
      <c r="C7" t="s">
        <v>8224</v>
      </c>
    </row>
    <row r="8" spans="1:3">
      <c r="A8" t="s">
        <v>531</v>
      </c>
      <c r="B8" t="s">
        <v>1075</v>
      </c>
      <c r="C8" t="s">
        <v>8223</v>
      </c>
    </row>
    <row r="9" spans="1:3">
      <c r="A9" t="s">
        <v>531</v>
      </c>
      <c r="B9" t="s">
        <v>1075</v>
      </c>
      <c r="C9" t="s">
        <v>8222</v>
      </c>
    </row>
    <row r="10" spans="1:3">
      <c r="A10" t="s">
        <v>531</v>
      </c>
      <c r="B10" t="s">
        <v>1075</v>
      </c>
      <c r="C10" t="s">
        <v>8221</v>
      </c>
    </row>
    <row r="11" spans="1:3">
      <c r="A11" t="s">
        <v>531</v>
      </c>
      <c r="B11" t="s">
        <v>1075</v>
      </c>
      <c r="C11" t="s">
        <v>8220</v>
      </c>
    </row>
    <row r="12" spans="1:3">
      <c r="A12" t="s">
        <v>531</v>
      </c>
      <c r="B12" t="s">
        <v>1075</v>
      </c>
      <c r="C12" t="s">
        <v>8219</v>
      </c>
    </row>
    <row r="13" spans="1:3">
      <c r="A13" t="s">
        <v>531</v>
      </c>
      <c r="B13" t="s">
        <v>1075</v>
      </c>
      <c r="C13" t="s">
        <v>8218</v>
      </c>
    </row>
    <row r="14" spans="1:3">
      <c r="A14" t="s">
        <v>531</v>
      </c>
      <c r="B14" t="s">
        <v>1075</v>
      </c>
      <c r="C14" t="s">
        <v>8217</v>
      </c>
    </row>
    <row r="15" spans="1:3">
      <c r="A15" t="s">
        <v>531</v>
      </c>
      <c r="B15" t="s">
        <v>1075</v>
      </c>
      <c r="C15" t="s">
        <v>8216</v>
      </c>
    </row>
    <row r="16" spans="1:3">
      <c r="A16" t="s">
        <v>531</v>
      </c>
      <c r="B16" t="s">
        <v>1075</v>
      </c>
      <c r="C16" t="s">
        <v>8215</v>
      </c>
    </row>
    <row r="17" spans="1:3">
      <c r="A17" t="s">
        <v>531</v>
      </c>
      <c r="B17" t="s">
        <v>1075</v>
      </c>
      <c r="C17" t="s">
        <v>8214</v>
      </c>
    </row>
    <row r="18" spans="1:3">
      <c r="A18" t="s">
        <v>531</v>
      </c>
      <c r="B18" t="s">
        <v>1075</v>
      </c>
      <c r="C18" t="s">
        <v>8213</v>
      </c>
    </row>
    <row r="19" spans="1:3">
      <c r="A19" t="s">
        <v>531</v>
      </c>
      <c r="B19" t="s">
        <v>1075</v>
      </c>
      <c r="C19" t="s">
        <v>8212</v>
      </c>
    </row>
    <row r="20" spans="1:3">
      <c r="A20" t="s">
        <v>531</v>
      </c>
      <c r="B20" t="s">
        <v>1075</v>
      </c>
      <c r="C20" t="s">
        <v>8211</v>
      </c>
    </row>
    <row r="21" spans="1:3">
      <c r="A21" t="s">
        <v>531</v>
      </c>
      <c r="B21" t="s">
        <v>1070</v>
      </c>
      <c r="C21" t="s">
        <v>8210</v>
      </c>
    </row>
    <row r="22" spans="1:3">
      <c r="A22" t="s">
        <v>531</v>
      </c>
      <c r="B22" t="s">
        <v>1070</v>
      </c>
      <c r="C22" t="s">
        <v>8209</v>
      </c>
    </row>
    <row r="23" spans="1:3">
      <c r="A23" t="s">
        <v>531</v>
      </c>
      <c r="B23" t="s">
        <v>1070</v>
      </c>
      <c r="C23" t="s">
        <v>8208</v>
      </c>
    </row>
    <row r="24" spans="1:3">
      <c r="A24" t="s">
        <v>531</v>
      </c>
      <c r="B24" t="s">
        <v>1070</v>
      </c>
      <c r="C24" t="s">
        <v>8207</v>
      </c>
    </row>
    <row r="25" spans="1:3">
      <c r="A25" t="s">
        <v>531</v>
      </c>
      <c r="B25" t="s">
        <v>1070</v>
      </c>
      <c r="C25" t="s">
        <v>8206</v>
      </c>
    </row>
    <row r="26" spans="1:3">
      <c r="A26" t="s">
        <v>300</v>
      </c>
      <c r="B26" t="s">
        <v>1075</v>
      </c>
      <c r="C26" t="s">
        <v>7763</v>
      </c>
    </row>
    <row r="27" spans="1:3">
      <c r="A27" t="s">
        <v>300</v>
      </c>
      <c r="B27" t="s">
        <v>1075</v>
      </c>
      <c r="C27" t="s">
        <v>7762</v>
      </c>
    </row>
    <row r="28" spans="1:3">
      <c r="A28" t="s">
        <v>266</v>
      </c>
      <c r="B28" t="s">
        <v>1075</v>
      </c>
      <c r="C28" t="s">
        <v>7761</v>
      </c>
    </row>
    <row r="29" spans="1:3">
      <c r="A29" t="s">
        <v>266</v>
      </c>
      <c r="B29" t="s">
        <v>1075</v>
      </c>
      <c r="C29" t="s">
        <v>7760</v>
      </c>
    </row>
    <row r="30" spans="1:3">
      <c r="A30" t="s">
        <v>291</v>
      </c>
      <c r="B30" t="s">
        <v>1075</v>
      </c>
      <c r="C30" t="s">
        <v>7759</v>
      </c>
    </row>
    <row r="31" spans="1:3">
      <c r="A31" t="s">
        <v>291</v>
      </c>
      <c r="B31" t="s">
        <v>1075</v>
      </c>
      <c r="C31" t="s">
        <v>7758</v>
      </c>
    </row>
    <row r="32" spans="1:3">
      <c r="A32" t="s">
        <v>247</v>
      </c>
      <c r="B32" t="s">
        <v>1075</v>
      </c>
      <c r="C32" t="s">
        <v>7757</v>
      </c>
    </row>
    <row r="33" spans="1:3">
      <c r="A33" t="s">
        <v>247</v>
      </c>
      <c r="B33" t="s">
        <v>1075</v>
      </c>
      <c r="C33" t="s">
        <v>7756</v>
      </c>
    </row>
    <row r="34" spans="1:3">
      <c r="A34" t="s">
        <v>230</v>
      </c>
      <c r="B34" t="s">
        <v>1075</v>
      </c>
      <c r="C34" t="s">
        <v>7755</v>
      </c>
    </row>
    <row r="35" spans="1:3">
      <c r="A35" t="s">
        <v>230</v>
      </c>
      <c r="B35" t="s">
        <v>1075</v>
      </c>
      <c r="C35" t="s">
        <v>7754</v>
      </c>
    </row>
    <row r="36" spans="1:3">
      <c r="A36" t="s">
        <v>297</v>
      </c>
      <c r="B36" t="s">
        <v>1075</v>
      </c>
      <c r="C36" t="s">
        <v>7753</v>
      </c>
    </row>
    <row r="37" spans="1:3">
      <c r="A37" t="s">
        <v>297</v>
      </c>
      <c r="B37" t="s">
        <v>1075</v>
      </c>
      <c r="C37" t="s">
        <v>7752</v>
      </c>
    </row>
    <row r="38" spans="1:3">
      <c r="A38" t="s">
        <v>298</v>
      </c>
      <c r="B38" t="s">
        <v>1075</v>
      </c>
      <c r="C38" t="s">
        <v>7751</v>
      </c>
    </row>
    <row r="39" spans="1:3">
      <c r="A39" t="s">
        <v>298</v>
      </c>
      <c r="B39" t="s">
        <v>1075</v>
      </c>
      <c r="C39" t="s">
        <v>7750</v>
      </c>
    </row>
    <row r="40" spans="1:3">
      <c r="A40" t="s">
        <v>244</v>
      </c>
      <c r="B40" t="s">
        <v>1075</v>
      </c>
      <c r="C40" t="s">
        <v>7749</v>
      </c>
    </row>
    <row r="41" spans="1:3">
      <c r="A41" t="s">
        <v>244</v>
      </c>
      <c r="B41" t="s">
        <v>1075</v>
      </c>
      <c r="C41" t="s">
        <v>7748</v>
      </c>
    </row>
    <row r="42" spans="1:3">
      <c r="A42" t="s">
        <v>232</v>
      </c>
      <c r="B42" t="s">
        <v>1075</v>
      </c>
      <c r="C42" t="s">
        <v>7747</v>
      </c>
    </row>
    <row r="43" spans="1:3">
      <c r="A43" t="s">
        <v>232</v>
      </c>
      <c r="B43" t="s">
        <v>1075</v>
      </c>
      <c r="C43" t="s">
        <v>7746</v>
      </c>
    </row>
    <row r="44" spans="1:3">
      <c r="A44" t="s">
        <v>274</v>
      </c>
      <c r="B44" t="s">
        <v>1075</v>
      </c>
      <c r="C44" t="s">
        <v>7745</v>
      </c>
    </row>
    <row r="45" spans="1:3">
      <c r="A45" t="s">
        <v>274</v>
      </c>
      <c r="B45" t="s">
        <v>1075</v>
      </c>
      <c r="C45" t="s">
        <v>7744</v>
      </c>
    </row>
    <row r="46" spans="1:3">
      <c r="A46" t="s">
        <v>201</v>
      </c>
      <c r="B46" t="s">
        <v>1075</v>
      </c>
      <c r="C46" t="s">
        <v>7743</v>
      </c>
    </row>
    <row r="47" spans="1:3">
      <c r="A47" t="s">
        <v>201</v>
      </c>
      <c r="B47" t="s">
        <v>1075</v>
      </c>
      <c r="C47" t="s">
        <v>7742</v>
      </c>
    </row>
    <row r="48" spans="1:3">
      <c r="A48" t="s">
        <v>321</v>
      </c>
      <c r="B48" t="s">
        <v>1075</v>
      </c>
      <c r="C48" t="s">
        <v>7741</v>
      </c>
    </row>
    <row r="49" spans="1:3">
      <c r="A49" t="s">
        <v>321</v>
      </c>
      <c r="B49" t="s">
        <v>1075</v>
      </c>
      <c r="C49" t="s">
        <v>7740</v>
      </c>
    </row>
    <row r="50" spans="1:3">
      <c r="A50" t="s">
        <v>280</v>
      </c>
      <c r="B50" t="s">
        <v>1075</v>
      </c>
      <c r="C50" t="s">
        <v>7739</v>
      </c>
    </row>
    <row r="51" spans="1:3">
      <c r="A51" t="s">
        <v>280</v>
      </c>
      <c r="B51" t="s">
        <v>1075</v>
      </c>
      <c r="C51" t="s">
        <v>7738</v>
      </c>
    </row>
    <row r="52" spans="1:3">
      <c r="A52" t="s">
        <v>319</v>
      </c>
      <c r="B52" t="s">
        <v>1070</v>
      </c>
      <c r="C52" t="s">
        <v>7732</v>
      </c>
    </row>
    <row r="53" spans="1:3">
      <c r="A53" t="s">
        <v>319</v>
      </c>
      <c r="B53" t="s">
        <v>1070</v>
      </c>
      <c r="C53" t="s">
        <v>7731</v>
      </c>
    </row>
    <row r="54" spans="1:3">
      <c r="A54" t="s">
        <v>319</v>
      </c>
      <c r="B54" t="s">
        <v>1075</v>
      </c>
      <c r="C54" t="s">
        <v>7737</v>
      </c>
    </row>
    <row r="55" spans="1:3">
      <c r="A55" t="s">
        <v>319</v>
      </c>
      <c r="B55" t="s">
        <v>1075</v>
      </c>
      <c r="C55" t="s">
        <v>7736</v>
      </c>
    </row>
    <row r="56" spans="1:3">
      <c r="A56" t="s">
        <v>319</v>
      </c>
      <c r="B56" t="s">
        <v>1075</v>
      </c>
      <c r="C56" t="s">
        <v>7735</v>
      </c>
    </row>
    <row r="57" spans="1:3">
      <c r="A57" t="s">
        <v>319</v>
      </c>
      <c r="B57" t="s">
        <v>1075</v>
      </c>
      <c r="C57" t="s">
        <v>7734</v>
      </c>
    </row>
    <row r="58" spans="1:3">
      <c r="A58" t="s">
        <v>319</v>
      </c>
      <c r="B58" t="s">
        <v>1075</v>
      </c>
      <c r="C58" t="s">
        <v>7733</v>
      </c>
    </row>
    <row r="59" spans="1:3">
      <c r="A59" t="s">
        <v>235</v>
      </c>
      <c r="B59" t="s">
        <v>1075</v>
      </c>
      <c r="C59" t="s">
        <v>7726</v>
      </c>
    </row>
    <row r="60" spans="1:3">
      <c r="A60" t="s">
        <v>235</v>
      </c>
      <c r="B60" t="s">
        <v>1075</v>
      </c>
      <c r="C60" t="s">
        <v>7725</v>
      </c>
    </row>
    <row r="61" spans="1:3">
      <c r="A61" t="s">
        <v>264</v>
      </c>
      <c r="B61" t="s">
        <v>1070</v>
      </c>
      <c r="C61" t="s">
        <v>7727</v>
      </c>
    </row>
    <row r="62" spans="1:3">
      <c r="A62" t="s">
        <v>264</v>
      </c>
      <c r="B62" t="s">
        <v>1075</v>
      </c>
      <c r="C62" t="s">
        <v>7730</v>
      </c>
    </row>
    <row r="63" spans="1:3">
      <c r="A63" t="s">
        <v>264</v>
      </c>
      <c r="B63" t="s">
        <v>1075</v>
      </c>
      <c r="C63" t="s">
        <v>7729</v>
      </c>
    </row>
    <row r="64" spans="1:3">
      <c r="A64" t="s">
        <v>264</v>
      </c>
      <c r="B64" t="s">
        <v>1075</v>
      </c>
      <c r="C64" t="s">
        <v>7728</v>
      </c>
    </row>
    <row r="65" spans="1:3">
      <c r="A65" t="s">
        <v>270</v>
      </c>
      <c r="B65" t="s">
        <v>1075</v>
      </c>
      <c r="C65" t="s">
        <v>7724</v>
      </c>
    </row>
    <row r="66" spans="1:3">
      <c r="A66" t="s">
        <v>270</v>
      </c>
      <c r="B66" t="s">
        <v>1075</v>
      </c>
      <c r="C66" t="s">
        <v>7723</v>
      </c>
    </row>
    <row r="67" spans="1:3">
      <c r="A67" t="s">
        <v>282</v>
      </c>
      <c r="B67" t="s">
        <v>1075</v>
      </c>
      <c r="C67" t="s">
        <v>7722</v>
      </c>
    </row>
    <row r="68" spans="1:3">
      <c r="A68" t="s">
        <v>282</v>
      </c>
      <c r="B68" t="s">
        <v>1075</v>
      </c>
      <c r="C68" t="s">
        <v>7721</v>
      </c>
    </row>
    <row r="69" spans="1:3">
      <c r="A69" t="s">
        <v>211</v>
      </c>
      <c r="B69" t="s">
        <v>1075</v>
      </c>
      <c r="C69" t="s">
        <v>7720</v>
      </c>
    </row>
    <row r="70" spans="1:3">
      <c r="A70" t="s">
        <v>211</v>
      </c>
      <c r="B70" t="s">
        <v>1075</v>
      </c>
      <c r="C70" t="s">
        <v>7719</v>
      </c>
    </row>
    <row r="71" spans="1:3">
      <c r="A71" t="s">
        <v>306</v>
      </c>
      <c r="B71" t="s">
        <v>1070</v>
      </c>
      <c r="C71" t="s">
        <v>7715</v>
      </c>
    </row>
    <row r="72" spans="1:3">
      <c r="A72" t="s">
        <v>306</v>
      </c>
      <c r="B72" t="s">
        <v>1070</v>
      </c>
      <c r="C72" t="s">
        <v>7714</v>
      </c>
    </row>
    <row r="73" spans="1:3">
      <c r="A73" t="s">
        <v>306</v>
      </c>
      <c r="B73" t="s">
        <v>1070</v>
      </c>
      <c r="C73" t="s">
        <v>7713</v>
      </c>
    </row>
    <row r="74" spans="1:3">
      <c r="A74" t="s">
        <v>306</v>
      </c>
      <c r="B74" t="s">
        <v>1075</v>
      </c>
      <c r="C74" t="s">
        <v>7718</v>
      </c>
    </row>
    <row r="75" spans="1:3">
      <c r="A75" t="s">
        <v>306</v>
      </c>
      <c r="B75" t="s">
        <v>1075</v>
      </c>
      <c r="C75" t="s">
        <v>7717</v>
      </c>
    </row>
    <row r="76" spans="1:3">
      <c r="A76" t="s">
        <v>306</v>
      </c>
      <c r="B76" t="s">
        <v>1075</v>
      </c>
      <c r="C76" t="s">
        <v>7716</v>
      </c>
    </row>
    <row r="77" spans="1:3">
      <c r="A77" t="s">
        <v>225</v>
      </c>
      <c r="B77" t="s">
        <v>1075</v>
      </c>
      <c r="C77" t="s">
        <v>7712</v>
      </c>
    </row>
    <row r="78" spans="1:3">
      <c r="A78" t="s">
        <v>225</v>
      </c>
      <c r="B78" t="s">
        <v>1075</v>
      </c>
      <c r="C78" t="s">
        <v>7711</v>
      </c>
    </row>
    <row r="79" spans="1:3">
      <c r="A79" t="s">
        <v>248</v>
      </c>
      <c r="B79" t="s">
        <v>1075</v>
      </c>
      <c r="C79" t="s">
        <v>7710</v>
      </c>
    </row>
    <row r="80" spans="1:3">
      <c r="A80" t="s">
        <v>248</v>
      </c>
      <c r="B80" t="s">
        <v>1075</v>
      </c>
      <c r="C80" t="s">
        <v>7709</v>
      </c>
    </row>
    <row r="81" spans="1:3">
      <c r="A81" t="s">
        <v>216</v>
      </c>
      <c r="B81" t="s">
        <v>1070</v>
      </c>
      <c r="C81" t="s">
        <v>7705</v>
      </c>
    </row>
    <row r="82" spans="1:3">
      <c r="A82" t="s">
        <v>216</v>
      </c>
      <c r="B82" t="s">
        <v>1075</v>
      </c>
      <c r="C82" t="s">
        <v>7708</v>
      </c>
    </row>
    <row r="83" spans="1:3">
      <c r="A83" t="s">
        <v>216</v>
      </c>
      <c r="B83" t="s">
        <v>1075</v>
      </c>
      <c r="C83" t="s">
        <v>7707</v>
      </c>
    </row>
    <row r="84" spans="1:3">
      <c r="A84" t="s">
        <v>216</v>
      </c>
      <c r="B84" t="s">
        <v>1075</v>
      </c>
      <c r="C84" t="s">
        <v>7706</v>
      </c>
    </row>
    <row r="85" spans="1:3">
      <c r="A85" t="s">
        <v>222</v>
      </c>
      <c r="B85" t="s">
        <v>1070</v>
      </c>
      <c r="C85" t="s">
        <v>7701</v>
      </c>
    </row>
    <row r="86" spans="1:3">
      <c r="A86" t="s">
        <v>222</v>
      </c>
      <c r="B86" t="s">
        <v>1075</v>
      </c>
      <c r="C86" t="s">
        <v>7704</v>
      </c>
    </row>
    <row r="87" spans="1:3">
      <c r="A87" t="s">
        <v>222</v>
      </c>
      <c r="B87" t="s">
        <v>1075</v>
      </c>
      <c r="C87" t="s">
        <v>7703</v>
      </c>
    </row>
    <row r="88" spans="1:3">
      <c r="A88" t="s">
        <v>222</v>
      </c>
      <c r="B88" t="s">
        <v>1075</v>
      </c>
      <c r="C88" t="s">
        <v>7702</v>
      </c>
    </row>
    <row r="89" spans="1:3">
      <c r="A89" t="s">
        <v>292</v>
      </c>
      <c r="B89" t="s">
        <v>1075</v>
      </c>
      <c r="C89" t="s">
        <v>7700</v>
      </c>
    </row>
    <row r="90" spans="1:3">
      <c r="A90" t="s">
        <v>292</v>
      </c>
      <c r="B90" t="s">
        <v>1075</v>
      </c>
      <c r="C90" t="s">
        <v>7699</v>
      </c>
    </row>
    <row r="91" spans="1:3">
      <c r="A91" t="s">
        <v>268</v>
      </c>
      <c r="B91" t="s">
        <v>1075</v>
      </c>
      <c r="C91" t="s">
        <v>7696</v>
      </c>
    </row>
    <row r="92" spans="1:3">
      <c r="A92" t="s">
        <v>268</v>
      </c>
      <c r="B92" t="s">
        <v>1075</v>
      </c>
      <c r="C92" t="s">
        <v>7695</v>
      </c>
    </row>
    <row r="93" spans="1:3">
      <c r="A93" t="s">
        <v>205</v>
      </c>
      <c r="B93" t="s">
        <v>1075</v>
      </c>
      <c r="C93" t="s">
        <v>7698</v>
      </c>
    </row>
    <row r="94" spans="1:3">
      <c r="A94" t="s">
        <v>205</v>
      </c>
      <c r="B94" t="s">
        <v>1075</v>
      </c>
      <c r="C94" t="s">
        <v>7697</v>
      </c>
    </row>
    <row r="95" spans="1:3">
      <c r="A95" t="s">
        <v>295</v>
      </c>
      <c r="B95" t="s">
        <v>1075</v>
      </c>
      <c r="C95" t="s">
        <v>7694</v>
      </c>
    </row>
    <row r="96" spans="1:3">
      <c r="A96" t="s">
        <v>295</v>
      </c>
      <c r="B96" t="s">
        <v>1075</v>
      </c>
      <c r="C96" t="s">
        <v>7693</v>
      </c>
    </row>
    <row r="97" spans="1:3">
      <c r="A97" t="s">
        <v>223</v>
      </c>
      <c r="B97" t="s">
        <v>1075</v>
      </c>
      <c r="C97" t="s">
        <v>7692</v>
      </c>
    </row>
    <row r="98" spans="1:3">
      <c r="A98" t="s">
        <v>223</v>
      </c>
      <c r="B98" t="s">
        <v>1075</v>
      </c>
      <c r="C98" t="s">
        <v>7691</v>
      </c>
    </row>
    <row r="99" spans="1:3">
      <c r="A99" t="s">
        <v>259</v>
      </c>
      <c r="B99" t="s">
        <v>1070</v>
      </c>
      <c r="C99" t="s">
        <v>7687</v>
      </c>
    </row>
    <row r="100" spans="1:3">
      <c r="A100" t="s">
        <v>259</v>
      </c>
      <c r="B100" t="s">
        <v>1070</v>
      </c>
      <c r="C100" t="s">
        <v>7686</v>
      </c>
    </row>
    <row r="101" spans="1:3">
      <c r="A101" t="s">
        <v>259</v>
      </c>
      <c r="B101" t="s">
        <v>1070</v>
      </c>
      <c r="C101" t="s">
        <v>7685</v>
      </c>
    </row>
    <row r="102" spans="1:3">
      <c r="A102" t="s">
        <v>259</v>
      </c>
      <c r="B102" t="s">
        <v>1070</v>
      </c>
      <c r="C102" t="s">
        <v>7684</v>
      </c>
    </row>
    <row r="103" spans="1:3">
      <c r="A103" t="s">
        <v>259</v>
      </c>
      <c r="B103" t="s">
        <v>1075</v>
      </c>
      <c r="C103" t="s">
        <v>7690</v>
      </c>
    </row>
    <row r="104" spans="1:3">
      <c r="A104" t="s">
        <v>259</v>
      </c>
      <c r="B104" t="s">
        <v>1075</v>
      </c>
      <c r="C104" t="s">
        <v>7689</v>
      </c>
    </row>
    <row r="105" spans="1:3">
      <c r="A105" t="s">
        <v>259</v>
      </c>
      <c r="B105" t="s">
        <v>1075</v>
      </c>
      <c r="C105" t="s">
        <v>7688</v>
      </c>
    </row>
    <row r="106" spans="1:3">
      <c r="A106" t="s">
        <v>238</v>
      </c>
      <c r="B106" t="s">
        <v>1075</v>
      </c>
      <c r="C106" t="s">
        <v>7683</v>
      </c>
    </row>
    <row r="107" spans="1:3">
      <c r="A107" t="s">
        <v>238</v>
      </c>
      <c r="B107" t="s">
        <v>1075</v>
      </c>
      <c r="C107" t="s">
        <v>7682</v>
      </c>
    </row>
    <row r="108" spans="1:3">
      <c r="A108" t="s">
        <v>212</v>
      </c>
      <c r="B108" t="s">
        <v>1075</v>
      </c>
      <c r="C108" t="s">
        <v>7681</v>
      </c>
    </row>
    <row r="109" spans="1:3">
      <c r="A109" t="s">
        <v>212</v>
      </c>
      <c r="B109" t="s">
        <v>1075</v>
      </c>
      <c r="C109" t="s">
        <v>7680</v>
      </c>
    </row>
    <row r="110" spans="1:3">
      <c r="A110" t="s">
        <v>209</v>
      </c>
      <c r="B110" t="s">
        <v>1075</v>
      </c>
      <c r="C110" t="s">
        <v>7679</v>
      </c>
    </row>
    <row r="111" spans="1:3">
      <c r="A111" t="s">
        <v>209</v>
      </c>
      <c r="B111" t="s">
        <v>1075</v>
      </c>
      <c r="C111" t="s">
        <v>7678</v>
      </c>
    </row>
    <row r="112" spans="1:3">
      <c r="A112" t="s">
        <v>288</v>
      </c>
      <c r="B112" t="s">
        <v>1075</v>
      </c>
      <c r="C112" t="s">
        <v>7677</v>
      </c>
    </row>
    <row r="113" spans="1:3">
      <c r="A113" t="s">
        <v>288</v>
      </c>
      <c r="B113" t="s">
        <v>1075</v>
      </c>
      <c r="C113" t="s">
        <v>7676</v>
      </c>
    </row>
    <row r="114" spans="1:3">
      <c r="A114" t="s">
        <v>213</v>
      </c>
      <c r="B114" t="s">
        <v>1070</v>
      </c>
      <c r="C114" t="s">
        <v>7670</v>
      </c>
    </row>
    <row r="115" spans="1:3">
      <c r="A115" t="s">
        <v>213</v>
      </c>
      <c r="B115" t="s">
        <v>1070</v>
      </c>
      <c r="C115" t="s">
        <v>7669</v>
      </c>
    </row>
    <row r="116" spans="1:3">
      <c r="A116" t="s">
        <v>213</v>
      </c>
      <c r="B116" t="s">
        <v>1075</v>
      </c>
      <c r="C116" t="s">
        <v>7675</v>
      </c>
    </row>
    <row r="117" spans="1:3">
      <c r="A117" t="s">
        <v>213</v>
      </c>
      <c r="B117" t="s">
        <v>1075</v>
      </c>
      <c r="C117" t="s">
        <v>7674</v>
      </c>
    </row>
    <row r="118" spans="1:3">
      <c r="A118" t="s">
        <v>213</v>
      </c>
      <c r="B118" t="s">
        <v>1075</v>
      </c>
      <c r="C118" t="s">
        <v>7673</v>
      </c>
    </row>
    <row r="119" spans="1:3">
      <c r="A119" t="s">
        <v>213</v>
      </c>
      <c r="B119" t="s">
        <v>1075</v>
      </c>
      <c r="C119" t="s">
        <v>7672</v>
      </c>
    </row>
    <row r="120" spans="1:3">
      <c r="A120" t="s">
        <v>213</v>
      </c>
      <c r="B120" t="s">
        <v>1075</v>
      </c>
      <c r="C120" t="s">
        <v>7671</v>
      </c>
    </row>
    <row r="121" spans="1:3">
      <c r="A121" t="s">
        <v>293</v>
      </c>
      <c r="B121" t="s">
        <v>1075</v>
      </c>
      <c r="C121" t="s">
        <v>7668</v>
      </c>
    </row>
    <row r="122" spans="1:3">
      <c r="A122" t="s">
        <v>293</v>
      </c>
      <c r="B122" t="s">
        <v>1075</v>
      </c>
      <c r="C122" t="s">
        <v>7667</v>
      </c>
    </row>
    <row r="123" spans="1:3">
      <c r="A123" t="s">
        <v>279</v>
      </c>
      <c r="B123" t="s">
        <v>1075</v>
      </c>
      <c r="C123" t="s">
        <v>7666</v>
      </c>
    </row>
    <row r="124" spans="1:3">
      <c r="A124" t="s">
        <v>279</v>
      </c>
      <c r="B124" t="s">
        <v>1075</v>
      </c>
      <c r="C124" t="s">
        <v>7665</v>
      </c>
    </row>
    <row r="125" spans="1:3">
      <c r="A125" t="s">
        <v>239</v>
      </c>
      <c r="B125" t="s">
        <v>1075</v>
      </c>
      <c r="C125" t="s">
        <v>7664</v>
      </c>
    </row>
    <row r="126" spans="1:3">
      <c r="A126" t="s">
        <v>239</v>
      </c>
      <c r="B126" t="s">
        <v>1075</v>
      </c>
      <c r="C126" t="s">
        <v>7663</v>
      </c>
    </row>
    <row r="127" spans="1:3">
      <c r="A127" t="s">
        <v>253</v>
      </c>
      <c r="B127" t="s">
        <v>1075</v>
      </c>
      <c r="C127" t="s">
        <v>7662</v>
      </c>
    </row>
    <row r="128" spans="1:3">
      <c r="A128" t="s">
        <v>253</v>
      </c>
      <c r="B128" t="s">
        <v>1075</v>
      </c>
      <c r="C128" t="s">
        <v>7661</v>
      </c>
    </row>
    <row r="129" spans="1:3">
      <c r="A129" t="s">
        <v>256</v>
      </c>
      <c r="B129" t="s">
        <v>1075</v>
      </c>
      <c r="C129" t="s">
        <v>7660</v>
      </c>
    </row>
    <row r="130" spans="1:3">
      <c r="A130" t="s">
        <v>256</v>
      </c>
      <c r="B130" t="s">
        <v>1075</v>
      </c>
      <c r="C130" t="s">
        <v>7659</v>
      </c>
    </row>
    <row r="131" spans="1:3">
      <c r="A131" t="s">
        <v>236</v>
      </c>
      <c r="B131" t="s">
        <v>1075</v>
      </c>
      <c r="C131" t="s">
        <v>7658</v>
      </c>
    </row>
    <row r="132" spans="1:3">
      <c r="A132" t="s">
        <v>236</v>
      </c>
      <c r="B132" t="s">
        <v>1075</v>
      </c>
      <c r="C132" t="s">
        <v>7657</v>
      </c>
    </row>
    <row r="133" spans="1:3">
      <c r="A133" t="s">
        <v>219</v>
      </c>
      <c r="B133" t="s">
        <v>1075</v>
      </c>
      <c r="C133" t="s">
        <v>7656</v>
      </c>
    </row>
    <row r="134" spans="1:3">
      <c r="A134" t="s">
        <v>219</v>
      </c>
      <c r="B134" t="s">
        <v>1075</v>
      </c>
      <c r="C134" t="s">
        <v>7655</v>
      </c>
    </row>
    <row r="135" spans="1:3">
      <c r="A135" t="s">
        <v>226</v>
      </c>
      <c r="B135" t="s">
        <v>1075</v>
      </c>
      <c r="C135" t="s">
        <v>7654</v>
      </c>
    </row>
    <row r="136" spans="1:3">
      <c r="A136" t="s">
        <v>226</v>
      </c>
      <c r="B136" t="s">
        <v>1075</v>
      </c>
      <c r="C136" t="s">
        <v>7653</v>
      </c>
    </row>
    <row r="137" spans="1:3">
      <c r="A137" t="s">
        <v>316</v>
      </c>
      <c r="B137" t="s">
        <v>1075</v>
      </c>
      <c r="C137" t="s">
        <v>7652</v>
      </c>
    </row>
    <row r="138" spans="1:3">
      <c r="A138" t="s">
        <v>316</v>
      </c>
      <c r="B138" t="s">
        <v>1075</v>
      </c>
      <c r="C138" t="s">
        <v>7651</v>
      </c>
    </row>
    <row r="139" spans="1:3">
      <c r="A139" t="s">
        <v>233</v>
      </c>
      <c r="B139" t="s">
        <v>1075</v>
      </c>
      <c r="C139" t="s">
        <v>7650</v>
      </c>
    </row>
    <row r="140" spans="1:3">
      <c r="A140" t="s">
        <v>233</v>
      </c>
      <c r="B140" t="s">
        <v>1075</v>
      </c>
      <c r="C140" t="s">
        <v>7649</v>
      </c>
    </row>
    <row r="141" spans="1:3">
      <c r="A141" t="s">
        <v>302</v>
      </c>
      <c r="B141" t="s">
        <v>1075</v>
      </c>
      <c r="C141" t="s">
        <v>7648</v>
      </c>
    </row>
    <row r="142" spans="1:3">
      <c r="A142" t="s">
        <v>302</v>
      </c>
      <c r="B142" t="s">
        <v>1075</v>
      </c>
      <c r="C142" t="s">
        <v>7647</v>
      </c>
    </row>
    <row r="143" spans="1:3">
      <c r="A143" t="s">
        <v>220</v>
      </c>
      <c r="B143" t="s">
        <v>1075</v>
      </c>
      <c r="C143" t="s">
        <v>7646</v>
      </c>
    </row>
    <row r="144" spans="1:3">
      <c r="A144" t="s">
        <v>220</v>
      </c>
      <c r="B144" t="s">
        <v>1075</v>
      </c>
      <c r="C144" t="s">
        <v>7645</v>
      </c>
    </row>
    <row r="145" spans="1:3">
      <c r="A145" t="s">
        <v>242</v>
      </c>
      <c r="B145" t="s">
        <v>1075</v>
      </c>
      <c r="C145" t="s">
        <v>7644</v>
      </c>
    </row>
    <row r="146" spans="1:3">
      <c r="A146" t="s">
        <v>242</v>
      </c>
      <c r="B146" t="s">
        <v>1075</v>
      </c>
      <c r="C146" t="s">
        <v>7643</v>
      </c>
    </row>
    <row r="147" spans="1:3">
      <c r="A147" t="s">
        <v>286</v>
      </c>
      <c r="B147" t="s">
        <v>1075</v>
      </c>
      <c r="C147" t="s">
        <v>7642</v>
      </c>
    </row>
    <row r="148" spans="1:3">
      <c r="A148" t="s">
        <v>286</v>
      </c>
      <c r="B148" t="s">
        <v>1075</v>
      </c>
      <c r="C148" t="s">
        <v>7641</v>
      </c>
    </row>
    <row r="149" spans="1:3">
      <c r="A149" t="s">
        <v>314</v>
      </c>
      <c r="B149" t="s">
        <v>1075</v>
      </c>
      <c r="C149" t="s">
        <v>7640</v>
      </c>
    </row>
    <row r="150" spans="1:3">
      <c r="A150" t="s">
        <v>314</v>
      </c>
      <c r="B150" t="s">
        <v>1075</v>
      </c>
      <c r="C150" t="s">
        <v>7639</v>
      </c>
    </row>
    <row r="151" spans="1:3">
      <c r="A151" t="s">
        <v>217</v>
      </c>
      <c r="B151" t="s">
        <v>1075</v>
      </c>
      <c r="C151" t="s">
        <v>7638</v>
      </c>
    </row>
    <row r="152" spans="1:3">
      <c r="A152" t="s">
        <v>217</v>
      </c>
      <c r="B152" t="s">
        <v>1075</v>
      </c>
      <c r="C152" t="s">
        <v>7637</v>
      </c>
    </row>
    <row r="153" spans="1:3">
      <c r="A153" t="s">
        <v>254</v>
      </c>
      <c r="B153" t="s">
        <v>1075</v>
      </c>
      <c r="C153" t="s">
        <v>7636</v>
      </c>
    </row>
    <row r="154" spans="1:3">
      <c r="A154" t="s">
        <v>254</v>
      </c>
      <c r="B154" t="s">
        <v>1075</v>
      </c>
      <c r="C154" t="s">
        <v>7635</v>
      </c>
    </row>
    <row r="155" spans="1:3">
      <c r="A155" t="s">
        <v>199</v>
      </c>
      <c r="B155" t="s">
        <v>1070</v>
      </c>
      <c r="C155" t="s">
        <v>7631</v>
      </c>
    </row>
    <row r="156" spans="1:3">
      <c r="A156" t="s">
        <v>199</v>
      </c>
      <c r="B156" t="s">
        <v>1075</v>
      </c>
      <c r="C156" t="s">
        <v>7634</v>
      </c>
    </row>
    <row r="157" spans="1:3">
      <c r="A157" t="s">
        <v>199</v>
      </c>
      <c r="B157" t="s">
        <v>1075</v>
      </c>
      <c r="C157" t="s">
        <v>7633</v>
      </c>
    </row>
    <row r="158" spans="1:3">
      <c r="A158" t="s">
        <v>199</v>
      </c>
      <c r="B158" t="s">
        <v>1075</v>
      </c>
      <c r="C158" t="s">
        <v>7632</v>
      </c>
    </row>
    <row r="159" spans="1:3">
      <c r="A159" t="s">
        <v>196</v>
      </c>
      <c r="B159" t="s">
        <v>1075</v>
      </c>
      <c r="C159" t="s">
        <v>7630</v>
      </c>
    </row>
    <row r="160" spans="1:3">
      <c r="A160" t="s">
        <v>196</v>
      </c>
      <c r="B160" t="s">
        <v>1075</v>
      </c>
      <c r="C160" t="s">
        <v>7629</v>
      </c>
    </row>
    <row r="161" spans="1:3">
      <c r="A161" t="s">
        <v>257</v>
      </c>
      <c r="B161" t="s">
        <v>1075</v>
      </c>
      <c r="C161" t="s">
        <v>7628</v>
      </c>
    </row>
    <row r="162" spans="1:3">
      <c r="A162" t="s">
        <v>257</v>
      </c>
      <c r="B162" t="s">
        <v>1075</v>
      </c>
      <c r="C162" t="s">
        <v>7627</v>
      </c>
    </row>
    <row r="163" spans="1:3">
      <c r="A163" t="s">
        <v>215</v>
      </c>
      <c r="B163" t="s">
        <v>1075</v>
      </c>
      <c r="C163" t="s">
        <v>7626</v>
      </c>
    </row>
    <row r="164" spans="1:3">
      <c r="A164" t="s">
        <v>215</v>
      </c>
      <c r="B164" t="s">
        <v>1075</v>
      </c>
      <c r="C164" t="s">
        <v>7625</v>
      </c>
    </row>
    <row r="165" spans="1:3">
      <c r="A165" t="s">
        <v>214</v>
      </c>
      <c r="B165" t="s">
        <v>1075</v>
      </c>
      <c r="C165" t="s">
        <v>7624</v>
      </c>
    </row>
    <row r="166" spans="1:3">
      <c r="A166" t="s">
        <v>214</v>
      </c>
      <c r="B166" t="s">
        <v>1075</v>
      </c>
      <c r="C166" t="s">
        <v>7623</v>
      </c>
    </row>
    <row r="167" spans="1:3">
      <c r="A167" t="s">
        <v>227</v>
      </c>
      <c r="B167" t="s">
        <v>1075</v>
      </c>
      <c r="C167" t="s">
        <v>7622</v>
      </c>
    </row>
    <row r="168" spans="1:3">
      <c r="A168" t="s">
        <v>227</v>
      </c>
      <c r="B168" t="s">
        <v>1075</v>
      </c>
      <c r="C168" t="s">
        <v>7621</v>
      </c>
    </row>
    <row r="169" spans="1:3">
      <c r="A169" t="s">
        <v>290</v>
      </c>
      <c r="B169" t="s">
        <v>1075</v>
      </c>
      <c r="C169" t="s">
        <v>7620</v>
      </c>
    </row>
    <row r="170" spans="1:3">
      <c r="A170" t="s">
        <v>290</v>
      </c>
      <c r="B170" t="s">
        <v>1075</v>
      </c>
      <c r="C170" t="s">
        <v>7619</v>
      </c>
    </row>
    <row r="171" spans="1:3">
      <c r="A171" t="s">
        <v>251</v>
      </c>
      <c r="B171" t="s">
        <v>1075</v>
      </c>
      <c r="C171" t="s">
        <v>7618</v>
      </c>
    </row>
    <row r="172" spans="1:3">
      <c r="A172" t="s">
        <v>251</v>
      </c>
      <c r="B172" t="s">
        <v>1075</v>
      </c>
      <c r="C172" t="s">
        <v>7617</v>
      </c>
    </row>
    <row r="173" spans="1:3">
      <c r="A173" t="s">
        <v>272</v>
      </c>
      <c r="B173" t="s">
        <v>1075</v>
      </c>
      <c r="C173" t="s">
        <v>7616</v>
      </c>
    </row>
    <row r="174" spans="1:3">
      <c r="A174" t="s">
        <v>272</v>
      </c>
      <c r="B174" t="s">
        <v>1075</v>
      </c>
      <c r="C174" t="s">
        <v>7615</v>
      </c>
    </row>
    <row r="175" spans="1:3">
      <c r="A175" t="s">
        <v>267</v>
      </c>
      <c r="B175" t="s">
        <v>1075</v>
      </c>
      <c r="C175" t="s">
        <v>7614</v>
      </c>
    </row>
    <row r="176" spans="1:3">
      <c r="A176" t="s">
        <v>267</v>
      </c>
      <c r="B176" t="s">
        <v>1075</v>
      </c>
      <c r="C176" t="s">
        <v>7613</v>
      </c>
    </row>
    <row r="177" spans="1:3">
      <c r="A177" t="s">
        <v>284</v>
      </c>
      <c r="B177" t="s">
        <v>1075</v>
      </c>
      <c r="C177" t="s">
        <v>7612</v>
      </c>
    </row>
    <row r="178" spans="1:3">
      <c r="A178" t="s">
        <v>284</v>
      </c>
      <c r="B178" t="s">
        <v>1075</v>
      </c>
      <c r="C178" t="s">
        <v>7611</v>
      </c>
    </row>
    <row r="179" spans="1:3">
      <c r="A179" t="s">
        <v>287</v>
      </c>
      <c r="B179" t="s">
        <v>1075</v>
      </c>
      <c r="C179" t="s">
        <v>7610</v>
      </c>
    </row>
    <row r="180" spans="1:3">
      <c r="A180" t="s">
        <v>287</v>
      </c>
      <c r="B180" t="s">
        <v>1075</v>
      </c>
      <c r="C180" t="s">
        <v>7609</v>
      </c>
    </row>
    <row r="181" spans="1:3">
      <c r="A181" t="s">
        <v>311</v>
      </c>
      <c r="B181" t="s">
        <v>1075</v>
      </c>
      <c r="C181" t="s">
        <v>7608</v>
      </c>
    </row>
    <row r="182" spans="1:3">
      <c r="A182" t="s">
        <v>311</v>
      </c>
      <c r="B182" t="s">
        <v>1075</v>
      </c>
      <c r="C182" t="s">
        <v>7607</v>
      </c>
    </row>
    <row r="183" spans="1:3">
      <c r="A183" t="s">
        <v>273</v>
      </c>
      <c r="B183" t="s">
        <v>1075</v>
      </c>
      <c r="C183" t="s">
        <v>7606</v>
      </c>
    </row>
    <row r="184" spans="1:3">
      <c r="A184" t="s">
        <v>273</v>
      </c>
      <c r="B184" t="s">
        <v>1075</v>
      </c>
      <c r="C184" t="s">
        <v>7605</v>
      </c>
    </row>
    <row r="185" spans="1:3">
      <c r="A185" t="s">
        <v>277</v>
      </c>
      <c r="B185" t="s">
        <v>1075</v>
      </c>
      <c r="C185" t="s">
        <v>7604</v>
      </c>
    </row>
    <row r="186" spans="1:3">
      <c r="A186" t="s">
        <v>277</v>
      </c>
      <c r="B186" t="s">
        <v>1075</v>
      </c>
      <c r="C186" t="s">
        <v>7603</v>
      </c>
    </row>
    <row r="187" spans="1:3">
      <c r="A187" t="s">
        <v>626</v>
      </c>
      <c r="B187" t="s">
        <v>1075</v>
      </c>
      <c r="C187" t="s">
        <v>7602</v>
      </c>
    </row>
    <row r="188" spans="1:3">
      <c r="A188" t="s">
        <v>626</v>
      </c>
      <c r="B188" t="s">
        <v>1075</v>
      </c>
      <c r="C188" t="s">
        <v>7601</v>
      </c>
    </row>
    <row r="189" spans="1:3">
      <c r="A189" t="s">
        <v>210</v>
      </c>
      <c r="B189" t="s">
        <v>1070</v>
      </c>
      <c r="C189" t="s">
        <v>7597</v>
      </c>
    </row>
    <row r="190" spans="1:3">
      <c r="A190" t="s">
        <v>210</v>
      </c>
      <c r="B190" t="s">
        <v>1075</v>
      </c>
      <c r="C190" t="s">
        <v>7600</v>
      </c>
    </row>
    <row r="191" spans="1:3">
      <c r="A191" t="s">
        <v>210</v>
      </c>
      <c r="B191" t="s">
        <v>1075</v>
      </c>
      <c r="C191" t="s">
        <v>7599</v>
      </c>
    </row>
    <row r="192" spans="1:3">
      <c r="A192" t="s">
        <v>210</v>
      </c>
      <c r="B192" t="s">
        <v>1075</v>
      </c>
      <c r="C192" t="s">
        <v>7598</v>
      </c>
    </row>
    <row r="193" spans="1:3">
      <c r="A193" t="s">
        <v>269</v>
      </c>
      <c r="B193" t="s">
        <v>1075</v>
      </c>
      <c r="C193" t="s">
        <v>7596</v>
      </c>
    </row>
    <row r="194" spans="1:3">
      <c r="A194" t="s">
        <v>269</v>
      </c>
      <c r="B194" t="s">
        <v>1075</v>
      </c>
      <c r="C194" t="s">
        <v>7595</v>
      </c>
    </row>
    <row r="195" spans="1:3">
      <c r="A195" t="s">
        <v>304</v>
      </c>
      <c r="B195" t="s">
        <v>1075</v>
      </c>
      <c r="C195" t="s">
        <v>7594</v>
      </c>
    </row>
    <row r="196" spans="1:3">
      <c r="A196" t="s">
        <v>304</v>
      </c>
      <c r="B196" t="s">
        <v>1075</v>
      </c>
      <c r="C196" t="s">
        <v>7593</v>
      </c>
    </row>
    <row r="197" spans="1:3">
      <c r="A197" t="s">
        <v>198</v>
      </c>
      <c r="B197" t="s">
        <v>1075</v>
      </c>
      <c r="C197" t="s">
        <v>7592</v>
      </c>
    </row>
    <row r="198" spans="1:3">
      <c r="A198" t="s">
        <v>198</v>
      </c>
      <c r="B198" t="s">
        <v>1075</v>
      </c>
      <c r="C198" t="s">
        <v>7591</v>
      </c>
    </row>
    <row r="199" spans="1:3">
      <c r="A199" t="s">
        <v>206</v>
      </c>
      <c r="B199" t="s">
        <v>1070</v>
      </c>
      <c r="C199" t="s">
        <v>7587</v>
      </c>
    </row>
    <row r="200" spans="1:3">
      <c r="A200" t="s">
        <v>206</v>
      </c>
      <c r="B200" t="s">
        <v>1075</v>
      </c>
      <c r="C200" t="s">
        <v>7590</v>
      </c>
    </row>
    <row r="201" spans="1:3">
      <c r="A201" t="s">
        <v>206</v>
      </c>
      <c r="B201" t="s">
        <v>1075</v>
      </c>
      <c r="C201" t="s">
        <v>7589</v>
      </c>
    </row>
    <row r="202" spans="1:3">
      <c r="A202" t="s">
        <v>206</v>
      </c>
      <c r="B202" t="s">
        <v>1075</v>
      </c>
      <c r="C202" t="s">
        <v>7588</v>
      </c>
    </row>
    <row r="203" spans="1:3">
      <c r="A203" t="s">
        <v>315</v>
      </c>
      <c r="B203" t="s">
        <v>1075</v>
      </c>
      <c r="C203" t="s">
        <v>7586</v>
      </c>
    </row>
    <row r="204" spans="1:3">
      <c r="A204" t="s">
        <v>315</v>
      </c>
      <c r="B204" t="s">
        <v>1075</v>
      </c>
      <c r="C204" t="s">
        <v>7585</v>
      </c>
    </row>
    <row r="205" spans="1:3">
      <c r="A205" t="s">
        <v>320</v>
      </c>
      <c r="B205" t="s">
        <v>1075</v>
      </c>
      <c r="C205" t="s">
        <v>7584</v>
      </c>
    </row>
    <row r="206" spans="1:3">
      <c r="A206" t="s">
        <v>320</v>
      </c>
      <c r="B206" t="s">
        <v>1075</v>
      </c>
      <c r="C206" t="s">
        <v>7583</v>
      </c>
    </row>
    <row r="207" spans="1:3">
      <c r="A207" t="s">
        <v>278</v>
      </c>
      <c r="B207" t="s">
        <v>1075</v>
      </c>
      <c r="C207" t="s">
        <v>7582</v>
      </c>
    </row>
    <row r="208" spans="1:3">
      <c r="A208" t="s">
        <v>278</v>
      </c>
      <c r="B208" t="s">
        <v>1075</v>
      </c>
      <c r="C208" t="s">
        <v>7581</v>
      </c>
    </row>
    <row r="209" spans="1:3">
      <c r="A209" t="s">
        <v>240</v>
      </c>
      <c r="B209" t="s">
        <v>1070</v>
      </c>
      <c r="C209" t="s">
        <v>7577</v>
      </c>
    </row>
    <row r="210" spans="1:3">
      <c r="A210" t="s">
        <v>240</v>
      </c>
      <c r="B210" t="s">
        <v>1075</v>
      </c>
      <c r="C210" t="s">
        <v>7580</v>
      </c>
    </row>
    <row r="211" spans="1:3">
      <c r="A211" t="s">
        <v>240</v>
      </c>
      <c r="B211" t="s">
        <v>1075</v>
      </c>
      <c r="C211" t="s">
        <v>7579</v>
      </c>
    </row>
    <row r="212" spans="1:3">
      <c r="A212" t="s">
        <v>240</v>
      </c>
      <c r="B212" t="s">
        <v>1075</v>
      </c>
      <c r="C212" t="s">
        <v>7578</v>
      </c>
    </row>
    <row r="213" spans="1:3">
      <c r="A213" t="s">
        <v>294</v>
      </c>
      <c r="B213" t="s">
        <v>1075</v>
      </c>
      <c r="C213" t="s">
        <v>7576</v>
      </c>
    </row>
    <row r="214" spans="1:3">
      <c r="A214" t="s">
        <v>294</v>
      </c>
      <c r="B214" t="s">
        <v>1075</v>
      </c>
      <c r="C214" t="s">
        <v>7575</v>
      </c>
    </row>
    <row r="215" spans="1:3">
      <c r="A215" t="s">
        <v>296</v>
      </c>
      <c r="B215" t="s">
        <v>1075</v>
      </c>
      <c r="C215" t="s">
        <v>7574</v>
      </c>
    </row>
    <row r="216" spans="1:3">
      <c r="A216" t="s">
        <v>296</v>
      </c>
      <c r="B216" t="s">
        <v>1075</v>
      </c>
      <c r="C216" t="s">
        <v>7573</v>
      </c>
    </row>
    <row r="217" spans="1:3">
      <c r="A217" t="s">
        <v>307</v>
      </c>
      <c r="B217" t="s">
        <v>1075</v>
      </c>
      <c r="C217" t="s">
        <v>7572</v>
      </c>
    </row>
    <row r="218" spans="1:3">
      <c r="A218" t="s">
        <v>307</v>
      </c>
      <c r="B218" t="s">
        <v>1075</v>
      </c>
      <c r="C218" t="s">
        <v>7571</v>
      </c>
    </row>
    <row r="219" spans="1:3">
      <c r="A219" t="s">
        <v>313</v>
      </c>
      <c r="B219" t="s">
        <v>1075</v>
      </c>
      <c r="C219" t="s">
        <v>7570</v>
      </c>
    </row>
    <row r="220" spans="1:3">
      <c r="A220" t="s">
        <v>313</v>
      </c>
      <c r="B220" t="s">
        <v>1075</v>
      </c>
      <c r="C220" t="s">
        <v>7569</v>
      </c>
    </row>
    <row r="221" spans="1:3">
      <c r="A221" t="s">
        <v>241</v>
      </c>
      <c r="B221" t="s">
        <v>1075</v>
      </c>
      <c r="C221" t="s">
        <v>7568</v>
      </c>
    </row>
    <row r="222" spans="1:3">
      <c r="A222" t="s">
        <v>241</v>
      </c>
      <c r="B222" t="s">
        <v>1075</v>
      </c>
      <c r="C222" t="s">
        <v>7567</v>
      </c>
    </row>
    <row r="223" spans="1:3">
      <c r="A223" t="s">
        <v>221</v>
      </c>
      <c r="B223" t="s">
        <v>1075</v>
      </c>
      <c r="C223" t="s">
        <v>7566</v>
      </c>
    </row>
    <row r="224" spans="1:3">
      <c r="A224" t="s">
        <v>221</v>
      </c>
      <c r="B224" t="s">
        <v>1075</v>
      </c>
      <c r="C224" t="s">
        <v>7565</v>
      </c>
    </row>
    <row r="225" spans="1:3">
      <c r="A225" t="s">
        <v>229</v>
      </c>
      <c r="B225" t="s">
        <v>1075</v>
      </c>
      <c r="C225" t="s">
        <v>7564</v>
      </c>
    </row>
    <row r="226" spans="1:3">
      <c r="A226" t="s">
        <v>229</v>
      </c>
      <c r="B226" t="s">
        <v>1075</v>
      </c>
      <c r="C226" t="s">
        <v>7563</v>
      </c>
    </row>
    <row r="227" spans="1:3">
      <c r="A227" t="s">
        <v>312</v>
      </c>
      <c r="B227" t="s">
        <v>1075</v>
      </c>
      <c r="C227" t="s">
        <v>7562</v>
      </c>
    </row>
    <row r="228" spans="1:3">
      <c r="A228" t="s">
        <v>312</v>
      </c>
      <c r="B228" t="s">
        <v>1075</v>
      </c>
      <c r="C228" t="s">
        <v>7561</v>
      </c>
    </row>
    <row r="229" spans="1:3">
      <c r="A229" t="s">
        <v>258</v>
      </c>
      <c r="B229" t="s">
        <v>1070</v>
      </c>
      <c r="C229" t="s">
        <v>7557</v>
      </c>
    </row>
    <row r="230" spans="1:3">
      <c r="A230" t="s">
        <v>258</v>
      </c>
      <c r="B230" t="s">
        <v>1075</v>
      </c>
      <c r="C230" t="s">
        <v>7560</v>
      </c>
    </row>
    <row r="231" spans="1:3">
      <c r="A231" t="s">
        <v>258</v>
      </c>
      <c r="B231" t="s">
        <v>1075</v>
      </c>
      <c r="C231" t="s">
        <v>7559</v>
      </c>
    </row>
    <row r="232" spans="1:3">
      <c r="A232" t="s">
        <v>258</v>
      </c>
      <c r="B232" t="s">
        <v>1075</v>
      </c>
      <c r="C232" t="s">
        <v>7558</v>
      </c>
    </row>
    <row r="233" spans="1:3">
      <c r="A233" t="s">
        <v>255</v>
      </c>
      <c r="B233" t="s">
        <v>1070</v>
      </c>
      <c r="C233" t="s">
        <v>7553</v>
      </c>
    </row>
    <row r="234" spans="1:3">
      <c r="A234" t="s">
        <v>255</v>
      </c>
      <c r="B234" t="s">
        <v>1070</v>
      </c>
      <c r="C234" t="s">
        <v>7552</v>
      </c>
    </row>
    <row r="235" spans="1:3">
      <c r="A235" t="s">
        <v>255</v>
      </c>
      <c r="B235" t="s">
        <v>1070</v>
      </c>
      <c r="C235" t="s">
        <v>7551</v>
      </c>
    </row>
    <row r="236" spans="1:3">
      <c r="A236" t="s">
        <v>255</v>
      </c>
      <c r="B236" t="s">
        <v>1070</v>
      </c>
      <c r="C236" t="s">
        <v>7550</v>
      </c>
    </row>
    <row r="237" spans="1:3">
      <c r="A237" t="s">
        <v>255</v>
      </c>
      <c r="B237" t="s">
        <v>1075</v>
      </c>
      <c r="C237" t="s">
        <v>7556</v>
      </c>
    </row>
    <row r="238" spans="1:3">
      <c r="A238" t="s">
        <v>255</v>
      </c>
      <c r="B238" t="s">
        <v>1075</v>
      </c>
      <c r="C238" t="s">
        <v>7555</v>
      </c>
    </row>
    <row r="239" spans="1:3">
      <c r="A239" t="s">
        <v>255</v>
      </c>
      <c r="B239" t="s">
        <v>1075</v>
      </c>
      <c r="C239" t="s">
        <v>7554</v>
      </c>
    </row>
    <row r="240" spans="1:3">
      <c r="A240" t="s">
        <v>231</v>
      </c>
      <c r="B240" t="s">
        <v>1075</v>
      </c>
      <c r="C240" t="s">
        <v>7549</v>
      </c>
    </row>
    <row r="241" spans="1:3">
      <c r="A241" t="s">
        <v>231</v>
      </c>
      <c r="B241" t="s">
        <v>1075</v>
      </c>
      <c r="C241" t="s">
        <v>7548</v>
      </c>
    </row>
    <row r="242" spans="1:3">
      <c r="A242" t="s">
        <v>224</v>
      </c>
      <c r="B242" t="s">
        <v>1075</v>
      </c>
      <c r="C242" t="s">
        <v>7547</v>
      </c>
    </row>
    <row r="243" spans="1:3">
      <c r="A243" t="s">
        <v>224</v>
      </c>
      <c r="B243" t="s">
        <v>1075</v>
      </c>
      <c r="C243" t="s">
        <v>7546</v>
      </c>
    </row>
    <row r="244" spans="1:3">
      <c r="A244" t="s">
        <v>243</v>
      </c>
      <c r="B244" t="s">
        <v>1075</v>
      </c>
      <c r="C244" t="s">
        <v>7545</v>
      </c>
    </row>
    <row r="245" spans="1:3">
      <c r="A245" t="s">
        <v>243</v>
      </c>
      <c r="B245" t="s">
        <v>1075</v>
      </c>
      <c r="C245" t="s">
        <v>7544</v>
      </c>
    </row>
    <row r="246" spans="1:3">
      <c r="A246" t="s">
        <v>283</v>
      </c>
      <c r="B246" t="s">
        <v>1075</v>
      </c>
      <c r="C246" t="s">
        <v>7543</v>
      </c>
    </row>
    <row r="247" spans="1:3">
      <c r="A247" t="s">
        <v>283</v>
      </c>
      <c r="B247" t="s">
        <v>1075</v>
      </c>
      <c r="C247" t="s">
        <v>7542</v>
      </c>
    </row>
    <row r="248" spans="1:3">
      <c r="A248" t="s">
        <v>310</v>
      </c>
      <c r="B248" t="s">
        <v>1075</v>
      </c>
      <c r="C248" t="s">
        <v>7541</v>
      </c>
    </row>
    <row r="249" spans="1:3">
      <c r="A249" t="s">
        <v>310</v>
      </c>
      <c r="B249" t="s">
        <v>1075</v>
      </c>
      <c r="C249" t="s">
        <v>7540</v>
      </c>
    </row>
    <row r="250" spans="1:3">
      <c r="A250" t="s">
        <v>317</v>
      </c>
      <c r="B250" t="s">
        <v>1075</v>
      </c>
      <c r="C250" t="s">
        <v>7539</v>
      </c>
    </row>
    <row r="251" spans="1:3">
      <c r="A251" t="s">
        <v>317</v>
      </c>
      <c r="B251" t="s">
        <v>1075</v>
      </c>
      <c r="C251" t="s">
        <v>7538</v>
      </c>
    </row>
    <row r="252" spans="1:3">
      <c r="A252" t="s">
        <v>299</v>
      </c>
      <c r="B252" t="s">
        <v>1075</v>
      </c>
      <c r="C252" t="s">
        <v>7537</v>
      </c>
    </row>
    <row r="253" spans="1:3">
      <c r="A253" t="s">
        <v>299</v>
      </c>
      <c r="B253" t="s">
        <v>1075</v>
      </c>
      <c r="C253" t="s">
        <v>7536</v>
      </c>
    </row>
    <row r="254" spans="1:3">
      <c r="A254" t="s">
        <v>276</v>
      </c>
      <c r="B254" t="s">
        <v>1075</v>
      </c>
      <c r="C254" t="s">
        <v>7535</v>
      </c>
    </row>
    <row r="255" spans="1:3">
      <c r="A255" t="s">
        <v>276</v>
      </c>
      <c r="B255" t="s">
        <v>1075</v>
      </c>
      <c r="C255" t="s">
        <v>7534</v>
      </c>
    </row>
    <row r="256" spans="1:3">
      <c r="A256" t="s">
        <v>318</v>
      </c>
      <c r="B256" t="s">
        <v>1075</v>
      </c>
      <c r="C256" t="s">
        <v>7533</v>
      </c>
    </row>
    <row r="257" spans="1:3">
      <c r="A257" t="s">
        <v>318</v>
      </c>
      <c r="B257" t="s">
        <v>1075</v>
      </c>
      <c r="C257" t="s">
        <v>7532</v>
      </c>
    </row>
    <row r="258" spans="1:3">
      <c r="A258" t="s">
        <v>289</v>
      </c>
      <c r="B258" t="s">
        <v>1075</v>
      </c>
      <c r="C258" t="s">
        <v>7531</v>
      </c>
    </row>
    <row r="259" spans="1:3">
      <c r="A259" t="s">
        <v>289</v>
      </c>
      <c r="B259" t="s">
        <v>1075</v>
      </c>
      <c r="C259" t="s">
        <v>7530</v>
      </c>
    </row>
    <row r="260" spans="1:3">
      <c r="A260" t="s">
        <v>271</v>
      </c>
      <c r="B260" t="s">
        <v>1075</v>
      </c>
      <c r="C260" t="s">
        <v>7529</v>
      </c>
    </row>
    <row r="261" spans="1:3">
      <c r="A261" t="s">
        <v>271</v>
      </c>
      <c r="B261" t="s">
        <v>1075</v>
      </c>
      <c r="C261" t="s">
        <v>7528</v>
      </c>
    </row>
    <row r="262" spans="1:3">
      <c r="A262" t="s">
        <v>237</v>
      </c>
      <c r="B262" t="s">
        <v>1075</v>
      </c>
      <c r="C262" t="s">
        <v>7527</v>
      </c>
    </row>
    <row r="263" spans="1:3">
      <c r="A263" t="s">
        <v>237</v>
      </c>
      <c r="B263" t="s">
        <v>1075</v>
      </c>
      <c r="C263" t="s">
        <v>7526</v>
      </c>
    </row>
    <row r="264" spans="1:3">
      <c r="A264" t="s">
        <v>200</v>
      </c>
      <c r="B264" t="s">
        <v>1075</v>
      </c>
      <c r="C264" t="s">
        <v>7525</v>
      </c>
    </row>
    <row r="265" spans="1:3">
      <c r="A265" t="s">
        <v>200</v>
      </c>
      <c r="B265" t="s">
        <v>1075</v>
      </c>
      <c r="C265" t="s">
        <v>7524</v>
      </c>
    </row>
    <row r="266" spans="1:3">
      <c r="A266" t="s">
        <v>301</v>
      </c>
      <c r="B266" t="s">
        <v>1075</v>
      </c>
      <c r="C266" t="s">
        <v>7523</v>
      </c>
    </row>
    <row r="267" spans="1:3">
      <c r="A267" t="s">
        <v>301</v>
      </c>
      <c r="B267" t="s">
        <v>1075</v>
      </c>
      <c r="C267" t="s">
        <v>7522</v>
      </c>
    </row>
    <row r="268" spans="1:3">
      <c r="A268" t="s">
        <v>303</v>
      </c>
      <c r="B268" t="s">
        <v>1075</v>
      </c>
      <c r="C268" t="s">
        <v>7521</v>
      </c>
    </row>
    <row r="269" spans="1:3">
      <c r="A269" t="s">
        <v>303</v>
      </c>
      <c r="B269" t="s">
        <v>1075</v>
      </c>
      <c r="C269" t="s">
        <v>7520</v>
      </c>
    </row>
    <row r="270" spans="1:3">
      <c r="A270" t="s">
        <v>246</v>
      </c>
      <c r="B270" t="s">
        <v>1075</v>
      </c>
      <c r="C270" t="s">
        <v>7519</v>
      </c>
    </row>
    <row r="271" spans="1:3">
      <c r="A271" t="s">
        <v>246</v>
      </c>
      <c r="B271" t="s">
        <v>1075</v>
      </c>
      <c r="C271" t="s">
        <v>7518</v>
      </c>
    </row>
    <row r="272" spans="1:3">
      <c r="A272" t="s">
        <v>228</v>
      </c>
      <c r="B272" t="s">
        <v>1070</v>
      </c>
      <c r="C272" t="s">
        <v>7497</v>
      </c>
    </row>
    <row r="273" spans="1:3">
      <c r="A273" t="s">
        <v>228</v>
      </c>
      <c r="B273" t="s">
        <v>1075</v>
      </c>
      <c r="C273" t="s">
        <v>7500</v>
      </c>
    </row>
    <row r="274" spans="1:3">
      <c r="A274" t="s">
        <v>228</v>
      </c>
      <c r="B274" t="s">
        <v>1075</v>
      </c>
      <c r="C274" t="s">
        <v>7499</v>
      </c>
    </row>
    <row r="275" spans="1:3">
      <c r="A275" t="s">
        <v>228</v>
      </c>
      <c r="B275" t="s">
        <v>1075</v>
      </c>
      <c r="C275" t="s">
        <v>7498</v>
      </c>
    </row>
    <row r="276" spans="1:3">
      <c r="A276" t="s">
        <v>281</v>
      </c>
      <c r="B276" t="s">
        <v>1075</v>
      </c>
      <c r="C276" t="s">
        <v>7496</v>
      </c>
    </row>
    <row r="277" spans="1:3">
      <c r="A277" t="s">
        <v>281</v>
      </c>
      <c r="B277" t="s">
        <v>1075</v>
      </c>
      <c r="C277" t="s">
        <v>7495</v>
      </c>
    </row>
    <row r="278" spans="1:3">
      <c r="A278" t="s">
        <v>249</v>
      </c>
      <c r="B278" t="s">
        <v>1075</v>
      </c>
      <c r="C278" t="s">
        <v>7494</v>
      </c>
    </row>
    <row r="279" spans="1:3">
      <c r="A279" t="s">
        <v>249</v>
      </c>
      <c r="B279" t="s">
        <v>1075</v>
      </c>
      <c r="C279" t="s">
        <v>7493</v>
      </c>
    </row>
    <row r="280" spans="1:3">
      <c r="A280" t="s">
        <v>250</v>
      </c>
      <c r="B280" t="s">
        <v>1075</v>
      </c>
      <c r="C280" t="s">
        <v>7492</v>
      </c>
    </row>
    <row r="281" spans="1:3">
      <c r="A281" t="s">
        <v>250</v>
      </c>
      <c r="B281" t="s">
        <v>1075</v>
      </c>
      <c r="C281" t="s">
        <v>7491</v>
      </c>
    </row>
    <row r="282" spans="1:3">
      <c r="A282" t="s">
        <v>322</v>
      </c>
      <c r="B282" t="s">
        <v>1075</v>
      </c>
      <c r="C282" t="s">
        <v>7490</v>
      </c>
    </row>
    <row r="283" spans="1:3">
      <c r="A283" t="s">
        <v>322</v>
      </c>
      <c r="B283" t="s">
        <v>1075</v>
      </c>
      <c r="C283" t="s">
        <v>7489</v>
      </c>
    </row>
    <row r="284" spans="1:3">
      <c r="A284" t="s">
        <v>263</v>
      </c>
      <c r="B284" t="s">
        <v>1070</v>
      </c>
      <c r="C284" t="s">
        <v>7485</v>
      </c>
    </row>
    <row r="285" spans="1:3">
      <c r="A285" t="s">
        <v>263</v>
      </c>
      <c r="B285" t="s">
        <v>1075</v>
      </c>
      <c r="C285" t="s">
        <v>7488</v>
      </c>
    </row>
    <row r="286" spans="1:3">
      <c r="A286" t="s">
        <v>263</v>
      </c>
      <c r="B286" t="s">
        <v>1075</v>
      </c>
      <c r="C286" t="s">
        <v>7487</v>
      </c>
    </row>
    <row r="287" spans="1:3">
      <c r="A287" t="s">
        <v>263</v>
      </c>
      <c r="B287" t="s">
        <v>1075</v>
      </c>
      <c r="C287" t="s">
        <v>7486</v>
      </c>
    </row>
    <row r="288" spans="1:3">
      <c r="A288" t="s">
        <v>260</v>
      </c>
      <c r="B288" t="s">
        <v>1070</v>
      </c>
      <c r="C288" t="s">
        <v>7481</v>
      </c>
    </row>
    <row r="289" spans="1:3">
      <c r="A289" t="s">
        <v>260</v>
      </c>
      <c r="B289" t="s">
        <v>1075</v>
      </c>
      <c r="C289" t="s">
        <v>7484</v>
      </c>
    </row>
    <row r="290" spans="1:3">
      <c r="A290" t="s">
        <v>260</v>
      </c>
      <c r="B290" t="s">
        <v>1075</v>
      </c>
      <c r="C290" t="s">
        <v>7483</v>
      </c>
    </row>
    <row r="291" spans="1:3">
      <c r="A291" t="s">
        <v>260</v>
      </c>
      <c r="B291" t="s">
        <v>1075</v>
      </c>
      <c r="C291" t="s">
        <v>7482</v>
      </c>
    </row>
    <row r="292" spans="1:3">
      <c r="A292" t="s">
        <v>309</v>
      </c>
      <c r="B292" t="s">
        <v>1070</v>
      </c>
      <c r="C292" t="s">
        <v>7514</v>
      </c>
    </row>
    <row r="293" spans="1:3">
      <c r="A293" t="s">
        <v>309</v>
      </c>
      <c r="B293" t="s">
        <v>1070</v>
      </c>
      <c r="C293" t="s">
        <v>7513</v>
      </c>
    </row>
    <row r="294" spans="1:3">
      <c r="A294" t="s">
        <v>309</v>
      </c>
      <c r="B294" t="s">
        <v>1070</v>
      </c>
      <c r="C294" t="s">
        <v>7512</v>
      </c>
    </row>
    <row r="295" spans="1:3">
      <c r="A295" t="s">
        <v>309</v>
      </c>
      <c r="B295" t="s">
        <v>1075</v>
      </c>
      <c r="C295" t="s">
        <v>7517</v>
      </c>
    </row>
    <row r="296" spans="1:3">
      <c r="A296" t="s">
        <v>309</v>
      </c>
      <c r="B296" t="s">
        <v>1075</v>
      </c>
      <c r="C296" t="s">
        <v>7516</v>
      </c>
    </row>
    <row r="297" spans="1:3">
      <c r="A297" t="s">
        <v>309</v>
      </c>
      <c r="B297" t="s">
        <v>1075</v>
      </c>
      <c r="C297" t="s">
        <v>7515</v>
      </c>
    </row>
    <row r="298" spans="1:3">
      <c r="A298" t="s">
        <v>308</v>
      </c>
      <c r="B298" t="s">
        <v>1070</v>
      </c>
      <c r="C298" t="s">
        <v>7508</v>
      </c>
    </row>
    <row r="299" spans="1:3">
      <c r="A299" t="s">
        <v>308</v>
      </c>
      <c r="B299" t="s">
        <v>1070</v>
      </c>
      <c r="C299" t="s">
        <v>7507</v>
      </c>
    </row>
    <row r="300" spans="1:3">
      <c r="A300" t="s">
        <v>308</v>
      </c>
      <c r="B300" t="s">
        <v>1070</v>
      </c>
      <c r="C300" t="s">
        <v>7506</v>
      </c>
    </row>
    <row r="301" spans="1:3">
      <c r="A301" t="s">
        <v>308</v>
      </c>
      <c r="B301" t="s">
        <v>1070</v>
      </c>
      <c r="C301" t="s">
        <v>7505</v>
      </c>
    </row>
    <row r="302" spans="1:3">
      <c r="A302" t="s">
        <v>308</v>
      </c>
      <c r="B302" t="s">
        <v>1075</v>
      </c>
      <c r="C302" t="s">
        <v>7511</v>
      </c>
    </row>
    <row r="303" spans="1:3">
      <c r="A303" t="s">
        <v>308</v>
      </c>
      <c r="B303" t="s">
        <v>1075</v>
      </c>
      <c r="C303" t="s">
        <v>7510</v>
      </c>
    </row>
    <row r="304" spans="1:3">
      <c r="A304" t="s">
        <v>308</v>
      </c>
      <c r="B304" t="s">
        <v>1075</v>
      </c>
      <c r="C304" t="s">
        <v>7509</v>
      </c>
    </row>
    <row r="305" spans="1:3">
      <c r="A305" t="s">
        <v>305</v>
      </c>
      <c r="B305" t="s">
        <v>1075</v>
      </c>
      <c r="C305" t="s">
        <v>7504</v>
      </c>
    </row>
    <row r="306" spans="1:3">
      <c r="A306" t="s">
        <v>305</v>
      </c>
      <c r="B306" t="s">
        <v>1075</v>
      </c>
      <c r="C306" t="s">
        <v>7503</v>
      </c>
    </row>
    <row r="307" spans="1:3">
      <c r="A307" t="s">
        <v>252</v>
      </c>
      <c r="B307" t="s">
        <v>1075</v>
      </c>
      <c r="C307" t="s">
        <v>7502</v>
      </c>
    </row>
    <row r="308" spans="1:3">
      <c r="A308" t="s">
        <v>252</v>
      </c>
      <c r="B308" t="s">
        <v>1075</v>
      </c>
      <c r="C308" t="s">
        <v>7501</v>
      </c>
    </row>
    <row r="309" spans="1:3">
      <c r="A309" t="s">
        <v>208</v>
      </c>
      <c r="B309" t="s">
        <v>1075</v>
      </c>
      <c r="C309" t="s">
        <v>7480</v>
      </c>
    </row>
    <row r="310" spans="1:3">
      <c r="A310" t="s">
        <v>208</v>
      </c>
      <c r="B310" t="s">
        <v>1075</v>
      </c>
      <c r="C310" t="s">
        <v>7479</v>
      </c>
    </row>
    <row r="311" spans="1:3">
      <c r="A311" t="s">
        <v>323</v>
      </c>
      <c r="B311" t="s">
        <v>1075</v>
      </c>
      <c r="C311" t="s">
        <v>7478</v>
      </c>
    </row>
    <row r="312" spans="1:3">
      <c r="A312" t="s">
        <v>323</v>
      </c>
      <c r="B312" t="s">
        <v>1075</v>
      </c>
      <c r="C312" t="s">
        <v>7477</v>
      </c>
    </row>
    <row r="313" spans="1:3">
      <c r="A313" t="s">
        <v>218</v>
      </c>
      <c r="B313" t="s">
        <v>1075</v>
      </c>
      <c r="C313" t="s">
        <v>7476</v>
      </c>
    </row>
    <row r="314" spans="1:3">
      <c r="A314" t="s">
        <v>218</v>
      </c>
      <c r="B314" t="s">
        <v>1075</v>
      </c>
      <c r="C314" t="s">
        <v>7475</v>
      </c>
    </row>
    <row r="315" spans="1:3">
      <c r="A315" t="s">
        <v>245</v>
      </c>
      <c r="B315" t="s">
        <v>1070</v>
      </c>
      <c r="C315" t="s">
        <v>7471</v>
      </c>
    </row>
    <row r="316" spans="1:3">
      <c r="A316" t="s">
        <v>245</v>
      </c>
      <c r="B316" t="s">
        <v>1075</v>
      </c>
      <c r="C316" t="s">
        <v>7474</v>
      </c>
    </row>
    <row r="317" spans="1:3">
      <c r="A317" t="s">
        <v>245</v>
      </c>
      <c r="B317" t="s">
        <v>1075</v>
      </c>
      <c r="C317" t="s">
        <v>7473</v>
      </c>
    </row>
    <row r="318" spans="1:3">
      <c r="A318" t="s">
        <v>245</v>
      </c>
      <c r="B318" t="s">
        <v>1075</v>
      </c>
      <c r="C318" t="s">
        <v>7472</v>
      </c>
    </row>
    <row r="319" spans="1:3">
      <c r="A319" t="s">
        <v>936</v>
      </c>
      <c r="B319" t="s">
        <v>1070</v>
      </c>
      <c r="C319" t="s">
        <v>7467</v>
      </c>
    </row>
    <row r="320" spans="1:3">
      <c r="A320" t="s">
        <v>936</v>
      </c>
      <c r="B320" t="s">
        <v>1075</v>
      </c>
      <c r="C320" t="s">
        <v>7470</v>
      </c>
    </row>
    <row r="321" spans="1:3">
      <c r="A321" t="s">
        <v>936</v>
      </c>
      <c r="B321" t="s">
        <v>1075</v>
      </c>
      <c r="C321" t="s">
        <v>7469</v>
      </c>
    </row>
    <row r="322" spans="1:3">
      <c r="A322" t="s">
        <v>936</v>
      </c>
      <c r="B322" t="s">
        <v>1075</v>
      </c>
      <c r="C322" t="s">
        <v>7468</v>
      </c>
    </row>
    <row r="323" spans="1:3">
      <c r="A323" t="s">
        <v>203</v>
      </c>
      <c r="B323" t="s">
        <v>1070</v>
      </c>
      <c r="C323" t="s">
        <v>7461</v>
      </c>
    </row>
    <row r="324" spans="1:3">
      <c r="A324" t="s">
        <v>203</v>
      </c>
      <c r="B324" t="s">
        <v>1070</v>
      </c>
      <c r="C324" t="s">
        <v>7460</v>
      </c>
    </row>
    <row r="325" spans="1:3">
      <c r="A325" t="s">
        <v>203</v>
      </c>
      <c r="B325" t="s">
        <v>1075</v>
      </c>
      <c r="C325" t="s">
        <v>7466</v>
      </c>
    </row>
    <row r="326" spans="1:3">
      <c r="A326" t="s">
        <v>203</v>
      </c>
      <c r="B326" t="s">
        <v>1075</v>
      </c>
      <c r="C326" t="s">
        <v>7465</v>
      </c>
    </row>
    <row r="327" spans="1:3">
      <c r="A327" t="s">
        <v>203</v>
      </c>
      <c r="B327" t="s">
        <v>1075</v>
      </c>
      <c r="C327" t="s">
        <v>7464</v>
      </c>
    </row>
    <row r="328" spans="1:3">
      <c r="A328" t="s">
        <v>203</v>
      </c>
      <c r="B328" t="s">
        <v>1075</v>
      </c>
      <c r="C328" t="s">
        <v>7463</v>
      </c>
    </row>
    <row r="329" spans="1:3">
      <c r="A329" t="s">
        <v>203</v>
      </c>
      <c r="B329" t="s">
        <v>1075</v>
      </c>
      <c r="C329" t="s">
        <v>7462</v>
      </c>
    </row>
    <row r="330" spans="1:3">
      <c r="A330" t="s">
        <v>197</v>
      </c>
      <c r="B330" t="s">
        <v>1075</v>
      </c>
      <c r="C330" t="s">
        <v>7459</v>
      </c>
    </row>
    <row r="331" spans="1:3">
      <c r="A331" t="s">
        <v>197</v>
      </c>
      <c r="B331" t="s">
        <v>1075</v>
      </c>
      <c r="C331" t="s">
        <v>7458</v>
      </c>
    </row>
    <row r="332" spans="1:3">
      <c r="A332" t="s">
        <v>285</v>
      </c>
      <c r="B332" t="s">
        <v>1075</v>
      </c>
      <c r="C332" t="s">
        <v>7457</v>
      </c>
    </row>
    <row r="333" spans="1:3">
      <c r="A333" t="s">
        <v>285</v>
      </c>
      <c r="B333" t="s">
        <v>1075</v>
      </c>
      <c r="C333" t="s">
        <v>7456</v>
      </c>
    </row>
    <row r="334" spans="1:3">
      <c r="A334" t="s">
        <v>262</v>
      </c>
      <c r="B334" t="s">
        <v>1075</v>
      </c>
      <c r="C334" t="s">
        <v>7455</v>
      </c>
    </row>
    <row r="335" spans="1:3">
      <c r="A335" t="s">
        <v>262</v>
      </c>
      <c r="B335" t="s">
        <v>1075</v>
      </c>
      <c r="C335" t="s">
        <v>7454</v>
      </c>
    </row>
    <row r="336" spans="1:3">
      <c r="A336" t="s">
        <v>207</v>
      </c>
      <c r="B336" t="s">
        <v>1070</v>
      </c>
      <c r="C336" t="s">
        <v>7448</v>
      </c>
    </row>
    <row r="337" spans="1:3">
      <c r="A337" t="s">
        <v>207</v>
      </c>
      <c r="B337" t="s">
        <v>1070</v>
      </c>
      <c r="C337" t="s">
        <v>7447</v>
      </c>
    </row>
    <row r="338" spans="1:3">
      <c r="A338" t="s">
        <v>207</v>
      </c>
      <c r="B338" t="s">
        <v>1075</v>
      </c>
      <c r="C338" t="s">
        <v>7453</v>
      </c>
    </row>
    <row r="339" spans="1:3">
      <c r="A339" t="s">
        <v>207</v>
      </c>
      <c r="B339" t="s">
        <v>1075</v>
      </c>
      <c r="C339" t="s">
        <v>7452</v>
      </c>
    </row>
    <row r="340" spans="1:3">
      <c r="A340" t="s">
        <v>207</v>
      </c>
      <c r="B340" t="s">
        <v>1075</v>
      </c>
      <c r="C340" t="s">
        <v>7451</v>
      </c>
    </row>
    <row r="341" spans="1:3">
      <c r="A341" t="s">
        <v>207</v>
      </c>
      <c r="B341" t="s">
        <v>1075</v>
      </c>
      <c r="C341" t="s">
        <v>7450</v>
      </c>
    </row>
    <row r="342" spans="1:3">
      <c r="A342" t="s">
        <v>207</v>
      </c>
      <c r="B342" t="s">
        <v>1075</v>
      </c>
      <c r="C342" t="s">
        <v>7449</v>
      </c>
    </row>
    <row r="343" spans="1:3">
      <c r="A343" t="s">
        <v>265</v>
      </c>
      <c r="B343" t="s">
        <v>1075</v>
      </c>
      <c r="C343" t="s">
        <v>7446</v>
      </c>
    </row>
    <row r="344" spans="1:3">
      <c r="A344" t="s">
        <v>265</v>
      </c>
      <c r="B344" t="s">
        <v>1075</v>
      </c>
      <c r="C344" t="s">
        <v>7445</v>
      </c>
    </row>
    <row r="345" spans="1:3">
      <c r="A345" t="s">
        <v>261</v>
      </c>
      <c r="B345" t="s">
        <v>1075</v>
      </c>
      <c r="C345" t="s">
        <v>7444</v>
      </c>
    </row>
    <row r="346" spans="1:3">
      <c r="A346" t="s">
        <v>261</v>
      </c>
      <c r="B346" t="s">
        <v>1075</v>
      </c>
      <c r="C346" t="s">
        <v>7443</v>
      </c>
    </row>
    <row r="347" spans="1:3">
      <c r="A347" t="s">
        <v>234</v>
      </c>
      <c r="B347" t="s">
        <v>1070</v>
      </c>
      <c r="C347" t="s">
        <v>7440</v>
      </c>
    </row>
    <row r="348" spans="1:3">
      <c r="A348" t="s">
        <v>234</v>
      </c>
      <c r="B348" t="s">
        <v>1070</v>
      </c>
      <c r="C348" t="s">
        <v>7439</v>
      </c>
    </row>
    <row r="349" spans="1:3">
      <c r="A349" t="s">
        <v>234</v>
      </c>
      <c r="B349" t="s">
        <v>1070</v>
      </c>
      <c r="C349" t="s">
        <v>7438</v>
      </c>
    </row>
    <row r="350" spans="1:3">
      <c r="A350" t="s">
        <v>234</v>
      </c>
      <c r="B350" t="s">
        <v>1070</v>
      </c>
      <c r="C350" t="s">
        <v>7437</v>
      </c>
    </row>
    <row r="351" spans="1:3">
      <c r="A351" t="s">
        <v>234</v>
      </c>
      <c r="B351" t="s">
        <v>1075</v>
      </c>
      <c r="C351" t="s">
        <v>7442</v>
      </c>
    </row>
    <row r="352" spans="1:3">
      <c r="A352" t="s">
        <v>234</v>
      </c>
      <c r="B352" t="s">
        <v>1075</v>
      </c>
      <c r="C352" t="s">
        <v>7441</v>
      </c>
    </row>
    <row r="353" spans="1:3">
      <c r="A353" t="s">
        <v>204</v>
      </c>
      <c r="B353" t="s">
        <v>1070</v>
      </c>
      <c r="C353" t="s">
        <v>7431</v>
      </c>
    </row>
    <row r="354" spans="1:3">
      <c r="A354" t="s">
        <v>204</v>
      </c>
      <c r="B354" t="s">
        <v>1070</v>
      </c>
      <c r="C354" t="s">
        <v>7430</v>
      </c>
    </row>
    <row r="355" spans="1:3">
      <c r="A355" t="s">
        <v>204</v>
      </c>
      <c r="B355" t="s">
        <v>1075</v>
      </c>
      <c r="C355" t="s">
        <v>7436</v>
      </c>
    </row>
    <row r="356" spans="1:3">
      <c r="A356" t="s">
        <v>204</v>
      </c>
      <c r="B356" t="s">
        <v>1075</v>
      </c>
      <c r="C356" t="s">
        <v>7435</v>
      </c>
    </row>
    <row r="357" spans="1:3">
      <c r="A357" t="s">
        <v>204</v>
      </c>
      <c r="B357" t="s">
        <v>1075</v>
      </c>
      <c r="C357" t="s">
        <v>7434</v>
      </c>
    </row>
    <row r="358" spans="1:3">
      <c r="A358" t="s">
        <v>204</v>
      </c>
      <c r="B358" t="s">
        <v>1075</v>
      </c>
      <c r="C358" t="s">
        <v>7433</v>
      </c>
    </row>
    <row r="359" spans="1:3">
      <c r="A359" t="s">
        <v>204</v>
      </c>
      <c r="B359" t="s">
        <v>1075</v>
      </c>
      <c r="C359" t="s">
        <v>7432</v>
      </c>
    </row>
    <row r="360" spans="1:3">
      <c r="A360" t="s">
        <v>202</v>
      </c>
      <c r="B360" t="s">
        <v>1075</v>
      </c>
      <c r="C360" t="s">
        <v>7429</v>
      </c>
    </row>
    <row r="361" spans="1:3">
      <c r="A361" t="s">
        <v>202</v>
      </c>
      <c r="B361" t="s">
        <v>1075</v>
      </c>
      <c r="C361" t="s">
        <v>7428</v>
      </c>
    </row>
    <row r="362" spans="1:3">
      <c r="A362" t="s">
        <v>275</v>
      </c>
      <c r="B362" t="s">
        <v>1075</v>
      </c>
      <c r="C362" t="s">
        <v>7427</v>
      </c>
    </row>
    <row r="363" spans="1:3">
      <c r="A363" t="s">
        <v>275</v>
      </c>
      <c r="B363" t="s">
        <v>1075</v>
      </c>
      <c r="C363" t="s">
        <v>7426</v>
      </c>
    </row>
    <row r="364" spans="1:3">
      <c r="A364" t="s">
        <v>521</v>
      </c>
      <c r="B364" t="s">
        <v>1070</v>
      </c>
      <c r="C364" t="s">
        <v>7420</v>
      </c>
    </row>
    <row r="365" spans="1:3">
      <c r="A365" t="s">
        <v>521</v>
      </c>
      <c r="B365" t="s">
        <v>1070</v>
      </c>
      <c r="C365" t="s">
        <v>7419</v>
      </c>
    </row>
    <row r="366" spans="1:3">
      <c r="A366" t="s">
        <v>521</v>
      </c>
      <c r="B366" t="s">
        <v>1070</v>
      </c>
      <c r="C366" t="s">
        <v>7418</v>
      </c>
    </row>
    <row r="367" spans="1:3">
      <c r="A367" t="s">
        <v>521</v>
      </c>
      <c r="B367" t="s">
        <v>1075</v>
      </c>
      <c r="C367" t="s">
        <v>7425</v>
      </c>
    </row>
    <row r="368" spans="1:3">
      <c r="A368" t="s">
        <v>521</v>
      </c>
      <c r="B368" t="s">
        <v>1075</v>
      </c>
      <c r="C368" t="s">
        <v>7424</v>
      </c>
    </row>
    <row r="369" spans="1:3">
      <c r="A369" t="s">
        <v>521</v>
      </c>
      <c r="B369" t="s">
        <v>1075</v>
      </c>
      <c r="C369" t="s">
        <v>7423</v>
      </c>
    </row>
    <row r="370" spans="1:3">
      <c r="A370" t="s">
        <v>521</v>
      </c>
      <c r="B370" t="s">
        <v>1075</v>
      </c>
      <c r="C370" t="s">
        <v>7422</v>
      </c>
    </row>
    <row r="371" spans="1:3">
      <c r="A371" t="s">
        <v>521</v>
      </c>
      <c r="B371" t="s">
        <v>1075</v>
      </c>
      <c r="C371" t="s">
        <v>7421</v>
      </c>
    </row>
    <row r="372" spans="1:3">
      <c r="A372" t="s">
        <v>526</v>
      </c>
      <c r="B372" t="s">
        <v>1070</v>
      </c>
      <c r="C372" t="s">
        <v>7412</v>
      </c>
    </row>
    <row r="373" spans="1:3">
      <c r="A373" t="s">
        <v>526</v>
      </c>
      <c r="B373" t="s">
        <v>1070</v>
      </c>
      <c r="C373" t="s">
        <v>7411</v>
      </c>
    </row>
    <row r="374" spans="1:3">
      <c r="A374" t="s">
        <v>526</v>
      </c>
      <c r="B374" t="s">
        <v>1070</v>
      </c>
      <c r="C374" t="s">
        <v>7410</v>
      </c>
    </row>
    <row r="375" spans="1:3">
      <c r="A375" t="s">
        <v>526</v>
      </c>
      <c r="B375" t="s">
        <v>1075</v>
      </c>
      <c r="C375" t="s">
        <v>7417</v>
      </c>
    </row>
    <row r="376" spans="1:3">
      <c r="A376" t="s">
        <v>526</v>
      </c>
      <c r="B376" t="s">
        <v>1075</v>
      </c>
      <c r="C376" t="s">
        <v>7416</v>
      </c>
    </row>
    <row r="377" spans="1:3">
      <c r="A377" t="s">
        <v>526</v>
      </c>
      <c r="B377" t="s">
        <v>1075</v>
      </c>
      <c r="C377" t="s">
        <v>7415</v>
      </c>
    </row>
    <row r="378" spans="1:3">
      <c r="A378" t="s">
        <v>526</v>
      </c>
      <c r="B378" t="s">
        <v>1075</v>
      </c>
      <c r="C378" t="s">
        <v>7414</v>
      </c>
    </row>
    <row r="379" spans="1:3">
      <c r="A379" t="s">
        <v>526</v>
      </c>
      <c r="B379" t="s">
        <v>1075</v>
      </c>
      <c r="C379" t="s">
        <v>7413</v>
      </c>
    </row>
    <row r="380" spans="1:3">
      <c r="A380" t="s">
        <v>498</v>
      </c>
      <c r="B380" t="s">
        <v>1070</v>
      </c>
      <c r="C380" t="s">
        <v>7404</v>
      </c>
    </row>
    <row r="381" spans="1:3">
      <c r="A381" t="s">
        <v>498</v>
      </c>
      <c r="B381" t="s">
        <v>1070</v>
      </c>
      <c r="C381" t="s">
        <v>7403</v>
      </c>
    </row>
    <row r="382" spans="1:3">
      <c r="A382" t="s">
        <v>498</v>
      </c>
      <c r="B382" t="s">
        <v>1070</v>
      </c>
      <c r="C382" t="s">
        <v>7402</v>
      </c>
    </row>
    <row r="383" spans="1:3">
      <c r="A383" t="s">
        <v>498</v>
      </c>
      <c r="B383" t="s">
        <v>1075</v>
      </c>
      <c r="C383" t="s">
        <v>7409</v>
      </c>
    </row>
    <row r="384" spans="1:3">
      <c r="A384" t="s">
        <v>498</v>
      </c>
      <c r="B384" t="s">
        <v>1075</v>
      </c>
      <c r="C384" t="s">
        <v>7408</v>
      </c>
    </row>
    <row r="385" spans="1:3">
      <c r="A385" t="s">
        <v>498</v>
      </c>
      <c r="B385" t="s">
        <v>1075</v>
      </c>
      <c r="C385" t="s">
        <v>7407</v>
      </c>
    </row>
    <row r="386" spans="1:3">
      <c r="A386" t="s">
        <v>498</v>
      </c>
      <c r="B386" t="s">
        <v>1075</v>
      </c>
      <c r="C386" t="s">
        <v>7406</v>
      </c>
    </row>
    <row r="387" spans="1:3">
      <c r="A387" t="s">
        <v>498</v>
      </c>
      <c r="B387" t="s">
        <v>1075</v>
      </c>
      <c r="C387" t="s">
        <v>7405</v>
      </c>
    </row>
    <row r="388" spans="1:3">
      <c r="A388" t="s">
        <v>480</v>
      </c>
      <c r="B388" t="s">
        <v>1070</v>
      </c>
      <c r="C388" t="s">
        <v>7396</v>
      </c>
    </row>
    <row r="389" spans="1:3">
      <c r="A389" t="s">
        <v>480</v>
      </c>
      <c r="B389" t="s">
        <v>1070</v>
      </c>
      <c r="C389" t="s">
        <v>7395</v>
      </c>
    </row>
    <row r="390" spans="1:3">
      <c r="A390" t="s">
        <v>480</v>
      </c>
      <c r="B390" t="s">
        <v>1070</v>
      </c>
      <c r="C390" t="s">
        <v>7394</v>
      </c>
    </row>
    <row r="391" spans="1:3">
      <c r="A391" t="s">
        <v>480</v>
      </c>
      <c r="B391" t="s">
        <v>1075</v>
      </c>
      <c r="C391" t="s">
        <v>7401</v>
      </c>
    </row>
    <row r="392" spans="1:3">
      <c r="A392" t="s">
        <v>480</v>
      </c>
      <c r="B392" t="s">
        <v>1075</v>
      </c>
      <c r="C392" t="s">
        <v>7400</v>
      </c>
    </row>
    <row r="393" spans="1:3">
      <c r="A393" t="s">
        <v>480</v>
      </c>
      <c r="B393" t="s">
        <v>1075</v>
      </c>
      <c r="C393" t="s">
        <v>7399</v>
      </c>
    </row>
    <row r="394" spans="1:3">
      <c r="A394" t="s">
        <v>480</v>
      </c>
      <c r="B394" t="s">
        <v>1075</v>
      </c>
      <c r="C394" t="s">
        <v>7398</v>
      </c>
    </row>
    <row r="395" spans="1:3">
      <c r="A395" t="s">
        <v>480</v>
      </c>
      <c r="B395" t="s">
        <v>1075</v>
      </c>
      <c r="C395" t="s">
        <v>7397</v>
      </c>
    </row>
    <row r="396" spans="1:3">
      <c r="A396" t="s">
        <v>509</v>
      </c>
      <c r="B396" t="s">
        <v>1070</v>
      </c>
      <c r="C396" t="s">
        <v>7388</v>
      </c>
    </row>
    <row r="397" spans="1:3">
      <c r="A397" t="s">
        <v>509</v>
      </c>
      <c r="B397" t="s">
        <v>1070</v>
      </c>
      <c r="C397" t="s">
        <v>7387</v>
      </c>
    </row>
    <row r="398" spans="1:3">
      <c r="A398" t="s">
        <v>509</v>
      </c>
      <c r="B398" t="s">
        <v>1070</v>
      </c>
      <c r="C398" t="s">
        <v>7386</v>
      </c>
    </row>
    <row r="399" spans="1:3">
      <c r="A399" t="s">
        <v>509</v>
      </c>
      <c r="B399" t="s">
        <v>1075</v>
      </c>
      <c r="C399" t="s">
        <v>7393</v>
      </c>
    </row>
    <row r="400" spans="1:3">
      <c r="A400" t="s">
        <v>509</v>
      </c>
      <c r="B400" t="s">
        <v>1075</v>
      </c>
      <c r="C400" t="s">
        <v>7392</v>
      </c>
    </row>
    <row r="401" spans="1:3">
      <c r="A401" t="s">
        <v>509</v>
      </c>
      <c r="B401" t="s">
        <v>1075</v>
      </c>
      <c r="C401" t="s">
        <v>7391</v>
      </c>
    </row>
    <row r="402" spans="1:3">
      <c r="A402" t="s">
        <v>509</v>
      </c>
      <c r="B402" t="s">
        <v>1075</v>
      </c>
      <c r="C402" t="s">
        <v>7390</v>
      </c>
    </row>
    <row r="403" spans="1:3">
      <c r="A403" t="s">
        <v>509</v>
      </c>
      <c r="B403" t="s">
        <v>1075</v>
      </c>
      <c r="C403" t="s">
        <v>7389</v>
      </c>
    </row>
    <row r="404" spans="1:3">
      <c r="A404" t="s">
        <v>483</v>
      </c>
      <c r="B404" t="s">
        <v>1070</v>
      </c>
      <c r="C404" t="s">
        <v>7380</v>
      </c>
    </row>
    <row r="405" spans="1:3">
      <c r="A405" t="s">
        <v>483</v>
      </c>
      <c r="B405" t="s">
        <v>1070</v>
      </c>
      <c r="C405" t="s">
        <v>7379</v>
      </c>
    </row>
    <row r="406" spans="1:3">
      <c r="A406" t="s">
        <v>483</v>
      </c>
      <c r="B406" t="s">
        <v>1070</v>
      </c>
      <c r="C406" t="s">
        <v>7378</v>
      </c>
    </row>
    <row r="407" spans="1:3">
      <c r="A407" t="s">
        <v>483</v>
      </c>
      <c r="B407" t="s">
        <v>1075</v>
      </c>
      <c r="C407" t="s">
        <v>7385</v>
      </c>
    </row>
    <row r="408" spans="1:3">
      <c r="A408" t="s">
        <v>483</v>
      </c>
      <c r="B408" t="s">
        <v>1075</v>
      </c>
      <c r="C408" t="s">
        <v>7384</v>
      </c>
    </row>
    <row r="409" spans="1:3">
      <c r="A409" t="s">
        <v>483</v>
      </c>
      <c r="B409" t="s">
        <v>1075</v>
      </c>
      <c r="C409" t="s">
        <v>7383</v>
      </c>
    </row>
    <row r="410" spans="1:3">
      <c r="A410" t="s">
        <v>483</v>
      </c>
      <c r="B410" t="s">
        <v>1075</v>
      </c>
      <c r="C410" t="s">
        <v>7382</v>
      </c>
    </row>
    <row r="411" spans="1:3">
      <c r="A411" t="s">
        <v>483</v>
      </c>
      <c r="B411" t="s">
        <v>1075</v>
      </c>
      <c r="C411" t="s">
        <v>7381</v>
      </c>
    </row>
    <row r="412" spans="1:3">
      <c r="A412" t="s">
        <v>524</v>
      </c>
      <c r="B412" t="s">
        <v>1070</v>
      </c>
      <c r="C412" t="s">
        <v>7372</v>
      </c>
    </row>
    <row r="413" spans="1:3">
      <c r="A413" t="s">
        <v>524</v>
      </c>
      <c r="B413" t="s">
        <v>1070</v>
      </c>
      <c r="C413" t="s">
        <v>7371</v>
      </c>
    </row>
    <row r="414" spans="1:3">
      <c r="A414" t="s">
        <v>524</v>
      </c>
      <c r="B414" t="s">
        <v>1070</v>
      </c>
      <c r="C414" t="s">
        <v>7370</v>
      </c>
    </row>
    <row r="415" spans="1:3">
      <c r="A415" t="s">
        <v>524</v>
      </c>
      <c r="B415" t="s">
        <v>1075</v>
      </c>
      <c r="C415" t="s">
        <v>7377</v>
      </c>
    </row>
    <row r="416" spans="1:3">
      <c r="A416" t="s">
        <v>524</v>
      </c>
      <c r="B416" t="s">
        <v>1075</v>
      </c>
      <c r="C416" t="s">
        <v>7376</v>
      </c>
    </row>
    <row r="417" spans="1:3">
      <c r="A417" t="s">
        <v>524</v>
      </c>
      <c r="B417" t="s">
        <v>1075</v>
      </c>
      <c r="C417" t="s">
        <v>7375</v>
      </c>
    </row>
    <row r="418" spans="1:3">
      <c r="A418" t="s">
        <v>524</v>
      </c>
      <c r="B418" t="s">
        <v>1075</v>
      </c>
      <c r="C418" t="s">
        <v>7374</v>
      </c>
    </row>
    <row r="419" spans="1:3">
      <c r="A419" t="s">
        <v>524</v>
      </c>
      <c r="B419" t="s">
        <v>1075</v>
      </c>
      <c r="C419" t="s">
        <v>7373</v>
      </c>
    </row>
    <row r="420" spans="1:3">
      <c r="A420" t="s">
        <v>508</v>
      </c>
      <c r="B420" t="s">
        <v>1070</v>
      </c>
      <c r="C420" t="s">
        <v>7364</v>
      </c>
    </row>
    <row r="421" spans="1:3">
      <c r="A421" t="s">
        <v>508</v>
      </c>
      <c r="B421" t="s">
        <v>1070</v>
      </c>
      <c r="C421" t="s">
        <v>7363</v>
      </c>
    </row>
    <row r="422" spans="1:3">
      <c r="A422" t="s">
        <v>508</v>
      </c>
      <c r="B422" t="s">
        <v>1070</v>
      </c>
      <c r="C422" t="s">
        <v>7362</v>
      </c>
    </row>
    <row r="423" spans="1:3">
      <c r="A423" t="s">
        <v>508</v>
      </c>
      <c r="B423" t="s">
        <v>1075</v>
      </c>
      <c r="C423" t="s">
        <v>7369</v>
      </c>
    </row>
    <row r="424" spans="1:3">
      <c r="A424" t="s">
        <v>508</v>
      </c>
      <c r="B424" t="s">
        <v>1075</v>
      </c>
      <c r="C424" t="s">
        <v>7368</v>
      </c>
    </row>
    <row r="425" spans="1:3">
      <c r="A425" t="s">
        <v>508</v>
      </c>
      <c r="B425" t="s">
        <v>1075</v>
      </c>
      <c r="C425" t="s">
        <v>7367</v>
      </c>
    </row>
    <row r="426" spans="1:3">
      <c r="A426" t="s">
        <v>508</v>
      </c>
      <c r="B426" t="s">
        <v>1075</v>
      </c>
      <c r="C426" t="s">
        <v>7366</v>
      </c>
    </row>
    <row r="427" spans="1:3">
      <c r="A427" t="s">
        <v>508</v>
      </c>
      <c r="B427" t="s">
        <v>1075</v>
      </c>
      <c r="C427" t="s">
        <v>7365</v>
      </c>
    </row>
    <row r="428" spans="1:3">
      <c r="A428" t="s">
        <v>497</v>
      </c>
      <c r="B428" t="s">
        <v>1070</v>
      </c>
      <c r="C428" t="s">
        <v>7356</v>
      </c>
    </row>
    <row r="429" spans="1:3">
      <c r="A429" t="s">
        <v>497</v>
      </c>
      <c r="B429" t="s">
        <v>1070</v>
      </c>
      <c r="C429" t="s">
        <v>7355</v>
      </c>
    </row>
    <row r="430" spans="1:3">
      <c r="A430" t="s">
        <v>497</v>
      </c>
      <c r="B430" t="s">
        <v>1070</v>
      </c>
      <c r="C430" t="s">
        <v>7354</v>
      </c>
    </row>
    <row r="431" spans="1:3">
      <c r="A431" t="s">
        <v>497</v>
      </c>
      <c r="B431" t="s">
        <v>1075</v>
      </c>
      <c r="C431" t="s">
        <v>7361</v>
      </c>
    </row>
    <row r="432" spans="1:3">
      <c r="A432" t="s">
        <v>497</v>
      </c>
      <c r="B432" t="s">
        <v>1075</v>
      </c>
      <c r="C432" t="s">
        <v>7360</v>
      </c>
    </row>
    <row r="433" spans="1:3">
      <c r="A433" t="s">
        <v>497</v>
      </c>
      <c r="B433" t="s">
        <v>1075</v>
      </c>
      <c r="C433" t="s">
        <v>7359</v>
      </c>
    </row>
    <row r="434" spans="1:3">
      <c r="A434" t="s">
        <v>497</v>
      </c>
      <c r="B434" t="s">
        <v>1075</v>
      </c>
      <c r="C434" t="s">
        <v>7358</v>
      </c>
    </row>
    <row r="435" spans="1:3">
      <c r="A435" t="s">
        <v>497</v>
      </c>
      <c r="B435" t="s">
        <v>1075</v>
      </c>
      <c r="C435" t="s">
        <v>7357</v>
      </c>
    </row>
    <row r="436" spans="1:3">
      <c r="A436" t="s">
        <v>516</v>
      </c>
      <c r="B436" t="s">
        <v>1070</v>
      </c>
      <c r="C436" t="s">
        <v>7348</v>
      </c>
    </row>
    <row r="437" spans="1:3">
      <c r="A437" t="s">
        <v>516</v>
      </c>
      <c r="B437" t="s">
        <v>1070</v>
      </c>
      <c r="C437" t="s">
        <v>7347</v>
      </c>
    </row>
    <row r="438" spans="1:3">
      <c r="A438" t="s">
        <v>516</v>
      </c>
      <c r="B438" t="s">
        <v>1070</v>
      </c>
      <c r="C438" t="s">
        <v>7346</v>
      </c>
    </row>
    <row r="439" spans="1:3">
      <c r="A439" t="s">
        <v>516</v>
      </c>
      <c r="B439" t="s">
        <v>1075</v>
      </c>
      <c r="C439" t="s">
        <v>7353</v>
      </c>
    </row>
    <row r="440" spans="1:3">
      <c r="A440" t="s">
        <v>516</v>
      </c>
      <c r="B440" t="s">
        <v>1075</v>
      </c>
      <c r="C440" t="s">
        <v>7352</v>
      </c>
    </row>
    <row r="441" spans="1:3">
      <c r="A441" t="s">
        <v>516</v>
      </c>
      <c r="B441" t="s">
        <v>1075</v>
      </c>
      <c r="C441" t="s">
        <v>7351</v>
      </c>
    </row>
    <row r="442" spans="1:3">
      <c r="A442" t="s">
        <v>516</v>
      </c>
      <c r="B442" t="s">
        <v>1075</v>
      </c>
      <c r="C442" t="s">
        <v>7350</v>
      </c>
    </row>
    <row r="443" spans="1:3">
      <c r="A443" t="s">
        <v>516</v>
      </c>
      <c r="B443" t="s">
        <v>1075</v>
      </c>
      <c r="C443" t="s">
        <v>7349</v>
      </c>
    </row>
    <row r="444" spans="1:3">
      <c r="A444" t="s">
        <v>514</v>
      </c>
      <c r="B444" t="s">
        <v>1070</v>
      </c>
      <c r="C444" t="s">
        <v>7340</v>
      </c>
    </row>
    <row r="445" spans="1:3">
      <c r="A445" t="s">
        <v>514</v>
      </c>
      <c r="B445" t="s">
        <v>1070</v>
      </c>
      <c r="C445" t="s">
        <v>7339</v>
      </c>
    </row>
    <row r="446" spans="1:3">
      <c r="A446" t="s">
        <v>514</v>
      </c>
      <c r="B446" t="s">
        <v>1070</v>
      </c>
      <c r="C446" t="s">
        <v>7338</v>
      </c>
    </row>
    <row r="447" spans="1:3">
      <c r="A447" t="s">
        <v>514</v>
      </c>
      <c r="B447" t="s">
        <v>1075</v>
      </c>
      <c r="C447" t="s">
        <v>7345</v>
      </c>
    </row>
    <row r="448" spans="1:3">
      <c r="A448" t="s">
        <v>514</v>
      </c>
      <c r="B448" t="s">
        <v>1075</v>
      </c>
      <c r="C448" t="s">
        <v>7344</v>
      </c>
    </row>
    <row r="449" spans="1:3">
      <c r="A449" t="s">
        <v>514</v>
      </c>
      <c r="B449" t="s">
        <v>1075</v>
      </c>
      <c r="C449" t="s">
        <v>7343</v>
      </c>
    </row>
    <row r="450" spans="1:3">
      <c r="A450" t="s">
        <v>514</v>
      </c>
      <c r="B450" t="s">
        <v>1075</v>
      </c>
      <c r="C450" t="s">
        <v>7342</v>
      </c>
    </row>
    <row r="451" spans="1:3">
      <c r="A451" t="s">
        <v>514</v>
      </c>
      <c r="B451" t="s">
        <v>1075</v>
      </c>
      <c r="C451" t="s">
        <v>7341</v>
      </c>
    </row>
    <row r="452" spans="1:3">
      <c r="A452" t="s">
        <v>486</v>
      </c>
      <c r="B452" t="s">
        <v>1070</v>
      </c>
      <c r="C452" t="s">
        <v>7332</v>
      </c>
    </row>
    <row r="453" spans="1:3">
      <c r="A453" t="s">
        <v>486</v>
      </c>
      <c r="B453" t="s">
        <v>1070</v>
      </c>
      <c r="C453" t="s">
        <v>7331</v>
      </c>
    </row>
    <row r="454" spans="1:3">
      <c r="A454" t="s">
        <v>486</v>
      </c>
      <c r="B454" t="s">
        <v>1070</v>
      </c>
      <c r="C454" t="s">
        <v>7330</v>
      </c>
    </row>
    <row r="455" spans="1:3">
      <c r="A455" t="s">
        <v>486</v>
      </c>
      <c r="B455" t="s">
        <v>1075</v>
      </c>
      <c r="C455" t="s">
        <v>7337</v>
      </c>
    </row>
    <row r="456" spans="1:3">
      <c r="A456" t="s">
        <v>486</v>
      </c>
      <c r="B456" t="s">
        <v>1075</v>
      </c>
      <c r="C456" t="s">
        <v>7336</v>
      </c>
    </row>
    <row r="457" spans="1:3">
      <c r="A457" t="s">
        <v>486</v>
      </c>
      <c r="B457" t="s">
        <v>1075</v>
      </c>
      <c r="C457" t="s">
        <v>7335</v>
      </c>
    </row>
    <row r="458" spans="1:3">
      <c r="A458" t="s">
        <v>486</v>
      </c>
      <c r="B458" t="s">
        <v>1075</v>
      </c>
      <c r="C458" t="s">
        <v>7334</v>
      </c>
    </row>
    <row r="459" spans="1:3">
      <c r="A459" t="s">
        <v>486</v>
      </c>
      <c r="B459" t="s">
        <v>1075</v>
      </c>
      <c r="C459" t="s">
        <v>7333</v>
      </c>
    </row>
    <row r="460" spans="1:3">
      <c r="A460" t="s">
        <v>525</v>
      </c>
      <c r="B460" t="s">
        <v>1070</v>
      </c>
      <c r="C460" t="s">
        <v>7324</v>
      </c>
    </row>
    <row r="461" spans="1:3">
      <c r="A461" t="s">
        <v>525</v>
      </c>
      <c r="B461" t="s">
        <v>1070</v>
      </c>
      <c r="C461" t="s">
        <v>7323</v>
      </c>
    </row>
    <row r="462" spans="1:3">
      <c r="A462" t="s">
        <v>525</v>
      </c>
      <c r="B462" t="s">
        <v>1070</v>
      </c>
      <c r="C462" t="s">
        <v>7322</v>
      </c>
    </row>
    <row r="463" spans="1:3">
      <c r="A463" t="s">
        <v>525</v>
      </c>
      <c r="B463" t="s">
        <v>1075</v>
      </c>
      <c r="C463" t="s">
        <v>7329</v>
      </c>
    </row>
    <row r="464" spans="1:3">
      <c r="A464" t="s">
        <v>525</v>
      </c>
      <c r="B464" t="s">
        <v>1075</v>
      </c>
      <c r="C464" t="s">
        <v>7328</v>
      </c>
    </row>
    <row r="465" spans="1:3">
      <c r="A465" t="s">
        <v>525</v>
      </c>
      <c r="B465" t="s">
        <v>1075</v>
      </c>
      <c r="C465" t="s">
        <v>7327</v>
      </c>
    </row>
    <row r="466" spans="1:3">
      <c r="A466" t="s">
        <v>525</v>
      </c>
      <c r="B466" t="s">
        <v>1075</v>
      </c>
      <c r="C466" t="s">
        <v>7326</v>
      </c>
    </row>
    <row r="467" spans="1:3">
      <c r="A467" t="s">
        <v>525</v>
      </c>
      <c r="B467" t="s">
        <v>1075</v>
      </c>
      <c r="C467" t="s">
        <v>7325</v>
      </c>
    </row>
    <row r="468" spans="1:3">
      <c r="A468" t="s">
        <v>489</v>
      </c>
      <c r="B468" t="s">
        <v>1070</v>
      </c>
      <c r="C468" t="s">
        <v>7316</v>
      </c>
    </row>
    <row r="469" spans="1:3">
      <c r="A469" t="s">
        <v>489</v>
      </c>
      <c r="B469" t="s">
        <v>1070</v>
      </c>
      <c r="C469" t="s">
        <v>7315</v>
      </c>
    </row>
    <row r="470" spans="1:3">
      <c r="A470" t="s">
        <v>489</v>
      </c>
      <c r="B470" t="s">
        <v>1070</v>
      </c>
      <c r="C470" t="s">
        <v>7314</v>
      </c>
    </row>
    <row r="471" spans="1:3">
      <c r="A471" t="s">
        <v>489</v>
      </c>
      <c r="B471" t="s">
        <v>1075</v>
      </c>
      <c r="C471" t="s">
        <v>7321</v>
      </c>
    </row>
    <row r="472" spans="1:3">
      <c r="A472" t="s">
        <v>489</v>
      </c>
      <c r="B472" t="s">
        <v>1075</v>
      </c>
      <c r="C472" t="s">
        <v>7320</v>
      </c>
    </row>
    <row r="473" spans="1:3">
      <c r="A473" t="s">
        <v>489</v>
      </c>
      <c r="B473" t="s">
        <v>1075</v>
      </c>
      <c r="C473" t="s">
        <v>7319</v>
      </c>
    </row>
    <row r="474" spans="1:3">
      <c r="A474" t="s">
        <v>489</v>
      </c>
      <c r="B474" t="s">
        <v>1075</v>
      </c>
      <c r="C474" t="s">
        <v>7318</v>
      </c>
    </row>
    <row r="475" spans="1:3">
      <c r="A475" t="s">
        <v>489</v>
      </c>
      <c r="B475" t="s">
        <v>1075</v>
      </c>
      <c r="C475" t="s">
        <v>7317</v>
      </c>
    </row>
    <row r="476" spans="1:3">
      <c r="A476" t="s">
        <v>513</v>
      </c>
      <c r="B476" t="s">
        <v>1070</v>
      </c>
      <c r="C476" t="s">
        <v>7308</v>
      </c>
    </row>
    <row r="477" spans="1:3">
      <c r="A477" t="s">
        <v>513</v>
      </c>
      <c r="B477" t="s">
        <v>1070</v>
      </c>
      <c r="C477" t="s">
        <v>7307</v>
      </c>
    </row>
    <row r="478" spans="1:3">
      <c r="A478" t="s">
        <v>513</v>
      </c>
      <c r="B478" t="s">
        <v>1070</v>
      </c>
      <c r="C478" t="s">
        <v>7306</v>
      </c>
    </row>
    <row r="479" spans="1:3">
      <c r="A479" t="s">
        <v>513</v>
      </c>
      <c r="B479" t="s">
        <v>1075</v>
      </c>
      <c r="C479" t="s">
        <v>7313</v>
      </c>
    </row>
    <row r="480" spans="1:3">
      <c r="A480" t="s">
        <v>513</v>
      </c>
      <c r="B480" t="s">
        <v>1075</v>
      </c>
      <c r="C480" t="s">
        <v>7312</v>
      </c>
    </row>
    <row r="481" spans="1:3">
      <c r="A481" t="s">
        <v>513</v>
      </c>
      <c r="B481" t="s">
        <v>1075</v>
      </c>
      <c r="C481" t="s">
        <v>7311</v>
      </c>
    </row>
    <row r="482" spans="1:3">
      <c r="A482" t="s">
        <v>513</v>
      </c>
      <c r="B482" t="s">
        <v>1075</v>
      </c>
      <c r="C482" t="s">
        <v>7310</v>
      </c>
    </row>
    <row r="483" spans="1:3">
      <c r="A483" t="s">
        <v>513</v>
      </c>
      <c r="B483" t="s">
        <v>1075</v>
      </c>
      <c r="C483" t="s">
        <v>7309</v>
      </c>
    </row>
    <row r="484" spans="1:3">
      <c r="A484" t="s">
        <v>501</v>
      </c>
      <c r="B484" t="s">
        <v>1070</v>
      </c>
      <c r="C484" t="s">
        <v>7300</v>
      </c>
    </row>
    <row r="485" spans="1:3">
      <c r="A485" t="s">
        <v>501</v>
      </c>
      <c r="B485" t="s">
        <v>1070</v>
      </c>
      <c r="C485" t="s">
        <v>7299</v>
      </c>
    </row>
    <row r="486" spans="1:3">
      <c r="A486" t="s">
        <v>501</v>
      </c>
      <c r="B486" t="s">
        <v>1070</v>
      </c>
      <c r="C486" t="s">
        <v>7298</v>
      </c>
    </row>
    <row r="487" spans="1:3">
      <c r="A487" t="s">
        <v>501</v>
      </c>
      <c r="B487" t="s">
        <v>1075</v>
      </c>
      <c r="C487" t="s">
        <v>7305</v>
      </c>
    </row>
    <row r="488" spans="1:3">
      <c r="A488" t="s">
        <v>501</v>
      </c>
      <c r="B488" t="s">
        <v>1075</v>
      </c>
      <c r="C488" t="s">
        <v>7304</v>
      </c>
    </row>
    <row r="489" spans="1:3">
      <c r="A489" t="s">
        <v>501</v>
      </c>
      <c r="B489" t="s">
        <v>1075</v>
      </c>
      <c r="C489" t="s">
        <v>7303</v>
      </c>
    </row>
    <row r="490" spans="1:3">
      <c r="A490" t="s">
        <v>501</v>
      </c>
      <c r="B490" t="s">
        <v>1075</v>
      </c>
      <c r="C490" t="s">
        <v>7302</v>
      </c>
    </row>
    <row r="491" spans="1:3">
      <c r="A491" t="s">
        <v>501</v>
      </c>
      <c r="B491" t="s">
        <v>1075</v>
      </c>
      <c r="C491" t="s">
        <v>7301</v>
      </c>
    </row>
    <row r="492" spans="1:3">
      <c r="A492" t="s">
        <v>504</v>
      </c>
      <c r="B492" t="s">
        <v>1070</v>
      </c>
      <c r="C492" t="s">
        <v>7292</v>
      </c>
    </row>
    <row r="493" spans="1:3">
      <c r="A493" t="s">
        <v>504</v>
      </c>
      <c r="B493" t="s">
        <v>1070</v>
      </c>
      <c r="C493" t="s">
        <v>7291</v>
      </c>
    </row>
    <row r="494" spans="1:3">
      <c r="A494" t="s">
        <v>504</v>
      </c>
      <c r="B494" t="s">
        <v>1070</v>
      </c>
      <c r="C494" t="s">
        <v>7290</v>
      </c>
    </row>
    <row r="495" spans="1:3">
      <c r="A495" t="s">
        <v>504</v>
      </c>
      <c r="B495" t="s">
        <v>1075</v>
      </c>
      <c r="C495" t="s">
        <v>7297</v>
      </c>
    </row>
    <row r="496" spans="1:3">
      <c r="A496" t="s">
        <v>504</v>
      </c>
      <c r="B496" t="s">
        <v>1075</v>
      </c>
      <c r="C496" t="s">
        <v>7296</v>
      </c>
    </row>
    <row r="497" spans="1:3">
      <c r="A497" t="s">
        <v>504</v>
      </c>
      <c r="B497" t="s">
        <v>1075</v>
      </c>
      <c r="C497" t="s">
        <v>7295</v>
      </c>
    </row>
    <row r="498" spans="1:3">
      <c r="A498" t="s">
        <v>504</v>
      </c>
      <c r="B498" t="s">
        <v>1075</v>
      </c>
      <c r="C498" t="s">
        <v>7294</v>
      </c>
    </row>
    <row r="499" spans="1:3">
      <c r="A499" t="s">
        <v>504</v>
      </c>
      <c r="B499" t="s">
        <v>1075</v>
      </c>
      <c r="C499" t="s">
        <v>7293</v>
      </c>
    </row>
    <row r="500" spans="1:3">
      <c r="A500" t="s">
        <v>481</v>
      </c>
      <c r="B500" t="s">
        <v>1070</v>
      </c>
      <c r="C500" t="s">
        <v>7284</v>
      </c>
    </row>
    <row r="501" spans="1:3">
      <c r="A501" t="s">
        <v>481</v>
      </c>
      <c r="B501" t="s">
        <v>1070</v>
      </c>
      <c r="C501" t="s">
        <v>7283</v>
      </c>
    </row>
    <row r="502" spans="1:3">
      <c r="A502" t="s">
        <v>481</v>
      </c>
      <c r="B502" t="s">
        <v>1070</v>
      </c>
      <c r="C502" t="s">
        <v>7282</v>
      </c>
    </row>
    <row r="503" spans="1:3">
      <c r="A503" t="s">
        <v>481</v>
      </c>
      <c r="B503" t="s">
        <v>1075</v>
      </c>
      <c r="C503" t="s">
        <v>7289</v>
      </c>
    </row>
    <row r="504" spans="1:3">
      <c r="A504" t="s">
        <v>481</v>
      </c>
      <c r="B504" t="s">
        <v>1075</v>
      </c>
      <c r="C504" t="s">
        <v>7288</v>
      </c>
    </row>
    <row r="505" spans="1:3">
      <c r="A505" t="s">
        <v>481</v>
      </c>
      <c r="B505" t="s">
        <v>1075</v>
      </c>
      <c r="C505" t="s">
        <v>7287</v>
      </c>
    </row>
    <row r="506" spans="1:3">
      <c r="A506" t="s">
        <v>481</v>
      </c>
      <c r="B506" t="s">
        <v>1075</v>
      </c>
      <c r="C506" t="s">
        <v>7286</v>
      </c>
    </row>
    <row r="507" spans="1:3">
      <c r="A507" t="s">
        <v>481</v>
      </c>
      <c r="B507" t="s">
        <v>1075</v>
      </c>
      <c r="C507" t="s">
        <v>7285</v>
      </c>
    </row>
    <row r="508" spans="1:3">
      <c r="A508" t="s">
        <v>495</v>
      </c>
      <c r="B508" t="s">
        <v>1070</v>
      </c>
      <c r="C508" t="s">
        <v>7276</v>
      </c>
    </row>
    <row r="509" spans="1:3">
      <c r="A509" t="s">
        <v>495</v>
      </c>
      <c r="B509" t="s">
        <v>1070</v>
      </c>
      <c r="C509" t="s">
        <v>7275</v>
      </c>
    </row>
    <row r="510" spans="1:3">
      <c r="A510" t="s">
        <v>495</v>
      </c>
      <c r="B510" t="s">
        <v>1070</v>
      </c>
      <c r="C510" t="s">
        <v>7274</v>
      </c>
    </row>
    <row r="511" spans="1:3">
      <c r="A511" t="s">
        <v>495</v>
      </c>
      <c r="B511" t="s">
        <v>1075</v>
      </c>
      <c r="C511" t="s">
        <v>7281</v>
      </c>
    </row>
    <row r="512" spans="1:3">
      <c r="A512" t="s">
        <v>495</v>
      </c>
      <c r="B512" t="s">
        <v>1075</v>
      </c>
      <c r="C512" t="s">
        <v>7280</v>
      </c>
    </row>
    <row r="513" spans="1:3">
      <c r="A513" t="s">
        <v>495</v>
      </c>
      <c r="B513" t="s">
        <v>1075</v>
      </c>
      <c r="C513" t="s">
        <v>7279</v>
      </c>
    </row>
    <row r="514" spans="1:3">
      <c r="A514" t="s">
        <v>495</v>
      </c>
      <c r="B514" t="s">
        <v>1075</v>
      </c>
      <c r="C514" t="s">
        <v>7278</v>
      </c>
    </row>
    <row r="515" spans="1:3">
      <c r="A515" t="s">
        <v>495</v>
      </c>
      <c r="B515" t="s">
        <v>1075</v>
      </c>
      <c r="C515" t="s">
        <v>7277</v>
      </c>
    </row>
    <row r="516" spans="1:3">
      <c r="A516" t="s">
        <v>500</v>
      </c>
      <c r="B516" t="s">
        <v>1070</v>
      </c>
      <c r="C516" t="s">
        <v>7268</v>
      </c>
    </row>
    <row r="517" spans="1:3">
      <c r="A517" t="s">
        <v>500</v>
      </c>
      <c r="B517" t="s">
        <v>1070</v>
      </c>
      <c r="C517" t="s">
        <v>7267</v>
      </c>
    </row>
    <row r="518" spans="1:3">
      <c r="A518" t="s">
        <v>500</v>
      </c>
      <c r="B518" t="s">
        <v>1070</v>
      </c>
      <c r="C518" t="s">
        <v>7266</v>
      </c>
    </row>
    <row r="519" spans="1:3">
      <c r="A519" t="s">
        <v>500</v>
      </c>
      <c r="B519" t="s">
        <v>1075</v>
      </c>
      <c r="C519" t="s">
        <v>7273</v>
      </c>
    </row>
    <row r="520" spans="1:3">
      <c r="A520" t="s">
        <v>500</v>
      </c>
      <c r="B520" t="s">
        <v>1075</v>
      </c>
      <c r="C520" t="s">
        <v>7272</v>
      </c>
    </row>
    <row r="521" spans="1:3">
      <c r="A521" t="s">
        <v>500</v>
      </c>
      <c r="B521" t="s">
        <v>1075</v>
      </c>
      <c r="C521" t="s">
        <v>7271</v>
      </c>
    </row>
    <row r="522" spans="1:3">
      <c r="A522" t="s">
        <v>500</v>
      </c>
      <c r="B522" t="s">
        <v>1075</v>
      </c>
      <c r="C522" t="s">
        <v>7270</v>
      </c>
    </row>
    <row r="523" spans="1:3">
      <c r="A523" t="s">
        <v>500</v>
      </c>
      <c r="B523" t="s">
        <v>1075</v>
      </c>
      <c r="C523" t="s">
        <v>7269</v>
      </c>
    </row>
    <row r="524" spans="1:3">
      <c r="A524" t="s">
        <v>518</v>
      </c>
      <c r="B524" t="s">
        <v>1070</v>
      </c>
      <c r="C524" t="s">
        <v>7260</v>
      </c>
    </row>
    <row r="525" spans="1:3">
      <c r="A525" t="s">
        <v>518</v>
      </c>
      <c r="B525" t="s">
        <v>1070</v>
      </c>
      <c r="C525" t="s">
        <v>7259</v>
      </c>
    </row>
    <row r="526" spans="1:3">
      <c r="A526" t="s">
        <v>518</v>
      </c>
      <c r="B526" t="s">
        <v>1070</v>
      </c>
      <c r="C526" t="s">
        <v>7258</v>
      </c>
    </row>
    <row r="527" spans="1:3">
      <c r="A527" t="s">
        <v>518</v>
      </c>
      <c r="B527" t="s">
        <v>1075</v>
      </c>
      <c r="C527" t="s">
        <v>7265</v>
      </c>
    </row>
    <row r="528" spans="1:3">
      <c r="A528" t="s">
        <v>518</v>
      </c>
      <c r="B528" t="s">
        <v>1075</v>
      </c>
      <c r="C528" t="s">
        <v>7264</v>
      </c>
    </row>
    <row r="529" spans="1:3">
      <c r="A529" t="s">
        <v>518</v>
      </c>
      <c r="B529" t="s">
        <v>1075</v>
      </c>
      <c r="C529" t="s">
        <v>7263</v>
      </c>
    </row>
    <row r="530" spans="1:3">
      <c r="A530" t="s">
        <v>518</v>
      </c>
      <c r="B530" t="s">
        <v>1075</v>
      </c>
      <c r="C530" t="s">
        <v>7262</v>
      </c>
    </row>
    <row r="531" spans="1:3">
      <c r="A531" t="s">
        <v>518</v>
      </c>
      <c r="B531" t="s">
        <v>1075</v>
      </c>
      <c r="C531" t="s">
        <v>7261</v>
      </c>
    </row>
    <row r="532" spans="1:3">
      <c r="A532" t="s">
        <v>517</v>
      </c>
      <c r="B532" t="s">
        <v>1070</v>
      </c>
      <c r="C532" t="s">
        <v>7252</v>
      </c>
    </row>
    <row r="533" spans="1:3">
      <c r="A533" t="s">
        <v>517</v>
      </c>
      <c r="B533" t="s">
        <v>1070</v>
      </c>
      <c r="C533" t="s">
        <v>7251</v>
      </c>
    </row>
    <row r="534" spans="1:3">
      <c r="A534" t="s">
        <v>517</v>
      </c>
      <c r="B534" t="s">
        <v>1070</v>
      </c>
      <c r="C534" t="s">
        <v>7250</v>
      </c>
    </row>
    <row r="535" spans="1:3">
      <c r="A535" t="s">
        <v>517</v>
      </c>
      <c r="B535" t="s">
        <v>1075</v>
      </c>
      <c r="C535" t="s">
        <v>7257</v>
      </c>
    </row>
    <row r="536" spans="1:3">
      <c r="A536" t="s">
        <v>517</v>
      </c>
      <c r="B536" t="s">
        <v>1075</v>
      </c>
      <c r="C536" t="s">
        <v>7256</v>
      </c>
    </row>
    <row r="537" spans="1:3">
      <c r="A537" t="s">
        <v>517</v>
      </c>
      <c r="B537" t="s">
        <v>1075</v>
      </c>
      <c r="C537" t="s">
        <v>7255</v>
      </c>
    </row>
    <row r="538" spans="1:3">
      <c r="A538" t="s">
        <v>517</v>
      </c>
      <c r="B538" t="s">
        <v>1075</v>
      </c>
      <c r="C538" t="s">
        <v>7254</v>
      </c>
    </row>
    <row r="539" spans="1:3">
      <c r="A539" t="s">
        <v>517</v>
      </c>
      <c r="B539" t="s">
        <v>1075</v>
      </c>
      <c r="C539" t="s">
        <v>7253</v>
      </c>
    </row>
    <row r="540" spans="1:3">
      <c r="A540" t="s">
        <v>493</v>
      </c>
      <c r="B540" t="s">
        <v>1070</v>
      </c>
      <c r="C540" t="s">
        <v>7244</v>
      </c>
    </row>
    <row r="541" spans="1:3">
      <c r="A541" t="s">
        <v>493</v>
      </c>
      <c r="B541" t="s">
        <v>1070</v>
      </c>
      <c r="C541" t="s">
        <v>7243</v>
      </c>
    </row>
    <row r="542" spans="1:3">
      <c r="A542" t="s">
        <v>493</v>
      </c>
      <c r="B542" t="s">
        <v>1070</v>
      </c>
      <c r="C542" t="s">
        <v>7242</v>
      </c>
    </row>
    <row r="543" spans="1:3">
      <c r="A543" t="s">
        <v>493</v>
      </c>
      <c r="B543" t="s">
        <v>1075</v>
      </c>
      <c r="C543" t="s">
        <v>7249</v>
      </c>
    </row>
    <row r="544" spans="1:3">
      <c r="A544" t="s">
        <v>493</v>
      </c>
      <c r="B544" t="s">
        <v>1075</v>
      </c>
      <c r="C544" t="s">
        <v>7248</v>
      </c>
    </row>
    <row r="545" spans="1:3">
      <c r="A545" t="s">
        <v>493</v>
      </c>
      <c r="B545" t="s">
        <v>1075</v>
      </c>
      <c r="C545" t="s">
        <v>7247</v>
      </c>
    </row>
    <row r="546" spans="1:3">
      <c r="A546" t="s">
        <v>493</v>
      </c>
      <c r="B546" t="s">
        <v>1075</v>
      </c>
      <c r="C546" t="s">
        <v>7246</v>
      </c>
    </row>
    <row r="547" spans="1:3">
      <c r="A547" t="s">
        <v>493</v>
      </c>
      <c r="B547" t="s">
        <v>1075</v>
      </c>
      <c r="C547" t="s">
        <v>7245</v>
      </c>
    </row>
    <row r="548" spans="1:3">
      <c r="A548" t="s">
        <v>520</v>
      </c>
      <c r="B548" t="s">
        <v>1070</v>
      </c>
      <c r="C548" t="s">
        <v>7236</v>
      </c>
    </row>
    <row r="549" spans="1:3">
      <c r="A549" t="s">
        <v>520</v>
      </c>
      <c r="B549" t="s">
        <v>1070</v>
      </c>
      <c r="C549" t="s">
        <v>7235</v>
      </c>
    </row>
    <row r="550" spans="1:3">
      <c r="A550" t="s">
        <v>520</v>
      </c>
      <c r="B550" t="s">
        <v>1070</v>
      </c>
      <c r="C550" t="s">
        <v>7234</v>
      </c>
    </row>
    <row r="551" spans="1:3">
      <c r="A551" t="s">
        <v>520</v>
      </c>
      <c r="B551" t="s">
        <v>1075</v>
      </c>
      <c r="C551" t="s">
        <v>7241</v>
      </c>
    </row>
    <row r="552" spans="1:3">
      <c r="A552" t="s">
        <v>520</v>
      </c>
      <c r="B552" t="s">
        <v>1075</v>
      </c>
      <c r="C552" t="s">
        <v>7240</v>
      </c>
    </row>
    <row r="553" spans="1:3">
      <c r="A553" t="s">
        <v>520</v>
      </c>
      <c r="B553" t="s">
        <v>1075</v>
      </c>
      <c r="C553" t="s">
        <v>7239</v>
      </c>
    </row>
    <row r="554" spans="1:3">
      <c r="A554" t="s">
        <v>520</v>
      </c>
      <c r="B554" t="s">
        <v>1075</v>
      </c>
      <c r="C554" t="s">
        <v>7238</v>
      </c>
    </row>
    <row r="555" spans="1:3">
      <c r="A555" t="s">
        <v>520</v>
      </c>
      <c r="B555" t="s">
        <v>1075</v>
      </c>
      <c r="C555" t="s">
        <v>7237</v>
      </c>
    </row>
    <row r="556" spans="1:3">
      <c r="A556" t="s">
        <v>494</v>
      </c>
      <c r="B556" t="s">
        <v>1070</v>
      </c>
      <c r="C556" t="s">
        <v>7228</v>
      </c>
    </row>
    <row r="557" spans="1:3">
      <c r="A557" t="s">
        <v>494</v>
      </c>
      <c r="B557" t="s">
        <v>1070</v>
      </c>
      <c r="C557" t="s">
        <v>7227</v>
      </c>
    </row>
    <row r="558" spans="1:3">
      <c r="A558" t="s">
        <v>494</v>
      </c>
      <c r="B558" t="s">
        <v>1070</v>
      </c>
      <c r="C558" t="s">
        <v>7226</v>
      </c>
    </row>
    <row r="559" spans="1:3">
      <c r="A559" t="s">
        <v>494</v>
      </c>
      <c r="B559" t="s">
        <v>1075</v>
      </c>
      <c r="C559" t="s">
        <v>7233</v>
      </c>
    </row>
    <row r="560" spans="1:3">
      <c r="A560" t="s">
        <v>494</v>
      </c>
      <c r="B560" t="s">
        <v>1075</v>
      </c>
      <c r="C560" t="s">
        <v>7232</v>
      </c>
    </row>
    <row r="561" spans="1:3">
      <c r="A561" t="s">
        <v>494</v>
      </c>
      <c r="B561" t="s">
        <v>1075</v>
      </c>
      <c r="C561" t="s">
        <v>7231</v>
      </c>
    </row>
    <row r="562" spans="1:3">
      <c r="A562" t="s">
        <v>494</v>
      </c>
      <c r="B562" t="s">
        <v>1075</v>
      </c>
      <c r="C562" t="s">
        <v>7230</v>
      </c>
    </row>
    <row r="563" spans="1:3">
      <c r="A563" t="s">
        <v>494</v>
      </c>
      <c r="B563" t="s">
        <v>1075</v>
      </c>
      <c r="C563" t="s">
        <v>7229</v>
      </c>
    </row>
    <row r="564" spans="1:3">
      <c r="A564" t="s">
        <v>478</v>
      </c>
      <c r="B564" t="s">
        <v>1070</v>
      </c>
      <c r="C564" t="s">
        <v>7220</v>
      </c>
    </row>
    <row r="565" spans="1:3">
      <c r="A565" t="s">
        <v>478</v>
      </c>
      <c r="B565" t="s">
        <v>1070</v>
      </c>
      <c r="C565" t="s">
        <v>7219</v>
      </c>
    </row>
    <row r="566" spans="1:3">
      <c r="A566" t="s">
        <v>478</v>
      </c>
      <c r="B566" t="s">
        <v>1070</v>
      </c>
      <c r="C566" t="s">
        <v>7218</v>
      </c>
    </row>
    <row r="567" spans="1:3">
      <c r="A567" t="s">
        <v>478</v>
      </c>
      <c r="B567" t="s">
        <v>1075</v>
      </c>
      <c r="C567" t="s">
        <v>7225</v>
      </c>
    </row>
    <row r="568" spans="1:3">
      <c r="A568" t="s">
        <v>478</v>
      </c>
      <c r="B568" t="s">
        <v>1075</v>
      </c>
      <c r="C568" t="s">
        <v>7224</v>
      </c>
    </row>
    <row r="569" spans="1:3">
      <c r="A569" t="s">
        <v>478</v>
      </c>
      <c r="B569" t="s">
        <v>1075</v>
      </c>
      <c r="C569" t="s">
        <v>7223</v>
      </c>
    </row>
    <row r="570" spans="1:3">
      <c r="A570" t="s">
        <v>478</v>
      </c>
      <c r="B570" t="s">
        <v>1075</v>
      </c>
      <c r="C570" t="s">
        <v>7222</v>
      </c>
    </row>
    <row r="571" spans="1:3">
      <c r="A571" t="s">
        <v>478</v>
      </c>
      <c r="B571" t="s">
        <v>1075</v>
      </c>
      <c r="C571" t="s">
        <v>7221</v>
      </c>
    </row>
    <row r="572" spans="1:3">
      <c r="A572" t="s">
        <v>482</v>
      </c>
      <c r="B572" t="s">
        <v>1070</v>
      </c>
      <c r="C572" t="s">
        <v>7212</v>
      </c>
    </row>
    <row r="573" spans="1:3">
      <c r="A573" t="s">
        <v>482</v>
      </c>
      <c r="B573" t="s">
        <v>1070</v>
      </c>
      <c r="C573" t="s">
        <v>7211</v>
      </c>
    </row>
    <row r="574" spans="1:3">
      <c r="A574" t="s">
        <v>482</v>
      </c>
      <c r="B574" t="s">
        <v>1070</v>
      </c>
      <c r="C574" t="s">
        <v>7210</v>
      </c>
    </row>
    <row r="575" spans="1:3">
      <c r="A575" t="s">
        <v>482</v>
      </c>
      <c r="B575" t="s">
        <v>1075</v>
      </c>
      <c r="C575" t="s">
        <v>7217</v>
      </c>
    </row>
    <row r="576" spans="1:3">
      <c r="A576" t="s">
        <v>482</v>
      </c>
      <c r="B576" t="s">
        <v>1075</v>
      </c>
      <c r="C576" t="s">
        <v>7216</v>
      </c>
    </row>
    <row r="577" spans="1:3">
      <c r="A577" t="s">
        <v>482</v>
      </c>
      <c r="B577" t="s">
        <v>1075</v>
      </c>
      <c r="C577" t="s">
        <v>7215</v>
      </c>
    </row>
    <row r="578" spans="1:3">
      <c r="A578" t="s">
        <v>482</v>
      </c>
      <c r="B578" t="s">
        <v>1075</v>
      </c>
      <c r="C578" t="s">
        <v>7214</v>
      </c>
    </row>
    <row r="579" spans="1:3">
      <c r="A579" t="s">
        <v>482</v>
      </c>
      <c r="B579" t="s">
        <v>1075</v>
      </c>
      <c r="C579" t="s">
        <v>7213</v>
      </c>
    </row>
    <row r="580" spans="1:3">
      <c r="A580" t="s">
        <v>484</v>
      </c>
      <c r="B580" t="s">
        <v>1070</v>
      </c>
      <c r="C580" t="s">
        <v>7204</v>
      </c>
    </row>
    <row r="581" spans="1:3">
      <c r="A581" t="s">
        <v>484</v>
      </c>
      <c r="B581" t="s">
        <v>1070</v>
      </c>
      <c r="C581" t="s">
        <v>7203</v>
      </c>
    </row>
    <row r="582" spans="1:3">
      <c r="A582" t="s">
        <v>484</v>
      </c>
      <c r="B582" t="s">
        <v>1070</v>
      </c>
      <c r="C582" t="s">
        <v>7202</v>
      </c>
    </row>
    <row r="583" spans="1:3">
      <c r="A583" t="s">
        <v>484</v>
      </c>
      <c r="B583" t="s">
        <v>1075</v>
      </c>
      <c r="C583" t="s">
        <v>7209</v>
      </c>
    </row>
    <row r="584" spans="1:3">
      <c r="A584" t="s">
        <v>484</v>
      </c>
      <c r="B584" t="s">
        <v>1075</v>
      </c>
      <c r="C584" t="s">
        <v>7208</v>
      </c>
    </row>
    <row r="585" spans="1:3">
      <c r="A585" t="s">
        <v>484</v>
      </c>
      <c r="B585" t="s">
        <v>1075</v>
      </c>
      <c r="C585" t="s">
        <v>7207</v>
      </c>
    </row>
    <row r="586" spans="1:3">
      <c r="A586" t="s">
        <v>484</v>
      </c>
      <c r="B586" t="s">
        <v>1075</v>
      </c>
      <c r="C586" t="s">
        <v>7206</v>
      </c>
    </row>
    <row r="587" spans="1:3">
      <c r="A587" t="s">
        <v>484</v>
      </c>
      <c r="B587" t="s">
        <v>1075</v>
      </c>
      <c r="C587" t="s">
        <v>7205</v>
      </c>
    </row>
    <row r="588" spans="1:3">
      <c r="A588" t="s">
        <v>523</v>
      </c>
      <c r="B588" t="s">
        <v>1070</v>
      </c>
      <c r="C588" t="s">
        <v>7196</v>
      </c>
    </row>
    <row r="589" spans="1:3">
      <c r="A589" t="s">
        <v>523</v>
      </c>
      <c r="B589" t="s">
        <v>1070</v>
      </c>
      <c r="C589" t="s">
        <v>7195</v>
      </c>
    </row>
    <row r="590" spans="1:3">
      <c r="A590" t="s">
        <v>523</v>
      </c>
      <c r="B590" t="s">
        <v>1070</v>
      </c>
      <c r="C590" t="s">
        <v>7194</v>
      </c>
    </row>
    <row r="591" spans="1:3">
      <c r="A591" t="s">
        <v>523</v>
      </c>
      <c r="B591" t="s">
        <v>1075</v>
      </c>
      <c r="C591" t="s">
        <v>7201</v>
      </c>
    </row>
    <row r="592" spans="1:3">
      <c r="A592" t="s">
        <v>523</v>
      </c>
      <c r="B592" t="s">
        <v>1075</v>
      </c>
      <c r="C592" t="s">
        <v>7200</v>
      </c>
    </row>
    <row r="593" spans="1:3">
      <c r="A593" t="s">
        <v>523</v>
      </c>
      <c r="B593" t="s">
        <v>1075</v>
      </c>
      <c r="C593" t="s">
        <v>7199</v>
      </c>
    </row>
    <row r="594" spans="1:3">
      <c r="A594" t="s">
        <v>523</v>
      </c>
      <c r="B594" t="s">
        <v>1075</v>
      </c>
      <c r="C594" t="s">
        <v>7198</v>
      </c>
    </row>
    <row r="595" spans="1:3">
      <c r="A595" t="s">
        <v>523</v>
      </c>
      <c r="B595" t="s">
        <v>1075</v>
      </c>
      <c r="C595" t="s">
        <v>7197</v>
      </c>
    </row>
    <row r="596" spans="1:3">
      <c r="A596" t="s">
        <v>506</v>
      </c>
      <c r="B596" t="s">
        <v>1070</v>
      </c>
      <c r="C596" t="s">
        <v>7188</v>
      </c>
    </row>
    <row r="597" spans="1:3">
      <c r="A597" t="s">
        <v>506</v>
      </c>
      <c r="B597" t="s">
        <v>1070</v>
      </c>
      <c r="C597" t="s">
        <v>7187</v>
      </c>
    </row>
    <row r="598" spans="1:3">
      <c r="A598" t="s">
        <v>506</v>
      </c>
      <c r="B598" t="s">
        <v>1070</v>
      </c>
      <c r="C598" t="s">
        <v>7186</v>
      </c>
    </row>
    <row r="599" spans="1:3">
      <c r="A599" t="s">
        <v>506</v>
      </c>
      <c r="B599" t="s">
        <v>1075</v>
      </c>
      <c r="C599" t="s">
        <v>7193</v>
      </c>
    </row>
    <row r="600" spans="1:3">
      <c r="A600" t="s">
        <v>506</v>
      </c>
      <c r="B600" t="s">
        <v>1075</v>
      </c>
      <c r="C600" t="s">
        <v>7192</v>
      </c>
    </row>
    <row r="601" spans="1:3">
      <c r="A601" t="s">
        <v>506</v>
      </c>
      <c r="B601" t="s">
        <v>1075</v>
      </c>
      <c r="C601" t="s">
        <v>7191</v>
      </c>
    </row>
    <row r="602" spans="1:3">
      <c r="A602" t="s">
        <v>506</v>
      </c>
      <c r="B602" t="s">
        <v>1075</v>
      </c>
      <c r="C602" t="s">
        <v>7190</v>
      </c>
    </row>
    <row r="603" spans="1:3">
      <c r="A603" t="s">
        <v>506</v>
      </c>
      <c r="B603" t="s">
        <v>1075</v>
      </c>
      <c r="C603" t="s">
        <v>7189</v>
      </c>
    </row>
    <row r="604" spans="1:3">
      <c r="A604" t="s">
        <v>507</v>
      </c>
      <c r="B604" t="s">
        <v>1070</v>
      </c>
      <c r="C604" t="s">
        <v>7180</v>
      </c>
    </row>
    <row r="605" spans="1:3">
      <c r="A605" t="s">
        <v>507</v>
      </c>
      <c r="B605" t="s">
        <v>1070</v>
      </c>
      <c r="C605" t="s">
        <v>7179</v>
      </c>
    </row>
    <row r="606" spans="1:3">
      <c r="A606" t="s">
        <v>507</v>
      </c>
      <c r="B606" t="s">
        <v>1070</v>
      </c>
      <c r="C606" t="s">
        <v>7178</v>
      </c>
    </row>
    <row r="607" spans="1:3">
      <c r="A607" t="s">
        <v>507</v>
      </c>
      <c r="B607" t="s">
        <v>1075</v>
      </c>
      <c r="C607" t="s">
        <v>7185</v>
      </c>
    </row>
    <row r="608" spans="1:3">
      <c r="A608" t="s">
        <v>507</v>
      </c>
      <c r="B608" t="s">
        <v>1075</v>
      </c>
      <c r="C608" t="s">
        <v>7184</v>
      </c>
    </row>
    <row r="609" spans="1:3">
      <c r="A609" t="s">
        <v>507</v>
      </c>
      <c r="B609" t="s">
        <v>1075</v>
      </c>
      <c r="C609" t="s">
        <v>7183</v>
      </c>
    </row>
    <row r="610" spans="1:3">
      <c r="A610" t="s">
        <v>507</v>
      </c>
      <c r="B610" t="s">
        <v>1075</v>
      </c>
      <c r="C610" t="s">
        <v>7182</v>
      </c>
    </row>
    <row r="611" spans="1:3">
      <c r="A611" t="s">
        <v>507</v>
      </c>
      <c r="B611" t="s">
        <v>1075</v>
      </c>
      <c r="C611" t="s">
        <v>7181</v>
      </c>
    </row>
    <row r="612" spans="1:3">
      <c r="A612" t="s">
        <v>527</v>
      </c>
      <c r="B612" t="s">
        <v>1070</v>
      </c>
      <c r="C612" t="s">
        <v>7172</v>
      </c>
    </row>
    <row r="613" spans="1:3">
      <c r="A613" t="s">
        <v>527</v>
      </c>
      <c r="B613" t="s">
        <v>1070</v>
      </c>
      <c r="C613" t="s">
        <v>7171</v>
      </c>
    </row>
    <row r="614" spans="1:3">
      <c r="A614" t="s">
        <v>527</v>
      </c>
      <c r="B614" t="s">
        <v>1070</v>
      </c>
      <c r="C614" t="s">
        <v>7170</v>
      </c>
    </row>
    <row r="615" spans="1:3">
      <c r="A615" t="s">
        <v>527</v>
      </c>
      <c r="B615" t="s">
        <v>1075</v>
      </c>
      <c r="C615" t="s">
        <v>7177</v>
      </c>
    </row>
    <row r="616" spans="1:3">
      <c r="A616" t="s">
        <v>527</v>
      </c>
      <c r="B616" t="s">
        <v>1075</v>
      </c>
      <c r="C616" t="s">
        <v>7176</v>
      </c>
    </row>
    <row r="617" spans="1:3">
      <c r="A617" t="s">
        <v>527</v>
      </c>
      <c r="B617" t="s">
        <v>1075</v>
      </c>
      <c r="C617" t="s">
        <v>7175</v>
      </c>
    </row>
    <row r="618" spans="1:3">
      <c r="A618" t="s">
        <v>527</v>
      </c>
      <c r="B618" t="s">
        <v>1075</v>
      </c>
      <c r="C618" t="s">
        <v>7174</v>
      </c>
    </row>
    <row r="619" spans="1:3">
      <c r="A619" t="s">
        <v>527</v>
      </c>
      <c r="B619" t="s">
        <v>1075</v>
      </c>
      <c r="C619" t="s">
        <v>7173</v>
      </c>
    </row>
    <row r="620" spans="1:3">
      <c r="A620" t="s">
        <v>503</v>
      </c>
      <c r="B620" t="s">
        <v>1070</v>
      </c>
      <c r="C620" t="s">
        <v>7164</v>
      </c>
    </row>
    <row r="621" spans="1:3">
      <c r="A621" t="s">
        <v>503</v>
      </c>
      <c r="B621" t="s">
        <v>1070</v>
      </c>
      <c r="C621" t="s">
        <v>7163</v>
      </c>
    </row>
    <row r="622" spans="1:3">
      <c r="A622" t="s">
        <v>503</v>
      </c>
      <c r="B622" t="s">
        <v>1070</v>
      </c>
      <c r="C622" t="s">
        <v>7162</v>
      </c>
    </row>
    <row r="623" spans="1:3">
      <c r="A623" t="s">
        <v>503</v>
      </c>
      <c r="B623" t="s">
        <v>1075</v>
      </c>
      <c r="C623" t="s">
        <v>7169</v>
      </c>
    </row>
    <row r="624" spans="1:3">
      <c r="A624" t="s">
        <v>503</v>
      </c>
      <c r="B624" t="s">
        <v>1075</v>
      </c>
      <c r="C624" t="s">
        <v>7168</v>
      </c>
    </row>
    <row r="625" spans="1:3">
      <c r="A625" t="s">
        <v>503</v>
      </c>
      <c r="B625" t="s">
        <v>1075</v>
      </c>
      <c r="C625" t="s">
        <v>7167</v>
      </c>
    </row>
    <row r="626" spans="1:3">
      <c r="A626" t="s">
        <v>503</v>
      </c>
      <c r="B626" t="s">
        <v>1075</v>
      </c>
      <c r="C626" t="s">
        <v>7166</v>
      </c>
    </row>
    <row r="627" spans="1:3">
      <c r="A627" t="s">
        <v>503</v>
      </c>
      <c r="B627" t="s">
        <v>1075</v>
      </c>
      <c r="C627" t="s">
        <v>7165</v>
      </c>
    </row>
    <row r="628" spans="1:3">
      <c r="A628" t="s">
        <v>510</v>
      </c>
      <c r="B628" t="s">
        <v>1070</v>
      </c>
      <c r="C628" t="s">
        <v>7156</v>
      </c>
    </row>
    <row r="629" spans="1:3">
      <c r="A629" t="s">
        <v>510</v>
      </c>
      <c r="B629" t="s">
        <v>1070</v>
      </c>
      <c r="C629" t="s">
        <v>7155</v>
      </c>
    </row>
    <row r="630" spans="1:3">
      <c r="A630" t="s">
        <v>510</v>
      </c>
      <c r="B630" t="s">
        <v>1070</v>
      </c>
      <c r="C630" t="s">
        <v>7154</v>
      </c>
    </row>
    <row r="631" spans="1:3">
      <c r="A631" t="s">
        <v>510</v>
      </c>
      <c r="B631" t="s">
        <v>1075</v>
      </c>
      <c r="C631" t="s">
        <v>7161</v>
      </c>
    </row>
    <row r="632" spans="1:3">
      <c r="A632" t="s">
        <v>510</v>
      </c>
      <c r="B632" t="s">
        <v>1075</v>
      </c>
      <c r="C632" t="s">
        <v>7160</v>
      </c>
    </row>
    <row r="633" spans="1:3">
      <c r="A633" t="s">
        <v>510</v>
      </c>
      <c r="B633" t="s">
        <v>1075</v>
      </c>
      <c r="C633" t="s">
        <v>7159</v>
      </c>
    </row>
    <row r="634" spans="1:3">
      <c r="A634" t="s">
        <v>510</v>
      </c>
      <c r="B634" t="s">
        <v>1075</v>
      </c>
      <c r="C634" t="s">
        <v>7158</v>
      </c>
    </row>
    <row r="635" spans="1:3">
      <c r="A635" t="s">
        <v>510</v>
      </c>
      <c r="B635" t="s">
        <v>1075</v>
      </c>
      <c r="C635" t="s">
        <v>7157</v>
      </c>
    </row>
    <row r="636" spans="1:3">
      <c r="A636" t="s">
        <v>519</v>
      </c>
      <c r="B636" t="s">
        <v>1070</v>
      </c>
      <c r="C636" t="s">
        <v>7148</v>
      </c>
    </row>
    <row r="637" spans="1:3">
      <c r="A637" t="s">
        <v>519</v>
      </c>
      <c r="B637" t="s">
        <v>1070</v>
      </c>
      <c r="C637" t="s">
        <v>7147</v>
      </c>
    </row>
    <row r="638" spans="1:3">
      <c r="A638" t="s">
        <v>519</v>
      </c>
      <c r="B638" t="s">
        <v>1070</v>
      </c>
      <c r="C638" t="s">
        <v>7146</v>
      </c>
    </row>
    <row r="639" spans="1:3">
      <c r="A639" t="s">
        <v>519</v>
      </c>
      <c r="B639" t="s">
        <v>1075</v>
      </c>
      <c r="C639" t="s">
        <v>7153</v>
      </c>
    </row>
    <row r="640" spans="1:3">
      <c r="A640" t="s">
        <v>519</v>
      </c>
      <c r="B640" t="s">
        <v>1075</v>
      </c>
      <c r="C640" t="s">
        <v>7152</v>
      </c>
    </row>
    <row r="641" spans="1:3">
      <c r="A641" t="s">
        <v>519</v>
      </c>
      <c r="B641" t="s">
        <v>1075</v>
      </c>
      <c r="C641" t="s">
        <v>7151</v>
      </c>
    </row>
    <row r="642" spans="1:3">
      <c r="A642" t="s">
        <v>519</v>
      </c>
      <c r="B642" t="s">
        <v>1075</v>
      </c>
      <c r="C642" t="s">
        <v>7150</v>
      </c>
    </row>
    <row r="643" spans="1:3">
      <c r="A643" t="s">
        <v>519</v>
      </c>
      <c r="B643" t="s">
        <v>1075</v>
      </c>
      <c r="C643" t="s">
        <v>7149</v>
      </c>
    </row>
    <row r="644" spans="1:3">
      <c r="A644" t="s">
        <v>485</v>
      </c>
      <c r="B644" t="s">
        <v>1070</v>
      </c>
      <c r="C644" t="s">
        <v>7140</v>
      </c>
    </row>
    <row r="645" spans="1:3">
      <c r="A645" t="s">
        <v>485</v>
      </c>
      <c r="B645" t="s">
        <v>1070</v>
      </c>
      <c r="C645" t="s">
        <v>7139</v>
      </c>
    </row>
    <row r="646" spans="1:3">
      <c r="A646" t="s">
        <v>485</v>
      </c>
      <c r="B646" t="s">
        <v>1070</v>
      </c>
      <c r="C646" t="s">
        <v>7138</v>
      </c>
    </row>
    <row r="647" spans="1:3">
      <c r="A647" t="s">
        <v>485</v>
      </c>
      <c r="B647" t="s">
        <v>1075</v>
      </c>
      <c r="C647" t="s">
        <v>7145</v>
      </c>
    </row>
    <row r="648" spans="1:3">
      <c r="A648" t="s">
        <v>485</v>
      </c>
      <c r="B648" t="s">
        <v>1075</v>
      </c>
      <c r="C648" t="s">
        <v>7144</v>
      </c>
    </row>
    <row r="649" spans="1:3">
      <c r="A649" t="s">
        <v>485</v>
      </c>
      <c r="B649" t="s">
        <v>1075</v>
      </c>
      <c r="C649" t="s">
        <v>7143</v>
      </c>
    </row>
    <row r="650" spans="1:3">
      <c r="A650" t="s">
        <v>485</v>
      </c>
      <c r="B650" t="s">
        <v>1075</v>
      </c>
      <c r="C650" t="s">
        <v>7142</v>
      </c>
    </row>
    <row r="651" spans="1:3">
      <c r="A651" t="s">
        <v>485</v>
      </c>
      <c r="B651" t="s">
        <v>1075</v>
      </c>
      <c r="C651" t="s">
        <v>7141</v>
      </c>
    </row>
    <row r="652" spans="1:3">
      <c r="A652" t="s">
        <v>496</v>
      </c>
      <c r="B652" t="s">
        <v>1070</v>
      </c>
      <c r="C652" t="s">
        <v>7132</v>
      </c>
    </row>
    <row r="653" spans="1:3">
      <c r="A653" t="s">
        <v>496</v>
      </c>
      <c r="B653" t="s">
        <v>1070</v>
      </c>
      <c r="C653" t="s">
        <v>7131</v>
      </c>
    </row>
    <row r="654" spans="1:3">
      <c r="A654" t="s">
        <v>496</v>
      </c>
      <c r="B654" t="s">
        <v>1070</v>
      </c>
      <c r="C654" t="s">
        <v>7130</v>
      </c>
    </row>
    <row r="655" spans="1:3">
      <c r="A655" t="s">
        <v>496</v>
      </c>
      <c r="B655" t="s">
        <v>1075</v>
      </c>
      <c r="C655" t="s">
        <v>7137</v>
      </c>
    </row>
    <row r="656" spans="1:3">
      <c r="A656" t="s">
        <v>496</v>
      </c>
      <c r="B656" t="s">
        <v>1075</v>
      </c>
      <c r="C656" t="s">
        <v>7136</v>
      </c>
    </row>
    <row r="657" spans="1:3">
      <c r="A657" t="s">
        <v>496</v>
      </c>
      <c r="B657" t="s">
        <v>1075</v>
      </c>
      <c r="C657" t="s">
        <v>7135</v>
      </c>
    </row>
    <row r="658" spans="1:3">
      <c r="A658" t="s">
        <v>496</v>
      </c>
      <c r="B658" t="s">
        <v>1075</v>
      </c>
      <c r="C658" t="s">
        <v>7134</v>
      </c>
    </row>
    <row r="659" spans="1:3">
      <c r="A659" t="s">
        <v>496</v>
      </c>
      <c r="B659" t="s">
        <v>1075</v>
      </c>
      <c r="C659" t="s">
        <v>7133</v>
      </c>
    </row>
    <row r="660" spans="1:3">
      <c r="A660" t="s">
        <v>528</v>
      </c>
      <c r="B660" t="s">
        <v>1070</v>
      </c>
      <c r="C660" t="s">
        <v>7124</v>
      </c>
    </row>
    <row r="661" spans="1:3">
      <c r="A661" t="s">
        <v>528</v>
      </c>
      <c r="B661" t="s">
        <v>1070</v>
      </c>
      <c r="C661" t="s">
        <v>7123</v>
      </c>
    </row>
    <row r="662" spans="1:3">
      <c r="A662" t="s">
        <v>528</v>
      </c>
      <c r="B662" t="s">
        <v>1070</v>
      </c>
      <c r="C662" t="s">
        <v>7122</v>
      </c>
    </row>
    <row r="663" spans="1:3">
      <c r="A663" t="s">
        <v>528</v>
      </c>
      <c r="B663" t="s">
        <v>1075</v>
      </c>
      <c r="C663" t="s">
        <v>7129</v>
      </c>
    </row>
    <row r="664" spans="1:3">
      <c r="A664" t="s">
        <v>528</v>
      </c>
      <c r="B664" t="s">
        <v>1075</v>
      </c>
      <c r="C664" t="s">
        <v>7128</v>
      </c>
    </row>
    <row r="665" spans="1:3">
      <c r="A665" t="s">
        <v>528</v>
      </c>
      <c r="B665" t="s">
        <v>1075</v>
      </c>
      <c r="C665" t="s">
        <v>7127</v>
      </c>
    </row>
    <row r="666" spans="1:3">
      <c r="A666" t="s">
        <v>528</v>
      </c>
      <c r="B666" t="s">
        <v>1075</v>
      </c>
      <c r="C666" t="s">
        <v>7126</v>
      </c>
    </row>
    <row r="667" spans="1:3">
      <c r="A667" t="s">
        <v>528</v>
      </c>
      <c r="B667" t="s">
        <v>1075</v>
      </c>
      <c r="C667" t="s">
        <v>7125</v>
      </c>
    </row>
    <row r="668" spans="1:3">
      <c r="A668" t="s">
        <v>529</v>
      </c>
      <c r="B668" t="s">
        <v>1070</v>
      </c>
      <c r="C668" t="s">
        <v>7116</v>
      </c>
    </row>
    <row r="669" spans="1:3">
      <c r="A669" t="s">
        <v>529</v>
      </c>
      <c r="B669" t="s">
        <v>1070</v>
      </c>
      <c r="C669" t="s">
        <v>7115</v>
      </c>
    </row>
    <row r="670" spans="1:3">
      <c r="A670" t="s">
        <v>529</v>
      </c>
      <c r="B670" t="s">
        <v>1070</v>
      </c>
      <c r="C670" t="s">
        <v>7114</v>
      </c>
    </row>
    <row r="671" spans="1:3">
      <c r="A671" t="s">
        <v>529</v>
      </c>
      <c r="B671" t="s">
        <v>1075</v>
      </c>
      <c r="C671" t="s">
        <v>7121</v>
      </c>
    </row>
    <row r="672" spans="1:3">
      <c r="A672" t="s">
        <v>529</v>
      </c>
      <c r="B672" t="s">
        <v>1075</v>
      </c>
      <c r="C672" t="s">
        <v>7120</v>
      </c>
    </row>
    <row r="673" spans="1:3">
      <c r="A673" t="s">
        <v>529</v>
      </c>
      <c r="B673" t="s">
        <v>1075</v>
      </c>
      <c r="C673" t="s">
        <v>7119</v>
      </c>
    </row>
    <row r="674" spans="1:3">
      <c r="A674" t="s">
        <v>529</v>
      </c>
      <c r="B674" t="s">
        <v>1075</v>
      </c>
      <c r="C674" t="s">
        <v>7118</v>
      </c>
    </row>
    <row r="675" spans="1:3">
      <c r="A675" t="s">
        <v>529</v>
      </c>
      <c r="B675" t="s">
        <v>1075</v>
      </c>
      <c r="C675" t="s">
        <v>7117</v>
      </c>
    </row>
    <row r="676" spans="1:3">
      <c r="A676" t="s">
        <v>499</v>
      </c>
      <c r="B676" t="s">
        <v>1070</v>
      </c>
      <c r="C676" t="s">
        <v>7108</v>
      </c>
    </row>
    <row r="677" spans="1:3">
      <c r="A677" t="s">
        <v>499</v>
      </c>
      <c r="B677" t="s">
        <v>1070</v>
      </c>
      <c r="C677" t="s">
        <v>7107</v>
      </c>
    </row>
    <row r="678" spans="1:3">
      <c r="A678" t="s">
        <v>499</v>
      </c>
      <c r="B678" t="s">
        <v>1070</v>
      </c>
      <c r="C678" t="s">
        <v>7106</v>
      </c>
    </row>
    <row r="679" spans="1:3">
      <c r="A679" t="s">
        <v>499</v>
      </c>
      <c r="B679" t="s">
        <v>1075</v>
      </c>
      <c r="C679" t="s">
        <v>7113</v>
      </c>
    </row>
    <row r="680" spans="1:3">
      <c r="A680" t="s">
        <v>499</v>
      </c>
      <c r="B680" t="s">
        <v>1075</v>
      </c>
      <c r="C680" t="s">
        <v>7112</v>
      </c>
    </row>
    <row r="681" spans="1:3">
      <c r="A681" t="s">
        <v>499</v>
      </c>
      <c r="B681" t="s">
        <v>1075</v>
      </c>
      <c r="C681" t="s">
        <v>7111</v>
      </c>
    </row>
    <row r="682" spans="1:3">
      <c r="A682" t="s">
        <v>499</v>
      </c>
      <c r="B682" t="s">
        <v>1075</v>
      </c>
      <c r="C682" t="s">
        <v>7110</v>
      </c>
    </row>
    <row r="683" spans="1:3">
      <c r="A683" t="s">
        <v>499</v>
      </c>
      <c r="B683" t="s">
        <v>1075</v>
      </c>
      <c r="C683" t="s">
        <v>7109</v>
      </c>
    </row>
    <row r="684" spans="1:3">
      <c r="A684" t="s">
        <v>487</v>
      </c>
      <c r="B684" t="s">
        <v>1070</v>
      </c>
      <c r="C684" t="s">
        <v>7100</v>
      </c>
    </row>
    <row r="685" spans="1:3">
      <c r="A685" t="s">
        <v>487</v>
      </c>
      <c r="B685" t="s">
        <v>1070</v>
      </c>
      <c r="C685" t="s">
        <v>7099</v>
      </c>
    </row>
    <row r="686" spans="1:3">
      <c r="A686" t="s">
        <v>487</v>
      </c>
      <c r="B686" t="s">
        <v>1070</v>
      </c>
      <c r="C686" t="s">
        <v>7098</v>
      </c>
    </row>
    <row r="687" spans="1:3">
      <c r="A687" t="s">
        <v>487</v>
      </c>
      <c r="B687" t="s">
        <v>1075</v>
      </c>
      <c r="C687" t="s">
        <v>7105</v>
      </c>
    </row>
    <row r="688" spans="1:3">
      <c r="A688" t="s">
        <v>487</v>
      </c>
      <c r="B688" t="s">
        <v>1075</v>
      </c>
      <c r="C688" t="s">
        <v>7104</v>
      </c>
    </row>
    <row r="689" spans="1:3">
      <c r="A689" t="s">
        <v>487</v>
      </c>
      <c r="B689" t="s">
        <v>1075</v>
      </c>
      <c r="C689" t="s">
        <v>7103</v>
      </c>
    </row>
    <row r="690" spans="1:3">
      <c r="A690" t="s">
        <v>487</v>
      </c>
      <c r="B690" t="s">
        <v>1075</v>
      </c>
      <c r="C690" t="s">
        <v>7102</v>
      </c>
    </row>
    <row r="691" spans="1:3">
      <c r="A691" t="s">
        <v>487</v>
      </c>
      <c r="B691" t="s">
        <v>1075</v>
      </c>
      <c r="C691" t="s">
        <v>7101</v>
      </c>
    </row>
    <row r="692" spans="1:3">
      <c r="A692" t="s">
        <v>512</v>
      </c>
      <c r="B692" t="s">
        <v>1070</v>
      </c>
      <c r="C692" t="s">
        <v>7092</v>
      </c>
    </row>
    <row r="693" spans="1:3">
      <c r="A693" t="s">
        <v>512</v>
      </c>
      <c r="B693" t="s">
        <v>1070</v>
      </c>
      <c r="C693" t="s">
        <v>7091</v>
      </c>
    </row>
    <row r="694" spans="1:3">
      <c r="A694" t="s">
        <v>512</v>
      </c>
      <c r="B694" t="s">
        <v>1070</v>
      </c>
      <c r="C694" t="s">
        <v>7090</v>
      </c>
    </row>
    <row r="695" spans="1:3">
      <c r="A695" t="s">
        <v>512</v>
      </c>
      <c r="B695" t="s">
        <v>1075</v>
      </c>
      <c r="C695" t="s">
        <v>7097</v>
      </c>
    </row>
    <row r="696" spans="1:3">
      <c r="A696" t="s">
        <v>512</v>
      </c>
      <c r="B696" t="s">
        <v>1075</v>
      </c>
      <c r="C696" t="s">
        <v>7096</v>
      </c>
    </row>
    <row r="697" spans="1:3">
      <c r="A697" t="s">
        <v>512</v>
      </c>
      <c r="B697" t="s">
        <v>1075</v>
      </c>
      <c r="C697" t="s">
        <v>7095</v>
      </c>
    </row>
    <row r="698" spans="1:3">
      <c r="A698" t="s">
        <v>512</v>
      </c>
      <c r="B698" t="s">
        <v>1075</v>
      </c>
      <c r="C698" t="s">
        <v>7094</v>
      </c>
    </row>
    <row r="699" spans="1:3">
      <c r="A699" t="s">
        <v>512</v>
      </c>
      <c r="B699" t="s">
        <v>1075</v>
      </c>
      <c r="C699" t="s">
        <v>7093</v>
      </c>
    </row>
    <row r="700" spans="1:3">
      <c r="A700" t="s">
        <v>530</v>
      </c>
      <c r="B700" t="s">
        <v>1070</v>
      </c>
      <c r="C700" t="s">
        <v>7084</v>
      </c>
    </row>
    <row r="701" spans="1:3">
      <c r="A701" t="s">
        <v>530</v>
      </c>
      <c r="B701" t="s">
        <v>1070</v>
      </c>
      <c r="C701" t="s">
        <v>7083</v>
      </c>
    </row>
    <row r="702" spans="1:3">
      <c r="A702" t="s">
        <v>530</v>
      </c>
      <c r="B702" t="s">
        <v>1070</v>
      </c>
      <c r="C702" t="s">
        <v>7082</v>
      </c>
    </row>
    <row r="703" spans="1:3">
      <c r="A703" t="s">
        <v>530</v>
      </c>
      <c r="B703" t="s">
        <v>1075</v>
      </c>
      <c r="C703" t="s">
        <v>7089</v>
      </c>
    </row>
    <row r="704" spans="1:3">
      <c r="A704" t="s">
        <v>530</v>
      </c>
      <c r="B704" t="s">
        <v>1075</v>
      </c>
      <c r="C704" t="s">
        <v>7088</v>
      </c>
    </row>
    <row r="705" spans="1:3">
      <c r="A705" t="s">
        <v>530</v>
      </c>
      <c r="B705" t="s">
        <v>1075</v>
      </c>
      <c r="C705" t="s">
        <v>7087</v>
      </c>
    </row>
    <row r="706" spans="1:3">
      <c r="A706" t="s">
        <v>530</v>
      </c>
      <c r="B706" t="s">
        <v>1075</v>
      </c>
      <c r="C706" t="s">
        <v>7086</v>
      </c>
    </row>
    <row r="707" spans="1:3">
      <c r="A707" t="s">
        <v>530</v>
      </c>
      <c r="B707" t="s">
        <v>1075</v>
      </c>
      <c r="C707" t="s">
        <v>7085</v>
      </c>
    </row>
    <row r="708" spans="1:3">
      <c r="A708" t="s">
        <v>491</v>
      </c>
      <c r="B708" t="s">
        <v>1070</v>
      </c>
      <c r="C708" t="s">
        <v>7076</v>
      </c>
    </row>
    <row r="709" spans="1:3">
      <c r="A709" t="s">
        <v>491</v>
      </c>
      <c r="B709" t="s">
        <v>1070</v>
      </c>
      <c r="C709" t="s">
        <v>7075</v>
      </c>
    </row>
    <row r="710" spans="1:3">
      <c r="A710" t="s">
        <v>491</v>
      </c>
      <c r="B710" t="s">
        <v>1070</v>
      </c>
      <c r="C710" t="s">
        <v>7074</v>
      </c>
    </row>
    <row r="711" spans="1:3">
      <c r="A711" t="s">
        <v>491</v>
      </c>
      <c r="B711" t="s">
        <v>1075</v>
      </c>
      <c r="C711" t="s">
        <v>7081</v>
      </c>
    </row>
    <row r="712" spans="1:3">
      <c r="A712" t="s">
        <v>491</v>
      </c>
      <c r="B712" t="s">
        <v>1075</v>
      </c>
      <c r="C712" t="s">
        <v>7080</v>
      </c>
    </row>
    <row r="713" spans="1:3">
      <c r="A713" t="s">
        <v>491</v>
      </c>
      <c r="B713" t="s">
        <v>1075</v>
      </c>
      <c r="C713" t="s">
        <v>7079</v>
      </c>
    </row>
    <row r="714" spans="1:3">
      <c r="A714" t="s">
        <v>491</v>
      </c>
      <c r="B714" t="s">
        <v>1075</v>
      </c>
      <c r="C714" t="s">
        <v>7078</v>
      </c>
    </row>
    <row r="715" spans="1:3">
      <c r="A715" t="s">
        <v>491</v>
      </c>
      <c r="B715" t="s">
        <v>1075</v>
      </c>
      <c r="C715" t="s">
        <v>7077</v>
      </c>
    </row>
    <row r="716" spans="1:3">
      <c r="A716" t="s">
        <v>511</v>
      </c>
      <c r="B716" t="s">
        <v>1070</v>
      </c>
      <c r="C716" t="s">
        <v>7068</v>
      </c>
    </row>
    <row r="717" spans="1:3">
      <c r="A717" t="s">
        <v>511</v>
      </c>
      <c r="B717" t="s">
        <v>1070</v>
      </c>
      <c r="C717" t="s">
        <v>7067</v>
      </c>
    </row>
    <row r="718" spans="1:3">
      <c r="A718" t="s">
        <v>511</v>
      </c>
      <c r="B718" t="s">
        <v>1070</v>
      </c>
      <c r="C718" t="s">
        <v>7066</v>
      </c>
    </row>
    <row r="719" spans="1:3">
      <c r="A719" t="s">
        <v>511</v>
      </c>
      <c r="B719" t="s">
        <v>1075</v>
      </c>
      <c r="C719" t="s">
        <v>7073</v>
      </c>
    </row>
    <row r="720" spans="1:3">
      <c r="A720" t="s">
        <v>511</v>
      </c>
      <c r="B720" t="s">
        <v>1075</v>
      </c>
      <c r="C720" t="s">
        <v>7072</v>
      </c>
    </row>
    <row r="721" spans="1:3">
      <c r="A721" t="s">
        <v>511</v>
      </c>
      <c r="B721" t="s">
        <v>1075</v>
      </c>
      <c r="C721" t="s">
        <v>7071</v>
      </c>
    </row>
    <row r="722" spans="1:3">
      <c r="A722" t="s">
        <v>511</v>
      </c>
      <c r="B722" t="s">
        <v>1075</v>
      </c>
      <c r="C722" t="s">
        <v>7070</v>
      </c>
    </row>
    <row r="723" spans="1:3">
      <c r="A723" t="s">
        <v>511</v>
      </c>
      <c r="B723" t="s">
        <v>1075</v>
      </c>
      <c r="C723" t="s">
        <v>7069</v>
      </c>
    </row>
    <row r="724" spans="1:3">
      <c r="A724" t="s">
        <v>490</v>
      </c>
      <c r="B724" t="s">
        <v>1070</v>
      </c>
      <c r="C724" t="s">
        <v>7060</v>
      </c>
    </row>
    <row r="725" spans="1:3">
      <c r="A725" t="s">
        <v>490</v>
      </c>
      <c r="B725" t="s">
        <v>1070</v>
      </c>
      <c r="C725" t="s">
        <v>7059</v>
      </c>
    </row>
    <row r="726" spans="1:3">
      <c r="A726" t="s">
        <v>490</v>
      </c>
      <c r="B726" t="s">
        <v>1070</v>
      </c>
      <c r="C726" t="s">
        <v>7058</v>
      </c>
    </row>
    <row r="727" spans="1:3">
      <c r="A727" t="s">
        <v>490</v>
      </c>
      <c r="B727" t="s">
        <v>1075</v>
      </c>
      <c r="C727" t="s">
        <v>7065</v>
      </c>
    </row>
    <row r="728" spans="1:3">
      <c r="A728" t="s">
        <v>490</v>
      </c>
      <c r="B728" t="s">
        <v>1075</v>
      </c>
      <c r="C728" t="s">
        <v>7064</v>
      </c>
    </row>
    <row r="729" spans="1:3">
      <c r="A729" t="s">
        <v>490</v>
      </c>
      <c r="B729" t="s">
        <v>1075</v>
      </c>
      <c r="C729" t="s">
        <v>7063</v>
      </c>
    </row>
    <row r="730" spans="1:3">
      <c r="A730" t="s">
        <v>490</v>
      </c>
      <c r="B730" t="s">
        <v>1075</v>
      </c>
      <c r="C730" t="s">
        <v>7062</v>
      </c>
    </row>
    <row r="731" spans="1:3">
      <c r="A731" t="s">
        <v>490</v>
      </c>
      <c r="B731" t="s">
        <v>1075</v>
      </c>
      <c r="C731" t="s">
        <v>7061</v>
      </c>
    </row>
    <row r="732" spans="1:3">
      <c r="A732" t="s">
        <v>522</v>
      </c>
      <c r="B732" t="s">
        <v>1070</v>
      </c>
      <c r="C732" t="s">
        <v>7052</v>
      </c>
    </row>
    <row r="733" spans="1:3">
      <c r="A733" t="s">
        <v>522</v>
      </c>
      <c r="B733" t="s">
        <v>1070</v>
      </c>
      <c r="C733" t="s">
        <v>7051</v>
      </c>
    </row>
    <row r="734" spans="1:3">
      <c r="A734" t="s">
        <v>522</v>
      </c>
      <c r="B734" t="s">
        <v>1070</v>
      </c>
      <c r="C734" t="s">
        <v>7050</v>
      </c>
    </row>
    <row r="735" spans="1:3">
      <c r="A735" t="s">
        <v>522</v>
      </c>
      <c r="B735" t="s">
        <v>1075</v>
      </c>
      <c r="C735" t="s">
        <v>7057</v>
      </c>
    </row>
    <row r="736" spans="1:3">
      <c r="A736" t="s">
        <v>522</v>
      </c>
      <c r="B736" t="s">
        <v>1075</v>
      </c>
      <c r="C736" t="s">
        <v>7056</v>
      </c>
    </row>
    <row r="737" spans="1:3">
      <c r="A737" t="s">
        <v>522</v>
      </c>
      <c r="B737" t="s">
        <v>1075</v>
      </c>
      <c r="C737" t="s">
        <v>7055</v>
      </c>
    </row>
    <row r="738" spans="1:3">
      <c r="A738" t="s">
        <v>522</v>
      </c>
      <c r="B738" t="s">
        <v>1075</v>
      </c>
      <c r="C738" t="s">
        <v>7054</v>
      </c>
    </row>
    <row r="739" spans="1:3">
      <c r="A739" t="s">
        <v>522</v>
      </c>
      <c r="B739" t="s">
        <v>1075</v>
      </c>
      <c r="C739" t="s">
        <v>7053</v>
      </c>
    </row>
    <row r="740" spans="1:3">
      <c r="A740" t="s">
        <v>502</v>
      </c>
      <c r="B740" t="s">
        <v>1070</v>
      </c>
      <c r="C740" t="s">
        <v>7044</v>
      </c>
    </row>
    <row r="741" spans="1:3">
      <c r="A741" t="s">
        <v>502</v>
      </c>
      <c r="B741" t="s">
        <v>1070</v>
      </c>
      <c r="C741" t="s">
        <v>7043</v>
      </c>
    </row>
    <row r="742" spans="1:3">
      <c r="A742" t="s">
        <v>502</v>
      </c>
      <c r="B742" t="s">
        <v>1070</v>
      </c>
      <c r="C742" t="s">
        <v>7042</v>
      </c>
    </row>
    <row r="743" spans="1:3">
      <c r="A743" t="s">
        <v>502</v>
      </c>
      <c r="B743" t="s">
        <v>1075</v>
      </c>
      <c r="C743" t="s">
        <v>7049</v>
      </c>
    </row>
    <row r="744" spans="1:3">
      <c r="A744" t="s">
        <v>502</v>
      </c>
      <c r="B744" t="s">
        <v>1075</v>
      </c>
      <c r="C744" t="s">
        <v>7048</v>
      </c>
    </row>
    <row r="745" spans="1:3">
      <c r="A745" t="s">
        <v>502</v>
      </c>
      <c r="B745" t="s">
        <v>1075</v>
      </c>
      <c r="C745" t="s">
        <v>7047</v>
      </c>
    </row>
    <row r="746" spans="1:3">
      <c r="A746" t="s">
        <v>502</v>
      </c>
      <c r="B746" t="s">
        <v>1075</v>
      </c>
      <c r="C746" t="s">
        <v>7046</v>
      </c>
    </row>
    <row r="747" spans="1:3">
      <c r="A747" t="s">
        <v>502</v>
      </c>
      <c r="B747" t="s">
        <v>1075</v>
      </c>
      <c r="C747" t="s">
        <v>7045</v>
      </c>
    </row>
    <row r="748" spans="1:3">
      <c r="A748" t="s">
        <v>505</v>
      </c>
      <c r="B748" t="s">
        <v>1070</v>
      </c>
      <c r="C748" t="s">
        <v>7036</v>
      </c>
    </row>
    <row r="749" spans="1:3">
      <c r="A749" t="s">
        <v>505</v>
      </c>
      <c r="B749" t="s">
        <v>1070</v>
      </c>
      <c r="C749" t="s">
        <v>7035</v>
      </c>
    </row>
    <row r="750" spans="1:3">
      <c r="A750" t="s">
        <v>505</v>
      </c>
      <c r="B750" t="s">
        <v>1070</v>
      </c>
      <c r="C750" t="s">
        <v>7034</v>
      </c>
    </row>
    <row r="751" spans="1:3">
      <c r="A751" t="s">
        <v>505</v>
      </c>
      <c r="B751" t="s">
        <v>1075</v>
      </c>
      <c r="C751" t="s">
        <v>7041</v>
      </c>
    </row>
    <row r="752" spans="1:3">
      <c r="A752" t="s">
        <v>505</v>
      </c>
      <c r="B752" t="s">
        <v>1075</v>
      </c>
      <c r="C752" t="s">
        <v>7040</v>
      </c>
    </row>
    <row r="753" spans="1:3">
      <c r="A753" t="s">
        <v>505</v>
      </c>
      <c r="B753" t="s">
        <v>1075</v>
      </c>
      <c r="C753" t="s">
        <v>7039</v>
      </c>
    </row>
    <row r="754" spans="1:3">
      <c r="A754" t="s">
        <v>505</v>
      </c>
      <c r="B754" t="s">
        <v>1075</v>
      </c>
      <c r="C754" t="s">
        <v>7038</v>
      </c>
    </row>
    <row r="755" spans="1:3">
      <c r="A755" t="s">
        <v>505</v>
      </c>
      <c r="B755" t="s">
        <v>1075</v>
      </c>
      <c r="C755" t="s">
        <v>7037</v>
      </c>
    </row>
    <row r="756" spans="1:3">
      <c r="A756" t="s">
        <v>492</v>
      </c>
      <c r="B756" t="s">
        <v>1070</v>
      </c>
      <c r="C756" t="s">
        <v>7028</v>
      </c>
    </row>
    <row r="757" spans="1:3">
      <c r="A757" t="s">
        <v>492</v>
      </c>
      <c r="B757" t="s">
        <v>1070</v>
      </c>
      <c r="C757" t="s">
        <v>7027</v>
      </c>
    </row>
    <row r="758" spans="1:3">
      <c r="A758" t="s">
        <v>492</v>
      </c>
      <c r="B758" t="s">
        <v>1070</v>
      </c>
      <c r="C758" t="s">
        <v>7026</v>
      </c>
    </row>
    <row r="759" spans="1:3">
      <c r="A759" t="s">
        <v>492</v>
      </c>
      <c r="B759" t="s">
        <v>1075</v>
      </c>
      <c r="C759" t="s">
        <v>7033</v>
      </c>
    </row>
    <row r="760" spans="1:3">
      <c r="A760" t="s">
        <v>492</v>
      </c>
      <c r="B760" t="s">
        <v>1075</v>
      </c>
      <c r="C760" t="s">
        <v>7032</v>
      </c>
    </row>
    <row r="761" spans="1:3">
      <c r="A761" t="s">
        <v>492</v>
      </c>
      <c r="B761" t="s">
        <v>1075</v>
      </c>
      <c r="C761" t="s">
        <v>7031</v>
      </c>
    </row>
    <row r="762" spans="1:3">
      <c r="A762" t="s">
        <v>492</v>
      </c>
      <c r="B762" t="s">
        <v>1075</v>
      </c>
      <c r="C762" t="s">
        <v>7030</v>
      </c>
    </row>
    <row r="763" spans="1:3">
      <c r="A763" t="s">
        <v>492</v>
      </c>
      <c r="B763" t="s">
        <v>1075</v>
      </c>
      <c r="C763" t="s">
        <v>7029</v>
      </c>
    </row>
    <row r="764" spans="1:3">
      <c r="A764" t="s">
        <v>515</v>
      </c>
      <c r="B764" t="s">
        <v>1070</v>
      </c>
      <c r="C764" t="s">
        <v>7020</v>
      </c>
    </row>
    <row r="765" spans="1:3">
      <c r="A765" t="s">
        <v>515</v>
      </c>
      <c r="B765" t="s">
        <v>1070</v>
      </c>
      <c r="C765" t="s">
        <v>7019</v>
      </c>
    </row>
    <row r="766" spans="1:3">
      <c r="A766" t="s">
        <v>515</v>
      </c>
      <c r="B766" t="s">
        <v>1070</v>
      </c>
      <c r="C766" t="s">
        <v>7018</v>
      </c>
    </row>
    <row r="767" spans="1:3">
      <c r="A767" t="s">
        <v>515</v>
      </c>
      <c r="B767" t="s">
        <v>1075</v>
      </c>
      <c r="C767" t="s">
        <v>7025</v>
      </c>
    </row>
    <row r="768" spans="1:3">
      <c r="A768" t="s">
        <v>515</v>
      </c>
      <c r="B768" t="s">
        <v>1075</v>
      </c>
      <c r="C768" t="s">
        <v>7024</v>
      </c>
    </row>
    <row r="769" spans="1:3">
      <c r="A769" t="s">
        <v>515</v>
      </c>
      <c r="B769" t="s">
        <v>1075</v>
      </c>
      <c r="C769" t="s">
        <v>7023</v>
      </c>
    </row>
    <row r="770" spans="1:3">
      <c r="A770" t="s">
        <v>515</v>
      </c>
      <c r="B770" t="s">
        <v>1075</v>
      </c>
      <c r="C770" t="s">
        <v>7022</v>
      </c>
    </row>
    <row r="771" spans="1:3">
      <c r="A771" t="s">
        <v>515</v>
      </c>
      <c r="B771" t="s">
        <v>1075</v>
      </c>
      <c r="C771" t="s">
        <v>7021</v>
      </c>
    </row>
    <row r="772" spans="1:3">
      <c r="A772" t="s">
        <v>488</v>
      </c>
      <c r="B772" t="s">
        <v>1070</v>
      </c>
      <c r="C772" t="s">
        <v>7012</v>
      </c>
    </row>
    <row r="773" spans="1:3">
      <c r="A773" t="s">
        <v>488</v>
      </c>
      <c r="B773" t="s">
        <v>1070</v>
      </c>
      <c r="C773" t="s">
        <v>7011</v>
      </c>
    </row>
    <row r="774" spans="1:3">
      <c r="A774" t="s">
        <v>488</v>
      </c>
      <c r="B774" t="s">
        <v>1070</v>
      </c>
      <c r="C774" t="s">
        <v>7010</v>
      </c>
    </row>
    <row r="775" spans="1:3">
      <c r="A775" t="s">
        <v>488</v>
      </c>
      <c r="B775" t="s">
        <v>1075</v>
      </c>
      <c r="C775" t="s">
        <v>7017</v>
      </c>
    </row>
    <row r="776" spans="1:3">
      <c r="A776" t="s">
        <v>488</v>
      </c>
      <c r="B776" t="s">
        <v>1075</v>
      </c>
      <c r="C776" t="s">
        <v>7016</v>
      </c>
    </row>
    <row r="777" spans="1:3">
      <c r="A777" t="s">
        <v>488</v>
      </c>
      <c r="B777" t="s">
        <v>1075</v>
      </c>
      <c r="C777" t="s">
        <v>7015</v>
      </c>
    </row>
    <row r="778" spans="1:3">
      <c r="A778" t="s">
        <v>488</v>
      </c>
      <c r="B778" t="s">
        <v>1075</v>
      </c>
      <c r="C778" t="s">
        <v>7014</v>
      </c>
    </row>
    <row r="779" spans="1:3">
      <c r="A779" t="s">
        <v>488</v>
      </c>
      <c r="B779" t="s">
        <v>1075</v>
      </c>
      <c r="C779" t="s">
        <v>7013</v>
      </c>
    </row>
    <row r="780" spans="1:3">
      <c r="A780" t="s">
        <v>439</v>
      </c>
      <c r="B780" t="s">
        <v>1075</v>
      </c>
      <c r="C780" t="s">
        <v>6994</v>
      </c>
    </row>
    <row r="781" spans="1:3">
      <c r="A781" t="s">
        <v>439</v>
      </c>
      <c r="B781" t="s">
        <v>1075</v>
      </c>
      <c r="C781" t="s">
        <v>6993</v>
      </c>
    </row>
    <row r="782" spans="1:3">
      <c r="A782" t="s">
        <v>631</v>
      </c>
      <c r="B782" t="s">
        <v>1075</v>
      </c>
      <c r="C782" t="s">
        <v>6992</v>
      </c>
    </row>
    <row r="783" spans="1:3">
      <c r="A783" t="s">
        <v>631</v>
      </c>
      <c r="B783" t="s">
        <v>1075</v>
      </c>
      <c r="C783" t="s">
        <v>6991</v>
      </c>
    </row>
    <row r="784" spans="1:3">
      <c r="A784" t="s">
        <v>383</v>
      </c>
      <c r="B784" t="s">
        <v>1075</v>
      </c>
      <c r="C784" t="s">
        <v>6990</v>
      </c>
    </row>
    <row r="785" spans="1:3">
      <c r="A785" t="s">
        <v>383</v>
      </c>
      <c r="B785" t="s">
        <v>1075</v>
      </c>
      <c r="C785" t="s">
        <v>6989</v>
      </c>
    </row>
    <row r="786" spans="1:3">
      <c r="A786" t="s">
        <v>421</v>
      </c>
      <c r="B786" t="s">
        <v>1075</v>
      </c>
      <c r="C786" t="s">
        <v>6988</v>
      </c>
    </row>
    <row r="787" spans="1:3">
      <c r="A787" t="s">
        <v>421</v>
      </c>
      <c r="B787" t="s">
        <v>1075</v>
      </c>
      <c r="C787" t="s">
        <v>6987</v>
      </c>
    </row>
    <row r="788" spans="1:3">
      <c r="A788" t="s">
        <v>428</v>
      </c>
      <c r="B788" t="s">
        <v>1075</v>
      </c>
      <c r="C788" t="s">
        <v>6986</v>
      </c>
    </row>
    <row r="789" spans="1:3">
      <c r="A789" t="s">
        <v>428</v>
      </c>
      <c r="B789" t="s">
        <v>1075</v>
      </c>
      <c r="C789" t="s">
        <v>6985</v>
      </c>
    </row>
    <row r="790" spans="1:3">
      <c r="A790" t="s">
        <v>429</v>
      </c>
      <c r="B790" t="s">
        <v>1075</v>
      </c>
      <c r="C790" t="s">
        <v>6984</v>
      </c>
    </row>
    <row r="791" spans="1:3">
      <c r="A791" t="s">
        <v>429</v>
      </c>
      <c r="B791" t="s">
        <v>1075</v>
      </c>
      <c r="C791" t="s">
        <v>6983</v>
      </c>
    </row>
    <row r="792" spans="1:3">
      <c r="A792" t="s">
        <v>416</v>
      </c>
      <c r="B792" t="s">
        <v>1070</v>
      </c>
      <c r="C792" t="s">
        <v>6979</v>
      </c>
    </row>
    <row r="793" spans="1:3">
      <c r="A793" t="s">
        <v>416</v>
      </c>
      <c r="B793" t="s">
        <v>1075</v>
      </c>
      <c r="C793" t="s">
        <v>6982</v>
      </c>
    </row>
    <row r="794" spans="1:3">
      <c r="A794" t="s">
        <v>416</v>
      </c>
      <c r="B794" t="s">
        <v>1075</v>
      </c>
      <c r="C794" t="s">
        <v>6981</v>
      </c>
    </row>
    <row r="795" spans="1:3">
      <c r="A795" t="s">
        <v>416</v>
      </c>
      <c r="B795" t="s">
        <v>1075</v>
      </c>
      <c r="C795" t="s">
        <v>6980</v>
      </c>
    </row>
    <row r="796" spans="1:3">
      <c r="A796" t="s">
        <v>405</v>
      </c>
      <c r="B796" t="s">
        <v>1075</v>
      </c>
      <c r="C796" t="s">
        <v>6978</v>
      </c>
    </row>
    <row r="797" spans="1:3">
      <c r="A797" t="s">
        <v>405</v>
      </c>
      <c r="B797" t="s">
        <v>1075</v>
      </c>
      <c r="C797" t="s">
        <v>6977</v>
      </c>
    </row>
    <row r="798" spans="1:3">
      <c r="A798" t="s">
        <v>477</v>
      </c>
      <c r="B798" t="s">
        <v>1075</v>
      </c>
      <c r="C798" t="s">
        <v>6976</v>
      </c>
    </row>
    <row r="799" spans="1:3">
      <c r="A799" t="s">
        <v>477</v>
      </c>
      <c r="B799" t="s">
        <v>1075</v>
      </c>
      <c r="C799" t="s">
        <v>6975</v>
      </c>
    </row>
    <row r="800" spans="1:3">
      <c r="A800" t="s">
        <v>637</v>
      </c>
      <c r="B800" t="s">
        <v>1075</v>
      </c>
      <c r="C800" t="s">
        <v>6974</v>
      </c>
    </row>
    <row r="801" spans="1:3">
      <c r="A801" t="s">
        <v>637</v>
      </c>
      <c r="B801" t="s">
        <v>1075</v>
      </c>
      <c r="C801" t="s">
        <v>6973</v>
      </c>
    </row>
    <row r="802" spans="1:3">
      <c r="A802" t="s">
        <v>658</v>
      </c>
      <c r="B802" t="s">
        <v>1075</v>
      </c>
      <c r="C802" t="s">
        <v>6972</v>
      </c>
    </row>
    <row r="803" spans="1:3">
      <c r="A803" t="s">
        <v>658</v>
      </c>
      <c r="B803" t="s">
        <v>1075</v>
      </c>
      <c r="C803" t="s">
        <v>6971</v>
      </c>
    </row>
    <row r="804" spans="1:3">
      <c r="A804" t="s">
        <v>461</v>
      </c>
      <c r="B804" t="s">
        <v>1075</v>
      </c>
      <c r="C804" t="s">
        <v>6960</v>
      </c>
    </row>
    <row r="805" spans="1:3">
      <c r="A805" t="s">
        <v>461</v>
      </c>
      <c r="B805" t="s">
        <v>1075</v>
      </c>
      <c r="C805" t="s">
        <v>6959</v>
      </c>
    </row>
    <row r="806" spans="1:3">
      <c r="A806" t="s">
        <v>408</v>
      </c>
      <c r="B806" t="s">
        <v>1075</v>
      </c>
      <c r="C806" t="s">
        <v>6953</v>
      </c>
    </row>
    <row r="807" spans="1:3">
      <c r="A807" t="s">
        <v>408</v>
      </c>
      <c r="B807" t="s">
        <v>1075</v>
      </c>
      <c r="C807" t="s">
        <v>6952</v>
      </c>
    </row>
    <row r="808" spans="1:3">
      <c r="A808" t="s">
        <v>412</v>
      </c>
      <c r="B808" t="s">
        <v>1075</v>
      </c>
      <c r="C808" t="s">
        <v>6951</v>
      </c>
    </row>
    <row r="809" spans="1:3">
      <c r="A809" t="s">
        <v>412</v>
      </c>
      <c r="B809" t="s">
        <v>1075</v>
      </c>
      <c r="C809" t="s">
        <v>6950</v>
      </c>
    </row>
    <row r="810" spans="1:3">
      <c r="A810" t="s">
        <v>394</v>
      </c>
      <c r="B810" t="s">
        <v>1075</v>
      </c>
      <c r="C810" t="s">
        <v>6949</v>
      </c>
    </row>
    <row r="811" spans="1:3">
      <c r="A811" t="s">
        <v>394</v>
      </c>
      <c r="B811" t="s">
        <v>1075</v>
      </c>
      <c r="C811" t="s">
        <v>6948</v>
      </c>
    </row>
    <row r="812" spans="1:3">
      <c r="A812" t="s">
        <v>407</v>
      </c>
      <c r="B812" t="s">
        <v>1070</v>
      </c>
      <c r="C812" t="s">
        <v>6945</v>
      </c>
    </row>
    <row r="813" spans="1:3">
      <c r="A813" t="s">
        <v>407</v>
      </c>
      <c r="B813" t="s">
        <v>1070</v>
      </c>
      <c r="C813" t="s">
        <v>6944</v>
      </c>
    </row>
    <row r="814" spans="1:3">
      <c r="A814" t="s">
        <v>407</v>
      </c>
      <c r="B814" t="s">
        <v>1070</v>
      </c>
      <c r="C814" t="s">
        <v>6943</v>
      </c>
    </row>
    <row r="815" spans="1:3">
      <c r="A815" t="s">
        <v>407</v>
      </c>
      <c r="B815" t="s">
        <v>1070</v>
      </c>
      <c r="C815" t="s">
        <v>6942</v>
      </c>
    </row>
    <row r="816" spans="1:3">
      <c r="A816" t="s">
        <v>407</v>
      </c>
      <c r="B816" t="s">
        <v>1075</v>
      </c>
      <c r="C816" t="s">
        <v>6947</v>
      </c>
    </row>
    <row r="817" spans="1:3">
      <c r="A817" t="s">
        <v>407</v>
      </c>
      <c r="B817" t="s">
        <v>1075</v>
      </c>
      <c r="C817" t="s">
        <v>6946</v>
      </c>
    </row>
    <row r="818" spans="1:3">
      <c r="A818" t="s">
        <v>444</v>
      </c>
      <c r="B818" t="s">
        <v>1075</v>
      </c>
      <c r="C818" t="s">
        <v>6931</v>
      </c>
    </row>
    <row r="819" spans="1:3">
      <c r="A819" t="s">
        <v>444</v>
      </c>
      <c r="B819" t="s">
        <v>1075</v>
      </c>
      <c r="C819" t="s">
        <v>6930</v>
      </c>
    </row>
    <row r="820" spans="1:3">
      <c r="A820" t="s">
        <v>443</v>
      </c>
      <c r="B820" t="s">
        <v>1075</v>
      </c>
      <c r="C820" t="s">
        <v>6929</v>
      </c>
    </row>
    <row r="821" spans="1:3">
      <c r="A821" t="s">
        <v>443</v>
      </c>
      <c r="B821" t="s">
        <v>1075</v>
      </c>
      <c r="C821" t="s">
        <v>6928</v>
      </c>
    </row>
    <row r="822" spans="1:3">
      <c r="A822" t="s">
        <v>442</v>
      </c>
      <c r="B822" t="s">
        <v>1075</v>
      </c>
      <c r="C822" t="s">
        <v>6927</v>
      </c>
    </row>
    <row r="823" spans="1:3">
      <c r="A823" t="s">
        <v>442</v>
      </c>
      <c r="B823" t="s">
        <v>1075</v>
      </c>
      <c r="C823" t="s">
        <v>6926</v>
      </c>
    </row>
    <row r="824" spans="1:3">
      <c r="A824" t="s">
        <v>441</v>
      </c>
      <c r="B824" t="s">
        <v>1075</v>
      </c>
      <c r="C824" t="s">
        <v>6925</v>
      </c>
    </row>
    <row r="825" spans="1:3">
      <c r="A825" t="s">
        <v>441</v>
      </c>
      <c r="B825" t="s">
        <v>1075</v>
      </c>
      <c r="C825" t="s">
        <v>6924</v>
      </c>
    </row>
    <row r="826" spans="1:3">
      <c r="A826" t="s">
        <v>440</v>
      </c>
      <c r="B826" t="s">
        <v>1075</v>
      </c>
      <c r="C826" t="s">
        <v>6923</v>
      </c>
    </row>
    <row r="827" spans="1:3">
      <c r="A827" t="s">
        <v>440</v>
      </c>
      <c r="B827" t="s">
        <v>1075</v>
      </c>
      <c r="C827" t="s">
        <v>6922</v>
      </c>
    </row>
    <row r="828" spans="1:3">
      <c r="A828" t="s">
        <v>446</v>
      </c>
      <c r="B828" t="s">
        <v>1075</v>
      </c>
      <c r="C828" t="s">
        <v>6921</v>
      </c>
    </row>
    <row r="829" spans="1:3">
      <c r="A829" t="s">
        <v>446</v>
      </c>
      <c r="B829" t="s">
        <v>1075</v>
      </c>
      <c r="C829" t="s">
        <v>6920</v>
      </c>
    </row>
    <row r="830" spans="1:3">
      <c r="A830" t="s">
        <v>413</v>
      </c>
      <c r="B830" t="s">
        <v>1075</v>
      </c>
      <c r="C830" t="s">
        <v>6919</v>
      </c>
    </row>
    <row r="831" spans="1:3">
      <c r="A831" t="s">
        <v>413</v>
      </c>
      <c r="B831" t="s">
        <v>1075</v>
      </c>
      <c r="C831" t="s">
        <v>6918</v>
      </c>
    </row>
    <row r="832" spans="1:3">
      <c r="A832" t="s">
        <v>469</v>
      </c>
      <c r="B832" t="s">
        <v>1075</v>
      </c>
      <c r="C832" t="s">
        <v>6917</v>
      </c>
    </row>
    <row r="833" spans="1:3">
      <c r="A833" t="s">
        <v>469</v>
      </c>
      <c r="B833" t="s">
        <v>1075</v>
      </c>
      <c r="C833" t="s">
        <v>6916</v>
      </c>
    </row>
    <row r="834" spans="1:3">
      <c r="A834" t="s">
        <v>453</v>
      </c>
      <c r="B834" t="s">
        <v>1075</v>
      </c>
      <c r="C834" t="s">
        <v>6915</v>
      </c>
    </row>
    <row r="835" spans="1:3">
      <c r="A835" t="s">
        <v>453</v>
      </c>
      <c r="B835" t="s">
        <v>1075</v>
      </c>
      <c r="C835" t="s">
        <v>6914</v>
      </c>
    </row>
    <row r="836" spans="1:3">
      <c r="A836" t="s">
        <v>662</v>
      </c>
      <c r="B836" t="s">
        <v>1075</v>
      </c>
      <c r="C836" t="s">
        <v>6898</v>
      </c>
    </row>
    <row r="837" spans="1:3">
      <c r="A837" t="s">
        <v>662</v>
      </c>
      <c r="B837" t="s">
        <v>1075</v>
      </c>
      <c r="C837" t="s">
        <v>6897</v>
      </c>
    </row>
    <row r="838" spans="1:3">
      <c r="A838" t="s">
        <v>462</v>
      </c>
      <c r="B838" t="s">
        <v>1075</v>
      </c>
      <c r="C838" t="s">
        <v>6886</v>
      </c>
    </row>
    <row r="839" spans="1:3">
      <c r="A839" t="s">
        <v>462</v>
      </c>
      <c r="B839" t="s">
        <v>1075</v>
      </c>
      <c r="C839" t="s">
        <v>6885</v>
      </c>
    </row>
    <row r="840" spans="1:3">
      <c r="A840" t="s">
        <v>464</v>
      </c>
      <c r="B840" t="s">
        <v>1075</v>
      </c>
      <c r="C840" t="s">
        <v>6884</v>
      </c>
    </row>
    <row r="841" spans="1:3">
      <c r="A841" t="s">
        <v>464</v>
      </c>
      <c r="B841" t="s">
        <v>1075</v>
      </c>
      <c r="C841" t="s">
        <v>6883</v>
      </c>
    </row>
    <row r="842" spans="1:3">
      <c r="A842" t="s">
        <v>463</v>
      </c>
      <c r="B842" t="s">
        <v>1075</v>
      </c>
      <c r="C842" t="s">
        <v>6882</v>
      </c>
    </row>
    <row r="843" spans="1:3">
      <c r="A843" t="s">
        <v>463</v>
      </c>
      <c r="B843" t="s">
        <v>1075</v>
      </c>
      <c r="C843" t="s">
        <v>6881</v>
      </c>
    </row>
    <row r="844" spans="1:3">
      <c r="A844" t="s">
        <v>388</v>
      </c>
      <c r="B844" t="s">
        <v>1075</v>
      </c>
      <c r="C844" t="s">
        <v>6880</v>
      </c>
    </row>
    <row r="845" spans="1:3">
      <c r="A845" t="s">
        <v>388</v>
      </c>
      <c r="B845" t="s">
        <v>1075</v>
      </c>
      <c r="C845" t="s">
        <v>6879</v>
      </c>
    </row>
    <row r="846" spans="1:3">
      <c r="A846" t="s">
        <v>476</v>
      </c>
      <c r="B846" t="s">
        <v>1075</v>
      </c>
      <c r="C846" t="s">
        <v>6878</v>
      </c>
    </row>
    <row r="847" spans="1:3">
      <c r="A847" t="s">
        <v>476</v>
      </c>
      <c r="B847" t="s">
        <v>1075</v>
      </c>
      <c r="C847" t="s">
        <v>6877</v>
      </c>
    </row>
    <row r="848" spans="1:3">
      <c r="A848" t="s">
        <v>422</v>
      </c>
      <c r="B848" t="s">
        <v>1075</v>
      </c>
      <c r="C848" t="s">
        <v>6866</v>
      </c>
    </row>
    <row r="849" spans="1:3">
      <c r="A849" t="s">
        <v>422</v>
      </c>
      <c r="B849" t="s">
        <v>1075</v>
      </c>
      <c r="C849" t="s">
        <v>6865</v>
      </c>
    </row>
    <row r="850" spans="1:3">
      <c r="A850" t="s">
        <v>419</v>
      </c>
      <c r="B850" t="s">
        <v>1075</v>
      </c>
      <c r="C850" t="s">
        <v>6864</v>
      </c>
    </row>
    <row r="851" spans="1:3">
      <c r="A851" t="s">
        <v>419</v>
      </c>
      <c r="B851" t="s">
        <v>1075</v>
      </c>
      <c r="C851" t="s">
        <v>6863</v>
      </c>
    </row>
    <row r="852" spans="1:3">
      <c r="A852" t="s">
        <v>417</v>
      </c>
      <c r="B852" t="s">
        <v>1075</v>
      </c>
      <c r="C852" t="s">
        <v>6862</v>
      </c>
    </row>
    <row r="853" spans="1:3">
      <c r="A853" t="s">
        <v>417</v>
      </c>
      <c r="B853" t="s">
        <v>1075</v>
      </c>
      <c r="C853" t="s">
        <v>6861</v>
      </c>
    </row>
    <row r="854" spans="1:3">
      <c r="A854" t="s">
        <v>465</v>
      </c>
      <c r="B854" t="s">
        <v>1075</v>
      </c>
      <c r="C854" t="s">
        <v>6860</v>
      </c>
    </row>
    <row r="855" spans="1:3">
      <c r="A855" t="s">
        <v>465</v>
      </c>
      <c r="B855" t="s">
        <v>1075</v>
      </c>
      <c r="C855" t="s">
        <v>6859</v>
      </c>
    </row>
    <row r="856" spans="1:3">
      <c r="A856" t="s">
        <v>471</v>
      </c>
      <c r="B856" t="s">
        <v>1075</v>
      </c>
      <c r="C856" t="s">
        <v>6858</v>
      </c>
    </row>
    <row r="857" spans="1:3">
      <c r="A857" t="s">
        <v>471</v>
      </c>
      <c r="B857" t="s">
        <v>1075</v>
      </c>
      <c r="C857" t="s">
        <v>6857</v>
      </c>
    </row>
    <row r="858" spans="1:3">
      <c r="A858" t="s">
        <v>423</v>
      </c>
      <c r="B858" t="s">
        <v>1075</v>
      </c>
      <c r="C858" t="s">
        <v>6851</v>
      </c>
    </row>
    <row r="859" spans="1:3">
      <c r="A859" t="s">
        <v>423</v>
      </c>
      <c r="B859" t="s">
        <v>1075</v>
      </c>
      <c r="C859" t="s">
        <v>6850</v>
      </c>
    </row>
    <row r="860" spans="1:3">
      <c r="A860" t="s">
        <v>435</v>
      </c>
      <c r="B860" t="s">
        <v>1070</v>
      </c>
      <c r="C860" t="s">
        <v>6841</v>
      </c>
    </row>
    <row r="861" spans="1:3">
      <c r="A861" t="s">
        <v>435</v>
      </c>
      <c r="B861" t="s">
        <v>1075</v>
      </c>
      <c r="C861" t="s">
        <v>6844</v>
      </c>
    </row>
    <row r="862" spans="1:3">
      <c r="A862" t="s">
        <v>435</v>
      </c>
      <c r="B862" t="s">
        <v>1075</v>
      </c>
      <c r="C862" t="s">
        <v>6843</v>
      </c>
    </row>
    <row r="863" spans="1:3">
      <c r="A863" t="s">
        <v>435</v>
      </c>
      <c r="B863" t="s">
        <v>1075</v>
      </c>
      <c r="C863" t="s">
        <v>6842</v>
      </c>
    </row>
    <row r="864" spans="1:3">
      <c r="A864" t="s">
        <v>447</v>
      </c>
      <c r="B864" t="s">
        <v>1075</v>
      </c>
      <c r="C864" t="s">
        <v>6830</v>
      </c>
    </row>
    <row r="865" spans="1:3">
      <c r="A865" t="s">
        <v>447</v>
      </c>
      <c r="B865" t="s">
        <v>1075</v>
      </c>
      <c r="C865" t="s">
        <v>6829</v>
      </c>
    </row>
    <row r="866" spans="1:3">
      <c r="A866" t="s">
        <v>661</v>
      </c>
      <c r="B866" t="s">
        <v>1075</v>
      </c>
      <c r="C866" t="s">
        <v>6828</v>
      </c>
    </row>
    <row r="867" spans="1:3">
      <c r="A867" t="s">
        <v>661</v>
      </c>
      <c r="B867" t="s">
        <v>1075</v>
      </c>
      <c r="C867" t="s">
        <v>6827</v>
      </c>
    </row>
    <row r="868" spans="1:3">
      <c r="A868" t="s">
        <v>387</v>
      </c>
      <c r="B868" t="s">
        <v>1070</v>
      </c>
      <c r="C868" t="s">
        <v>6823</v>
      </c>
    </row>
    <row r="869" spans="1:3">
      <c r="A869" t="s">
        <v>387</v>
      </c>
      <c r="B869" t="s">
        <v>1075</v>
      </c>
      <c r="C869" t="s">
        <v>6826</v>
      </c>
    </row>
    <row r="870" spans="1:3">
      <c r="A870" t="s">
        <v>387</v>
      </c>
      <c r="B870" t="s">
        <v>1075</v>
      </c>
      <c r="C870" t="s">
        <v>6825</v>
      </c>
    </row>
    <row r="871" spans="1:3">
      <c r="A871" t="s">
        <v>387</v>
      </c>
      <c r="B871" t="s">
        <v>1075</v>
      </c>
      <c r="C871" t="s">
        <v>6824</v>
      </c>
    </row>
    <row r="872" spans="1:3">
      <c r="A872" t="s">
        <v>410</v>
      </c>
      <c r="B872" t="s">
        <v>1075</v>
      </c>
      <c r="C872" t="s">
        <v>6822</v>
      </c>
    </row>
    <row r="873" spans="1:3">
      <c r="A873" t="s">
        <v>410</v>
      </c>
      <c r="B873" t="s">
        <v>1075</v>
      </c>
      <c r="C873" t="s">
        <v>6821</v>
      </c>
    </row>
    <row r="874" spans="1:3">
      <c r="A874" t="s">
        <v>389</v>
      </c>
      <c r="B874" t="s">
        <v>1075</v>
      </c>
      <c r="C874" t="s">
        <v>6820</v>
      </c>
    </row>
    <row r="875" spans="1:3">
      <c r="A875" t="s">
        <v>389</v>
      </c>
      <c r="B875" t="s">
        <v>1075</v>
      </c>
      <c r="C875" t="s">
        <v>6819</v>
      </c>
    </row>
    <row r="876" spans="1:3">
      <c r="A876" t="s">
        <v>402</v>
      </c>
      <c r="B876" t="s">
        <v>1075</v>
      </c>
      <c r="C876" t="s">
        <v>6818</v>
      </c>
    </row>
    <row r="877" spans="1:3">
      <c r="A877" t="s">
        <v>402</v>
      </c>
      <c r="B877" t="s">
        <v>1075</v>
      </c>
      <c r="C877" t="s">
        <v>6817</v>
      </c>
    </row>
    <row r="878" spans="1:3">
      <c r="A878" t="s">
        <v>395</v>
      </c>
      <c r="B878" t="s">
        <v>1075</v>
      </c>
      <c r="C878" t="s">
        <v>6816</v>
      </c>
    </row>
    <row r="879" spans="1:3">
      <c r="A879" t="s">
        <v>395</v>
      </c>
      <c r="B879" t="s">
        <v>1075</v>
      </c>
      <c r="C879" t="s">
        <v>6815</v>
      </c>
    </row>
    <row r="880" spans="1:3">
      <c r="A880" t="s">
        <v>403</v>
      </c>
      <c r="B880" t="s">
        <v>1075</v>
      </c>
      <c r="C880" t="s">
        <v>6814</v>
      </c>
    </row>
    <row r="881" spans="1:3">
      <c r="A881" t="s">
        <v>403</v>
      </c>
      <c r="B881" t="s">
        <v>1075</v>
      </c>
      <c r="C881" t="s">
        <v>6813</v>
      </c>
    </row>
    <row r="882" spans="1:3">
      <c r="A882" t="s">
        <v>454</v>
      </c>
      <c r="B882" t="s">
        <v>1075</v>
      </c>
      <c r="C882" t="s">
        <v>6812</v>
      </c>
    </row>
    <row r="883" spans="1:3">
      <c r="A883" t="s">
        <v>454</v>
      </c>
      <c r="B883" t="s">
        <v>1075</v>
      </c>
      <c r="C883" t="s">
        <v>6811</v>
      </c>
    </row>
    <row r="884" spans="1:3">
      <c r="A884" t="s">
        <v>472</v>
      </c>
      <c r="B884" t="s">
        <v>1070</v>
      </c>
      <c r="C884" t="s">
        <v>6807</v>
      </c>
    </row>
    <row r="885" spans="1:3">
      <c r="A885" t="s">
        <v>472</v>
      </c>
      <c r="B885" t="s">
        <v>1075</v>
      </c>
      <c r="C885" t="s">
        <v>6810</v>
      </c>
    </row>
    <row r="886" spans="1:3">
      <c r="A886" t="s">
        <v>472</v>
      </c>
      <c r="B886" t="s">
        <v>1075</v>
      </c>
      <c r="C886" t="s">
        <v>6809</v>
      </c>
    </row>
    <row r="887" spans="1:3">
      <c r="A887" t="s">
        <v>472</v>
      </c>
      <c r="B887" t="s">
        <v>1075</v>
      </c>
      <c r="C887" t="s">
        <v>6808</v>
      </c>
    </row>
    <row r="888" spans="1:3">
      <c r="A888" t="s">
        <v>404</v>
      </c>
      <c r="B888" t="s">
        <v>1075</v>
      </c>
      <c r="C888" t="s">
        <v>6806</v>
      </c>
    </row>
    <row r="889" spans="1:3">
      <c r="A889" t="s">
        <v>404</v>
      </c>
      <c r="B889" t="s">
        <v>1075</v>
      </c>
      <c r="C889" t="s">
        <v>6805</v>
      </c>
    </row>
    <row r="890" spans="1:3">
      <c r="A890" t="s">
        <v>401</v>
      </c>
      <c r="B890" t="s">
        <v>1070</v>
      </c>
      <c r="C890" t="s">
        <v>6801</v>
      </c>
    </row>
    <row r="891" spans="1:3">
      <c r="A891" t="s">
        <v>401</v>
      </c>
      <c r="B891" t="s">
        <v>1070</v>
      </c>
      <c r="C891" t="s">
        <v>6800</v>
      </c>
    </row>
    <row r="892" spans="1:3">
      <c r="A892" t="s">
        <v>401</v>
      </c>
      <c r="B892" t="s">
        <v>1070</v>
      </c>
      <c r="C892" t="s">
        <v>6799</v>
      </c>
    </row>
    <row r="893" spans="1:3">
      <c r="A893" t="s">
        <v>401</v>
      </c>
      <c r="B893" t="s">
        <v>1070</v>
      </c>
      <c r="C893" t="s">
        <v>6798</v>
      </c>
    </row>
    <row r="894" spans="1:3">
      <c r="A894" t="s">
        <v>401</v>
      </c>
      <c r="B894" t="s">
        <v>1075</v>
      </c>
      <c r="C894" t="s">
        <v>6804</v>
      </c>
    </row>
    <row r="895" spans="1:3">
      <c r="A895" t="s">
        <v>401</v>
      </c>
      <c r="B895" t="s">
        <v>1075</v>
      </c>
      <c r="C895" t="s">
        <v>6803</v>
      </c>
    </row>
    <row r="896" spans="1:3">
      <c r="A896" t="s">
        <v>401</v>
      </c>
      <c r="B896" t="s">
        <v>1075</v>
      </c>
      <c r="C896" t="s">
        <v>6802</v>
      </c>
    </row>
    <row r="897" spans="1:3">
      <c r="A897" t="s">
        <v>386</v>
      </c>
      <c r="B897" t="s">
        <v>1075</v>
      </c>
      <c r="C897" t="s">
        <v>6787</v>
      </c>
    </row>
    <row r="898" spans="1:3">
      <c r="A898" t="s">
        <v>386</v>
      </c>
      <c r="B898" t="s">
        <v>1075</v>
      </c>
      <c r="C898" t="s">
        <v>6786</v>
      </c>
    </row>
    <row r="899" spans="1:3">
      <c r="A899" t="s">
        <v>379</v>
      </c>
      <c r="B899" t="s">
        <v>1075</v>
      </c>
      <c r="C899" t="s">
        <v>6785</v>
      </c>
    </row>
    <row r="900" spans="1:3">
      <c r="A900" t="s">
        <v>379</v>
      </c>
      <c r="B900" t="s">
        <v>1075</v>
      </c>
      <c r="C900" t="s">
        <v>6784</v>
      </c>
    </row>
    <row r="901" spans="1:3">
      <c r="A901" t="s">
        <v>380</v>
      </c>
      <c r="B901" t="s">
        <v>1075</v>
      </c>
      <c r="C901" t="s">
        <v>6783</v>
      </c>
    </row>
    <row r="902" spans="1:3">
      <c r="A902" t="s">
        <v>380</v>
      </c>
      <c r="B902" t="s">
        <v>1075</v>
      </c>
      <c r="C902" t="s">
        <v>6782</v>
      </c>
    </row>
    <row r="903" spans="1:3">
      <c r="A903" t="s">
        <v>629</v>
      </c>
      <c r="B903" t="s">
        <v>1075</v>
      </c>
      <c r="C903" t="s">
        <v>6781</v>
      </c>
    </row>
    <row r="904" spans="1:3">
      <c r="A904" t="s">
        <v>629</v>
      </c>
      <c r="B904" t="s">
        <v>1075</v>
      </c>
      <c r="C904" t="s">
        <v>6780</v>
      </c>
    </row>
    <row r="905" spans="1:3">
      <c r="A905" t="s">
        <v>473</v>
      </c>
      <c r="B905" t="s">
        <v>1075</v>
      </c>
      <c r="C905" t="s">
        <v>6779</v>
      </c>
    </row>
    <row r="906" spans="1:3">
      <c r="A906" t="s">
        <v>473</v>
      </c>
      <c r="B906" t="s">
        <v>1075</v>
      </c>
      <c r="C906" t="s">
        <v>6778</v>
      </c>
    </row>
    <row r="907" spans="1:3">
      <c r="A907" t="s">
        <v>628</v>
      </c>
      <c r="B907" t="s">
        <v>1070</v>
      </c>
      <c r="C907" t="s">
        <v>6774</v>
      </c>
    </row>
    <row r="908" spans="1:3">
      <c r="A908" t="s">
        <v>628</v>
      </c>
      <c r="B908" t="s">
        <v>1070</v>
      </c>
      <c r="C908" t="s">
        <v>6773</v>
      </c>
    </row>
    <row r="909" spans="1:3">
      <c r="A909" t="s">
        <v>628</v>
      </c>
      <c r="B909" t="s">
        <v>1070</v>
      </c>
      <c r="C909" t="s">
        <v>6772</v>
      </c>
    </row>
    <row r="910" spans="1:3">
      <c r="A910" t="s">
        <v>628</v>
      </c>
      <c r="B910" t="s">
        <v>1070</v>
      </c>
      <c r="C910" t="s">
        <v>6771</v>
      </c>
    </row>
    <row r="911" spans="1:3">
      <c r="A911" t="s">
        <v>628</v>
      </c>
      <c r="B911" t="s">
        <v>1075</v>
      </c>
      <c r="C911" t="s">
        <v>6777</v>
      </c>
    </row>
    <row r="912" spans="1:3">
      <c r="A912" t="s">
        <v>628</v>
      </c>
      <c r="B912" t="s">
        <v>1075</v>
      </c>
      <c r="C912" t="s">
        <v>6776</v>
      </c>
    </row>
    <row r="913" spans="1:3">
      <c r="A913" t="s">
        <v>628</v>
      </c>
      <c r="B913" t="s">
        <v>1075</v>
      </c>
      <c r="C913" t="s">
        <v>6775</v>
      </c>
    </row>
    <row r="914" spans="1:3">
      <c r="A914" t="s">
        <v>466</v>
      </c>
      <c r="B914" t="s">
        <v>1070</v>
      </c>
      <c r="C914" t="s">
        <v>6767</v>
      </c>
    </row>
    <row r="915" spans="1:3">
      <c r="A915" t="s">
        <v>466</v>
      </c>
      <c r="B915" t="s">
        <v>1070</v>
      </c>
      <c r="C915" t="s">
        <v>6766</v>
      </c>
    </row>
    <row r="916" spans="1:3">
      <c r="A916" t="s">
        <v>466</v>
      </c>
      <c r="B916" t="s">
        <v>1070</v>
      </c>
      <c r="C916" t="s">
        <v>6765</v>
      </c>
    </row>
    <row r="917" spans="1:3">
      <c r="A917" t="s">
        <v>466</v>
      </c>
      <c r="B917" t="s">
        <v>1070</v>
      </c>
      <c r="C917" t="s">
        <v>6764</v>
      </c>
    </row>
    <row r="918" spans="1:3">
      <c r="A918" t="s">
        <v>466</v>
      </c>
      <c r="B918" t="s">
        <v>1075</v>
      </c>
      <c r="C918" t="s">
        <v>6770</v>
      </c>
    </row>
    <row r="919" spans="1:3">
      <c r="A919" t="s">
        <v>466</v>
      </c>
      <c r="B919" t="s">
        <v>1075</v>
      </c>
      <c r="C919" t="s">
        <v>6769</v>
      </c>
    </row>
    <row r="920" spans="1:3">
      <c r="A920" t="s">
        <v>466</v>
      </c>
      <c r="B920" t="s">
        <v>1075</v>
      </c>
      <c r="C920" t="s">
        <v>6768</v>
      </c>
    </row>
    <row r="921" spans="1:3">
      <c r="A921" t="s">
        <v>663</v>
      </c>
      <c r="B921" t="s">
        <v>1075</v>
      </c>
      <c r="C921" t="s">
        <v>6748</v>
      </c>
    </row>
    <row r="922" spans="1:3">
      <c r="A922" t="s">
        <v>663</v>
      </c>
      <c r="B922" t="s">
        <v>1075</v>
      </c>
      <c r="C922" t="s">
        <v>6747</v>
      </c>
    </row>
    <row r="923" spans="1:3">
      <c r="A923" t="s">
        <v>664</v>
      </c>
      <c r="B923" t="s">
        <v>1070</v>
      </c>
      <c r="C923" t="s">
        <v>6743</v>
      </c>
    </row>
    <row r="924" spans="1:3">
      <c r="A924" t="s">
        <v>664</v>
      </c>
      <c r="B924" t="s">
        <v>1070</v>
      </c>
      <c r="C924" t="s">
        <v>6742</v>
      </c>
    </row>
    <row r="925" spans="1:3">
      <c r="A925" t="s">
        <v>664</v>
      </c>
      <c r="B925" t="s">
        <v>1070</v>
      </c>
      <c r="C925" t="s">
        <v>6741</v>
      </c>
    </row>
    <row r="926" spans="1:3">
      <c r="A926" t="s">
        <v>664</v>
      </c>
      <c r="B926" t="s">
        <v>1070</v>
      </c>
      <c r="C926" t="s">
        <v>6740</v>
      </c>
    </row>
    <row r="927" spans="1:3">
      <c r="A927" t="s">
        <v>664</v>
      </c>
      <c r="B927" t="s">
        <v>1075</v>
      </c>
      <c r="C927" t="s">
        <v>6746</v>
      </c>
    </row>
    <row r="928" spans="1:3">
      <c r="A928" t="s">
        <v>664</v>
      </c>
      <c r="B928" t="s">
        <v>1075</v>
      </c>
      <c r="C928" t="s">
        <v>6745</v>
      </c>
    </row>
    <row r="929" spans="1:3">
      <c r="A929" t="s">
        <v>664</v>
      </c>
      <c r="B929" t="s">
        <v>1075</v>
      </c>
      <c r="C929" t="s">
        <v>6744</v>
      </c>
    </row>
    <row r="930" spans="1:3">
      <c r="A930" t="s">
        <v>455</v>
      </c>
      <c r="B930" t="s">
        <v>1075</v>
      </c>
      <c r="C930" t="s">
        <v>6739</v>
      </c>
    </row>
    <row r="931" spans="1:3">
      <c r="A931" t="s">
        <v>455</v>
      </c>
      <c r="B931" t="s">
        <v>1075</v>
      </c>
      <c r="C931" t="s">
        <v>6738</v>
      </c>
    </row>
    <row r="932" spans="1:3">
      <c r="A932" t="s">
        <v>458</v>
      </c>
      <c r="B932" t="s">
        <v>1075</v>
      </c>
      <c r="C932" t="s">
        <v>6737</v>
      </c>
    </row>
    <row r="933" spans="1:3">
      <c r="A933" t="s">
        <v>458</v>
      </c>
      <c r="B933" t="s">
        <v>1075</v>
      </c>
      <c r="C933" t="s">
        <v>6736</v>
      </c>
    </row>
    <row r="934" spans="1:3">
      <c r="A934" t="s">
        <v>459</v>
      </c>
      <c r="B934" t="s">
        <v>1075</v>
      </c>
      <c r="C934" t="s">
        <v>6733</v>
      </c>
    </row>
    <row r="935" spans="1:3">
      <c r="A935" t="s">
        <v>459</v>
      </c>
      <c r="B935" t="s">
        <v>1075</v>
      </c>
      <c r="C935" t="s">
        <v>6732</v>
      </c>
    </row>
    <row r="936" spans="1:3">
      <c r="A936" t="s">
        <v>409</v>
      </c>
      <c r="B936" t="s">
        <v>1075</v>
      </c>
      <c r="C936" t="s">
        <v>6731</v>
      </c>
    </row>
    <row r="937" spans="1:3">
      <c r="A937" t="s">
        <v>409</v>
      </c>
      <c r="B937" t="s">
        <v>1075</v>
      </c>
      <c r="C937" t="s">
        <v>6730</v>
      </c>
    </row>
    <row r="938" spans="1:3">
      <c r="A938" t="s">
        <v>456</v>
      </c>
      <c r="B938" t="s">
        <v>1075</v>
      </c>
      <c r="C938" t="s">
        <v>6735</v>
      </c>
    </row>
    <row r="939" spans="1:3">
      <c r="A939" t="s">
        <v>456</v>
      </c>
      <c r="B939" t="s">
        <v>1075</v>
      </c>
      <c r="C939" t="s">
        <v>6734</v>
      </c>
    </row>
    <row r="940" spans="1:3">
      <c r="A940" t="s">
        <v>381</v>
      </c>
      <c r="B940" t="s">
        <v>1075</v>
      </c>
      <c r="C940" t="s">
        <v>6719</v>
      </c>
    </row>
    <row r="941" spans="1:3">
      <c r="A941" t="s">
        <v>381</v>
      </c>
      <c r="B941" t="s">
        <v>1075</v>
      </c>
      <c r="C941" t="s">
        <v>6718</v>
      </c>
    </row>
    <row r="942" spans="1:3">
      <c r="A942" t="s">
        <v>382</v>
      </c>
      <c r="B942" t="s">
        <v>1075</v>
      </c>
      <c r="C942" t="s">
        <v>6717</v>
      </c>
    </row>
    <row r="943" spans="1:3">
      <c r="A943" t="s">
        <v>382</v>
      </c>
      <c r="B943" t="s">
        <v>1075</v>
      </c>
      <c r="C943" t="s">
        <v>6716</v>
      </c>
    </row>
    <row r="944" spans="1:3">
      <c r="A944" t="s">
        <v>460</v>
      </c>
      <c r="B944" t="s">
        <v>1075</v>
      </c>
      <c r="C944" t="s">
        <v>6710</v>
      </c>
    </row>
    <row r="945" spans="1:3">
      <c r="A945" t="s">
        <v>460</v>
      </c>
      <c r="B945" t="s">
        <v>1075</v>
      </c>
      <c r="C945" t="s">
        <v>6709</v>
      </c>
    </row>
    <row r="946" spans="1:3">
      <c r="A946" t="s">
        <v>630</v>
      </c>
      <c r="B946" t="s">
        <v>1075</v>
      </c>
      <c r="C946" t="s">
        <v>6708</v>
      </c>
    </row>
    <row r="947" spans="1:3">
      <c r="A947" t="s">
        <v>630</v>
      </c>
      <c r="B947" t="s">
        <v>1075</v>
      </c>
      <c r="C947" t="s">
        <v>6707</v>
      </c>
    </row>
    <row r="948" spans="1:3">
      <c r="A948" t="s">
        <v>640</v>
      </c>
      <c r="B948" t="s">
        <v>1075</v>
      </c>
      <c r="C948" t="s">
        <v>6706</v>
      </c>
    </row>
    <row r="949" spans="1:3">
      <c r="A949" t="s">
        <v>640</v>
      </c>
      <c r="B949" t="s">
        <v>1075</v>
      </c>
      <c r="C949" t="s">
        <v>6705</v>
      </c>
    </row>
    <row r="950" spans="1:3">
      <c r="A950" t="s">
        <v>418</v>
      </c>
      <c r="B950" t="s">
        <v>1075</v>
      </c>
      <c r="C950" t="s">
        <v>6699</v>
      </c>
    </row>
    <row r="951" spans="1:3">
      <c r="A951" t="s">
        <v>418</v>
      </c>
      <c r="B951" t="s">
        <v>1075</v>
      </c>
      <c r="C951" t="s">
        <v>6698</v>
      </c>
    </row>
    <row r="952" spans="1:3">
      <c r="A952" t="s">
        <v>434</v>
      </c>
      <c r="B952" t="s">
        <v>1075</v>
      </c>
      <c r="C952" t="s">
        <v>6697</v>
      </c>
    </row>
    <row r="953" spans="1:3">
      <c r="A953" t="s">
        <v>434</v>
      </c>
      <c r="B953" t="s">
        <v>1075</v>
      </c>
      <c r="C953" t="s">
        <v>6696</v>
      </c>
    </row>
    <row r="954" spans="1:3">
      <c r="A954" t="s">
        <v>414</v>
      </c>
      <c r="B954" t="s">
        <v>1075</v>
      </c>
      <c r="C954" t="s">
        <v>6695</v>
      </c>
    </row>
    <row r="955" spans="1:3">
      <c r="A955" t="s">
        <v>414</v>
      </c>
      <c r="B955" t="s">
        <v>1075</v>
      </c>
      <c r="C955" t="s">
        <v>6694</v>
      </c>
    </row>
    <row r="956" spans="1:3">
      <c r="A956" t="s">
        <v>399</v>
      </c>
      <c r="B956" t="s">
        <v>1075</v>
      </c>
      <c r="C956" t="s">
        <v>6683</v>
      </c>
    </row>
    <row r="957" spans="1:3">
      <c r="A957" t="s">
        <v>399</v>
      </c>
      <c r="B957" t="s">
        <v>1075</v>
      </c>
      <c r="C957" t="s">
        <v>6682</v>
      </c>
    </row>
    <row r="958" spans="1:3">
      <c r="A958" t="s">
        <v>398</v>
      </c>
      <c r="B958" t="s">
        <v>1070</v>
      </c>
      <c r="C958" t="s">
        <v>6678</v>
      </c>
    </row>
    <row r="959" spans="1:3">
      <c r="A959" t="s">
        <v>398</v>
      </c>
      <c r="B959" t="s">
        <v>1070</v>
      </c>
      <c r="C959" t="s">
        <v>6677</v>
      </c>
    </row>
    <row r="960" spans="1:3">
      <c r="A960" t="s">
        <v>398</v>
      </c>
      <c r="B960" t="s">
        <v>1070</v>
      </c>
      <c r="C960" t="s">
        <v>6676</v>
      </c>
    </row>
    <row r="961" spans="1:3">
      <c r="A961" t="s">
        <v>398</v>
      </c>
      <c r="B961" t="s">
        <v>1070</v>
      </c>
      <c r="C961" t="s">
        <v>6675</v>
      </c>
    </row>
    <row r="962" spans="1:3">
      <c r="A962" t="s">
        <v>398</v>
      </c>
      <c r="B962" t="s">
        <v>1075</v>
      </c>
      <c r="C962" t="s">
        <v>6681</v>
      </c>
    </row>
    <row r="963" spans="1:3">
      <c r="A963" t="s">
        <v>398</v>
      </c>
      <c r="B963" t="s">
        <v>1075</v>
      </c>
      <c r="C963" t="s">
        <v>6680</v>
      </c>
    </row>
    <row r="964" spans="1:3">
      <c r="A964" t="s">
        <v>398</v>
      </c>
      <c r="B964" t="s">
        <v>1075</v>
      </c>
      <c r="C964" t="s">
        <v>6679</v>
      </c>
    </row>
    <row r="965" spans="1:3">
      <c r="A965" t="s">
        <v>397</v>
      </c>
      <c r="B965" t="s">
        <v>1075</v>
      </c>
      <c r="C965" t="s">
        <v>6674</v>
      </c>
    </row>
    <row r="966" spans="1:3">
      <c r="A966" t="s">
        <v>397</v>
      </c>
      <c r="B966" t="s">
        <v>1075</v>
      </c>
      <c r="C966" t="s">
        <v>6673</v>
      </c>
    </row>
    <row r="967" spans="1:3">
      <c r="A967" t="s">
        <v>448</v>
      </c>
      <c r="B967" t="s">
        <v>1075</v>
      </c>
      <c r="C967" t="s">
        <v>6672</v>
      </c>
    </row>
    <row r="968" spans="1:3">
      <c r="A968" t="s">
        <v>448</v>
      </c>
      <c r="B968" t="s">
        <v>1075</v>
      </c>
      <c r="C968" t="s">
        <v>6671</v>
      </c>
    </row>
    <row r="969" spans="1:3">
      <c r="A969" t="s">
        <v>449</v>
      </c>
      <c r="B969" t="s">
        <v>1075</v>
      </c>
      <c r="C969" t="s">
        <v>6670</v>
      </c>
    </row>
    <row r="970" spans="1:3">
      <c r="A970" t="s">
        <v>449</v>
      </c>
      <c r="B970" t="s">
        <v>1075</v>
      </c>
      <c r="C970" t="s">
        <v>6669</v>
      </c>
    </row>
    <row r="971" spans="1:3">
      <c r="A971" t="s">
        <v>656</v>
      </c>
      <c r="B971" t="s">
        <v>1075</v>
      </c>
      <c r="C971" t="s">
        <v>6638</v>
      </c>
    </row>
    <row r="972" spans="1:3">
      <c r="A972" t="s">
        <v>656</v>
      </c>
      <c r="B972" t="s">
        <v>1075</v>
      </c>
      <c r="C972" t="s">
        <v>6637</v>
      </c>
    </row>
    <row r="973" spans="1:3">
      <c r="A973" t="s">
        <v>665</v>
      </c>
      <c r="B973" t="s">
        <v>1075</v>
      </c>
      <c r="C973" t="s">
        <v>6636</v>
      </c>
    </row>
    <row r="974" spans="1:3">
      <c r="A974" t="s">
        <v>665</v>
      </c>
      <c r="B974" t="s">
        <v>1075</v>
      </c>
      <c r="C974" t="s">
        <v>6635</v>
      </c>
    </row>
    <row r="975" spans="1:3">
      <c r="A975" t="s">
        <v>653</v>
      </c>
      <c r="B975" t="s">
        <v>1070</v>
      </c>
      <c r="C975" t="s">
        <v>6631</v>
      </c>
    </row>
    <row r="976" spans="1:3">
      <c r="A976" t="s">
        <v>653</v>
      </c>
      <c r="B976" t="s">
        <v>1070</v>
      </c>
      <c r="C976" t="s">
        <v>6630</v>
      </c>
    </row>
    <row r="977" spans="1:3">
      <c r="A977" t="s">
        <v>653</v>
      </c>
      <c r="B977" t="s">
        <v>1070</v>
      </c>
      <c r="C977" t="s">
        <v>6629</v>
      </c>
    </row>
    <row r="978" spans="1:3">
      <c r="A978" t="s">
        <v>653</v>
      </c>
      <c r="B978" t="s">
        <v>1070</v>
      </c>
      <c r="C978" t="s">
        <v>6628</v>
      </c>
    </row>
    <row r="979" spans="1:3">
      <c r="A979" t="s">
        <v>653</v>
      </c>
      <c r="B979" t="s">
        <v>1075</v>
      </c>
      <c r="C979" t="s">
        <v>6634</v>
      </c>
    </row>
    <row r="980" spans="1:3">
      <c r="A980" t="s">
        <v>653</v>
      </c>
      <c r="B980" t="s">
        <v>1075</v>
      </c>
      <c r="C980" t="s">
        <v>6633</v>
      </c>
    </row>
    <row r="981" spans="1:3">
      <c r="A981" t="s">
        <v>653</v>
      </c>
      <c r="B981" t="s">
        <v>1075</v>
      </c>
      <c r="C981" t="s">
        <v>6632</v>
      </c>
    </row>
    <row r="982" spans="1:3">
      <c r="A982" t="s">
        <v>652</v>
      </c>
      <c r="B982" t="s">
        <v>1070</v>
      </c>
      <c r="C982" t="s">
        <v>6624</v>
      </c>
    </row>
    <row r="983" spans="1:3">
      <c r="A983" t="s">
        <v>652</v>
      </c>
      <c r="B983" t="s">
        <v>1070</v>
      </c>
      <c r="C983" t="s">
        <v>6623</v>
      </c>
    </row>
    <row r="984" spans="1:3">
      <c r="A984" t="s">
        <v>652</v>
      </c>
      <c r="B984" t="s">
        <v>1070</v>
      </c>
      <c r="C984" t="s">
        <v>6622</v>
      </c>
    </row>
    <row r="985" spans="1:3">
      <c r="A985" t="s">
        <v>652</v>
      </c>
      <c r="B985" t="s">
        <v>1070</v>
      </c>
      <c r="C985" t="s">
        <v>6621</v>
      </c>
    </row>
    <row r="986" spans="1:3">
      <c r="A986" t="s">
        <v>652</v>
      </c>
      <c r="B986" t="s">
        <v>1075</v>
      </c>
      <c r="C986" t="s">
        <v>6627</v>
      </c>
    </row>
    <row r="987" spans="1:3">
      <c r="A987" t="s">
        <v>652</v>
      </c>
      <c r="B987" t="s">
        <v>1075</v>
      </c>
      <c r="C987" t="s">
        <v>6626</v>
      </c>
    </row>
    <row r="988" spans="1:3">
      <c r="A988" t="s">
        <v>652</v>
      </c>
      <c r="B988" t="s">
        <v>1075</v>
      </c>
      <c r="C988" t="s">
        <v>6625</v>
      </c>
    </row>
    <row r="989" spans="1:3">
      <c r="A989" t="s">
        <v>654</v>
      </c>
      <c r="B989" t="s">
        <v>1075</v>
      </c>
      <c r="C989" t="s">
        <v>6620</v>
      </c>
    </row>
    <row r="990" spans="1:3">
      <c r="A990" t="s">
        <v>654</v>
      </c>
      <c r="B990" t="s">
        <v>1075</v>
      </c>
      <c r="C990" t="s">
        <v>6619</v>
      </c>
    </row>
    <row r="991" spans="1:3">
      <c r="A991" t="s">
        <v>660</v>
      </c>
      <c r="B991" t="s">
        <v>1075</v>
      </c>
      <c r="C991" t="s">
        <v>6618</v>
      </c>
    </row>
    <row r="992" spans="1:3">
      <c r="A992" t="s">
        <v>660</v>
      </c>
      <c r="B992" t="s">
        <v>1075</v>
      </c>
      <c r="C992" t="s">
        <v>6617</v>
      </c>
    </row>
    <row r="993" spans="1:3">
      <c r="A993" t="s">
        <v>659</v>
      </c>
      <c r="B993" t="s">
        <v>1070</v>
      </c>
      <c r="C993" t="s">
        <v>6613</v>
      </c>
    </row>
    <row r="994" spans="1:3">
      <c r="A994" t="s">
        <v>659</v>
      </c>
      <c r="B994" t="s">
        <v>1070</v>
      </c>
      <c r="C994" t="s">
        <v>6612</v>
      </c>
    </row>
    <row r="995" spans="1:3">
      <c r="A995" t="s">
        <v>659</v>
      </c>
      <c r="B995" t="s">
        <v>1070</v>
      </c>
      <c r="C995" t="s">
        <v>6611</v>
      </c>
    </row>
    <row r="996" spans="1:3">
      <c r="A996" t="s">
        <v>659</v>
      </c>
      <c r="B996" t="s">
        <v>1070</v>
      </c>
      <c r="C996" t="s">
        <v>6610</v>
      </c>
    </row>
    <row r="997" spans="1:3">
      <c r="A997" t="s">
        <v>659</v>
      </c>
      <c r="B997" t="s">
        <v>1075</v>
      </c>
      <c r="C997" t="s">
        <v>6616</v>
      </c>
    </row>
    <row r="998" spans="1:3">
      <c r="A998" t="s">
        <v>659</v>
      </c>
      <c r="B998" t="s">
        <v>1075</v>
      </c>
      <c r="C998" t="s">
        <v>6615</v>
      </c>
    </row>
    <row r="999" spans="1:3">
      <c r="A999" t="s">
        <v>659</v>
      </c>
      <c r="B999" t="s">
        <v>1075</v>
      </c>
      <c r="C999" t="s">
        <v>6614</v>
      </c>
    </row>
    <row r="1000" spans="1:3">
      <c r="A1000" t="s">
        <v>400</v>
      </c>
      <c r="B1000" t="s">
        <v>1075</v>
      </c>
      <c r="C1000" t="s">
        <v>6599</v>
      </c>
    </row>
    <row r="1001" spans="1:3">
      <c r="A1001" t="s">
        <v>400</v>
      </c>
      <c r="B1001" t="s">
        <v>1075</v>
      </c>
      <c r="C1001" t="s">
        <v>6598</v>
      </c>
    </row>
    <row r="1002" spans="1:3">
      <c r="A1002" t="s">
        <v>639</v>
      </c>
      <c r="B1002" t="s">
        <v>1075</v>
      </c>
      <c r="C1002" t="s">
        <v>6597</v>
      </c>
    </row>
    <row r="1003" spans="1:3">
      <c r="A1003" t="s">
        <v>639</v>
      </c>
      <c r="B1003" t="s">
        <v>1075</v>
      </c>
      <c r="C1003" t="s">
        <v>6596</v>
      </c>
    </row>
    <row r="1004" spans="1:3">
      <c r="A1004" t="s">
        <v>450</v>
      </c>
      <c r="B1004" t="s">
        <v>1075</v>
      </c>
      <c r="C1004" t="s">
        <v>6595</v>
      </c>
    </row>
    <row r="1005" spans="1:3">
      <c r="A1005" t="s">
        <v>450</v>
      </c>
      <c r="B1005" t="s">
        <v>1075</v>
      </c>
      <c r="C1005" t="s">
        <v>6594</v>
      </c>
    </row>
    <row r="1006" spans="1:3">
      <c r="A1006" t="s">
        <v>632</v>
      </c>
      <c r="B1006" t="s">
        <v>1075</v>
      </c>
      <c r="C1006" t="s">
        <v>6593</v>
      </c>
    </row>
    <row r="1007" spans="1:3">
      <c r="A1007" t="s">
        <v>632</v>
      </c>
      <c r="B1007" t="s">
        <v>1075</v>
      </c>
      <c r="C1007" t="s">
        <v>6592</v>
      </c>
    </row>
    <row r="1008" spans="1:3">
      <c r="A1008" t="s">
        <v>633</v>
      </c>
      <c r="B1008" t="s">
        <v>1075</v>
      </c>
      <c r="C1008" t="s">
        <v>6591</v>
      </c>
    </row>
    <row r="1009" spans="1:3">
      <c r="A1009" t="s">
        <v>633</v>
      </c>
      <c r="B1009" t="s">
        <v>1075</v>
      </c>
      <c r="C1009" t="s">
        <v>6590</v>
      </c>
    </row>
    <row r="1010" spans="1:3">
      <c r="A1010" t="s">
        <v>634</v>
      </c>
      <c r="B1010" t="s">
        <v>1075</v>
      </c>
      <c r="C1010" t="s">
        <v>6589</v>
      </c>
    </row>
    <row r="1011" spans="1:3">
      <c r="A1011" t="s">
        <v>634</v>
      </c>
      <c r="B1011" t="s">
        <v>1075</v>
      </c>
      <c r="C1011" t="s">
        <v>6588</v>
      </c>
    </row>
    <row r="1012" spans="1:3">
      <c r="A1012" t="s">
        <v>638</v>
      </c>
      <c r="B1012" t="s">
        <v>1075</v>
      </c>
      <c r="C1012" t="s">
        <v>6587</v>
      </c>
    </row>
    <row r="1013" spans="1:3">
      <c r="A1013" t="s">
        <v>638</v>
      </c>
      <c r="B1013" t="s">
        <v>1075</v>
      </c>
      <c r="C1013" t="s">
        <v>6586</v>
      </c>
    </row>
    <row r="1014" spans="1:3">
      <c r="A1014" t="s">
        <v>411</v>
      </c>
      <c r="B1014" t="s">
        <v>1075</v>
      </c>
      <c r="C1014" t="s">
        <v>6585</v>
      </c>
    </row>
    <row r="1015" spans="1:3">
      <c r="A1015" t="s">
        <v>411</v>
      </c>
      <c r="B1015" t="s">
        <v>1075</v>
      </c>
      <c r="C1015" t="s">
        <v>6584</v>
      </c>
    </row>
    <row r="1016" spans="1:3">
      <c r="A1016" t="s">
        <v>396</v>
      </c>
      <c r="B1016" t="s">
        <v>1075</v>
      </c>
      <c r="C1016" t="s">
        <v>6583</v>
      </c>
    </row>
    <row r="1017" spans="1:3">
      <c r="A1017" t="s">
        <v>396</v>
      </c>
      <c r="B1017" t="s">
        <v>1075</v>
      </c>
      <c r="C1017" t="s">
        <v>6582</v>
      </c>
    </row>
    <row r="1018" spans="1:3">
      <c r="A1018" t="s">
        <v>451</v>
      </c>
      <c r="B1018" t="s">
        <v>1075</v>
      </c>
      <c r="C1018" t="s">
        <v>6581</v>
      </c>
    </row>
    <row r="1019" spans="1:3">
      <c r="A1019" t="s">
        <v>451</v>
      </c>
      <c r="B1019" t="s">
        <v>1075</v>
      </c>
      <c r="C1019" t="s">
        <v>6580</v>
      </c>
    </row>
    <row r="1020" spans="1:3">
      <c r="A1020" t="s">
        <v>406</v>
      </c>
      <c r="B1020" t="s">
        <v>1075</v>
      </c>
      <c r="C1020" t="s">
        <v>6574</v>
      </c>
    </row>
    <row r="1021" spans="1:3">
      <c r="A1021" t="s">
        <v>406</v>
      </c>
      <c r="B1021" t="s">
        <v>1075</v>
      </c>
      <c r="C1021" t="s">
        <v>6573</v>
      </c>
    </row>
    <row r="1022" spans="1:3">
      <c r="A1022" t="s">
        <v>470</v>
      </c>
      <c r="B1022" t="s">
        <v>1075</v>
      </c>
      <c r="C1022" t="s">
        <v>6572</v>
      </c>
    </row>
    <row r="1023" spans="1:3">
      <c r="A1023" t="s">
        <v>470</v>
      </c>
      <c r="B1023" t="s">
        <v>1075</v>
      </c>
      <c r="C1023" t="s">
        <v>6571</v>
      </c>
    </row>
    <row r="1024" spans="1:3">
      <c r="A1024" t="s">
        <v>430</v>
      </c>
      <c r="B1024" t="s">
        <v>1070</v>
      </c>
      <c r="C1024" t="s">
        <v>6563</v>
      </c>
    </row>
    <row r="1025" spans="1:3">
      <c r="A1025" t="s">
        <v>430</v>
      </c>
      <c r="B1025" t="s">
        <v>1070</v>
      </c>
      <c r="C1025" t="s">
        <v>6562</v>
      </c>
    </row>
    <row r="1026" spans="1:3">
      <c r="A1026" t="s">
        <v>430</v>
      </c>
      <c r="B1026" t="s">
        <v>1070</v>
      </c>
      <c r="C1026" t="s">
        <v>6561</v>
      </c>
    </row>
    <row r="1027" spans="1:3">
      <c r="A1027" t="s">
        <v>430</v>
      </c>
      <c r="B1027" t="s">
        <v>1070</v>
      </c>
      <c r="C1027" t="s">
        <v>6560</v>
      </c>
    </row>
    <row r="1028" spans="1:3">
      <c r="A1028" t="s">
        <v>430</v>
      </c>
      <c r="B1028" t="s">
        <v>1070</v>
      </c>
      <c r="C1028" t="s">
        <v>6559</v>
      </c>
    </row>
    <row r="1029" spans="1:3">
      <c r="A1029" t="s">
        <v>430</v>
      </c>
      <c r="B1029" t="s">
        <v>1070</v>
      </c>
      <c r="C1029" t="s">
        <v>6558</v>
      </c>
    </row>
    <row r="1030" spans="1:3">
      <c r="A1030" t="s">
        <v>430</v>
      </c>
      <c r="B1030" t="s">
        <v>1070</v>
      </c>
      <c r="C1030" t="s">
        <v>6557</v>
      </c>
    </row>
    <row r="1031" spans="1:3">
      <c r="A1031" t="s">
        <v>430</v>
      </c>
      <c r="B1031" t="s">
        <v>1075</v>
      </c>
      <c r="C1031" t="s">
        <v>6570</v>
      </c>
    </row>
    <row r="1032" spans="1:3">
      <c r="A1032" t="s">
        <v>430</v>
      </c>
      <c r="B1032" t="s">
        <v>1075</v>
      </c>
      <c r="C1032" t="s">
        <v>6569</v>
      </c>
    </row>
    <row r="1033" spans="1:3">
      <c r="A1033" t="s">
        <v>430</v>
      </c>
      <c r="B1033" t="s">
        <v>1075</v>
      </c>
      <c r="C1033" t="s">
        <v>6568</v>
      </c>
    </row>
    <row r="1034" spans="1:3">
      <c r="A1034" t="s">
        <v>430</v>
      </c>
      <c r="B1034" t="s">
        <v>1075</v>
      </c>
      <c r="C1034" t="s">
        <v>6567</v>
      </c>
    </row>
    <row r="1035" spans="1:3">
      <c r="A1035" t="s">
        <v>430</v>
      </c>
      <c r="B1035" t="s">
        <v>1075</v>
      </c>
      <c r="C1035" t="s">
        <v>6566</v>
      </c>
    </row>
    <row r="1036" spans="1:3">
      <c r="A1036" t="s">
        <v>430</v>
      </c>
      <c r="B1036" t="s">
        <v>1075</v>
      </c>
      <c r="C1036" t="s">
        <v>6565</v>
      </c>
    </row>
    <row r="1037" spans="1:3">
      <c r="A1037" t="s">
        <v>430</v>
      </c>
      <c r="B1037" t="s">
        <v>1075</v>
      </c>
      <c r="C1037" t="s">
        <v>6564</v>
      </c>
    </row>
    <row r="1038" spans="1:3">
      <c r="A1038" t="s">
        <v>431</v>
      </c>
      <c r="B1038" t="s">
        <v>1070</v>
      </c>
      <c r="C1038" t="s">
        <v>6553</v>
      </c>
    </row>
    <row r="1039" spans="1:3">
      <c r="A1039" t="s">
        <v>431</v>
      </c>
      <c r="B1039" t="s">
        <v>1070</v>
      </c>
      <c r="C1039" t="s">
        <v>6552</v>
      </c>
    </row>
    <row r="1040" spans="1:3">
      <c r="A1040" t="s">
        <v>431</v>
      </c>
      <c r="B1040" t="s">
        <v>1070</v>
      </c>
      <c r="C1040" t="s">
        <v>6551</v>
      </c>
    </row>
    <row r="1041" spans="1:3">
      <c r="A1041" t="s">
        <v>431</v>
      </c>
      <c r="B1041" t="s">
        <v>1070</v>
      </c>
      <c r="C1041" t="s">
        <v>6550</v>
      </c>
    </row>
    <row r="1042" spans="1:3">
      <c r="A1042" t="s">
        <v>431</v>
      </c>
      <c r="B1042" t="s">
        <v>1075</v>
      </c>
      <c r="C1042" t="s">
        <v>6556</v>
      </c>
    </row>
    <row r="1043" spans="1:3">
      <c r="A1043" t="s">
        <v>431</v>
      </c>
      <c r="B1043" t="s">
        <v>1075</v>
      </c>
      <c r="C1043" t="s">
        <v>6555</v>
      </c>
    </row>
    <row r="1044" spans="1:3">
      <c r="A1044" t="s">
        <v>431</v>
      </c>
      <c r="B1044" t="s">
        <v>1075</v>
      </c>
      <c r="C1044" t="s">
        <v>6554</v>
      </c>
    </row>
    <row r="1045" spans="1:3">
      <c r="A1045" t="s">
        <v>433</v>
      </c>
      <c r="B1045" t="s">
        <v>1075</v>
      </c>
      <c r="C1045" t="s">
        <v>6549</v>
      </c>
    </row>
    <row r="1046" spans="1:3">
      <c r="A1046" t="s">
        <v>433</v>
      </c>
      <c r="B1046" t="s">
        <v>1075</v>
      </c>
      <c r="C1046" t="s">
        <v>6548</v>
      </c>
    </row>
    <row r="1047" spans="1:3">
      <c r="A1047" t="s">
        <v>432</v>
      </c>
      <c r="B1047" t="s">
        <v>1070</v>
      </c>
      <c r="C1047" t="s">
        <v>6542</v>
      </c>
    </row>
    <row r="1048" spans="1:3">
      <c r="A1048" t="s">
        <v>432</v>
      </c>
      <c r="B1048" t="s">
        <v>1070</v>
      </c>
      <c r="C1048" t="s">
        <v>6541</v>
      </c>
    </row>
    <row r="1049" spans="1:3">
      <c r="A1049" t="s">
        <v>432</v>
      </c>
      <c r="B1049" t="s">
        <v>1070</v>
      </c>
      <c r="C1049" t="s">
        <v>6540</v>
      </c>
    </row>
    <row r="1050" spans="1:3">
      <c r="A1050" t="s">
        <v>432</v>
      </c>
      <c r="B1050" t="s">
        <v>1070</v>
      </c>
      <c r="C1050" t="s">
        <v>6539</v>
      </c>
    </row>
    <row r="1051" spans="1:3">
      <c r="A1051" t="s">
        <v>432</v>
      </c>
      <c r="B1051" t="s">
        <v>1070</v>
      </c>
      <c r="C1051" t="s">
        <v>6538</v>
      </c>
    </row>
    <row r="1052" spans="1:3">
      <c r="A1052" t="s">
        <v>432</v>
      </c>
      <c r="B1052" t="s">
        <v>1070</v>
      </c>
      <c r="C1052" t="s">
        <v>6537</v>
      </c>
    </row>
    <row r="1053" spans="1:3">
      <c r="A1053" t="s">
        <v>432</v>
      </c>
      <c r="B1053" t="s">
        <v>1075</v>
      </c>
      <c r="C1053" t="s">
        <v>6547</v>
      </c>
    </row>
    <row r="1054" spans="1:3">
      <c r="A1054" t="s">
        <v>432</v>
      </c>
      <c r="B1054" t="s">
        <v>1075</v>
      </c>
      <c r="C1054" t="s">
        <v>6546</v>
      </c>
    </row>
    <row r="1055" spans="1:3">
      <c r="A1055" t="s">
        <v>432</v>
      </c>
      <c r="B1055" t="s">
        <v>1075</v>
      </c>
      <c r="C1055" t="s">
        <v>6545</v>
      </c>
    </row>
    <row r="1056" spans="1:3">
      <c r="A1056" t="s">
        <v>432</v>
      </c>
      <c r="B1056" t="s">
        <v>1075</v>
      </c>
      <c r="C1056" t="s">
        <v>6544</v>
      </c>
    </row>
    <row r="1057" spans="1:3">
      <c r="A1057" t="s">
        <v>432</v>
      </c>
      <c r="B1057" t="s">
        <v>1075</v>
      </c>
      <c r="C1057" t="s">
        <v>6543</v>
      </c>
    </row>
    <row r="1058" spans="1:3">
      <c r="A1058" t="s">
        <v>424</v>
      </c>
      <c r="B1058" t="s">
        <v>1075</v>
      </c>
      <c r="C1058" t="s">
        <v>6531</v>
      </c>
    </row>
    <row r="1059" spans="1:3">
      <c r="A1059" t="s">
        <v>424</v>
      </c>
      <c r="B1059" t="s">
        <v>1075</v>
      </c>
      <c r="C1059" t="s">
        <v>6530</v>
      </c>
    </row>
    <row r="1060" spans="1:3">
      <c r="A1060" t="s">
        <v>627</v>
      </c>
      <c r="B1060" t="s">
        <v>1075</v>
      </c>
      <c r="C1060" t="s">
        <v>6529</v>
      </c>
    </row>
    <row r="1061" spans="1:3">
      <c r="A1061" t="s">
        <v>627</v>
      </c>
      <c r="B1061" t="s">
        <v>1075</v>
      </c>
      <c r="C1061" t="s">
        <v>6528</v>
      </c>
    </row>
    <row r="1062" spans="1:3">
      <c r="A1062" t="s">
        <v>635</v>
      </c>
      <c r="B1062" t="s">
        <v>1075</v>
      </c>
      <c r="C1062" t="s">
        <v>6527</v>
      </c>
    </row>
    <row r="1063" spans="1:3">
      <c r="A1063" t="s">
        <v>635</v>
      </c>
      <c r="B1063" t="s">
        <v>1075</v>
      </c>
      <c r="C1063" t="s">
        <v>6526</v>
      </c>
    </row>
    <row r="1064" spans="1:3">
      <c r="A1064" t="s">
        <v>636</v>
      </c>
      <c r="B1064" t="s">
        <v>1070</v>
      </c>
      <c r="C1064" t="s">
        <v>6522</v>
      </c>
    </row>
    <row r="1065" spans="1:3">
      <c r="A1065" t="s">
        <v>636</v>
      </c>
      <c r="B1065" t="s">
        <v>1075</v>
      </c>
      <c r="C1065" t="s">
        <v>6525</v>
      </c>
    </row>
    <row r="1066" spans="1:3">
      <c r="A1066" t="s">
        <v>636</v>
      </c>
      <c r="B1066" t="s">
        <v>1075</v>
      </c>
      <c r="C1066" t="s">
        <v>6524</v>
      </c>
    </row>
    <row r="1067" spans="1:3">
      <c r="A1067" t="s">
        <v>636</v>
      </c>
      <c r="B1067" t="s">
        <v>1075</v>
      </c>
      <c r="C1067" t="s">
        <v>6523</v>
      </c>
    </row>
    <row r="1068" spans="1:3">
      <c r="A1068" t="s">
        <v>425</v>
      </c>
      <c r="B1068" t="s">
        <v>1075</v>
      </c>
      <c r="C1068" t="s">
        <v>6521</v>
      </c>
    </row>
    <row r="1069" spans="1:3">
      <c r="A1069" t="s">
        <v>425</v>
      </c>
      <c r="B1069" t="s">
        <v>1075</v>
      </c>
      <c r="C1069" t="s">
        <v>6520</v>
      </c>
    </row>
    <row r="1070" spans="1:3">
      <c r="A1070" t="s">
        <v>427</v>
      </c>
      <c r="B1070" t="s">
        <v>1075</v>
      </c>
      <c r="C1070" t="s">
        <v>6519</v>
      </c>
    </row>
    <row r="1071" spans="1:3">
      <c r="A1071" t="s">
        <v>427</v>
      </c>
      <c r="B1071" t="s">
        <v>1075</v>
      </c>
      <c r="C1071" t="s">
        <v>6518</v>
      </c>
    </row>
    <row r="1072" spans="1:3">
      <c r="A1072" t="s">
        <v>426</v>
      </c>
      <c r="B1072" t="s">
        <v>1075</v>
      </c>
      <c r="C1072" t="s">
        <v>6517</v>
      </c>
    </row>
    <row r="1073" spans="1:3">
      <c r="A1073" t="s">
        <v>426</v>
      </c>
      <c r="B1073" t="s">
        <v>1075</v>
      </c>
      <c r="C1073" t="s">
        <v>6516</v>
      </c>
    </row>
    <row r="1074" spans="1:3">
      <c r="A1074" t="s">
        <v>390</v>
      </c>
      <c r="B1074" t="s">
        <v>1075</v>
      </c>
      <c r="C1074" t="s">
        <v>6496</v>
      </c>
    </row>
    <row r="1075" spans="1:3">
      <c r="A1075" t="s">
        <v>390</v>
      </c>
      <c r="B1075" t="s">
        <v>1075</v>
      </c>
      <c r="C1075" t="s">
        <v>6495</v>
      </c>
    </row>
    <row r="1076" spans="1:3">
      <c r="A1076" t="s">
        <v>457</v>
      </c>
      <c r="B1076" t="s">
        <v>1075</v>
      </c>
      <c r="C1076" t="s">
        <v>6494</v>
      </c>
    </row>
    <row r="1077" spans="1:3">
      <c r="A1077" t="s">
        <v>457</v>
      </c>
      <c r="B1077" t="s">
        <v>1075</v>
      </c>
      <c r="C1077" t="s">
        <v>6493</v>
      </c>
    </row>
    <row r="1078" spans="1:3">
      <c r="A1078" t="s">
        <v>474</v>
      </c>
      <c r="B1078" t="s">
        <v>1075</v>
      </c>
      <c r="C1078" t="s">
        <v>6492</v>
      </c>
    </row>
    <row r="1079" spans="1:3">
      <c r="A1079" t="s">
        <v>474</v>
      </c>
      <c r="B1079" t="s">
        <v>1075</v>
      </c>
      <c r="C1079" t="s">
        <v>6491</v>
      </c>
    </row>
    <row r="1080" spans="1:3">
      <c r="A1080" t="s">
        <v>391</v>
      </c>
      <c r="B1080" t="s">
        <v>1075</v>
      </c>
      <c r="C1080" t="s">
        <v>6475</v>
      </c>
    </row>
    <row r="1081" spans="1:3">
      <c r="A1081" t="s">
        <v>391</v>
      </c>
      <c r="B1081" t="s">
        <v>1075</v>
      </c>
      <c r="C1081" t="s">
        <v>6474</v>
      </c>
    </row>
    <row r="1082" spans="1:3">
      <c r="A1082" t="s">
        <v>378</v>
      </c>
      <c r="B1082" t="s">
        <v>1075</v>
      </c>
      <c r="C1082" t="s">
        <v>6473</v>
      </c>
    </row>
    <row r="1083" spans="1:3">
      <c r="A1083" t="s">
        <v>378</v>
      </c>
      <c r="B1083" t="s">
        <v>1075</v>
      </c>
      <c r="C1083" t="s">
        <v>6472</v>
      </c>
    </row>
    <row r="1084" spans="1:3">
      <c r="A1084" t="s">
        <v>384</v>
      </c>
      <c r="B1084" t="s">
        <v>1075</v>
      </c>
      <c r="C1084" t="s">
        <v>6471</v>
      </c>
    </row>
    <row r="1085" spans="1:3">
      <c r="A1085" t="s">
        <v>384</v>
      </c>
      <c r="B1085" t="s">
        <v>1075</v>
      </c>
      <c r="C1085" t="s">
        <v>6470</v>
      </c>
    </row>
    <row r="1086" spans="1:3">
      <c r="A1086" t="s">
        <v>657</v>
      </c>
      <c r="B1086" t="s">
        <v>1070</v>
      </c>
      <c r="C1086" t="s">
        <v>6507</v>
      </c>
    </row>
    <row r="1087" spans="1:3">
      <c r="A1087" t="s">
        <v>657</v>
      </c>
      <c r="B1087" t="s">
        <v>1070</v>
      </c>
      <c r="C1087" t="s">
        <v>6506</v>
      </c>
    </row>
    <row r="1088" spans="1:3">
      <c r="A1088" t="s">
        <v>657</v>
      </c>
      <c r="B1088" t="s">
        <v>1070</v>
      </c>
      <c r="C1088" t="s">
        <v>6505</v>
      </c>
    </row>
    <row r="1089" spans="1:3">
      <c r="A1089" t="s">
        <v>657</v>
      </c>
      <c r="B1089" t="s">
        <v>1075</v>
      </c>
      <c r="C1089" t="s">
        <v>6510</v>
      </c>
    </row>
    <row r="1090" spans="1:3">
      <c r="A1090" t="s">
        <v>657</v>
      </c>
      <c r="B1090" t="s">
        <v>1075</v>
      </c>
      <c r="C1090" t="s">
        <v>6509</v>
      </c>
    </row>
    <row r="1091" spans="1:3">
      <c r="A1091" t="s">
        <v>657</v>
      </c>
      <c r="B1091" t="s">
        <v>1075</v>
      </c>
      <c r="C1091" t="s">
        <v>6508</v>
      </c>
    </row>
    <row r="1092" spans="1:3">
      <c r="A1092" t="s">
        <v>655</v>
      </c>
      <c r="B1092" t="s">
        <v>1070</v>
      </c>
      <c r="C1092" t="s">
        <v>6501</v>
      </c>
    </row>
    <row r="1093" spans="1:3">
      <c r="A1093" t="s">
        <v>655</v>
      </c>
      <c r="B1093" t="s">
        <v>1070</v>
      </c>
      <c r="C1093" t="s">
        <v>6500</v>
      </c>
    </row>
    <row r="1094" spans="1:3">
      <c r="A1094" t="s">
        <v>655</v>
      </c>
      <c r="B1094" t="s">
        <v>1070</v>
      </c>
      <c r="C1094" t="s">
        <v>6499</v>
      </c>
    </row>
    <row r="1095" spans="1:3">
      <c r="A1095" t="s">
        <v>655</v>
      </c>
      <c r="B1095" t="s">
        <v>1075</v>
      </c>
      <c r="C1095" t="s">
        <v>6504</v>
      </c>
    </row>
    <row r="1096" spans="1:3">
      <c r="A1096" t="s">
        <v>655</v>
      </c>
      <c r="B1096" t="s">
        <v>1075</v>
      </c>
      <c r="C1096" t="s">
        <v>6503</v>
      </c>
    </row>
    <row r="1097" spans="1:3">
      <c r="A1097" t="s">
        <v>655</v>
      </c>
      <c r="B1097" t="s">
        <v>1075</v>
      </c>
      <c r="C1097" t="s">
        <v>6502</v>
      </c>
    </row>
    <row r="1098" spans="1:3">
      <c r="A1098" t="s">
        <v>452</v>
      </c>
      <c r="B1098" t="s">
        <v>1075</v>
      </c>
      <c r="C1098" t="s">
        <v>6498</v>
      </c>
    </row>
    <row r="1099" spans="1:3">
      <c r="A1099" t="s">
        <v>452</v>
      </c>
      <c r="B1099" t="s">
        <v>1075</v>
      </c>
      <c r="C1099" t="s">
        <v>6497</v>
      </c>
    </row>
    <row r="1100" spans="1:3">
      <c r="A1100" t="s">
        <v>475</v>
      </c>
      <c r="B1100" t="s">
        <v>1075</v>
      </c>
      <c r="C1100" t="s">
        <v>6469</v>
      </c>
    </row>
    <row r="1101" spans="1:3">
      <c r="A1101" t="s">
        <v>475</v>
      </c>
      <c r="B1101" t="s">
        <v>1075</v>
      </c>
      <c r="C1101" t="s">
        <v>6468</v>
      </c>
    </row>
    <row r="1102" spans="1:3">
      <c r="A1102" t="s">
        <v>467</v>
      </c>
      <c r="B1102" t="s">
        <v>1075</v>
      </c>
      <c r="C1102" t="s">
        <v>6467</v>
      </c>
    </row>
    <row r="1103" spans="1:3">
      <c r="A1103" t="s">
        <v>467</v>
      </c>
      <c r="B1103" t="s">
        <v>1075</v>
      </c>
      <c r="C1103" t="s">
        <v>6466</v>
      </c>
    </row>
    <row r="1104" spans="1:3">
      <c r="A1104" t="s">
        <v>468</v>
      </c>
      <c r="B1104" t="s">
        <v>1075</v>
      </c>
      <c r="C1104" t="s">
        <v>6465</v>
      </c>
    </row>
    <row r="1105" spans="1:3">
      <c r="A1105" t="s">
        <v>468</v>
      </c>
      <c r="B1105" t="s">
        <v>1075</v>
      </c>
      <c r="C1105" t="s">
        <v>6464</v>
      </c>
    </row>
    <row r="1106" spans="1:3">
      <c r="A1106" t="s">
        <v>437</v>
      </c>
      <c r="B1106" t="s">
        <v>1070</v>
      </c>
      <c r="C1106" t="s">
        <v>6451</v>
      </c>
    </row>
    <row r="1107" spans="1:3">
      <c r="A1107" t="s">
        <v>437</v>
      </c>
      <c r="B1107" t="s">
        <v>1070</v>
      </c>
      <c r="C1107" t="s">
        <v>6450</v>
      </c>
    </row>
    <row r="1108" spans="1:3">
      <c r="A1108" t="s">
        <v>437</v>
      </c>
      <c r="B1108" t="s">
        <v>1070</v>
      </c>
      <c r="C1108" t="s">
        <v>6449</v>
      </c>
    </row>
    <row r="1109" spans="1:3">
      <c r="A1109" t="s">
        <v>437</v>
      </c>
      <c r="B1109" t="s">
        <v>1070</v>
      </c>
      <c r="C1109" t="s">
        <v>6448</v>
      </c>
    </row>
    <row r="1110" spans="1:3">
      <c r="A1110" t="s">
        <v>437</v>
      </c>
      <c r="B1110" t="s">
        <v>1075</v>
      </c>
      <c r="C1110" t="s">
        <v>6453</v>
      </c>
    </row>
    <row r="1111" spans="1:3">
      <c r="A1111" t="s">
        <v>437</v>
      </c>
      <c r="B1111" t="s">
        <v>1075</v>
      </c>
      <c r="C1111" t="s">
        <v>6452</v>
      </c>
    </row>
    <row r="1112" spans="1:3">
      <c r="A1112" t="s">
        <v>393</v>
      </c>
      <c r="B1112" t="s">
        <v>1070</v>
      </c>
      <c r="C1112" t="s">
        <v>6440</v>
      </c>
    </row>
    <row r="1113" spans="1:3">
      <c r="A1113" t="s">
        <v>393</v>
      </c>
      <c r="B1113" t="s">
        <v>1070</v>
      </c>
      <c r="C1113" t="s">
        <v>6439</v>
      </c>
    </row>
    <row r="1114" spans="1:3">
      <c r="A1114" t="s">
        <v>393</v>
      </c>
      <c r="B1114" t="s">
        <v>1070</v>
      </c>
      <c r="C1114" t="s">
        <v>6438</v>
      </c>
    </row>
    <row r="1115" spans="1:3">
      <c r="A1115" t="s">
        <v>393</v>
      </c>
      <c r="B1115" t="s">
        <v>1070</v>
      </c>
      <c r="C1115" t="s">
        <v>6437</v>
      </c>
    </row>
    <row r="1116" spans="1:3">
      <c r="A1116" t="s">
        <v>393</v>
      </c>
      <c r="B1116" t="s">
        <v>1075</v>
      </c>
      <c r="C1116" t="s">
        <v>6442</v>
      </c>
    </row>
    <row r="1117" spans="1:3">
      <c r="A1117" t="s">
        <v>393</v>
      </c>
      <c r="B1117" t="s">
        <v>1075</v>
      </c>
      <c r="C1117" t="s">
        <v>6441</v>
      </c>
    </row>
    <row r="1118" spans="1:3">
      <c r="A1118" t="s">
        <v>392</v>
      </c>
      <c r="B1118" t="s">
        <v>1075</v>
      </c>
      <c r="C1118" t="s">
        <v>6436</v>
      </c>
    </row>
    <row r="1119" spans="1:3">
      <c r="A1119" t="s">
        <v>392</v>
      </c>
      <c r="B1119" t="s">
        <v>1075</v>
      </c>
      <c r="C1119" t="s">
        <v>6435</v>
      </c>
    </row>
    <row r="1120" spans="1:3">
      <c r="A1120" t="s">
        <v>385</v>
      </c>
      <c r="B1120" t="s">
        <v>1075</v>
      </c>
      <c r="C1120" t="s">
        <v>6434</v>
      </c>
    </row>
    <row r="1121" spans="1:3">
      <c r="A1121" t="s">
        <v>385</v>
      </c>
      <c r="B1121" t="s">
        <v>1075</v>
      </c>
      <c r="C1121" t="s">
        <v>6433</v>
      </c>
    </row>
    <row r="1122" spans="1:3">
      <c r="A1122" t="s">
        <v>415</v>
      </c>
      <c r="B1122" t="s">
        <v>1070</v>
      </c>
      <c r="C1122" t="s">
        <v>6409</v>
      </c>
    </row>
    <row r="1123" spans="1:3">
      <c r="A1123" t="s">
        <v>415</v>
      </c>
      <c r="B1123" t="s">
        <v>1070</v>
      </c>
      <c r="C1123" t="s">
        <v>6408</v>
      </c>
    </row>
    <row r="1124" spans="1:3">
      <c r="A1124" t="s">
        <v>415</v>
      </c>
      <c r="B1124" t="s">
        <v>1070</v>
      </c>
      <c r="C1124" t="s">
        <v>6407</v>
      </c>
    </row>
    <row r="1125" spans="1:3">
      <c r="A1125" t="s">
        <v>415</v>
      </c>
      <c r="B1125" t="s">
        <v>1070</v>
      </c>
      <c r="C1125" t="s">
        <v>6406</v>
      </c>
    </row>
    <row r="1126" spans="1:3">
      <c r="A1126" t="s">
        <v>415</v>
      </c>
      <c r="B1126" t="s">
        <v>1070</v>
      </c>
      <c r="C1126" t="s">
        <v>6405</v>
      </c>
    </row>
    <row r="1127" spans="1:3">
      <c r="A1127" t="s">
        <v>415</v>
      </c>
      <c r="B1127" t="s">
        <v>1075</v>
      </c>
      <c r="C1127" t="s">
        <v>6412</v>
      </c>
    </row>
    <row r="1128" spans="1:3">
      <c r="A1128" t="s">
        <v>415</v>
      </c>
      <c r="B1128" t="s">
        <v>1075</v>
      </c>
      <c r="C1128" t="s">
        <v>6411</v>
      </c>
    </row>
    <row r="1129" spans="1:3">
      <c r="A1129" t="s">
        <v>415</v>
      </c>
      <c r="B1129" t="s">
        <v>1075</v>
      </c>
      <c r="C1129" t="s">
        <v>6410</v>
      </c>
    </row>
    <row r="1130" spans="1:3">
      <c r="A1130" t="s">
        <v>420</v>
      </c>
      <c r="B1130" t="s">
        <v>1070</v>
      </c>
      <c r="C1130" t="s">
        <v>6402</v>
      </c>
    </row>
    <row r="1131" spans="1:3">
      <c r="A1131" t="s">
        <v>420</v>
      </c>
      <c r="B1131" t="s">
        <v>1070</v>
      </c>
      <c r="C1131" t="s">
        <v>6401</v>
      </c>
    </row>
    <row r="1132" spans="1:3">
      <c r="A1132" t="s">
        <v>420</v>
      </c>
      <c r="B1132" t="s">
        <v>1070</v>
      </c>
      <c r="C1132" t="s">
        <v>6400</v>
      </c>
    </row>
    <row r="1133" spans="1:3">
      <c r="A1133" t="s">
        <v>420</v>
      </c>
      <c r="B1133" t="s">
        <v>1070</v>
      </c>
      <c r="C1133" t="s">
        <v>6399</v>
      </c>
    </row>
    <row r="1134" spans="1:3">
      <c r="A1134" t="s">
        <v>420</v>
      </c>
      <c r="B1134" t="s">
        <v>1075</v>
      </c>
      <c r="C1134" t="s">
        <v>6404</v>
      </c>
    </row>
    <row r="1135" spans="1:3">
      <c r="A1135" t="s">
        <v>420</v>
      </c>
      <c r="B1135" t="s">
        <v>1075</v>
      </c>
      <c r="C1135" t="s">
        <v>6403</v>
      </c>
    </row>
    <row r="1136" spans="1:3">
      <c r="A1136" t="s">
        <v>438</v>
      </c>
      <c r="B1136" t="s">
        <v>1075</v>
      </c>
      <c r="C1136" t="s">
        <v>6398</v>
      </c>
    </row>
    <row r="1137" spans="1:3">
      <c r="A1137" t="s">
        <v>438</v>
      </c>
      <c r="B1137" t="s">
        <v>1075</v>
      </c>
      <c r="C1137" t="s">
        <v>6397</v>
      </c>
    </row>
    <row r="1138" spans="1:3">
      <c r="A1138" t="s">
        <v>445</v>
      </c>
      <c r="B1138" t="s">
        <v>1075</v>
      </c>
      <c r="C1138" t="s">
        <v>6396</v>
      </c>
    </row>
    <row r="1139" spans="1:3">
      <c r="A1139" t="s">
        <v>445</v>
      </c>
      <c r="B1139" t="s">
        <v>1075</v>
      </c>
      <c r="C1139" t="s">
        <v>6395</v>
      </c>
    </row>
    <row r="1140" spans="1:3">
      <c r="A1140" t="s">
        <v>436</v>
      </c>
      <c r="B1140" t="s">
        <v>1070</v>
      </c>
      <c r="C1140" t="s">
        <v>6391</v>
      </c>
    </row>
    <row r="1141" spans="1:3">
      <c r="A1141" t="s">
        <v>436</v>
      </c>
      <c r="B1141" t="s">
        <v>1070</v>
      </c>
      <c r="C1141" t="s">
        <v>6390</v>
      </c>
    </row>
    <row r="1142" spans="1:3">
      <c r="A1142" t="s">
        <v>436</v>
      </c>
      <c r="B1142" t="s">
        <v>1070</v>
      </c>
      <c r="C1142" t="s">
        <v>6389</v>
      </c>
    </row>
    <row r="1143" spans="1:3">
      <c r="A1143" t="s">
        <v>436</v>
      </c>
      <c r="B1143" t="s">
        <v>1075</v>
      </c>
      <c r="C1143" t="s">
        <v>6394</v>
      </c>
    </row>
    <row r="1144" spans="1:3">
      <c r="A1144" t="s">
        <v>436</v>
      </c>
      <c r="B1144" t="s">
        <v>1075</v>
      </c>
      <c r="C1144" t="s">
        <v>6393</v>
      </c>
    </row>
    <row r="1145" spans="1:3">
      <c r="A1145" t="s">
        <v>436</v>
      </c>
      <c r="B1145" t="s">
        <v>1075</v>
      </c>
      <c r="C1145" t="s">
        <v>6392</v>
      </c>
    </row>
    <row r="1146" spans="1:3">
      <c r="A1146" t="s">
        <v>651</v>
      </c>
      <c r="B1146" t="s">
        <v>1070</v>
      </c>
      <c r="C1146" t="s">
        <v>6376</v>
      </c>
    </row>
    <row r="1147" spans="1:3">
      <c r="A1147" t="s">
        <v>651</v>
      </c>
      <c r="B1147" t="s">
        <v>1070</v>
      </c>
      <c r="C1147" t="s">
        <v>6375</v>
      </c>
    </row>
    <row r="1148" spans="1:3">
      <c r="A1148" t="s">
        <v>651</v>
      </c>
      <c r="B1148" t="s">
        <v>1070</v>
      </c>
      <c r="C1148" t="s">
        <v>6374</v>
      </c>
    </row>
    <row r="1149" spans="1:3">
      <c r="A1149" t="s">
        <v>651</v>
      </c>
      <c r="B1149" t="s">
        <v>1070</v>
      </c>
      <c r="C1149" t="s">
        <v>6373</v>
      </c>
    </row>
    <row r="1150" spans="1:3">
      <c r="A1150" t="s">
        <v>651</v>
      </c>
      <c r="B1150" t="s">
        <v>1070</v>
      </c>
      <c r="C1150" t="s">
        <v>6372</v>
      </c>
    </row>
    <row r="1151" spans="1:3">
      <c r="A1151" t="s">
        <v>651</v>
      </c>
      <c r="B1151" t="s">
        <v>1070</v>
      </c>
      <c r="C1151" t="s">
        <v>6371</v>
      </c>
    </row>
    <row r="1152" spans="1:3">
      <c r="A1152" t="s">
        <v>651</v>
      </c>
      <c r="B1152" t="s">
        <v>1070</v>
      </c>
      <c r="C1152" t="s">
        <v>6370</v>
      </c>
    </row>
    <row r="1153" spans="1:3">
      <c r="A1153" t="s">
        <v>651</v>
      </c>
      <c r="B1153" t="s">
        <v>1070</v>
      </c>
      <c r="C1153" t="s">
        <v>6369</v>
      </c>
    </row>
    <row r="1154" spans="1:3">
      <c r="A1154" t="s">
        <v>651</v>
      </c>
      <c r="B1154" t="s">
        <v>1075</v>
      </c>
      <c r="C1154" t="s">
        <v>6383</v>
      </c>
    </row>
    <row r="1155" spans="1:3">
      <c r="A1155" t="s">
        <v>651</v>
      </c>
      <c r="B1155" t="s">
        <v>1075</v>
      </c>
      <c r="C1155" t="s">
        <v>6382</v>
      </c>
    </row>
    <row r="1156" spans="1:3">
      <c r="A1156" t="s">
        <v>651</v>
      </c>
      <c r="B1156" t="s">
        <v>1075</v>
      </c>
      <c r="C1156" t="s">
        <v>6381</v>
      </c>
    </row>
    <row r="1157" spans="1:3">
      <c r="A1157" t="s">
        <v>651</v>
      </c>
      <c r="B1157" t="s">
        <v>1075</v>
      </c>
      <c r="C1157" t="s">
        <v>6380</v>
      </c>
    </row>
    <row r="1158" spans="1:3">
      <c r="A1158" t="s">
        <v>651</v>
      </c>
      <c r="B1158" t="s">
        <v>1075</v>
      </c>
      <c r="C1158" t="s">
        <v>6379</v>
      </c>
    </row>
    <row r="1159" spans="1:3">
      <c r="A1159" t="s">
        <v>651</v>
      </c>
      <c r="B1159" t="s">
        <v>1075</v>
      </c>
      <c r="C1159" t="s">
        <v>6378</v>
      </c>
    </row>
    <row r="1160" spans="1:3">
      <c r="A1160" t="s">
        <v>651</v>
      </c>
      <c r="B1160" t="s">
        <v>1075</v>
      </c>
      <c r="C1160" t="s">
        <v>6377</v>
      </c>
    </row>
    <row r="1161" spans="1:3">
      <c r="A1161" t="s">
        <v>533</v>
      </c>
      <c r="B1161" t="s">
        <v>1070</v>
      </c>
      <c r="C1161" t="s">
        <v>6363</v>
      </c>
    </row>
    <row r="1162" spans="1:3">
      <c r="A1162" t="s">
        <v>533</v>
      </c>
      <c r="B1162" t="s">
        <v>1070</v>
      </c>
      <c r="C1162" t="s">
        <v>6362</v>
      </c>
    </row>
    <row r="1163" spans="1:3">
      <c r="A1163" t="s">
        <v>533</v>
      </c>
      <c r="B1163" t="s">
        <v>1070</v>
      </c>
      <c r="C1163" t="s">
        <v>6361</v>
      </c>
    </row>
    <row r="1164" spans="1:3">
      <c r="A1164" t="s">
        <v>533</v>
      </c>
      <c r="B1164" t="s">
        <v>1075</v>
      </c>
      <c r="C1164" t="s">
        <v>6368</v>
      </c>
    </row>
    <row r="1165" spans="1:3">
      <c r="A1165" t="s">
        <v>533</v>
      </c>
      <c r="B1165" t="s">
        <v>1075</v>
      </c>
      <c r="C1165" t="s">
        <v>6367</v>
      </c>
    </row>
    <row r="1166" spans="1:3">
      <c r="A1166" t="s">
        <v>533</v>
      </c>
      <c r="B1166" t="s">
        <v>1075</v>
      </c>
      <c r="C1166" t="s">
        <v>6366</v>
      </c>
    </row>
    <row r="1167" spans="1:3">
      <c r="A1167" t="s">
        <v>533</v>
      </c>
      <c r="B1167" t="s">
        <v>1075</v>
      </c>
      <c r="C1167" t="s">
        <v>6365</v>
      </c>
    </row>
    <row r="1168" spans="1:3">
      <c r="A1168" t="s">
        <v>533</v>
      </c>
      <c r="B1168" t="s">
        <v>1075</v>
      </c>
      <c r="C1168" t="s">
        <v>6364</v>
      </c>
    </row>
    <row r="1169" spans="1:3">
      <c r="A1169" t="s">
        <v>644</v>
      </c>
      <c r="B1169" t="s">
        <v>1070</v>
      </c>
      <c r="C1169" t="s">
        <v>6355</v>
      </c>
    </row>
    <row r="1170" spans="1:3">
      <c r="A1170" t="s">
        <v>644</v>
      </c>
      <c r="B1170" t="s">
        <v>1070</v>
      </c>
      <c r="C1170" t="s">
        <v>6354</v>
      </c>
    </row>
    <row r="1171" spans="1:3">
      <c r="A1171" t="s">
        <v>644</v>
      </c>
      <c r="B1171" t="s">
        <v>1070</v>
      </c>
      <c r="C1171" t="s">
        <v>6353</v>
      </c>
    </row>
    <row r="1172" spans="1:3">
      <c r="A1172" t="s">
        <v>644</v>
      </c>
      <c r="B1172" t="s">
        <v>1075</v>
      </c>
      <c r="C1172" t="s">
        <v>6360</v>
      </c>
    </row>
    <row r="1173" spans="1:3">
      <c r="A1173" t="s">
        <v>644</v>
      </c>
      <c r="B1173" t="s">
        <v>1075</v>
      </c>
      <c r="C1173" t="s">
        <v>6359</v>
      </c>
    </row>
    <row r="1174" spans="1:3">
      <c r="A1174" t="s">
        <v>644</v>
      </c>
      <c r="B1174" t="s">
        <v>1075</v>
      </c>
      <c r="C1174" t="s">
        <v>6358</v>
      </c>
    </row>
    <row r="1175" spans="1:3">
      <c r="A1175" t="s">
        <v>644</v>
      </c>
      <c r="B1175" t="s">
        <v>1075</v>
      </c>
      <c r="C1175" t="s">
        <v>6357</v>
      </c>
    </row>
    <row r="1176" spans="1:3">
      <c r="A1176" t="s">
        <v>644</v>
      </c>
      <c r="B1176" t="s">
        <v>1075</v>
      </c>
      <c r="C1176" t="s">
        <v>6356</v>
      </c>
    </row>
    <row r="1177" spans="1:3">
      <c r="A1177" t="s">
        <v>643</v>
      </c>
      <c r="B1177" t="s">
        <v>1070</v>
      </c>
      <c r="C1177" t="s">
        <v>6347</v>
      </c>
    </row>
    <row r="1178" spans="1:3">
      <c r="A1178" t="s">
        <v>643</v>
      </c>
      <c r="B1178" t="s">
        <v>1070</v>
      </c>
      <c r="C1178" t="s">
        <v>6346</v>
      </c>
    </row>
    <row r="1179" spans="1:3">
      <c r="A1179" t="s">
        <v>643</v>
      </c>
      <c r="B1179" t="s">
        <v>1075</v>
      </c>
      <c r="C1179" t="s">
        <v>6352</v>
      </c>
    </row>
    <row r="1180" spans="1:3">
      <c r="A1180" t="s">
        <v>643</v>
      </c>
      <c r="B1180" t="s">
        <v>1075</v>
      </c>
      <c r="C1180" t="s">
        <v>6351</v>
      </c>
    </row>
    <row r="1181" spans="1:3">
      <c r="A1181" t="s">
        <v>643</v>
      </c>
      <c r="B1181" t="s">
        <v>1075</v>
      </c>
      <c r="C1181" t="s">
        <v>6350</v>
      </c>
    </row>
    <row r="1182" spans="1:3">
      <c r="A1182" t="s">
        <v>643</v>
      </c>
      <c r="B1182" t="s">
        <v>1075</v>
      </c>
      <c r="C1182" t="s">
        <v>6349</v>
      </c>
    </row>
    <row r="1183" spans="1:3">
      <c r="A1183" t="s">
        <v>643</v>
      </c>
      <c r="B1183" t="s">
        <v>1075</v>
      </c>
      <c r="C1183" t="s">
        <v>6348</v>
      </c>
    </row>
    <row r="1184" spans="1:3">
      <c r="A1184" t="s">
        <v>645</v>
      </c>
      <c r="B1184" t="s">
        <v>1070</v>
      </c>
      <c r="C1184" t="s">
        <v>6340</v>
      </c>
    </row>
    <row r="1185" spans="1:3">
      <c r="A1185" t="s">
        <v>645</v>
      </c>
      <c r="B1185" t="s">
        <v>1070</v>
      </c>
      <c r="C1185" t="s">
        <v>6339</v>
      </c>
    </row>
    <row r="1186" spans="1:3">
      <c r="A1186" t="s">
        <v>645</v>
      </c>
      <c r="B1186" t="s">
        <v>1070</v>
      </c>
      <c r="C1186" t="s">
        <v>6338</v>
      </c>
    </row>
    <row r="1187" spans="1:3">
      <c r="A1187" t="s">
        <v>645</v>
      </c>
      <c r="B1187" t="s">
        <v>1075</v>
      </c>
      <c r="C1187" t="s">
        <v>6345</v>
      </c>
    </row>
    <row r="1188" spans="1:3">
      <c r="A1188" t="s">
        <v>645</v>
      </c>
      <c r="B1188" t="s">
        <v>1075</v>
      </c>
      <c r="C1188" t="s">
        <v>6344</v>
      </c>
    </row>
    <row r="1189" spans="1:3">
      <c r="A1189" t="s">
        <v>645</v>
      </c>
      <c r="B1189" t="s">
        <v>1075</v>
      </c>
      <c r="C1189" t="s">
        <v>6343</v>
      </c>
    </row>
    <row r="1190" spans="1:3">
      <c r="A1190" t="s">
        <v>645</v>
      </c>
      <c r="B1190" t="s">
        <v>1075</v>
      </c>
      <c r="C1190" t="s">
        <v>6342</v>
      </c>
    </row>
    <row r="1191" spans="1:3">
      <c r="A1191" t="s">
        <v>645</v>
      </c>
      <c r="B1191" t="s">
        <v>1075</v>
      </c>
      <c r="C1191" t="s">
        <v>6341</v>
      </c>
    </row>
    <row r="1192" spans="1:3">
      <c r="A1192" t="s">
        <v>552</v>
      </c>
      <c r="B1192" t="s">
        <v>1070</v>
      </c>
      <c r="C1192" t="s">
        <v>6332</v>
      </c>
    </row>
    <row r="1193" spans="1:3">
      <c r="A1193" t="s">
        <v>552</v>
      </c>
      <c r="B1193" t="s">
        <v>1070</v>
      </c>
      <c r="C1193" t="s">
        <v>6331</v>
      </c>
    </row>
    <row r="1194" spans="1:3">
      <c r="A1194" t="s">
        <v>552</v>
      </c>
      <c r="B1194" t="s">
        <v>1070</v>
      </c>
      <c r="C1194" t="s">
        <v>6330</v>
      </c>
    </row>
    <row r="1195" spans="1:3">
      <c r="A1195" t="s">
        <v>552</v>
      </c>
      <c r="B1195" t="s">
        <v>1075</v>
      </c>
      <c r="C1195" t="s">
        <v>6337</v>
      </c>
    </row>
    <row r="1196" spans="1:3">
      <c r="A1196" t="s">
        <v>552</v>
      </c>
      <c r="B1196" t="s">
        <v>1075</v>
      </c>
      <c r="C1196" t="s">
        <v>6336</v>
      </c>
    </row>
    <row r="1197" spans="1:3">
      <c r="A1197" t="s">
        <v>552</v>
      </c>
      <c r="B1197" t="s">
        <v>1075</v>
      </c>
      <c r="C1197" t="s">
        <v>6335</v>
      </c>
    </row>
    <row r="1198" spans="1:3">
      <c r="A1198" t="s">
        <v>552</v>
      </c>
      <c r="B1198" t="s">
        <v>1075</v>
      </c>
      <c r="C1198" t="s">
        <v>6334</v>
      </c>
    </row>
    <row r="1199" spans="1:3">
      <c r="A1199" t="s">
        <v>552</v>
      </c>
      <c r="B1199" t="s">
        <v>1075</v>
      </c>
      <c r="C1199" t="s">
        <v>6333</v>
      </c>
    </row>
    <row r="1200" spans="1:3">
      <c r="A1200" t="s">
        <v>553</v>
      </c>
      <c r="B1200" t="s">
        <v>1070</v>
      </c>
      <c r="C1200" t="s">
        <v>6324</v>
      </c>
    </row>
    <row r="1201" spans="1:3">
      <c r="A1201" t="s">
        <v>553</v>
      </c>
      <c r="B1201" t="s">
        <v>1070</v>
      </c>
      <c r="C1201" t="s">
        <v>6323</v>
      </c>
    </row>
    <row r="1202" spans="1:3">
      <c r="A1202" t="s">
        <v>553</v>
      </c>
      <c r="B1202" t="s">
        <v>1070</v>
      </c>
      <c r="C1202" t="s">
        <v>6322</v>
      </c>
    </row>
    <row r="1203" spans="1:3">
      <c r="A1203" t="s">
        <v>553</v>
      </c>
      <c r="B1203" t="s">
        <v>1075</v>
      </c>
      <c r="C1203" t="s">
        <v>6329</v>
      </c>
    </row>
    <row r="1204" spans="1:3">
      <c r="A1204" t="s">
        <v>553</v>
      </c>
      <c r="B1204" t="s">
        <v>1075</v>
      </c>
      <c r="C1204" t="s">
        <v>6328</v>
      </c>
    </row>
    <row r="1205" spans="1:3">
      <c r="A1205" t="s">
        <v>553</v>
      </c>
      <c r="B1205" t="s">
        <v>1075</v>
      </c>
      <c r="C1205" t="s">
        <v>6327</v>
      </c>
    </row>
    <row r="1206" spans="1:3">
      <c r="A1206" t="s">
        <v>553</v>
      </c>
      <c r="B1206" t="s">
        <v>1075</v>
      </c>
      <c r="C1206" t="s">
        <v>6326</v>
      </c>
    </row>
    <row r="1207" spans="1:3">
      <c r="A1207" t="s">
        <v>553</v>
      </c>
      <c r="B1207" t="s">
        <v>1075</v>
      </c>
      <c r="C1207" t="s">
        <v>6325</v>
      </c>
    </row>
    <row r="1208" spans="1:3">
      <c r="A1208" t="s">
        <v>554</v>
      </c>
      <c r="B1208" t="s">
        <v>1070</v>
      </c>
      <c r="C1208" t="s">
        <v>6316</v>
      </c>
    </row>
    <row r="1209" spans="1:3">
      <c r="A1209" t="s">
        <v>554</v>
      </c>
      <c r="B1209" t="s">
        <v>1070</v>
      </c>
      <c r="C1209" t="s">
        <v>6315</v>
      </c>
    </row>
    <row r="1210" spans="1:3">
      <c r="A1210" t="s">
        <v>554</v>
      </c>
      <c r="B1210" t="s">
        <v>1070</v>
      </c>
      <c r="C1210" t="s">
        <v>6314</v>
      </c>
    </row>
    <row r="1211" spans="1:3">
      <c r="A1211" t="s">
        <v>554</v>
      </c>
      <c r="B1211" t="s">
        <v>1075</v>
      </c>
      <c r="C1211" t="s">
        <v>6321</v>
      </c>
    </row>
    <row r="1212" spans="1:3">
      <c r="A1212" t="s">
        <v>554</v>
      </c>
      <c r="B1212" t="s">
        <v>1075</v>
      </c>
      <c r="C1212" t="s">
        <v>6320</v>
      </c>
    </row>
    <row r="1213" spans="1:3">
      <c r="A1213" t="s">
        <v>554</v>
      </c>
      <c r="B1213" t="s">
        <v>1075</v>
      </c>
      <c r="C1213" t="s">
        <v>6319</v>
      </c>
    </row>
    <row r="1214" spans="1:3">
      <c r="A1214" t="s">
        <v>554</v>
      </c>
      <c r="B1214" t="s">
        <v>1075</v>
      </c>
      <c r="C1214" t="s">
        <v>6318</v>
      </c>
    </row>
    <row r="1215" spans="1:3">
      <c r="A1215" t="s">
        <v>554</v>
      </c>
      <c r="B1215" t="s">
        <v>1075</v>
      </c>
      <c r="C1215" t="s">
        <v>6317</v>
      </c>
    </row>
    <row r="1216" spans="1:3">
      <c r="A1216" t="s">
        <v>564</v>
      </c>
      <c r="B1216" t="s">
        <v>1070</v>
      </c>
      <c r="C1216" t="s">
        <v>6308</v>
      </c>
    </row>
    <row r="1217" spans="1:3">
      <c r="A1217" t="s">
        <v>564</v>
      </c>
      <c r="B1217" t="s">
        <v>1070</v>
      </c>
      <c r="C1217" t="s">
        <v>6307</v>
      </c>
    </row>
    <row r="1218" spans="1:3">
      <c r="A1218" t="s">
        <v>564</v>
      </c>
      <c r="B1218" t="s">
        <v>1070</v>
      </c>
      <c r="C1218" t="s">
        <v>6306</v>
      </c>
    </row>
    <row r="1219" spans="1:3">
      <c r="A1219" t="s">
        <v>564</v>
      </c>
      <c r="B1219" t="s">
        <v>1075</v>
      </c>
      <c r="C1219" t="s">
        <v>6313</v>
      </c>
    </row>
    <row r="1220" spans="1:3">
      <c r="A1220" t="s">
        <v>564</v>
      </c>
      <c r="B1220" t="s">
        <v>1075</v>
      </c>
      <c r="C1220" t="s">
        <v>6312</v>
      </c>
    </row>
    <row r="1221" spans="1:3">
      <c r="A1221" t="s">
        <v>564</v>
      </c>
      <c r="B1221" t="s">
        <v>1075</v>
      </c>
      <c r="C1221" t="s">
        <v>6311</v>
      </c>
    </row>
    <row r="1222" spans="1:3">
      <c r="A1222" t="s">
        <v>564</v>
      </c>
      <c r="B1222" t="s">
        <v>1075</v>
      </c>
      <c r="C1222" t="s">
        <v>6310</v>
      </c>
    </row>
    <row r="1223" spans="1:3">
      <c r="A1223" t="s">
        <v>564</v>
      </c>
      <c r="B1223" t="s">
        <v>1075</v>
      </c>
      <c r="C1223" t="s">
        <v>6309</v>
      </c>
    </row>
    <row r="1224" spans="1:3">
      <c r="A1224" t="s">
        <v>649</v>
      </c>
      <c r="B1224" t="s">
        <v>1070</v>
      </c>
      <c r="C1224" t="s">
        <v>6300</v>
      </c>
    </row>
    <row r="1225" spans="1:3">
      <c r="A1225" t="s">
        <v>649</v>
      </c>
      <c r="B1225" t="s">
        <v>1070</v>
      </c>
      <c r="C1225" t="s">
        <v>6299</v>
      </c>
    </row>
    <row r="1226" spans="1:3">
      <c r="A1226" t="s">
        <v>649</v>
      </c>
      <c r="B1226" t="s">
        <v>1070</v>
      </c>
      <c r="C1226" t="s">
        <v>6298</v>
      </c>
    </row>
    <row r="1227" spans="1:3">
      <c r="A1227" t="s">
        <v>649</v>
      </c>
      <c r="B1227" t="s">
        <v>1075</v>
      </c>
      <c r="C1227" t="s">
        <v>6305</v>
      </c>
    </row>
    <row r="1228" spans="1:3">
      <c r="A1228" t="s">
        <v>649</v>
      </c>
      <c r="B1228" t="s">
        <v>1075</v>
      </c>
      <c r="C1228" t="s">
        <v>6304</v>
      </c>
    </row>
    <row r="1229" spans="1:3">
      <c r="A1229" t="s">
        <v>649</v>
      </c>
      <c r="B1229" t="s">
        <v>1075</v>
      </c>
      <c r="C1229" t="s">
        <v>6303</v>
      </c>
    </row>
    <row r="1230" spans="1:3">
      <c r="A1230" t="s">
        <v>649</v>
      </c>
      <c r="B1230" t="s">
        <v>1075</v>
      </c>
      <c r="C1230" t="s">
        <v>6302</v>
      </c>
    </row>
    <row r="1231" spans="1:3">
      <c r="A1231" t="s">
        <v>649</v>
      </c>
      <c r="B1231" t="s">
        <v>1075</v>
      </c>
      <c r="C1231" t="s">
        <v>6301</v>
      </c>
    </row>
    <row r="1232" spans="1:3">
      <c r="A1232" t="s">
        <v>648</v>
      </c>
      <c r="B1232" t="s">
        <v>1070</v>
      </c>
      <c r="C1232" t="s">
        <v>6292</v>
      </c>
    </row>
    <row r="1233" spans="1:3">
      <c r="A1233" t="s">
        <v>648</v>
      </c>
      <c r="B1233" t="s">
        <v>1070</v>
      </c>
      <c r="C1233" t="s">
        <v>6291</v>
      </c>
    </row>
    <row r="1234" spans="1:3">
      <c r="A1234" t="s">
        <v>648</v>
      </c>
      <c r="B1234" t="s">
        <v>1070</v>
      </c>
      <c r="C1234" t="s">
        <v>6290</v>
      </c>
    </row>
    <row r="1235" spans="1:3">
      <c r="A1235" t="s">
        <v>648</v>
      </c>
      <c r="B1235" t="s">
        <v>1075</v>
      </c>
      <c r="C1235" t="s">
        <v>6297</v>
      </c>
    </row>
    <row r="1236" spans="1:3">
      <c r="A1236" t="s">
        <v>648</v>
      </c>
      <c r="B1236" t="s">
        <v>1075</v>
      </c>
      <c r="C1236" t="s">
        <v>6296</v>
      </c>
    </row>
    <row r="1237" spans="1:3">
      <c r="A1237" t="s">
        <v>648</v>
      </c>
      <c r="B1237" t="s">
        <v>1075</v>
      </c>
      <c r="C1237" t="s">
        <v>6295</v>
      </c>
    </row>
    <row r="1238" spans="1:3">
      <c r="A1238" t="s">
        <v>648</v>
      </c>
      <c r="B1238" t="s">
        <v>1075</v>
      </c>
      <c r="C1238" t="s">
        <v>6294</v>
      </c>
    </row>
    <row r="1239" spans="1:3">
      <c r="A1239" t="s">
        <v>648</v>
      </c>
      <c r="B1239" t="s">
        <v>1075</v>
      </c>
      <c r="C1239" t="s">
        <v>6293</v>
      </c>
    </row>
    <row r="1240" spans="1:3">
      <c r="A1240" t="s">
        <v>577</v>
      </c>
      <c r="B1240" t="s">
        <v>1070</v>
      </c>
      <c r="C1240" t="s">
        <v>6282</v>
      </c>
    </row>
    <row r="1241" spans="1:3">
      <c r="A1241" t="s">
        <v>577</v>
      </c>
      <c r="B1241" t="s">
        <v>1070</v>
      </c>
      <c r="C1241" t="s">
        <v>6281</v>
      </c>
    </row>
    <row r="1242" spans="1:3">
      <c r="A1242" t="s">
        <v>577</v>
      </c>
      <c r="B1242" t="s">
        <v>1070</v>
      </c>
      <c r="C1242" t="s">
        <v>6280</v>
      </c>
    </row>
    <row r="1243" spans="1:3">
      <c r="A1243" t="s">
        <v>577</v>
      </c>
      <c r="B1243" t="s">
        <v>1070</v>
      </c>
      <c r="C1243" t="s">
        <v>6279</v>
      </c>
    </row>
    <row r="1244" spans="1:3">
      <c r="A1244" t="s">
        <v>577</v>
      </c>
      <c r="B1244" t="s">
        <v>1070</v>
      </c>
      <c r="C1244" t="s">
        <v>6278</v>
      </c>
    </row>
    <row r="1245" spans="1:3">
      <c r="A1245" t="s">
        <v>577</v>
      </c>
      <c r="B1245" t="s">
        <v>1070</v>
      </c>
      <c r="C1245" t="s">
        <v>6277</v>
      </c>
    </row>
    <row r="1246" spans="1:3">
      <c r="A1246" t="s">
        <v>577</v>
      </c>
      <c r="B1246" t="s">
        <v>1070</v>
      </c>
      <c r="C1246" t="s">
        <v>6276</v>
      </c>
    </row>
    <row r="1247" spans="1:3">
      <c r="A1247" t="s">
        <v>577</v>
      </c>
      <c r="B1247" t="s">
        <v>1070</v>
      </c>
      <c r="C1247" t="s">
        <v>6275</v>
      </c>
    </row>
    <row r="1248" spans="1:3">
      <c r="A1248" t="s">
        <v>577</v>
      </c>
      <c r="B1248" t="s">
        <v>1075</v>
      </c>
      <c r="C1248" t="s">
        <v>6289</v>
      </c>
    </row>
    <row r="1249" spans="1:3">
      <c r="A1249" t="s">
        <v>577</v>
      </c>
      <c r="B1249" t="s">
        <v>1075</v>
      </c>
      <c r="C1249" t="s">
        <v>6288</v>
      </c>
    </row>
    <row r="1250" spans="1:3">
      <c r="A1250" t="s">
        <v>577</v>
      </c>
      <c r="B1250" t="s">
        <v>1075</v>
      </c>
      <c r="C1250" t="s">
        <v>6287</v>
      </c>
    </row>
    <row r="1251" spans="1:3">
      <c r="A1251" t="s">
        <v>577</v>
      </c>
      <c r="B1251" t="s">
        <v>1075</v>
      </c>
      <c r="C1251" t="s">
        <v>6286</v>
      </c>
    </row>
    <row r="1252" spans="1:3">
      <c r="A1252" t="s">
        <v>577</v>
      </c>
      <c r="B1252" t="s">
        <v>1075</v>
      </c>
      <c r="C1252" t="s">
        <v>6285</v>
      </c>
    </row>
    <row r="1253" spans="1:3">
      <c r="A1253" t="s">
        <v>577</v>
      </c>
      <c r="B1253" t="s">
        <v>1075</v>
      </c>
      <c r="C1253" t="s">
        <v>6284</v>
      </c>
    </row>
    <row r="1254" spans="1:3">
      <c r="A1254" t="s">
        <v>577</v>
      </c>
      <c r="B1254" t="s">
        <v>1075</v>
      </c>
      <c r="C1254" t="s">
        <v>6283</v>
      </c>
    </row>
    <row r="1255" spans="1:3">
      <c r="A1255" t="s">
        <v>670</v>
      </c>
      <c r="B1255" t="s">
        <v>1070</v>
      </c>
      <c r="C1255" t="s">
        <v>6269</v>
      </c>
    </row>
    <row r="1256" spans="1:3">
      <c r="A1256" t="s">
        <v>670</v>
      </c>
      <c r="B1256" t="s">
        <v>1070</v>
      </c>
      <c r="C1256" t="s">
        <v>6268</v>
      </c>
    </row>
    <row r="1257" spans="1:3">
      <c r="A1257" t="s">
        <v>670</v>
      </c>
      <c r="B1257" t="s">
        <v>1070</v>
      </c>
      <c r="C1257" t="s">
        <v>6267</v>
      </c>
    </row>
    <row r="1258" spans="1:3">
      <c r="A1258" t="s">
        <v>670</v>
      </c>
      <c r="B1258" t="s">
        <v>1075</v>
      </c>
      <c r="C1258" t="s">
        <v>6274</v>
      </c>
    </row>
    <row r="1259" spans="1:3">
      <c r="A1259" t="s">
        <v>670</v>
      </c>
      <c r="B1259" t="s">
        <v>1075</v>
      </c>
      <c r="C1259" t="s">
        <v>6273</v>
      </c>
    </row>
    <row r="1260" spans="1:3">
      <c r="A1260" t="s">
        <v>670</v>
      </c>
      <c r="B1260" t="s">
        <v>1075</v>
      </c>
      <c r="C1260" t="s">
        <v>6272</v>
      </c>
    </row>
    <row r="1261" spans="1:3">
      <c r="A1261" t="s">
        <v>670</v>
      </c>
      <c r="B1261" t="s">
        <v>1075</v>
      </c>
      <c r="C1261" t="s">
        <v>6271</v>
      </c>
    </row>
    <row r="1262" spans="1:3">
      <c r="A1262" t="s">
        <v>670</v>
      </c>
      <c r="B1262" t="s">
        <v>1075</v>
      </c>
      <c r="C1262" t="s">
        <v>6270</v>
      </c>
    </row>
    <row r="1263" spans="1:3">
      <c r="A1263" t="s">
        <v>588</v>
      </c>
      <c r="B1263" t="s">
        <v>1070</v>
      </c>
      <c r="C1263" t="s">
        <v>6261</v>
      </c>
    </row>
    <row r="1264" spans="1:3">
      <c r="A1264" t="s">
        <v>588</v>
      </c>
      <c r="B1264" t="s">
        <v>1070</v>
      </c>
      <c r="C1264" t="s">
        <v>6260</v>
      </c>
    </row>
    <row r="1265" spans="1:3">
      <c r="A1265" t="s">
        <v>588</v>
      </c>
      <c r="B1265" t="s">
        <v>1070</v>
      </c>
      <c r="C1265" t="s">
        <v>6259</v>
      </c>
    </row>
    <row r="1266" spans="1:3">
      <c r="A1266" t="s">
        <v>588</v>
      </c>
      <c r="B1266" t="s">
        <v>1075</v>
      </c>
      <c r="C1266" t="s">
        <v>6266</v>
      </c>
    </row>
    <row r="1267" spans="1:3">
      <c r="A1267" t="s">
        <v>588</v>
      </c>
      <c r="B1267" t="s">
        <v>1075</v>
      </c>
      <c r="C1267" t="s">
        <v>6265</v>
      </c>
    </row>
    <row r="1268" spans="1:3">
      <c r="A1268" t="s">
        <v>588</v>
      </c>
      <c r="B1268" t="s">
        <v>1075</v>
      </c>
      <c r="C1268" t="s">
        <v>6264</v>
      </c>
    </row>
    <row r="1269" spans="1:3">
      <c r="A1269" t="s">
        <v>588</v>
      </c>
      <c r="B1269" t="s">
        <v>1075</v>
      </c>
      <c r="C1269" t="s">
        <v>6263</v>
      </c>
    </row>
    <row r="1270" spans="1:3">
      <c r="A1270" t="s">
        <v>588</v>
      </c>
      <c r="B1270" t="s">
        <v>1075</v>
      </c>
      <c r="C1270" t="s">
        <v>6262</v>
      </c>
    </row>
    <row r="1271" spans="1:3">
      <c r="A1271" t="s">
        <v>534</v>
      </c>
      <c r="B1271" t="s">
        <v>1070</v>
      </c>
      <c r="C1271" t="s">
        <v>6251</v>
      </c>
    </row>
    <row r="1272" spans="1:3">
      <c r="A1272" t="s">
        <v>534</v>
      </c>
      <c r="B1272" t="s">
        <v>1070</v>
      </c>
      <c r="C1272" t="s">
        <v>6250</v>
      </c>
    </row>
    <row r="1273" spans="1:3">
      <c r="A1273" t="s">
        <v>534</v>
      </c>
      <c r="B1273" t="s">
        <v>1070</v>
      </c>
      <c r="C1273" t="s">
        <v>6249</v>
      </c>
    </row>
    <row r="1274" spans="1:3">
      <c r="A1274" t="s">
        <v>534</v>
      </c>
      <c r="B1274" t="s">
        <v>1070</v>
      </c>
      <c r="C1274" t="s">
        <v>6248</v>
      </c>
    </row>
    <row r="1275" spans="1:3">
      <c r="A1275" t="s">
        <v>534</v>
      </c>
      <c r="B1275" t="s">
        <v>1070</v>
      </c>
      <c r="C1275" t="s">
        <v>6247</v>
      </c>
    </row>
    <row r="1276" spans="1:3">
      <c r="A1276" t="s">
        <v>534</v>
      </c>
      <c r="B1276" t="s">
        <v>1070</v>
      </c>
      <c r="C1276" t="s">
        <v>6246</v>
      </c>
    </row>
    <row r="1277" spans="1:3">
      <c r="A1277" t="s">
        <v>534</v>
      </c>
      <c r="B1277" t="s">
        <v>1070</v>
      </c>
      <c r="C1277" t="s">
        <v>6245</v>
      </c>
    </row>
    <row r="1278" spans="1:3">
      <c r="A1278" t="s">
        <v>534</v>
      </c>
      <c r="B1278" t="s">
        <v>1070</v>
      </c>
      <c r="C1278" t="s">
        <v>6244</v>
      </c>
    </row>
    <row r="1279" spans="1:3">
      <c r="A1279" t="s">
        <v>534</v>
      </c>
      <c r="B1279" t="s">
        <v>1075</v>
      </c>
      <c r="C1279" t="s">
        <v>6258</v>
      </c>
    </row>
    <row r="1280" spans="1:3">
      <c r="A1280" t="s">
        <v>534</v>
      </c>
      <c r="B1280" t="s">
        <v>1075</v>
      </c>
      <c r="C1280" t="s">
        <v>6257</v>
      </c>
    </row>
    <row r="1281" spans="1:3">
      <c r="A1281" t="s">
        <v>534</v>
      </c>
      <c r="B1281" t="s">
        <v>1075</v>
      </c>
      <c r="C1281" t="s">
        <v>6256</v>
      </c>
    </row>
    <row r="1282" spans="1:3">
      <c r="A1282" t="s">
        <v>534</v>
      </c>
      <c r="B1282" t="s">
        <v>1075</v>
      </c>
      <c r="C1282" t="s">
        <v>6255</v>
      </c>
    </row>
    <row r="1283" spans="1:3">
      <c r="A1283" t="s">
        <v>534</v>
      </c>
      <c r="B1283" t="s">
        <v>1075</v>
      </c>
      <c r="C1283" t="s">
        <v>6254</v>
      </c>
    </row>
    <row r="1284" spans="1:3">
      <c r="A1284" t="s">
        <v>534</v>
      </c>
      <c r="B1284" t="s">
        <v>1075</v>
      </c>
      <c r="C1284" t="s">
        <v>6253</v>
      </c>
    </row>
    <row r="1285" spans="1:3">
      <c r="A1285" t="s">
        <v>534</v>
      </c>
      <c r="B1285" t="s">
        <v>1075</v>
      </c>
      <c r="C1285" t="s">
        <v>6252</v>
      </c>
    </row>
    <row r="1286" spans="1:3">
      <c r="A1286" t="s">
        <v>535</v>
      </c>
      <c r="B1286" t="s">
        <v>1070</v>
      </c>
      <c r="C1286" t="s">
        <v>6236</v>
      </c>
    </row>
    <row r="1287" spans="1:3">
      <c r="A1287" t="s">
        <v>535</v>
      </c>
      <c r="B1287" t="s">
        <v>1070</v>
      </c>
      <c r="C1287" t="s">
        <v>6235</v>
      </c>
    </row>
    <row r="1288" spans="1:3">
      <c r="A1288" t="s">
        <v>535</v>
      </c>
      <c r="B1288" t="s">
        <v>1070</v>
      </c>
      <c r="C1288" t="s">
        <v>6234</v>
      </c>
    </row>
    <row r="1289" spans="1:3">
      <c r="A1289" t="s">
        <v>535</v>
      </c>
      <c r="B1289" t="s">
        <v>1070</v>
      </c>
      <c r="C1289" t="s">
        <v>6233</v>
      </c>
    </row>
    <row r="1290" spans="1:3">
      <c r="A1290" t="s">
        <v>535</v>
      </c>
      <c r="B1290" t="s">
        <v>1070</v>
      </c>
      <c r="C1290" t="s">
        <v>6232</v>
      </c>
    </row>
    <row r="1291" spans="1:3">
      <c r="A1291" t="s">
        <v>535</v>
      </c>
      <c r="B1291" t="s">
        <v>1070</v>
      </c>
      <c r="C1291" t="s">
        <v>6231</v>
      </c>
    </row>
    <row r="1292" spans="1:3">
      <c r="A1292" t="s">
        <v>535</v>
      </c>
      <c r="B1292" t="s">
        <v>1070</v>
      </c>
      <c r="C1292" t="s">
        <v>6230</v>
      </c>
    </row>
    <row r="1293" spans="1:3">
      <c r="A1293" t="s">
        <v>535</v>
      </c>
      <c r="B1293" t="s">
        <v>1070</v>
      </c>
      <c r="C1293" t="s">
        <v>6229</v>
      </c>
    </row>
    <row r="1294" spans="1:3">
      <c r="A1294" t="s">
        <v>535</v>
      </c>
      <c r="B1294" t="s">
        <v>1075</v>
      </c>
      <c r="C1294" t="s">
        <v>6243</v>
      </c>
    </row>
    <row r="1295" spans="1:3">
      <c r="A1295" t="s">
        <v>535</v>
      </c>
      <c r="B1295" t="s">
        <v>1075</v>
      </c>
      <c r="C1295" t="s">
        <v>6242</v>
      </c>
    </row>
    <row r="1296" spans="1:3">
      <c r="A1296" t="s">
        <v>535</v>
      </c>
      <c r="B1296" t="s">
        <v>1075</v>
      </c>
      <c r="C1296" t="s">
        <v>6241</v>
      </c>
    </row>
    <row r="1297" spans="1:3">
      <c r="A1297" t="s">
        <v>535</v>
      </c>
      <c r="B1297" t="s">
        <v>1075</v>
      </c>
      <c r="C1297" t="s">
        <v>6240</v>
      </c>
    </row>
    <row r="1298" spans="1:3">
      <c r="A1298" t="s">
        <v>535</v>
      </c>
      <c r="B1298" t="s">
        <v>1075</v>
      </c>
      <c r="C1298" t="s">
        <v>6239</v>
      </c>
    </row>
    <row r="1299" spans="1:3">
      <c r="A1299" t="s">
        <v>535</v>
      </c>
      <c r="B1299" t="s">
        <v>1075</v>
      </c>
      <c r="C1299" t="s">
        <v>6238</v>
      </c>
    </row>
    <row r="1300" spans="1:3">
      <c r="A1300" t="s">
        <v>535</v>
      </c>
      <c r="B1300" t="s">
        <v>1075</v>
      </c>
      <c r="C1300" t="s">
        <v>6237</v>
      </c>
    </row>
    <row r="1301" spans="1:3">
      <c r="A1301" t="s">
        <v>568</v>
      </c>
      <c r="B1301" t="s">
        <v>1070</v>
      </c>
      <c r="C1301" t="s">
        <v>6222</v>
      </c>
    </row>
    <row r="1302" spans="1:3">
      <c r="A1302" t="s">
        <v>568</v>
      </c>
      <c r="B1302" t="s">
        <v>1070</v>
      </c>
      <c r="C1302" t="s">
        <v>6221</v>
      </c>
    </row>
    <row r="1303" spans="1:3">
      <c r="A1303" t="s">
        <v>568</v>
      </c>
      <c r="B1303" t="s">
        <v>1070</v>
      </c>
      <c r="C1303" t="s">
        <v>6220</v>
      </c>
    </row>
    <row r="1304" spans="1:3">
      <c r="A1304" t="s">
        <v>568</v>
      </c>
      <c r="B1304" t="s">
        <v>1070</v>
      </c>
      <c r="C1304" t="s">
        <v>6219</v>
      </c>
    </row>
    <row r="1305" spans="1:3">
      <c r="A1305" t="s">
        <v>568</v>
      </c>
      <c r="B1305" t="s">
        <v>1075</v>
      </c>
      <c r="C1305" t="s">
        <v>6228</v>
      </c>
    </row>
    <row r="1306" spans="1:3">
      <c r="A1306" t="s">
        <v>568</v>
      </c>
      <c r="B1306" t="s">
        <v>1075</v>
      </c>
      <c r="C1306" t="s">
        <v>6227</v>
      </c>
    </row>
    <row r="1307" spans="1:3">
      <c r="A1307" t="s">
        <v>568</v>
      </c>
      <c r="B1307" t="s">
        <v>1075</v>
      </c>
      <c r="C1307" t="s">
        <v>6226</v>
      </c>
    </row>
    <row r="1308" spans="1:3">
      <c r="A1308" t="s">
        <v>568</v>
      </c>
      <c r="B1308" t="s">
        <v>1075</v>
      </c>
      <c r="C1308" t="s">
        <v>6225</v>
      </c>
    </row>
    <row r="1309" spans="1:3">
      <c r="A1309" t="s">
        <v>568</v>
      </c>
      <c r="B1309" t="s">
        <v>1075</v>
      </c>
      <c r="C1309" t="s">
        <v>6224</v>
      </c>
    </row>
    <row r="1310" spans="1:3">
      <c r="A1310" t="s">
        <v>568</v>
      </c>
      <c r="B1310" t="s">
        <v>1075</v>
      </c>
      <c r="C1310" t="s">
        <v>6223</v>
      </c>
    </row>
    <row r="1311" spans="1:3">
      <c r="A1311" t="s">
        <v>565</v>
      </c>
      <c r="B1311" t="s">
        <v>1070</v>
      </c>
      <c r="C1311" t="s">
        <v>6213</v>
      </c>
    </row>
    <row r="1312" spans="1:3">
      <c r="A1312" t="s">
        <v>565</v>
      </c>
      <c r="B1312" t="s">
        <v>1070</v>
      </c>
      <c r="C1312" t="s">
        <v>6212</v>
      </c>
    </row>
    <row r="1313" spans="1:3">
      <c r="A1313" t="s">
        <v>565</v>
      </c>
      <c r="B1313" t="s">
        <v>1070</v>
      </c>
      <c r="C1313" t="s">
        <v>6211</v>
      </c>
    </row>
    <row r="1314" spans="1:3">
      <c r="A1314" t="s">
        <v>565</v>
      </c>
      <c r="B1314" t="s">
        <v>1075</v>
      </c>
      <c r="C1314" t="s">
        <v>6218</v>
      </c>
    </row>
    <row r="1315" spans="1:3">
      <c r="A1315" t="s">
        <v>565</v>
      </c>
      <c r="B1315" t="s">
        <v>1075</v>
      </c>
      <c r="C1315" t="s">
        <v>6217</v>
      </c>
    </row>
    <row r="1316" spans="1:3">
      <c r="A1316" t="s">
        <v>565</v>
      </c>
      <c r="B1316" t="s">
        <v>1075</v>
      </c>
      <c r="C1316" t="s">
        <v>6216</v>
      </c>
    </row>
    <row r="1317" spans="1:3">
      <c r="A1317" t="s">
        <v>565</v>
      </c>
      <c r="B1317" t="s">
        <v>1075</v>
      </c>
      <c r="C1317" t="s">
        <v>6215</v>
      </c>
    </row>
    <row r="1318" spans="1:3">
      <c r="A1318" t="s">
        <v>565</v>
      </c>
      <c r="B1318" t="s">
        <v>1075</v>
      </c>
      <c r="C1318" t="s">
        <v>6214</v>
      </c>
    </row>
    <row r="1319" spans="1:3">
      <c r="A1319" t="s">
        <v>566</v>
      </c>
      <c r="B1319" t="s">
        <v>1070</v>
      </c>
      <c r="C1319" t="s">
        <v>6205</v>
      </c>
    </row>
    <row r="1320" spans="1:3">
      <c r="A1320" t="s">
        <v>566</v>
      </c>
      <c r="B1320" t="s">
        <v>1070</v>
      </c>
      <c r="C1320" t="s">
        <v>6204</v>
      </c>
    </row>
    <row r="1321" spans="1:3">
      <c r="A1321" t="s">
        <v>566</v>
      </c>
      <c r="B1321" t="s">
        <v>1070</v>
      </c>
      <c r="C1321" t="s">
        <v>6203</v>
      </c>
    </row>
    <row r="1322" spans="1:3">
      <c r="A1322" t="s">
        <v>566</v>
      </c>
      <c r="B1322" t="s">
        <v>1075</v>
      </c>
      <c r="C1322" t="s">
        <v>6210</v>
      </c>
    </row>
    <row r="1323" spans="1:3">
      <c r="A1323" t="s">
        <v>566</v>
      </c>
      <c r="B1323" t="s">
        <v>1075</v>
      </c>
      <c r="C1323" t="s">
        <v>6209</v>
      </c>
    </row>
    <row r="1324" spans="1:3">
      <c r="A1324" t="s">
        <v>566</v>
      </c>
      <c r="B1324" t="s">
        <v>1075</v>
      </c>
      <c r="C1324" t="s">
        <v>6208</v>
      </c>
    </row>
    <row r="1325" spans="1:3">
      <c r="A1325" t="s">
        <v>566</v>
      </c>
      <c r="B1325" t="s">
        <v>1075</v>
      </c>
      <c r="C1325" t="s">
        <v>6207</v>
      </c>
    </row>
    <row r="1326" spans="1:3">
      <c r="A1326" t="s">
        <v>566</v>
      </c>
      <c r="B1326" t="s">
        <v>1075</v>
      </c>
      <c r="C1326" t="s">
        <v>6206</v>
      </c>
    </row>
    <row r="1327" spans="1:3">
      <c r="A1327" t="s">
        <v>586</v>
      </c>
      <c r="B1327" t="s">
        <v>1070</v>
      </c>
      <c r="C1327" t="s">
        <v>6196</v>
      </c>
    </row>
    <row r="1328" spans="1:3">
      <c r="A1328" t="s">
        <v>586</v>
      </c>
      <c r="B1328" t="s">
        <v>1070</v>
      </c>
      <c r="C1328" t="s">
        <v>6195</v>
      </c>
    </row>
    <row r="1329" spans="1:3">
      <c r="A1329" t="s">
        <v>586</v>
      </c>
      <c r="B1329" t="s">
        <v>1070</v>
      </c>
      <c r="C1329" t="s">
        <v>6194</v>
      </c>
    </row>
    <row r="1330" spans="1:3">
      <c r="A1330" t="s">
        <v>586</v>
      </c>
      <c r="B1330" t="s">
        <v>1075</v>
      </c>
      <c r="C1330" t="s">
        <v>6202</v>
      </c>
    </row>
    <row r="1331" spans="1:3">
      <c r="A1331" t="s">
        <v>586</v>
      </c>
      <c r="B1331" t="s">
        <v>1075</v>
      </c>
      <c r="C1331" t="s">
        <v>6201</v>
      </c>
    </row>
    <row r="1332" spans="1:3">
      <c r="A1332" t="s">
        <v>586</v>
      </c>
      <c r="B1332" t="s">
        <v>1075</v>
      </c>
      <c r="C1332" t="s">
        <v>6200</v>
      </c>
    </row>
    <row r="1333" spans="1:3">
      <c r="A1333" t="s">
        <v>586</v>
      </c>
      <c r="B1333" t="s">
        <v>1075</v>
      </c>
      <c r="C1333" t="s">
        <v>6199</v>
      </c>
    </row>
    <row r="1334" spans="1:3">
      <c r="A1334" t="s">
        <v>586</v>
      </c>
      <c r="B1334" t="s">
        <v>1075</v>
      </c>
      <c r="C1334" t="s">
        <v>6198</v>
      </c>
    </row>
    <row r="1335" spans="1:3">
      <c r="A1335" t="s">
        <v>586</v>
      </c>
      <c r="B1335" t="s">
        <v>1075</v>
      </c>
      <c r="C1335" t="s">
        <v>6197</v>
      </c>
    </row>
    <row r="1336" spans="1:3">
      <c r="A1336" t="s">
        <v>585</v>
      </c>
      <c r="B1336" t="s">
        <v>1070</v>
      </c>
      <c r="C1336" t="s">
        <v>6182</v>
      </c>
    </row>
    <row r="1337" spans="1:3">
      <c r="A1337" t="s">
        <v>585</v>
      </c>
      <c r="B1337" t="s">
        <v>1070</v>
      </c>
      <c r="C1337" t="s">
        <v>6181</v>
      </c>
    </row>
    <row r="1338" spans="1:3">
      <c r="A1338" t="s">
        <v>585</v>
      </c>
      <c r="B1338" t="s">
        <v>1070</v>
      </c>
      <c r="C1338" t="s">
        <v>6180</v>
      </c>
    </row>
    <row r="1339" spans="1:3">
      <c r="A1339" t="s">
        <v>585</v>
      </c>
      <c r="B1339" t="s">
        <v>1070</v>
      </c>
      <c r="C1339" t="s">
        <v>6179</v>
      </c>
    </row>
    <row r="1340" spans="1:3">
      <c r="A1340" t="s">
        <v>585</v>
      </c>
      <c r="B1340" t="s">
        <v>1070</v>
      </c>
      <c r="C1340" t="s">
        <v>6178</v>
      </c>
    </row>
    <row r="1341" spans="1:3">
      <c r="A1341" t="s">
        <v>585</v>
      </c>
      <c r="B1341" t="s">
        <v>1070</v>
      </c>
      <c r="C1341" t="s">
        <v>6177</v>
      </c>
    </row>
    <row r="1342" spans="1:3">
      <c r="A1342" t="s">
        <v>585</v>
      </c>
      <c r="B1342" t="s">
        <v>1070</v>
      </c>
      <c r="C1342" t="s">
        <v>6176</v>
      </c>
    </row>
    <row r="1343" spans="1:3">
      <c r="A1343" t="s">
        <v>585</v>
      </c>
      <c r="B1343" t="s">
        <v>1070</v>
      </c>
      <c r="C1343" t="s">
        <v>6175</v>
      </c>
    </row>
    <row r="1344" spans="1:3">
      <c r="A1344" t="s">
        <v>585</v>
      </c>
      <c r="B1344" t="s">
        <v>1070</v>
      </c>
      <c r="C1344" t="s">
        <v>6174</v>
      </c>
    </row>
    <row r="1345" spans="1:3">
      <c r="A1345" t="s">
        <v>585</v>
      </c>
      <c r="B1345" t="s">
        <v>1075</v>
      </c>
      <c r="C1345" t="s">
        <v>6193</v>
      </c>
    </row>
    <row r="1346" spans="1:3">
      <c r="A1346" t="s">
        <v>585</v>
      </c>
      <c r="B1346" t="s">
        <v>1075</v>
      </c>
      <c r="C1346" t="s">
        <v>6192</v>
      </c>
    </row>
    <row r="1347" spans="1:3">
      <c r="A1347" t="s">
        <v>585</v>
      </c>
      <c r="B1347" t="s">
        <v>1075</v>
      </c>
      <c r="C1347" t="s">
        <v>6191</v>
      </c>
    </row>
    <row r="1348" spans="1:3">
      <c r="A1348" t="s">
        <v>585</v>
      </c>
      <c r="B1348" t="s">
        <v>1075</v>
      </c>
      <c r="C1348" t="s">
        <v>6190</v>
      </c>
    </row>
    <row r="1349" spans="1:3">
      <c r="A1349" t="s">
        <v>585</v>
      </c>
      <c r="B1349" t="s">
        <v>1075</v>
      </c>
      <c r="C1349" t="s">
        <v>6189</v>
      </c>
    </row>
    <row r="1350" spans="1:3">
      <c r="A1350" t="s">
        <v>585</v>
      </c>
      <c r="B1350" t="s">
        <v>1075</v>
      </c>
      <c r="C1350" t="s">
        <v>6188</v>
      </c>
    </row>
    <row r="1351" spans="1:3">
      <c r="A1351" t="s">
        <v>585</v>
      </c>
      <c r="B1351" t="s">
        <v>1075</v>
      </c>
      <c r="C1351" t="s">
        <v>6187</v>
      </c>
    </row>
    <row r="1352" spans="1:3">
      <c r="A1352" t="s">
        <v>585</v>
      </c>
      <c r="B1352" t="s">
        <v>1075</v>
      </c>
      <c r="C1352" t="s">
        <v>6186</v>
      </c>
    </row>
    <row r="1353" spans="1:3">
      <c r="A1353" t="s">
        <v>585</v>
      </c>
      <c r="B1353" t="s">
        <v>1075</v>
      </c>
      <c r="C1353" t="s">
        <v>6185</v>
      </c>
    </row>
    <row r="1354" spans="1:3">
      <c r="A1354" t="s">
        <v>585</v>
      </c>
      <c r="B1354" t="s">
        <v>1075</v>
      </c>
      <c r="C1354" t="s">
        <v>6184</v>
      </c>
    </row>
    <row r="1355" spans="1:3">
      <c r="A1355" t="s">
        <v>585</v>
      </c>
      <c r="B1355" t="s">
        <v>1075</v>
      </c>
      <c r="C1355" t="s">
        <v>6183</v>
      </c>
    </row>
    <row r="1356" spans="1:3">
      <c r="A1356" t="s">
        <v>587</v>
      </c>
      <c r="B1356" t="s">
        <v>1070</v>
      </c>
      <c r="C1356" t="s">
        <v>6162</v>
      </c>
    </row>
    <row r="1357" spans="1:3">
      <c r="A1357" t="s">
        <v>587</v>
      </c>
      <c r="B1357" t="s">
        <v>1070</v>
      </c>
      <c r="C1357" t="s">
        <v>6161</v>
      </c>
    </row>
    <row r="1358" spans="1:3">
      <c r="A1358" t="s">
        <v>587</v>
      </c>
      <c r="B1358" t="s">
        <v>1070</v>
      </c>
      <c r="C1358" t="s">
        <v>6160</v>
      </c>
    </row>
    <row r="1359" spans="1:3">
      <c r="A1359" t="s">
        <v>587</v>
      </c>
      <c r="B1359" t="s">
        <v>1070</v>
      </c>
      <c r="C1359" t="s">
        <v>6159</v>
      </c>
    </row>
    <row r="1360" spans="1:3">
      <c r="A1360" t="s">
        <v>587</v>
      </c>
      <c r="B1360" t="s">
        <v>1070</v>
      </c>
      <c r="C1360" t="s">
        <v>6158</v>
      </c>
    </row>
    <row r="1361" spans="1:3">
      <c r="A1361" t="s">
        <v>587</v>
      </c>
      <c r="B1361" t="s">
        <v>1070</v>
      </c>
      <c r="C1361" t="s">
        <v>6157</v>
      </c>
    </row>
    <row r="1362" spans="1:3">
      <c r="A1362" t="s">
        <v>587</v>
      </c>
      <c r="B1362" t="s">
        <v>1070</v>
      </c>
      <c r="C1362" t="s">
        <v>6156</v>
      </c>
    </row>
    <row r="1363" spans="1:3">
      <c r="A1363" t="s">
        <v>587</v>
      </c>
      <c r="B1363" t="s">
        <v>1070</v>
      </c>
      <c r="C1363" t="s">
        <v>6155</v>
      </c>
    </row>
    <row r="1364" spans="1:3">
      <c r="A1364" t="s">
        <v>587</v>
      </c>
      <c r="B1364" t="s">
        <v>1070</v>
      </c>
      <c r="C1364" t="s">
        <v>6154</v>
      </c>
    </row>
    <row r="1365" spans="1:3">
      <c r="A1365" t="s">
        <v>587</v>
      </c>
      <c r="B1365" t="s">
        <v>1075</v>
      </c>
      <c r="C1365" t="s">
        <v>6173</v>
      </c>
    </row>
    <row r="1366" spans="1:3">
      <c r="A1366" t="s">
        <v>587</v>
      </c>
      <c r="B1366" t="s">
        <v>1075</v>
      </c>
      <c r="C1366" t="s">
        <v>6172</v>
      </c>
    </row>
    <row r="1367" spans="1:3">
      <c r="A1367" t="s">
        <v>587</v>
      </c>
      <c r="B1367" t="s">
        <v>1075</v>
      </c>
      <c r="C1367" t="s">
        <v>6171</v>
      </c>
    </row>
    <row r="1368" spans="1:3">
      <c r="A1368" t="s">
        <v>587</v>
      </c>
      <c r="B1368" t="s">
        <v>1075</v>
      </c>
      <c r="C1368" t="s">
        <v>6170</v>
      </c>
    </row>
    <row r="1369" spans="1:3">
      <c r="A1369" t="s">
        <v>587</v>
      </c>
      <c r="B1369" t="s">
        <v>1075</v>
      </c>
      <c r="C1369" t="s">
        <v>6169</v>
      </c>
    </row>
    <row r="1370" spans="1:3">
      <c r="A1370" t="s">
        <v>587</v>
      </c>
      <c r="B1370" t="s">
        <v>1075</v>
      </c>
      <c r="C1370" t="s">
        <v>6168</v>
      </c>
    </row>
    <row r="1371" spans="1:3">
      <c r="A1371" t="s">
        <v>587</v>
      </c>
      <c r="B1371" t="s">
        <v>1075</v>
      </c>
      <c r="C1371" t="s">
        <v>6167</v>
      </c>
    </row>
    <row r="1372" spans="1:3">
      <c r="A1372" t="s">
        <v>587</v>
      </c>
      <c r="B1372" t="s">
        <v>1075</v>
      </c>
      <c r="C1372" t="s">
        <v>6166</v>
      </c>
    </row>
    <row r="1373" spans="1:3">
      <c r="A1373" t="s">
        <v>587</v>
      </c>
      <c r="B1373" t="s">
        <v>1075</v>
      </c>
      <c r="C1373" t="s">
        <v>6165</v>
      </c>
    </row>
    <row r="1374" spans="1:3">
      <c r="A1374" t="s">
        <v>587</v>
      </c>
      <c r="B1374" t="s">
        <v>1075</v>
      </c>
      <c r="C1374" t="s">
        <v>6164</v>
      </c>
    </row>
    <row r="1375" spans="1:3">
      <c r="A1375" t="s">
        <v>587</v>
      </c>
      <c r="B1375" t="s">
        <v>1075</v>
      </c>
      <c r="C1375" t="s">
        <v>6163</v>
      </c>
    </row>
    <row r="1376" spans="1:3">
      <c r="A1376" t="s">
        <v>563</v>
      </c>
      <c r="B1376" t="s">
        <v>1070</v>
      </c>
      <c r="C1376" t="s">
        <v>6146</v>
      </c>
    </row>
    <row r="1377" spans="1:3">
      <c r="A1377" t="s">
        <v>563</v>
      </c>
      <c r="B1377" t="s">
        <v>1070</v>
      </c>
      <c r="C1377" t="s">
        <v>6145</v>
      </c>
    </row>
    <row r="1378" spans="1:3">
      <c r="A1378" t="s">
        <v>563</v>
      </c>
      <c r="B1378" t="s">
        <v>1070</v>
      </c>
      <c r="C1378" t="s">
        <v>6144</v>
      </c>
    </row>
    <row r="1379" spans="1:3">
      <c r="A1379" t="s">
        <v>563</v>
      </c>
      <c r="B1379" t="s">
        <v>1070</v>
      </c>
      <c r="C1379" t="s">
        <v>6143</v>
      </c>
    </row>
    <row r="1380" spans="1:3">
      <c r="A1380" t="s">
        <v>563</v>
      </c>
      <c r="B1380" t="s">
        <v>1070</v>
      </c>
      <c r="C1380" t="s">
        <v>6142</v>
      </c>
    </row>
    <row r="1381" spans="1:3">
      <c r="A1381" t="s">
        <v>563</v>
      </c>
      <c r="B1381" t="s">
        <v>1070</v>
      </c>
      <c r="C1381" t="s">
        <v>6141</v>
      </c>
    </row>
    <row r="1382" spans="1:3">
      <c r="A1382" t="s">
        <v>563</v>
      </c>
      <c r="B1382" t="s">
        <v>1070</v>
      </c>
      <c r="C1382" t="s">
        <v>6140</v>
      </c>
    </row>
    <row r="1383" spans="1:3">
      <c r="A1383" t="s">
        <v>563</v>
      </c>
      <c r="B1383" t="s">
        <v>1070</v>
      </c>
      <c r="C1383" t="s">
        <v>6139</v>
      </c>
    </row>
    <row r="1384" spans="1:3">
      <c r="A1384" t="s">
        <v>563</v>
      </c>
      <c r="B1384" t="s">
        <v>1075</v>
      </c>
      <c r="C1384" t="s">
        <v>6153</v>
      </c>
    </row>
    <row r="1385" spans="1:3">
      <c r="A1385" t="s">
        <v>563</v>
      </c>
      <c r="B1385" t="s">
        <v>1075</v>
      </c>
      <c r="C1385" t="s">
        <v>6152</v>
      </c>
    </row>
    <row r="1386" spans="1:3">
      <c r="A1386" t="s">
        <v>563</v>
      </c>
      <c r="B1386" t="s">
        <v>1075</v>
      </c>
      <c r="C1386" t="s">
        <v>6151</v>
      </c>
    </row>
    <row r="1387" spans="1:3">
      <c r="A1387" t="s">
        <v>563</v>
      </c>
      <c r="B1387" t="s">
        <v>1075</v>
      </c>
      <c r="C1387" t="s">
        <v>6150</v>
      </c>
    </row>
    <row r="1388" spans="1:3">
      <c r="A1388" t="s">
        <v>563</v>
      </c>
      <c r="B1388" t="s">
        <v>1075</v>
      </c>
      <c r="C1388" t="s">
        <v>6149</v>
      </c>
    </row>
    <row r="1389" spans="1:3">
      <c r="A1389" t="s">
        <v>563</v>
      </c>
      <c r="B1389" t="s">
        <v>1075</v>
      </c>
      <c r="C1389" t="s">
        <v>6148</v>
      </c>
    </row>
    <row r="1390" spans="1:3">
      <c r="A1390" t="s">
        <v>563</v>
      </c>
      <c r="B1390" t="s">
        <v>1075</v>
      </c>
      <c r="C1390" t="s">
        <v>6147</v>
      </c>
    </row>
    <row r="1391" spans="1:3">
      <c r="A1391" t="s">
        <v>555</v>
      </c>
      <c r="B1391" t="s">
        <v>1070</v>
      </c>
      <c r="C1391" t="s">
        <v>6131</v>
      </c>
    </row>
    <row r="1392" spans="1:3">
      <c r="A1392" t="s">
        <v>555</v>
      </c>
      <c r="B1392" t="s">
        <v>1070</v>
      </c>
      <c r="C1392" t="s">
        <v>6130</v>
      </c>
    </row>
    <row r="1393" spans="1:3">
      <c r="A1393" t="s">
        <v>555</v>
      </c>
      <c r="B1393" t="s">
        <v>1070</v>
      </c>
      <c r="C1393" t="s">
        <v>6129</v>
      </c>
    </row>
    <row r="1394" spans="1:3">
      <c r="A1394" t="s">
        <v>555</v>
      </c>
      <c r="B1394" t="s">
        <v>1070</v>
      </c>
      <c r="C1394" t="s">
        <v>6128</v>
      </c>
    </row>
    <row r="1395" spans="1:3">
      <c r="A1395" t="s">
        <v>555</v>
      </c>
      <c r="B1395" t="s">
        <v>1070</v>
      </c>
      <c r="C1395" t="s">
        <v>6127</v>
      </c>
    </row>
    <row r="1396" spans="1:3">
      <c r="A1396" t="s">
        <v>555</v>
      </c>
      <c r="B1396" t="s">
        <v>1070</v>
      </c>
      <c r="C1396" t="s">
        <v>6126</v>
      </c>
    </row>
    <row r="1397" spans="1:3">
      <c r="A1397" t="s">
        <v>555</v>
      </c>
      <c r="B1397" t="s">
        <v>1070</v>
      </c>
      <c r="C1397" t="s">
        <v>6125</v>
      </c>
    </row>
    <row r="1398" spans="1:3">
      <c r="A1398" t="s">
        <v>555</v>
      </c>
      <c r="B1398" t="s">
        <v>1070</v>
      </c>
      <c r="C1398" t="s">
        <v>6124</v>
      </c>
    </row>
    <row r="1399" spans="1:3">
      <c r="A1399" t="s">
        <v>555</v>
      </c>
      <c r="B1399" t="s">
        <v>1075</v>
      </c>
      <c r="C1399" t="s">
        <v>6138</v>
      </c>
    </row>
    <row r="1400" spans="1:3">
      <c r="A1400" t="s">
        <v>555</v>
      </c>
      <c r="B1400" t="s">
        <v>1075</v>
      </c>
      <c r="C1400" t="s">
        <v>6137</v>
      </c>
    </row>
    <row r="1401" spans="1:3">
      <c r="A1401" t="s">
        <v>555</v>
      </c>
      <c r="B1401" t="s">
        <v>1075</v>
      </c>
      <c r="C1401" t="s">
        <v>6136</v>
      </c>
    </row>
    <row r="1402" spans="1:3">
      <c r="A1402" t="s">
        <v>555</v>
      </c>
      <c r="B1402" t="s">
        <v>1075</v>
      </c>
      <c r="C1402" t="s">
        <v>6135</v>
      </c>
    </row>
    <row r="1403" spans="1:3">
      <c r="A1403" t="s">
        <v>555</v>
      </c>
      <c r="B1403" t="s">
        <v>1075</v>
      </c>
      <c r="C1403" t="s">
        <v>6134</v>
      </c>
    </row>
    <row r="1404" spans="1:3">
      <c r="A1404" t="s">
        <v>555</v>
      </c>
      <c r="B1404" t="s">
        <v>1075</v>
      </c>
      <c r="C1404" t="s">
        <v>6133</v>
      </c>
    </row>
    <row r="1405" spans="1:3">
      <c r="A1405" t="s">
        <v>555</v>
      </c>
      <c r="B1405" t="s">
        <v>1075</v>
      </c>
      <c r="C1405" t="s">
        <v>6132</v>
      </c>
    </row>
    <row r="1406" spans="1:3">
      <c r="A1406" t="s">
        <v>567</v>
      </c>
      <c r="B1406" t="s">
        <v>1070</v>
      </c>
      <c r="C1406" t="s">
        <v>6118</v>
      </c>
    </row>
    <row r="1407" spans="1:3">
      <c r="A1407" t="s">
        <v>567</v>
      </c>
      <c r="B1407" t="s">
        <v>1070</v>
      </c>
      <c r="C1407" t="s">
        <v>6117</v>
      </c>
    </row>
    <row r="1408" spans="1:3">
      <c r="A1408" t="s">
        <v>567</v>
      </c>
      <c r="B1408" t="s">
        <v>1070</v>
      </c>
      <c r="C1408" t="s">
        <v>6116</v>
      </c>
    </row>
    <row r="1409" spans="1:3">
      <c r="A1409" t="s">
        <v>567</v>
      </c>
      <c r="B1409" t="s">
        <v>1075</v>
      </c>
      <c r="C1409" t="s">
        <v>6123</v>
      </c>
    </row>
    <row r="1410" spans="1:3">
      <c r="A1410" t="s">
        <v>567</v>
      </c>
      <c r="B1410" t="s">
        <v>1075</v>
      </c>
      <c r="C1410" t="s">
        <v>6122</v>
      </c>
    </row>
    <row r="1411" spans="1:3">
      <c r="A1411" t="s">
        <v>567</v>
      </c>
      <c r="B1411" t="s">
        <v>1075</v>
      </c>
      <c r="C1411" t="s">
        <v>6121</v>
      </c>
    </row>
    <row r="1412" spans="1:3">
      <c r="A1412" t="s">
        <v>567</v>
      </c>
      <c r="B1412" t="s">
        <v>1075</v>
      </c>
      <c r="C1412" t="s">
        <v>6120</v>
      </c>
    </row>
    <row r="1413" spans="1:3">
      <c r="A1413" t="s">
        <v>567</v>
      </c>
      <c r="B1413" t="s">
        <v>1075</v>
      </c>
      <c r="C1413" t="s">
        <v>6119</v>
      </c>
    </row>
    <row r="1414" spans="1:3">
      <c r="A1414" t="s">
        <v>536</v>
      </c>
      <c r="B1414" t="s">
        <v>1070</v>
      </c>
      <c r="C1414" t="s">
        <v>6110</v>
      </c>
    </row>
    <row r="1415" spans="1:3">
      <c r="A1415" t="s">
        <v>536</v>
      </c>
      <c r="B1415" t="s">
        <v>1070</v>
      </c>
      <c r="C1415" t="s">
        <v>6109</v>
      </c>
    </row>
    <row r="1416" spans="1:3">
      <c r="A1416" t="s">
        <v>536</v>
      </c>
      <c r="B1416" t="s">
        <v>1070</v>
      </c>
      <c r="C1416" t="s">
        <v>6108</v>
      </c>
    </row>
    <row r="1417" spans="1:3">
      <c r="A1417" t="s">
        <v>536</v>
      </c>
      <c r="B1417" t="s">
        <v>1075</v>
      </c>
      <c r="C1417" t="s">
        <v>6115</v>
      </c>
    </row>
    <row r="1418" spans="1:3">
      <c r="A1418" t="s">
        <v>536</v>
      </c>
      <c r="B1418" t="s">
        <v>1075</v>
      </c>
      <c r="C1418" t="s">
        <v>6114</v>
      </c>
    </row>
    <row r="1419" spans="1:3">
      <c r="A1419" t="s">
        <v>536</v>
      </c>
      <c r="B1419" t="s">
        <v>1075</v>
      </c>
      <c r="C1419" t="s">
        <v>6113</v>
      </c>
    </row>
    <row r="1420" spans="1:3">
      <c r="A1420" t="s">
        <v>536</v>
      </c>
      <c r="B1420" t="s">
        <v>1075</v>
      </c>
      <c r="C1420" t="s">
        <v>6112</v>
      </c>
    </row>
    <row r="1421" spans="1:3">
      <c r="A1421" t="s">
        <v>536</v>
      </c>
      <c r="B1421" t="s">
        <v>1075</v>
      </c>
      <c r="C1421" t="s">
        <v>6111</v>
      </c>
    </row>
    <row r="1422" spans="1:3">
      <c r="A1422" t="s">
        <v>551</v>
      </c>
      <c r="B1422" t="s">
        <v>1070</v>
      </c>
      <c r="C1422" t="s">
        <v>6094</v>
      </c>
    </row>
    <row r="1423" spans="1:3">
      <c r="A1423" t="s">
        <v>551</v>
      </c>
      <c r="B1423" t="s">
        <v>1070</v>
      </c>
      <c r="C1423" t="s">
        <v>6093</v>
      </c>
    </row>
    <row r="1424" spans="1:3">
      <c r="A1424" t="s">
        <v>551</v>
      </c>
      <c r="B1424" t="s">
        <v>1070</v>
      </c>
      <c r="C1424" t="s">
        <v>6092</v>
      </c>
    </row>
    <row r="1425" spans="1:3">
      <c r="A1425" t="s">
        <v>551</v>
      </c>
      <c r="B1425" t="s">
        <v>1075</v>
      </c>
      <c r="C1425" t="s">
        <v>6099</v>
      </c>
    </row>
    <row r="1426" spans="1:3">
      <c r="A1426" t="s">
        <v>551</v>
      </c>
      <c r="B1426" t="s">
        <v>1075</v>
      </c>
      <c r="C1426" t="s">
        <v>6098</v>
      </c>
    </row>
    <row r="1427" spans="1:3">
      <c r="A1427" t="s">
        <v>551</v>
      </c>
      <c r="B1427" t="s">
        <v>1075</v>
      </c>
      <c r="C1427" t="s">
        <v>6097</v>
      </c>
    </row>
    <row r="1428" spans="1:3">
      <c r="A1428" t="s">
        <v>551</v>
      </c>
      <c r="B1428" t="s">
        <v>1075</v>
      </c>
      <c r="C1428" t="s">
        <v>6096</v>
      </c>
    </row>
    <row r="1429" spans="1:3">
      <c r="A1429" t="s">
        <v>551</v>
      </c>
      <c r="B1429" t="s">
        <v>1075</v>
      </c>
      <c r="C1429" t="s">
        <v>6095</v>
      </c>
    </row>
    <row r="1430" spans="1:3">
      <c r="A1430" t="s">
        <v>548</v>
      </c>
      <c r="B1430" t="s">
        <v>1070</v>
      </c>
      <c r="C1430" t="s">
        <v>6102</v>
      </c>
    </row>
    <row r="1431" spans="1:3">
      <c r="A1431" t="s">
        <v>548</v>
      </c>
      <c r="B1431" t="s">
        <v>1070</v>
      </c>
      <c r="C1431" t="s">
        <v>6101</v>
      </c>
    </row>
    <row r="1432" spans="1:3">
      <c r="A1432" t="s">
        <v>548</v>
      </c>
      <c r="B1432" t="s">
        <v>1070</v>
      </c>
      <c r="C1432" t="s">
        <v>6100</v>
      </c>
    </row>
    <row r="1433" spans="1:3">
      <c r="A1433" t="s">
        <v>548</v>
      </c>
      <c r="B1433" t="s">
        <v>1075</v>
      </c>
      <c r="C1433" t="s">
        <v>6107</v>
      </c>
    </row>
    <row r="1434" spans="1:3">
      <c r="A1434" t="s">
        <v>548</v>
      </c>
      <c r="B1434" t="s">
        <v>1075</v>
      </c>
      <c r="C1434" t="s">
        <v>6106</v>
      </c>
    </row>
    <row r="1435" spans="1:3">
      <c r="A1435" t="s">
        <v>548</v>
      </c>
      <c r="B1435" t="s">
        <v>1075</v>
      </c>
      <c r="C1435" t="s">
        <v>6105</v>
      </c>
    </row>
    <row r="1436" spans="1:3">
      <c r="A1436" t="s">
        <v>548</v>
      </c>
      <c r="B1436" t="s">
        <v>1075</v>
      </c>
      <c r="C1436" t="s">
        <v>6104</v>
      </c>
    </row>
    <row r="1437" spans="1:3">
      <c r="A1437" t="s">
        <v>548</v>
      </c>
      <c r="B1437" t="s">
        <v>1075</v>
      </c>
      <c r="C1437" t="s">
        <v>6103</v>
      </c>
    </row>
    <row r="1438" spans="1:3">
      <c r="A1438" t="s">
        <v>545</v>
      </c>
      <c r="B1438" t="s">
        <v>1070</v>
      </c>
      <c r="C1438" t="s">
        <v>6086</v>
      </c>
    </row>
    <row r="1439" spans="1:3">
      <c r="A1439" t="s">
        <v>545</v>
      </c>
      <c r="B1439" t="s">
        <v>1070</v>
      </c>
      <c r="C1439" t="s">
        <v>6085</v>
      </c>
    </row>
    <row r="1440" spans="1:3">
      <c r="A1440" t="s">
        <v>545</v>
      </c>
      <c r="B1440" t="s">
        <v>1070</v>
      </c>
      <c r="C1440" t="s">
        <v>6084</v>
      </c>
    </row>
    <row r="1441" spans="1:3">
      <c r="A1441" t="s">
        <v>545</v>
      </c>
      <c r="B1441" t="s">
        <v>1075</v>
      </c>
      <c r="C1441" t="s">
        <v>6091</v>
      </c>
    </row>
    <row r="1442" spans="1:3">
      <c r="A1442" t="s">
        <v>545</v>
      </c>
      <c r="B1442" t="s">
        <v>1075</v>
      </c>
      <c r="C1442" t="s">
        <v>6090</v>
      </c>
    </row>
    <row r="1443" spans="1:3">
      <c r="A1443" t="s">
        <v>545</v>
      </c>
      <c r="B1443" t="s">
        <v>1075</v>
      </c>
      <c r="C1443" t="s">
        <v>6089</v>
      </c>
    </row>
    <row r="1444" spans="1:3">
      <c r="A1444" t="s">
        <v>545</v>
      </c>
      <c r="B1444" t="s">
        <v>1075</v>
      </c>
      <c r="C1444" t="s">
        <v>6088</v>
      </c>
    </row>
    <row r="1445" spans="1:3">
      <c r="A1445" t="s">
        <v>545</v>
      </c>
      <c r="B1445" t="s">
        <v>1075</v>
      </c>
      <c r="C1445" t="s">
        <v>6087</v>
      </c>
    </row>
    <row r="1446" spans="1:3">
      <c r="A1446" t="s">
        <v>546</v>
      </c>
      <c r="B1446" t="s">
        <v>1070</v>
      </c>
      <c r="C1446" t="s">
        <v>6076</v>
      </c>
    </row>
    <row r="1447" spans="1:3">
      <c r="A1447" t="s">
        <v>546</v>
      </c>
      <c r="B1447" t="s">
        <v>1070</v>
      </c>
      <c r="C1447" t="s">
        <v>6075</v>
      </c>
    </row>
    <row r="1448" spans="1:3">
      <c r="A1448" t="s">
        <v>546</v>
      </c>
      <c r="B1448" t="s">
        <v>1070</v>
      </c>
      <c r="C1448" t="s">
        <v>6074</v>
      </c>
    </row>
    <row r="1449" spans="1:3">
      <c r="A1449" t="s">
        <v>546</v>
      </c>
      <c r="B1449" t="s">
        <v>1070</v>
      </c>
      <c r="C1449" t="s">
        <v>6073</v>
      </c>
    </row>
    <row r="1450" spans="1:3">
      <c r="A1450" t="s">
        <v>546</v>
      </c>
      <c r="B1450" t="s">
        <v>1070</v>
      </c>
      <c r="C1450" t="s">
        <v>6072</v>
      </c>
    </row>
    <row r="1451" spans="1:3">
      <c r="A1451" t="s">
        <v>546</v>
      </c>
      <c r="B1451" t="s">
        <v>1070</v>
      </c>
      <c r="C1451" t="s">
        <v>6071</v>
      </c>
    </row>
    <row r="1452" spans="1:3">
      <c r="A1452" t="s">
        <v>546</v>
      </c>
      <c r="B1452" t="s">
        <v>1070</v>
      </c>
      <c r="C1452" t="s">
        <v>6070</v>
      </c>
    </row>
    <row r="1453" spans="1:3">
      <c r="A1453" t="s">
        <v>546</v>
      </c>
      <c r="B1453" t="s">
        <v>1070</v>
      </c>
      <c r="C1453" t="s">
        <v>6069</v>
      </c>
    </row>
    <row r="1454" spans="1:3">
      <c r="A1454" t="s">
        <v>546</v>
      </c>
      <c r="B1454" t="s">
        <v>1075</v>
      </c>
      <c r="C1454" t="s">
        <v>6083</v>
      </c>
    </row>
    <row r="1455" spans="1:3">
      <c r="A1455" t="s">
        <v>546</v>
      </c>
      <c r="B1455" t="s">
        <v>1075</v>
      </c>
      <c r="C1455" t="s">
        <v>6082</v>
      </c>
    </row>
    <row r="1456" spans="1:3">
      <c r="A1456" t="s">
        <v>546</v>
      </c>
      <c r="B1456" t="s">
        <v>1075</v>
      </c>
      <c r="C1456" t="s">
        <v>6081</v>
      </c>
    </row>
    <row r="1457" spans="1:3">
      <c r="A1457" t="s">
        <v>546</v>
      </c>
      <c r="B1457" t="s">
        <v>1075</v>
      </c>
      <c r="C1457" t="s">
        <v>6080</v>
      </c>
    </row>
    <row r="1458" spans="1:3">
      <c r="A1458" t="s">
        <v>546</v>
      </c>
      <c r="B1458" t="s">
        <v>1075</v>
      </c>
      <c r="C1458" t="s">
        <v>6079</v>
      </c>
    </row>
    <row r="1459" spans="1:3">
      <c r="A1459" t="s">
        <v>546</v>
      </c>
      <c r="B1459" t="s">
        <v>1075</v>
      </c>
      <c r="C1459" t="s">
        <v>6078</v>
      </c>
    </row>
    <row r="1460" spans="1:3">
      <c r="A1460" t="s">
        <v>546</v>
      </c>
      <c r="B1460" t="s">
        <v>1075</v>
      </c>
      <c r="C1460" t="s">
        <v>6077</v>
      </c>
    </row>
    <row r="1461" spans="1:3">
      <c r="A1461" t="s">
        <v>547</v>
      </c>
      <c r="B1461" t="s">
        <v>1070</v>
      </c>
      <c r="C1461" t="s">
        <v>6063</v>
      </c>
    </row>
    <row r="1462" spans="1:3">
      <c r="A1462" t="s">
        <v>547</v>
      </c>
      <c r="B1462" t="s">
        <v>1070</v>
      </c>
      <c r="C1462" t="s">
        <v>6062</v>
      </c>
    </row>
    <row r="1463" spans="1:3">
      <c r="A1463" t="s">
        <v>547</v>
      </c>
      <c r="B1463" t="s">
        <v>1070</v>
      </c>
      <c r="C1463" t="s">
        <v>6061</v>
      </c>
    </row>
    <row r="1464" spans="1:3">
      <c r="A1464" t="s">
        <v>547</v>
      </c>
      <c r="B1464" t="s">
        <v>1075</v>
      </c>
      <c r="C1464" t="s">
        <v>6068</v>
      </c>
    </row>
    <row r="1465" spans="1:3">
      <c r="A1465" t="s">
        <v>547</v>
      </c>
      <c r="B1465" t="s">
        <v>1075</v>
      </c>
      <c r="C1465" t="s">
        <v>6067</v>
      </c>
    </row>
    <row r="1466" spans="1:3">
      <c r="A1466" t="s">
        <v>547</v>
      </c>
      <c r="B1466" t="s">
        <v>1075</v>
      </c>
      <c r="C1466" t="s">
        <v>6066</v>
      </c>
    </row>
    <row r="1467" spans="1:3">
      <c r="A1467" t="s">
        <v>547</v>
      </c>
      <c r="B1467" t="s">
        <v>1075</v>
      </c>
      <c r="C1467" t="s">
        <v>6065</v>
      </c>
    </row>
    <row r="1468" spans="1:3">
      <c r="A1468" t="s">
        <v>547</v>
      </c>
      <c r="B1468" t="s">
        <v>1075</v>
      </c>
      <c r="C1468" t="s">
        <v>6064</v>
      </c>
    </row>
    <row r="1469" spans="1:3">
      <c r="A1469" t="s">
        <v>579</v>
      </c>
      <c r="B1469" t="s">
        <v>1070</v>
      </c>
      <c r="C1469" t="s">
        <v>6029</v>
      </c>
    </row>
    <row r="1470" spans="1:3">
      <c r="A1470" t="s">
        <v>579</v>
      </c>
      <c r="B1470" t="s">
        <v>1070</v>
      </c>
      <c r="C1470" t="s">
        <v>6028</v>
      </c>
    </row>
    <row r="1471" spans="1:3">
      <c r="A1471" t="s">
        <v>579</v>
      </c>
      <c r="B1471" t="s">
        <v>1070</v>
      </c>
      <c r="C1471" t="s">
        <v>6027</v>
      </c>
    </row>
    <row r="1472" spans="1:3">
      <c r="A1472" t="s">
        <v>579</v>
      </c>
      <c r="B1472" t="s">
        <v>1070</v>
      </c>
      <c r="C1472" t="s">
        <v>6026</v>
      </c>
    </row>
    <row r="1473" spans="1:3">
      <c r="A1473" t="s">
        <v>579</v>
      </c>
      <c r="B1473" t="s">
        <v>1070</v>
      </c>
      <c r="C1473" t="s">
        <v>6025</v>
      </c>
    </row>
    <row r="1474" spans="1:3">
      <c r="A1474" t="s">
        <v>579</v>
      </c>
      <c r="B1474" t="s">
        <v>1070</v>
      </c>
      <c r="C1474" t="s">
        <v>6024</v>
      </c>
    </row>
    <row r="1475" spans="1:3">
      <c r="A1475" t="s">
        <v>579</v>
      </c>
      <c r="B1475" t="s">
        <v>1070</v>
      </c>
      <c r="C1475" t="s">
        <v>6023</v>
      </c>
    </row>
    <row r="1476" spans="1:3">
      <c r="A1476" t="s">
        <v>579</v>
      </c>
      <c r="B1476" t="s">
        <v>1070</v>
      </c>
      <c r="C1476" t="s">
        <v>6022</v>
      </c>
    </row>
    <row r="1477" spans="1:3">
      <c r="A1477" t="s">
        <v>579</v>
      </c>
      <c r="B1477" t="s">
        <v>1070</v>
      </c>
      <c r="C1477" t="s">
        <v>6021</v>
      </c>
    </row>
    <row r="1478" spans="1:3">
      <c r="A1478" t="s">
        <v>579</v>
      </c>
      <c r="B1478" t="s">
        <v>1075</v>
      </c>
      <c r="C1478" t="s">
        <v>6040</v>
      </c>
    </row>
    <row r="1479" spans="1:3">
      <c r="A1479" t="s">
        <v>579</v>
      </c>
      <c r="B1479" t="s">
        <v>1075</v>
      </c>
      <c r="C1479" t="s">
        <v>6039</v>
      </c>
    </row>
    <row r="1480" spans="1:3">
      <c r="A1480" t="s">
        <v>579</v>
      </c>
      <c r="B1480" t="s">
        <v>1075</v>
      </c>
      <c r="C1480" t="s">
        <v>6038</v>
      </c>
    </row>
    <row r="1481" spans="1:3">
      <c r="A1481" t="s">
        <v>579</v>
      </c>
      <c r="B1481" t="s">
        <v>1075</v>
      </c>
      <c r="C1481" t="s">
        <v>6037</v>
      </c>
    </row>
    <row r="1482" spans="1:3">
      <c r="A1482" t="s">
        <v>579</v>
      </c>
      <c r="B1482" t="s">
        <v>1075</v>
      </c>
      <c r="C1482" t="s">
        <v>6036</v>
      </c>
    </row>
    <row r="1483" spans="1:3">
      <c r="A1483" t="s">
        <v>579</v>
      </c>
      <c r="B1483" t="s">
        <v>1075</v>
      </c>
      <c r="C1483" t="s">
        <v>6035</v>
      </c>
    </row>
    <row r="1484" spans="1:3">
      <c r="A1484" t="s">
        <v>579</v>
      </c>
      <c r="B1484" t="s">
        <v>1075</v>
      </c>
      <c r="C1484" t="s">
        <v>6034</v>
      </c>
    </row>
    <row r="1485" spans="1:3">
      <c r="A1485" t="s">
        <v>579</v>
      </c>
      <c r="B1485" t="s">
        <v>1075</v>
      </c>
      <c r="C1485" t="s">
        <v>6033</v>
      </c>
    </row>
    <row r="1486" spans="1:3">
      <c r="A1486" t="s">
        <v>579</v>
      </c>
      <c r="B1486" t="s">
        <v>1075</v>
      </c>
      <c r="C1486" t="s">
        <v>6032</v>
      </c>
    </row>
    <row r="1487" spans="1:3">
      <c r="A1487" t="s">
        <v>579</v>
      </c>
      <c r="B1487" t="s">
        <v>1075</v>
      </c>
      <c r="C1487" t="s">
        <v>6031</v>
      </c>
    </row>
    <row r="1488" spans="1:3">
      <c r="A1488" t="s">
        <v>579</v>
      </c>
      <c r="B1488" t="s">
        <v>1075</v>
      </c>
      <c r="C1488" t="s">
        <v>6030</v>
      </c>
    </row>
    <row r="1489" spans="1:3">
      <c r="A1489" t="s">
        <v>580</v>
      </c>
      <c r="B1489" t="s">
        <v>1070</v>
      </c>
      <c r="C1489" t="s">
        <v>6049</v>
      </c>
    </row>
    <row r="1490" spans="1:3">
      <c r="A1490" t="s">
        <v>580</v>
      </c>
      <c r="B1490" t="s">
        <v>1070</v>
      </c>
      <c r="C1490" t="s">
        <v>6048</v>
      </c>
    </row>
    <row r="1491" spans="1:3">
      <c r="A1491" t="s">
        <v>580</v>
      </c>
      <c r="B1491" t="s">
        <v>1070</v>
      </c>
      <c r="C1491" t="s">
        <v>6047</v>
      </c>
    </row>
    <row r="1492" spans="1:3">
      <c r="A1492" t="s">
        <v>580</v>
      </c>
      <c r="B1492" t="s">
        <v>1070</v>
      </c>
      <c r="C1492" t="s">
        <v>6046</v>
      </c>
    </row>
    <row r="1493" spans="1:3">
      <c r="A1493" t="s">
        <v>580</v>
      </c>
      <c r="B1493" t="s">
        <v>1070</v>
      </c>
      <c r="C1493" t="s">
        <v>6045</v>
      </c>
    </row>
    <row r="1494" spans="1:3">
      <c r="A1494" t="s">
        <v>580</v>
      </c>
      <c r="B1494" t="s">
        <v>1070</v>
      </c>
      <c r="C1494" t="s">
        <v>6044</v>
      </c>
    </row>
    <row r="1495" spans="1:3">
      <c r="A1495" t="s">
        <v>580</v>
      </c>
      <c r="B1495" t="s">
        <v>1070</v>
      </c>
      <c r="C1495" t="s">
        <v>6043</v>
      </c>
    </row>
    <row r="1496" spans="1:3">
      <c r="A1496" t="s">
        <v>580</v>
      </c>
      <c r="B1496" t="s">
        <v>1070</v>
      </c>
      <c r="C1496" t="s">
        <v>6042</v>
      </c>
    </row>
    <row r="1497" spans="1:3">
      <c r="A1497" t="s">
        <v>580</v>
      </c>
      <c r="B1497" t="s">
        <v>1070</v>
      </c>
      <c r="C1497" t="s">
        <v>6041</v>
      </c>
    </row>
    <row r="1498" spans="1:3">
      <c r="A1498" t="s">
        <v>580</v>
      </c>
      <c r="B1498" t="s">
        <v>1075</v>
      </c>
      <c r="C1498" t="s">
        <v>6060</v>
      </c>
    </row>
    <row r="1499" spans="1:3">
      <c r="A1499" t="s">
        <v>580</v>
      </c>
      <c r="B1499" t="s">
        <v>1075</v>
      </c>
      <c r="C1499" t="s">
        <v>6059</v>
      </c>
    </row>
    <row r="1500" spans="1:3">
      <c r="A1500" t="s">
        <v>580</v>
      </c>
      <c r="B1500" t="s">
        <v>1075</v>
      </c>
      <c r="C1500" t="s">
        <v>6058</v>
      </c>
    </row>
    <row r="1501" spans="1:3">
      <c r="A1501" t="s">
        <v>580</v>
      </c>
      <c r="B1501" t="s">
        <v>1075</v>
      </c>
      <c r="C1501" t="s">
        <v>6057</v>
      </c>
    </row>
    <row r="1502" spans="1:3">
      <c r="A1502" t="s">
        <v>580</v>
      </c>
      <c r="B1502" t="s">
        <v>1075</v>
      </c>
      <c r="C1502" t="s">
        <v>6056</v>
      </c>
    </row>
    <row r="1503" spans="1:3">
      <c r="A1503" t="s">
        <v>580</v>
      </c>
      <c r="B1503" t="s">
        <v>1075</v>
      </c>
      <c r="C1503" t="s">
        <v>6055</v>
      </c>
    </row>
    <row r="1504" spans="1:3">
      <c r="A1504" t="s">
        <v>580</v>
      </c>
      <c r="B1504" t="s">
        <v>1075</v>
      </c>
      <c r="C1504" t="s">
        <v>6054</v>
      </c>
    </row>
    <row r="1505" spans="1:3">
      <c r="A1505" t="s">
        <v>580</v>
      </c>
      <c r="B1505" t="s">
        <v>1075</v>
      </c>
      <c r="C1505" t="s">
        <v>6053</v>
      </c>
    </row>
    <row r="1506" spans="1:3">
      <c r="A1506" t="s">
        <v>580</v>
      </c>
      <c r="B1506" t="s">
        <v>1075</v>
      </c>
      <c r="C1506" t="s">
        <v>6052</v>
      </c>
    </row>
    <row r="1507" spans="1:3">
      <c r="A1507" t="s">
        <v>580</v>
      </c>
      <c r="B1507" t="s">
        <v>1075</v>
      </c>
      <c r="C1507" t="s">
        <v>6051</v>
      </c>
    </row>
    <row r="1508" spans="1:3">
      <c r="A1508" t="s">
        <v>580</v>
      </c>
      <c r="B1508" t="s">
        <v>1075</v>
      </c>
      <c r="C1508" t="s">
        <v>6050</v>
      </c>
    </row>
    <row r="1509" spans="1:3">
      <c r="A1509" t="s">
        <v>569</v>
      </c>
      <c r="B1509" t="s">
        <v>1070</v>
      </c>
      <c r="C1509" t="s">
        <v>6013</v>
      </c>
    </row>
    <row r="1510" spans="1:3">
      <c r="A1510" t="s">
        <v>569</v>
      </c>
      <c r="B1510" t="s">
        <v>1070</v>
      </c>
      <c r="C1510" t="s">
        <v>6012</v>
      </c>
    </row>
    <row r="1511" spans="1:3">
      <c r="A1511" t="s">
        <v>569</v>
      </c>
      <c r="B1511" t="s">
        <v>1070</v>
      </c>
      <c r="C1511" t="s">
        <v>6011</v>
      </c>
    </row>
    <row r="1512" spans="1:3">
      <c r="A1512" t="s">
        <v>569</v>
      </c>
      <c r="B1512" t="s">
        <v>1070</v>
      </c>
      <c r="C1512" t="s">
        <v>6010</v>
      </c>
    </row>
    <row r="1513" spans="1:3">
      <c r="A1513" t="s">
        <v>569</v>
      </c>
      <c r="B1513" t="s">
        <v>1070</v>
      </c>
      <c r="C1513" t="s">
        <v>6009</v>
      </c>
    </row>
    <row r="1514" spans="1:3">
      <c r="A1514" t="s">
        <v>569</v>
      </c>
      <c r="B1514" t="s">
        <v>1070</v>
      </c>
      <c r="C1514" t="s">
        <v>6008</v>
      </c>
    </row>
    <row r="1515" spans="1:3">
      <c r="A1515" t="s">
        <v>569</v>
      </c>
      <c r="B1515" t="s">
        <v>1070</v>
      </c>
      <c r="C1515" t="s">
        <v>6007</v>
      </c>
    </row>
    <row r="1516" spans="1:3">
      <c r="A1516" t="s">
        <v>569</v>
      </c>
      <c r="B1516" t="s">
        <v>1070</v>
      </c>
      <c r="C1516" t="s">
        <v>6006</v>
      </c>
    </row>
    <row r="1517" spans="1:3">
      <c r="A1517" t="s">
        <v>569</v>
      </c>
      <c r="B1517" t="s">
        <v>1075</v>
      </c>
      <c r="C1517" t="s">
        <v>6020</v>
      </c>
    </row>
    <row r="1518" spans="1:3">
      <c r="A1518" t="s">
        <v>569</v>
      </c>
      <c r="B1518" t="s">
        <v>1075</v>
      </c>
      <c r="C1518" t="s">
        <v>6019</v>
      </c>
    </row>
    <row r="1519" spans="1:3">
      <c r="A1519" t="s">
        <v>569</v>
      </c>
      <c r="B1519" t="s">
        <v>1075</v>
      </c>
      <c r="C1519" t="s">
        <v>6018</v>
      </c>
    </row>
    <row r="1520" spans="1:3">
      <c r="A1520" t="s">
        <v>569</v>
      </c>
      <c r="B1520" t="s">
        <v>1075</v>
      </c>
      <c r="C1520" t="s">
        <v>6017</v>
      </c>
    </row>
    <row r="1521" spans="1:3">
      <c r="A1521" t="s">
        <v>569</v>
      </c>
      <c r="B1521" t="s">
        <v>1075</v>
      </c>
      <c r="C1521" t="s">
        <v>6016</v>
      </c>
    </row>
    <row r="1522" spans="1:3">
      <c r="A1522" t="s">
        <v>569</v>
      </c>
      <c r="B1522" t="s">
        <v>1075</v>
      </c>
      <c r="C1522" t="s">
        <v>6015</v>
      </c>
    </row>
    <row r="1523" spans="1:3">
      <c r="A1523" t="s">
        <v>569</v>
      </c>
      <c r="B1523" t="s">
        <v>1075</v>
      </c>
      <c r="C1523" t="s">
        <v>6014</v>
      </c>
    </row>
    <row r="1524" spans="1:3">
      <c r="A1524" t="s">
        <v>570</v>
      </c>
      <c r="B1524" t="s">
        <v>1070</v>
      </c>
      <c r="C1524" t="s">
        <v>5998</v>
      </c>
    </row>
    <row r="1525" spans="1:3">
      <c r="A1525" t="s">
        <v>570</v>
      </c>
      <c r="B1525" t="s">
        <v>1070</v>
      </c>
      <c r="C1525" t="s">
        <v>5997</v>
      </c>
    </row>
    <row r="1526" spans="1:3">
      <c r="A1526" t="s">
        <v>570</v>
      </c>
      <c r="B1526" t="s">
        <v>1070</v>
      </c>
      <c r="C1526" t="s">
        <v>5996</v>
      </c>
    </row>
    <row r="1527" spans="1:3">
      <c r="A1527" t="s">
        <v>570</v>
      </c>
      <c r="B1527" t="s">
        <v>1070</v>
      </c>
      <c r="C1527" t="s">
        <v>5995</v>
      </c>
    </row>
    <row r="1528" spans="1:3">
      <c r="A1528" t="s">
        <v>570</v>
      </c>
      <c r="B1528" t="s">
        <v>1070</v>
      </c>
      <c r="C1528" t="s">
        <v>5994</v>
      </c>
    </row>
    <row r="1529" spans="1:3">
      <c r="A1529" t="s">
        <v>570</v>
      </c>
      <c r="B1529" t="s">
        <v>1070</v>
      </c>
      <c r="C1529" t="s">
        <v>5993</v>
      </c>
    </row>
    <row r="1530" spans="1:3">
      <c r="A1530" t="s">
        <v>570</v>
      </c>
      <c r="B1530" t="s">
        <v>1070</v>
      </c>
      <c r="C1530" t="s">
        <v>5992</v>
      </c>
    </row>
    <row r="1531" spans="1:3">
      <c r="A1531" t="s">
        <v>570</v>
      </c>
      <c r="B1531" t="s">
        <v>1070</v>
      </c>
      <c r="C1531" t="s">
        <v>5991</v>
      </c>
    </row>
    <row r="1532" spans="1:3">
      <c r="A1532" t="s">
        <v>570</v>
      </c>
      <c r="B1532" t="s">
        <v>1075</v>
      </c>
      <c r="C1532" t="s">
        <v>6005</v>
      </c>
    </row>
    <row r="1533" spans="1:3">
      <c r="A1533" t="s">
        <v>570</v>
      </c>
      <c r="B1533" t="s">
        <v>1075</v>
      </c>
      <c r="C1533" t="s">
        <v>6004</v>
      </c>
    </row>
    <row r="1534" spans="1:3">
      <c r="A1534" t="s">
        <v>570</v>
      </c>
      <c r="B1534" t="s">
        <v>1075</v>
      </c>
      <c r="C1534" t="s">
        <v>6003</v>
      </c>
    </row>
    <row r="1535" spans="1:3">
      <c r="A1535" t="s">
        <v>570</v>
      </c>
      <c r="B1535" t="s">
        <v>1075</v>
      </c>
      <c r="C1535" t="s">
        <v>6002</v>
      </c>
    </row>
    <row r="1536" spans="1:3">
      <c r="A1536" t="s">
        <v>570</v>
      </c>
      <c r="B1536" t="s">
        <v>1075</v>
      </c>
      <c r="C1536" t="s">
        <v>6001</v>
      </c>
    </row>
    <row r="1537" spans="1:3">
      <c r="A1537" t="s">
        <v>570</v>
      </c>
      <c r="B1537" t="s">
        <v>1075</v>
      </c>
      <c r="C1537" t="s">
        <v>6000</v>
      </c>
    </row>
    <row r="1538" spans="1:3">
      <c r="A1538" t="s">
        <v>570</v>
      </c>
      <c r="B1538" t="s">
        <v>1075</v>
      </c>
      <c r="C1538" t="s">
        <v>5999</v>
      </c>
    </row>
    <row r="1539" spans="1:3">
      <c r="A1539" t="s">
        <v>571</v>
      </c>
      <c r="B1539" t="s">
        <v>1070</v>
      </c>
      <c r="C1539" t="s">
        <v>5983</v>
      </c>
    </row>
    <row r="1540" spans="1:3">
      <c r="A1540" t="s">
        <v>571</v>
      </c>
      <c r="B1540" t="s">
        <v>1070</v>
      </c>
      <c r="C1540" t="s">
        <v>5982</v>
      </c>
    </row>
    <row r="1541" spans="1:3">
      <c r="A1541" t="s">
        <v>571</v>
      </c>
      <c r="B1541" t="s">
        <v>1070</v>
      </c>
      <c r="C1541" t="s">
        <v>5981</v>
      </c>
    </row>
    <row r="1542" spans="1:3">
      <c r="A1542" t="s">
        <v>571</v>
      </c>
      <c r="B1542" t="s">
        <v>1070</v>
      </c>
      <c r="C1542" t="s">
        <v>5980</v>
      </c>
    </row>
    <row r="1543" spans="1:3">
      <c r="A1543" t="s">
        <v>571</v>
      </c>
      <c r="B1543" t="s">
        <v>1070</v>
      </c>
      <c r="C1543" t="s">
        <v>5979</v>
      </c>
    </row>
    <row r="1544" spans="1:3">
      <c r="A1544" t="s">
        <v>571</v>
      </c>
      <c r="B1544" t="s">
        <v>1070</v>
      </c>
      <c r="C1544" t="s">
        <v>5978</v>
      </c>
    </row>
    <row r="1545" spans="1:3">
      <c r="A1545" t="s">
        <v>571</v>
      </c>
      <c r="B1545" t="s">
        <v>1070</v>
      </c>
      <c r="C1545" t="s">
        <v>5977</v>
      </c>
    </row>
    <row r="1546" spans="1:3">
      <c r="A1546" t="s">
        <v>571</v>
      </c>
      <c r="B1546" t="s">
        <v>1070</v>
      </c>
      <c r="C1546" t="s">
        <v>5976</v>
      </c>
    </row>
    <row r="1547" spans="1:3">
      <c r="A1547" t="s">
        <v>571</v>
      </c>
      <c r="B1547" t="s">
        <v>1075</v>
      </c>
      <c r="C1547" t="s">
        <v>5990</v>
      </c>
    </row>
    <row r="1548" spans="1:3">
      <c r="A1548" t="s">
        <v>571</v>
      </c>
      <c r="B1548" t="s">
        <v>1075</v>
      </c>
      <c r="C1548" t="s">
        <v>5989</v>
      </c>
    </row>
    <row r="1549" spans="1:3">
      <c r="A1549" t="s">
        <v>571</v>
      </c>
      <c r="B1549" t="s">
        <v>1075</v>
      </c>
      <c r="C1549" t="s">
        <v>5988</v>
      </c>
    </row>
    <row r="1550" spans="1:3">
      <c r="A1550" t="s">
        <v>571</v>
      </c>
      <c r="B1550" t="s">
        <v>1075</v>
      </c>
      <c r="C1550" t="s">
        <v>5987</v>
      </c>
    </row>
    <row r="1551" spans="1:3">
      <c r="A1551" t="s">
        <v>571</v>
      </c>
      <c r="B1551" t="s">
        <v>1075</v>
      </c>
      <c r="C1551" t="s">
        <v>5986</v>
      </c>
    </row>
    <row r="1552" spans="1:3">
      <c r="A1552" t="s">
        <v>571</v>
      </c>
      <c r="B1552" t="s">
        <v>1075</v>
      </c>
      <c r="C1552" t="s">
        <v>5985</v>
      </c>
    </row>
    <row r="1553" spans="1:3">
      <c r="A1553" t="s">
        <v>571</v>
      </c>
      <c r="B1553" t="s">
        <v>1075</v>
      </c>
      <c r="C1553" t="s">
        <v>5984</v>
      </c>
    </row>
    <row r="1554" spans="1:3">
      <c r="A1554" t="s">
        <v>642</v>
      </c>
      <c r="B1554" t="s">
        <v>1070</v>
      </c>
      <c r="C1554" t="s">
        <v>5968</v>
      </c>
    </row>
    <row r="1555" spans="1:3">
      <c r="A1555" t="s">
        <v>642</v>
      </c>
      <c r="B1555" t="s">
        <v>1070</v>
      </c>
      <c r="C1555" t="s">
        <v>5967</v>
      </c>
    </row>
    <row r="1556" spans="1:3">
      <c r="A1556" t="s">
        <v>642</v>
      </c>
      <c r="B1556" t="s">
        <v>1070</v>
      </c>
      <c r="C1556" t="s">
        <v>5966</v>
      </c>
    </row>
    <row r="1557" spans="1:3">
      <c r="A1557" t="s">
        <v>642</v>
      </c>
      <c r="B1557" t="s">
        <v>1070</v>
      </c>
      <c r="C1557" t="s">
        <v>5965</v>
      </c>
    </row>
    <row r="1558" spans="1:3">
      <c r="A1558" t="s">
        <v>642</v>
      </c>
      <c r="B1558" t="s">
        <v>1070</v>
      </c>
      <c r="C1558" t="s">
        <v>5964</v>
      </c>
    </row>
    <row r="1559" spans="1:3">
      <c r="A1559" t="s">
        <v>642</v>
      </c>
      <c r="B1559" t="s">
        <v>1070</v>
      </c>
      <c r="C1559" t="s">
        <v>5963</v>
      </c>
    </row>
    <row r="1560" spans="1:3">
      <c r="A1560" t="s">
        <v>642</v>
      </c>
      <c r="B1560" t="s">
        <v>1070</v>
      </c>
      <c r="C1560" t="s">
        <v>5962</v>
      </c>
    </row>
    <row r="1561" spans="1:3">
      <c r="A1561" t="s">
        <v>642</v>
      </c>
      <c r="B1561" t="s">
        <v>1070</v>
      </c>
      <c r="C1561" t="s">
        <v>5961</v>
      </c>
    </row>
    <row r="1562" spans="1:3">
      <c r="A1562" t="s">
        <v>642</v>
      </c>
      <c r="B1562" t="s">
        <v>1075</v>
      </c>
      <c r="C1562" t="s">
        <v>5975</v>
      </c>
    </row>
    <row r="1563" spans="1:3">
      <c r="A1563" t="s">
        <v>642</v>
      </c>
      <c r="B1563" t="s">
        <v>1075</v>
      </c>
      <c r="C1563" t="s">
        <v>5974</v>
      </c>
    </row>
    <row r="1564" spans="1:3">
      <c r="A1564" t="s">
        <v>642</v>
      </c>
      <c r="B1564" t="s">
        <v>1075</v>
      </c>
      <c r="C1564" t="s">
        <v>5973</v>
      </c>
    </row>
    <row r="1565" spans="1:3">
      <c r="A1565" t="s">
        <v>642</v>
      </c>
      <c r="B1565" t="s">
        <v>1075</v>
      </c>
      <c r="C1565" t="s">
        <v>5972</v>
      </c>
    </row>
    <row r="1566" spans="1:3">
      <c r="A1566" t="s">
        <v>642</v>
      </c>
      <c r="B1566" t="s">
        <v>1075</v>
      </c>
      <c r="C1566" t="s">
        <v>5971</v>
      </c>
    </row>
    <row r="1567" spans="1:3">
      <c r="A1567" t="s">
        <v>642</v>
      </c>
      <c r="B1567" t="s">
        <v>1075</v>
      </c>
      <c r="C1567" t="s">
        <v>5970</v>
      </c>
    </row>
    <row r="1568" spans="1:3">
      <c r="A1568" t="s">
        <v>642</v>
      </c>
      <c r="B1568" t="s">
        <v>1075</v>
      </c>
      <c r="C1568" t="s">
        <v>5969</v>
      </c>
    </row>
    <row r="1569" spans="1:3">
      <c r="A1569" t="s">
        <v>641</v>
      </c>
      <c r="B1569" t="s">
        <v>1070</v>
      </c>
      <c r="C1569" t="s">
        <v>5953</v>
      </c>
    </row>
    <row r="1570" spans="1:3">
      <c r="A1570" t="s">
        <v>641</v>
      </c>
      <c r="B1570" t="s">
        <v>1070</v>
      </c>
      <c r="C1570" t="s">
        <v>5952</v>
      </c>
    </row>
    <row r="1571" spans="1:3">
      <c r="A1571" t="s">
        <v>641</v>
      </c>
      <c r="B1571" t="s">
        <v>1070</v>
      </c>
      <c r="C1571" t="s">
        <v>5951</v>
      </c>
    </row>
    <row r="1572" spans="1:3">
      <c r="A1572" t="s">
        <v>641</v>
      </c>
      <c r="B1572" t="s">
        <v>1070</v>
      </c>
      <c r="C1572" t="s">
        <v>5950</v>
      </c>
    </row>
    <row r="1573" spans="1:3">
      <c r="A1573" t="s">
        <v>641</v>
      </c>
      <c r="B1573" t="s">
        <v>1070</v>
      </c>
      <c r="C1573" t="s">
        <v>5949</v>
      </c>
    </row>
    <row r="1574" spans="1:3">
      <c r="A1574" t="s">
        <v>641</v>
      </c>
      <c r="B1574" t="s">
        <v>1070</v>
      </c>
      <c r="C1574" t="s">
        <v>5948</v>
      </c>
    </row>
    <row r="1575" spans="1:3">
      <c r="A1575" t="s">
        <v>641</v>
      </c>
      <c r="B1575" t="s">
        <v>1070</v>
      </c>
      <c r="C1575" t="s">
        <v>5947</v>
      </c>
    </row>
    <row r="1576" spans="1:3">
      <c r="A1576" t="s">
        <v>641</v>
      </c>
      <c r="B1576" t="s">
        <v>1070</v>
      </c>
      <c r="C1576" t="s">
        <v>5946</v>
      </c>
    </row>
    <row r="1577" spans="1:3">
      <c r="A1577" t="s">
        <v>641</v>
      </c>
      <c r="B1577" t="s">
        <v>1075</v>
      </c>
      <c r="C1577" t="s">
        <v>5960</v>
      </c>
    </row>
    <row r="1578" spans="1:3">
      <c r="A1578" t="s">
        <v>641</v>
      </c>
      <c r="B1578" t="s">
        <v>1075</v>
      </c>
      <c r="C1578" t="s">
        <v>5959</v>
      </c>
    </row>
    <row r="1579" spans="1:3">
      <c r="A1579" t="s">
        <v>641</v>
      </c>
      <c r="B1579" t="s">
        <v>1075</v>
      </c>
      <c r="C1579" t="s">
        <v>5958</v>
      </c>
    </row>
    <row r="1580" spans="1:3">
      <c r="A1580" t="s">
        <v>641</v>
      </c>
      <c r="B1580" t="s">
        <v>1075</v>
      </c>
      <c r="C1580" t="s">
        <v>5957</v>
      </c>
    </row>
    <row r="1581" spans="1:3">
      <c r="A1581" t="s">
        <v>641</v>
      </c>
      <c r="B1581" t="s">
        <v>1075</v>
      </c>
      <c r="C1581" t="s">
        <v>5956</v>
      </c>
    </row>
    <row r="1582" spans="1:3">
      <c r="A1582" t="s">
        <v>641</v>
      </c>
      <c r="B1582" t="s">
        <v>1075</v>
      </c>
      <c r="C1582" t="s">
        <v>5955</v>
      </c>
    </row>
    <row r="1583" spans="1:3">
      <c r="A1583" t="s">
        <v>641</v>
      </c>
      <c r="B1583" t="s">
        <v>1075</v>
      </c>
      <c r="C1583" t="s">
        <v>5954</v>
      </c>
    </row>
    <row r="1584" spans="1:3">
      <c r="A1584" t="s">
        <v>572</v>
      </c>
      <c r="B1584" t="s">
        <v>1070</v>
      </c>
      <c r="C1584" t="s">
        <v>5940</v>
      </c>
    </row>
    <row r="1585" spans="1:3">
      <c r="A1585" t="s">
        <v>572</v>
      </c>
      <c r="B1585" t="s">
        <v>1070</v>
      </c>
      <c r="C1585" t="s">
        <v>5939</v>
      </c>
    </row>
    <row r="1586" spans="1:3">
      <c r="A1586" t="s">
        <v>572</v>
      </c>
      <c r="B1586" t="s">
        <v>1070</v>
      </c>
      <c r="C1586" t="s">
        <v>5938</v>
      </c>
    </row>
    <row r="1587" spans="1:3">
      <c r="A1587" t="s">
        <v>572</v>
      </c>
      <c r="B1587" t="s">
        <v>1075</v>
      </c>
      <c r="C1587" t="s">
        <v>5945</v>
      </c>
    </row>
    <row r="1588" spans="1:3">
      <c r="A1588" t="s">
        <v>572</v>
      </c>
      <c r="B1588" t="s">
        <v>1075</v>
      </c>
      <c r="C1588" t="s">
        <v>5944</v>
      </c>
    </row>
    <row r="1589" spans="1:3">
      <c r="A1589" t="s">
        <v>572</v>
      </c>
      <c r="B1589" t="s">
        <v>1075</v>
      </c>
      <c r="C1589" t="s">
        <v>5943</v>
      </c>
    </row>
    <row r="1590" spans="1:3">
      <c r="A1590" t="s">
        <v>572</v>
      </c>
      <c r="B1590" t="s">
        <v>1075</v>
      </c>
      <c r="C1590" t="s">
        <v>5942</v>
      </c>
    </row>
    <row r="1591" spans="1:3">
      <c r="A1591" t="s">
        <v>572</v>
      </c>
      <c r="B1591" t="s">
        <v>1075</v>
      </c>
      <c r="C1591" t="s">
        <v>5941</v>
      </c>
    </row>
    <row r="1592" spans="1:3">
      <c r="A1592" t="s">
        <v>573</v>
      </c>
      <c r="B1592" t="s">
        <v>1070</v>
      </c>
      <c r="C1592" t="s">
        <v>5932</v>
      </c>
    </row>
    <row r="1593" spans="1:3">
      <c r="A1593" t="s">
        <v>573</v>
      </c>
      <c r="B1593" t="s">
        <v>1070</v>
      </c>
      <c r="C1593" t="s">
        <v>5931</v>
      </c>
    </row>
    <row r="1594" spans="1:3">
      <c r="A1594" t="s">
        <v>573</v>
      </c>
      <c r="B1594" t="s">
        <v>1070</v>
      </c>
      <c r="C1594" t="s">
        <v>5930</v>
      </c>
    </row>
    <row r="1595" spans="1:3">
      <c r="A1595" t="s">
        <v>573</v>
      </c>
      <c r="B1595" t="s">
        <v>1075</v>
      </c>
      <c r="C1595" t="s">
        <v>5937</v>
      </c>
    </row>
    <row r="1596" spans="1:3">
      <c r="A1596" t="s">
        <v>573</v>
      </c>
      <c r="B1596" t="s">
        <v>1075</v>
      </c>
      <c r="C1596" t="s">
        <v>5936</v>
      </c>
    </row>
    <row r="1597" spans="1:3">
      <c r="A1597" t="s">
        <v>573</v>
      </c>
      <c r="B1597" t="s">
        <v>1075</v>
      </c>
      <c r="C1597" t="s">
        <v>5935</v>
      </c>
    </row>
    <row r="1598" spans="1:3">
      <c r="A1598" t="s">
        <v>573</v>
      </c>
      <c r="B1598" t="s">
        <v>1075</v>
      </c>
      <c r="C1598" t="s">
        <v>5934</v>
      </c>
    </row>
    <row r="1599" spans="1:3">
      <c r="A1599" t="s">
        <v>573</v>
      </c>
      <c r="B1599" t="s">
        <v>1075</v>
      </c>
      <c r="C1599" t="s">
        <v>5933</v>
      </c>
    </row>
    <row r="1600" spans="1:3">
      <c r="A1600" t="s">
        <v>549</v>
      </c>
      <c r="B1600" t="s">
        <v>1070</v>
      </c>
      <c r="C1600" t="s">
        <v>5924</v>
      </c>
    </row>
    <row r="1601" spans="1:3">
      <c r="A1601" t="s">
        <v>549</v>
      </c>
      <c r="B1601" t="s">
        <v>1070</v>
      </c>
      <c r="C1601" t="s">
        <v>5923</v>
      </c>
    </row>
    <row r="1602" spans="1:3">
      <c r="A1602" t="s">
        <v>549</v>
      </c>
      <c r="B1602" t="s">
        <v>1070</v>
      </c>
      <c r="C1602" t="s">
        <v>5922</v>
      </c>
    </row>
    <row r="1603" spans="1:3">
      <c r="A1603" t="s">
        <v>549</v>
      </c>
      <c r="B1603" t="s">
        <v>1075</v>
      </c>
      <c r="C1603" t="s">
        <v>5929</v>
      </c>
    </row>
    <row r="1604" spans="1:3">
      <c r="A1604" t="s">
        <v>549</v>
      </c>
      <c r="B1604" t="s">
        <v>1075</v>
      </c>
      <c r="C1604" t="s">
        <v>5928</v>
      </c>
    </row>
    <row r="1605" spans="1:3">
      <c r="A1605" t="s">
        <v>549</v>
      </c>
      <c r="B1605" t="s">
        <v>1075</v>
      </c>
      <c r="C1605" t="s">
        <v>5927</v>
      </c>
    </row>
    <row r="1606" spans="1:3">
      <c r="A1606" t="s">
        <v>549</v>
      </c>
      <c r="B1606" t="s">
        <v>1075</v>
      </c>
      <c r="C1606" t="s">
        <v>5926</v>
      </c>
    </row>
    <row r="1607" spans="1:3">
      <c r="A1607" t="s">
        <v>549</v>
      </c>
      <c r="B1607" t="s">
        <v>1075</v>
      </c>
      <c r="C1607" t="s">
        <v>5925</v>
      </c>
    </row>
    <row r="1608" spans="1:3">
      <c r="A1608" t="s">
        <v>582</v>
      </c>
      <c r="B1608" t="s">
        <v>1070</v>
      </c>
      <c r="C1608" t="s">
        <v>5910</v>
      </c>
    </row>
    <row r="1609" spans="1:3">
      <c r="A1609" t="s">
        <v>582</v>
      </c>
      <c r="B1609" t="s">
        <v>1070</v>
      </c>
      <c r="C1609" t="s">
        <v>5909</v>
      </c>
    </row>
    <row r="1610" spans="1:3">
      <c r="A1610" t="s">
        <v>582</v>
      </c>
      <c r="B1610" t="s">
        <v>1070</v>
      </c>
      <c r="C1610" t="s">
        <v>5908</v>
      </c>
    </row>
    <row r="1611" spans="1:3">
      <c r="A1611" t="s">
        <v>582</v>
      </c>
      <c r="B1611" t="s">
        <v>1070</v>
      </c>
      <c r="C1611" t="s">
        <v>5907</v>
      </c>
    </row>
    <row r="1612" spans="1:3">
      <c r="A1612" t="s">
        <v>582</v>
      </c>
      <c r="B1612" t="s">
        <v>1070</v>
      </c>
      <c r="C1612" t="s">
        <v>5906</v>
      </c>
    </row>
    <row r="1613" spans="1:3">
      <c r="A1613" t="s">
        <v>582</v>
      </c>
      <c r="B1613" t="s">
        <v>1070</v>
      </c>
      <c r="C1613" t="s">
        <v>5905</v>
      </c>
    </row>
    <row r="1614" spans="1:3">
      <c r="A1614" t="s">
        <v>582</v>
      </c>
      <c r="B1614" t="s">
        <v>1070</v>
      </c>
      <c r="C1614" t="s">
        <v>5904</v>
      </c>
    </row>
    <row r="1615" spans="1:3">
      <c r="A1615" t="s">
        <v>582</v>
      </c>
      <c r="B1615" t="s">
        <v>1070</v>
      </c>
      <c r="C1615" t="s">
        <v>5903</v>
      </c>
    </row>
    <row r="1616" spans="1:3">
      <c r="A1616" t="s">
        <v>582</v>
      </c>
      <c r="B1616" t="s">
        <v>1070</v>
      </c>
      <c r="C1616" t="s">
        <v>5902</v>
      </c>
    </row>
    <row r="1617" spans="1:3">
      <c r="A1617" t="s">
        <v>582</v>
      </c>
      <c r="B1617" t="s">
        <v>1075</v>
      </c>
      <c r="C1617" t="s">
        <v>5921</v>
      </c>
    </row>
    <row r="1618" spans="1:3">
      <c r="A1618" t="s">
        <v>582</v>
      </c>
      <c r="B1618" t="s">
        <v>1075</v>
      </c>
      <c r="C1618" t="s">
        <v>5920</v>
      </c>
    </row>
    <row r="1619" spans="1:3">
      <c r="A1619" t="s">
        <v>582</v>
      </c>
      <c r="B1619" t="s">
        <v>1075</v>
      </c>
      <c r="C1619" t="s">
        <v>5919</v>
      </c>
    </row>
    <row r="1620" spans="1:3">
      <c r="A1620" t="s">
        <v>582</v>
      </c>
      <c r="B1620" t="s">
        <v>1075</v>
      </c>
      <c r="C1620" t="s">
        <v>5918</v>
      </c>
    </row>
    <row r="1621" spans="1:3">
      <c r="A1621" t="s">
        <v>582</v>
      </c>
      <c r="B1621" t="s">
        <v>1075</v>
      </c>
      <c r="C1621" t="s">
        <v>5917</v>
      </c>
    </row>
    <row r="1622" spans="1:3">
      <c r="A1622" t="s">
        <v>582</v>
      </c>
      <c r="B1622" t="s">
        <v>1075</v>
      </c>
      <c r="C1622" t="s">
        <v>5916</v>
      </c>
    </row>
    <row r="1623" spans="1:3">
      <c r="A1623" t="s">
        <v>582</v>
      </c>
      <c r="B1623" t="s">
        <v>1075</v>
      </c>
      <c r="C1623" t="s">
        <v>5915</v>
      </c>
    </row>
    <row r="1624" spans="1:3">
      <c r="A1624" t="s">
        <v>582</v>
      </c>
      <c r="B1624" t="s">
        <v>1075</v>
      </c>
      <c r="C1624" t="s">
        <v>5914</v>
      </c>
    </row>
    <row r="1625" spans="1:3">
      <c r="A1625" t="s">
        <v>582</v>
      </c>
      <c r="B1625" t="s">
        <v>1075</v>
      </c>
      <c r="C1625" t="s">
        <v>5913</v>
      </c>
    </row>
    <row r="1626" spans="1:3">
      <c r="A1626" t="s">
        <v>582</v>
      </c>
      <c r="B1626" t="s">
        <v>1075</v>
      </c>
      <c r="C1626" t="s">
        <v>5912</v>
      </c>
    </row>
    <row r="1627" spans="1:3">
      <c r="A1627" t="s">
        <v>582</v>
      </c>
      <c r="B1627" t="s">
        <v>1075</v>
      </c>
      <c r="C1627" t="s">
        <v>5911</v>
      </c>
    </row>
    <row r="1628" spans="1:3">
      <c r="A1628" t="s">
        <v>542</v>
      </c>
      <c r="B1628" t="s">
        <v>1070</v>
      </c>
      <c r="C1628" t="s">
        <v>5896</v>
      </c>
    </row>
    <row r="1629" spans="1:3">
      <c r="A1629" t="s">
        <v>542</v>
      </c>
      <c r="B1629" t="s">
        <v>1070</v>
      </c>
      <c r="C1629" t="s">
        <v>5895</v>
      </c>
    </row>
    <row r="1630" spans="1:3">
      <c r="A1630" t="s">
        <v>542</v>
      </c>
      <c r="B1630" t="s">
        <v>1070</v>
      </c>
      <c r="C1630" t="s">
        <v>5894</v>
      </c>
    </row>
    <row r="1631" spans="1:3">
      <c r="A1631" t="s">
        <v>542</v>
      </c>
      <c r="B1631" t="s">
        <v>1075</v>
      </c>
      <c r="C1631" t="s">
        <v>5901</v>
      </c>
    </row>
    <row r="1632" spans="1:3">
      <c r="A1632" t="s">
        <v>542</v>
      </c>
      <c r="B1632" t="s">
        <v>1075</v>
      </c>
      <c r="C1632" t="s">
        <v>5900</v>
      </c>
    </row>
    <row r="1633" spans="1:3">
      <c r="A1633" t="s">
        <v>542</v>
      </c>
      <c r="B1633" t="s">
        <v>1075</v>
      </c>
      <c r="C1633" t="s">
        <v>5899</v>
      </c>
    </row>
    <row r="1634" spans="1:3">
      <c r="A1634" t="s">
        <v>542</v>
      </c>
      <c r="B1634" t="s">
        <v>1075</v>
      </c>
      <c r="C1634" t="s">
        <v>5898</v>
      </c>
    </row>
    <row r="1635" spans="1:3">
      <c r="A1635" t="s">
        <v>542</v>
      </c>
      <c r="B1635" t="s">
        <v>1075</v>
      </c>
      <c r="C1635" t="s">
        <v>5897</v>
      </c>
    </row>
    <row r="1636" spans="1:3">
      <c r="A1636" t="s">
        <v>581</v>
      </c>
      <c r="B1636" t="s">
        <v>1070</v>
      </c>
      <c r="C1636" t="s">
        <v>5888</v>
      </c>
    </row>
    <row r="1637" spans="1:3">
      <c r="A1637" t="s">
        <v>581</v>
      </c>
      <c r="B1637" t="s">
        <v>1070</v>
      </c>
      <c r="C1637" t="s">
        <v>5887</v>
      </c>
    </row>
    <row r="1638" spans="1:3">
      <c r="A1638" t="s">
        <v>581</v>
      </c>
      <c r="B1638" t="s">
        <v>1070</v>
      </c>
      <c r="C1638" t="s">
        <v>5886</v>
      </c>
    </row>
    <row r="1639" spans="1:3">
      <c r="A1639" t="s">
        <v>581</v>
      </c>
      <c r="B1639" t="s">
        <v>1075</v>
      </c>
      <c r="C1639" t="s">
        <v>5893</v>
      </c>
    </row>
    <row r="1640" spans="1:3">
      <c r="A1640" t="s">
        <v>581</v>
      </c>
      <c r="B1640" t="s">
        <v>1075</v>
      </c>
      <c r="C1640" t="s">
        <v>5892</v>
      </c>
    </row>
    <row r="1641" spans="1:3">
      <c r="A1641" t="s">
        <v>581</v>
      </c>
      <c r="B1641" t="s">
        <v>1075</v>
      </c>
      <c r="C1641" t="s">
        <v>5891</v>
      </c>
    </row>
    <row r="1642" spans="1:3">
      <c r="A1642" t="s">
        <v>581</v>
      </c>
      <c r="B1642" t="s">
        <v>1075</v>
      </c>
      <c r="C1642" t="s">
        <v>5890</v>
      </c>
    </row>
    <row r="1643" spans="1:3">
      <c r="A1643" t="s">
        <v>581</v>
      </c>
      <c r="B1643" t="s">
        <v>1075</v>
      </c>
      <c r="C1643" t="s">
        <v>5889</v>
      </c>
    </row>
    <row r="1644" spans="1:3">
      <c r="A1644" t="s">
        <v>541</v>
      </c>
      <c r="B1644" t="s">
        <v>1070</v>
      </c>
      <c r="C1644" t="s">
        <v>5880</v>
      </c>
    </row>
    <row r="1645" spans="1:3">
      <c r="A1645" t="s">
        <v>541</v>
      </c>
      <c r="B1645" t="s">
        <v>1070</v>
      </c>
      <c r="C1645" t="s">
        <v>5879</v>
      </c>
    </row>
    <row r="1646" spans="1:3">
      <c r="A1646" t="s">
        <v>541</v>
      </c>
      <c r="B1646" t="s">
        <v>1070</v>
      </c>
      <c r="C1646" t="s">
        <v>5878</v>
      </c>
    </row>
    <row r="1647" spans="1:3">
      <c r="A1647" t="s">
        <v>541</v>
      </c>
      <c r="B1647" t="s">
        <v>1075</v>
      </c>
      <c r="C1647" t="s">
        <v>5885</v>
      </c>
    </row>
    <row r="1648" spans="1:3">
      <c r="A1648" t="s">
        <v>541</v>
      </c>
      <c r="B1648" t="s">
        <v>1075</v>
      </c>
      <c r="C1648" t="s">
        <v>5884</v>
      </c>
    </row>
    <row r="1649" spans="1:3">
      <c r="A1649" t="s">
        <v>541</v>
      </c>
      <c r="B1649" t="s">
        <v>1075</v>
      </c>
      <c r="C1649" t="s">
        <v>5883</v>
      </c>
    </row>
    <row r="1650" spans="1:3">
      <c r="A1650" t="s">
        <v>541</v>
      </c>
      <c r="B1650" t="s">
        <v>1075</v>
      </c>
      <c r="C1650" t="s">
        <v>5882</v>
      </c>
    </row>
    <row r="1651" spans="1:3">
      <c r="A1651" t="s">
        <v>541</v>
      </c>
      <c r="B1651" t="s">
        <v>1075</v>
      </c>
      <c r="C1651" t="s">
        <v>5881</v>
      </c>
    </row>
    <row r="1652" spans="1:3">
      <c r="A1652" t="s">
        <v>537</v>
      </c>
      <c r="B1652" t="s">
        <v>1070</v>
      </c>
      <c r="C1652" t="s">
        <v>5872</v>
      </c>
    </row>
    <row r="1653" spans="1:3">
      <c r="A1653" t="s">
        <v>537</v>
      </c>
      <c r="B1653" t="s">
        <v>1070</v>
      </c>
      <c r="C1653" t="s">
        <v>5871</v>
      </c>
    </row>
    <row r="1654" spans="1:3">
      <c r="A1654" t="s">
        <v>537</v>
      </c>
      <c r="B1654" t="s">
        <v>1070</v>
      </c>
      <c r="C1654" t="s">
        <v>5870</v>
      </c>
    </row>
    <row r="1655" spans="1:3">
      <c r="A1655" t="s">
        <v>537</v>
      </c>
      <c r="B1655" t="s">
        <v>1075</v>
      </c>
      <c r="C1655" t="s">
        <v>5877</v>
      </c>
    </row>
    <row r="1656" spans="1:3">
      <c r="A1656" t="s">
        <v>537</v>
      </c>
      <c r="B1656" t="s">
        <v>1075</v>
      </c>
      <c r="C1656" t="s">
        <v>5876</v>
      </c>
    </row>
    <row r="1657" spans="1:3">
      <c r="A1657" t="s">
        <v>537</v>
      </c>
      <c r="B1657" t="s">
        <v>1075</v>
      </c>
      <c r="C1657" t="s">
        <v>5875</v>
      </c>
    </row>
    <row r="1658" spans="1:3">
      <c r="A1658" t="s">
        <v>537</v>
      </c>
      <c r="B1658" t="s">
        <v>1075</v>
      </c>
      <c r="C1658" t="s">
        <v>5874</v>
      </c>
    </row>
    <row r="1659" spans="1:3">
      <c r="A1659" t="s">
        <v>537</v>
      </c>
      <c r="B1659" t="s">
        <v>1075</v>
      </c>
      <c r="C1659" t="s">
        <v>5873</v>
      </c>
    </row>
    <row r="1660" spans="1:3">
      <c r="A1660" t="s">
        <v>538</v>
      </c>
      <c r="B1660" t="s">
        <v>1070</v>
      </c>
      <c r="C1660" t="s">
        <v>5864</v>
      </c>
    </row>
    <row r="1661" spans="1:3">
      <c r="A1661" t="s">
        <v>538</v>
      </c>
      <c r="B1661" t="s">
        <v>1070</v>
      </c>
      <c r="C1661" t="s">
        <v>5863</v>
      </c>
    </row>
    <row r="1662" spans="1:3">
      <c r="A1662" t="s">
        <v>538</v>
      </c>
      <c r="B1662" t="s">
        <v>1070</v>
      </c>
      <c r="C1662" t="s">
        <v>5862</v>
      </c>
    </row>
    <row r="1663" spans="1:3">
      <c r="A1663" t="s">
        <v>538</v>
      </c>
      <c r="B1663" t="s">
        <v>1075</v>
      </c>
      <c r="C1663" t="s">
        <v>5869</v>
      </c>
    </row>
    <row r="1664" spans="1:3">
      <c r="A1664" t="s">
        <v>538</v>
      </c>
      <c r="B1664" t="s">
        <v>1075</v>
      </c>
      <c r="C1664" t="s">
        <v>5868</v>
      </c>
    </row>
    <row r="1665" spans="1:3">
      <c r="A1665" t="s">
        <v>538</v>
      </c>
      <c r="B1665" t="s">
        <v>1075</v>
      </c>
      <c r="C1665" t="s">
        <v>5867</v>
      </c>
    </row>
    <row r="1666" spans="1:3">
      <c r="A1666" t="s">
        <v>538</v>
      </c>
      <c r="B1666" t="s">
        <v>1075</v>
      </c>
      <c r="C1666" t="s">
        <v>5866</v>
      </c>
    </row>
    <row r="1667" spans="1:3">
      <c r="A1667" t="s">
        <v>538</v>
      </c>
      <c r="B1667" t="s">
        <v>1075</v>
      </c>
      <c r="C1667" t="s">
        <v>5865</v>
      </c>
    </row>
    <row r="1668" spans="1:3">
      <c r="A1668" t="s">
        <v>539</v>
      </c>
      <c r="B1668" t="s">
        <v>1070</v>
      </c>
      <c r="C1668" t="s">
        <v>5856</v>
      </c>
    </row>
    <row r="1669" spans="1:3">
      <c r="A1669" t="s">
        <v>539</v>
      </c>
      <c r="B1669" t="s">
        <v>1070</v>
      </c>
      <c r="C1669" t="s">
        <v>5855</v>
      </c>
    </row>
    <row r="1670" spans="1:3">
      <c r="A1670" t="s">
        <v>539</v>
      </c>
      <c r="B1670" t="s">
        <v>1070</v>
      </c>
      <c r="C1670" t="s">
        <v>5854</v>
      </c>
    </row>
    <row r="1671" spans="1:3">
      <c r="A1671" t="s">
        <v>539</v>
      </c>
      <c r="B1671" t="s">
        <v>1075</v>
      </c>
      <c r="C1671" t="s">
        <v>5861</v>
      </c>
    </row>
    <row r="1672" spans="1:3">
      <c r="A1672" t="s">
        <v>539</v>
      </c>
      <c r="B1672" t="s">
        <v>1075</v>
      </c>
      <c r="C1672" t="s">
        <v>5860</v>
      </c>
    </row>
    <row r="1673" spans="1:3">
      <c r="A1673" t="s">
        <v>539</v>
      </c>
      <c r="B1673" t="s">
        <v>1075</v>
      </c>
      <c r="C1673" t="s">
        <v>5859</v>
      </c>
    </row>
    <row r="1674" spans="1:3">
      <c r="A1674" t="s">
        <v>539</v>
      </c>
      <c r="B1674" t="s">
        <v>1075</v>
      </c>
      <c r="C1674" t="s">
        <v>5858</v>
      </c>
    </row>
    <row r="1675" spans="1:3">
      <c r="A1675" t="s">
        <v>539</v>
      </c>
      <c r="B1675" t="s">
        <v>1075</v>
      </c>
      <c r="C1675" t="s">
        <v>5857</v>
      </c>
    </row>
    <row r="1676" spans="1:3">
      <c r="A1676" t="s">
        <v>543</v>
      </c>
      <c r="B1676" t="s">
        <v>1070</v>
      </c>
      <c r="C1676" t="s">
        <v>5848</v>
      </c>
    </row>
    <row r="1677" spans="1:3">
      <c r="A1677" t="s">
        <v>543</v>
      </c>
      <c r="B1677" t="s">
        <v>1070</v>
      </c>
      <c r="C1677" t="s">
        <v>5847</v>
      </c>
    </row>
    <row r="1678" spans="1:3">
      <c r="A1678" t="s">
        <v>543</v>
      </c>
      <c r="B1678" t="s">
        <v>1070</v>
      </c>
      <c r="C1678" t="s">
        <v>5846</v>
      </c>
    </row>
    <row r="1679" spans="1:3">
      <c r="A1679" t="s">
        <v>543</v>
      </c>
      <c r="B1679" t="s">
        <v>1075</v>
      </c>
      <c r="C1679" t="s">
        <v>5853</v>
      </c>
    </row>
    <row r="1680" spans="1:3">
      <c r="A1680" t="s">
        <v>543</v>
      </c>
      <c r="B1680" t="s">
        <v>1075</v>
      </c>
      <c r="C1680" t="s">
        <v>5852</v>
      </c>
    </row>
    <row r="1681" spans="1:3">
      <c r="A1681" t="s">
        <v>543</v>
      </c>
      <c r="B1681" t="s">
        <v>1075</v>
      </c>
      <c r="C1681" t="s">
        <v>5851</v>
      </c>
    </row>
    <row r="1682" spans="1:3">
      <c r="A1682" t="s">
        <v>543</v>
      </c>
      <c r="B1682" t="s">
        <v>1075</v>
      </c>
      <c r="C1682" t="s">
        <v>5850</v>
      </c>
    </row>
    <row r="1683" spans="1:3">
      <c r="A1683" t="s">
        <v>543</v>
      </c>
      <c r="B1683" t="s">
        <v>1075</v>
      </c>
      <c r="C1683" t="s">
        <v>5849</v>
      </c>
    </row>
    <row r="1684" spans="1:3">
      <c r="A1684" t="s">
        <v>540</v>
      </c>
      <c r="B1684" t="s">
        <v>1070</v>
      </c>
      <c r="C1684" t="s">
        <v>5840</v>
      </c>
    </row>
    <row r="1685" spans="1:3">
      <c r="A1685" t="s">
        <v>540</v>
      </c>
      <c r="B1685" t="s">
        <v>1070</v>
      </c>
      <c r="C1685" t="s">
        <v>5839</v>
      </c>
    </row>
    <row r="1686" spans="1:3">
      <c r="A1686" t="s">
        <v>540</v>
      </c>
      <c r="B1686" t="s">
        <v>1070</v>
      </c>
      <c r="C1686" t="s">
        <v>5838</v>
      </c>
    </row>
    <row r="1687" spans="1:3">
      <c r="A1687" t="s">
        <v>540</v>
      </c>
      <c r="B1687" t="s">
        <v>1075</v>
      </c>
      <c r="C1687" t="s">
        <v>5845</v>
      </c>
    </row>
    <row r="1688" spans="1:3">
      <c r="A1688" t="s">
        <v>540</v>
      </c>
      <c r="B1688" t="s">
        <v>1075</v>
      </c>
      <c r="C1688" t="s">
        <v>5844</v>
      </c>
    </row>
    <row r="1689" spans="1:3">
      <c r="A1689" t="s">
        <v>540</v>
      </c>
      <c r="B1689" t="s">
        <v>1075</v>
      </c>
      <c r="C1689" t="s">
        <v>5843</v>
      </c>
    </row>
    <row r="1690" spans="1:3">
      <c r="A1690" t="s">
        <v>540</v>
      </c>
      <c r="B1690" t="s">
        <v>1075</v>
      </c>
      <c r="C1690" t="s">
        <v>5842</v>
      </c>
    </row>
    <row r="1691" spans="1:3">
      <c r="A1691" t="s">
        <v>540</v>
      </c>
      <c r="B1691" t="s">
        <v>1075</v>
      </c>
      <c r="C1691" t="s">
        <v>5841</v>
      </c>
    </row>
    <row r="1692" spans="1:3">
      <c r="A1692" t="s">
        <v>646</v>
      </c>
      <c r="B1692" t="s">
        <v>1070</v>
      </c>
      <c r="C1692" t="s">
        <v>5832</v>
      </c>
    </row>
    <row r="1693" spans="1:3">
      <c r="A1693" t="s">
        <v>646</v>
      </c>
      <c r="B1693" t="s">
        <v>1070</v>
      </c>
      <c r="C1693" t="s">
        <v>5831</v>
      </c>
    </row>
    <row r="1694" spans="1:3">
      <c r="A1694" t="s">
        <v>646</v>
      </c>
      <c r="B1694" t="s">
        <v>1070</v>
      </c>
      <c r="C1694" t="s">
        <v>5830</v>
      </c>
    </row>
    <row r="1695" spans="1:3">
      <c r="A1695" t="s">
        <v>646</v>
      </c>
      <c r="B1695" t="s">
        <v>1075</v>
      </c>
      <c r="C1695" t="s">
        <v>5837</v>
      </c>
    </row>
    <row r="1696" spans="1:3">
      <c r="A1696" t="s">
        <v>646</v>
      </c>
      <c r="B1696" t="s">
        <v>1075</v>
      </c>
      <c r="C1696" t="s">
        <v>5836</v>
      </c>
    </row>
    <row r="1697" spans="1:3">
      <c r="A1697" t="s">
        <v>646</v>
      </c>
      <c r="B1697" t="s">
        <v>1075</v>
      </c>
      <c r="C1697" t="s">
        <v>5835</v>
      </c>
    </row>
    <row r="1698" spans="1:3">
      <c r="A1698" t="s">
        <v>646</v>
      </c>
      <c r="B1698" t="s">
        <v>1075</v>
      </c>
      <c r="C1698" t="s">
        <v>5834</v>
      </c>
    </row>
    <row r="1699" spans="1:3">
      <c r="A1699" t="s">
        <v>646</v>
      </c>
      <c r="B1699" t="s">
        <v>1075</v>
      </c>
      <c r="C1699" t="s">
        <v>5833</v>
      </c>
    </row>
    <row r="1700" spans="1:3">
      <c r="A1700" t="s">
        <v>557</v>
      </c>
      <c r="B1700" t="s">
        <v>1070</v>
      </c>
      <c r="C1700" t="s">
        <v>5824</v>
      </c>
    </row>
    <row r="1701" spans="1:3">
      <c r="A1701" t="s">
        <v>557</v>
      </c>
      <c r="B1701" t="s">
        <v>1070</v>
      </c>
      <c r="C1701" t="s">
        <v>5823</v>
      </c>
    </row>
    <row r="1702" spans="1:3">
      <c r="A1702" t="s">
        <v>557</v>
      </c>
      <c r="B1702" t="s">
        <v>1070</v>
      </c>
      <c r="C1702" t="s">
        <v>5822</v>
      </c>
    </row>
    <row r="1703" spans="1:3">
      <c r="A1703" t="s">
        <v>557</v>
      </c>
      <c r="B1703" t="s">
        <v>1075</v>
      </c>
      <c r="C1703" t="s">
        <v>5829</v>
      </c>
    </row>
    <row r="1704" spans="1:3">
      <c r="A1704" t="s">
        <v>557</v>
      </c>
      <c r="B1704" t="s">
        <v>1075</v>
      </c>
      <c r="C1704" t="s">
        <v>5828</v>
      </c>
    </row>
    <row r="1705" spans="1:3">
      <c r="A1705" t="s">
        <v>557</v>
      </c>
      <c r="B1705" t="s">
        <v>1075</v>
      </c>
      <c r="C1705" t="s">
        <v>5827</v>
      </c>
    </row>
    <row r="1706" spans="1:3">
      <c r="A1706" t="s">
        <v>557</v>
      </c>
      <c r="B1706" t="s">
        <v>1075</v>
      </c>
      <c r="C1706" t="s">
        <v>5826</v>
      </c>
    </row>
    <row r="1707" spans="1:3">
      <c r="A1707" t="s">
        <v>557</v>
      </c>
      <c r="B1707" t="s">
        <v>1075</v>
      </c>
      <c r="C1707" t="s">
        <v>5825</v>
      </c>
    </row>
    <row r="1708" spans="1:3">
      <c r="A1708" t="s">
        <v>556</v>
      </c>
      <c r="B1708" t="s">
        <v>1070</v>
      </c>
      <c r="C1708" t="s">
        <v>5814</v>
      </c>
    </row>
    <row r="1709" spans="1:3">
      <c r="A1709" t="s">
        <v>556</v>
      </c>
      <c r="B1709" t="s">
        <v>1070</v>
      </c>
      <c r="C1709" t="s">
        <v>5813</v>
      </c>
    </row>
    <row r="1710" spans="1:3">
      <c r="A1710" t="s">
        <v>556</v>
      </c>
      <c r="B1710" t="s">
        <v>1070</v>
      </c>
      <c r="C1710" t="s">
        <v>5812</v>
      </c>
    </row>
    <row r="1711" spans="1:3">
      <c r="A1711" t="s">
        <v>556</v>
      </c>
      <c r="B1711" t="s">
        <v>1070</v>
      </c>
      <c r="C1711" t="s">
        <v>5811</v>
      </c>
    </row>
    <row r="1712" spans="1:3">
      <c r="A1712" t="s">
        <v>556</v>
      </c>
      <c r="B1712" t="s">
        <v>1070</v>
      </c>
      <c r="C1712" t="s">
        <v>5810</v>
      </c>
    </row>
    <row r="1713" spans="1:3">
      <c r="A1713" t="s">
        <v>556</v>
      </c>
      <c r="B1713" t="s">
        <v>1070</v>
      </c>
      <c r="C1713" t="s">
        <v>5809</v>
      </c>
    </row>
    <row r="1714" spans="1:3">
      <c r="A1714" t="s">
        <v>556</v>
      </c>
      <c r="B1714" t="s">
        <v>1070</v>
      </c>
      <c r="C1714" t="s">
        <v>5808</v>
      </c>
    </row>
    <row r="1715" spans="1:3">
      <c r="A1715" t="s">
        <v>556</v>
      </c>
      <c r="B1715" t="s">
        <v>1070</v>
      </c>
      <c r="C1715" t="s">
        <v>5807</v>
      </c>
    </row>
    <row r="1716" spans="1:3">
      <c r="A1716" t="s">
        <v>556</v>
      </c>
      <c r="B1716" t="s">
        <v>1075</v>
      </c>
      <c r="C1716" t="s">
        <v>5821</v>
      </c>
    </row>
    <row r="1717" spans="1:3">
      <c r="A1717" t="s">
        <v>556</v>
      </c>
      <c r="B1717" t="s">
        <v>1075</v>
      </c>
      <c r="C1717" t="s">
        <v>5820</v>
      </c>
    </row>
    <row r="1718" spans="1:3">
      <c r="A1718" t="s">
        <v>556</v>
      </c>
      <c r="B1718" t="s">
        <v>1075</v>
      </c>
      <c r="C1718" t="s">
        <v>5819</v>
      </c>
    </row>
    <row r="1719" spans="1:3">
      <c r="A1719" t="s">
        <v>556</v>
      </c>
      <c r="B1719" t="s">
        <v>1075</v>
      </c>
      <c r="C1719" t="s">
        <v>5818</v>
      </c>
    </row>
    <row r="1720" spans="1:3">
      <c r="A1720" t="s">
        <v>556</v>
      </c>
      <c r="B1720" t="s">
        <v>1075</v>
      </c>
      <c r="C1720" t="s">
        <v>5817</v>
      </c>
    </row>
    <row r="1721" spans="1:3">
      <c r="A1721" t="s">
        <v>556</v>
      </c>
      <c r="B1721" t="s">
        <v>1075</v>
      </c>
      <c r="C1721" t="s">
        <v>5816</v>
      </c>
    </row>
    <row r="1722" spans="1:3">
      <c r="A1722" t="s">
        <v>556</v>
      </c>
      <c r="B1722" t="s">
        <v>1075</v>
      </c>
      <c r="C1722" t="s">
        <v>5815</v>
      </c>
    </row>
    <row r="1723" spans="1:3">
      <c r="A1723" t="s">
        <v>550</v>
      </c>
      <c r="B1723" t="s">
        <v>1070</v>
      </c>
      <c r="C1723" t="s">
        <v>5799</v>
      </c>
    </row>
    <row r="1724" spans="1:3">
      <c r="A1724" t="s">
        <v>550</v>
      </c>
      <c r="B1724" t="s">
        <v>1070</v>
      </c>
      <c r="C1724" t="s">
        <v>5798</v>
      </c>
    </row>
    <row r="1725" spans="1:3">
      <c r="A1725" t="s">
        <v>550</v>
      </c>
      <c r="B1725" t="s">
        <v>1070</v>
      </c>
      <c r="C1725" t="s">
        <v>5797</v>
      </c>
    </row>
    <row r="1726" spans="1:3">
      <c r="A1726" t="s">
        <v>550</v>
      </c>
      <c r="B1726" t="s">
        <v>1070</v>
      </c>
      <c r="C1726" t="s">
        <v>5796</v>
      </c>
    </row>
    <row r="1727" spans="1:3">
      <c r="A1727" t="s">
        <v>550</v>
      </c>
      <c r="B1727" t="s">
        <v>1070</v>
      </c>
      <c r="C1727" t="s">
        <v>5795</v>
      </c>
    </row>
    <row r="1728" spans="1:3">
      <c r="A1728" t="s">
        <v>550</v>
      </c>
      <c r="B1728" t="s">
        <v>1070</v>
      </c>
      <c r="C1728" t="s">
        <v>5794</v>
      </c>
    </row>
    <row r="1729" spans="1:3">
      <c r="A1729" t="s">
        <v>550</v>
      </c>
      <c r="B1729" t="s">
        <v>1070</v>
      </c>
      <c r="C1729" t="s">
        <v>5793</v>
      </c>
    </row>
    <row r="1730" spans="1:3">
      <c r="A1730" t="s">
        <v>550</v>
      </c>
      <c r="B1730" t="s">
        <v>1070</v>
      </c>
      <c r="C1730" t="s">
        <v>5792</v>
      </c>
    </row>
    <row r="1731" spans="1:3">
      <c r="A1731" t="s">
        <v>550</v>
      </c>
      <c r="B1731" t="s">
        <v>1075</v>
      </c>
      <c r="C1731" t="s">
        <v>5806</v>
      </c>
    </row>
    <row r="1732" spans="1:3">
      <c r="A1732" t="s">
        <v>550</v>
      </c>
      <c r="B1732" t="s">
        <v>1075</v>
      </c>
      <c r="C1732" t="s">
        <v>5805</v>
      </c>
    </row>
    <row r="1733" spans="1:3">
      <c r="A1733" t="s">
        <v>550</v>
      </c>
      <c r="B1733" t="s">
        <v>1075</v>
      </c>
      <c r="C1733" t="s">
        <v>5804</v>
      </c>
    </row>
    <row r="1734" spans="1:3">
      <c r="A1734" t="s">
        <v>550</v>
      </c>
      <c r="B1734" t="s">
        <v>1075</v>
      </c>
      <c r="C1734" t="s">
        <v>5803</v>
      </c>
    </row>
    <row r="1735" spans="1:3">
      <c r="A1735" t="s">
        <v>550</v>
      </c>
      <c r="B1735" t="s">
        <v>1075</v>
      </c>
      <c r="C1735" t="s">
        <v>5802</v>
      </c>
    </row>
    <row r="1736" spans="1:3">
      <c r="A1736" t="s">
        <v>550</v>
      </c>
      <c r="B1736" t="s">
        <v>1075</v>
      </c>
      <c r="C1736" t="s">
        <v>5801</v>
      </c>
    </row>
    <row r="1737" spans="1:3">
      <c r="A1737" t="s">
        <v>550</v>
      </c>
      <c r="B1737" t="s">
        <v>1075</v>
      </c>
      <c r="C1737" t="s">
        <v>5800</v>
      </c>
    </row>
    <row r="1738" spans="1:3">
      <c r="A1738" t="s">
        <v>544</v>
      </c>
      <c r="B1738" t="s">
        <v>1070</v>
      </c>
      <c r="C1738" t="s">
        <v>5786</v>
      </c>
    </row>
    <row r="1739" spans="1:3">
      <c r="A1739" t="s">
        <v>544</v>
      </c>
      <c r="B1739" t="s">
        <v>1070</v>
      </c>
      <c r="C1739" t="s">
        <v>5785</v>
      </c>
    </row>
    <row r="1740" spans="1:3">
      <c r="A1740" t="s">
        <v>544</v>
      </c>
      <c r="B1740" t="s">
        <v>1070</v>
      </c>
      <c r="C1740" t="s">
        <v>5784</v>
      </c>
    </row>
    <row r="1741" spans="1:3">
      <c r="A1741" t="s">
        <v>544</v>
      </c>
      <c r="B1741" t="s">
        <v>1075</v>
      </c>
      <c r="C1741" t="s">
        <v>5791</v>
      </c>
    </row>
    <row r="1742" spans="1:3">
      <c r="A1742" t="s">
        <v>544</v>
      </c>
      <c r="B1742" t="s">
        <v>1075</v>
      </c>
      <c r="C1742" t="s">
        <v>5790</v>
      </c>
    </row>
    <row r="1743" spans="1:3">
      <c r="A1743" t="s">
        <v>544</v>
      </c>
      <c r="B1743" t="s">
        <v>1075</v>
      </c>
      <c r="C1743" t="s">
        <v>5789</v>
      </c>
    </row>
    <row r="1744" spans="1:3">
      <c r="A1744" t="s">
        <v>544</v>
      </c>
      <c r="B1744" t="s">
        <v>1075</v>
      </c>
      <c r="C1744" t="s">
        <v>5788</v>
      </c>
    </row>
    <row r="1745" spans="1:3">
      <c r="A1745" t="s">
        <v>544</v>
      </c>
      <c r="B1745" t="s">
        <v>1075</v>
      </c>
      <c r="C1745" t="s">
        <v>5787</v>
      </c>
    </row>
    <row r="1746" spans="1:3">
      <c r="A1746" t="s">
        <v>574</v>
      </c>
      <c r="B1746" t="s">
        <v>1070</v>
      </c>
      <c r="C1746" t="s">
        <v>5778</v>
      </c>
    </row>
    <row r="1747" spans="1:3">
      <c r="A1747" t="s">
        <v>574</v>
      </c>
      <c r="B1747" t="s">
        <v>1070</v>
      </c>
      <c r="C1747" t="s">
        <v>5777</v>
      </c>
    </row>
    <row r="1748" spans="1:3">
      <c r="A1748" t="s">
        <v>574</v>
      </c>
      <c r="B1748" t="s">
        <v>1070</v>
      </c>
      <c r="C1748" t="s">
        <v>5776</v>
      </c>
    </row>
    <row r="1749" spans="1:3">
      <c r="A1749" t="s">
        <v>574</v>
      </c>
      <c r="B1749" t="s">
        <v>1075</v>
      </c>
      <c r="C1749" t="s">
        <v>5783</v>
      </c>
    </row>
    <row r="1750" spans="1:3">
      <c r="A1750" t="s">
        <v>574</v>
      </c>
      <c r="B1750" t="s">
        <v>1075</v>
      </c>
      <c r="C1750" t="s">
        <v>5782</v>
      </c>
    </row>
    <row r="1751" spans="1:3">
      <c r="A1751" t="s">
        <v>574</v>
      </c>
      <c r="B1751" t="s">
        <v>1075</v>
      </c>
      <c r="C1751" t="s">
        <v>5781</v>
      </c>
    </row>
    <row r="1752" spans="1:3">
      <c r="A1752" t="s">
        <v>574</v>
      </c>
      <c r="B1752" t="s">
        <v>1075</v>
      </c>
      <c r="C1752" t="s">
        <v>5780</v>
      </c>
    </row>
    <row r="1753" spans="1:3">
      <c r="A1753" t="s">
        <v>574</v>
      </c>
      <c r="B1753" t="s">
        <v>1075</v>
      </c>
      <c r="C1753" t="s">
        <v>5779</v>
      </c>
    </row>
    <row r="1754" spans="1:3">
      <c r="A1754" t="s">
        <v>668</v>
      </c>
      <c r="B1754" t="s">
        <v>1070</v>
      </c>
      <c r="C1754" t="s">
        <v>5768</v>
      </c>
    </row>
    <row r="1755" spans="1:3">
      <c r="A1755" t="s">
        <v>668</v>
      </c>
      <c r="B1755" t="s">
        <v>1070</v>
      </c>
      <c r="C1755" t="s">
        <v>5767</v>
      </c>
    </row>
    <row r="1756" spans="1:3">
      <c r="A1756" t="s">
        <v>668</v>
      </c>
      <c r="B1756" t="s">
        <v>1070</v>
      </c>
      <c r="C1756" t="s">
        <v>5766</v>
      </c>
    </row>
    <row r="1757" spans="1:3">
      <c r="A1757" t="s">
        <v>668</v>
      </c>
      <c r="B1757" t="s">
        <v>1070</v>
      </c>
      <c r="C1757" t="s">
        <v>5765</v>
      </c>
    </row>
    <row r="1758" spans="1:3">
      <c r="A1758" t="s">
        <v>668</v>
      </c>
      <c r="B1758" t="s">
        <v>1070</v>
      </c>
      <c r="C1758" t="s">
        <v>5764</v>
      </c>
    </row>
    <row r="1759" spans="1:3">
      <c r="A1759" t="s">
        <v>668</v>
      </c>
      <c r="B1759" t="s">
        <v>1070</v>
      </c>
      <c r="C1759" t="s">
        <v>5763</v>
      </c>
    </row>
    <row r="1760" spans="1:3">
      <c r="A1760" t="s">
        <v>668</v>
      </c>
      <c r="B1760" t="s">
        <v>1070</v>
      </c>
      <c r="C1760" t="s">
        <v>5762</v>
      </c>
    </row>
    <row r="1761" spans="1:3">
      <c r="A1761" t="s">
        <v>668</v>
      </c>
      <c r="B1761" t="s">
        <v>1070</v>
      </c>
      <c r="C1761" t="s">
        <v>5761</v>
      </c>
    </row>
    <row r="1762" spans="1:3">
      <c r="A1762" t="s">
        <v>668</v>
      </c>
      <c r="B1762" t="s">
        <v>1075</v>
      </c>
      <c r="C1762" t="s">
        <v>5775</v>
      </c>
    </row>
    <row r="1763" spans="1:3">
      <c r="A1763" t="s">
        <v>668</v>
      </c>
      <c r="B1763" t="s">
        <v>1075</v>
      </c>
      <c r="C1763" t="s">
        <v>5774</v>
      </c>
    </row>
    <row r="1764" spans="1:3">
      <c r="A1764" t="s">
        <v>668</v>
      </c>
      <c r="B1764" t="s">
        <v>1075</v>
      </c>
      <c r="C1764" t="s">
        <v>5773</v>
      </c>
    </row>
    <row r="1765" spans="1:3">
      <c r="A1765" t="s">
        <v>668</v>
      </c>
      <c r="B1765" t="s">
        <v>1075</v>
      </c>
      <c r="C1765" t="s">
        <v>5772</v>
      </c>
    </row>
    <row r="1766" spans="1:3">
      <c r="A1766" t="s">
        <v>668</v>
      </c>
      <c r="B1766" t="s">
        <v>1075</v>
      </c>
      <c r="C1766" t="s">
        <v>5771</v>
      </c>
    </row>
    <row r="1767" spans="1:3">
      <c r="A1767" t="s">
        <v>668</v>
      </c>
      <c r="B1767" t="s">
        <v>1075</v>
      </c>
      <c r="C1767" t="s">
        <v>5770</v>
      </c>
    </row>
    <row r="1768" spans="1:3">
      <c r="A1768" t="s">
        <v>668</v>
      </c>
      <c r="B1768" t="s">
        <v>1075</v>
      </c>
      <c r="C1768" t="s">
        <v>5769</v>
      </c>
    </row>
    <row r="1769" spans="1:3">
      <c r="A1769" t="s">
        <v>671</v>
      </c>
      <c r="B1769" t="s">
        <v>1070</v>
      </c>
      <c r="C1769" t="s">
        <v>5753</v>
      </c>
    </row>
    <row r="1770" spans="1:3">
      <c r="A1770" t="s">
        <v>671</v>
      </c>
      <c r="B1770" t="s">
        <v>1070</v>
      </c>
      <c r="C1770" t="s">
        <v>5752</v>
      </c>
    </row>
    <row r="1771" spans="1:3">
      <c r="A1771" t="s">
        <v>671</v>
      </c>
      <c r="B1771" t="s">
        <v>1070</v>
      </c>
      <c r="C1771" t="s">
        <v>5751</v>
      </c>
    </row>
    <row r="1772" spans="1:3">
      <c r="A1772" t="s">
        <v>671</v>
      </c>
      <c r="B1772" t="s">
        <v>1070</v>
      </c>
      <c r="C1772" t="s">
        <v>5750</v>
      </c>
    </row>
    <row r="1773" spans="1:3">
      <c r="A1773" t="s">
        <v>671</v>
      </c>
      <c r="B1773" t="s">
        <v>1070</v>
      </c>
      <c r="C1773" t="s">
        <v>5749</v>
      </c>
    </row>
    <row r="1774" spans="1:3">
      <c r="A1774" t="s">
        <v>671</v>
      </c>
      <c r="B1774" t="s">
        <v>1070</v>
      </c>
      <c r="C1774" t="s">
        <v>5748</v>
      </c>
    </row>
    <row r="1775" spans="1:3">
      <c r="A1775" t="s">
        <v>671</v>
      </c>
      <c r="B1775" t="s">
        <v>1070</v>
      </c>
      <c r="C1775" t="s">
        <v>5747</v>
      </c>
    </row>
    <row r="1776" spans="1:3">
      <c r="A1776" t="s">
        <v>671</v>
      </c>
      <c r="B1776" t="s">
        <v>1070</v>
      </c>
      <c r="C1776" t="s">
        <v>5746</v>
      </c>
    </row>
    <row r="1777" spans="1:3">
      <c r="A1777" t="s">
        <v>671</v>
      </c>
      <c r="B1777" t="s">
        <v>1075</v>
      </c>
      <c r="C1777" t="s">
        <v>5760</v>
      </c>
    </row>
    <row r="1778" spans="1:3">
      <c r="A1778" t="s">
        <v>671</v>
      </c>
      <c r="B1778" t="s">
        <v>1075</v>
      </c>
      <c r="C1778" t="s">
        <v>5759</v>
      </c>
    </row>
    <row r="1779" spans="1:3">
      <c r="A1779" t="s">
        <v>671</v>
      </c>
      <c r="B1779" t="s">
        <v>1075</v>
      </c>
      <c r="C1779" t="s">
        <v>5758</v>
      </c>
    </row>
    <row r="1780" spans="1:3">
      <c r="A1780" t="s">
        <v>671</v>
      </c>
      <c r="B1780" t="s">
        <v>1075</v>
      </c>
      <c r="C1780" t="s">
        <v>5757</v>
      </c>
    </row>
    <row r="1781" spans="1:3">
      <c r="A1781" t="s">
        <v>671</v>
      </c>
      <c r="B1781" t="s">
        <v>1075</v>
      </c>
      <c r="C1781" t="s">
        <v>5756</v>
      </c>
    </row>
    <row r="1782" spans="1:3">
      <c r="A1782" t="s">
        <v>671</v>
      </c>
      <c r="B1782" t="s">
        <v>1075</v>
      </c>
      <c r="C1782" t="s">
        <v>5755</v>
      </c>
    </row>
    <row r="1783" spans="1:3">
      <c r="A1783" t="s">
        <v>671</v>
      </c>
      <c r="B1783" t="s">
        <v>1075</v>
      </c>
      <c r="C1783" t="s">
        <v>5754</v>
      </c>
    </row>
    <row r="1784" spans="1:3">
      <c r="A1784" t="s">
        <v>669</v>
      </c>
      <c r="B1784" t="s">
        <v>1070</v>
      </c>
      <c r="C1784" t="s">
        <v>5740</v>
      </c>
    </row>
    <row r="1785" spans="1:3">
      <c r="A1785" t="s">
        <v>669</v>
      </c>
      <c r="B1785" t="s">
        <v>1070</v>
      </c>
      <c r="C1785" t="s">
        <v>5739</v>
      </c>
    </row>
    <row r="1786" spans="1:3">
      <c r="A1786" t="s">
        <v>669</v>
      </c>
      <c r="B1786" t="s">
        <v>1070</v>
      </c>
      <c r="C1786" t="s">
        <v>5738</v>
      </c>
    </row>
    <row r="1787" spans="1:3">
      <c r="A1787" t="s">
        <v>669</v>
      </c>
      <c r="B1787" t="s">
        <v>1075</v>
      </c>
      <c r="C1787" t="s">
        <v>5745</v>
      </c>
    </row>
    <row r="1788" spans="1:3">
      <c r="A1788" t="s">
        <v>669</v>
      </c>
      <c r="B1788" t="s">
        <v>1075</v>
      </c>
      <c r="C1788" t="s">
        <v>5744</v>
      </c>
    </row>
    <row r="1789" spans="1:3">
      <c r="A1789" t="s">
        <v>669</v>
      </c>
      <c r="B1789" t="s">
        <v>1075</v>
      </c>
      <c r="C1789" t="s">
        <v>5743</v>
      </c>
    </row>
    <row r="1790" spans="1:3">
      <c r="A1790" t="s">
        <v>669</v>
      </c>
      <c r="B1790" t="s">
        <v>1075</v>
      </c>
      <c r="C1790" t="s">
        <v>5742</v>
      </c>
    </row>
    <row r="1791" spans="1:3">
      <c r="A1791" t="s">
        <v>669</v>
      </c>
      <c r="B1791" t="s">
        <v>1075</v>
      </c>
      <c r="C1791" t="s">
        <v>5741</v>
      </c>
    </row>
    <row r="1792" spans="1:3">
      <c r="A1792" t="s">
        <v>575</v>
      </c>
      <c r="B1792" t="s">
        <v>1070</v>
      </c>
      <c r="C1792" t="s">
        <v>5732</v>
      </c>
    </row>
    <row r="1793" spans="1:3">
      <c r="A1793" t="s">
        <v>575</v>
      </c>
      <c r="B1793" t="s">
        <v>1070</v>
      </c>
      <c r="C1793" t="s">
        <v>5731</v>
      </c>
    </row>
    <row r="1794" spans="1:3">
      <c r="A1794" t="s">
        <v>575</v>
      </c>
      <c r="B1794" t="s">
        <v>1070</v>
      </c>
      <c r="C1794" t="s">
        <v>5730</v>
      </c>
    </row>
    <row r="1795" spans="1:3">
      <c r="A1795" t="s">
        <v>575</v>
      </c>
      <c r="B1795" t="s">
        <v>1075</v>
      </c>
      <c r="C1795" t="s">
        <v>5737</v>
      </c>
    </row>
    <row r="1796" spans="1:3">
      <c r="A1796" t="s">
        <v>575</v>
      </c>
      <c r="B1796" t="s">
        <v>1075</v>
      </c>
      <c r="C1796" t="s">
        <v>5736</v>
      </c>
    </row>
    <row r="1797" spans="1:3">
      <c r="A1797" t="s">
        <v>575</v>
      </c>
      <c r="B1797" t="s">
        <v>1075</v>
      </c>
      <c r="C1797" t="s">
        <v>5735</v>
      </c>
    </row>
    <row r="1798" spans="1:3">
      <c r="A1798" t="s">
        <v>575</v>
      </c>
      <c r="B1798" t="s">
        <v>1075</v>
      </c>
      <c r="C1798" t="s">
        <v>5734</v>
      </c>
    </row>
    <row r="1799" spans="1:3">
      <c r="A1799" t="s">
        <v>575</v>
      </c>
      <c r="B1799" t="s">
        <v>1075</v>
      </c>
      <c r="C1799" t="s">
        <v>5733</v>
      </c>
    </row>
    <row r="1800" spans="1:3">
      <c r="A1800" t="s">
        <v>647</v>
      </c>
      <c r="B1800" t="s">
        <v>1070</v>
      </c>
      <c r="C1800" t="s">
        <v>5724</v>
      </c>
    </row>
    <row r="1801" spans="1:3">
      <c r="A1801" t="s">
        <v>647</v>
      </c>
      <c r="B1801" t="s">
        <v>1070</v>
      </c>
      <c r="C1801" t="s">
        <v>5723</v>
      </c>
    </row>
    <row r="1802" spans="1:3">
      <c r="A1802" t="s">
        <v>647</v>
      </c>
      <c r="B1802" t="s">
        <v>1070</v>
      </c>
      <c r="C1802" t="s">
        <v>5722</v>
      </c>
    </row>
    <row r="1803" spans="1:3">
      <c r="A1803" t="s">
        <v>647</v>
      </c>
      <c r="B1803" t="s">
        <v>1075</v>
      </c>
      <c r="C1803" t="s">
        <v>5729</v>
      </c>
    </row>
    <row r="1804" spans="1:3">
      <c r="A1804" t="s">
        <v>647</v>
      </c>
      <c r="B1804" t="s">
        <v>1075</v>
      </c>
      <c r="C1804" t="s">
        <v>5728</v>
      </c>
    </row>
    <row r="1805" spans="1:3">
      <c r="A1805" t="s">
        <v>647</v>
      </c>
      <c r="B1805" t="s">
        <v>1075</v>
      </c>
      <c r="C1805" t="s">
        <v>5727</v>
      </c>
    </row>
    <row r="1806" spans="1:3">
      <c r="A1806" t="s">
        <v>647</v>
      </c>
      <c r="B1806" t="s">
        <v>1075</v>
      </c>
      <c r="C1806" t="s">
        <v>5726</v>
      </c>
    </row>
    <row r="1807" spans="1:3">
      <c r="A1807" t="s">
        <v>647</v>
      </c>
      <c r="B1807" t="s">
        <v>1075</v>
      </c>
      <c r="C1807" t="s">
        <v>5725</v>
      </c>
    </row>
    <row r="1808" spans="1:3">
      <c r="A1808" t="s">
        <v>589</v>
      </c>
      <c r="B1808" t="s">
        <v>1070</v>
      </c>
      <c r="C1808" t="s">
        <v>5716</v>
      </c>
    </row>
    <row r="1809" spans="1:3">
      <c r="A1809" t="s">
        <v>589</v>
      </c>
      <c r="B1809" t="s">
        <v>1070</v>
      </c>
      <c r="C1809" t="s">
        <v>5715</v>
      </c>
    </row>
    <row r="1810" spans="1:3">
      <c r="A1810" t="s">
        <v>589</v>
      </c>
      <c r="B1810" t="s">
        <v>1070</v>
      </c>
      <c r="C1810" t="s">
        <v>5714</v>
      </c>
    </row>
    <row r="1811" spans="1:3">
      <c r="A1811" t="s">
        <v>589</v>
      </c>
      <c r="B1811" t="s">
        <v>1075</v>
      </c>
      <c r="C1811" t="s">
        <v>5721</v>
      </c>
    </row>
    <row r="1812" spans="1:3">
      <c r="A1812" t="s">
        <v>589</v>
      </c>
      <c r="B1812" t="s">
        <v>1075</v>
      </c>
      <c r="C1812" t="s">
        <v>5720</v>
      </c>
    </row>
    <row r="1813" spans="1:3">
      <c r="A1813" t="s">
        <v>589</v>
      </c>
      <c r="B1813" t="s">
        <v>1075</v>
      </c>
      <c r="C1813" t="s">
        <v>5719</v>
      </c>
    </row>
    <row r="1814" spans="1:3">
      <c r="A1814" t="s">
        <v>589</v>
      </c>
      <c r="B1814" t="s">
        <v>1075</v>
      </c>
      <c r="C1814" t="s">
        <v>5718</v>
      </c>
    </row>
    <row r="1815" spans="1:3">
      <c r="A1815" t="s">
        <v>589</v>
      </c>
      <c r="B1815" t="s">
        <v>1075</v>
      </c>
      <c r="C1815" t="s">
        <v>5717</v>
      </c>
    </row>
    <row r="1816" spans="1:3">
      <c r="A1816" t="s">
        <v>558</v>
      </c>
      <c r="B1816" t="s">
        <v>1070</v>
      </c>
      <c r="C1816" t="s">
        <v>5708</v>
      </c>
    </row>
    <row r="1817" spans="1:3">
      <c r="A1817" t="s">
        <v>558</v>
      </c>
      <c r="B1817" t="s">
        <v>1070</v>
      </c>
      <c r="C1817" t="s">
        <v>5707</v>
      </c>
    </row>
    <row r="1818" spans="1:3">
      <c r="A1818" t="s">
        <v>558</v>
      </c>
      <c r="B1818" t="s">
        <v>1070</v>
      </c>
      <c r="C1818" t="s">
        <v>5706</v>
      </c>
    </row>
    <row r="1819" spans="1:3">
      <c r="A1819" t="s">
        <v>558</v>
      </c>
      <c r="B1819" t="s">
        <v>1075</v>
      </c>
      <c r="C1819" t="s">
        <v>5713</v>
      </c>
    </row>
    <row r="1820" spans="1:3">
      <c r="A1820" t="s">
        <v>558</v>
      </c>
      <c r="B1820" t="s">
        <v>1075</v>
      </c>
      <c r="C1820" t="s">
        <v>5712</v>
      </c>
    </row>
    <row r="1821" spans="1:3">
      <c r="A1821" t="s">
        <v>558</v>
      </c>
      <c r="B1821" t="s">
        <v>1075</v>
      </c>
      <c r="C1821" t="s">
        <v>5711</v>
      </c>
    </row>
    <row r="1822" spans="1:3">
      <c r="A1822" t="s">
        <v>558</v>
      </c>
      <c r="B1822" t="s">
        <v>1075</v>
      </c>
      <c r="C1822" t="s">
        <v>5710</v>
      </c>
    </row>
    <row r="1823" spans="1:3">
      <c r="A1823" t="s">
        <v>558</v>
      </c>
      <c r="B1823" t="s">
        <v>1075</v>
      </c>
      <c r="C1823" t="s">
        <v>5709</v>
      </c>
    </row>
    <row r="1824" spans="1:3">
      <c r="A1824" t="s">
        <v>559</v>
      </c>
      <c r="B1824" t="s">
        <v>1070</v>
      </c>
      <c r="C1824" t="s">
        <v>5698</v>
      </c>
    </row>
    <row r="1825" spans="1:3">
      <c r="A1825" t="s">
        <v>559</v>
      </c>
      <c r="B1825" t="s">
        <v>1070</v>
      </c>
      <c r="C1825" t="s">
        <v>5697</v>
      </c>
    </row>
    <row r="1826" spans="1:3">
      <c r="A1826" t="s">
        <v>559</v>
      </c>
      <c r="B1826" t="s">
        <v>1070</v>
      </c>
      <c r="C1826" t="s">
        <v>5696</v>
      </c>
    </row>
    <row r="1827" spans="1:3">
      <c r="A1827" t="s">
        <v>559</v>
      </c>
      <c r="B1827" t="s">
        <v>1070</v>
      </c>
      <c r="C1827" t="s">
        <v>5695</v>
      </c>
    </row>
    <row r="1828" spans="1:3">
      <c r="A1828" t="s">
        <v>559</v>
      </c>
      <c r="B1828" t="s">
        <v>1070</v>
      </c>
      <c r="C1828" t="s">
        <v>5694</v>
      </c>
    </row>
    <row r="1829" spans="1:3">
      <c r="A1829" t="s">
        <v>559</v>
      </c>
      <c r="B1829" t="s">
        <v>1070</v>
      </c>
      <c r="C1829" t="s">
        <v>5693</v>
      </c>
    </row>
    <row r="1830" spans="1:3">
      <c r="A1830" t="s">
        <v>559</v>
      </c>
      <c r="B1830" t="s">
        <v>1070</v>
      </c>
      <c r="C1830" t="s">
        <v>5692</v>
      </c>
    </row>
    <row r="1831" spans="1:3">
      <c r="A1831" t="s">
        <v>559</v>
      </c>
      <c r="B1831" t="s">
        <v>1070</v>
      </c>
      <c r="C1831" t="s">
        <v>5691</v>
      </c>
    </row>
    <row r="1832" spans="1:3">
      <c r="A1832" t="s">
        <v>559</v>
      </c>
      <c r="B1832" t="s">
        <v>1075</v>
      </c>
      <c r="C1832" t="s">
        <v>5705</v>
      </c>
    </row>
    <row r="1833" spans="1:3">
      <c r="A1833" t="s">
        <v>559</v>
      </c>
      <c r="B1833" t="s">
        <v>1075</v>
      </c>
      <c r="C1833" t="s">
        <v>5704</v>
      </c>
    </row>
    <row r="1834" spans="1:3">
      <c r="A1834" t="s">
        <v>559</v>
      </c>
      <c r="B1834" t="s">
        <v>1075</v>
      </c>
      <c r="C1834" t="s">
        <v>5703</v>
      </c>
    </row>
    <row r="1835" spans="1:3">
      <c r="A1835" t="s">
        <v>559</v>
      </c>
      <c r="B1835" t="s">
        <v>1075</v>
      </c>
      <c r="C1835" t="s">
        <v>5702</v>
      </c>
    </row>
    <row r="1836" spans="1:3">
      <c r="A1836" t="s">
        <v>559</v>
      </c>
      <c r="B1836" t="s">
        <v>1075</v>
      </c>
      <c r="C1836" t="s">
        <v>5701</v>
      </c>
    </row>
    <row r="1837" spans="1:3">
      <c r="A1837" t="s">
        <v>559</v>
      </c>
      <c r="B1837" t="s">
        <v>1075</v>
      </c>
      <c r="C1837" t="s">
        <v>5700</v>
      </c>
    </row>
    <row r="1838" spans="1:3">
      <c r="A1838" t="s">
        <v>559</v>
      </c>
      <c r="B1838" t="s">
        <v>1075</v>
      </c>
      <c r="C1838" t="s">
        <v>5699</v>
      </c>
    </row>
    <row r="1839" spans="1:3">
      <c r="A1839" t="s">
        <v>561</v>
      </c>
      <c r="B1839" t="s">
        <v>1070</v>
      </c>
      <c r="C1839" t="s">
        <v>5685</v>
      </c>
    </row>
    <row r="1840" spans="1:3">
      <c r="A1840" t="s">
        <v>561</v>
      </c>
      <c r="B1840" t="s">
        <v>1070</v>
      </c>
      <c r="C1840" t="s">
        <v>5684</v>
      </c>
    </row>
    <row r="1841" spans="1:3">
      <c r="A1841" t="s">
        <v>561</v>
      </c>
      <c r="B1841" t="s">
        <v>1070</v>
      </c>
      <c r="C1841" t="s">
        <v>5683</v>
      </c>
    </row>
    <row r="1842" spans="1:3">
      <c r="A1842" t="s">
        <v>561</v>
      </c>
      <c r="B1842" t="s">
        <v>1075</v>
      </c>
      <c r="C1842" t="s">
        <v>5690</v>
      </c>
    </row>
    <row r="1843" spans="1:3">
      <c r="A1843" t="s">
        <v>561</v>
      </c>
      <c r="B1843" t="s">
        <v>1075</v>
      </c>
      <c r="C1843" t="s">
        <v>5689</v>
      </c>
    </row>
    <row r="1844" spans="1:3">
      <c r="A1844" t="s">
        <v>561</v>
      </c>
      <c r="B1844" t="s">
        <v>1075</v>
      </c>
      <c r="C1844" t="s">
        <v>5688</v>
      </c>
    </row>
    <row r="1845" spans="1:3">
      <c r="A1845" t="s">
        <v>561</v>
      </c>
      <c r="B1845" t="s">
        <v>1075</v>
      </c>
      <c r="C1845" t="s">
        <v>5687</v>
      </c>
    </row>
    <row r="1846" spans="1:3">
      <c r="A1846" t="s">
        <v>561</v>
      </c>
      <c r="B1846" t="s">
        <v>1075</v>
      </c>
      <c r="C1846" t="s">
        <v>5686</v>
      </c>
    </row>
    <row r="1847" spans="1:3">
      <c r="A1847" t="s">
        <v>583</v>
      </c>
      <c r="B1847" t="s">
        <v>1070</v>
      </c>
      <c r="C1847" t="s">
        <v>5675</v>
      </c>
    </row>
    <row r="1848" spans="1:3">
      <c r="A1848" t="s">
        <v>583</v>
      </c>
      <c r="B1848" t="s">
        <v>1070</v>
      </c>
      <c r="C1848" t="s">
        <v>5674</v>
      </c>
    </row>
    <row r="1849" spans="1:3">
      <c r="A1849" t="s">
        <v>583</v>
      </c>
      <c r="B1849" t="s">
        <v>1070</v>
      </c>
      <c r="C1849" t="s">
        <v>5673</v>
      </c>
    </row>
    <row r="1850" spans="1:3">
      <c r="A1850" t="s">
        <v>583</v>
      </c>
      <c r="B1850" t="s">
        <v>1070</v>
      </c>
      <c r="C1850" t="s">
        <v>5672</v>
      </c>
    </row>
    <row r="1851" spans="1:3">
      <c r="A1851" t="s">
        <v>583</v>
      </c>
      <c r="B1851" t="s">
        <v>1070</v>
      </c>
      <c r="C1851" t="s">
        <v>5671</v>
      </c>
    </row>
    <row r="1852" spans="1:3">
      <c r="A1852" t="s">
        <v>583</v>
      </c>
      <c r="B1852" t="s">
        <v>1070</v>
      </c>
      <c r="C1852" t="s">
        <v>5670</v>
      </c>
    </row>
    <row r="1853" spans="1:3">
      <c r="A1853" t="s">
        <v>583</v>
      </c>
      <c r="B1853" t="s">
        <v>1070</v>
      </c>
      <c r="C1853" t="s">
        <v>5669</v>
      </c>
    </row>
    <row r="1854" spans="1:3">
      <c r="A1854" t="s">
        <v>583</v>
      </c>
      <c r="B1854" t="s">
        <v>1070</v>
      </c>
      <c r="C1854" t="s">
        <v>5668</v>
      </c>
    </row>
    <row r="1855" spans="1:3">
      <c r="A1855" t="s">
        <v>583</v>
      </c>
      <c r="B1855" t="s">
        <v>1075</v>
      </c>
      <c r="C1855" t="s">
        <v>5682</v>
      </c>
    </row>
    <row r="1856" spans="1:3">
      <c r="A1856" t="s">
        <v>583</v>
      </c>
      <c r="B1856" t="s">
        <v>1075</v>
      </c>
      <c r="C1856" t="s">
        <v>5681</v>
      </c>
    </row>
    <row r="1857" spans="1:3">
      <c r="A1857" t="s">
        <v>583</v>
      </c>
      <c r="B1857" t="s">
        <v>1075</v>
      </c>
      <c r="C1857" t="s">
        <v>5680</v>
      </c>
    </row>
    <row r="1858" spans="1:3">
      <c r="A1858" t="s">
        <v>583</v>
      </c>
      <c r="B1858" t="s">
        <v>1075</v>
      </c>
      <c r="C1858" t="s">
        <v>5679</v>
      </c>
    </row>
    <row r="1859" spans="1:3">
      <c r="A1859" t="s">
        <v>583</v>
      </c>
      <c r="B1859" t="s">
        <v>1075</v>
      </c>
      <c r="C1859" t="s">
        <v>5678</v>
      </c>
    </row>
    <row r="1860" spans="1:3">
      <c r="A1860" t="s">
        <v>583</v>
      </c>
      <c r="B1860" t="s">
        <v>1075</v>
      </c>
      <c r="C1860" t="s">
        <v>5677</v>
      </c>
    </row>
    <row r="1861" spans="1:3">
      <c r="A1861" t="s">
        <v>583</v>
      </c>
      <c r="B1861" t="s">
        <v>1075</v>
      </c>
      <c r="C1861" t="s">
        <v>5676</v>
      </c>
    </row>
    <row r="1862" spans="1:3">
      <c r="A1862" t="s">
        <v>560</v>
      </c>
      <c r="B1862" t="s">
        <v>1070</v>
      </c>
      <c r="C1862" t="s">
        <v>5662</v>
      </c>
    </row>
    <row r="1863" spans="1:3">
      <c r="A1863" t="s">
        <v>560</v>
      </c>
      <c r="B1863" t="s">
        <v>1070</v>
      </c>
      <c r="C1863" t="s">
        <v>5661</v>
      </c>
    </row>
    <row r="1864" spans="1:3">
      <c r="A1864" t="s">
        <v>560</v>
      </c>
      <c r="B1864" t="s">
        <v>1070</v>
      </c>
      <c r="C1864" t="s">
        <v>5660</v>
      </c>
    </row>
    <row r="1865" spans="1:3">
      <c r="A1865" t="s">
        <v>560</v>
      </c>
      <c r="B1865" t="s">
        <v>1075</v>
      </c>
      <c r="C1865" t="s">
        <v>5667</v>
      </c>
    </row>
    <row r="1866" spans="1:3">
      <c r="A1866" t="s">
        <v>560</v>
      </c>
      <c r="B1866" t="s">
        <v>1075</v>
      </c>
      <c r="C1866" t="s">
        <v>5666</v>
      </c>
    </row>
    <row r="1867" spans="1:3">
      <c r="A1867" t="s">
        <v>560</v>
      </c>
      <c r="B1867" t="s">
        <v>1075</v>
      </c>
      <c r="C1867" t="s">
        <v>5665</v>
      </c>
    </row>
    <row r="1868" spans="1:3">
      <c r="A1868" t="s">
        <v>560</v>
      </c>
      <c r="B1868" t="s">
        <v>1075</v>
      </c>
      <c r="C1868" t="s">
        <v>5664</v>
      </c>
    </row>
    <row r="1869" spans="1:3">
      <c r="A1869" t="s">
        <v>560</v>
      </c>
      <c r="B1869" t="s">
        <v>1075</v>
      </c>
      <c r="C1869" t="s">
        <v>5663</v>
      </c>
    </row>
    <row r="1870" spans="1:3">
      <c r="A1870" t="s">
        <v>650</v>
      </c>
      <c r="B1870" t="s">
        <v>1070</v>
      </c>
      <c r="C1870" t="s">
        <v>5652</v>
      </c>
    </row>
    <row r="1871" spans="1:3">
      <c r="A1871" t="s">
        <v>650</v>
      </c>
      <c r="B1871" t="s">
        <v>1070</v>
      </c>
      <c r="C1871" t="s">
        <v>5651</v>
      </c>
    </row>
    <row r="1872" spans="1:3">
      <c r="A1872" t="s">
        <v>650</v>
      </c>
      <c r="B1872" t="s">
        <v>1070</v>
      </c>
      <c r="C1872" t="s">
        <v>5650</v>
      </c>
    </row>
    <row r="1873" spans="1:3">
      <c r="A1873" t="s">
        <v>650</v>
      </c>
      <c r="B1873" t="s">
        <v>1070</v>
      </c>
      <c r="C1873" t="s">
        <v>5649</v>
      </c>
    </row>
    <row r="1874" spans="1:3">
      <c r="A1874" t="s">
        <v>650</v>
      </c>
      <c r="B1874" t="s">
        <v>1070</v>
      </c>
      <c r="C1874" t="s">
        <v>5648</v>
      </c>
    </row>
    <row r="1875" spans="1:3">
      <c r="A1875" t="s">
        <v>650</v>
      </c>
      <c r="B1875" t="s">
        <v>1070</v>
      </c>
      <c r="C1875" t="s">
        <v>5647</v>
      </c>
    </row>
    <row r="1876" spans="1:3">
      <c r="A1876" t="s">
        <v>650</v>
      </c>
      <c r="B1876" t="s">
        <v>1070</v>
      </c>
      <c r="C1876" t="s">
        <v>5646</v>
      </c>
    </row>
    <row r="1877" spans="1:3">
      <c r="A1877" t="s">
        <v>650</v>
      </c>
      <c r="B1877" t="s">
        <v>1070</v>
      </c>
      <c r="C1877" t="s">
        <v>5645</v>
      </c>
    </row>
    <row r="1878" spans="1:3">
      <c r="A1878" t="s">
        <v>650</v>
      </c>
      <c r="B1878" t="s">
        <v>1075</v>
      </c>
      <c r="C1878" t="s">
        <v>5659</v>
      </c>
    </row>
    <row r="1879" spans="1:3">
      <c r="A1879" t="s">
        <v>650</v>
      </c>
      <c r="B1879" t="s">
        <v>1075</v>
      </c>
      <c r="C1879" t="s">
        <v>5658</v>
      </c>
    </row>
    <row r="1880" spans="1:3">
      <c r="A1880" t="s">
        <v>650</v>
      </c>
      <c r="B1880" t="s">
        <v>1075</v>
      </c>
      <c r="C1880" t="s">
        <v>5657</v>
      </c>
    </row>
    <row r="1881" spans="1:3">
      <c r="A1881" t="s">
        <v>650</v>
      </c>
      <c r="B1881" t="s">
        <v>1075</v>
      </c>
      <c r="C1881" t="s">
        <v>5656</v>
      </c>
    </row>
    <row r="1882" spans="1:3">
      <c r="A1882" t="s">
        <v>650</v>
      </c>
      <c r="B1882" t="s">
        <v>1075</v>
      </c>
      <c r="C1882" t="s">
        <v>5655</v>
      </c>
    </row>
    <row r="1883" spans="1:3">
      <c r="A1883" t="s">
        <v>650</v>
      </c>
      <c r="B1883" t="s">
        <v>1075</v>
      </c>
      <c r="C1883" t="s">
        <v>5654</v>
      </c>
    </row>
    <row r="1884" spans="1:3">
      <c r="A1884" t="s">
        <v>650</v>
      </c>
      <c r="B1884" t="s">
        <v>1075</v>
      </c>
      <c r="C1884" t="s">
        <v>5653</v>
      </c>
    </row>
    <row r="1885" spans="1:3">
      <c r="A1885" t="s">
        <v>576</v>
      </c>
      <c r="B1885" t="s">
        <v>1070</v>
      </c>
      <c r="C1885" t="s">
        <v>5639</v>
      </c>
    </row>
    <row r="1886" spans="1:3">
      <c r="A1886" t="s">
        <v>576</v>
      </c>
      <c r="B1886" t="s">
        <v>1070</v>
      </c>
      <c r="C1886" t="s">
        <v>5638</v>
      </c>
    </row>
    <row r="1887" spans="1:3">
      <c r="A1887" t="s">
        <v>576</v>
      </c>
      <c r="B1887" t="s">
        <v>1070</v>
      </c>
      <c r="C1887" t="s">
        <v>5637</v>
      </c>
    </row>
    <row r="1888" spans="1:3">
      <c r="A1888" t="s">
        <v>576</v>
      </c>
      <c r="B1888" t="s">
        <v>1075</v>
      </c>
      <c r="C1888" t="s">
        <v>5644</v>
      </c>
    </row>
    <row r="1889" spans="1:3">
      <c r="A1889" t="s">
        <v>576</v>
      </c>
      <c r="B1889" t="s">
        <v>1075</v>
      </c>
      <c r="C1889" t="s">
        <v>5643</v>
      </c>
    </row>
    <row r="1890" spans="1:3">
      <c r="A1890" t="s">
        <v>576</v>
      </c>
      <c r="B1890" t="s">
        <v>1075</v>
      </c>
      <c r="C1890" t="s">
        <v>5642</v>
      </c>
    </row>
    <row r="1891" spans="1:3">
      <c r="A1891" t="s">
        <v>576</v>
      </c>
      <c r="B1891" t="s">
        <v>1075</v>
      </c>
      <c r="C1891" t="s">
        <v>5641</v>
      </c>
    </row>
    <row r="1892" spans="1:3">
      <c r="A1892" t="s">
        <v>576</v>
      </c>
      <c r="B1892" t="s">
        <v>1075</v>
      </c>
      <c r="C1892" t="s">
        <v>5640</v>
      </c>
    </row>
    <row r="1893" spans="1:3">
      <c r="A1893" t="s">
        <v>590</v>
      </c>
      <c r="B1893" t="s">
        <v>1070</v>
      </c>
      <c r="C1893" t="s">
        <v>5631</v>
      </c>
    </row>
    <row r="1894" spans="1:3">
      <c r="A1894" t="s">
        <v>590</v>
      </c>
      <c r="B1894" t="s">
        <v>1070</v>
      </c>
      <c r="C1894" t="s">
        <v>5630</v>
      </c>
    </row>
    <row r="1895" spans="1:3">
      <c r="A1895" t="s">
        <v>590</v>
      </c>
      <c r="B1895" t="s">
        <v>1070</v>
      </c>
      <c r="C1895" t="s">
        <v>5629</v>
      </c>
    </row>
    <row r="1896" spans="1:3">
      <c r="A1896" t="s">
        <v>590</v>
      </c>
      <c r="B1896" t="s">
        <v>1075</v>
      </c>
      <c r="C1896" t="s">
        <v>5636</v>
      </c>
    </row>
    <row r="1897" spans="1:3">
      <c r="A1897" t="s">
        <v>590</v>
      </c>
      <c r="B1897" t="s">
        <v>1075</v>
      </c>
      <c r="C1897" t="s">
        <v>5635</v>
      </c>
    </row>
    <row r="1898" spans="1:3">
      <c r="A1898" t="s">
        <v>590</v>
      </c>
      <c r="B1898" t="s">
        <v>1075</v>
      </c>
      <c r="C1898" t="s">
        <v>5634</v>
      </c>
    </row>
    <row r="1899" spans="1:3">
      <c r="A1899" t="s">
        <v>590</v>
      </c>
      <c r="B1899" t="s">
        <v>1075</v>
      </c>
      <c r="C1899" t="s">
        <v>5633</v>
      </c>
    </row>
    <row r="1900" spans="1:3">
      <c r="A1900" t="s">
        <v>590</v>
      </c>
      <c r="B1900" t="s">
        <v>1075</v>
      </c>
      <c r="C1900" t="s">
        <v>5632</v>
      </c>
    </row>
    <row r="1901" spans="1:3">
      <c r="A1901" t="s">
        <v>562</v>
      </c>
      <c r="B1901" t="s">
        <v>1070</v>
      </c>
      <c r="C1901" t="s">
        <v>5623</v>
      </c>
    </row>
    <row r="1902" spans="1:3">
      <c r="A1902" t="s">
        <v>562</v>
      </c>
      <c r="B1902" t="s">
        <v>1070</v>
      </c>
      <c r="C1902" t="s">
        <v>5622</v>
      </c>
    </row>
    <row r="1903" spans="1:3">
      <c r="A1903" t="s">
        <v>562</v>
      </c>
      <c r="B1903" t="s">
        <v>1070</v>
      </c>
      <c r="C1903" t="s">
        <v>5621</v>
      </c>
    </row>
    <row r="1904" spans="1:3">
      <c r="A1904" t="s">
        <v>562</v>
      </c>
      <c r="B1904" t="s">
        <v>1075</v>
      </c>
      <c r="C1904" t="s">
        <v>5628</v>
      </c>
    </row>
    <row r="1905" spans="1:3">
      <c r="A1905" t="s">
        <v>562</v>
      </c>
      <c r="B1905" t="s">
        <v>1075</v>
      </c>
      <c r="C1905" t="s">
        <v>5627</v>
      </c>
    </row>
    <row r="1906" spans="1:3">
      <c r="A1906" t="s">
        <v>562</v>
      </c>
      <c r="B1906" t="s">
        <v>1075</v>
      </c>
      <c r="C1906" t="s">
        <v>5626</v>
      </c>
    </row>
    <row r="1907" spans="1:3">
      <c r="A1907" t="s">
        <v>562</v>
      </c>
      <c r="B1907" t="s">
        <v>1075</v>
      </c>
      <c r="C1907" t="s">
        <v>5625</v>
      </c>
    </row>
    <row r="1908" spans="1:3">
      <c r="A1908" t="s">
        <v>562</v>
      </c>
      <c r="B1908" t="s">
        <v>1075</v>
      </c>
      <c r="C1908" t="s">
        <v>5624</v>
      </c>
    </row>
    <row r="1909" spans="1:3">
      <c r="A1909" t="s">
        <v>584</v>
      </c>
      <c r="B1909" t="s">
        <v>1070</v>
      </c>
      <c r="C1909" t="s">
        <v>5615</v>
      </c>
    </row>
    <row r="1910" spans="1:3">
      <c r="A1910" t="s">
        <v>584</v>
      </c>
      <c r="B1910" t="s">
        <v>1070</v>
      </c>
      <c r="C1910" t="s">
        <v>5614</v>
      </c>
    </row>
    <row r="1911" spans="1:3">
      <c r="A1911" t="s">
        <v>584</v>
      </c>
      <c r="B1911" t="s">
        <v>1070</v>
      </c>
      <c r="C1911" t="s">
        <v>5613</v>
      </c>
    </row>
    <row r="1912" spans="1:3">
      <c r="A1912" t="s">
        <v>584</v>
      </c>
      <c r="B1912" t="s">
        <v>1075</v>
      </c>
      <c r="C1912" t="s">
        <v>5620</v>
      </c>
    </row>
    <row r="1913" spans="1:3">
      <c r="A1913" t="s">
        <v>584</v>
      </c>
      <c r="B1913" t="s">
        <v>1075</v>
      </c>
      <c r="C1913" t="s">
        <v>5619</v>
      </c>
    </row>
    <row r="1914" spans="1:3">
      <c r="A1914" t="s">
        <v>584</v>
      </c>
      <c r="B1914" t="s">
        <v>1075</v>
      </c>
      <c r="C1914" t="s">
        <v>5618</v>
      </c>
    </row>
    <row r="1915" spans="1:3">
      <c r="A1915" t="s">
        <v>584</v>
      </c>
      <c r="B1915" t="s">
        <v>1075</v>
      </c>
      <c r="C1915" t="s">
        <v>5617</v>
      </c>
    </row>
    <row r="1916" spans="1:3">
      <c r="A1916" t="s">
        <v>584</v>
      </c>
      <c r="B1916" t="s">
        <v>1075</v>
      </c>
      <c r="C1916" t="s">
        <v>5616</v>
      </c>
    </row>
    <row r="1917" spans="1:3">
      <c r="A1917" t="s">
        <v>578</v>
      </c>
      <c r="B1917" t="s">
        <v>1070</v>
      </c>
      <c r="C1917" t="s">
        <v>5607</v>
      </c>
    </row>
    <row r="1918" spans="1:3">
      <c r="A1918" t="s">
        <v>578</v>
      </c>
      <c r="B1918" t="s">
        <v>1070</v>
      </c>
      <c r="C1918" t="s">
        <v>5606</v>
      </c>
    </row>
    <row r="1919" spans="1:3">
      <c r="A1919" t="s">
        <v>578</v>
      </c>
      <c r="B1919" t="s">
        <v>1070</v>
      </c>
      <c r="C1919" t="s">
        <v>5605</v>
      </c>
    </row>
    <row r="1920" spans="1:3">
      <c r="A1920" t="s">
        <v>578</v>
      </c>
      <c r="B1920" t="s">
        <v>1075</v>
      </c>
      <c r="C1920" t="s">
        <v>5612</v>
      </c>
    </row>
    <row r="1921" spans="1:3">
      <c r="A1921" t="s">
        <v>578</v>
      </c>
      <c r="B1921" t="s">
        <v>1075</v>
      </c>
      <c r="C1921" t="s">
        <v>5611</v>
      </c>
    </row>
    <row r="1922" spans="1:3">
      <c r="A1922" t="s">
        <v>578</v>
      </c>
      <c r="B1922" t="s">
        <v>1075</v>
      </c>
      <c r="C1922" t="s">
        <v>5610</v>
      </c>
    </row>
    <row r="1923" spans="1:3">
      <c r="A1923" t="s">
        <v>578</v>
      </c>
      <c r="B1923" t="s">
        <v>1075</v>
      </c>
      <c r="C1923" t="s">
        <v>5609</v>
      </c>
    </row>
    <row r="1924" spans="1:3">
      <c r="A1924" t="s">
        <v>578</v>
      </c>
      <c r="B1924" t="s">
        <v>1075</v>
      </c>
      <c r="C1924" t="s">
        <v>5608</v>
      </c>
    </row>
    <row r="1925" spans="1:3">
      <c r="A1925" t="s">
        <v>597</v>
      </c>
      <c r="B1925" t="s">
        <v>1070</v>
      </c>
      <c r="C1925" t="s">
        <v>5599</v>
      </c>
    </row>
    <row r="1926" spans="1:3">
      <c r="A1926" t="s">
        <v>597</v>
      </c>
      <c r="B1926" t="s">
        <v>1070</v>
      </c>
      <c r="C1926" t="s">
        <v>5598</v>
      </c>
    </row>
    <row r="1927" spans="1:3">
      <c r="A1927" t="s">
        <v>597</v>
      </c>
      <c r="B1927" t="s">
        <v>1075</v>
      </c>
      <c r="C1927" t="s">
        <v>5604</v>
      </c>
    </row>
    <row r="1928" spans="1:3">
      <c r="A1928" t="s">
        <v>597</v>
      </c>
      <c r="B1928" t="s">
        <v>1075</v>
      </c>
      <c r="C1928" t="s">
        <v>5603</v>
      </c>
    </row>
    <row r="1929" spans="1:3">
      <c r="A1929" t="s">
        <v>597</v>
      </c>
      <c r="B1929" t="s">
        <v>1075</v>
      </c>
      <c r="C1929" t="s">
        <v>5602</v>
      </c>
    </row>
    <row r="1930" spans="1:3">
      <c r="A1930" t="s">
        <v>597</v>
      </c>
      <c r="B1930" t="s">
        <v>1075</v>
      </c>
      <c r="C1930" t="s">
        <v>5601</v>
      </c>
    </row>
    <row r="1931" spans="1:3">
      <c r="A1931" t="s">
        <v>597</v>
      </c>
      <c r="B1931" t="s">
        <v>1075</v>
      </c>
      <c r="C1931" t="s">
        <v>5600</v>
      </c>
    </row>
    <row r="1932" spans="1:3">
      <c r="A1932" t="s">
        <v>596</v>
      </c>
      <c r="B1932" t="s">
        <v>1075</v>
      </c>
      <c r="C1932" t="s">
        <v>5597</v>
      </c>
    </row>
    <row r="1933" spans="1:3">
      <c r="A1933" t="s">
        <v>596</v>
      </c>
      <c r="B1933" t="s">
        <v>1075</v>
      </c>
      <c r="C1933" t="s">
        <v>5596</v>
      </c>
    </row>
    <row r="1934" spans="1:3">
      <c r="A1934" t="s">
        <v>598</v>
      </c>
      <c r="B1934" t="s">
        <v>1070</v>
      </c>
      <c r="C1934" t="s">
        <v>5590</v>
      </c>
    </row>
    <row r="1935" spans="1:3">
      <c r="A1935" t="s">
        <v>598</v>
      </c>
      <c r="B1935" t="s">
        <v>1070</v>
      </c>
      <c r="C1935" t="s">
        <v>5589</v>
      </c>
    </row>
    <row r="1936" spans="1:3">
      <c r="A1936" t="s">
        <v>598</v>
      </c>
      <c r="B1936" t="s">
        <v>1075</v>
      </c>
      <c r="C1936" t="s">
        <v>5595</v>
      </c>
    </row>
    <row r="1937" spans="1:3">
      <c r="A1937" t="s">
        <v>598</v>
      </c>
      <c r="B1937" t="s">
        <v>1075</v>
      </c>
      <c r="C1937" t="s">
        <v>5594</v>
      </c>
    </row>
    <row r="1938" spans="1:3">
      <c r="A1938" t="s">
        <v>598</v>
      </c>
      <c r="B1938" t="s">
        <v>1075</v>
      </c>
      <c r="C1938" t="s">
        <v>5593</v>
      </c>
    </row>
    <row r="1939" spans="1:3">
      <c r="A1939" t="s">
        <v>598</v>
      </c>
      <c r="B1939" t="s">
        <v>1075</v>
      </c>
      <c r="C1939" t="s">
        <v>5592</v>
      </c>
    </row>
    <row r="1940" spans="1:3">
      <c r="A1940" t="s">
        <v>598</v>
      </c>
      <c r="B1940" t="s">
        <v>1075</v>
      </c>
      <c r="C1940" t="s">
        <v>5591</v>
      </c>
    </row>
    <row r="1941" spans="1:3">
      <c r="A1941" t="s">
        <v>751</v>
      </c>
      <c r="B1941" t="s">
        <v>1075</v>
      </c>
      <c r="C1941" t="s">
        <v>5405</v>
      </c>
    </row>
    <row r="1942" spans="1:3">
      <c r="A1942" t="s">
        <v>751</v>
      </c>
      <c r="B1942" t="s">
        <v>1075</v>
      </c>
      <c r="C1942" t="s">
        <v>5404</v>
      </c>
    </row>
    <row r="1943" spans="1:3">
      <c r="A1943" t="s">
        <v>752</v>
      </c>
      <c r="B1943" t="s">
        <v>1075</v>
      </c>
      <c r="C1943" t="s">
        <v>5403</v>
      </c>
    </row>
    <row r="1944" spans="1:3">
      <c r="A1944" t="s">
        <v>752</v>
      </c>
      <c r="B1944" t="s">
        <v>1075</v>
      </c>
      <c r="C1944" t="s">
        <v>5402</v>
      </c>
    </row>
    <row r="1945" spans="1:3">
      <c r="A1945" t="s">
        <v>910</v>
      </c>
      <c r="B1945" t="s">
        <v>1070</v>
      </c>
      <c r="C1945" t="s">
        <v>1628</v>
      </c>
    </row>
    <row r="1946" spans="1:3">
      <c r="A1946" t="s">
        <v>910</v>
      </c>
      <c r="B1946" t="s">
        <v>1070</v>
      </c>
      <c r="C1946" t="s">
        <v>1627</v>
      </c>
    </row>
    <row r="1947" spans="1:3">
      <c r="A1947" t="s">
        <v>910</v>
      </c>
      <c r="B1947" t="s">
        <v>1070</v>
      </c>
      <c r="C1947" t="s">
        <v>1626</v>
      </c>
    </row>
    <row r="1948" spans="1:3">
      <c r="A1948" t="s">
        <v>910</v>
      </c>
      <c r="B1948" t="s">
        <v>1070</v>
      </c>
      <c r="C1948" t="s">
        <v>1625</v>
      </c>
    </row>
    <row r="1949" spans="1:3">
      <c r="A1949" t="s">
        <v>910</v>
      </c>
      <c r="B1949" t="s">
        <v>1070</v>
      </c>
      <c r="C1949" t="s">
        <v>1624</v>
      </c>
    </row>
    <row r="1950" spans="1:3">
      <c r="A1950" t="s">
        <v>910</v>
      </c>
      <c r="B1950" t="s">
        <v>1070</v>
      </c>
      <c r="C1950" t="s">
        <v>1623</v>
      </c>
    </row>
    <row r="1951" spans="1:3">
      <c r="A1951" t="s">
        <v>910</v>
      </c>
      <c r="B1951" t="s">
        <v>1075</v>
      </c>
      <c r="C1951" t="s">
        <v>1677</v>
      </c>
    </row>
    <row r="1952" spans="1:3">
      <c r="A1952" t="s">
        <v>910</v>
      </c>
      <c r="B1952" t="s">
        <v>1075</v>
      </c>
      <c r="C1952" t="s">
        <v>1676</v>
      </c>
    </row>
    <row r="1953" spans="1:3">
      <c r="A1953" t="s">
        <v>910</v>
      </c>
      <c r="B1953" t="s">
        <v>1075</v>
      </c>
      <c r="C1953" t="s">
        <v>1675</v>
      </c>
    </row>
    <row r="1954" spans="1:3">
      <c r="A1954" t="s">
        <v>910</v>
      </c>
      <c r="B1954" t="s">
        <v>1075</v>
      </c>
      <c r="C1954" t="s">
        <v>1674</v>
      </c>
    </row>
    <row r="1955" spans="1:3">
      <c r="A1955" t="s">
        <v>910</v>
      </c>
      <c r="B1955" t="s">
        <v>1075</v>
      </c>
      <c r="C1955" t="s">
        <v>1673</v>
      </c>
    </row>
    <row r="1956" spans="1:3">
      <c r="A1956" t="s">
        <v>910</v>
      </c>
      <c r="B1956" t="s">
        <v>1075</v>
      </c>
      <c r="C1956" t="s">
        <v>1672</v>
      </c>
    </row>
    <row r="1957" spans="1:3">
      <c r="A1957" t="s">
        <v>910</v>
      </c>
      <c r="B1957" t="s">
        <v>1075</v>
      </c>
      <c r="C1957" t="s">
        <v>1671</v>
      </c>
    </row>
    <row r="1958" spans="1:3">
      <c r="A1958" t="s">
        <v>910</v>
      </c>
      <c r="B1958" t="s">
        <v>1075</v>
      </c>
      <c r="C1958" t="s">
        <v>1670</v>
      </c>
    </row>
    <row r="1959" spans="1:3">
      <c r="A1959" t="s">
        <v>910</v>
      </c>
      <c r="B1959" t="s">
        <v>1075</v>
      </c>
      <c r="C1959" t="s">
        <v>1669</v>
      </c>
    </row>
    <row r="1960" spans="1:3">
      <c r="A1960" t="s">
        <v>910</v>
      </c>
      <c r="B1960" t="s">
        <v>1075</v>
      </c>
      <c r="C1960" t="s">
        <v>1668</v>
      </c>
    </row>
    <row r="1961" spans="1:3">
      <c r="A1961" t="s">
        <v>910</v>
      </c>
      <c r="B1961" t="s">
        <v>1075</v>
      </c>
      <c r="C1961" t="s">
        <v>1667</v>
      </c>
    </row>
    <row r="1962" spans="1:3">
      <c r="A1962" t="s">
        <v>910</v>
      </c>
      <c r="B1962" t="s">
        <v>1075</v>
      </c>
      <c r="C1962" t="s">
        <v>1666</v>
      </c>
    </row>
    <row r="1963" spans="1:3">
      <c r="A1963" t="s">
        <v>910</v>
      </c>
      <c r="B1963" t="s">
        <v>1075</v>
      </c>
      <c r="C1963" t="s">
        <v>1665</v>
      </c>
    </row>
    <row r="1964" spans="1:3">
      <c r="A1964" t="s">
        <v>910</v>
      </c>
      <c r="B1964" t="s">
        <v>1075</v>
      </c>
      <c r="C1964" t="s">
        <v>1664</v>
      </c>
    </row>
    <row r="1965" spans="1:3">
      <c r="A1965" t="s">
        <v>910</v>
      </c>
      <c r="B1965" t="s">
        <v>1075</v>
      </c>
      <c r="C1965" t="s">
        <v>1663</v>
      </c>
    </row>
    <row r="1966" spans="1:3">
      <c r="A1966" t="s">
        <v>910</v>
      </c>
      <c r="B1966" t="s">
        <v>1075</v>
      </c>
      <c r="C1966" t="s">
        <v>1662</v>
      </c>
    </row>
    <row r="1967" spans="1:3">
      <c r="A1967" t="s">
        <v>910</v>
      </c>
      <c r="B1967" t="s">
        <v>1075</v>
      </c>
      <c r="C1967" t="s">
        <v>1661</v>
      </c>
    </row>
    <row r="1968" spans="1:3">
      <c r="A1968" t="s">
        <v>910</v>
      </c>
      <c r="B1968" t="s">
        <v>1075</v>
      </c>
      <c r="C1968" t="s">
        <v>1660</v>
      </c>
    </row>
    <row r="1969" spans="1:3">
      <c r="A1969" t="s">
        <v>910</v>
      </c>
      <c r="B1969" t="s">
        <v>1075</v>
      </c>
      <c r="C1969" t="s">
        <v>1659</v>
      </c>
    </row>
    <row r="1970" spans="1:3">
      <c r="A1970" t="s">
        <v>910</v>
      </c>
      <c r="B1970" t="s">
        <v>1075</v>
      </c>
      <c r="C1970" t="s">
        <v>1658</v>
      </c>
    </row>
    <row r="1971" spans="1:3">
      <c r="A1971" t="s">
        <v>910</v>
      </c>
      <c r="B1971" t="s">
        <v>1075</v>
      </c>
      <c r="C1971" t="s">
        <v>1657</v>
      </c>
    </row>
    <row r="1972" spans="1:3">
      <c r="A1972" t="s">
        <v>910</v>
      </c>
      <c r="B1972" t="s">
        <v>1075</v>
      </c>
      <c r="C1972" t="s">
        <v>1656</v>
      </c>
    </row>
    <row r="1973" spans="1:3">
      <c r="A1973" t="s">
        <v>910</v>
      </c>
      <c r="B1973" t="s">
        <v>1075</v>
      </c>
      <c r="C1973" t="s">
        <v>1655</v>
      </c>
    </row>
    <row r="1974" spans="1:3">
      <c r="A1974" t="s">
        <v>910</v>
      </c>
      <c r="B1974" t="s">
        <v>1075</v>
      </c>
      <c r="C1974" t="s">
        <v>1654</v>
      </c>
    </row>
    <row r="1975" spans="1:3">
      <c r="A1975" t="s">
        <v>910</v>
      </c>
      <c r="B1975" t="s">
        <v>1075</v>
      </c>
      <c r="C1975" t="s">
        <v>1653</v>
      </c>
    </row>
    <row r="1976" spans="1:3">
      <c r="A1976" t="s">
        <v>910</v>
      </c>
      <c r="B1976" t="s">
        <v>1075</v>
      </c>
      <c r="C1976" t="s">
        <v>1652</v>
      </c>
    </row>
    <row r="1977" spans="1:3">
      <c r="A1977" t="s">
        <v>910</v>
      </c>
      <c r="B1977" t="s">
        <v>1075</v>
      </c>
      <c r="C1977" t="s">
        <v>1651</v>
      </c>
    </row>
    <row r="1978" spans="1:3">
      <c r="A1978" t="s">
        <v>910</v>
      </c>
      <c r="B1978" t="s">
        <v>1075</v>
      </c>
      <c r="C1978" t="s">
        <v>1650</v>
      </c>
    </row>
    <row r="1979" spans="1:3">
      <c r="A1979" t="s">
        <v>910</v>
      </c>
      <c r="B1979" t="s">
        <v>1075</v>
      </c>
      <c r="C1979" t="s">
        <v>1649</v>
      </c>
    </row>
    <row r="1980" spans="1:3">
      <c r="A1980" t="s">
        <v>910</v>
      </c>
      <c r="B1980" t="s">
        <v>1075</v>
      </c>
      <c r="C1980" t="s">
        <v>1648</v>
      </c>
    </row>
    <row r="1981" spans="1:3">
      <c r="A1981" t="s">
        <v>910</v>
      </c>
      <c r="B1981" t="s">
        <v>1075</v>
      </c>
      <c r="C1981" t="s">
        <v>1647</v>
      </c>
    </row>
    <row r="1982" spans="1:3">
      <c r="A1982" t="s">
        <v>910</v>
      </c>
      <c r="B1982" t="s">
        <v>1075</v>
      </c>
      <c r="C1982" t="s">
        <v>1646</v>
      </c>
    </row>
    <row r="1983" spans="1:3">
      <c r="A1983" t="s">
        <v>910</v>
      </c>
      <c r="B1983" t="s">
        <v>1075</v>
      </c>
      <c r="C1983" t="s">
        <v>1645</v>
      </c>
    </row>
    <row r="1984" spans="1:3">
      <c r="A1984" t="s">
        <v>910</v>
      </c>
      <c r="B1984" t="s">
        <v>1075</v>
      </c>
      <c r="C1984" t="s">
        <v>1644</v>
      </c>
    </row>
    <row r="1985" spans="1:3">
      <c r="A1985" t="s">
        <v>910</v>
      </c>
      <c r="B1985" t="s">
        <v>1075</v>
      </c>
      <c r="C1985" t="s">
        <v>1643</v>
      </c>
    </row>
    <row r="1986" spans="1:3">
      <c r="A1986" t="s">
        <v>910</v>
      </c>
      <c r="B1986" t="s">
        <v>1075</v>
      </c>
      <c r="C1986" t="s">
        <v>1642</v>
      </c>
    </row>
    <row r="1987" spans="1:3">
      <c r="A1987" t="s">
        <v>910</v>
      </c>
      <c r="B1987" t="s">
        <v>1075</v>
      </c>
      <c r="C1987" t="s">
        <v>1641</v>
      </c>
    </row>
    <row r="1988" spans="1:3">
      <c r="A1988" t="s">
        <v>910</v>
      </c>
      <c r="B1988" t="s">
        <v>1075</v>
      </c>
      <c r="C1988" t="s">
        <v>1640</v>
      </c>
    </row>
    <row r="1989" spans="1:3">
      <c r="A1989" t="s">
        <v>910</v>
      </c>
      <c r="B1989" t="s">
        <v>1075</v>
      </c>
      <c r="C1989" t="s">
        <v>1639</v>
      </c>
    </row>
    <row r="1990" spans="1:3">
      <c r="A1990" t="s">
        <v>910</v>
      </c>
      <c r="B1990" t="s">
        <v>1075</v>
      </c>
      <c r="C1990" t="s">
        <v>1638</v>
      </c>
    </row>
    <row r="1991" spans="1:3">
      <c r="A1991" t="s">
        <v>910</v>
      </c>
      <c r="B1991" t="s">
        <v>1075</v>
      </c>
      <c r="C1991" t="s">
        <v>1637</v>
      </c>
    </row>
    <row r="1992" spans="1:3">
      <c r="A1992" t="s">
        <v>910</v>
      </c>
      <c r="B1992" t="s">
        <v>1075</v>
      </c>
      <c r="C1992" t="s">
        <v>1636</v>
      </c>
    </row>
    <row r="1993" spans="1:3">
      <c r="A1993" t="s">
        <v>910</v>
      </c>
      <c r="B1993" t="s">
        <v>1075</v>
      </c>
      <c r="C1993" t="s">
        <v>1635</v>
      </c>
    </row>
    <row r="1994" spans="1:3">
      <c r="A1994" t="s">
        <v>910</v>
      </c>
      <c r="B1994" t="s">
        <v>1075</v>
      </c>
      <c r="C1994" t="s">
        <v>1634</v>
      </c>
    </row>
    <row r="1995" spans="1:3">
      <c r="A1995" t="s">
        <v>910</v>
      </c>
      <c r="B1995" t="s">
        <v>1075</v>
      </c>
      <c r="C1995" t="s">
        <v>1633</v>
      </c>
    </row>
    <row r="1996" spans="1:3">
      <c r="A1996" t="s">
        <v>910</v>
      </c>
      <c r="B1996" t="s">
        <v>1075</v>
      </c>
      <c r="C1996" t="s">
        <v>1632</v>
      </c>
    </row>
    <row r="1997" spans="1:3">
      <c r="A1997" t="s">
        <v>910</v>
      </c>
      <c r="B1997" t="s">
        <v>1075</v>
      </c>
      <c r="C1997" t="s">
        <v>1631</v>
      </c>
    </row>
    <row r="1998" spans="1:3">
      <c r="A1998" t="s">
        <v>910</v>
      </c>
      <c r="B1998" t="s">
        <v>1075</v>
      </c>
      <c r="C1998" t="s">
        <v>1630</v>
      </c>
    </row>
    <row r="1999" spans="1:3">
      <c r="A1999" t="s">
        <v>910</v>
      </c>
      <c r="B1999" t="s">
        <v>1075</v>
      </c>
      <c r="C1999" t="s">
        <v>1629</v>
      </c>
    </row>
    <row r="2000" spans="1:3">
      <c r="A2000" t="s">
        <v>893</v>
      </c>
      <c r="B2000" t="s">
        <v>1070</v>
      </c>
      <c r="C2000" t="s">
        <v>1609</v>
      </c>
    </row>
    <row r="2001" spans="1:3">
      <c r="A2001" t="s">
        <v>893</v>
      </c>
      <c r="B2001" t="s">
        <v>1075</v>
      </c>
      <c r="C2001" t="s">
        <v>1622</v>
      </c>
    </row>
    <row r="2002" spans="1:3">
      <c r="A2002" t="s">
        <v>893</v>
      </c>
      <c r="B2002" t="s">
        <v>1075</v>
      </c>
      <c r="C2002" t="s">
        <v>1621</v>
      </c>
    </row>
    <row r="2003" spans="1:3">
      <c r="A2003" t="s">
        <v>893</v>
      </c>
      <c r="B2003" t="s">
        <v>1075</v>
      </c>
      <c r="C2003" t="s">
        <v>1620</v>
      </c>
    </row>
    <row r="2004" spans="1:3">
      <c r="A2004" t="s">
        <v>893</v>
      </c>
      <c r="B2004" t="s">
        <v>1075</v>
      </c>
      <c r="C2004" t="s">
        <v>1619</v>
      </c>
    </row>
    <row r="2005" spans="1:3">
      <c r="A2005" t="s">
        <v>893</v>
      </c>
      <c r="B2005" t="s">
        <v>1075</v>
      </c>
      <c r="C2005" t="s">
        <v>1618</v>
      </c>
    </row>
    <row r="2006" spans="1:3">
      <c r="A2006" t="s">
        <v>893</v>
      </c>
      <c r="B2006" t="s">
        <v>1075</v>
      </c>
      <c r="C2006" t="s">
        <v>1617</v>
      </c>
    </row>
    <row r="2007" spans="1:3">
      <c r="A2007" t="s">
        <v>893</v>
      </c>
      <c r="B2007" t="s">
        <v>1075</v>
      </c>
      <c r="C2007" t="s">
        <v>1616</v>
      </c>
    </row>
    <row r="2008" spans="1:3">
      <c r="A2008" t="s">
        <v>893</v>
      </c>
      <c r="B2008" t="s">
        <v>1075</v>
      </c>
      <c r="C2008" t="s">
        <v>1615</v>
      </c>
    </row>
    <row r="2009" spans="1:3">
      <c r="A2009" t="s">
        <v>893</v>
      </c>
      <c r="B2009" t="s">
        <v>1075</v>
      </c>
      <c r="C2009" t="s">
        <v>1614</v>
      </c>
    </row>
    <row r="2010" spans="1:3">
      <c r="A2010" t="s">
        <v>893</v>
      </c>
      <c r="B2010" t="s">
        <v>1075</v>
      </c>
      <c r="C2010" t="s">
        <v>1613</v>
      </c>
    </row>
    <row r="2011" spans="1:3">
      <c r="A2011" t="s">
        <v>893</v>
      </c>
      <c r="B2011" t="s">
        <v>1075</v>
      </c>
      <c r="C2011" t="s">
        <v>1612</v>
      </c>
    </row>
    <row r="2012" spans="1:3">
      <c r="A2012" t="s">
        <v>893</v>
      </c>
      <c r="B2012" t="s">
        <v>1075</v>
      </c>
      <c r="C2012" t="s">
        <v>1611</v>
      </c>
    </row>
    <row r="2013" spans="1:3">
      <c r="A2013" t="s">
        <v>893</v>
      </c>
      <c r="B2013" t="s">
        <v>1075</v>
      </c>
      <c r="C2013" t="s">
        <v>1610</v>
      </c>
    </row>
    <row r="2014" spans="1:3">
      <c r="A2014" t="s">
        <v>894</v>
      </c>
      <c r="B2014" t="s">
        <v>1070</v>
      </c>
      <c r="C2014" t="s">
        <v>1595</v>
      </c>
    </row>
    <row r="2015" spans="1:3">
      <c r="A2015" t="s">
        <v>894</v>
      </c>
      <c r="B2015" t="s">
        <v>1075</v>
      </c>
      <c r="C2015" t="s">
        <v>1608</v>
      </c>
    </row>
    <row r="2016" spans="1:3">
      <c r="A2016" t="s">
        <v>894</v>
      </c>
      <c r="B2016" t="s">
        <v>1075</v>
      </c>
      <c r="C2016" t="s">
        <v>1607</v>
      </c>
    </row>
    <row r="2017" spans="1:3">
      <c r="A2017" t="s">
        <v>894</v>
      </c>
      <c r="B2017" t="s">
        <v>1075</v>
      </c>
      <c r="C2017" t="s">
        <v>1606</v>
      </c>
    </row>
    <row r="2018" spans="1:3">
      <c r="A2018" t="s">
        <v>894</v>
      </c>
      <c r="B2018" t="s">
        <v>1075</v>
      </c>
      <c r="C2018" t="s">
        <v>1605</v>
      </c>
    </row>
    <row r="2019" spans="1:3">
      <c r="A2019" t="s">
        <v>894</v>
      </c>
      <c r="B2019" t="s">
        <v>1075</v>
      </c>
      <c r="C2019" t="s">
        <v>1604</v>
      </c>
    </row>
    <row r="2020" spans="1:3">
      <c r="A2020" t="s">
        <v>894</v>
      </c>
      <c r="B2020" t="s">
        <v>1075</v>
      </c>
      <c r="C2020" t="s">
        <v>1603</v>
      </c>
    </row>
    <row r="2021" spans="1:3">
      <c r="A2021" t="s">
        <v>894</v>
      </c>
      <c r="B2021" t="s">
        <v>1075</v>
      </c>
      <c r="C2021" t="s">
        <v>1602</v>
      </c>
    </row>
    <row r="2022" spans="1:3">
      <c r="A2022" t="s">
        <v>894</v>
      </c>
      <c r="B2022" t="s">
        <v>1075</v>
      </c>
      <c r="C2022" t="s">
        <v>1601</v>
      </c>
    </row>
    <row r="2023" spans="1:3">
      <c r="A2023" t="s">
        <v>894</v>
      </c>
      <c r="B2023" t="s">
        <v>1075</v>
      </c>
      <c r="C2023" t="s">
        <v>1600</v>
      </c>
    </row>
    <row r="2024" spans="1:3">
      <c r="A2024" t="s">
        <v>894</v>
      </c>
      <c r="B2024" t="s">
        <v>1075</v>
      </c>
      <c r="C2024" t="s">
        <v>1599</v>
      </c>
    </row>
    <row r="2025" spans="1:3">
      <c r="A2025" t="s">
        <v>894</v>
      </c>
      <c r="B2025" t="s">
        <v>1075</v>
      </c>
      <c r="C2025" t="s">
        <v>1598</v>
      </c>
    </row>
    <row r="2026" spans="1:3">
      <c r="A2026" t="s">
        <v>894</v>
      </c>
      <c r="B2026" t="s">
        <v>1075</v>
      </c>
      <c r="C2026" t="s">
        <v>1597</v>
      </c>
    </row>
    <row r="2027" spans="1:3">
      <c r="A2027" t="s">
        <v>894</v>
      </c>
      <c r="B2027" t="s">
        <v>1075</v>
      </c>
      <c r="C2027" t="s">
        <v>1596</v>
      </c>
    </row>
    <row r="2028" spans="1:3">
      <c r="A2028" t="s">
        <v>895</v>
      </c>
      <c r="B2028" t="s">
        <v>1070</v>
      </c>
      <c r="C2028" t="s">
        <v>1557</v>
      </c>
    </row>
    <row r="2029" spans="1:3">
      <c r="A2029" t="s">
        <v>895</v>
      </c>
      <c r="B2029" t="s">
        <v>1070</v>
      </c>
      <c r="C2029" t="s">
        <v>1556</v>
      </c>
    </row>
    <row r="2030" spans="1:3">
      <c r="A2030" t="s">
        <v>895</v>
      </c>
      <c r="B2030" t="s">
        <v>1070</v>
      </c>
      <c r="C2030" t="s">
        <v>1555</v>
      </c>
    </row>
    <row r="2031" spans="1:3">
      <c r="A2031" t="s">
        <v>895</v>
      </c>
      <c r="B2031" t="s">
        <v>1070</v>
      </c>
      <c r="C2031" t="s">
        <v>1554</v>
      </c>
    </row>
    <row r="2032" spans="1:3">
      <c r="A2032" t="s">
        <v>895</v>
      </c>
      <c r="B2032" t="s">
        <v>1070</v>
      </c>
      <c r="C2032" t="s">
        <v>1553</v>
      </c>
    </row>
    <row r="2033" spans="1:3">
      <c r="A2033" t="s">
        <v>895</v>
      </c>
      <c r="B2033" t="s">
        <v>1075</v>
      </c>
      <c r="C2033" t="s">
        <v>1594</v>
      </c>
    </row>
    <row r="2034" spans="1:3">
      <c r="A2034" t="s">
        <v>895</v>
      </c>
      <c r="B2034" t="s">
        <v>1075</v>
      </c>
      <c r="C2034" t="s">
        <v>1593</v>
      </c>
    </row>
    <row r="2035" spans="1:3">
      <c r="A2035" t="s">
        <v>895</v>
      </c>
      <c r="B2035" t="s">
        <v>1075</v>
      </c>
      <c r="C2035" t="s">
        <v>1592</v>
      </c>
    </row>
    <row r="2036" spans="1:3">
      <c r="A2036" t="s">
        <v>895</v>
      </c>
      <c r="B2036" t="s">
        <v>1075</v>
      </c>
      <c r="C2036" t="s">
        <v>1591</v>
      </c>
    </row>
    <row r="2037" spans="1:3">
      <c r="A2037" t="s">
        <v>895</v>
      </c>
      <c r="B2037" t="s">
        <v>1075</v>
      </c>
      <c r="C2037" t="s">
        <v>1590</v>
      </c>
    </row>
    <row r="2038" spans="1:3">
      <c r="A2038" t="s">
        <v>895</v>
      </c>
      <c r="B2038" t="s">
        <v>1075</v>
      </c>
      <c r="C2038" t="s">
        <v>1589</v>
      </c>
    </row>
    <row r="2039" spans="1:3">
      <c r="A2039" t="s">
        <v>895</v>
      </c>
      <c r="B2039" t="s">
        <v>1075</v>
      </c>
      <c r="C2039" t="s">
        <v>1588</v>
      </c>
    </row>
    <row r="2040" spans="1:3">
      <c r="A2040" t="s">
        <v>895</v>
      </c>
      <c r="B2040" t="s">
        <v>1075</v>
      </c>
      <c r="C2040" t="s">
        <v>1587</v>
      </c>
    </row>
    <row r="2041" spans="1:3">
      <c r="A2041" t="s">
        <v>895</v>
      </c>
      <c r="B2041" t="s">
        <v>1075</v>
      </c>
      <c r="C2041" t="s">
        <v>1586</v>
      </c>
    </row>
    <row r="2042" spans="1:3">
      <c r="A2042" t="s">
        <v>895</v>
      </c>
      <c r="B2042" t="s">
        <v>1075</v>
      </c>
      <c r="C2042" t="s">
        <v>1585</v>
      </c>
    </row>
    <row r="2043" spans="1:3">
      <c r="A2043" t="s">
        <v>895</v>
      </c>
      <c r="B2043" t="s">
        <v>1075</v>
      </c>
      <c r="C2043" t="s">
        <v>1584</v>
      </c>
    </row>
    <row r="2044" spans="1:3">
      <c r="A2044" t="s">
        <v>895</v>
      </c>
      <c r="B2044" t="s">
        <v>1075</v>
      </c>
      <c r="C2044" t="s">
        <v>1583</v>
      </c>
    </row>
    <row r="2045" spans="1:3">
      <c r="A2045" t="s">
        <v>895</v>
      </c>
      <c r="B2045" t="s">
        <v>1075</v>
      </c>
      <c r="C2045" t="s">
        <v>1582</v>
      </c>
    </row>
    <row r="2046" spans="1:3">
      <c r="A2046" t="s">
        <v>895</v>
      </c>
      <c r="B2046" t="s">
        <v>1075</v>
      </c>
      <c r="C2046" t="s">
        <v>1581</v>
      </c>
    </row>
    <row r="2047" spans="1:3">
      <c r="A2047" t="s">
        <v>895</v>
      </c>
      <c r="B2047" t="s">
        <v>1075</v>
      </c>
      <c r="C2047" t="s">
        <v>1580</v>
      </c>
    </row>
    <row r="2048" spans="1:3">
      <c r="A2048" t="s">
        <v>895</v>
      </c>
      <c r="B2048" t="s">
        <v>1075</v>
      </c>
      <c r="C2048" t="s">
        <v>1579</v>
      </c>
    </row>
    <row r="2049" spans="1:3">
      <c r="A2049" t="s">
        <v>895</v>
      </c>
      <c r="B2049" t="s">
        <v>1075</v>
      </c>
      <c r="C2049" t="s">
        <v>1578</v>
      </c>
    </row>
    <row r="2050" spans="1:3">
      <c r="A2050" t="s">
        <v>895</v>
      </c>
      <c r="B2050" t="s">
        <v>1075</v>
      </c>
      <c r="C2050" t="s">
        <v>1577</v>
      </c>
    </row>
    <row r="2051" spans="1:3">
      <c r="A2051" t="s">
        <v>895</v>
      </c>
      <c r="B2051" t="s">
        <v>1075</v>
      </c>
      <c r="C2051" t="s">
        <v>1576</v>
      </c>
    </row>
    <row r="2052" spans="1:3">
      <c r="A2052" t="s">
        <v>895</v>
      </c>
      <c r="B2052" t="s">
        <v>1075</v>
      </c>
      <c r="C2052" t="s">
        <v>1575</v>
      </c>
    </row>
    <row r="2053" spans="1:3">
      <c r="A2053" t="s">
        <v>895</v>
      </c>
      <c r="B2053" t="s">
        <v>1075</v>
      </c>
      <c r="C2053" t="s">
        <v>1574</v>
      </c>
    </row>
    <row r="2054" spans="1:3">
      <c r="A2054" t="s">
        <v>895</v>
      </c>
      <c r="B2054" t="s">
        <v>1075</v>
      </c>
      <c r="C2054" t="s">
        <v>1573</v>
      </c>
    </row>
    <row r="2055" spans="1:3">
      <c r="A2055" t="s">
        <v>895</v>
      </c>
      <c r="B2055" t="s">
        <v>1075</v>
      </c>
      <c r="C2055" t="s">
        <v>1572</v>
      </c>
    </row>
    <row r="2056" spans="1:3">
      <c r="A2056" t="s">
        <v>895</v>
      </c>
      <c r="B2056" t="s">
        <v>1075</v>
      </c>
      <c r="C2056" t="s">
        <v>1571</v>
      </c>
    </row>
    <row r="2057" spans="1:3">
      <c r="A2057" t="s">
        <v>895</v>
      </c>
      <c r="B2057" t="s">
        <v>1075</v>
      </c>
      <c r="C2057" t="s">
        <v>1570</v>
      </c>
    </row>
    <row r="2058" spans="1:3">
      <c r="A2058" t="s">
        <v>895</v>
      </c>
      <c r="B2058" t="s">
        <v>1075</v>
      </c>
      <c r="C2058" t="s">
        <v>1569</v>
      </c>
    </row>
    <row r="2059" spans="1:3">
      <c r="A2059" t="s">
        <v>895</v>
      </c>
      <c r="B2059" t="s">
        <v>1075</v>
      </c>
      <c r="C2059" t="s">
        <v>1568</v>
      </c>
    </row>
    <row r="2060" spans="1:3">
      <c r="A2060" t="s">
        <v>895</v>
      </c>
      <c r="B2060" t="s">
        <v>1075</v>
      </c>
      <c r="C2060" t="s">
        <v>1567</v>
      </c>
    </row>
    <row r="2061" spans="1:3">
      <c r="A2061" t="s">
        <v>895</v>
      </c>
      <c r="B2061" t="s">
        <v>1075</v>
      </c>
      <c r="C2061" t="s">
        <v>1566</v>
      </c>
    </row>
    <row r="2062" spans="1:3">
      <c r="A2062" t="s">
        <v>895</v>
      </c>
      <c r="B2062" t="s">
        <v>1075</v>
      </c>
      <c r="C2062" t="s">
        <v>1565</v>
      </c>
    </row>
    <row r="2063" spans="1:3">
      <c r="A2063" t="s">
        <v>895</v>
      </c>
      <c r="B2063" t="s">
        <v>1075</v>
      </c>
      <c r="C2063" t="s">
        <v>1564</v>
      </c>
    </row>
    <row r="2064" spans="1:3">
      <c r="A2064" t="s">
        <v>895</v>
      </c>
      <c r="B2064" t="s">
        <v>1075</v>
      </c>
      <c r="C2064" t="s">
        <v>1563</v>
      </c>
    </row>
    <row r="2065" spans="1:3">
      <c r="A2065" t="s">
        <v>895</v>
      </c>
      <c r="B2065" t="s">
        <v>1075</v>
      </c>
      <c r="C2065" t="s">
        <v>1562</v>
      </c>
    </row>
    <row r="2066" spans="1:3">
      <c r="A2066" t="s">
        <v>895</v>
      </c>
      <c r="B2066" t="s">
        <v>1075</v>
      </c>
      <c r="C2066" t="s">
        <v>1561</v>
      </c>
    </row>
    <row r="2067" spans="1:3">
      <c r="A2067" t="s">
        <v>895</v>
      </c>
      <c r="B2067" t="s">
        <v>1075</v>
      </c>
      <c r="C2067" t="s">
        <v>1560</v>
      </c>
    </row>
    <row r="2068" spans="1:3">
      <c r="A2068" t="s">
        <v>895</v>
      </c>
      <c r="B2068" t="s">
        <v>1075</v>
      </c>
      <c r="C2068" t="s">
        <v>1559</v>
      </c>
    </row>
    <row r="2069" spans="1:3">
      <c r="A2069" t="s">
        <v>895</v>
      </c>
      <c r="B2069" t="s">
        <v>1075</v>
      </c>
      <c r="C2069" t="s">
        <v>1558</v>
      </c>
    </row>
    <row r="2070" spans="1:3">
      <c r="A2070" t="s">
        <v>896</v>
      </c>
      <c r="B2070" t="s">
        <v>1070</v>
      </c>
      <c r="C2070" t="s">
        <v>1515</v>
      </c>
    </row>
    <row r="2071" spans="1:3">
      <c r="A2071" t="s">
        <v>896</v>
      </c>
      <c r="B2071" t="s">
        <v>1070</v>
      </c>
      <c r="C2071" t="s">
        <v>1514</v>
      </c>
    </row>
    <row r="2072" spans="1:3">
      <c r="A2072" t="s">
        <v>896</v>
      </c>
      <c r="B2072" t="s">
        <v>1070</v>
      </c>
      <c r="C2072" t="s">
        <v>1513</v>
      </c>
    </row>
    <row r="2073" spans="1:3">
      <c r="A2073" t="s">
        <v>896</v>
      </c>
      <c r="B2073" t="s">
        <v>1070</v>
      </c>
      <c r="C2073" t="s">
        <v>1512</v>
      </c>
    </row>
    <row r="2074" spans="1:3">
      <c r="A2074" t="s">
        <v>896</v>
      </c>
      <c r="B2074" t="s">
        <v>1070</v>
      </c>
      <c r="C2074" t="s">
        <v>1511</v>
      </c>
    </row>
    <row r="2075" spans="1:3">
      <c r="A2075" t="s">
        <v>896</v>
      </c>
      <c r="B2075" t="s">
        <v>1075</v>
      </c>
      <c r="C2075" t="s">
        <v>1552</v>
      </c>
    </row>
    <row r="2076" spans="1:3">
      <c r="A2076" t="s">
        <v>896</v>
      </c>
      <c r="B2076" t="s">
        <v>1075</v>
      </c>
      <c r="C2076" t="s">
        <v>1551</v>
      </c>
    </row>
    <row r="2077" spans="1:3">
      <c r="A2077" t="s">
        <v>896</v>
      </c>
      <c r="B2077" t="s">
        <v>1075</v>
      </c>
      <c r="C2077" t="s">
        <v>1550</v>
      </c>
    </row>
    <row r="2078" spans="1:3">
      <c r="A2078" t="s">
        <v>896</v>
      </c>
      <c r="B2078" t="s">
        <v>1075</v>
      </c>
      <c r="C2078" t="s">
        <v>1549</v>
      </c>
    </row>
    <row r="2079" spans="1:3">
      <c r="A2079" t="s">
        <v>896</v>
      </c>
      <c r="B2079" t="s">
        <v>1075</v>
      </c>
      <c r="C2079" t="s">
        <v>1548</v>
      </c>
    </row>
    <row r="2080" spans="1:3">
      <c r="A2080" t="s">
        <v>896</v>
      </c>
      <c r="B2080" t="s">
        <v>1075</v>
      </c>
      <c r="C2080" t="s">
        <v>1547</v>
      </c>
    </row>
    <row r="2081" spans="1:3">
      <c r="A2081" t="s">
        <v>896</v>
      </c>
      <c r="B2081" t="s">
        <v>1075</v>
      </c>
      <c r="C2081" t="s">
        <v>1546</v>
      </c>
    </row>
    <row r="2082" spans="1:3">
      <c r="A2082" t="s">
        <v>896</v>
      </c>
      <c r="B2082" t="s">
        <v>1075</v>
      </c>
      <c r="C2082" t="s">
        <v>1545</v>
      </c>
    </row>
    <row r="2083" spans="1:3">
      <c r="A2083" t="s">
        <v>896</v>
      </c>
      <c r="B2083" t="s">
        <v>1075</v>
      </c>
      <c r="C2083" t="s">
        <v>1544</v>
      </c>
    </row>
    <row r="2084" spans="1:3">
      <c r="A2084" t="s">
        <v>896</v>
      </c>
      <c r="B2084" t="s">
        <v>1075</v>
      </c>
      <c r="C2084" t="s">
        <v>1543</v>
      </c>
    </row>
    <row r="2085" spans="1:3">
      <c r="A2085" t="s">
        <v>896</v>
      </c>
      <c r="B2085" t="s">
        <v>1075</v>
      </c>
      <c r="C2085" t="s">
        <v>1542</v>
      </c>
    </row>
    <row r="2086" spans="1:3">
      <c r="A2086" t="s">
        <v>896</v>
      </c>
      <c r="B2086" t="s">
        <v>1075</v>
      </c>
      <c r="C2086" t="s">
        <v>1541</v>
      </c>
    </row>
    <row r="2087" spans="1:3">
      <c r="A2087" t="s">
        <v>896</v>
      </c>
      <c r="B2087" t="s">
        <v>1075</v>
      </c>
      <c r="C2087" t="s">
        <v>1540</v>
      </c>
    </row>
    <row r="2088" spans="1:3">
      <c r="A2088" t="s">
        <v>896</v>
      </c>
      <c r="B2088" t="s">
        <v>1075</v>
      </c>
      <c r="C2088" t="s">
        <v>1539</v>
      </c>
    </row>
    <row r="2089" spans="1:3">
      <c r="A2089" t="s">
        <v>896</v>
      </c>
      <c r="B2089" t="s">
        <v>1075</v>
      </c>
      <c r="C2089" t="s">
        <v>1538</v>
      </c>
    </row>
    <row r="2090" spans="1:3">
      <c r="A2090" t="s">
        <v>896</v>
      </c>
      <c r="B2090" t="s">
        <v>1075</v>
      </c>
      <c r="C2090" t="s">
        <v>1537</v>
      </c>
    </row>
    <row r="2091" spans="1:3">
      <c r="A2091" t="s">
        <v>896</v>
      </c>
      <c r="B2091" t="s">
        <v>1075</v>
      </c>
      <c r="C2091" t="s">
        <v>1536</v>
      </c>
    </row>
    <row r="2092" spans="1:3">
      <c r="A2092" t="s">
        <v>896</v>
      </c>
      <c r="B2092" t="s">
        <v>1075</v>
      </c>
      <c r="C2092" t="s">
        <v>1535</v>
      </c>
    </row>
    <row r="2093" spans="1:3">
      <c r="A2093" t="s">
        <v>896</v>
      </c>
      <c r="B2093" t="s">
        <v>1075</v>
      </c>
      <c r="C2093" t="s">
        <v>1534</v>
      </c>
    </row>
    <row r="2094" spans="1:3">
      <c r="A2094" t="s">
        <v>896</v>
      </c>
      <c r="B2094" t="s">
        <v>1075</v>
      </c>
      <c r="C2094" t="s">
        <v>1533</v>
      </c>
    </row>
    <row r="2095" spans="1:3">
      <c r="A2095" t="s">
        <v>896</v>
      </c>
      <c r="B2095" t="s">
        <v>1075</v>
      </c>
      <c r="C2095" t="s">
        <v>1532</v>
      </c>
    </row>
    <row r="2096" spans="1:3">
      <c r="A2096" t="s">
        <v>896</v>
      </c>
      <c r="B2096" t="s">
        <v>1075</v>
      </c>
      <c r="C2096" t="s">
        <v>1531</v>
      </c>
    </row>
    <row r="2097" spans="1:3">
      <c r="A2097" t="s">
        <v>896</v>
      </c>
      <c r="B2097" t="s">
        <v>1075</v>
      </c>
      <c r="C2097" t="s">
        <v>1530</v>
      </c>
    </row>
    <row r="2098" spans="1:3">
      <c r="A2098" t="s">
        <v>896</v>
      </c>
      <c r="B2098" t="s">
        <v>1075</v>
      </c>
      <c r="C2098" t="s">
        <v>1529</v>
      </c>
    </row>
    <row r="2099" spans="1:3">
      <c r="A2099" t="s">
        <v>896</v>
      </c>
      <c r="B2099" t="s">
        <v>1075</v>
      </c>
      <c r="C2099" t="s">
        <v>1528</v>
      </c>
    </row>
    <row r="2100" spans="1:3">
      <c r="A2100" t="s">
        <v>896</v>
      </c>
      <c r="B2100" t="s">
        <v>1075</v>
      </c>
      <c r="C2100" t="s">
        <v>1527</v>
      </c>
    </row>
    <row r="2101" spans="1:3">
      <c r="A2101" t="s">
        <v>896</v>
      </c>
      <c r="B2101" t="s">
        <v>1075</v>
      </c>
      <c r="C2101" t="s">
        <v>1526</v>
      </c>
    </row>
    <row r="2102" spans="1:3">
      <c r="A2102" t="s">
        <v>896</v>
      </c>
      <c r="B2102" t="s">
        <v>1075</v>
      </c>
      <c r="C2102" t="s">
        <v>1525</v>
      </c>
    </row>
    <row r="2103" spans="1:3">
      <c r="A2103" t="s">
        <v>896</v>
      </c>
      <c r="B2103" t="s">
        <v>1075</v>
      </c>
      <c r="C2103" t="s">
        <v>1524</v>
      </c>
    </row>
    <row r="2104" spans="1:3">
      <c r="A2104" t="s">
        <v>896</v>
      </c>
      <c r="B2104" t="s">
        <v>1075</v>
      </c>
      <c r="C2104" t="s">
        <v>1523</v>
      </c>
    </row>
    <row r="2105" spans="1:3">
      <c r="A2105" t="s">
        <v>896</v>
      </c>
      <c r="B2105" t="s">
        <v>1075</v>
      </c>
      <c r="C2105" t="s">
        <v>1522</v>
      </c>
    </row>
    <row r="2106" spans="1:3">
      <c r="A2106" t="s">
        <v>896</v>
      </c>
      <c r="B2106" t="s">
        <v>1075</v>
      </c>
      <c r="C2106" t="s">
        <v>1521</v>
      </c>
    </row>
    <row r="2107" spans="1:3">
      <c r="A2107" t="s">
        <v>896</v>
      </c>
      <c r="B2107" t="s">
        <v>1075</v>
      </c>
      <c r="C2107" t="s">
        <v>1520</v>
      </c>
    </row>
    <row r="2108" spans="1:3">
      <c r="A2108" t="s">
        <v>896</v>
      </c>
      <c r="B2108" t="s">
        <v>1075</v>
      </c>
      <c r="C2108" t="s">
        <v>1519</v>
      </c>
    </row>
    <row r="2109" spans="1:3">
      <c r="A2109" t="s">
        <v>896</v>
      </c>
      <c r="B2109" t="s">
        <v>1075</v>
      </c>
      <c r="C2109" t="s">
        <v>1518</v>
      </c>
    </row>
    <row r="2110" spans="1:3">
      <c r="A2110" t="s">
        <v>896</v>
      </c>
      <c r="B2110" t="s">
        <v>1075</v>
      </c>
      <c r="C2110" t="s">
        <v>1517</v>
      </c>
    </row>
    <row r="2111" spans="1:3">
      <c r="A2111" t="s">
        <v>896</v>
      </c>
      <c r="B2111" t="s">
        <v>1075</v>
      </c>
      <c r="C2111" t="s">
        <v>1516</v>
      </c>
    </row>
    <row r="2112" spans="1:3">
      <c r="A2112" t="s">
        <v>897</v>
      </c>
      <c r="B2112" t="s">
        <v>1070</v>
      </c>
      <c r="C2112" t="s">
        <v>1485</v>
      </c>
    </row>
    <row r="2113" spans="1:3">
      <c r="A2113" t="s">
        <v>897</v>
      </c>
      <c r="B2113" t="s">
        <v>1070</v>
      </c>
      <c r="C2113" t="s">
        <v>1484</v>
      </c>
    </row>
    <row r="2114" spans="1:3">
      <c r="A2114" t="s">
        <v>897</v>
      </c>
      <c r="B2114" t="s">
        <v>1070</v>
      </c>
      <c r="C2114" t="s">
        <v>1483</v>
      </c>
    </row>
    <row r="2115" spans="1:3">
      <c r="A2115" t="s">
        <v>897</v>
      </c>
      <c r="B2115" t="s">
        <v>1070</v>
      </c>
      <c r="C2115" t="s">
        <v>1482</v>
      </c>
    </row>
    <row r="2116" spans="1:3">
      <c r="A2116" t="s">
        <v>897</v>
      </c>
      <c r="B2116" t="s">
        <v>1075</v>
      </c>
      <c r="C2116" t="s">
        <v>1510</v>
      </c>
    </row>
    <row r="2117" spans="1:3">
      <c r="A2117" t="s">
        <v>897</v>
      </c>
      <c r="B2117" t="s">
        <v>1075</v>
      </c>
      <c r="C2117" t="s">
        <v>1509</v>
      </c>
    </row>
    <row r="2118" spans="1:3">
      <c r="A2118" t="s">
        <v>897</v>
      </c>
      <c r="B2118" t="s">
        <v>1075</v>
      </c>
      <c r="C2118" t="s">
        <v>1508</v>
      </c>
    </row>
    <row r="2119" spans="1:3">
      <c r="A2119" t="s">
        <v>897</v>
      </c>
      <c r="B2119" t="s">
        <v>1075</v>
      </c>
      <c r="C2119" t="s">
        <v>1507</v>
      </c>
    </row>
    <row r="2120" spans="1:3">
      <c r="A2120" t="s">
        <v>897</v>
      </c>
      <c r="B2120" t="s">
        <v>1075</v>
      </c>
      <c r="C2120" t="s">
        <v>1506</v>
      </c>
    </row>
    <row r="2121" spans="1:3">
      <c r="A2121" t="s">
        <v>897</v>
      </c>
      <c r="B2121" t="s">
        <v>1075</v>
      </c>
      <c r="C2121" t="s">
        <v>1505</v>
      </c>
    </row>
    <row r="2122" spans="1:3">
      <c r="A2122" t="s">
        <v>897</v>
      </c>
      <c r="B2122" t="s">
        <v>1075</v>
      </c>
      <c r="C2122" t="s">
        <v>1504</v>
      </c>
    </row>
    <row r="2123" spans="1:3">
      <c r="A2123" t="s">
        <v>897</v>
      </c>
      <c r="B2123" t="s">
        <v>1075</v>
      </c>
      <c r="C2123" t="s">
        <v>1503</v>
      </c>
    </row>
    <row r="2124" spans="1:3">
      <c r="A2124" t="s">
        <v>897</v>
      </c>
      <c r="B2124" t="s">
        <v>1075</v>
      </c>
      <c r="C2124" t="s">
        <v>1502</v>
      </c>
    </row>
    <row r="2125" spans="1:3">
      <c r="A2125" t="s">
        <v>897</v>
      </c>
      <c r="B2125" t="s">
        <v>1075</v>
      </c>
      <c r="C2125" t="s">
        <v>1501</v>
      </c>
    </row>
    <row r="2126" spans="1:3">
      <c r="A2126" t="s">
        <v>897</v>
      </c>
      <c r="B2126" t="s">
        <v>1075</v>
      </c>
      <c r="C2126" t="s">
        <v>1500</v>
      </c>
    </row>
    <row r="2127" spans="1:3">
      <c r="A2127" t="s">
        <v>897</v>
      </c>
      <c r="B2127" t="s">
        <v>1075</v>
      </c>
      <c r="C2127" t="s">
        <v>1499</v>
      </c>
    </row>
    <row r="2128" spans="1:3">
      <c r="A2128" t="s">
        <v>897</v>
      </c>
      <c r="B2128" t="s">
        <v>1075</v>
      </c>
      <c r="C2128" t="s">
        <v>1498</v>
      </c>
    </row>
    <row r="2129" spans="1:3">
      <c r="A2129" t="s">
        <v>897</v>
      </c>
      <c r="B2129" t="s">
        <v>1075</v>
      </c>
      <c r="C2129" t="s">
        <v>1497</v>
      </c>
    </row>
    <row r="2130" spans="1:3">
      <c r="A2130" t="s">
        <v>897</v>
      </c>
      <c r="B2130" t="s">
        <v>1075</v>
      </c>
      <c r="C2130" t="s">
        <v>1496</v>
      </c>
    </row>
    <row r="2131" spans="1:3">
      <c r="A2131" t="s">
        <v>897</v>
      </c>
      <c r="B2131" t="s">
        <v>1075</v>
      </c>
      <c r="C2131" t="s">
        <v>1495</v>
      </c>
    </row>
    <row r="2132" spans="1:3">
      <c r="A2132" t="s">
        <v>897</v>
      </c>
      <c r="B2132" t="s">
        <v>1075</v>
      </c>
      <c r="C2132" t="s">
        <v>1494</v>
      </c>
    </row>
    <row r="2133" spans="1:3">
      <c r="A2133" t="s">
        <v>897</v>
      </c>
      <c r="B2133" t="s">
        <v>1075</v>
      </c>
      <c r="C2133" t="s">
        <v>1493</v>
      </c>
    </row>
    <row r="2134" spans="1:3">
      <c r="A2134" t="s">
        <v>897</v>
      </c>
      <c r="B2134" t="s">
        <v>1075</v>
      </c>
      <c r="C2134" t="s">
        <v>1492</v>
      </c>
    </row>
    <row r="2135" spans="1:3">
      <c r="A2135" t="s">
        <v>897</v>
      </c>
      <c r="B2135" t="s">
        <v>1075</v>
      </c>
      <c r="C2135" t="s">
        <v>1491</v>
      </c>
    </row>
    <row r="2136" spans="1:3">
      <c r="A2136" t="s">
        <v>897</v>
      </c>
      <c r="B2136" t="s">
        <v>1075</v>
      </c>
      <c r="C2136" t="s">
        <v>1490</v>
      </c>
    </row>
    <row r="2137" spans="1:3">
      <c r="A2137" t="s">
        <v>897</v>
      </c>
      <c r="B2137" t="s">
        <v>1075</v>
      </c>
      <c r="C2137" t="s">
        <v>1489</v>
      </c>
    </row>
    <row r="2138" spans="1:3">
      <c r="A2138" t="s">
        <v>897</v>
      </c>
      <c r="B2138" t="s">
        <v>1075</v>
      </c>
      <c r="C2138" t="s">
        <v>1488</v>
      </c>
    </row>
    <row r="2139" spans="1:3">
      <c r="A2139" t="s">
        <v>897</v>
      </c>
      <c r="B2139" t="s">
        <v>1075</v>
      </c>
      <c r="C2139" t="s">
        <v>1487</v>
      </c>
    </row>
    <row r="2140" spans="1:3">
      <c r="A2140" t="s">
        <v>897</v>
      </c>
      <c r="B2140" t="s">
        <v>1075</v>
      </c>
      <c r="C2140" t="s">
        <v>1486</v>
      </c>
    </row>
    <row r="2141" spans="1:3">
      <c r="A2141" t="s">
        <v>898</v>
      </c>
      <c r="B2141" t="s">
        <v>1070</v>
      </c>
      <c r="C2141" t="s">
        <v>1408</v>
      </c>
    </row>
    <row r="2142" spans="1:3">
      <c r="A2142" t="s">
        <v>898</v>
      </c>
      <c r="B2142" t="s">
        <v>1070</v>
      </c>
      <c r="C2142" t="s">
        <v>1407</v>
      </c>
    </row>
    <row r="2143" spans="1:3">
      <c r="A2143" t="s">
        <v>898</v>
      </c>
      <c r="B2143" t="s">
        <v>1070</v>
      </c>
      <c r="C2143" t="s">
        <v>1406</v>
      </c>
    </row>
    <row r="2144" spans="1:3">
      <c r="A2144" t="s">
        <v>898</v>
      </c>
      <c r="B2144" t="s">
        <v>1070</v>
      </c>
      <c r="C2144" t="s">
        <v>1405</v>
      </c>
    </row>
    <row r="2145" spans="1:3">
      <c r="A2145" t="s">
        <v>898</v>
      </c>
      <c r="B2145" t="s">
        <v>1070</v>
      </c>
      <c r="C2145" t="s">
        <v>1404</v>
      </c>
    </row>
    <row r="2146" spans="1:3">
      <c r="A2146" t="s">
        <v>898</v>
      </c>
      <c r="B2146" t="s">
        <v>1070</v>
      </c>
      <c r="C2146" t="s">
        <v>1403</v>
      </c>
    </row>
    <row r="2147" spans="1:3">
      <c r="A2147" t="s">
        <v>898</v>
      </c>
      <c r="B2147" t="s">
        <v>1070</v>
      </c>
      <c r="C2147" t="s">
        <v>1402</v>
      </c>
    </row>
    <row r="2148" spans="1:3">
      <c r="A2148" t="s">
        <v>898</v>
      </c>
      <c r="B2148" t="s">
        <v>1070</v>
      </c>
      <c r="C2148" t="s">
        <v>1401</v>
      </c>
    </row>
    <row r="2149" spans="1:3">
      <c r="A2149" t="s">
        <v>898</v>
      </c>
      <c r="B2149" t="s">
        <v>1070</v>
      </c>
      <c r="C2149" t="s">
        <v>1400</v>
      </c>
    </row>
    <row r="2150" spans="1:3">
      <c r="A2150" t="s">
        <v>898</v>
      </c>
      <c r="B2150" t="s">
        <v>1075</v>
      </c>
      <c r="C2150" t="s">
        <v>1481</v>
      </c>
    </row>
    <row r="2151" spans="1:3">
      <c r="A2151" t="s">
        <v>898</v>
      </c>
      <c r="B2151" t="s">
        <v>1075</v>
      </c>
      <c r="C2151" t="s">
        <v>1480</v>
      </c>
    </row>
    <row r="2152" spans="1:3">
      <c r="A2152" t="s">
        <v>898</v>
      </c>
      <c r="B2152" t="s">
        <v>1075</v>
      </c>
      <c r="C2152" t="s">
        <v>1479</v>
      </c>
    </row>
    <row r="2153" spans="1:3">
      <c r="A2153" t="s">
        <v>898</v>
      </c>
      <c r="B2153" t="s">
        <v>1075</v>
      </c>
      <c r="C2153" t="s">
        <v>1478</v>
      </c>
    </row>
    <row r="2154" spans="1:3">
      <c r="A2154" t="s">
        <v>898</v>
      </c>
      <c r="B2154" t="s">
        <v>1075</v>
      </c>
      <c r="C2154" t="s">
        <v>1477</v>
      </c>
    </row>
    <row r="2155" spans="1:3">
      <c r="A2155" t="s">
        <v>898</v>
      </c>
      <c r="B2155" t="s">
        <v>1075</v>
      </c>
      <c r="C2155" t="s">
        <v>1476</v>
      </c>
    </row>
    <row r="2156" spans="1:3">
      <c r="A2156" t="s">
        <v>898</v>
      </c>
      <c r="B2156" t="s">
        <v>1075</v>
      </c>
      <c r="C2156" t="s">
        <v>1475</v>
      </c>
    </row>
    <row r="2157" spans="1:3">
      <c r="A2157" t="s">
        <v>898</v>
      </c>
      <c r="B2157" t="s">
        <v>1075</v>
      </c>
      <c r="C2157" t="s">
        <v>1474</v>
      </c>
    </row>
    <row r="2158" spans="1:3">
      <c r="A2158" t="s">
        <v>898</v>
      </c>
      <c r="B2158" t="s">
        <v>1075</v>
      </c>
      <c r="C2158" t="s">
        <v>1473</v>
      </c>
    </row>
    <row r="2159" spans="1:3">
      <c r="A2159" t="s">
        <v>898</v>
      </c>
      <c r="B2159" t="s">
        <v>1075</v>
      </c>
      <c r="C2159" t="s">
        <v>1472</v>
      </c>
    </row>
    <row r="2160" spans="1:3">
      <c r="A2160" t="s">
        <v>898</v>
      </c>
      <c r="B2160" t="s">
        <v>1075</v>
      </c>
      <c r="C2160" t="s">
        <v>1471</v>
      </c>
    </row>
    <row r="2161" spans="1:3">
      <c r="A2161" t="s">
        <v>898</v>
      </c>
      <c r="B2161" t="s">
        <v>1075</v>
      </c>
      <c r="C2161" t="s">
        <v>1470</v>
      </c>
    </row>
    <row r="2162" spans="1:3">
      <c r="A2162" t="s">
        <v>898</v>
      </c>
      <c r="B2162" t="s">
        <v>1075</v>
      </c>
      <c r="C2162" t="s">
        <v>1469</v>
      </c>
    </row>
    <row r="2163" spans="1:3">
      <c r="A2163" t="s">
        <v>898</v>
      </c>
      <c r="B2163" t="s">
        <v>1075</v>
      </c>
      <c r="C2163" t="s">
        <v>1468</v>
      </c>
    </row>
    <row r="2164" spans="1:3">
      <c r="A2164" t="s">
        <v>898</v>
      </c>
      <c r="B2164" t="s">
        <v>1075</v>
      </c>
      <c r="C2164" t="s">
        <v>1467</v>
      </c>
    </row>
    <row r="2165" spans="1:3">
      <c r="A2165" t="s">
        <v>898</v>
      </c>
      <c r="B2165" t="s">
        <v>1075</v>
      </c>
      <c r="C2165" t="s">
        <v>1466</v>
      </c>
    </row>
    <row r="2166" spans="1:3">
      <c r="A2166" t="s">
        <v>898</v>
      </c>
      <c r="B2166" t="s">
        <v>1075</v>
      </c>
      <c r="C2166" t="s">
        <v>1465</v>
      </c>
    </row>
    <row r="2167" spans="1:3">
      <c r="A2167" t="s">
        <v>898</v>
      </c>
      <c r="B2167" t="s">
        <v>1075</v>
      </c>
      <c r="C2167" t="s">
        <v>1464</v>
      </c>
    </row>
    <row r="2168" spans="1:3">
      <c r="A2168" t="s">
        <v>898</v>
      </c>
      <c r="B2168" t="s">
        <v>1075</v>
      </c>
      <c r="C2168" t="s">
        <v>1463</v>
      </c>
    </row>
    <row r="2169" spans="1:3">
      <c r="A2169" t="s">
        <v>898</v>
      </c>
      <c r="B2169" t="s">
        <v>1075</v>
      </c>
      <c r="C2169" t="s">
        <v>1462</v>
      </c>
    </row>
    <row r="2170" spans="1:3">
      <c r="A2170" t="s">
        <v>898</v>
      </c>
      <c r="B2170" t="s">
        <v>1075</v>
      </c>
      <c r="C2170" t="s">
        <v>1461</v>
      </c>
    </row>
    <row r="2171" spans="1:3">
      <c r="A2171" t="s">
        <v>898</v>
      </c>
      <c r="B2171" t="s">
        <v>1075</v>
      </c>
      <c r="C2171" t="s">
        <v>1460</v>
      </c>
    </row>
    <row r="2172" spans="1:3">
      <c r="A2172" t="s">
        <v>898</v>
      </c>
      <c r="B2172" t="s">
        <v>1075</v>
      </c>
      <c r="C2172" t="s">
        <v>1459</v>
      </c>
    </row>
    <row r="2173" spans="1:3">
      <c r="A2173" t="s">
        <v>898</v>
      </c>
      <c r="B2173" t="s">
        <v>1075</v>
      </c>
      <c r="C2173" t="s">
        <v>1458</v>
      </c>
    </row>
    <row r="2174" spans="1:3">
      <c r="A2174" t="s">
        <v>898</v>
      </c>
      <c r="B2174" t="s">
        <v>1075</v>
      </c>
      <c r="C2174" t="s">
        <v>1457</v>
      </c>
    </row>
    <row r="2175" spans="1:3">
      <c r="A2175" t="s">
        <v>898</v>
      </c>
      <c r="B2175" t="s">
        <v>1075</v>
      </c>
      <c r="C2175" t="s">
        <v>1456</v>
      </c>
    </row>
    <row r="2176" spans="1:3">
      <c r="A2176" t="s">
        <v>898</v>
      </c>
      <c r="B2176" t="s">
        <v>1075</v>
      </c>
      <c r="C2176" t="s">
        <v>1455</v>
      </c>
    </row>
    <row r="2177" spans="1:3">
      <c r="A2177" t="s">
        <v>898</v>
      </c>
      <c r="B2177" t="s">
        <v>1075</v>
      </c>
      <c r="C2177" t="s">
        <v>1454</v>
      </c>
    </row>
    <row r="2178" spans="1:3">
      <c r="A2178" t="s">
        <v>898</v>
      </c>
      <c r="B2178" t="s">
        <v>1075</v>
      </c>
      <c r="C2178" t="s">
        <v>1453</v>
      </c>
    </row>
    <row r="2179" spans="1:3">
      <c r="A2179" t="s">
        <v>898</v>
      </c>
      <c r="B2179" t="s">
        <v>1075</v>
      </c>
      <c r="C2179" t="s">
        <v>1452</v>
      </c>
    </row>
    <row r="2180" spans="1:3">
      <c r="A2180" t="s">
        <v>898</v>
      </c>
      <c r="B2180" t="s">
        <v>1075</v>
      </c>
      <c r="C2180" t="s">
        <v>1451</v>
      </c>
    </row>
    <row r="2181" spans="1:3">
      <c r="A2181" t="s">
        <v>898</v>
      </c>
      <c r="B2181" t="s">
        <v>1075</v>
      </c>
      <c r="C2181" t="s">
        <v>1450</v>
      </c>
    </row>
    <row r="2182" spans="1:3">
      <c r="A2182" t="s">
        <v>898</v>
      </c>
      <c r="B2182" t="s">
        <v>1075</v>
      </c>
      <c r="C2182" t="s">
        <v>1449</v>
      </c>
    </row>
    <row r="2183" spans="1:3">
      <c r="A2183" t="s">
        <v>898</v>
      </c>
      <c r="B2183" t="s">
        <v>1075</v>
      </c>
      <c r="C2183" t="s">
        <v>1448</v>
      </c>
    </row>
    <row r="2184" spans="1:3">
      <c r="A2184" t="s">
        <v>898</v>
      </c>
      <c r="B2184" t="s">
        <v>1075</v>
      </c>
      <c r="C2184" t="s">
        <v>1447</v>
      </c>
    </row>
    <row r="2185" spans="1:3">
      <c r="A2185" t="s">
        <v>898</v>
      </c>
      <c r="B2185" t="s">
        <v>1075</v>
      </c>
      <c r="C2185" t="s">
        <v>1446</v>
      </c>
    </row>
    <row r="2186" spans="1:3">
      <c r="A2186" t="s">
        <v>898</v>
      </c>
      <c r="B2186" t="s">
        <v>1075</v>
      </c>
      <c r="C2186" t="s">
        <v>1445</v>
      </c>
    </row>
    <row r="2187" spans="1:3">
      <c r="A2187" t="s">
        <v>898</v>
      </c>
      <c r="B2187" t="s">
        <v>1075</v>
      </c>
      <c r="C2187" t="s">
        <v>1444</v>
      </c>
    </row>
    <row r="2188" spans="1:3">
      <c r="A2188" t="s">
        <v>898</v>
      </c>
      <c r="B2188" t="s">
        <v>1075</v>
      </c>
      <c r="C2188" t="s">
        <v>1443</v>
      </c>
    </row>
    <row r="2189" spans="1:3">
      <c r="A2189" t="s">
        <v>898</v>
      </c>
      <c r="B2189" t="s">
        <v>1075</v>
      </c>
      <c r="C2189" t="s">
        <v>1442</v>
      </c>
    </row>
    <row r="2190" spans="1:3">
      <c r="A2190" t="s">
        <v>898</v>
      </c>
      <c r="B2190" t="s">
        <v>1075</v>
      </c>
      <c r="C2190" t="s">
        <v>1441</v>
      </c>
    </row>
    <row r="2191" spans="1:3">
      <c r="A2191" t="s">
        <v>898</v>
      </c>
      <c r="B2191" t="s">
        <v>1075</v>
      </c>
      <c r="C2191" t="s">
        <v>1440</v>
      </c>
    </row>
    <row r="2192" spans="1:3">
      <c r="A2192" t="s">
        <v>898</v>
      </c>
      <c r="B2192" t="s">
        <v>1075</v>
      </c>
      <c r="C2192" t="s">
        <v>1439</v>
      </c>
    </row>
    <row r="2193" spans="1:3">
      <c r="A2193" t="s">
        <v>898</v>
      </c>
      <c r="B2193" t="s">
        <v>1075</v>
      </c>
      <c r="C2193" t="s">
        <v>1438</v>
      </c>
    </row>
    <row r="2194" spans="1:3">
      <c r="A2194" t="s">
        <v>898</v>
      </c>
      <c r="B2194" t="s">
        <v>1075</v>
      </c>
      <c r="C2194" t="s">
        <v>1437</v>
      </c>
    </row>
    <row r="2195" spans="1:3">
      <c r="A2195" t="s">
        <v>898</v>
      </c>
      <c r="B2195" t="s">
        <v>1075</v>
      </c>
      <c r="C2195" t="s">
        <v>1436</v>
      </c>
    </row>
    <row r="2196" spans="1:3">
      <c r="A2196" t="s">
        <v>898</v>
      </c>
      <c r="B2196" t="s">
        <v>1075</v>
      </c>
      <c r="C2196" t="s">
        <v>1435</v>
      </c>
    </row>
    <row r="2197" spans="1:3">
      <c r="A2197" t="s">
        <v>898</v>
      </c>
      <c r="B2197" t="s">
        <v>1075</v>
      </c>
      <c r="C2197" t="s">
        <v>1434</v>
      </c>
    </row>
    <row r="2198" spans="1:3">
      <c r="A2198" t="s">
        <v>898</v>
      </c>
      <c r="B2198" t="s">
        <v>1075</v>
      </c>
      <c r="C2198" t="s">
        <v>1433</v>
      </c>
    </row>
    <row r="2199" spans="1:3">
      <c r="A2199" t="s">
        <v>898</v>
      </c>
      <c r="B2199" t="s">
        <v>1075</v>
      </c>
      <c r="C2199" t="s">
        <v>1432</v>
      </c>
    </row>
    <row r="2200" spans="1:3">
      <c r="A2200" t="s">
        <v>898</v>
      </c>
      <c r="B2200" t="s">
        <v>1075</v>
      </c>
      <c r="C2200" t="s">
        <v>1431</v>
      </c>
    </row>
    <row r="2201" spans="1:3">
      <c r="A2201" t="s">
        <v>898</v>
      </c>
      <c r="B2201" t="s">
        <v>1075</v>
      </c>
      <c r="C2201" t="s">
        <v>1430</v>
      </c>
    </row>
    <row r="2202" spans="1:3">
      <c r="A2202" t="s">
        <v>898</v>
      </c>
      <c r="B2202" t="s">
        <v>1075</v>
      </c>
      <c r="C2202" t="s">
        <v>1429</v>
      </c>
    </row>
    <row r="2203" spans="1:3">
      <c r="A2203" t="s">
        <v>898</v>
      </c>
      <c r="B2203" t="s">
        <v>1075</v>
      </c>
      <c r="C2203" t="s">
        <v>1428</v>
      </c>
    </row>
    <row r="2204" spans="1:3">
      <c r="A2204" t="s">
        <v>898</v>
      </c>
      <c r="B2204" t="s">
        <v>1075</v>
      </c>
      <c r="C2204" t="s">
        <v>1427</v>
      </c>
    </row>
    <row r="2205" spans="1:3">
      <c r="A2205" t="s">
        <v>898</v>
      </c>
      <c r="B2205" t="s">
        <v>1075</v>
      </c>
      <c r="C2205" t="s">
        <v>1426</v>
      </c>
    </row>
    <row r="2206" spans="1:3">
      <c r="A2206" t="s">
        <v>898</v>
      </c>
      <c r="B2206" t="s">
        <v>1075</v>
      </c>
      <c r="C2206" t="s">
        <v>1425</v>
      </c>
    </row>
    <row r="2207" spans="1:3">
      <c r="A2207" t="s">
        <v>898</v>
      </c>
      <c r="B2207" t="s">
        <v>1075</v>
      </c>
      <c r="C2207" t="s">
        <v>1424</v>
      </c>
    </row>
    <row r="2208" spans="1:3">
      <c r="A2208" t="s">
        <v>898</v>
      </c>
      <c r="B2208" t="s">
        <v>1075</v>
      </c>
      <c r="C2208" t="s">
        <v>1423</v>
      </c>
    </row>
    <row r="2209" spans="1:3">
      <c r="A2209" t="s">
        <v>898</v>
      </c>
      <c r="B2209" t="s">
        <v>1075</v>
      </c>
      <c r="C2209" t="s">
        <v>1422</v>
      </c>
    </row>
    <row r="2210" spans="1:3">
      <c r="A2210" t="s">
        <v>898</v>
      </c>
      <c r="B2210" t="s">
        <v>1075</v>
      </c>
      <c r="C2210" t="s">
        <v>1421</v>
      </c>
    </row>
    <row r="2211" spans="1:3">
      <c r="A2211" t="s">
        <v>898</v>
      </c>
      <c r="B2211" t="s">
        <v>1075</v>
      </c>
      <c r="C2211" t="s">
        <v>1420</v>
      </c>
    </row>
    <row r="2212" spans="1:3">
      <c r="A2212" t="s">
        <v>898</v>
      </c>
      <c r="B2212" t="s">
        <v>1075</v>
      </c>
      <c r="C2212" t="s">
        <v>1419</v>
      </c>
    </row>
    <row r="2213" spans="1:3">
      <c r="A2213" t="s">
        <v>898</v>
      </c>
      <c r="B2213" t="s">
        <v>1075</v>
      </c>
      <c r="C2213" t="s">
        <v>1418</v>
      </c>
    </row>
    <row r="2214" spans="1:3">
      <c r="A2214" t="s">
        <v>898</v>
      </c>
      <c r="B2214" t="s">
        <v>1075</v>
      </c>
      <c r="C2214" t="s">
        <v>1417</v>
      </c>
    </row>
    <row r="2215" spans="1:3">
      <c r="A2215" t="s">
        <v>898</v>
      </c>
      <c r="B2215" t="s">
        <v>1075</v>
      </c>
      <c r="C2215" t="s">
        <v>1416</v>
      </c>
    </row>
    <row r="2216" spans="1:3">
      <c r="A2216" t="s">
        <v>898</v>
      </c>
      <c r="B2216" t="s">
        <v>1075</v>
      </c>
      <c r="C2216" t="s">
        <v>1415</v>
      </c>
    </row>
    <row r="2217" spans="1:3">
      <c r="A2217" t="s">
        <v>898</v>
      </c>
      <c r="B2217" t="s">
        <v>1075</v>
      </c>
      <c r="C2217" t="s">
        <v>1414</v>
      </c>
    </row>
    <row r="2218" spans="1:3">
      <c r="A2218" t="s">
        <v>898</v>
      </c>
      <c r="B2218" t="s">
        <v>1075</v>
      </c>
      <c r="C2218" t="s">
        <v>1413</v>
      </c>
    </row>
    <row r="2219" spans="1:3">
      <c r="A2219" t="s">
        <v>898</v>
      </c>
      <c r="B2219" t="s">
        <v>1075</v>
      </c>
      <c r="C2219" t="s">
        <v>1412</v>
      </c>
    </row>
    <row r="2220" spans="1:3">
      <c r="A2220" t="s">
        <v>898</v>
      </c>
      <c r="B2220" t="s">
        <v>1075</v>
      </c>
      <c r="C2220" t="s">
        <v>1411</v>
      </c>
    </row>
    <row r="2221" spans="1:3">
      <c r="A2221" t="s">
        <v>898</v>
      </c>
      <c r="B2221" t="s">
        <v>1075</v>
      </c>
      <c r="C2221" t="s">
        <v>1410</v>
      </c>
    </row>
    <row r="2222" spans="1:3">
      <c r="A2222" t="s">
        <v>898</v>
      </c>
      <c r="B2222" t="s">
        <v>1075</v>
      </c>
      <c r="C2222" t="s">
        <v>1409</v>
      </c>
    </row>
    <row r="2223" spans="1:3">
      <c r="A2223" t="s">
        <v>899</v>
      </c>
      <c r="B2223" t="s">
        <v>1070</v>
      </c>
      <c r="C2223" t="s">
        <v>1322</v>
      </c>
    </row>
    <row r="2224" spans="1:3">
      <c r="A2224" t="s">
        <v>899</v>
      </c>
      <c r="B2224" t="s">
        <v>1070</v>
      </c>
      <c r="C2224" t="s">
        <v>1321</v>
      </c>
    </row>
    <row r="2225" spans="1:3">
      <c r="A2225" t="s">
        <v>899</v>
      </c>
      <c r="B2225" t="s">
        <v>1070</v>
      </c>
      <c r="C2225" t="s">
        <v>1320</v>
      </c>
    </row>
    <row r="2226" spans="1:3">
      <c r="A2226" t="s">
        <v>899</v>
      </c>
      <c r="B2226" t="s">
        <v>1070</v>
      </c>
      <c r="C2226" t="s">
        <v>1319</v>
      </c>
    </row>
    <row r="2227" spans="1:3">
      <c r="A2227" t="s">
        <v>899</v>
      </c>
      <c r="B2227" t="s">
        <v>1070</v>
      </c>
      <c r="C2227" t="s">
        <v>1318</v>
      </c>
    </row>
    <row r="2228" spans="1:3">
      <c r="A2228" t="s">
        <v>899</v>
      </c>
      <c r="B2228" t="s">
        <v>1070</v>
      </c>
      <c r="C2228" t="s">
        <v>1317</v>
      </c>
    </row>
    <row r="2229" spans="1:3">
      <c r="A2229" t="s">
        <v>899</v>
      </c>
      <c r="B2229" t="s">
        <v>1070</v>
      </c>
      <c r="C2229" t="s">
        <v>1316</v>
      </c>
    </row>
    <row r="2230" spans="1:3">
      <c r="A2230" t="s">
        <v>899</v>
      </c>
      <c r="B2230" t="s">
        <v>1075</v>
      </c>
      <c r="C2230" t="s">
        <v>1399</v>
      </c>
    </row>
    <row r="2231" spans="1:3">
      <c r="A2231" t="s">
        <v>899</v>
      </c>
      <c r="B2231" t="s">
        <v>1075</v>
      </c>
      <c r="C2231" t="s">
        <v>1398</v>
      </c>
    </row>
    <row r="2232" spans="1:3">
      <c r="A2232" t="s">
        <v>899</v>
      </c>
      <c r="B2232" t="s">
        <v>1075</v>
      </c>
      <c r="C2232" t="s">
        <v>1397</v>
      </c>
    </row>
    <row r="2233" spans="1:3">
      <c r="A2233" t="s">
        <v>899</v>
      </c>
      <c r="B2233" t="s">
        <v>1075</v>
      </c>
      <c r="C2233" t="s">
        <v>1396</v>
      </c>
    </row>
    <row r="2234" spans="1:3">
      <c r="A2234" t="s">
        <v>899</v>
      </c>
      <c r="B2234" t="s">
        <v>1075</v>
      </c>
      <c r="C2234" t="s">
        <v>1395</v>
      </c>
    </row>
    <row r="2235" spans="1:3">
      <c r="A2235" t="s">
        <v>899</v>
      </c>
      <c r="B2235" t="s">
        <v>1075</v>
      </c>
      <c r="C2235" t="s">
        <v>1394</v>
      </c>
    </row>
    <row r="2236" spans="1:3">
      <c r="A2236" t="s">
        <v>899</v>
      </c>
      <c r="B2236" t="s">
        <v>1075</v>
      </c>
      <c r="C2236" t="s">
        <v>1393</v>
      </c>
    </row>
    <row r="2237" spans="1:3">
      <c r="A2237" t="s">
        <v>899</v>
      </c>
      <c r="B2237" t="s">
        <v>1075</v>
      </c>
      <c r="C2237" t="s">
        <v>1392</v>
      </c>
    </row>
    <row r="2238" spans="1:3">
      <c r="A2238" t="s">
        <v>899</v>
      </c>
      <c r="B2238" t="s">
        <v>1075</v>
      </c>
      <c r="C2238" t="s">
        <v>1391</v>
      </c>
    </row>
    <row r="2239" spans="1:3">
      <c r="A2239" t="s">
        <v>899</v>
      </c>
      <c r="B2239" t="s">
        <v>1075</v>
      </c>
      <c r="C2239" t="s">
        <v>1390</v>
      </c>
    </row>
    <row r="2240" spans="1:3">
      <c r="A2240" t="s">
        <v>899</v>
      </c>
      <c r="B2240" t="s">
        <v>1075</v>
      </c>
      <c r="C2240" t="s">
        <v>1389</v>
      </c>
    </row>
    <row r="2241" spans="1:3">
      <c r="A2241" t="s">
        <v>899</v>
      </c>
      <c r="B2241" t="s">
        <v>1075</v>
      </c>
      <c r="C2241" t="s">
        <v>1388</v>
      </c>
    </row>
    <row r="2242" spans="1:3">
      <c r="A2242" t="s">
        <v>899</v>
      </c>
      <c r="B2242" t="s">
        <v>1075</v>
      </c>
      <c r="C2242" t="s">
        <v>1387</v>
      </c>
    </row>
    <row r="2243" spans="1:3">
      <c r="A2243" t="s">
        <v>899</v>
      </c>
      <c r="B2243" t="s">
        <v>1075</v>
      </c>
      <c r="C2243" t="s">
        <v>1386</v>
      </c>
    </row>
    <row r="2244" spans="1:3">
      <c r="A2244" t="s">
        <v>899</v>
      </c>
      <c r="B2244" t="s">
        <v>1075</v>
      </c>
      <c r="C2244" t="s">
        <v>1385</v>
      </c>
    </row>
    <row r="2245" spans="1:3">
      <c r="A2245" t="s">
        <v>899</v>
      </c>
      <c r="B2245" t="s">
        <v>1075</v>
      </c>
      <c r="C2245" t="s">
        <v>1384</v>
      </c>
    </row>
    <row r="2246" spans="1:3">
      <c r="A2246" t="s">
        <v>899</v>
      </c>
      <c r="B2246" t="s">
        <v>1075</v>
      </c>
      <c r="C2246" t="s">
        <v>1383</v>
      </c>
    </row>
    <row r="2247" spans="1:3">
      <c r="A2247" t="s">
        <v>899</v>
      </c>
      <c r="B2247" t="s">
        <v>1075</v>
      </c>
      <c r="C2247" t="s">
        <v>1382</v>
      </c>
    </row>
    <row r="2248" spans="1:3">
      <c r="A2248" t="s">
        <v>899</v>
      </c>
      <c r="B2248" t="s">
        <v>1075</v>
      </c>
      <c r="C2248" t="s">
        <v>1381</v>
      </c>
    </row>
    <row r="2249" spans="1:3">
      <c r="A2249" t="s">
        <v>899</v>
      </c>
      <c r="B2249" t="s">
        <v>1075</v>
      </c>
      <c r="C2249" t="s">
        <v>1380</v>
      </c>
    </row>
    <row r="2250" spans="1:3">
      <c r="A2250" t="s">
        <v>899</v>
      </c>
      <c r="B2250" t="s">
        <v>1075</v>
      </c>
      <c r="C2250" t="s">
        <v>1379</v>
      </c>
    </row>
    <row r="2251" spans="1:3">
      <c r="A2251" t="s">
        <v>899</v>
      </c>
      <c r="B2251" t="s">
        <v>1075</v>
      </c>
      <c r="C2251" t="s">
        <v>1378</v>
      </c>
    </row>
    <row r="2252" spans="1:3">
      <c r="A2252" t="s">
        <v>899</v>
      </c>
      <c r="B2252" t="s">
        <v>1075</v>
      </c>
      <c r="C2252" t="s">
        <v>1377</v>
      </c>
    </row>
    <row r="2253" spans="1:3">
      <c r="A2253" t="s">
        <v>899</v>
      </c>
      <c r="B2253" t="s">
        <v>1075</v>
      </c>
      <c r="C2253" t="s">
        <v>1376</v>
      </c>
    </row>
    <row r="2254" spans="1:3">
      <c r="A2254" t="s">
        <v>899</v>
      </c>
      <c r="B2254" t="s">
        <v>1075</v>
      </c>
      <c r="C2254" t="s">
        <v>1375</v>
      </c>
    </row>
    <row r="2255" spans="1:3">
      <c r="A2255" t="s">
        <v>899</v>
      </c>
      <c r="B2255" t="s">
        <v>1075</v>
      </c>
      <c r="C2255" t="s">
        <v>1374</v>
      </c>
    </row>
    <row r="2256" spans="1:3">
      <c r="A2256" t="s">
        <v>899</v>
      </c>
      <c r="B2256" t="s">
        <v>1075</v>
      </c>
      <c r="C2256" t="s">
        <v>1373</v>
      </c>
    </row>
    <row r="2257" spans="1:3">
      <c r="A2257" t="s">
        <v>899</v>
      </c>
      <c r="B2257" t="s">
        <v>1075</v>
      </c>
      <c r="C2257" t="s">
        <v>1372</v>
      </c>
    </row>
    <row r="2258" spans="1:3">
      <c r="A2258" t="s">
        <v>899</v>
      </c>
      <c r="B2258" t="s">
        <v>1075</v>
      </c>
      <c r="C2258" t="s">
        <v>1371</v>
      </c>
    </row>
    <row r="2259" spans="1:3">
      <c r="A2259" t="s">
        <v>899</v>
      </c>
      <c r="B2259" t="s">
        <v>1075</v>
      </c>
      <c r="C2259" t="s">
        <v>1370</v>
      </c>
    </row>
    <row r="2260" spans="1:3">
      <c r="A2260" t="s">
        <v>899</v>
      </c>
      <c r="B2260" t="s">
        <v>1075</v>
      </c>
      <c r="C2260" t="s">
        <v>1369</v>
      </c>
    </row>
    <row r="2261" spans="1:3">
      <c r="A2261" t="s">
        <v>899</v>
      </c>
      <c r="B2261" t="s">
        <v>1075</v>
      </c>
      <c r="C2261" t="s">
        <v>1368</v>
      </c>
    </row>
    <row r="2262" spans="1:3">
      <c r="A2262" t="s">
        <v>899</v>
      </c>
      <c r="B2262" t="s">
        <v>1075</v>
      </c>
      <c r="C2262" t="s">
        <v>1367</v>
      </c>
    </row>
    <row r="2263" spans="1:3">
      <c r="A2263" t="s">
        <v>899</v>
      </c>
      <c r="B2263" t="s">
        <v>1075</v>
      </c>
      <c r="C2263" t="s">
        <v>1366</v>
      </c>
    </row>
    <row r="2264" spans="1:3">
      <c r="A2264" t="s">
        <v>899</v>
      </c>
      <c r="B2264" t="s">
        <v>1075</v>
      </c>
      <c r="C2264" t="s">
        <v>1365</v>
      </c>
    </row>
    <row r="2265" spans="1:3">
      <c r="A2265" t="s">
        <v>899</v>
      </c>
      <c r="B2265" t="s">
        <v>1075</v>
      </c>
      <c r="C2265" t="s">
        <v>1364</v>
      </c>
    </row>
    <row r="2266" spans="1:3">
      <c r="A2266" t="s">
        <v>899</v>
      </c>
      <c r="B2266" t="s">
        <v>1075</v>
      </c>
      <c r="C2266" t="s">
        <v>1363</v>
      </c>
    </row>
    <row r="2267" spans="1:3">
      <c r="A2267" t="s">
        <v>899</v>
      </c>
      <c r="B2267" t="s">
        <v>1075</v>
      </c>
      <c r="C2267" t="s">
        <v>1362</v>
      </c>
    </row>
    <row r="2268" spans="1:3">
      <c r="A2268" t="s">
        <v>899</v>
      </c>
      <c r="B2268" t="s">
        <v>1075</v>
      </c>
      <c r="C2268" t="s">
        <v>1361</v>
      </c>
    </row>
    <row r="2269" spans="1:3">
      <c r="A2269" t="s">
        <v>899</v>
      </c>
      <c r="B2269" t="s">
        <v>1075</v>
      </c>
      <c r="C2269" t="s">
        <v>1360</v>
      </c>
    </row>
    <row r="2270" spans="1:3">
      <c r="A2270" t="s">
        <v>899</v>
      </c>
      <c r="B2270" t="s">
        <v>1075</v>
      </c>
      <c r="C2270" t="s">
        <v>1359</v>
      </c>
    </row>
    <row r="2271" spans="1:3">
      <c r="A2271" t="s">
        <v>899</v>
      </c>
      <c r="B2271" t="s">
        <v>1075</v>
      </c>
      <c r="C2271" t="s">
        <v>1358</v>
      </c>
    </row>
    <row r="2272" spans="1:3">
      <c r="A2272" t="s">
        <v>899</v>
      </c>
      <c r="B2272" t="s">
        <v>1075</v>
      </c>
      <c r="C2272" t="s">
        <v>1357</v>
      </c>
    </row>
    <row r="2273" spans="1:3">
      <c r="A2273" t="s">
        <v>899</v>
      </c>
      <c r="B2273" t="s">
        <v>1075</v>
      </c>
      <c r="C2273" t="s">
        <v>1356</v>
      </c>
    </row>
    <row r="2274" spans="1:3">
      <c r="A2274" t="s">
        <v>899</v>
      </c>
      <c r="B2274" t="s">
        <v>1075</v>
      </c>
      <c r="C2274" t="s">
        <v>1355</v>
      </c>
    </row>
    <row r="2275" spans="1:3">
      <c r="A2275" t="s">
        <v>899</v>
      </c>
      <c r="B2275" t="s">
        <v>1075</v>
      </c>
      <c r="C2275" t="s">
        <v>1354</v>
      </c>
    </row>
    <row r="2276" spans="1:3">
      <c r="A2276" t="s">
        <v>899</v>
      </c>
      <c r="B2276" t="s">
        <v>1075</v>
      </c>
      <c r="C2276" t="s">
        <v>1353</v>
      </c>
    </row>
    <row r="2277" spans="1:3">
      <c r="A2277" t="s">
        <v>899</v>
      </c>
      <c r="B2277" t="s">
        <v>1075</v>
      </c>
      <c r="C2277" t="s">
        <v>1352</v>
      </c>
    </row>
    <row r="2278" spans="1:3">
      <c r="A2278" t="s">
        <v>899</v>
      </c>
      <c r="B2278" t="s">
        <v>1075</v>
      </c>
      <c r="C2278" t="s">
        <v>1351</v>
      </c>
    </row>
    <row r="2279" spans="1:3">
      <c r="A2279" t="s">
        <v>899</v>
      </c>
      <c r="B2279" t="s">
        <v>1075</v>
      </c>
      <c r="C2279" t="s">
        <v>1350</v>
      </c>
    </row>
    <row r="2280" spans="1:3">
      <c r="A2280" t="s">
        <v>899</v>
      </c>
      <c r="B2280" t="s">
        <v>1075</v>
      </c>
      <c r="C2280" t="s">
        <v>1349</v>
      </c>
    </row>
    <row r="2281" spans="1:3">
      <c r="A2281" t="s">
        <v>899</v>
      </c>
      <c r="B2281" t="s">
        <v>1075</v>
      </c>
      <c r="C2281" t="s">
        <v>1348</v>
      </c>
    </row>
    <row r="2282" spans="1:3">
      <c r="A2282" t="s">
        <v>899</v>
      </c>
      <c r="B2282" t="s">
        <v>1075</v>
      </c>
      <c r="C2282" t="s">
        <v>1347</v>
      </c>
    </row>
    <row r="2283" spans="1:3">
      <c r="A2283" t="s">
        <v>899</v>
      </c>
      <c r="B2283" t="s">
        <v>1075</v>
      </c>
      <c r="C2283" t="s">
        <v>1346</v>
      </c>
    </row>
    <row r="2284" spans="1:3">
      <c r="A2284" t="s">
        <v>899</v>
      </c>
      <c r="B2284" t="s">
        <v>1075</v>
      </c>
      <c r="C2284" t="s">
        <v>1345</v>
      </c>
    </row>
    <row r="2285" spans="1:3">
      <c r="A2285" t="s">
        <v>899</v>
      </c>
      <c r="B2285" t="s">
        <v>1075</v>
      </c>
      <c r="C2285" t="s">
        <v>1344</v>
      </c>
    </row>
    <row r="2286" spans="1:3">
      <c r="A2286" t="s">
        <v>899</v>
      </c>
      <c r="B2286" t="s">
        <v>1075</v>
      </c>
      <c r="C2286" t="s">
        <v>1343</v>
      </c>
    </row>
    <row r="2287" spans="1:3">
      <c r="A2287" t="s">
        <v>899</v>
      </c>
      <c r="B2287" t="s">
        <v>1075</v>
      </c>
      <c r="C2287" t="s">
        <v>1342</v>
      </c>
    </row>
    <row r="2288" spans="1:3">
      <c r="A2288" t="s">
        <v>899</v>
      </c>
      <c r="B2288" t="s">
        <v>1075</v>
      </c>
      <c r="C2288" t="s">
        <v>1341</v>
      </c>
    </row>
    <row r="2289" spans="1:3">
      <c r="A2289" t="s">
        <v>899</v>
      </c>
      <c r="B2289" t="s">
        <v>1075</v>
      </c>
      <c r="C2289" t="s">
        <v>1340</v>
      </c>
    </row>
    <row r="2290" spans="1:3">
      <c r="A2290" t="s">
        <v>899</v>
      </c>
      <c r="B2290" t="s">
        <v>1075</v>
      </c>
      <c r="C2290" t="s">
        <v>1339</v>
      </c>
    </row>
    <row r="2291" spans="1:3">
      <c r="A2291" t="s">
        <v>899</v>
      </c>
      <c r="B2291" t="s">
        <v>1075</v>
      </c>
      <c r="C2291" t="s">
        <v>1338</v>
      </c>
    </row>
    <row r="2292" spans="1:3">
      <c r="A2292" t="s">
        <v>899</v>
      </c>
      <c r="B2292" t="s">
        <v>1075</v>
      </c>
      <c r="C2292" t="s">
        <v>1337</v>
      </c>
    </row>
    <row r="2293" spans="1:3">
      <c r="A2293" t="s">
        <v>899</v>
      </c>
      <c r="B2293" t="s">
        <v>1075</v>
      </c>
      <c r="C2293" t="s">
        <v>1336</v>
      </c>
    </row>
    <row r="2294" spans="1:3">
      <c r="A2294" t="s">
        <v>899</v>
      </c>
      <c r="B2294" t="s">
        <v>1075</v>
      </c>
      <c r="C2294" t="s">
        <v>1335</v>
      </c>
    </row>
    <row r="2295" spans="1:3">
      <c r="A2295" t="s">
        <v>899</v>
      </c>
      <c r="B2295" t="s">
        <v>1075</v>
      </c>
      <c r="C2295" t="s">
        <v>1334</v>
      </c>
    </row>
    <row r="2296" spans="1:3">
      <c r="A2296" t="s">
        <v>899</v>
      </c>
      <c r="B2296" t="s">
        <v>1075</v>
      </c>
      <c r="C2296" t="s">
        <v>1333</v>
      </c>
    </row>
    <row r="2297" spans="1:3">
      <c r="A2297" t="s">
        <v>899</v>
      </c>
      <c r="B2297" t="s">
        <v>1075</v>
      </c>
      <c r="C2297" t="s">
        <v>1332</v>
      </c>
    </row>
    <row r="2298" spans="1:3">
      <c r="A2298" t="s">
        <v>899</v>
      </c>
      <c r="B2298" t="s">
        <v>1075</v>
      </c>
      <c r="C2298" t="s">
        <v>1331</v>
      </c>
    </row>
    <row r="2299" spans="1:3">
      <c r="A2299" t="s">
        <v>899</v>
      </c>
      <c r="B2299" t="s">
        <v>1075</v>
      </c>
      <c r="C2299" t="s">
        <v>1330</v>
      </c>
    </row>
    <row r="2300" spans="1:3">
      <c r="A2300" t="s">
        <v>899</v>
      </c>
      <c r="B2300" t="s">
        <v>1075</v>
      </c>
      <c r="C2300" t="s">
        <v>1329</v>
      </c>
    </row>
    <row r="2301" spans="1:3">
      <c r="A2301" t="s">
        <v>899</v>
      </c>
      <c r="B2301" t="s">
        <v>1075</v>
      </c>
      <c r="C2301" t="s">
        <v>1328</v>
      </c>
    </row>
    <row r="2302" spans="1:3">
      <c r="A2302" t="s">
        <v>899</v>
      </c>
      <c r="B2302" t="s">
        <v>1075</v>
      </c>
      <c r="C2302" t="s">
        <v>1327</v>
      </c>
    </row>
    <row r="2303" spans="1:3">
      <c r="A2303" t="s">
        <v>899</v>
      </c>
      <c r="B2303" t="s">
        <v>1075</v>
      </c>
      <c r="C2303" t="s">
        <v>1326</v>
      </c>
    </row>
    <row r="2304" spans="1:3">
      <c r="A2304" t="s">
        <v>899</v>
      </c>
      <c r="B2304" t="s">
        <v>1075</v>
      </c>
      <c r="C2304" t="s">
        <v>1325</v>
      </c>
    </row>
    <row r="2305" spans="1:3">
      <c r="A2305" t="s">
        <v>899</v>
      </c>
      <c r="B2305" t="s">
        <v>1075</v>
      </c>
      <c r="C2305" t="s">
        <v>1324</v>
      </c>
    </row>
    <row r="2306" spans="1:3">
      <c r="A2306" t="s">
        <v>899</v>
      </c>
      <c r="B2306" t="s">
        <v>1075</v>
      </c>
      <c r="C2306" t="s">
        <v>1323</v>
      </c>
    </row>
    <row r="2307" spans="1:3">
      <c r="A2307" t="s">
        <v>900</v>
      </c>
      <c r="B2307" t="s">
        <v>1070</v>
      </c>
      <c r="C2307" t="s">
        <v>1254</v>
      </c>
    </row>
    <row r="2308" spans="1:3">
      <c r="A2308" t="s">
        <v>900</v>
      </c>
      <c r="B2308" t="s">
        <v>1070</v>
      </c>
      <c r="C2308" t="s">
        <v>1253</v>
      </c>
    </row>
    <row r="2309" spans="1:3">
      <c r="A2309" t="s">
        <v>900</v>
      </c>
      <c r="B2309" t="s">
        <v>1070</v>
      </c>
      <c r="C2309" t="s">
        <v>1252</v>
      </c>
    </row>
    <row r="2310" spans="1:3">
      <c r="A2310" t="s">
        <v>900</v>
      </c>
      <c r="B2310" t="s">
        <v>1070</v>
      </c>
      <c r="C2310" t="s">
        <v>1251</v>
      </c>
    </row>
    <row r="2311" spans="1:3">
      <c r="A2311" t="s">
        <v>900</v>
      </c>
      <c r="B2311" t="s">
        <v>1070</v>
      </c>
      <c r="C2311" t="s">
        <v>1250</v>
      </c>
    </row>
    <row r="2312" spans="1:3">
      <c r="A2312" t="s">
        <v>900</v>
      </c>
      <c r="B2312" t="s">
        <v>1070</v>
      </c>
      <c r="C2312" t="s">
        <v>1249</v>
      </c>
    </row>
    <row r="2313" spans="1:3">
      <c r="A2313" t="s">
        <v>900</v>
      </c>
      <c r="B2313" t="s">
        <v>1070</v>
      </c>
      <c r="C2313" t="s">
        <v>1248</v>
      </c>
    </row>
    <row r="2314" spans="1:3">
      <c r="A2314" t="s">
        <v>900</v>
      </c>
      <c r="B2314" t="s">
        <v>1070</v>
      </c>
      <c r="C2314" t="s">
        <v>1247</v>
      </c>
    </row>
    <row r="2315" spans="1:3">
      <c r="A2315" t="s">
        <v>900</v>
      </c>
      <c r="B2315" t="s">
        <v>1075</v>
      </c>
      <c r="C2315" t="s">
        <v>1315</v>
      </c>
    </row>
    <row r="2316" spans="1:3">
      <c r="A2316" t="s">
        <v>900</v>
      </c>
      <c r="B2316" t="s">
        <v>1075</v>
      </c>
      <c r="C2316" t="s">
        <v>1314</v>
      </c>
    </row>
    <row r="2317" spans="1:3">
      <c r="A2317" t="s">
        <v>900</v>
      </c>
      <c r="B2317" t="s">
        <v>1075</v>
      </c>
      <c r="C2317" t="s">
        <v>1313</v>
      </c>
    </row>
    <row r="2318" spans="1:3">
      <c r="A2318" t="s">
        <v>900</v>
      </c>
      <c r="B2318" t="s">
        <v>1075</v>
      </c>
      <c r="C2318" t="s">
        <v>1312</v>
      </c>
    </row>
    <row r="2319" spans="1:3">
      <c r="A2319" t="s">
        <v>900</v>
      </c>
      <c r="B2319" t="s">
        <v>1075</v>
      </c>
      <c r="C2319" t="s">
        <v>1311</v>
      </c>
    </row>
    <row r="2320" spans="1:3">
      <c r="A2320" t="s">
        <v>900</v>
      </c>
      <c r="B2320" t="s">
        <v>1075</v>
      </c>
      <c r="C2320" t="s">
        <v>1310</v>
      </c>
    </row>
    <row r="2321" spans="1:3">
      <c r="A2321" t="s">
        <v>900</v>
      </c>
      <c r="B2321" t="s">
        <v>1075</v>
      </c>
      <c r="C2321" t="s">
        <v>1309</v>
      </c>
    </row>
    <row r="2322" spans="1:3">
      <c r="A2322" t="s">
        <v>900</v>
      </c>
      <c r="B2322" t="s">
        <v>1075</v>
      </c>
      <c r="C2322" t="s">
        <v>1308</v>
      </c>
    </row>
    <row r="2323" spans="1:3">
      <c r="A2323" t="s">
        <v>900</v>
      </c>
      <c r="B2323" t="s">
        <v>1075</v>
      </c>
      <c r="C2323" t="s">
        <v>1307</v>
      </c>
    </row>
    <row r="2324" spans="1:3">
      <c r="A2324" t="s">
        <v>900</v>
      </c>
      <c r="B2324" t="s">
        <v>1075</v>
      </c>
      <c r="C2324" t="s">
        <v>1306</v>
      </c>
    </row>
    <row r="2325" spans="1:3">
      <c r="A2325" t="s">
        <v>900</v>
      </c>
      <c r="B2325" t="s">
        <v>1075</v>
      </c>
      <c r="C2325" t="s">
        <v>1305</v>
      </c>
    </row>
    <row r="2326" spans="1:3">
      <c r="A2326" t="s">
        <v>900</v>
      </c>
      <c r="B2326" t="s">
        <v>1075</v>
      </c>
      <c r="C2326" t="s">
        <v>1304</v>
      </c>
    </row>
    <row r="2327" spans="1:3">
      <c r="A2327" t="s">
        <v>900</v>
      </c>
      <c r="B2327" t="s">
        <v>1075</v>
      </c>
      <c r="C2327" t="s">
        <v>1303</v>
      </c>
    </row>
    <row r="2328" spans="1:3">
      <c r="A2328" t="s">
        <v>900</v>
      </c>
      <c r="B2328" t="s">
        <v>1075</v>
      </c>
      <c r="C2328" t="s">
        <v>1302</v>
      </c>
    </row>
    <row r="2329" spans="1:3">
      <c r="A2329" t="s">
        <v>900</v>
      </c>
      <c r="B2329" t="s">
        <v>1075</v>
      </c>
      <c r="C2329" t="s">
        <v>1301</v>
      </c>
    </row>
    <row r="2330" spans="1:3">
      <c r="A2330" t="s">
        <v>900</v>
      </c>
      <c r="B2330" t="s">
        <v>1075</v>
      </c>
      <c r="C2330" t="s">
        <v>1300</v>
      </c>
    </row>
    <row r="2331" spans="1:3">
      <c r="A2331" t="s">
        <v>900</v>
      </c>
      <c r="B2331" t="s">
        <v>1075</v>
      </c>
      <c r="C2331" t="s">
        <v>1299</v>
      </c>
    </row>
    <row r="2332" spans="1:3">
      <c r="A2332" t="s">
        <v>900</v>
      </c>
      <c r="B2332" t="s">
        <v>1075</v>
      </c>
      <c r="C2332" t="s">
        <v>1298</v>
      </c>
    </row>
    <row r="2333" spans="1:3">
      <c r="A2333" t="s">
        <v>900</v>
      </c>
      <c r="B2333" t="s">
        <v>1075</v>
      </c>
      <c r="C2333" t="s">
        <v>1297</v>
      </c>
    </row>
    <row r="2334" spans="1:3">
      <c r="A2334" t="s">
        <v>900</v>
      </c>
      <c r="B2334" t="s">
        <v>1075</v>
      </c>
      <c r="C2334" t="s">
        <v>1296</v>
      </c>
    </row>
    <row r="2335" spans="1:3">
      <c r="A2335" t="s">
        <v>900</v>
      </c>
      <c r="B2335" t="s">
        <v>1075</v>
      </c>
      <c r="C2335" t="s">
        <v>1295</v>
      </c>
    </row>
    <row r="2336" spans="1:3">
      <c r="A2336" t="s">
        <v>900</v>
      </c>
      <c r="B2336" t="s">
        <v>1075</v>
      </c>
      <c r="C2336" t="s">
        <v>1294</v>
      </c>
    </row>
    <row r="2337" spans="1:3">
      <c r="A2337" t="s">
        <v>900</v>
      </c>
      <c r="B2337" t="s">
        <v>1075</v>
      </c>
      <c r="C2337" t="s">
        <v>1293</v>
      </c>
    </row>
    <row r="2338" spans="1:3">
      <c r="A2338" t="s">
        <v>900</v>
      </c>
      <c r="B2338" t="s">
        <v>1075</v>
      </c>
      <c r="C2338" t="s">
        <v>1292</v>
      </c>
    </row>
    <row r="2339" spans="1:3">
      <c r="A2339" t="s">
        <v>900</v>
      </c>
      <c r="B2339" t="s">
        <v>1075</v>
      </c>
      <c r="C2339" t="s">
        <v>1291</v>
      </c>
    </row>
    <row r="2340" spans="1:3">
      <c r="A2340" t="s">
        <v>900</v>
      </c>
      <c r="B2340" t="s">
        <v>1075</v>
      </c>
      <c r="C2340" t="s">
        <v>1290</v>
      </c>
    </row>
    <row r="2341" spans="1:3">
      <c r="A2341" t="s">
        <v>900</v>
      </c>
      <c r="B2341" t="s">
        <v>1075</v>
      </c>
      <c r="C2341" t="s">
        <v>1289</v>
      </c>
    </row>
    <row r="2342" spans="1:3">
      <c r="A2342" t="s">
        <v>900</v>
      </c>
      <c r="B2342" t="s">
        <v>1075</v>
      </c>
      <c r="C2342" t="s">
        <v>1288</v>
      </c>
    </row>
    <row r="2343" spans="1:3">
      <c r="A2343" t="s">
        <v>900</v>
      </c>
      <c r="B2343" t="s">
        <v>1075</v>
      </c>
      <c r="C2343" t="s">
        <v>1287</v>
      </c>
    </row>
    <row r="2344" spans="1:3">
      <c r="A2344" t="s">
        <v>900</v>
      </c>
      <c r="B2344" t="s">
        <v>1075</v>
      </c>
      <c r="C2344" t="s">
        <v>1286</v>
      </c>
    </row>
    <row r="2345" spans="1:3">
      <c r="A2345" t="s">
        <v>900</v>
      </c>
      <c r="B2345" t="s">
        <v>1075</v>
      </c>
      <c r="C2345" t="s">
        <v>1285</v>
      </c>
    </row>
    <row r="2346" spans="1:3">
      <c r="A2346" t="s">
        <v>900</v>
      </c>
      <c r="B2346" t="s">
        <v>1075</v>
      </c>
      <c r="C2346" t="s">
        <v>1284</v>
      </c>
    </row>
    <row r="2347" spans="1:3">
      <c r="A2347" t="s">
        <v>900</v>
      </c>
      <c r="B2347" t="s">
        <v>1075</v>
      </c>
      <c r="C2347" t="s">
        <v>1283</v>
      </c>
    </row>
    <row r="2348" spans="1:3">
      <c r="A2348" t="s">
        <v>900</v>
      </c>
      <c r="B2348" t="s">
        <v>1075</v>
      </c>
      <c r="C2348" t="s">
        <v>1282</v>
      </c>
    </row>
    <row r="2349" spans="1:3">
      <c r="A2349" t="s">
        <v>900</v>
      </c>
      <c r="B2349" t="s">
        <v>1075</v>
      </c>
      <c r="C2349" t="s">
        <v>1281</v>
      </c>
    </row>
    <row r="2350" spans="1:3">
      <c r="A2350" t="s">
        <v>900</v>
      </c>
      <c r="B2350" t="s">
        <v>1075</v>
      </c>
      <c r="C2350" t="s">
        <v>1280</v>
      </c>
    </row>
    <row r="2351" spans="1:3">
      <c r="A2351" t="s">
        <v>900</v>
      </c>
      <c r="B2351" t="s">
        <v>1075</v>
      </c>
      <c r="C2351" t="s">
        <v>1279</v>
      </c>
    </row>
    <row r="2352" spans="1:3">
      <c r="A2352" t="s">
        <v>900</v>
      </c>
      <c r="B2352" t="s">
        <v>1075</v>
      </c>
      <c r="C2352" t="s">
        <v>1278</v>
      </c>
    </row>
    <row r="2353" spans="1:3">
      <c r="A2353" t="s">
        <v>900</v>
      </c>
      <c r="B2353" t="s">
        <v>1075</v>
      </c>
      <c r="C2353" t="s">
        <v>1277</v>
      </c>
    </row>
    <row r="2354" spans="1:3">
      <c r="A2354" t="s">
        <v>900</v>
      </c>
      <c r="B2354" t="s">
        <v>1075</v>
      </c>
      <c r="C2354" t="s">
        <v>1276</v>
      </c>
    </row>
    <row r="2355" spans="1:3">
      <c r="A2355" t="s">
        <v>900</v>
      </c>
      <c r="B2355" t="s">
        <v>1075</v>
      </c>
      <c r="C2355" t="s">
        <v>1275</v>
      </c>
    </row>
    <row r="2356" spans="1:3">
      <c r="A2356" t="s">
        <v>900</v>
      </c>
      <c r="B2356" t="s">
        <v>1075</v>
      </c>
      <c r="C2356" t="s">
        <v>1274</v>
      </c>
    </row>
    <row r="2357" spans="1:3">
      <c r="A2357" t="s">
        <v>900</v>
      </c>
      <c r="B2357" t="s">
        <v>1075</v>
      </c>
      <c r="C2357" t="s">
        <v>1273</v>
      </c>
    </row>
    <row r="2358" spans="1:3">
      <c r="A2358" t="s">
        <v>900</v>
      </c>
      <c r="B2358" t="s">
        <v>1075</v>
      </c>
      <c r="C2358" t="s">
        <v>1272</v>
      </c>
    </row>
    <row r="2359" spans="1:3">
      <c r="A2359" t="s">
        <v>900</v>
      </c>
      <c r="B2359" t="s">
        <v>1075</v>
      </c>
      <c r="C2359" t="s">
        <v>1271</v>
      </c>
    </row>
    <row r="2360" spans="1:3">
      <c r="A2360" t="s">
        <v>900</v>
      </c>
      <c r="B2360" t="s">
        <v>1075</v>
      </c>
      <c r="C2360" t="s">
        <v>1270</v>
      </c>
    </row>
    <row r="2361" spans="1:3">
      <c r="A2361" t="s">
        <v>900</v>
      </c>
      <c r="B2361" t="s">
        <v>1075</v>
      </c>
      <c r="C2361" t="s">
        <v>1269</v>
      </c>
    </row>
    <row r="2362" spans="1:3">
      <c r="A2362" t="s">
        <v>900</v>
      </c>
      <c r="B2362" t="s">
        <v>1075</v>
      </c>
      <c r="C2362" t="s">
        <v>1268</v>
      </c>
    </row>
    <row r="2363" spans="1:3">
      <c r="A2363" t="s">
        <v>900</v>
      </c>
      <c r="B2363" t="s">
        <v>1075</v>
      </c>
      <c r="C2363" t="s">
        <v>1267</v>
      </c>
    </row>
    <row r="2364" spans="1:3">
      <c r="A2364" t="s">
        <v>900</v>
      </c>
      <c r="B2364" t="s">
        <v>1075</v>
      </c>
      <c r="C2364" t="s">
        <v>1266</v>
      </c>
    </row>
    <row r="2365" spans="1:3">
      <c r="A2365" t="s">
        <v>900</v>
      </c>
      <c r="B2365" t="s">
        <v>1075</v>
      </c>
      <c r="C2365" t="s">
        <v>1265</v>
      </c>
    </row>
    <row r="2366" spans="1:3">
      <c r="A2366" t="s">
        <v>900</v>
      </c>
      <c r="B2366" t="s">
        <v>1075</v>
      </c>
      <c r="C2366" t="s">
        <v>1264</v>
      </c>
    </row>
    <row r="2367" spans="1:3">
      <c r="A2367" t="s">
        <v>900</v>
      </c>
      <c r="B2367" t="s">
        <v>1075</v>
      </c>
      <c r="C2367" t="s">
        <v>1263</v>
      </c>
    </row>
    <row r="2368" spans="1:3">
      <c r="A2368" t="s">
        <v>900</v>
      </c>
      <c r="B2368" t="s">
        <v>1075</v>
      </c>
      <c r="C2368" t="s">
        <v>1262</v>
      </c>
    </row>
    <row r="2369" spans="1:3">
      <c r="A2369" t="s">
        <v>900</v>
      </c>
      <c r="B2369" t="s">
        <v>1075</v>
      </c>
      <c r="C2369" t="s">
        <v>1261</v>
      </c>
    </row>
    <row r="2370" spans="1:3">
      <c r="A2370" t="s">
        <v>900</v>
      </c>
      <c r="B2370" t="s">
        <v>1075</v>
      </c>
      <c r="C2370" t="s">
        <v>1260</v>
      </c>
    </row>
    <row r="2371" spans="1:3">
      <c r="A2371" t="s">
        <v>900</v>
      </c>
      <c r="B2371" t="s">
        <v>1075</v>
      </c>
      <c r="C2371" t="s">
        <v>1259</v>
      </c>
    </row>
    <row r="2372" spans="1:3">
      <c r="A2372" t="s">
        <v>900</v>
      </c>
      <c r="B2372" t="s">
        <v>1075</v>
      </c>
      <c r="C2372" t="s">
        <v>1258</v>
      </c>
    </row>
    <row r="2373" spans="1:3">
      <c r="A2373" t="s">
        <v>900</v>
      </c>
      <c r="B2373" t="s">
        <v>1075</v>
      </c>
      <c r="C2373" t="s">
        <v>1257</v>
      </c>
    </row>
    <row r="2374" spans="1:3">
      <c r="A2374" t="s">
        <v>900</v>
      </c>
      <c r="B2374" t="s">
        <v>1075</v>
      </c>
      <c r="C2374" t="s">
        <v>1256</v>
      </c>
    </row>
    <row r="2375" spans="1:3">
      <c r="A2375" t="s">
        <v>900</v>
      </c>
      <c r="B2375" t="s">
        <v>1075</v>
      </c>
      <c r="C2375" t="s">
        <v>1255</v>
      </c>
    </row>
    <row r="2376" spans="1:3">
      <c r="A2376" t="s">
        <v>901</v>
      </c>
      <c r="B2376" t="s">
        <v>1070</v>
      </c>
      <c r="C2376" t="s">
        <v>1197</v>
      </c>
    </row>
    <row r="2377" spans="1:3">
      <c r="A2377" t="s">
        <v>901</v>
      </c>
      <c r="B2377" t="s">
        <v>1070</v>
      </c>
      <c r="C2377" t="s">
        <v>1196</v>
      </c>
    </row>
    <row r="2378" spans="1:3">
      <c r="A2378" t="s">
        <v>901</v>
      </c>
      <c r="B2378" t="s">
        <v>1070</v>
      </c>
      <c r="C2378" t="s">
        <v>1195</v>
      </c>
    </row>
    <row r="2379" spans="1:3">
      <c r="A2379" t="s">
        <v>901</v>
      </c>
      <c r="B2379" t="s">
        <v>1070</v>
      </c>
      <c r="C2379" t="s">
        <v>1194</v>
      </c>
    </row>
    <row r="2380" spans="1:3">
      <c r="A2380" t="s">
        <v>901</v>
      </c>
      <c r="B2380" t="s">
        <v>1070</v>
      </c>
      <c r="C2380" t="s">
        <v>1193</v>
      </c>
    </row>
    <row r="2381" spans="1:3">
      <c r="A2381" t="s">
        <v>901</v>
      </c>
      <c r="B2381" t="s">
        <v>1075</v>
      </c>
      <c r="C2381" t="s">
        <v>1246</v>
      </c>
    </row>
    <row r="2382" spans="1:3">
      <c r="A2382" t="s">
        <v>901</v>
      </c>
      <c r="B2382" t="s">
        <v>1075</v>
      </c>
      <c r="C2382" t="s">
        <v>1245</v>
      </c>
    </row>
    <row r="2383" spans="1:3">
      <c r="A2383" t="s">
        <v>901</v>
      </c>
      <c r="B2383" t="s">
        <v>1075</v>
      </c>
      <c r="C2383" t="s">
        <v>1244</v>
      </c>
    </row>
    <row r="2384" spans="1:3">
      <c r="A2384" t="s">
        <v>901</v>
      </c>
      <c r="B2384" t="s">
        <v>1075</v>
      </c>
      <c r="C2384" t="s">
        <v>1243</v>
      </c>
    </row>
    <row r="2385" spans="1:3">
      <c r="A2385" t="s">
        <v>901</v>
      </c>
      <c r="B2385" t="s">
        <v>1075</v>
      </c>
      <c r="C2385" t="s">
        <v>1242</v>
      </c>
    </row>
    <row r="2386" spans="1:3">
      <c r="A2386" t="s">
        <v>901</v>
      </c>
      <c r="B2386" t="s">
        <v>1075</v>
      </c>
      <c r="C2386" t="s">
        <v>1241</v>
      </c>
    </row>
    <row r="2387" spans="1:3">
      <c r="A2387" t="s">
        <v>901</v>
      </c>
      <c r="B2387" t="s">
        <v>1075</v>
      </c>
      <c r="C2387" t="s">
        <v>1240</v>
      </c>
    </row>
    <row r="2388" spans="1:3">
      <c r="A2388" t="s">
        <v>901</v>
      </c>
      <c r="B2388" t="s">
        <v>1075</v>
      </c>
      <c r="C2388" t="s">
        <v>1239</v>
      </c>
    </row>
    <row r="2389" spans="1:3">
      <c r="A2389" t="s">
        <v>901</v>
      </c>
      <c r="B2389" t="s">
        <v>1075</v>
      </c>
      <c r="C2389" t="s">
        <v>1238</v>
      </c>
    </row>
    <row r="2390" spans="1:3">
      <c r="A2390" t="s">
        <v>901</v>
      </c>
      <c r="B2390" t="s">
        <v>1075</v>
      </c>
      <c r="C2390" t="s">
        <v>1237</v>
      </c>
    </row>
    <row r="2391" spans="1:3">
      <c r="A2391" t="s">
        <v>901</v>
      </c>
      <c r="B2391" t="s">
        <v>1075</v>
      </c>
      <c r="C2391" t="s">
        <v>1236</v>
      </c>
    </row>
    <row r="2392" spans="1:3">
      <c r="A2392" t="s">
        <v>901</v>
      </c>
      <c r="B2392" t="s">
        <v>1075</v>
      </c>
      <c r="C2392" t="s">
        <v>1235</v>
      </c>
    </row>
    <row r="2393" spans="1:3">
      <c r="A2393" t="s">
        <v>901</v>
      </c>
      <c r="B2393" t="s">
        <v>1075</v>
      </c>
      <c r="C2393" t="s">
        <v>1234</v>
      </c>
    </row>
    <row r="2394" spans="1:3">
      <c r="A2394" t="s">
        <v>901</v>
      </c>
      <c r="B2394" t="s">
        <v>1075</v>
      </c>
      <c r="C2394" t="s">
        <v>1233</v>
      </c>
    </row>
    <row r="2395" spans="1:3">
      <c r="A2395" t="s">
        <v>901</v>
      </c>
      <c r="B2395" t="s">
        <v>1075</v>
      </c>
      <c r="C2395" t="s">
        <v>1232</v>
      </c>
    </row>
    <row r="2396" spans="1:3">
      <c r="A2396" t="s">
        <v>901</v>
      </c>
      <c r="B2396" t="s">
        <v>1075</v>
      </c>
      <c r="C2396" t="s">
        <v>1231</v>
      </c>
    </row>
    <row r="2397" spans="1:3">
      <c r="A2397" t="s">
        <v>901</v>
      </c>
      <c r="B2397" t="s">
        <v>1075</v>
      </c>
      <c r="C2397" t="s">
        <v>1230</v>
      </c>
    </row>
    <row r="2398" spans="1:3">
      <c r="A2398" t="s">
        <v>901</v>
      </c>
      <c r="B2398" t="s">
        <v>1075</v>
      </c>
      <c r="C2398" t="s">
        <v>1229</v>
      </c>
    </row>
    <row r="2399" spans="1:3">
      <c r="A2399" t="s">
        <v>901</v>
      </c>
      <c r="B2399" t="s">
        <v>1075</v>
      </c>
      <c r="C2399" t="s">
        <v>1228</v>
      </c>
    </row>
    <row r="2400" spans="1:3">
      <c r="A2400" t="s">
        <v>901</v>
      </c>
      <c r="B2400" t="s">
        <v>1075</v>
      </c>
      <c r="C2400" t="s">
        <v>1227</v>
      </c>
    </row>
    <row r="2401" spans="1:3">
      <c r="A2401" t="s">
        <v>901</v>
      </c>
      <c r="B2401" t="s">
        <v>1075</v>
      </c>
      <c r="C2401" t="s">
        <v>1226</v>
      </c>
    </row>
    <row r="2402" spans="1:3">
      <c r="A2402" t="s">
        <v>901</v>
      </c>
      <c r="B2402" t="s">
        <v>1075</v>
      </c>
      <c r="C2402" t="s">
        <v>1225</v>
      </c>
    </row>
    <row r="2403" spans="1:3">
      <c r="A2403" t="s">
        <v>901</v>
      </c>
      <c r="B2403" t="s">
        <v>1075</v>
      </c>
      <c r="C2403" t="s">
        <v>1224</v>
      </c>
    </row>
    <row r="2404" spans="1:3">
      <c r="A2404" t="s">
        <v>901</v>
      </c>
      <c r="B2404" t="s">
        <v>1075</v>
      </c>
      <c r="C2404" t="s">
        <v>1223</v>
      </c>
    </row>
    <row r="2405" spans="1:3">
      <c r="A2405" t="s">
        <v>901</v>
      </c>
      <c r="B2405" t="s">
        <v>1075</v>
      </c>
      <c r="C2405" t="s">
        <v>1222</v>
      </c>
    </row>
    <row r="2406" spans="1:3">
      <c r="A2406" t="s">
        <v>901</v>
      </c>
      <c r="B2406" t="s">
        <v>1075</v>
      </c>
      <c r="C2406" t="s">
        <v>1221</v>
      </c>
    </row>
    <row r="2407" spans="1:3">
      <c r="A2407" t="s">
        <v>901</v>
      </c>
      <c r="B2407" t="s">
        <v>1075</v>
      </c>
      <c r="C2407" t="s">
        <v>1220</v>
      </c>
    </row>
    <row r="2408" spans="1:3">
      <c r="A2408" t="s">
        <v>901</v>
      </c>
      <c r="B2408" t="s">
        <v>1075</v>
      </c>
      <c r="C2408" t="s">
        <v>1219</v>
      </c>
    </row>
    <row r="2409" spans="1:3">
      <c r="A2409" t="s">
        <v>901</v>
      </c>
      <c r="B2409" t="s">
        <v>1075</v>
      </c>
      <c r="C2409" t="s">
        <v>1218</v>
      </c>
    </row>
    <row r="2410" spans="1:3">
      <c r="A2410" t="s">
        <v>901</v>
      </c>
      <c r="B2410" t="s">
        <v>1075</v>
      </c>
      <c r="C2410" t="s">
        <v>1217</v>
      </c>
    </row>
    <row r="2411" spans="1:3">
      <c r="A2411" t="s">
        <v>901</v>
      </c>
      <c r="B2411" t="s">
        <v>1075</v>
      </c>
      <c r="C2411" t="s">
        <v>1216</v>
      </c>
    </row>
    <row r="2412" spans="1:3">
      <c r="A2412" t="s">
        <v>901</v>
      </c>
      <c r="B2412" t="s">
        <v>1075</v>
      </c>
      <c r="C2412" t="s">
        <v>1215</v>
      </c>
    </row>
    <row r="2413" spans="1:3">
      <c r="A2413" t="s">
        <v>901</v>
      </c>
      <c r="B2413" t="s">
        <v>1075</v>
      </c>
      <c r="C2413" t="s">
        <v>1214</v>
      </c>
    </row>
    <row r="2414" spans="1:3">
      <c r="A2414" t="s">
        <v>901</v>
      </c>
      <c r="B2414" t="s">
        <v>1075</v>
      </c>
      <c r="C2414" t="s">
        <v>1213</v>
      </c>
    </row>
    <row r="2415" spans="1:3">
      <c r="A2415" t="s">
        <v>901</v>
      </c>
      <c r="B2415" t="s">
        <v>1075</v>
      </c>
      <c r="C2415" t="s">
        <v>1212</v>
      </c>
    </row>
    <row r="2416" spans="1:3">
      <c r="A2416" t="s">
        <v>901</v>
      </c>
      <c r="B2416" t="s">
        <v>1075</v>
      </c>
      <c r="C2416" t="s">
        <v>1211</v>
      </c>
    </row>
    <row r="2417" spans="1:3">
      <c r="A2417" t="s">
        <v>901</v>
      </c>
      <c r="B2417" t="s">
        <v>1075</v>
      </c>
      <c r="C2417" t="s">
        <v>1210</v>
      </c>
    </row>
    <row r="2418" spans="1:3">
      <c r="A2418" t="s">
        <v>901</v>
      </c>
      <c r="B2418" t="s">
        <v>1075</v>
      </c>
      <c r="C2418" t="s">
        <v>1209</v>
      </c>
    </row>
    <row r="2419" spans="1:3">
      <c r="A2419" t="s">
        <v>901</v>
      </c>
      <c r="B2419" t="s">
        <v>1075</v>
      </c>
      <c r="C2419" t="s">
        <v>1208</v>
      </c>
    </row>
    <row r="2420" spans="1:3">
      <c r="A2420" t="s">
        <v>901</v>
      </c>
      <c r="B2420" t="s">
        <v>1075</v>
      </c>
      <c r="C2420" t="s">
        <v>1207</v>
      </c>
    </row>
    <row r="2421" spans="1:3">
      <c r="A2421" t="s">
        <v>901</v>
      </c>
      <c r="B2421" t="s">
        <v>1075</v>
      </c>
      <c r="C2421" t="s">
        <v>1206</v>
      </c>
    </row>
    <row r="2422" spans="1:3">
      <c r="A2422" t="s">
        <v>901</v>
      </c>
      <c r="B2422" t="s">
        <v>1075</v>
      </c>
      <c r="C2422" t="s">
        <v>1205</v>
      </c>
    </row>
    <row r="2423" spans="1:3">
      <c r="A2423" t="s">
        <v>901</v>
      </c>
      <c r="B2423" t="s">
        <v>1075</v>
      </c>
      <c r="C2423" t="s">
        <v>1204</v>
      </c>
    </row>
    <row r="2424" spans="1:3">
      <c r="A2424" t="s">
        <v>901</v>
      </c>
      <c r="B2424" t="s">
        <v>1075</v>
      </c>
      <c r="C2424" t="s">
        <v>1203</v>
      </c>
    </row>
    <row r="2425" spans="1:3">
      <c r="A2425" t="s">
        <v>901</v>
      </c>
      <c r="B2425" t="s">
        <v>1075</v>
      </c>
      <c r="C2425" t="s">
        <v>1202</v>
      </c>
    </row>
    <row r="2426" spans="1:3">
      <c r="A2426" t="s">
        <v>901</v>
      </c>
      <c r="B2426" t="s">
        <v>1075</v>
      </c>
      <c r="C2426" t="s">
        <v>1201</v>
      </c>
    </row>
    <row r="2427" spans="1:3">
      <c r="A2427" t="s">
        <v>901</v>
      </c>
      <c r="B2427" t="s">
        <v>1075</v>
      </c>
      <c r="C2427" t="s">
        <v>1200</v>
      </c>
    </row>
    <row r="2428" spans="1:3">
      <c r="A2428" t="s">
        <v>901</v>
      </c>
      <c r="B2428" t="s">
        <v>1075</v>
      </c>
      <c r="C2428" t="s">
        <v>1199</v>
      </c>
    </row>
    <row r="2429" spans="1:3">
      <c r="A2429" t="s">
        <v>901</v>
      </c>
      <c r="B2429" t="s">
        <v>1075</v>
      </c>
      <c r="C2429" t="s">
        <v>1198</v>
      </c>
    </row>
    <row r="2430" spans="1:3">
      <c r="A2430" t="s">
        <v>902</v>
      </c>
      <c r="B2430" t="s">
        <v>1070</v>
      </c>
      <c r="C2430" t="s">
        <v>1143</v>
      </c>
    </row>
    <row r="2431" spans="1:3">
      <c r="A2431" t="s">
        <v>902</v>
      </c>
      <c r="B2431" t="s">
        <v>1070</v>
      </c>
      <c r="C2431" t="s">
        <v>1142</v>
      </c>
    </row>
    <row r="2432" spans="1:3">
      <c r="A2432" t="s">
        <v>902</v>
      </c>
      <c r="B2432" t="s">
        <v>1070</v>
      </c>
      <c r="C2432" t="s">
        <v>1141</v>
      </c>
    </row>
    <row r="2433" spans="1:3">
      <c r="A2433" t="s">
        <v>902</v>
      </c>
      <c r="B2433" t="s">
        <v>1070</v>
      </c>
      <c r="C2433" t="s">
        <v>1140</v>
      </c>
    </row>
    <row r="2434" spans="1:3">
      <c r="A2434" t="s">
        <v>902</v>
      </c>
      <c r="B2434" t="s">
        <v>1070</v>
      </c>
      <c r="C2434" t="s">
        <v>1139</v>
      </c>
    </row>
    <row r="2435" spans="1:3">
      <c r="A2435" t="s">
        <v>902</v>
      </c>
      <c r="B2435" t="s">
        <v>1075</v>
      </c>
      <c r="C2435" t="s">
        <v>1192</v>
      </c>
    </row>
    <row r="2436" spans="1:3">
      <c r="A2436" t="s">
        <v>902</v>
      </c>
      <c r="B2436" t="s">
        <v>1075</v>
      </c>
      <c r="C2436" t="s">
        <v>1191</v>
      </c>
    </row>
    <row r="2437" spans="1:3">
      <c r="A2437" t="s">
        <v>902</v>
      </c>
      <c r="B2437" t="s">
        <v>1075</v>
      </c>
      <c r="C2437" t="s">
        <v>1190</v>
      </c>
    </row>
    <row r="2438" spans="1:3">
      <c r="A2438" t="s">
        <v>902</v>
      </c>
      <c r="B2438" t="s">
        <v>1075</v>
      </c>
      <c r="C2438" t="s">
        <v>1189</v>
      </c>
    </row>
    <row r="2439" spans="1:3">
      <c r="A2439" t="s">
        <v>902</v>
      </c>
      <c r="B2439" t="s">
        <v>1075</v>
      </c>
      <c r="C2439" t="s">
        <v>1188</v>
      </c>
    </row>
    <row r="2440" spans="1:3">
      <c r="A2440" t="s">
        <v>902</v>
      </c>
      <c r="B2440" t="s">
        <v>1075</v>
      </c>
      <c r="C2440" t="s">
        <v>1187</v>
      </c>
    </row>
    <row r="2441" spans="1:3">
      <c r="A2441" t="s">
        <v>902</v>
      </c>
      <c r="B2441" t="s">
        <v>1075</v>
      </c>
      <c r="C2441" t="s">
        <v>1186</v>
      </c>
    </row>
    <row r="2442" spans="1:3">
      <c r="A2442" t="s">
        <v>902</v>
      </c>
      <c r="B2442" t="s">
        <v>1075</v>
      </c>
      <c r="C2442" t="s">
        <v>1185</v>
      </c>
    </row>
    <row r="2443" spans="1:3">
      <c r="A2443" t="s">
        <v>902</v>
      </c>
      <c r="B2443" t="s">
        <v>1075</v>
      </c>
      <c r="C2443" t="s">
        <v>1184</v>
      </c>
    </row>
    <row r="2444" spans="1:3">
      <c r="A2444" t="s">
        <v>902</v>
      </c>
      <c r="B2444" t="s">
        <v>1075</v>
      </c>
      <c r="C2444" t="s">
        <v>1183</v>
      </c>
    </row>
    <row r="2445" spans="1:3">
      <c r="A2445" t="s">
        <v>902</v>
      </c>
      <c r="B2445" t="s">
        <v>1075</v>
      </c>
      <c r="C2445" t="s">
        <v>1182</v>
      </c>
    </row>
    <row r="2446" spans="1:3">
      <c r="A2446" t="s">
        <v>902</v>
      </c>
      <c r="B2446" t="s">
        <v>1075</v>
      </c>
      <c r="C2446" t="s">
        <v>1181</v>
      </c>
    </row>
    <row r="2447" spans="1:3">
      <c r="A2447" t="s">
        <v>902</v>
      </c>
      <c r="B2447" t="s">
        <v>1075</v>
      </c>
      <c r="C2447" t="s">
        <v>1180</v>
      </c>
    </row>
    <row r="2448" spans="1:3">
      <c r="A2448" t="s">
        <v>902</v>
      </c>
      <c r="B2448" t="s">
        <v>1075</v>
      </c>
      <c r="C2448" t="s">
        <v>1179</v>
      </c>
    </row>
    <row r="2449" spans="1:3">
      <c r="A2449" t="s">
        <v>902</v>
      </c>
      <c r="B2449" t="s">
        <v>1075</v>
      </c>
      <c r="C2449" t="s">
        <v>1178</v>
      </c>
    </row>
    <row r="2450" spans="1:3">
      <c r="A2450" t="s">
        <v>902</v>
      </c>
      <c r="B2450" t="s">
        <v>1075</v>
      </c>
      <c r="C2450" t="s">
        <v>1177</v>
      </c>
    </row>
    <row r="2451" spans="1:3">
      <c r="A2451" t="s">
        <v>902</v>
      </c>
      <c r="B2451" t="s">
        <v>1075</v>
      </c>
      <c r="C2451" t="s">
        <v>1176</v>
      </c>
    </row>
    <row r="2452" spans="1:3">
      <c r="A2452" t="s">
        <v>902</v>
      </c>
      <c r="B2452" t="s">
        <v>1075</v>
      </c>
      <c r="C2452" t="s">
        <v>1175</v>
      </c>
    </row>
    <row r="2453" spans="1:3">
      <c r="A2453" t="s">
        <v>902</v>
      </c>
      <c r="B2453" t="s">
        <v>1075</v>
      </c>
      <c r="C2453" t="s">
        <v>1174</v>
      </c>
    </row>
    <row r="2454" spans="1:3">
      <c r="A2454" t="s">
        <v>902</v>
      </c>
      <c r="B2454" t="s">
        <v>1075</v>
      </c>
      <c r="C2454" t="s">
        <v>1173</v>
      </c>
    </row>
    <row r="2455" spans="1:3">
      <c r="A2455" t="s">
        <v>902</v>
      </c>
      <c r="B2455" t="s">
        <v>1075</v>
      </c>
      <c r="C2455" t="s">
        <v>1172</v>
      </c>
    </row>
    <row r="2456" spans="1:3">
      <c r="A2456" t="s">
        <v>902</v>
      </c>
      <c r="B2456" t="s">
        <v>1075</v>
      </c>
      <c r="C2456" t="s">
        <v>1171</v>
      </c>
    </row>
    <row r="2457" spans="1:3">
      <c r="A2457" t="s">
        <v>902</v>
      </c>
      <c r="B2457" t="s">
        <v>1075</v>
      </c>
      <c r="C2457" t="s">
        <v>1170</v>
      </c>
    </row>
    <row r="2458" spans="1:3">
      <c r="A2458" t="s">
        <v>902</v>
      </c>
      <c r="B2458" t="s">
        <v>1075</v>
      </c>
      <c r="C2458" t="s">
        <v>1169</v>
      </c>
    </row>
    <row r="2459" spans="1:3">
      <c r="A2459" t="s">
        <v>902</v>
      </c>
      <c r="B2459" t="s">
        <v>1075</v>
      </c>
      <c r="C2459" t="s">
        <v>1168</v>
      </c>
    </row>
    <row r="2460" spans="1:3">
      <c r="A2460" t="s">
        <v>902</v>
      </c>
      <c r="B2460" t="s">
        <v>1075</v>
      </c>
      <c r="C2460" t="s">
        <v>1167</v>
      </c>
    </row>
    <row r="2461" spans="1:3">
      <c r="A2461" t="s">
        <v>902</v>
      </c>
      <c r="B2461" t="s">
        <v>1075</v>
      </c>
      <c r="C2461" t="s">
        <v>1166</v>
      </c>
    </row>
    <row r="2462" spans="1:3">
      <c r="A2462" t="s">
        <v>902</v>
      </c>
      <c r="B2462" t="s">
        <v>1075</v>
      </c>
      <c r="C2462" t="s">
        <v>1165</v>
      </c>
    </row>
    <row r="2463" spans="1:3">
      <c r="A2463" t="s">
        <v>902</v>
      </c>
      <c r="B2463" t="s">
        <v>1075</v>
      </c>
      <c r="C2463" t="s">
        <v>1164</v>
      </c>
    </row>
    <row r="2464" spans="1:3">
      <c r="A2464" t="s">
        <v>902</v>
      </c>
      <c r="B2464" t="s">
        <v>1075</v>
      </c>
      <c r="C2464" t="s">
        <v>1163</v>
      </c>
    </row>
    <row r="2465" spans="1:3">
      <c r="A2465" t="s">
        <v>902</v>
      </c>
      <c r="B2465" t="s">
        <v>1075</v>
      </c>
      <c r="C2465" t="s">
        <v>1162</v>
      </c>
    </row>
    <row r="2466" spans="1:3">
      <c r="A2466" t="s">
        <v>902</v>
      </c>
      <c r="B2466" t="s">
        <v>1075</v>
      </c>
      <c r="C2466" t="s">
        <v>1161</v>
      </c>
    </row>
    <row r="2467" spans="1:3">
      <c r="A2467" t="s">
        <v>902</v>
      </c>
      <c r="B2467" t="s">
        <v>1075</v>
      </c>
      <c r="C2467" t="s">
        <v>1160</v>
      </c>
    </row>
    <row r="2468" spans="1:3">
      <c r="A2468" t="s">
        <v>902</v>
      </c>
      <c r="B2468" t="s">
        <v>1075</v>
      </c>
      <c r="C2468" t="s">
        <v>1159</v>
      </c>
    </row>
    <row r="2469" spans="1:3">
      <c r="A2469" t="s">
        <v>902</v>
      </c>
      <c r="B2469" t="s">
        <v>1075</v>
      </c>
      <c r="C2469" t="s">
        <v>1158</v>
      </c>
    </row>
    <row r="2470" spans="1:3">
      <c r="A2470" t="s">
        <v>902</v>
      </c>
      <c r="B2470" t="s">
        <v>1075</v>
      </c>
      <c r="C2470" t="s">
        <v>1157</v>
      </c>
    </row>
    <row r="2471" spans="1:3">
      <c r="A2471" t="s">
        <v>902</v>
      </c>
      <c r="B2471" t="s">
        <v>1075</v>
      </c>
      <c r="C2471" t="s">
        <v>1156</v>
      </c>
    </row>
    <row r="2472" spans="1:3">
      <c r="A2472" t="s">
        <v>902</v>
      </c>
      <c r="B2472" t="s">
        <v>1075</v>
      </c>
      <c r="C2472" t="s">
        <v>1155</v>
      </c>
    </row>
    <row r="2473" spans="1:3">
      <c r="A2473" t="s">
        <v>902</v>
      </c>
      <c r="B2473" t="s">
        <v>1075</v>
      </c>
      <c r="C2473" t="s">
        <v>1154</v>
      </c>
    </row>
    <row r="2474" spans="1:3">
      <c r="A2474" t="s">
        <v>902</v>
      </c>
      <c r="B2474" t="s">
        <v>1075</v>
      </c>
      <c r="C2474" t="s">
        <v>1153</v>
      </c>
    </row>
    <row r="2475" spans="1:3">
      <c r="A2475" t="s">
        <v>902</v>
      </c>
      <c r="B2475" t="s">
        <v>1075</v>
      </c>
      <c r="C2475" t="s">
        <v>1152</v>
      </c>
    </row>
    <row r="2476" spans="1:3">
      <c r="A2476" t="s">
        <v>902</v>
      </c>
      <c r="B2476" t="s">
        <v>1075</v>
      </c>
      <c r="C2476" t="s">
        <v>1151</v>
      </c>
    </row>
    <row r="2477" spans="1:3">
      <c r="A2477" t="s">
        <v>902</v>
      </c>
      <c r="B2477" t="s">
        <v>1075</v>
      </c>
      <c r="C2477" t="s">
        <v>1150</v>
      </c>
    </row>
    <row r="2478" spans="1:3">
      <c r="A2478" t="s">
        <v>902</v>
      </c>
      <c r="B2478" t="s">
        <v>1075</v>
      </c>
      <c r="C2478" t="s">
        <v>1149</v>
      </c>
    </row>
    <row r="2479" spans="1:3">
      <c r="A2479" t="s">
        <v>902</v>
      </c>
      <c r="B2479" t="s">
        <v>1075</v>
      </c>
      <c r="C2479" t="s">
        <v>1148</v>
      </c>
    </row>
    <row r="2480" spans="1:3">
      <c r="A2480" t="s">
        <v>902</v>
      </c>
      <c r="B2480" t="s">
        <v>1075</v>
      </c>
      <c r="C2480" t="s">
        <v>1147</v>
      </c>
    </row>
    <row r="2481" spans="1:3">
      <c r="A2481" t="s">
        <v>902</v>
      </c>
      <c r="B2481" t="s">
        <v>1075</v>
      </c>
      <c r="C2481" t="s">
        <v>1146</v>
      </c>
    </row>
    <row r="2482" spans="1:3">
      <c r="A2482" t="s">
        <v>902</v>
      </c>
      <c r="B2482" t="s">
        <v>1075</v>
      </c>
      <c r="C2482" t="s">
        <v>1145</v>
      </c>
    </row>
    <row r="2483" spans="1:3">
      <c r="A2483" t="s">
        <v>902</v>
      </c>
      <c r="B2483" t="s">
        <v>1075</v>
      </c>
      <c r="C2483" t="s">
        <v>1144</v>
      </c>
    </row>
    <row r="2484" spans="1:3">
      <c r="A2484" t="s">
        <v>903</v>
      </c>
      <c r="B2484" t="s">
        <v>1070</v>
      </c>
      <c r="C2484" t="s">
        <v>1125</v>
      </c>
    </row>
    <row r="2485" spans="1:3">
      <c r="A2485" t="s">
        <v>903</v>
      </c>
      <c r="B2485" t="s">
        <v>1075</v>
      </c>
      <c r="C2485" t="s">
        <v>1138</v>
      </c>
    </row>
    <row r="2486" spans="1:3">
      <c r="A2486" t="s">
        <v>903</v>
      </c>
      <c r="B2486" t="s">
        <v>1075</v>
      </c>
      <c r="C2486" t="s">
        <v>1137</v>
      </c>
    </row>
    <row r="2487" spans="1:3">
      <c r="A2487" t="s">
        <v>903</v>
      </c>
      <c r="B2487" t="s">
        <v>1075</v>
      </c>
      <c r="C2487" t="s">
        <v>1136</v>
      </c>
    </row>
    <row r="2488" spans="1:3">
      <c r="A2488" t="s">
        <v>903</v>
      </c>
      <c r="B2488" t="s">
        <v>1075</v>
      </c>
      <c r="C2488" t="s">
        <v>1135</v>
      </c>
    </row>
    <row r="2489" spans="1:3">
      <c r="A2489" t="s">
        <v>903</v>
      </c>
      <c r="B2489" t="s">
        <v>1075</v>
      </c>
      <c r="C2489" t="s">
        <v>1134</v>
      </c>
    </row>
    <row r="2490" spans="1:3">
      <c r="A2490" t="s">
        <v>903</v>
      </c>
      <c r="B2490" t="s">
        <v>1075</v>
      </c>
      <c r="C2490" t="s">
        <v>1133</v>
      </c>
    </row>
    <row r="2491" spans="1:3">
      <c r="A2491" t="s">
        <v>903</v>
      </c>
      <c r="B2491" t="s">
        <v>1075</v>
      </c>
      <c r="C2491" t="s">
        <v>1132</v>
      </c>
    </row>
    <row r="2492" spans="1:3">
      <c r="A2492" t="s">
        <v>903</v>
      </c>
      <c r="B2492" t="s">
        <v>1075</v>
      </c>
      <c r="C2492" t="s">
        <v>1131</v>
      </c>
    </row>
    <row r="2493" spans="1:3">
      <c r="A2493" t="s">
        <v>903</v>
      </c>
      <c r="B2493" t="s">
        <v>1075</v>
      </c>
      <c r="C2493" t="s">
        <v>1130</v>
      </c>
    </row>
    <row r="2494" spans="1:3">
      <c r="A2494" t="s">
        <v>903</v>
      </c>
      <c r="B2494" t="s">
        <v>1075</v>
      </c>
      <c r="C2494" t="s">
        <v>1129</v>
      </c>
    </row>
    <row r="2495" spans="1:3">
      <c r="A2495" t="s">
        <v>903</v>
      </c>
      <c r="B2495" t="s">
        <v>1075</v>
      </c>
      <c r="C2495" t="s">
        <v>1128</v>
      </c>
    </row>
    <row r="2496" spans="1:3">
      <c r="A2496" t="s">
        <v>903</v>
      </c>
      <c r="B2496" t="s">
        <v>1075</v>
      </c>
      <c r="C2496" t="s">
        <v>1127</v>
      </c>
    </row>
    <row r="2497" spans="1:3">
      <c r="A2497" t="s">
        <v>903</v>
      </c>
      <c r="B2497" t="s">
        <v>1075</v>
      </c>
      <c r="C2497" t="s">
        <v>1126</v>
      </c>
    </row>
    <row r="2498" spans="1:3">
      <c r="A2498" t="s">
        <v>904</v>
      </c>
      <c r="B2498" t="s">
        <v>1070</v>
      </c>
      <c r="C2498" t="s">
        <v>1111</v>
      </c>
    </row>
    <row r="2499" spans="1:3">
      <c r="A2499" t="s">
        <v>904</v>
      </c>
      <c r="B2499" t="s">
        <v>1075</v>
      </c>
      <c r="C2499" t="s">
        <v>1124</v>
      </c>
    </row>
    <row r="2500" spans="1:3">
      <c r="A2500" t="s">
        <v>904</v>
      </c>
      <c r="B2500" t="s">
        <v>1075</v>
      </c>
      <c r="C2500" t="s">
        <v>1123</v>
      </c>
    </row>
    <row r="2501" spans="1:3">
      <c r="A2501" t="s">
        <v>904</v>
      </c>
      <c r="B2501" t="s">
        <v>1075</v>
      </c>
      <c r="C2501" t="s">
        <v>1122</v>
      </c>
    </row>
    <row r="2502" spans="1:3">
      <c r="A2502" t="s">
        <v>904</v>
      </c>
      <c r="B2502" t="s">
        <v>1075</v>
      </c>
      <c r="C2502" t="s">
        <v>1121</v>
      </c>
    </row>
    <row r="2503" spans="1:3">
      <c r="A2503" t="s">
        <v>904</v>
      </c>
      <c r="B2503" t="s">
        <v>1075</v>
      </c>
      <c r="C2503" t="s">
        <v>1120</v>
      </c>
    </row>
    <row r="2504" spans="1:3">
      <c r="A2504" t="s">
        <v>904</v>
      </c>
      <c r="B2504" t="s">
        <v>1075</v>
      </c>
      <c r="C2504" t="s">
        <v>1119</v>
      </c>
    </row>
    <row r="2505" spans="1:3">
      <c r="A2505" t="s">
        <v>904</v>
      </c>
      <c r="B2505" t="s">
        <v>1075</v>
      </c>
      <c r="C2505" t="s">
        <v>1118</v>
      </c>
    </row>
    <row r="2506" spans="1:3">
      <c r="A2506" t="s">
        <v>904</v>
      </c>
      <c r="B2506" t="s">
        <v>1075</v>
      </c>
      <c r="C2506" t="s">
        <v>1117</v>
      </c>
    </row>
    <row r="2507" spans="1:3">
      <c r="A2507" t="s">
        <v>904</v>
      </c>
      <c r="B2507" t="s">
        <v>1075</v>
      </c>
      <c r="C2507" t="s">
        <v>1116</v>
      </c>
    </row>
    <row r="2508" spans="1:3">
      <c r="A2508" t="s">
        <v>904</v>
      </c>
      <c r="B2508" t="s">
        <v>1075</v>
      </c>
      <c r="C2508" t="s">
        <v>1115</v>
      </c>
    </row>
    <row r="2509" spans="1:3">
      <c r="A2509" t="s">
        <v>904</v>
      </c>
      <c r="B2509" t="s">
        <v>1075</v>
      </c>
      <c r="C2509" t="s">
        <v>1114</v>
      </c>
    </row>
    <row r="2510" spans="1:3">
      <c r="A2510" t="s">
        <v>904</v>
      </c>
      <c r="B2510" t="s">
        <v>1075</v>
      </c>
      <c r="C2510" t="s">
        <v>1113</v>
      </c>
    </row>
    <row r="2511" spans="1:3">
      <c r="A2511" t="s">
        <v>904</v>
      </c>
      <c r="B2511" t="s">
        <v>1075</v>
      </c>
      <c r="C2511" t="s">
        <v>1112</v>
      </c>
    </row>
    <row r="2512" spans="1:3">
      <c r="A2512" t="s">
        <v>905</v>
      </c>
      <c r="B2512" t="s">
        <v>1070</v>
      </c>
      <c r="C2512" t="s">
        <v>1102</v>
      </c>
    </row>
    <row r="2513" spans="1:3">
      <c r="A2513" t="s">
        <v>905</v>
      </c>
      <c r="B2513" t="s">
        <v>1070</v>
      </c>
      <c r="C2513" t="s">
        <v>1101</v>
      </c>
    </row>
    <row r="2514" spans="1:3">
      <c r="A2514" t="s">
        <v>905</v>
      </c>
      <c r="B2514" t="s">
        <v>1070</v>
      </c>
      <c r="C2514" t="s">
        <v>1100</v>
      </c>
    </row>
    <row r="2515" spans="1:3">
      <c r="A2515" t="s">
        <v>905</v>
      </c>
      <c r="B2515" t="s">
        <v>1075</v>
      </c>
      <c r="C2515" t="s">
        <v>1110</v>
      </c>
    </row>
    <row r="2516" spans="1:3">
      <c r="A2516" t="s">
        <v>905</v>
      </c>
      <c r="B2516" t="s">
        <v>1075</v>
      </c>
      <c r="C2516" t="s">
        <v>1109</v>
      </c>
    </row>
    <row r="2517" spans="1:3">
      <c r="A2517" t="s">
        <v>905</v>
      </c>
      <c r="B2517" t="s">
        <v>1075</v>
      </c>
      <c r="C2517" t="s">
        <v>1108</v>
      </c>
    </row>
    <row r="2518" spans="1:3">
      <c r="A2518" t="s">
        <v>905</v>
      </c>
      <c r="B2518" t="s">
        <v>1075</v>
      </c>
      <c r="C2518" t="s">
        <v>1107</v>
      </c>
    </row>
    <row r="2519" spans="1:3">
      <c r="A2519" t="s">
        <v>905</v>
      </c>
      <c r="B2519" t="s">
        <v>1075</v>
      </c>
      <c r="C2519" t="s">
        <v>1106</v>
      </c>
    </row>
    <row r="2520" spans="1:3">
      <c r="A2520" t="s">
        <v>905</v>
      </c>
      <c r="B2520" t="s">
        <v>1075</v>
      </c>
      <c r="C2520" t="s">
        <v>1105</v>
      </c>
    </row>
    <row r="2521" spans="1:3">
      <c r="A2521" t="s">
        <v>905</v>
      </c>
      <c r="B2521" t="s">
        <v>1075</v>
      </c>
      <c r="C2521" t="s">
        <v>1104</v>
      </c>
    </row>
    <row r="2522" spans="1:3">
      <c r="A2522" t="s">
        <v>905</v>
      </c>
      <c r="B2522" t="s">
        <v>1075</v>
      </c>
      <c r="C2522" t="s">
        <v>1103</v>
      </c>
    </row>
    <row r="2523" spans="1:3">
      <c r="A2523" t="s">
        <v>906</v>
      </c>
      <c r="B2523" t="s">
        <v>1070</v>
      </c>
      <c r="C2523" t="s">
        <v>1073</v>
      </c>
    </row>
    <row r="2524" spans="1:3">
      <c r="A2524" t="s">
        <v>906</v>
      </c>
      <c r="B2524" t="s">
        <v>1070</v>
      </c>
      <c r="C2524" t="s">
        <v>1072</v>
      </c>
    </row>
    <row r="2525" spans="1:3">
      <c r="A2525" t="s">
        <v>906</v>
      </c>
      <c r="B2525" t="s">
        <v>1070</v>
      </c>
      <c r="C2525" t="s">
        <v>1071</v>
      </c>
    </row>
    <row r="2526" spans="1:3">
      <c r="A2526" t="s">
        <v>906</v>
      </c>
      <c r="B2526" t="s">
        <v>1070</v>
      </c>
      <c r="C2526" t="s">
        <v>1069</v>
      </c>
    </row>
    <row r="2527" spans="1:3">
      <c r="A2527" t="s">
        <v>906</v>
      </c>
      <c r="B2527" t="s">
        <v>1075</v>
      </c>
      <c r="C2527" t="s">
        <v>1099</v>
      </c>
    </row>
    <row r="2528" spans="1:3">
      <c r="A2528" t="s">
        <v>906</v>
      </c>
      <c r="B2528" t="s">
        <v>1075</v>
      </c>
      <c r="C2528" t="s">
        <v>1098</v>
      </c>
    </row>
    <row r="2529" spans="1:3">
      <c r="A2529" t="s">
        <v>906</v>
      </c>
      <c r="B2529" t="s">
        <v>1075</v>
      </c>
      <c r="C2529" t="s">
        <v>1097</v>
      </c>
    </row>
    <row r="2530" spans="1:3">
      <c r="A2530" t="s">
        <v>906</v>
      </c>
      <c r="B2530" t="s">
        <v>1075</v>
      </c>
      <c r="C2530" t="s">
        <v>1096</v>
      </c>
    </row>
    <row r="2531" spans="1:3">
      <c r="A2531" t="s">
        <v>906</v>
      </c>
      <c r="B2531" t="s">
        <v>1075</v>
      </c>
      <c r="C2531" t="s">
        <v>1095</v>
      </c>
    </row>
    <row r="2532" spans="1:3">
      <c r="A2532" t="s">
        <v>906</v>
      </c>
      <c r="B2532" t="s">
        <v>1075</v>
      </c>
      <c r="C2532" t="s">
        <v>1094</v>
      </c>
    </row>
    <row r="2533" spans="1:3">
      <c r="A2533" t="s">
        <v>906</v>
      </c>
      <c r="B2533" t="s">
        <v>1075</v>
      </c>
      <c r="C2533" t="s">
        <v>1093</v>
      </c>
    </row>
    <row r="2534" spans="1:3">
      <c r="A2534" t="s">
        <v>906</v>
      </c>
      <c r="B2534" t="s">
        <v>1075</v>
      </c>
      <c r="C2534" t="s">
        <v>1092</v>
      </c>
    </row>
    <row r="2535" spans="1:3">
      <c r="A2535" t="s">
        <v>906</v>
      </c>
      <c r="B2535" t="s">
        <v>1075</v>
      </c>
      <c r="C2535" t="s">
        <v>1091</v>
      </c>
    </row>
    <row r="2536" spans="1:3">
      <c r="A2536" t="s">
        <v>906</v>
      </c>
      <c r="B2536" t="s">
        <v>1075</v>
      </c>
      <c r="C2536" t="s">
        <v>1090</v>
      </c>
    </row>
    <row r="2537" spans="1:3">
      <c r="A2537" t="s">
        <v>906</v>
      </c>
      <c r="B2537" t="s">
        <v>1075</v>
      </c>
      <c r="C2537" t="s">
        <v>1089</v>
      </c>
    </row>
    <row r="2538" spans="1:3">
      <c r="A2538" t="s">
        <v>906</v>
      </c>
      <c r="B2538" t="s">
        <v>1075</v>
      </c>
      <c r="C2538" t="s">
        <v>1088</v>
      </c>
    </row>
    <row r="2539" spans="1:3">
      <c r="A2539" t="s">
        <v>906</v>
      </c>
      <c r="B2539" t="s">
        <v>1075</v>
      </c>
      <c r="C2539" t="s">
        <v>1087</v>
      </c>
    </row>
    <row r="2540" spans="1:3">
      <c r="A2540" t="s">
        <v>906</v>
      </c>
      <c r="B2540" t="s">
        <v>1075</v>
      </c>
      <c r="C2540" t="s">
        <v>1086</v>
      </c>
    </row>
    <row r="2541" spans="1:3">
      <c r="A2541" t="s">
        <v>906</v>
      </c>
      <c r="B2541" t="s">
        <v>1075</v>
      </c>
      <c r="C2541" t="s">
        <v>1085</v>
      </c>
    </row>
    <row r="2542" spans="1:3">
      <c r="A2542" t="s">
        <v>906</v>
      </c>
      <c r="B2542" t="s">
        <v>1075</v>
      </c>
      <c r="C2542" t="s">
        <v>1084</v>
      </c>
    </row>
    <row r="2543" spans="1:3">
      <c r="A2543" t="s">
        <v>906</v>
      </c>
      <c r="B2543" t="s">
        <v>1075</v>
      </c>
      <c r="C2543" t="s">
        <v>1083</v>
      </c>
    </row>
    <row r="2544" spans="1:3">
      <c r="A2544" t="s">
        <v>906</v>
      </c>
      <c r="B2544" t="s">
        <v>1075</v>
      </c>
      <c r="C2544" t="s">
        <v>1082</v>
      </c>
    </row>
    <row r="2545" spans="1:3">
      <c r="A2545" t="s">
        <v>906</v>
      </c>
      <c r="B2545" t="s">
        <v>1075</v>
      </c>
      <c r="C2545" t="s">
        <v>1081</v>
      </c>
    </row>
    <row r="2546" spans="1:3">
      <c r="A2546" t="s">
        <v>906</v>
      </c>
      <c r="B2546" t="s">
        <v>1075</v>
      </c>
      <c r="C2546" t="s">
        <v>1080</v>
      </c>
    </row>
    <row r="2547" spans="1:3">
      <c r="A2547" t="s">
        <v>906</v>
      </c>
      <c r="B2547" t="s">
        <v>1075</v>
      </c>
      <c r="C2547" t="s">
        <v>1079</v>
      </c>
    </row>
    <row r="2548" spans="1:3">
      <c r="A2548" t="s">
        <v>906</v>
      </c>
      <c r="B2548" t="s">
        <v>1075</v>
      </c>
      <c r="C2548" t="s">
        <v>1078</v>
      </c>
    </row>
    <row r="2549" spans="1:3">
      <c r="A2549" t="s">
        <v>906</v>
      </c>
      <c r="B2549" t="s">
        <v>1075</v>
      </c>
      <c r="C2549" t="s">
        <v>1077</v>
      </c>
    </row>
    <row r="2550" spans="1:3">
      <c r="A2550" t="s">
        <v>906</v>
      </c>
      <c r="B2550" t="s">
        <v>1075</v>
      </c>
      <c r="C2550" t="s">
        <v>1076</v>
      </c>
    </row>
    <row r="2551" spans="1:3">
      <c r="A2551" t="s">
        <v>906</v>
      </c>
      <c r="B2551" t="s">
        <v>1075</v>
      </c>
      <c r="C2551" t="s">
        <v>1074</v>
      </c>
    </row>
    <row r="2552" spans="1:3">
      <c r="A2552" t="s">
        <v>373</v>
      </c>
      <c r="B2552" t="s">
        <v>1075</v>
      </c>
      <c r="C2552" t="s">
        <v>7009</v>
      </c>
    </row>
    <row r="2553" spans="1:3">
      <c r="A2553" t="s">
        <v>373</v>
      </c>
      <c r="B2553" t="s">
        <v>1075</v>
      </c>
      <c r="C2553" t="s">
        <v>7008</v>
      </c>
    </row>
    <row r="2554" spans="1:3">
      <c r="A2554" t="s">
        <v>373</v>
      </c>
      <c r="B2554" t="s">
        <v>1075</v>
      </c>
      <c r="C2554" t="s">
        <v>7007</v>
      </c>
    </row>
    <row r="2555" spans="1:3">
      <c r="A2555" t="s">
        <v>373</v>
      </c>
      <c r="B2555" t="s">
        <v>1075</v>
      </c>
      <c r="C2555" t="s">
        <v>7006</v>
      </c>
    </row>
    <row r="2556" spans="1:3">
      <c r="A2556" t="s">
        <v>373</v>
      </c>
      <c r="B2556" t="s">
        <v>1070</v>
      </c>
      <c r="C2556" t="s">
        <v>7005</v>
      </c>
    </row>
    <row r="2557" spans="1:3">
      <c r="A2557" t="s">
        <v>367</v>
      </c>
      <c r="B2557" t="s">
        <v>1075</v>
      </c>
      <c r="C2557" t="s">
        <v>7004</v>
      </c>
    </row>
    <row r="2558" spans="1:3">
      <c r="A2558" t="s">
        <v>367</v>
      </c>
      <c r="B2558" t="s">
        <v>1075</v>
      </c>
      <c r="C2558" t="s">
        <v>7003</v>
      </c>
    </row>
    <row r="2559" spans="1:3">
      <c r="A2559" t="s">
        <v>367</v>
      </c>
      <c r="B2559" t="s">
        <v>1075</v>
      </c>
      <c r="C2559" t="s">
        <v>7002</v>
      </c>
    </row>
    <row r="2560" spans="1:3">
      <c r="A2560" t="s">
        <v>367</v>
      </c>
      <c r="B2560" t="s">
        <v>1075</v>
      </c>
      <c r="C2560" t="s">
        <v>7001</v>
      </c>
    </row>
    <row r="2561" spans="1:3">
      <c r="A2561" t="s">
        <v>367</v>
      </c>
      <c r="B2561" t="s">
        <v>1070</v>
      </c>
      <c r="C2561" t="s">
        <v>7000</v>
      </c>
    </row>
    <row r="2562" spans="1:3">
      <c r="A2562" t="s">
        <v>324</v>
      </c>
      <c r="B2562" t="s">
        <v>1075</v>
      </c>
      <c r="C2562" t="s">
        <v>6999</v>
      </c>
    </row>
    <row r="2563" spans="1:3">
      <c r="A2563" t="s">
        <v>324</v>
      </c>
      <c r="B2563" t="s">
        <v>1075</v>
      </c>
      <c r="C2563" t="s">
        <v>6998</v>
      </c>
    </row>
    <row r="2564" spans="1:3">
      <c r="A2564" t="s">
        <v>324</v>
      </c>
      <c r="B2564" t="s">
        <v>1075</v>
      </c>
      <c r="C2564" t="s">
        <v>6997</v>
      </c>
    </row>
    <row r="2565" spans="1:3">
      <c r="A2565" t="s">
        <v>324</v>
      </c>
      <c r="B2565" t="s">
        <v>1075</v>
      </c>
      <c r="C2565" t="s">
        <v>6996</v>
      </c>
    </row>
    <row r="2566" spans="1:3">
      <c r="A2566" t="s">
        <v>324</v>
      </c>
      <c r="B2566" t="s">
        <v>1070</v>
      </c>
      <c r="C2566" t="s">
        <v>6995</v>
      </c>
    </row>
    <row r="2567" spans="1:3">
      <c r="A2567" t="s">
        <v>370</v>
      </c>
      <c r="B2567" t="s">
        <v>1075</v>
      </c>
      <c r="C2567" t="s">
        <v>6970</v>
      </c>
    </row>
    <row r="2568" spans="1:3">
      <c r="A2568" t="s">
        <v>370</v>
      </c>
      <c r="B2568" t="s">
        <v>1075</v>
      </c>
      <c r="C2568" t="s">
        <v>6969</v>
      </c>
    </row>
    <row r="2569" spans="1:3">
      <c r="A2569" t="s">
        <v>370</v>
      </c>
      <c r="B2569" t="s">
        <v>1075</v>
      </c>
      <c r="C2569" t="s">
        <v>6968</v>
      </c>
    </row>
    <row r="2570" spans="1:3">
      <c r="A2570" t="s">
        <v>370</v>
      </c>
      <c r="B2570" t="s">
        <v>1075</v>
      </c>
      <c r="C2570" t="s">
        <v>6967</v>
      </c>
    </row>
    <row r="2571" spans="1:3">
      <c r="A2571" t="s">
        <v>370</v>
      </c>
      <c r="B2571" t="s">
        <v>1070</v>
      </c>
      <c r="C2571" t="s">
        <v>6966</v>
      </c>
    </row>
    <row r="2572" spans="1:3">
      <c r="A2572" t="s">
        <v>340</v>
      </c>
      <c r="B2572" t="s">
        <v>1075</v>
      </c>
      <c r="C2572" t="s">
        <v>6965</v>
      </c>
    </row>
    <row r="2573" spans="1:3">
      <c r="A2573" t="s">
        <v>340</v>
      </c>
      <c r="B2573" t="s">
        <v>1075</v>
      </c>
      <c r="C2573" t="s">
        <v>6964</v>
      </c>
    </row>
    <row r="2574" spans="1:3">
      <c r="A2574" t="s">
        <v>340</v>
      </c>
      <c r="B2574" t="s">
        <v>1075</v>
      </c>
      <c r="C2574" t="s">
        <v>6963</v>
      </c>
    </row>
    <row r="2575" spans="1:3">
      <c r="A2575" t="s">
        <v>340</v>
      </c>
      <c r="B2575" t="s">
        <v>1075</v>
      </c>
      <c r="C2575" t="s">
        <v>6962</v>
      </c>
    </row>
    <row r="2576" spans="1:3">
      <c r="A2576" t="s">
        <v>340</v>
      </c>
      <c r="B2576" t="s">
        <v>1070</v>
      </c>
      <c r="C2576" t="s">
        <v>6961</v>
      </c>
    </row>
    <row r="2577" spans="1:3">
      <c r="A2577" t="s">
        <v>333</v>
      </c>
      <c r="B2577" t="s">
        <v>1075</v>
      </c>
      <c r="C2577" t="s">
        <v>6958</v>
      </c>
    </row>
    <row r="2578" spans="1:3">
      <c r="A2578" t="s">
        <v>333</v>
      </c>
      <c r="B2578" t="s">
        <v>1075</v>
      </c>
      <c r="C2578" t="s">
        <v>6957</v>
      </c>
    </row>
    <row r="2579" spans="1:3">
      <c r="A2579" t="s">
        <v>333</v>
      </c>
      <c r="B2579" t="s">
        <v>1075</v>
      </c>
      <c r="C2579" t="s">
        <v>6956</v>
      </c>
    </row>
    <row r="2580" spans="1:3">
      <c r="A2580" t="s">
        <v>333</v>
      </c>
      <c r="B2580" t="s">
        <v>1075</v>
      </c>
      <c r="C2580" t="s">
        <v>6955</v>
      </c>
    </row>
    <row r="2581" spans="1:3">
      <c r="A2581" t="s">
        <v>333</v>
      </c>
      <c r="B2581" t="s">
        <v>1070</v>
      </c>
      <c r="C2581" t="s">
        <v>6954</v>
      </c>
    </row>
    <row r="2582" spans="1:3">
      <c r="A2582" t="s">
        <v>369</v>
      </c>
      <c r="B2582" t="s">
        <v>1075</v>
      </c>
      <c r="C2582" t="s">
        <v>6941</v>
      </c>
    </row>
    <row r="2583" spans="1:3">
      <c r="A2583" t="s">
        <v>369</v>
      </c>
      <c r="B2583" t="s">
        <v>1075</v>
      </c>
      <c r="C2583" t="s">
        <v>6940</v>
      </c>
    </row>
    <row r="2584" spans="1:3">
      <c r="A2584" t="s">
        <v>369</v>
      </c>
      <c r="B2584" t="s">
        <v>1075</v>
      </c>
      <c r="C2584" t="s">
        <v>6939</v>
      </c>
    </row>
    <row r="2585" spans="1:3">
      <c r="A2585" t="s">
        <v>369</v>
      </c>
      <c r="B2585" t="s">
        <v>1075</v>
      </c>
      <c r="C2585" t="s">
        <v>6938</v>
      </c>
    </row>
    <row r="2586" spans="1:3">
      <c r="A2586" t="s">
        <v>369</v>
      </c>
      <c r="B2586" t="s">
        <v>1070</v>
      </c>
      <c r="C2586" t="s">
        <v>6937</v>
      </c>
    </row>
    <row r="2587" spans="1:3">
      <c r="A2587" t="s">
        <v>368</v>
      </c>
      <c r="B2587" t="s">
        <v>1075</v>
      </c>
      <c r="C2587" t="s">
        <v>6936</v>
      </c>
    </row>
    <row r="2588" spans="1:3">
      <c r="A2588" t="s">
        <v>368</v>
      </c>
      <c r="B2588" t="s">
        <v>1075</v>
      </c>
      <c r="C2588" t="s">
        <v>6935</v>
      </c>
    </row>
    <row r="2589" spans="1:3">
      <c r="A2589" t="s">
        <v>368</v>
      </c>
      <c r="B2589" t="s">
        <v>1075</v>
      </c>
      <c r="C2589" t="s">
        <v>6934</v>
      </c>
    </row>
    <row r="2590" spans="1:3">
      <c r="A2590" t="s">
        <v>368</v>
      </c>
      <c r="B2590" t="s">
        <v>1075</v>
      </c>
      <c r="C2590" t="s">
        <v>6933</v>
      </c>
    </row>
    <row r="2591" spans="1:3">
      <c r="A2591" t="s">
        <v>368</v>
      </c>
      <c r="B2591" t="s">
        <v>1070</v>
      </c>
      <c r="C2591" t="s">
        <v>6932</v>
      </c>
    </row>
    <row r="2592" spans="1:3">
      <c r="A2592" t="s">
        <v>366</v>
      </c>
      <c r="B2592" t="s">
        <v>1075</v>
      </c>
      <c r="C2592" t="s">
        <v>6913</v>
      </c>
    </row>
    <row r="2593" spans="1:3">
      <c r="A2593" t="s">
        <v>366</v>
      </c>
      <c r="B2593" t="s">
        <v>1075</v>
      </c>
      <c r="C2593" t="s">
        <v>6912</v>
      </c>
    </row>
    <row r="2594" spans="1:3">
      <c r="A2594" t="s">
        <v>366</v>
      </c>
      <c r="B2594" t="s">
        <v>1075</v>
      </c>
      <c r="C2594" t="s">
        <v>6911</v>
      </c>
    </row>
    <row r="2595" spans="1:3">
      <c r="A2595" t="s">
        <v>366</v>
      </c>
      <c r="B2595" t="s">
        <v>1075</v>
      </c>
      <c r="C2595" t="s">
        <v>6910</v>
      </c>
    </row>
    <row r="2596" spans="1:3">
      <c r="A2596" t="s">
        <v>366</v>
      </c>
      <c r="B2596" t="s">
        <v>1070</v>
      </c>
      <c r="C2596" t="s">
        <v>6909</v>
      </c>
    </row>
    <row r="2597" spans="1:3">
      <c r="A2597" t="s">
        <v>343</v>
      </c>
      <c r="B2597" t="s">
        <v>1075</v>
      </c>
      <c r="C2597" t="s">
        <v>6908</v>
      </c>
    </row>
    <row r="2598" spans="1:3">
      <c r="A2598" t="s">
        <v>343</v>
      </c>
      <c r="B2598" t="s">
        <v>1075</v>
      </c>
      <c r="C2598" t="s">
        <v>6907</v>
      </c>
    </row>
    <row r="2599" spans="1:3">
      <c r="A2599" t="s">
        <v>343</v>
      </c>
      <c r="B2599" t="s">
        <v>1075</v>
      </c>
      <c r="C2599" t="s">
        <v>6906</v>
      </c>
    </row>
    <row r="2600" spans="1:3">
      <c r="A2600" t="s">
        <v>343</v>
      </c>
      <c r="B2600" t="s">
        <v>1075</v>
      </c>
      <c r="C2600" t="s">
        <v>6905</v>
      </c>
    </row>
    <row r="2601" spans="1:3">
      <c r="A2601" t="s">
        <v>343</v>
      </c>
      <c r="B2601" t="s">
        <v>1070</v>
      </c>
      <c r="C2601" t="s">
        <v>6904</v>
      </c>
    </row>
    <row r="2602" spans="1:3">
      <c r="A2602" t="s">
        <v>339</v>
      </c>
      <c r="B2602" t="s">
        <v>1075</v>
      </c>
      <c r="C2602" t="s">
        <v>6903</v>
      </c>
    </row>
    <row r="2603" spans="1:3">
      <c r="A2603" t="s">
        <v>339</v>
      </c>
      <c r="B2603" t="s">
        <v>1075</v>
      </c>
      <c r="C2603" t="s">
        <v>6902</v>
      </c>
    </row>
    <row r="2604" spans="1:3">
      <c r="A2604" t="s">
        <v>339</v>
      </c>
      <c r="B2604" t="s">
        <v>1075</v>
      </c>
      <c r="C2604" t="s">
        <v>6901</v>
      </c>
    </row>
    <row r="2605" spans="1:3">
      <c r="A2605" t="s">
        <v>339</v>
      </c>
      <c r="B2605" t="s">
        <v>1075</v>
      </c>
      <c r="C2605" t="s">
        <v>6900</v>
      </c>
    </row>
    <row r="2606" spans="1:3">
      <c r="A2606" t="s">
        <v>339</v>
      </c>
      <c r="B2606" t="s">
        <v>1070</v>
      </c>
      <c r="C2606" t="s">
        <v>6899</v>
      </c>
    </row>
    <row r="2607" spans="1:3">
      <c r="A2607" t="s">
        <v>329</v>
      </c>
      <c r="B2607" t="s">
        <v>1075</v>
      </c>
      <c r="C2607" t="s">
        <v>6896</v>
      </c>
    </row>
    <row r="2608" spans="1:3">
      <c r="A2608" t="s">
        <v>329</v>
      </c>
      <c r="B2608" t="s">
        <v>1075</v>
      </c>
      <c r="C2608" t="s">
        <v>6895</v>
      </c>
    </row>
    <row r="2609" spans="1:3">
      <c r="A2609" t="s">
        <v>329</v>
      </c>
      <c r="B2609" t="s">
        <v>1075</v>
      </c>
      <c r="C2609" t="s">
        <v>6894</v>
      </c>
    </row>
    <row r="2610" spans="1:3">
      <c r="A2610" t="s">
        <v>329</v>
      </c>
      <c r="B2610" t="s">
        <v>1075</v>
      </c>
      <c r="C2610" t="s">
        <v>6893</v>
      </c>
    </row>
    <row r="2611" spans="1:3">
      <c r="A2611" t="s">
        <v>329</v>
      </c>
      <c r="B2611" t="s">
        <v>1070</v>
      </c>
      <c r="C2611" t="s">
        <v>6892</v>
      </c>
    </row>
    <row r="2612" spans="1:3">
      <c r="A2612" t="s">
        <v>350</v>
      </c>
      <c r="B2612" t="s">
        <v>1075</v>
      </c>
      <c r="C2612" t="s">
        <v>6891</v>
      </c>
    </row>
    <row r="2613" spans="1:3">
      <c r="A2613" t="s">
        <v>350</v>
      </c>
      <c r="B2613" t="s">
        <v>1075</v>
      </c>
      <c r="C2613" t="s">
        <v>6890</v>
      </c>
    </row>
    <row r="2614" spans="1:3">
      <c r="A2614" t="s">
        <v>350</v>
      </c>
      <c r="B2614" t="s">
        <v>1075</v>
      </c>
      <c r="C2614" t="s">
        <v>6889</v>
      </c>
    </row>
    <row r="2615" spans="1:3">
      <c r="A2615" t="s">
        <v>350</v>
      </c>
      <c r="B2615" t="s">
        <v>1075</v>
      </c>
      <c r="C2615" t="s">
        <v>6888</v>
      </c>
    </row>
    <row r="2616" spans="1:3">
      <c r="A2616" t="s">
        <v>350</v>
      </c>
      <c r="B2616" t="s">
        <v>1070</v>
      </c>
      <c r="C2616" t="s">
        <v>6887</v>
      </c>
    </row>
    <row r="2617" spans="1:3">
      <c r="A2617" t="s">
        <v>358</v>
      </c>
      <c r="B2617" t="s">
        <v>1075</v>
      </c>
      <c r="C2617" t="s">
        <v>6876</v>
      </c>
    </row>
    <row r="2618" spans="1:3">
      <c r="A2618" t="s">
        <v>358</v>
      </c>
      <c r="B2618" t="s">
        <v>1075</v>
      </c>
      <c r="C2618" t="s">
        <v>6875</v>
      </c>
    </row>
    <row r="2619" spans="1:3">
      <c r="A2619" t="s">
        <v>358</v>
      </c>
      <c r="B2619" t="s">
        <v>1075</v>
      </c>
      <c r="C2619" t="s">
        <v>6874</v>
      </c>
    </row>
    <row r="2620" spans="1:3">
      <c r="A2620" t="s">
        <v>358</v>
      </c>
      <c r="B2620" t="s">
        <v>1075</v>
      </c>
      <c r="C2620" t="s">
        <v>6873</v>
      </c>
    </row>
    <row r="2621" spans="1:3">
      <c r="A2621" t="s">
        <v>358</v>
      </c>
      <c r="B2621" t="s">
        <v>1070</v>
      </c>
      <c r="C2621" t="s">
        <v>6872</v>
      </c>
    </row>
    <row r="2622" spans="1:3">
      <c r="A2622" t="s">
        <v>374</v>
      </c>
      <c r="B2622" t="s">
        <v>1075</v>
      </c>
      <c r="C2622" t="s">
        <v>6871</v>
      </c>
    </row>
    <row r="2623" spans="1:3">
      <c r="A2623" t="s">
        <v>374</v>
      </c>
      <c r="B2623" t="s">
        <v>1075</v>
      </c>
      <c r="C2623" t="s">
        <v>6870</v>
      </c>
    </row>
    <row r="2624" spans="1:3">
      <c r="A2624" t="s">
        <v>374</v>
      </c>
      <c r="B2624" t="s">
        <v>1075</v>
      </c>
      <c r="C2624" t="s">
        <v>6869</v>
      </c>
    </row>
    <row r="2625" spans="1:3">
      <c r="A2625" t="s">
        <v>374</v>
      </c>
      <c r="B2625" t="s">
        <v>1075</v>
      </c>
      <c r="C2625" t="s">
        <v>6868</v>
      </c>
    </row>
    <row r="2626" spans="1:3">
      <c r="A2626" t="s">
        <v>374</v>
      </c>
      <c r="B2626" t="s">
        <v>1070</v>
      </c>
      <c r="C2626" t="s">
        <v>6867</v>
      </c>
    </row>
    <row r="2627" spans="1:3">
      <c r="A2627" t="s">
        <v>328</v>
      </c>
      <c r="B2627" t="s">
        <v>1075</v>
      </c>
      <c r="C2627" t="s">
        <v>6856</v>
      </c>
    </row>
    <row r="2628" spans="1:3">
      <c r="A2628" t="s">
        <v>328</v>
      </c>
      <c r="B2628" t="s">
        <v>1075</v>
      </c>
      <c r="C2628" t="s">
        <v>6855</v>
      </c>
    </row>
    <row r="2629" spans="1:3">
      <c r="A2629" t="s">
        <v>328</v>
      </c>
      <c r="B2629" t="s">
        <v>1075</v>
      </c>
      <c r="C2629" t="s">
        <v>6854</v>
      </c>
    </row>
    <row r="2630" spans="1:3">
      <c r="A2630" t="s">
        <v>328</v>
      </c>
      <c r="B2630" t="s">
        <v>1075</v>
      </c>
      <c r="C2630" t="s">
        <v>6853</v>
      </c>
    </row>
    <row r="2631" spans="1:3">
      <c r="A2631" t="s">
        <v>328</v>
      </c>
      <c r="B2631" t="s">
        <v>1070</v>
      </c>
      <c r="C2631" t="s">
        <v>6852</v>
      </c>
    </row>
    <row r="2632" spans="1:3">
      <c r="A2632" t="s">
        <v>334</v>
      </c>
      <c r="B2632" t="s">
        <v>1075</v>
      </c>
      <c r="C2632" t="s">
        <v>6849</v>
      </c>
    </row>
    <row r="2633" spans="1:3">
      <c r="A2633" t="s">
        <v>334</v>
      </c>
      <c r="B2633" t="s">
        <v>1075</v>
      </c>
      <c r="C2633" t="s">
        <v>6848</v>
      </c>
    </row>
    <row r="2634" spans="1:3">
      <c r="A2634" t="s">
        <v>334</v>
      </c>
      <c r="B2634" t="s">
        <v>1075</v>
      </c>
      <c r="C2634" t="s">
        <v>6847</v>
      </c>
    </row>
    <row r="2635" spans="1:3">
      <c r="A2635" t="s">
        <v>334</v>
      </c>
      <c r="B2635" t="s">
        <v>1075</v>
      </c>
      <c r="C2635" t="s">
        <v>6846</v>
      </c>
    </row>
    <row r="2636" spans="1:3">
      <c r="A2636" t="s">
        <v>334</v>
      </c>
      <c r="B2636" t="s">
        <v>1070</v>
      </c>
      <c r="C2636" t="s">
        <v>6845</v>
      </c>
    </row>
    <row r="2637" spans="1:3">
      <c r="A2637" t="s">
        <v>357</v>
      </c>
      <c r="B2637" t="s">
        <v>1075</v>
      </c>
      <c r="C2637" t="s">
        <v>6840</v>
      </c>
    </row>
    <row r="2638" spans="1:3">
      <c r="A2638" t="s">
        <v>357</v>
      </c>
      <c r="B2638" t="s">
        <v>1075</v>
      </c>
      <c r="C2638" t="s">
        <v>6839</v>
      </c>
    </row>
    <row r="2639" spans="1:3">
      <c r="A2639" t="s">
        <v>357</v>
      </c>
      <c r="B2639" t="s">
        <v>1075</v>
      </c>
      <c r="C2639" t="s">
        <v>6838</v>
      </c>
    </row>
    <row r="2640" spans="1:3">
      <c r="A2640" t="s">
        <v>357</v>
      </c>
      <c r="B2640" t="s">
        <v>1075</v>
      </c>
      <c r="C2640" t="s">
        <v>6837</v>
      </c>
    </row>
    <row r="2641" spans="1:3">
      <c r="A2641" t="s">
        <v>357</v>
      </c>
      <c r="B2641" t="s">
        <v>1070</v>
      </c>
      <c r="C2641" t="s">
        <v>6836</v>
      </c>
    </row>
    <row r="2642" spans="1:3">
      <c r="A2642" t="s">
        <v>331</v>
      </c>
      <c r="B2642" t="s">
        <v>1075</v>
      </c>
      <c r="C2642" t="s">
        <v>6835</v>
      </c>
    </row>
    <row r="2643" spans="1:3">
      <c r="A2643" t="s">
        <v>331</v>
      </c>
      <c r="B2643" t="s">
        <v>1075</v>
      </c>
      <c r="C2643" t="s">
        <v>6834</v>
      </c>
    </row>
    <row r="2644" spans="1:3">
      <c r="A2644" t="s">
        <v>331</v>
      </c>
      <c r="B2644" t="s">
        <v>1075</v>
      </c>
      <c r="C2644" t="s">
        <v>6833</v>
      </c>
    </row>
    <row r="2645" spans="1:3">
      <c r="A2645" t="s">
        <v>331</v>
      </c>
      <c r="B2645" t="s">
        <v>1075</v>
      </c>
      <c r="C2645" t="s">
        <v>6832</v>
      </c>
    </row>
    <row r="2646" spans="1:3">
      <c r="A2646" t="s">
        <v>331</v>
      </c>
      <c r="B2646" t="s">
        <v>1070</v>
      </c>
      <c r="C2646" t="s">
        <v>6831</v>
      </c>
    </row>
    <row r="2647" spans="1:3">
      <c r="A2647" t="s">
        <v>363</v>
      </c>
      <c r="B2647" t="s">
        <v>1075</v>
      </c>
      <c r="C2647" t="s">
        <v>6797</v>
      </c>
    </row>
    <row r="2648" spans="1:3">
      <c r="A2648" t="s">
        <v>363</v>
      </c>
      <c r="B2648" t="s">
        <v>1075</v>
      </c>
      <c r="C2648" t="s">
        <v>6796</v>
      </c>
    </row>
    <row r="2649" spans="1:3">
      <c r="A2649" t="s">
        <v>363</v>
      </c>
      <c r="B2649" t="s">
        <v>1075</v>
      </c>
      <c r="C2649" t="s">
        <v>6795</v>
      </c>
    </row>
    <row r="2650" spans="1:3">
      <c r="A2650" t="s">
        <v>363</v>
      </c>
      <c r="B2650" t="s">
        <v>1075</v>
      </c>
      <c r="C2650" t="s">
        <v>6794</v>
      </c>
    </row>
    <row r="2651" spans="1:3">
      <c r="A2651" t="s">
        <v>363</v>
      </c>
      <c r="B2651" t="s">
        <v>1070</v>
      </c>
      <c r="C2651" t="s">
        <v>6793</v>
      </c>
    </row>
    <row r="2652" spans="1:3">
      <c r="A2652" t="s">
        <v>372</v>
      </c>
      <c r="B2652" t="s">
        <v>1075</v>
      </c>
      <c r="C2652" t="s">
        <v>6792</v>
      </c>
    </row>
    <row r="2653" spans="1:3">
      <c r="A2653" t="s">
        <v>372</v>
      </c>
      <c r="B2653" t="s">
        <v>1075</v>
      </c>
      <c r="C2653" t="s">
        <v>6791</v>
      </c>
    </row>
    <row r="2654" spans="1:3">
      <c r="A2654" t="s">
        <v>372</v>
      </c>
      <c r="B2654" t="s">
        <v>1075</v>
      </c>
      <c r="C2654" t="s">
        <v>6790</v>
      </c>
    </row>
    <row r="2655" spans="1:3">
      <c r="A2655" t="s">
        <v>372</v>
      </c>
      <c r="B2655" t="s">
        <v>1075</v>
      </c>
      <c r="C2655" t="s">
        <v>6789</v>
      </c>
    </row>
    <row r="2656" spans="1:3">
      <c r="A2656" t="s">
        <v>372</v>
      </c>
      <c r="B2656" t="s">
        <v>1070</v>
      </c>
      <c r="C2656" t="s">
        <v>6788</v>
      </c>
    </row>
    <row r="2657" spans="1:3">
      <c r="A2657" t="s">
        <v>360</v>
      </c>
      <c r="B2657" t="s">
        <v>1075</v>
      </c>
      <c r="C2657" t="s">
        <v>6763</v>
      </c>
    </row>
    <row r="2658" spans="1:3">
      <c r="A2658" t="s">
        <v>360</v>
      </c>
      <c r="B2658" t="s">
        <v>1075</v>
      </c>
      <c r="C2658" t="s">
        <v>6762</v>
      </c>
    </row>
    <row r="2659" spans="1:3">
      <c r="A2659" t="s">
        <v>360</v>
      </c>
      <c r="B2659" t="s">
        <v>1075</v>
      </c>
      <c r="C2659" t="s">
        <v>6761</v>
      </c>
    </row>
    <row r="2660" spans="1:3">
      <c r="A2660" t="s">
        <v>360</v>
      </c>
      <c r="B2660" t="s">
        <v>1075</v>
      </c>
      <c r="C2660" t="s">
        <v>6760</v>
      </c>
    </row>
    <row r="2661" spans="1:3">
      <c r="A2661" t="s">
        <v>360</v>
      </c>
      <c r="B2661" t="s">
        <v>1070</v>
      </c>
      <c r="C2661" t="s">
        <v>6759</v>
      </c>
    </row>
    <row r="2662" spans="1:3">
      <c r="A2662" t="s">
        <v>354</v>
      </c>
      <c r="B2662" t="s">
        <v>1075</v>
      </c>
      <c r="C2662" t="s">
        <v>6758</v>
      </c>
    </row>
    <row r="2663" spans="1:3">
      <c r="A2663" t="s">
        <v>354</v>
      </c>
      <c r="B2663" t="s">
        <v>1075</v>
      </c>
      <c r="C2663" t="s">
        <v>6757</v>
      </c>
    </row>
    <row r="2664" spans="1:3">
      <c r="A2664" t="s">
        <v>354</v>
      </c>
      <c r="B2664" t="s">
        <v>1075</v>
      </c>
      <c r="C2664" t="s">
        <v>6756</v>
      </c>
    </row>
    <row r="2665" spans="1:3">
      <c r="A2665" t="s">
        <v>354</v>
      </c>
      <c r="B2665" t="s">
        <v>1075</v>
      </c>
      <c r="C2665" t="s">
        <v>6755</v>
      </c>
    </row>
    <row r="2666" spans="1:3">
      <c r="A2666" t="s">
        <v>354</v>
      </c>
      <c r="B2666" t="s">
        <v>1070</v>
      </c>
      <c r="C2666" t="s">
        <v>6754</v>
      </c>
    </row>
    <row r="2667" spans="1:3">
      <c r="A2667" t="s">
        <v>342</v>
      </c>
      <c r="B2667" t="s">
        <v>1075</v>
      </c>
      <c r="C2667" t="s">
        <v>6753</v>
      </c>
    </row>
    <row r="2668" spans="1:3">
      <c r="A2668" t="s">
        <v>342</v>
      </c>
      <c r="B2668" t="s">
        <v>1075</v>
      </c>
      <c r="C2668" t="s">
        <v>6752</v>
      </c>
    </row>
    <row r="2669" spans="1:3">
      <c r="A2669" t="s">
        <v>342</v>
      </c>
      <c r="B2669" t="s">
        <v>1075</v>
      </c>
      <c r="C2669" t="s">
        <v>6751</v>
      </c>
    </row>
    <row r="2670" spans="1:3">
      <c r="A2670" t="s">
        <v>342</v>
      </c>
      <c r="B2670" t="s">
        <v>1075</v>
      </c>
      <c r="C2670" t="s">
        <v>6750</v>
      </c>
    </row>
    <row r="2671" spans="1:3">
      <c r="A2671" t="s">
        <v>342</v>
      </c>
      <c r="B2671" t="s">
        <v>1070</v>
      </c>
      <c r="C2671" t="s">
        <v>6749</v>
      </c>
    </row>
    <row r="2672" spans="1:3">
      <c r="A2672" t="s">
        <v>754</v>
      </c>
      <c r="B2672" t="s">
        <v>1075</v>
      </c>
      <c r="C2672" t="s">
        <v>5401</v>
      </c>
    </row>
    <row r="2673" spans="1:3">
      <c r="A2673" t="s">
        <v>754</v>
      </c>
      <c r="B2673" t="s">
        <v>1075</v>
      </c>
      <c r="C2673" t="s">
        <v>5400</v>
      </c>
    </row>
    <row r="2674" spans="1:3">
      <c r="A2674" t="s">
        <v>753</v>
      </c>
      <c r="B2674" t="s">
        <v>1075</v>
      </c>
      <c r="C2674" t="s">
        <v>5399</v>
      </c>
    </row>
    <row r="2675" spans="1:3">
      <c r="A2675" t="s">
        <v>753</v>
      </c>
      <c r="B2675" t="s">
        <v>1075</v>
      </c>
      <c r="C2675" t="s">
        <v>5398</v>
      </c>
    </row>
    <row r="2676" spans="1:3">
      <c r="A2676" t="s">
        <v>349</v>
      </c>
      <c r="B2676" t="s">
        <v>1075</v>
      </c>
      <c r="C2676" t="s">
        <v>6729</v>
      </c>
    </row>
    <row r="2677" spans="1:3">
      <c r="A2677" t="s">
        <v>349</v>
      </c>
      <c r="B2677" t="s">
        <v>1075</v>
      </c>
      <c r="C2677" t="s">
        <v>6728</v>
      </c>
    </row>
    <row r="2678" spans="1:3">
      <c r="A2678" t="s">
        <v>349</v>
      </c>
      <c r="B2678" t="s">
        <v>1075</v>
      </c>
      <c r="C2678" t="s">
        <v>6727</v>
      </c>
    </row>
    <row r="2679" spans="1:3">
      <c r="A2679" t="s">
        <v>349</v>
      </c>
      <c r="B2679" t="s">
        <v>1075</v>
      </c>
      <c r="C2679" t="s">
        <v>6726</v>
      </c>
    </row>
    <row r="2680" spans="1:3">
      <c r="A2680" t="s">
        <v>349</v>
      </c>
      <c r="B2680" t="s">
        <v>1070</v>
      </c>
      <c r="C2680" t="s">
        <v>6725</v>
      </c>
    </row>
    <row r="2681" spans="1:3">
      <c r="A2681" t="s">
        <v>336</v>
      </c>
      <c r="B2681" t="s">
        <v>1075</v>
      </c>
      <c r="C2681" t="s">
        <v>6724</v>
      </c>
    </row>
    <row r="2682" spans="1:3">
      <c r="A2682" t="s">
        <v>336</v>
      </c>
      <c r="B2682" t="s">
        <v>1075</v>
      </c>
      <c r="C2682" t="s">
        <v>6723</v>
      </c>
    </row>
    <row r="2683" spans="1:3">
      <c r="A2683" t="s">
        <v>336</v>
      </c>
      <c r="B2683" t="s">
        <v>1075</v>
      </c>
      <c r="C2683" t="s">
        <v>6722</v>
      </c>
    </row>
    <row r="2684" spans="1:3">
      <c r="A2684" t="s">
        <v>336</v>
      </c>
      <c r="B2684" t="s">
        <v>1075</v>
      </c>
      <c r="C2684" t="s">
        <v>6721</v>
      </c>
    </row>
    <row r="2685" spans="1:3">
      <c r="A2685" t="s">
        <v>336</v>
      </c>
      <c r="B2685" t="s">
        <v>1070</v>
      </c>
      <c r="C2685" t="s">
        <v>6720</v>
      </c>
    </row>
    <row r="2686" spans="1:3">
      <c r="A2686" t="s">
        <v>365</v>
      </c>
      <c r="B2686" t="s">
        <v>1075</v>
      </c>
      <c r="C2686" t="s">
        <v>6715</v>
      </c>
    </row>
    <row r="2687" spans="1:3">
      <c r="A2687" t="s">
        <v>365</v>
      </c>
      <c r="B2687" t="s">
        <v>1075</v>
      </c>
      <c r="C2687" t="s">
        <v>6714</v>
      </c>
    </row>
    <row r="2688" spans="1:3">
      <c r="A2688" t="s">
        <v>365</v>
      </c>
      <c r="B2688" t="s">
        <v>1075</v>
      </c>
      <c r="C2688" t="s">
        <v>6713</v>
      </c>
    </row>
    <row r="2689" spans="1:3">
      <c r="A2689" t="s">
        <v>365</v>
      </c>
      <c r="B2689" t="s">
        <v>1075</v>
      </c>
      <c r="C2689" t="s">
        <v>6712</v>
      </c>
    </row>
    <row r="2690" spans="1:3">
      <c r="A2690" t="s">
        <v>365</v>
      </c>
      <c r="B2690" t="s">
        <v>1070</v>
      </c>
      <c r="C2690" t="s">
        <v>6711</v>
      </c>
    </row>
    <row r="2691" spans="1:3">
      <c r="A2691" t="s">
        <v>338</v>
      </c>
      <c r="B2691" t="s">
        <v>1075</v>
      </c>
      <c r="C2691" t="s">
        <v>6704</v>
      </c>
    </row>
    <row r="2692" spans="1:3">
      <c r="A2692" t="s">
        <v>338</v>
      </c>
      <c r="B2692" t="s">
        <v>1075</v>
      </c>
      <c r="C2692" t="s">
        <v>6703</v>
      </c>
    </row>
    <row r="2693" spans="1:3">
      <c r="A2693" t="s">
        <v>338</v>
      </c>
      <c r="B2693" t="s">
        <v>1075</v>
      </c>
      <c r="C2693" t="s">
        <v>6702</v>
      </c>
    </row>
    <row r="2694" spans="1:3">
      <c r="A2694" t="s">
        <v>338</v>
      </c>
      <c r="B2694" t="s">
        <v>1075</v>
      </c>
      <c r="C2694" t="s">
        <v>6701</v>
      </c>
    </row>
    <row r="2695" spans="1:3">
      <c r="A2695" t="s">
        <v>338</v>
      </c>
      <c r="B2695" t="s">
        <v>1070</v>
      </c>
      <c r="C2695" t="s">
        <v>6700</v>
      </c>
    </row>
    <row r="2696" spans="1:3">
      <c r="A2696" t="s">
        <v>353</v>
      </c>
      <c r="B2696" t="s">
        <v>1075</v>
      </c>
      <c r="C2696" t="s">
        <v>6693</v>
      </c>
    </row>
    <row r="2697" spans="1:3">
      <c r="A2697" t="s">
        <v>353</v>
      </c>
      <c r="B2697" t="s">
        <v>1075</v>
      </c>
      <c r="C2697" t="s">
        <v>6692</v>
      </c>
    </row>
    <row r="2698" spans="1:3">
      <c r="A2698" t="s">
        <v>353</v>
      </c>
      <c r="B2698" t="s">
        <v>1075</v>
      </c>
      <c r="C2698" t="s">
        <v>6691</v>
      </c>
    </row>
    <row r="2699" spans="1:3">
      <c r="A2699" t="s">
        <v>353</v>
      </c>
      <c r="B2699" t="s">
        <v>1075</v>
      </c>
      <c r="C2699" t="s">
        <v>6690</v>
      </c>
    </row>
    <row r="2700" spans="1:3">
      <c r="A2700" t="s">
        <v>353</v>
      </c>
      <c r="B2700" t="s">
        <v>1070</v>
      </c>
      <c r="C2700" t="s">
        <v>6689</v>
      </c>
    </row>
    <row r="2701" spans="1:3">
      <c r="A2701" t="s">
        <v>332</v>
      </c>
      <c r="B2701" t="s">
        <v>1075</v>
      </c>
      <c r="C2701" t="s">
        <v>6688</v>
      </c>
    </row>
    <row r="2702" spans="1:3">
      <c r="A2702" t="s">
        <v>332</v>
      </c>
      <c r="B2702" t="s">
        <v>1075</v>
      </c>
      <c r="C2702" t="s">
        <v>6687</v>
      </c>
    </row>
    <row r="2703" spans="1:3">
      <c r="A2703" t="s">
        <v>332</v>
      </c>
      <c r="B2703" t="s">
        <v>1075</v>
      </c>
      <c r="C2703" t="s">
        <v>6686</v>
      </c>
    </row>
    <row r="2704" spans="1:3">
      <c r="A2704" t="s">
        <v>332</v>
      </c>
      <c r="B2704" t="s">
        <v>1075</v>
      </c>
      <c r="C2704" t="s">
        <v>6685</v>
      </c>
    </row>
    <row r="2705" spans="1:3">
      <c r="A2705" t="s">
        <v>332</v>
      </c>
      <c r="B2705" t="s">
        <v>1070</v>
      </c>
      <c r="C2705" t="s">
        <v>6684</v>
      </c>
    </row>
    <row r="2706" spans="1:3">
      <c r="A2706" t="s">
        <v>330</v>
      </c>
      <c r="B2706" t="s">
        <v>1075</v>
      </c>
      <c r="C2706" t="s">
        <v>6668</v>
      </c>
    </row>
    <row r="2707" spans="1:3">
      <c r="A2707" t="s">
        <v>330</v>
      </c>
      <c r="B2707" t="s">
        <v>1075</v>
      </c>
      <c r="C2707" t="s">
        <v>6667</v>
      </c>
    </row>
    <row r="2708" spans="1:3">
      <c r="A2708" t="s">
        <v>330</v>
      </c>
      <c r="B2708" t="s">
        <v>1075</v>
      </c>
      <c r="C2708" t="s">
        <v>6666</v>
      </c>
    </row>
    <row r="2709" spans="1:3">
      <c r="A2709" t="s">
        <v>330</v>
      </c>
      <c r="B2709" t="s">
        <v>1075</v>
      </c>
      <c r="C2709" t="s">
        <v>6665</v>
      </c>
    </row>
    <row r="2710" spans="1:3">
      <c r="A2710" t="s">
        <v>330</v>
      </c>
      <c r="B2710" t="s">
        <v>1070</v>
      </c>
      <c r="C2710" t="s">
        <v>6664</v>
      </c>
    </row>
    <row r="2711" spans="1:3">
      <c r="A2711" t="s">
        <v>345</v>
      </c>
      <c r="B2711" t="s">
        <v>1075</v>
      </c>
      <c r="C2711" t="s">
        <v>6663</v>
      </c>
    </row>
    <row r="2712" spans="1:3">
      <c r="A2712" t="s">
        <v>345</v>
      </c>
      <c r="B2712" t="s">
        <v>1075</v>
      </c>
      <c r="C2712" t="s">
        <v>6662</v>
      </c>
    </row>
    <row r="2713" spans="1:3">
      <c r="A2713" t="s">
        <v>345</v>
      </c>
      <c r="B2713" t="s">
        <v>1075</v>
      </c>
      <c r="C2713" t="s">
        <v>6661</v>
      </c>
    </row>
    <row r="2714" spans="1:3">
      <c r="A2714" t="s">
        <v>345</v>
      </c>
      <c r="B2714" t="s">
        <v>1075</v>
      </c>
      <c r="C2714" t="s">
        <v>6660</v>
      </c>
    </row>
    <row r="2715" spans="1:3">
      <c r="A2715" t="s">
        <v>345</v>
      </c>
      <c r="B2715" t="s">
        <v>1070</v>
      </c>
      <c r="C2715" t="s">
        <v>6659</v>
      </c>
    </row>
    <row r="2716" spans="1:3">
      <c r="A2716" t="s">
        <v>341</v>
      </c>
      <c r="B2716" t="s">
        <v>1075</v>
      </c>
      <c r="C2716" t="s">
        <v>6658</v>
      </c>
    </row>
    <row r="2717" spans="1:3">
      <c r="A2717" t="s">
        <v>341</v>
      </c>
      <c r="B2717" t="s">
        <v>1075</v>
      </c>
      <c r="C2717" t="s">
        <v>6657</v>
      </c>
    </row>
    <row r="2718" spans="1:3">
      <c r="A2718" t="s">
        <v>341</v>
      </c>
      <c r="B2718" t="s">
        <v>1075</v>
      </c>
      <c r="C2718" t="s">
        <v>6656</v>
      </c>
    </row>
    <row r="2719" spans="1:3">
      <c r="A2719" t="s">
        <v>341</v>
      </c>
      <c r="B2719" t="s">
        <v>1075</v>
      </c>
      <c r="C2719" t="s">
        <v>6655</v>
      </c>
    </row>
    <row r="2720" spans="1:3">
      <c r="A2720" t="s">
        <v>341</v>
      </c>
      <c r="B2720" t="s">
        <v>1070</v>
      </c>
      <c r="C2720" t="s">
        <v>6654</v>
      </c>
    </row>
    <row r="2721" spans="1:3">
      <c r="A2721" t="s">
        <v>351</v>
      </c>
      <c r="B2721" t="s">
        <v>1075</v>
      </c>
      <c r="C2721" t="s">
        <v>6653</v>
      </c>
    </row>
    <row r="2722" spans="1:3">
      <c r="A2722" t="s">
        <v>351</v>
      </c>
      <c r="B2722" t="s">
        <v>1075</v>
      </c>
      <c r="C2722" t="s">
        <v>6652</v>
      </c>
    </row>
    <row r="2723" spans="1:3">
      <c r="A2723" t="s">
        <v>351</v>
      </c>
      <c r="B2723" t="s">
        <v>1075</v>
      </c>
      <c r="C2723" t="s">
        <v>6651</v>
      </c>
    </row>
    <row r="2724" spans="1:3">
      <c r="A2724" t="s">
        <v>351</v>
      </c>
      <c r="B2724" t="s">
        <v>1075</v>
      </c>
      <c r="C2724" t="s">
        <v>6650</v>
      </c>
    </row>
    <row r="2725" spans="1:3">
      <c r="A2725" t="s">
        <v>351</v>
      </c>
      <c r="B2725" t="s">
        <v>1070</v>
      </c>
      <c r="C2725" t="s">
        <v>6649</v>
      </c>
    </row>
    <row r="2726" spans="1:3">
      <c r="A2726" t="s">
        <v>361</v>
      </c>
      <c r="B2726" t="s">
        <v>1075</v>
      </c>
      <c r="C2726" t="s">
        <v>6648</v>
      </c>
    </row>
    <row r="2727" spans="1:3">
      <c r="A2727" t="s">
        <v>361</v>
      </c>
      <c r="B2727" t="s">
        <v>1075</v>
      </c>
      <c r="C2727" t="s">
        <v>6647</v>
      </c>
    </row>
    <row r="2728" spans="1:3">
      <c r="A2728" t="s">
        <v>361</v>
      </c>
      <c r="B2728" t="s">
        <v>1075</v>
      </c>
      <c r="C2728" t="s">
        <v>6646</v>
      </c>
    </row>
    <row r="2729" spans="1:3">
      <c r="A2729" t="s">
        <v>361</v>
      </c>
      <c r="B2729" t="s">
        <v>1075</v>
      </c>
      <c r="C2729" t="s">
        <v>6645</v>
      </c>
    </row>
    <row r="2730" spans="1:3">
      <c r="A2730" t="s">
        <v>361</v>
      </c>
      <c r="B2730" t="s">
        <v>1070</v>
      </c>
      <c r="C2730" t="s">
        <v>6644</v>
      </c>
    </row>
    <row r="2731" spans="1:3">
      <c r="A2731" t="s">
        <v>364</v>
      </c>
      <c r="B2731" t="s">
        <v>1075</v>
      </c>
      <c r="C2731" t="s">
        <v>6643</v>
      </c>
    </row>
    <row r="2732" spans="1:3">
      <c r="A2732" t="s">
        <v>364</v>
      </c>
      <c r="B2732" t="s">
        <v>1075</v>
      </c>
      <c r="C2732" t="s">
        <v>6642</v>
      </c>
    </row>
    <row r="2733" spans="1:3">
      <c r="A2733" t="s">
        <v>364</v>
      </c>
      <c r="B2733" t="s">
        <v>1075</v>
      </c>
      <c r="C2733" t="s">
        <v>6641</v>
      </c>
    </row>
    <row r="2734" spans="1:3">
      <c r="A2734" t="s">
        <v>364</v>
      </c>
      <c r="B2734" t="s">
        <v>1075</v>
      </c>
      <c r="C2734" t="s">
        <v>6640</v>
      </c>
    </row>
    <row r="2735" spans="1:3">
      <c r="A2735" t="s">
        <v>364</v>
      </c>
      <c r="B2735" t="s">
        <v>1070</v>
      </c>
      <c r="C2735" t="s">
        <v>6639</v>
      </c>
    </row>
    <row r="2736" spans="1:3">
      <c r="A2736" t="s">
        <v>355</v>
      </c>
      <c r="B2736" t="s">
        <v>1075</v>
      </c>
      <c r="C2736" t="s">
        <v>6609</v>
      </c>
    </row>
    <row r="2737" spans="1:3">
      <c r="A2737" t="s">
        <v>355</v>
      </c>
      <c r="B2737" t="s">
        <v>1075</v>
      </c>
      <c r="C2737" t="s">
        <v>6608</v>
      </c>
    </row>
    <row r="2738" spans="1:3">
      <c r="A2738" t="s">
        <v>355</v>
      </c>
      <c r="B2738" t="s">
        <v>1075</v>
      </c>
      <c r="C2738" t="s">
        <v>6607</v>
      </c>
    </row>
    <row r="2739" spans="1:3">
      <c r="A2739" t="s">
        <v>355</v>
      </c>
      <c r="B2739" t="s">
        <v>1075</v>
      </c>
      <c r="C2739" t="s">
        <v>6606</v>
      </c>
    </row>
    <row r="2740" spans="1:3">
      <c r="A2740" t="s">
        <v>355</v>
      </c>
      <c r="B2740" t="s">
        <v>1070</v>
      </c>
      <c r="C2740" t="s">
        <v>6605</v>
      </c>
    </row>
    <row r="2741" spans="1:3">
      <c r="A2741" t="s">
        <v>352</v>
      </c>
      <c r="B2741" t="s">
        <v>1075</v>
      </c>
      <c r="C2741" t="s">
        <v>6604</v>
      </c>
    </row>
    <row r="2742" spans="1:3">
      <c r="A2742" t="s">
        <v>352</v>
      </c>
      <c r="B2742" t="s">
        <v>1075</v>
      </c>
      <c r="C2742" t="s">
        <v>6603</v>
      </c>
    </row>
    <row r="2743" spans="1:3">
      <c r="A2743" t="s">
        <v>352</v>
      </c>
      <c r="B2743" t="s">
        <v>1075</v>
      </c>
      <c r="C2743" t="s">
        <v>6602</v>
      </c>
    </row>
    <row r="2744" spans="1:3">
      <c r="A2744" t="s">
        <v>352</v>
      </c>
      <c r="B2744" t="s">
        <v>1075</v>
      </c>
      <c r="C2744" t="s">
        <v>6601</v>
      </c>
    </row>
    <row r="2745" spans="1:3">
      <c r="A2745" t="s">
        <v>352</v>
      </c>
      <c r="B2745" t="s">
        <v>1070</v>
      </c>
      <c r="C2745" t="s">
        <v>6600</v>
      </c>
    </row>
    <row r="2746" spans="1:3">
      <c r="A2746" t="s">
        <v>371</v>
      </c>
      <c r="B2746" t="s">
        <v>1075</v>
      </c>
      <c r="C2746" t="s">
        <v>6579</v>
      </c>
    </row>
    <row r="2747" spans="1:3">
      <c r="A2747" t="s">
        <v>371</v>
      </c>
      <c r="B2747" t="s">
        <v>1075</v>
      </c>
      <c r="C2747" t="s">
        <v>6578</v>
      </c>
    </row>
    <row r="2748" spans="1:3">
      <c r="A2748" t="s">
        <v>371</v>
      </c>
      <c r="B2748" t="s">
        <v>1075</v>
      </c>
      <c r="C2748" t="s">
        <v>6577</v>
      </c>
    </row>
    <row r="2749" spans="1:3">
      <c r="A2749" t="s">
        <v>371</v>
      </c>
      <c r="B2749" t="s">
        <v>1075</v>
      </c>
      <c r="C2749" t="s">
        <v>6576</v>
      </c>
    </row>
    <row r="2750" spans="1:3">
      <c r="A2750" t="s">
        <v>371</v>
      </c>
      <c r="B2750" t="s">
        <v>1070</v>
      </c>
      <c r="C2750" t="s">
        <v>6575</v>
      </c>
    </row>
    <row r="2751" spans="1:3">
      <c r="A2751" t="s">
        <v>337</v>
      </c>
      <c r="B2751" t="s">
        <v>1075</v>
      </c>
      <c r="C2751" t="s">
        <v>6536</v>
      </c>
    </row>
    <row r="2752" spans="1:3">
      <c r="A2752" t="s">
        <v>337</v>
      </c>
      <c r="B2752" t="s">
        <v>1075</v>
      </c>
      <c r="C2752" t="s">
        <v>6535</v>
      </c>
    </row>
    <row r="2753" spans="1:3">
      <c r="A2753" t="s">
        <v>337</v>
      </c>
      <c r="B2753" t="s">
        <v>1075</v>
      </c>
      <c r="C2753" t="s">
        <v>6534</v>
      </c>
    </row>
    <row r="2754" spans="1:3">
      <c r="A2754" t="s">
        <v>337</v>
      </c>
      <c r="B2754" t="s">
        <v>1075</v>
      </c>
      <c r="C2754" t="s">
        <v>6533</v>
      </c>
    </row>
    <row r="2755" spans="1:3">
      <c r="A2755" t="s">
        <v>337</v>
      </c>
      <c r="B2755" t="s">
        <v>1070</v>
      </c>
      <c r="C2755" t="s">
        <v>6532</v>
      </c>
    </row>
    <row r="2756" spans="1:3">
      <c r="A2756" t="s">
        <v>348</v>
      </c>
      <c r="B2756" t="s">
        <v>1075</v>
      </c>
      <c r="C2756" t="s">
        <v>6515</v>
      </c>
    </row>
    <row r="2757" spans="1:3">
      <c r="A2757" t="s">
        <v>348</v>
      </c>
      <c r="B2757" t="s">
        <v>1075</v>
      </c>
      <c r="C2757" t="s">
        <v>6514</v>
      </c>
    </row>
    <row r="2758" spans="1:3">
      <c r="A2758" t="s">
        <v>348</v>
      </c>
      <c r="B2758" t="s">
        <v>1075</v>
      </c>
      <c r="C2758" t="s">
        <v>6513</v>
      </c>
    </row>
    <row r="2759" spans="1:3">
      <c r="A2759" t="s">
        <v>348</v>
      </c>
      <c r="B2759" t="s">
        <v>1075</v>
      </c>
      <c r="C2759" t="s">
        <v>6512</v>
      </c>
    </row>
    <row r="2760" spans="1:3">
      <c r="A2760" t="s">
        <v>348</v>
      </c>
      <c r="B2760" t="s">
        <v>1070</v>
      </c>
      <c r="C2760" t="s">
        <v>6511</v>
      </c>
    </row>
    <row r="2761" spans="1:3">
      <c r="A2761" t="s">
        <v>344</v>
      </c>
      <c r="B2761" t="s">
        <v>1075</v>
      </c>
      <c r="C2761" t="s">
        <v>6490</v>
      </c>
    </row>
    <row r="2762" spans="1:3">
      <c r="A2762" t="s">
        <v>344</v>
      </c>
      <c r="B2762" t="s">
        <v>1075</v>
      </c>
      <c r="C2762" t="s">
        <v>6489</v>
      </c>
    </row>
    <row r="2763" spans="1:3">
      <c r="A2763" t="s">
        <v>344</v>
      </c>
      <c r="B2763" t="s">
        <v>1075</v>
      </c>
      <c r="C2763" t="s">
        <v>6488</v>
      </c>
    </row>
    <row r="2764" spans="1:3">
      <c r="A2764" t="s">
        <v>344</v>
      </c>
      <c r="B2764" t="s">
        <v>1075</v>
      </c>
      <c r="C2764" t="s">
        <v>6487</v>
      </c>
    </row>
    <row r="2765" spans="1:3">
      <c r="A2765" t="s">
        <v>344</v>
      </c>
      <c r="B2765" t="s">
        <v>1070</v>
      </c>
      <c r="C2765" t="s">
        <v>6486</v>
      </c>
    </row>
    <row r="2766" spans="1:3">
      <c r="A2766" t="s">
        <v>376</v>
      </c>
      <c r="B2766" t="s">
        <v>1075</v>
      </c>
      <c r="C2766" t="s">
        <v>6485</v>
      </c>
    </row>
    <row r="2767" spans="1:3">
      <c r="A2767" t="s">
        <v>376</v>
      </c>
      <c r="B2767" t="s">
        <v>1075</v>
      </c>
      <c r="C2767" t="s">
        <v>6484</v>
      </c>
    </row>
    <row r="2768" spans="1:3">
      <c r="A2768" t="s">
        <v>376</v>
      </c>
      <c r="B2768" t="s">
        <v>1075</v>
      </c>
      <c r="C2768" t="s">
        <v>6483</v>
      </c>
    </row>
    <row r="2769" spans="1:3">
      <c r="A2769" t="s">
        <v>376</v>
      </c>
      <c r="B2769" t="s">
        <v>1075</v>
      </c>
      <c r="C2769" t="s">
        <v>6482</v>
      </c>
    </row>
    <row r="2770" spans="1:3">
      <c r="A2770" t="s">
        <v>376</v>
      </c>
      <c r="B2770" t="s">
        <v>1070</v>
      </c>
      <c r="C2770" t="s">
        <v>6481</v>
      </c>
    </row>
    <row r="2771" spans="1:3">
      <c r="A2771" t="s">
        <v>377</v>
      </c>
      <c r="B2771" t="s">
        <v>1075</v>
      </c>
      <c r="C2771" t="s">
        <v>6480</v>
      </c>
    </row>
    <row r="2772" spans="1:3">
      <c r="A2772" t="s">
        <v>377</v>
      </c>
      <c r="B2772" t="s">
        <v>1075</v>
      </c>
      <c r="C2772" t="s">
        <v>6479</v>
      </c>
    </row>
    <row r="2773" spans="1:3">
      <c r="A2773" t="s">
        <v>377</v>
      </c>
      <c r="B2773" t="s">
        <v>1075</v>
      </c>
      <c r="C2773" t="s">
        <v>6478</v>
      </c>
    </row>
    <row r="2774" spans="1:3">
      <c r="A2774" t="s">
        <v>377</v>
      </c>
      <c r="B2774" t="s">
        <v>1075</v>
      </c>
      <c r="C2774" t="s">
        <v>6477</v>
      </c>
    </row>
    <row r="2775" spans="1:3">
      <c r="A2775" t="s">
        <v>377</v>
      </c>
      <c r="B2775" t="s">
        <v>1070</v>
      </c>
      <c r="C2775" t="s">
        <v>6476</v>
      </c>
    </row>
    <row r="2776" spans="1:3">
      <c r="A2776" t="s">
        <v>346</v>
      </c>
      <c r="B2776" t="s">
        <v>1075</v>
      </c>
      <c r="C2776" t="s">
        <v>6463</v>
      </c>
    </row>
    <row r="2777" spans="1:3">
      <c r="A2777" t="s">
        <v>346</v>
      </c>
      <c r="B2777" t="s">
        <v>1075</v>
      </c>
      <c r="C2777" t="s">
        <v>6462</v>
      </c>
    </row>
    <row r="2778" spans="1:3">
      <c r="A2778" t="s">
        <v>346</v>
      </c>
      <c r="B2778" t="s">
        <v>1075</v>
      </c>
      <c r="C2778" t="s">
        <v>6461</v>
      </c>
    </row>
    <row r="2779" spans="1:3">
      <c r="A2779" t="s">
        <v>346</v>
      </c>
      <c r="B2779" t="s">
        <v>1075</v>
      </c>
      <c r="C2779" t="s">
        <v>6460</v>
      </c>
    </row>
    <row r="2780" spans="1:3">
      <c r="A2780" t="s">
        <v>346</v>
      </c>
      <c r="B2780" t="s">
        <v>1070</v>
      </c>
      <c r="C2780" t="s">
        <v>6459</v>
      </c>
    </row>
    <row r="2781" spans="1:3">
      <c r="A2781" t="s">
        <v>375</v>
      </c>
      <c r="B2781" t="s">
        <v>1075</v>
      </c>
      <c r="C2781" t="s">
        <v>6458</v>
      </c>
    </row>
    <row r="2782" spans="1:3">
      <c r="A2782" t="s">
        <v>375</v>
      </c>
      <c r="B2782" t="s">
        <v>1075</v>
      </c>
      <c r="C2782" t="s">
        <v>6457</v>
      </c>
    </row>
    <row r="2783" spans="1:3">
      <c r="A2783" t="s">
        <v>375</v>
      </c>
      <c r="B2783" t="s">
        <v>1075</v>
      </c>
      <c r="C2783" t="s">
        <v>6456</v>
      </c>
    </row>
    <row r="2784" spans="1:3">
      <c r="A2784" t="s">
        <v>375</v>
      </c>
      <c r="B2784" t="s">
        <v>1075</v>
      </c>
      <c r="C2784" t="s">
        <v>6455</v>
      </c>
    </row>
    <row r="2785" spans="1:3">
      <c r="A2785" t="s">
        <v>375</v>
      </c>
      <c r="B2785" t="s">
        <v>1070</v>
      </c>
      <c r="C2785" t="s">
        <v>6454</v>
      </c>
    </row>
    <row r="2786" spans="1:3">
      <c r="A2786" t="s">
        <v>347</v>
      </c>
      <c r="B2786" t="s">
        <v>1075</v>
      </c>
      <c r="C2786" t="s">
        <v>6447</v>
      </c>
    </row>
    <row r="2787" spans="1:3">
      <c r="A2787" t="s">
        <v>347</v>
      </c>
      <c r="B2787" t="s">
        <v>1075</v>
      </c>
      <c r="C2787" t="s">
        <v>6446</v>
      </c>
    </row>
    <row r="2788" spans="1:3">
      <c r="A2788" t="s">
        <v>347</v>
      </c>
      <c r="B2788" t="s">
        <v>1075</v>
      </c>
      <c r="C2788" t="s">
        <v>6445</v>
      </c>
    </row>
    <row r="2789" spans="1:3">
      <c r="A2789" t="s">
        <v>347</v>
      </c>
      <c r="B2789" t="s">
        <v>1075</v>
      </c>
      <c r="C2789" t="s">
        <v>6444</v>
      </c>
    </row>
    <row r="2790" spans="1:3">
      <c r="A2790" t="s">
        <v>347</v>
      </c>
      <c r="B2790" t="s">
        <v>1070</v>
      </c>
      <c r="C2790" t="s">
        <v>6443</v>
      </c>
    </row>
    <row r="2791" spans="1:3">
      <c r="A2791" t="s">
        <v>359</v>
      </c>
      <c r="B2791" t="s">
        <v>1075</v>
      </c>
      <c r="C2791" t="s">
        <v>6432</v>
      </c>
    </row>
    <row r="2792" spans="1:3">
      <c r="A2792" t="s">
        <v>359</v>
      </c>
      <c r="B2792" t="s">
        <v>1075</v>
      </c>
      <c r="C2792" t="s">
        <v>6431</v>
      </c>
    </row>
    <row r="2793" spans="1:3">
      <c r="A2793" t="s">
        <v>359</v>
      </c>
      <c r="B2793" t="s">
        <v>1075</v>
      </c>
      <c r="C2793" t="s">
        <v>6430</v>
      </c>
    </row>
    <row r="2794" spans="1:3">
      <c r="A2794" t="s">
        <v>359</v>
      </c>
      <c r="B2794" t="s">
        <v>1075</v>
      </c>
      <c r="C2794" t="s">
        <v>6429</v>
      </c>
    </row>
    <row r="2795" spans="1:3">
      <c r="A2795" t="s">
        <v>359</v>
      </c>
      <c r="B2795" t="s">
        <v>1070</v>
      </c>
      <c r="C2795" t="s">
        <v>6428</v>
      </c>
    </row>
    <row r="2796" spans="1:3">
      <c r="A2796" t="s">
        <v>327</v>
      </c>
      <c r="B2796" t="s">
        <v>1075</v>
      </c>
      <c r="C2796" t="s">
        <v>6422</v>
      </c>
    </row>
    <row r="2797" spans="1:3">
      <c r="A2797" t="s">
        <v>327</v>
      </c>
      <c r="B2797" t="s">
        <v>1075</v>
      </c>
      <c r="C2797" t="s">
        <v>6421</v>
      </c>
    </row>
    <row r="2798" spans="1:3">
      <c r="A2798" t="s">
        <v>327</v>
      </c>
      <c r="B2798" t="s">
        <v>1075</v>
      </c>
      <c r="C2798" t="s">
        <v>6420</v>
      </c>
    </row>
    <row r="2799" spans="1:3">
      <c r="A2799" t="s">
        <v>327</v>
      </c>
      <c r="B2799" t="s">
        <v>1075</v>
      </c>
      <c r="C2799" t="s">
        <v>6419</v>
      </c>
    </row>
    <row r="2800" spans="1:3">
      <c r="A2800" t="s">
        <v>327</v>
      </c>
      <c r="B2800" t="s">
        <v>1070</v>
      </c>
      <c r="C2800" t="s">
        <v>6418</v>
      </c>
    </row>
    <row r="2801" spans="1:3">
      <c r="A2801" t="s">
        <v>362</v>
      </c>
      <c r="B2801" t="s">
        <v>1075</v>
      </c>
      <c r="C2801" t="s">
        <v>6427</v>
      </c>
    </row>
    <row r="2802" spans="1:3">
      <c r="A2802" t="s">
        <v>362</v>
      </c>
      <c r="B2802" t="s">
        <v>1075</v>
      </c>
      <c r="C2802" t="s">
        <v>6426</v>
      </c>
    </row>
    <row r="2803" spans="1:3">
      <c r="A2803" t="s">
        <v>362</v>
      </c>
      <c r="B2803" t="s">
        <v>1075</v>
      </c>
      <c r="C2803" t="s">
        <v>6425</v>
      </c>
    </row>
    <row r="2804" spans="1:3">
      <c r="A2804" t="s">
        <v>362</v>
      </c>
      <c r="B2804" t="s">
        <v>1075</v>
      </c>
      <c r="C2804" t="s">
        <v>6424</v>
      </c>
    </row>
    <row r="2805" spans="1:3">
      <c r="A2805" t="s">
        <v>362</v>
      </c>
      <c r="B2805" t="s">
        <v>1070</v>
      </c>
      <c r="C2805" t="s">
        <v>6423</v>
      </c>
    </row>
    <row r="2806" spans="1:3">
      <c r="A2806" t="s">
        <v>335</v>
      </c>
      <c r="B2806" t="s">
        <v>1075</v>
      </c>
      <c r="C2806" t="s">
        <v>6417</v>
      </c>
    </row>
    <row r="2807" spans="1:3">
      <c r="A2807" t="s">
        <v>335</v>
      </c>
      <c r="B2807" t="s">
        <v>1075</v>
      </c>
      <c r="C2807" t="s">
        <v>6416</v>
      </c>
    </row>
    <row r="2808" spans="1:3">
      <c r="A2808" t="s">
        <v>335</v>
      </c>
      <c r="B2808" t="s">
        <v>1075</v>
      </c>
      <c r="C2808" t="s">
        <v>6415</v>
      </c>
    </row>
    <row r="2809" spans="1:3">
      <c r="A2809" t="s">
        <v>335</v>
      </c>
      <c r="B2809" t="s">
        <v>1075</v>
      </c>
      <c r="C2809" t="s">
        <v>6414</v>
      </c>
    </row>
    <row r="2810" spans="1:3">
      <c r="A2810" t="s">
        <v>335</v>
      </c>
      <c r="B2810" t="s">
        <v>1070</v>
      </c>
      <c r="C2810" t="s">
        <v>6413</v>
      </c>
    </row>
    <row r="2811" spans="1:3">
      <c r="A2811" t="s">
        <v>356</v>
      </c>
      <c r="B2811" t="s">
        <v>1075</v>
      </c>
      <c r="C2811" t="s">
        <v>6388</v>
      </c>
    </row>
    <row r="2812" spans="1:3">
      <c r="A2812" t="s">
        <v>356</v>
      </c>
      <c r="B2812" t="s">
        <v>1075</v>
      </c>
      <c r="C2812" t="s">
        <v>6387</v>
      </c>
    </row>
    <row r="2813" spans="1:3">
      <c r="A2813" t="s">
        <v>356</v>
      </c>
      <c r="B2813" t="s">
        <v>1075</v>
      </c>
      <c r="C2813" t="s">
        <v>6386</v>
      </c>
    </row>
    <row r="2814" spans="1:3">
      <c r="A2814" t="s">
        <v>356</v>
      </c>
      <c r="B2814" t="s">
        <v>1075</v>
      </c>
      <c r="C2814" t="s">
        <v>6385</v>
      </c>
    </row>
    <row r="2815" spans="1:3">
      <c r="A2815" t="s">
        <v>356</v>
      </c>
      <c r="B2815" t="s">
        <v>1070</v>
      </c>
      <c r="C2815" t="s">
        <v>6384</v>
      </c>
    </row>
    <row r="2816" spans="1:3">
      <c r="A2816" t="s">
        <v>767</v>
      </c>
      <c r="B2816" t="s">
        <v>1075</v>
      </c>
      <c r="C2816" t="s">
        <v>8205</v>
      </c>
    </row>
    <row r="2817" spans="1:3">
      <c r="A2817" t="s">
        <v>767</v>
      </c>
      <c r="B2817" t="s">
        <v>1075</v>
      </c>
      <c r="C2817" t="s">
        <v>8204</v>
      </c>
    </row>
    <row r="2818" spans="1:3">
      <c r="A2818" t="s">
        <v>767</v>
      </c>
      <c r="B2818" t="s">
        <v>1075</v>
      </c>
      <c r="C2818" t="s">
        <v>8203</v>
      </c>
    </row>
    <row r="2819" spans="1:3">
      <c r="A2819" t="s">
        <v>767</v>
      </c>
      <c r="B2819" t="s">
        <v>1075</v>
      </c>
      <c r="C2819" t="s">
        <v>8202</v>
      </c>
    </row>
    <row r="2820" spans="1:3">
      <c r="A2820" t="s">
        <v>767</v>
      </c>
      <c r="B2820" t="s">
        <v>1075</v>
      </c>
      <c r="C2820" t="s">
        <v>8201</v>
      </c>
    </row>
    <row r="2821" spans="1:3">
      <c r="A2821" t="s">
        <v>767</v>
      </c>
      <c r="B2821" t="s">
        <v>1070</v>
      </c>
      <c r="C2821" t="s">
        <v>8200</v>
      </c>
    </row>
    <row r="2822" spans="1:3">
      <c r="A2822" t="s">
        <v>769</v>
      </c>
      <c r="B2822" t="s">
        <v>1075</v>
      </c>
      <c r="C2822" t="s">
        <v>8199</v>
      </c>
    </row>
    <row r="2823" spans="1:3">
      <c r="A2823" t="s">
        <v>769</v>
      </c>
      <c r="B2823" t="s">
        <v>1075</v>
      </c>
      <c r="C2823" t="s">
        <v>8198</v>
      </c>
    </row>
    <row r="2824" spans="1:3">
      <c r="A2824" t="s">
        <v>769</v>
      </c>
      <c r="B2824" t="s">
        <v>1075</v>
      </c>
      <c r="C2824" t="s">
        <v>8197</v>
      </c>
    </row>
    <row r="2825" spans="1:3">
      <c r="A2825" t="s">
        <v>769</v>
      </c>
      <c r="B2825" t="s">
        <v>1075</v>
      </c>
      <c r="C2825" t="s">
        <v>8196</v>
      </c>
    </row>
    <row r="2826" spans="1:3">
      <c r="A2826" t="s">
        <v>769</v>
      </c>
      <c r="B2826" t="s">
        <v>1075</v>
      </c>
      <c r="C2826" t="s">
        <v>8195</v>
      </c>
    </row>
    <row r="2827" spans="1:3">
      <c r="A2827" t="s">
        <v>769</v>
      </c>
      <c r="B2827" t="s">
        <v>1070</v>
      </c>
      <c r="C2827" t="s">
        <v>8194</v>
      </c>
    </row>
    <row r="2828" spans="1:3">
      <c r="A2828" t="s">
        <v>768</v>
      </c>
      <c r="B2828" t="s">
        <v>1075</v>
      </c>
      <c r="C2828" t="s">
        <v>8193</v>
      </c>
    </row>
    <row r="2829" spans="1:3">
      <c r="A2829" t="s">
        <v>768</v>
      </c>
      <c r="B2829" t="s">
        <v>1075</v>
      </c>
      <c r="C2829" t="s">
        <v>8192</v>
      </c>
    </row>
    <row r="2830" spans="1:3">
      <c r="A2830" t="s">
        <v>768</v>
      </c>
      <c r="B2830" t="s">
        <v>1075</v>
      </c>
      <c r="C2830" t="s">
        <v>8191</v>
      </c>
    </row>
    <row r="2831" spans="1:3">
      <c r="A2831" t="s">
        <v>768</v>
      </c>
      <c r="B2831" t="s">
        <v>1075</v>
      </c>
      <c r="C2831" t="s">
        <v>8190</v>
      </c>
    </row>
    <row r="2832" spans="1:3">
      <c r="A2832" t="s">
        <v>768</v>
      </c>
      <c r="B2832" t="s">
        <v>1075</v>
      </c>
      <c r="C2832" t="s">
        <v>8189</v>
      </c>
    </row>
    <row r="2833" spans="1:3">
      <c r="A2833" t="s">
        <v>768</v>
      </c>
      <c r="B2833" t="s">
        <v>1070</v>
      </c>
      <c r="C2833" t="s">
        <v>8188</v>
      </c>
    </row>
    <row r="2834" spans="1:3">
      <c r="A2834" t="s">
        <v>764</v>
      </c>
      <c r="B2834" t="s">
        <v>1075</v>
      </c>
      <c r="C2834" t="s">
        <v>8187</v>
      </c>
    </row>
    <row r="2835" spans="1:3">
      <c r="A2835" t="s">
        <v>764</v>
      </c>
      <c r="B2835" t="s">
        <v>1075</v>
      </c>
      <c r="C2835" t="s">
        <v>8186</v>
      </c>
    </row>
    <row r="2836" spans="1:3">
      <c r="A2836" t="s">
        <v>764</v>
      </c>
      <c r="B2836" t="s">
        <v>1075</v>
      </c>
      <c r="C2836" t="s">
        <v>8185</v>
      </c>
    </row>
    <row r="2837" spans="1:3">
      <c r="A2837" t="s">
        <v>764</v>
      </c>
      <c r="B2837" t="s">
        <v>1075</v>
      </c>
      <c r="C2837" t="s">
        <v>8184</v>
      </c>
    </row>
    <row r="2838" spans="1:3">
      <c r="A2838" t="s">
        <v>764</v>
      </c>
      <c r="B2838" t="s">
        <v>1075</v>
      </c>
      <c r="C2838" t="s">
        <v>8183</v>
      </c>
    </row>
    <row r="2839" spans="1:3">
      <c r="A2839" t="s">
        <v>764</v>
      </c>
      <c r="B2839" t="s">
        <v>1070</v>
      </c>
      <c r="C2839" t="s">
        <v>8182</v>
      </c>
    </row>
    <row r="2840" spans="1:3">
      <c r="A2840" t="s">
        <v>766</v>
      </c>
      <c r="B2840" t="s">
        <v>1075</v>
      </c>
      <c r="C2840" t="s">
        <v>8181</v>
      </c>
    </row>
    <row r="2841" spans="1:3">
      <c r="A2841" t="s">
        <v>766</v>
      </c>
      <c r="B2841" t="s">
        <v>1075</v>
      </c>
      <c r="C2841" t="s">
        <v>8180</v>
      </c>
    </row>
    <row r="2842" spans="1:3">
      <c r="A2842" t="s">
        <v>766</v>
      </c>
      <c r="B2842" t="s">
        <v>1075</v>
      </c>
      <c r="C2842" t="s">
        <v>8179</v>
      </c>
    </row>
    <row r="2843" spans="1:3">
      <c r="A2843" t="s">
        <v>766</v>
      </c>
      <c r="B2843" t="s">
        <v>1075</v>
      </c>
      <c r="C2843" t="s">
        <v>8178</v>
      </c>
    </row>
    <row r="2844" spans="1:3">
      <c r="A2844" t="s">
        <v>766</v>
      </c>
      <c r="B2844" t="s">
        <v>1075</v>
      </c>
      <c r="C2844" t="s">
        <v>8177</v>
      </c>
    </row>
    <row r="2845" spans="1:3">
      <c r="A2845" t="s">
        <v>766</v>
      </c>
      <c r="B2845" t="s">
        <v>1070</v>
      </c>
      <c r="C2845" t="s">
        <v>8176</v>
      </c>
    </row>
    <row r="2846" spans="1:3">
      <c r="A2846" t="s">
        <v>765</v>
      </c>
      <c r="B2846" t="s">
        <v>1075</v>
      </c>
      <c r="C2846" t="s">
        <v>8175</v>
      </c>
    </row>
    <row r="2847" spans="1:3">
      <c r="A2847" t="s">
        <v>765</v>
      </c>
      <c r="B2847" t="s">
        <v>1075</v>
      </c>
      <c r="C2847" t="s">
        <v>8174</v>
      </c>
    </row>
    <row r="2848" spans="1:3">
      <c r="A2848" t="s">
        <v>765</v>
      </c>
      <c r="B2848" t="s">
        <v>1075</v>
      </c>
      <c r="C2848" t="s">
        <v>8173</v>
      </c>
    </row>
    <row r="2849" spans="1:3">
      <c r="A2849" t="s">
        <v>765</v>
      </c>
      <c r="B2849" t="s">
        <v>1075</v>
      </c>
      <c r="C2849" t="s">
        <v>8172</v>
      </c>
    </row>
    <row r="2850" spans="1:3">
      <c r="A2850" t="s">
        <v>765</v>
      </c>
      <c r="B2850" t="s">
        <v>1075</v>
      </c>
      <c r="C2850" t="s">
        <v>8171</v>
      </c>
    </row>
    <row r="2851" spans="1:3">
      <c r="A2851" t="s">
        <v>765</v>
      </c>
      <c r="B2851" t="s">
        <v>1070</v>
      </c>
      <c r="C2851" t="s">
        <v>8170</v>
      </c>
    </row>
    <row r="2852" spans="1:3">
      <c r="A2852" t="s">
        <v>770</v>
      </c>
      <c r="B2852" t="s">
        <v>1075</v>
      </c>
      <c r="C2852" t="s">
        <v>8169</v>
      </c>
    </row>
    <row r="2853" spans="1:3">
      <c r="A2853" t="s">
        <v>770</v>
      </c>
      <c r="B2853" t="s">
        <v>1075</v>
      </c>
      <c r="C2853" t="s">
        <v>8168</v>
      </c>
    </row>
    <row r="2854" spans="1:3">
      <c r="A2854" t="s">
        <v>770</v>
      </c>
      <c r="B2854" t="s">
        <v>1075</v>
      </c>
      <c r="C2854" t="s">
        <v>8167</v>
      </c>
    </row>
    <row r="2855" spans="1:3">
      <c r="A2855" t="s">
        <v>770</v>
      </c>
      <c r="B2855" t="s">
        <v>1075</v>
      </c>
      <c r="C2855" t="s">
        <v>8166</v>
      </c>
    </row>
    <row r="2856" spans="1:3">
      <c r="A2856" t="s">
        <v>770</v>
      </c>
      <c r="B2856" t="s">
        <v>1075</v>
      </c>
      <c r="C2856" t="s">
        <v>8165</v>
      </c>
    </row>
    <row r="2857" spans="1:3">
      <c r="A2857" t="s">
        <v>770</v>
      </c>
      <c r="B2857" t="s">
        <v>1070</v>
      </c>
      <c r="C2857" t="s">
        <v>8164</v>
      </c>
    </row>
    <row r="2858" spans="1:3">
      <c r="A2858" t="s">
        <v>772</v>
      </c>
      <c r="B2858" t="s">
        <v>1075</v>
      </c>
      <c r="C2858" t="s">
        <v>8163</v>
      </c>
    </row>
    <row r="2859" spans="1:3">
      <c r="A2859" t="s">
        <v>772</v>
      </c>
      <c r="B2859" t="s">
        <v>1075</v>
      </c>
      <c r="C2859" t="s">
        <v>8162</v>
      </c>
    </row>
    <row r="2860" spans="1:3">
      <c r="A2860" t="s">
        <v>772</v>
      </c>
      <c r="B2860" t="s">
        <v>1075</v>
      </c>
      <c r="C2860" t="s">
        <v>8161</v>
      </c>
    </row>
    <row r="2861" spans="1:3">
      <c r="A2861" t="s">
        <v>772</v>
      </c>
      <c r="B2861" t="s">
        <v>1075</v>
      </c>
      <c r="C2861" t="s">
        <v>8160</v>
      </c>
    </row>
    <row r="2862" spans="1:3">
      <c r="A2862" t="s">
        <v>772</v>
      </c>
      <c r="B2862" t="s">
        <v>1075</v>
      </c>
      <c r="C2862" t="s">
        <v>8159</v>
      </c>
    </row>
    <row r="2863" spans="1:3">
      <c r="A2863" t="s">
        <v>772</v>
      </c>
      <c r="B2863" t="s">
        <v>1070</v>
      </c>
      <c r="C2863" t="s">
        <v>8158</v>
      </c>
    </row>
    <row r="2864" spans="1:3">
      <c r="A2864" t="s">
        <v>771</v>
      </c>
      <c r="B2864" t="s">
        <v>1075</v>
      </c>
      <c r="C2864" t="s">
        <v>8157</v>
      </c>
    </row>
    <row r="2865" spans="1:3">
      <c r="A2865" t="s">
        <v>771</v>
      </c>
      <c r="B2865" t="s">
        <v>1075</v>
      </c>
      <c r="C2865" t="s">
        <v>8156</v>
      </c>
    </row>
    <row r="2866" spans="1:3">
      <c r="A2866" t="s">
        <v>771</v>
      </c>
      <c r="B2866" t="s">
        <v>1075</v>
      </c>
      <c r="C2866" t="s">
        <v>8155</v>
      </c>
    </row>
    <row r="2867" spans="1:3">
      <c r="A2867" t="s">
        <v>771</v>
      </c>
      <c r="B2867" t="s">
        <v>1075</v>
      </c>
      <c r="C2867" t="s">
        <v>8154</v>
      </c>
    </row>
    <row r="2868" spans="1:3">
      <c r="A2868" t="s">
        <v>771</v>
      </c>
      <c r="B2868" t="s">
        <v>1075</v>
      </c>
      <c r="C2868" t="s">
        <v>8153</v>
      </c>
    </row>
    <row r="2869" spans="1:3">
      <c r="A2869" t="s">
        <v>771</v>
      </c>
      <c r="B2869" t="s">
        <v>1070</v>
      </c>
      <c r="C2869" t="s">
        <v>8152</v>
      </c>
    </row>
    <row r="2870" spans="1:3">
      <c r="A2870" t="s">
        <v>773</v>
      </c>
      <c r="B2870" t="s">
        <v>1075</v>
      </c>
      <c r="C2870" t="s">
        <v>8151</v>
      </c>
    </row>
    <row r="2871" spans="1:3">
      <c r="A2871" t="s">
        <v>773</v>
      </c>
      <c r="B2871" t="s">
        <v>1075</v>
      </c>
      <c r="C2871" t="s">
        <v>8150</v>
      </c>
    </row>
    <row r="2872" spans="1:3">
      <c r="A2872" t="s">
        <v>773</v>
      </c>
      <c r="B2872" t="s">
        <v>1075</v>
      </c>
      <c r="C2872" t="s">
        <v>8149</v>
      </c>
    </row>
    <row r="2873" spans="1:3">
      <c r="A2873" t="s">
        <v>773</v>
      </c>
      <c r="B2873" t="s">
        <v>1075</v>
      </c>
      <c r="C2873" t="s">
        <v>8148</v>
      </c>
    </row>
    <row r="2874" spans="1:3">
      <c r="A2874" t="s">
        <v>773</v>
      </c>
      <c r="B2874" t="s">
        <v>1075</v>
      </c>
      <c r="C2874" t="s">
        <v>8147</v>
      </c>
    </row>
    <row r="2875" spans="1:3">
      <c r="A2875" t="s">
        <v>773</v>
      </c>
      <c r="B2875" t="s">
        <v>1070</v>
      </c>
      <c r="C2875" t="s">
        <v>8146</v>
      </c>
    </row>
    <row r="2876" spans="1:3">
      <c r="A2876" t="s">
        <v>774</v>
      </c>
      <c r="B2876" t="s">
        <v>1075</v>
      </c>
      <c r="C2876" t="s">
        <v>8145</v>
      </c>
    </row>
    <row r="2877" spans="1:3">
      <c r="A2877" t="s">
        <v>774</v>
      </c>
      <c r="B2877" t="s">
        <v>1075</v>
      </c>
      <c r="C2877" t="s">
        <v>8144</v>
      </c>
    </row>
    <row r="2878" spans="1:3">
      <c r="A2878" t="s">
        <v>774</v>
      </c>
      <c r="B2878" t="s">
        <v>1075</v>
      </c>
      <c r="C2878" t="s">
        <v>8143</v>
      </c>
    </row>
    <row r="2879" spans="1:3">
      <c r="A2879" t="s">
        <v>774</v>
      </c>
      <c r="B2879" t="s">
        <v>1075</v>
      </c>
      <c r="C2879" t="s">
        <v>8142</v>
      </c>
    </row>
    <row r="2880" spans="1:3">
      <c r="A2880" t="s">
        <v>774</v>
      </c>
      <c r="B2880" t="s">
        <v>1075</v>
      </c>
      <c r="C2880" t="s">
        <v>8141</v>
      </c>
    </row>
    <row r="2881" spans="1:3">
      <c r="A2881" t="s">
        <v>774</v>
      </c>
      <c r="B2881" t="s">
        <v>1070</v>
      </c>
      <c r="C2881" t="s">
        <v>8140</v>
      </c>
    </row>
    <row r="2882" spans="1:3">
      <c r="A2882" t="s">
        <v>779</v>
      </c>
      <c r="B2882" t="s">
        <v>1075</v>
      </c>
      <c r="C2882" t="s">
        <v>8139</v>
      </c>
    </row>
    <row r="2883" spans="1:3">
      <c r="A2883" t="s">
        <v>779</v>
      </c>
      <c r="B2883" t="s">
        <v>1075</v>
      </c>
      <c r="C2883" t="s">
        <v>8138</v>
      </c>
    </row>
    <row r="2884" spans="1:3">
      <c r="A2884" t="s">
        <v>779</v>
      </c>
      <c r="B2884" t="s">
        <v>1075</v>
      </c>
      <c r="C2884" t="s">
        <v>8137</v>
      </c>
    </row>
    <row r="2885" spans="1:3">
      <c r="A2885" t="s">
        <v>779</v>
      </c>
      <c r="B2885" t="s">
        <v>1075</v>
      </c>
      <c r="C2885" t="s">
        <v>8136</v>
      </c>
    </row>
    <row r="2886" spans="1:3">
      <c r="A2886" t="s">
        <v>779</v>
      </c>
      <c r="B2886" t="s">
        <v>1075</v>
      </c>
      <c r="C2886" t="s">
        <v>8135</v>
      </c>
    </row>
    <row r="2887" spans="1:3">
      <c r="A2887" t="s">
        <v>779</v>
      </c>
      <c r="B2887" t="s">
        <v>1070</v>
      </c>
      <c r="C2887" t="s">
        <v>8134</v>
      </c>
    </row>
    <row r="2888" spans="1:3">
      <c r="A2888" t="s">
        <v>781</v>
      </c>
      <c r="B2888" t="s">
        <v>1075</v>
      </c>
      <c r="C2888" t="s">
        <v>8133</v>
      </c>
    </row>
    <row r="2889" spans="1:3">
      <c r="A2889" t="s">
        <v>781</v>
      </c>
      <c r="B2889" t="s">
        <v>1075</v>
      </c>
      <c r="C2889" t="s">
        <v>8132</v>
      </c>
    </row>
    <row r="2890" spans="1:3">
      <c r="A2890" t="s">
        <v>781</v>
      </c>
      <c r="B2890" t="s">
        <v>1075</v>
      </c>
      <c r="C2890" t="s">
        <v>8131</v>
      </c>
    </row>
    <row r="2891" spans="1:3">
      <c r="A2891" t="s">
        <v>781</v>
      </c>
      <c r="B2891" t="s">
        <v>1075</v>
      </c>
      <c r="C2891" t="s">
        <v>8130</v>
      </c>
    </row>
    <row r="2892" spans="1:3">
      <c r="A2892" t="s">
        <v>781</v>
      </c>
      <c r="B2892" t="s">
        <v>1075</v>
      </c>
      <c r="C2892" t="s">
        <v>8129</v>
      </c>
    </row>
    <row r="2893" spans="1:3">
      <c r="A2893" t="s">
        <v>781</v>
      </c>
      <c r="B2893" t="s">
        <v>1070</v>
      </c>
      <c r="C2893" t="s">
        <v>8128</v>
      </c>
    </row>
    <row r="2894" spans="1:3">
      <c r="A2894" t="s">
        <v>780</v>
      </c>
      <c r="B2894" t="s">
        <v>1075</v>
      </c>
      <c r="C2894" t="s">
        <v>8127</v>
      </c>
    </row>
    <row r="2895" spans="1:3">
      <c r="A2895" t="s">
        <v>780</v>
      </c>
      <c r="B2895" t="s">
        <v>1075</v>
      </c>
      <c r="C2895" t="s">
        <v>8126</v>
      </c>
    </row>
    <row r="2896" spans="1:3">
      <c r="A2896" t="s">
        <v>780</v>
      </c>
      <c r="B2896" t="s">
        <v>1075</v>
      </c>
      <c r="C2896" t="s">
        <v>8125</v>
      </c>
    </row>
    <row r="2897" spans="1:3">
      <c r="A2897" t="s">
        <v>780</v>
      </c>
      <c r="B2897" t="s">
        <v>1075</v>
      </c>
      <c r="C2897" t="s">
        <v>8124</v>
      </c>
    </row>
    <row r="2898" spans="1:3">
      <c r="A2898" t="s">
        <v>780</v>
      </c>
      <c r="B2898" t="s">
        <v>1075</v>
      </c>
      <c r="C2898" t="s">
        <v>8123</v>
      </c>
    </row>
    <row r="2899" spans="1:3">
      <c r="A2899" t="s">
        <v>780</v>
      </c>
      <c r="B2899" t="s">
        <v>1070</v>
      </c>
      <c r="C2899" t="s">
        <v>8122</v>
      </c>
    </row>
    <row r="2900" spans="1:3">
      <c r="A2900" t="s">
        <v>782</v>
      </c>
      <c r="B2900" t="s">
        <v>1075</v>
      </c>
      <c r="C2900" t="s">
        <v>8121</v>
      </c>
    </row>
    <row r="2901" spans="1:3">
      <c r="A2901" t="s">
        <v>782</v>
      </c>
      <c r="B2901" t="s">
        <v>1075</v>
      </c>
      <c r="C2901" t="s">
        <v>8120</v>
      </c>
    </row>
    <row r="2902" spans="1:3">
      <c r="A2902" t="s">
        <v>782</v>
      </c>
      <c r="B2902" t="s">
        <v>1075</v>
      </c>
      <c r="C2902" t="s">
        <v>8119</v>
      </c>
    </row>
    <row r="2903" spans="1:3">
      <c r="A2903" t="s">
        <v>782</v>
      </c>
      <c r="B2903" t="s">
        <v>1075</v>
      </c>
      <c r="C2903" t="s">
        <v>8118</v>
      </c>
    </row>
    <row r="2904" spans="1:3">
      <c r="A2904" t="s">
        <v>782</v>
      </c>
      <c r="B2904" t="s">
        <v>1075</v>
      </c>
      <c r="C2904" t="s">
        <v>8117</v>
      </c>
    </row>
    <row r="2905" spans="1:3">
      <c r="A2905" t="s">
        <v>782</v>
      </c>
      <c r="B2905" t="s">
        <v>1070</v>
      </c>
      <c r="C2905" t="s">
        <v>8116</v>
      </c>
    </row>
    <row r="2906" spans="1:3">
      <c r="A2906" t="s">
        <v>784</v>
      </c>
      <c r="B2906" t="s">
        <v>1075</v>
      </c>
      <c r="C2906" t="s">
        <v>8115</v>
      </c>
    </row>
    <row r="2907" spans="1:3">
      <c r="A2907" t="s">
        <v>784</v>
      </c>
      <c r="B2907" t="s">
        <v>1075</v>
      </c>
      <c r="C2907" t="s">
        <v>8114</v>
      </c>
    </row>
    <row r="2908" spans="1:3">
      <c r="A2908" t="s">
        <v>784</v>
      </c>
      <c r="B2908" t="s">
        <v>1075</v>
      </c>
      <c r="C2908" t="s">
        <v>8113</v>
      </c>
    </row>
    <row r="2909" spans="1:3">
      <c r="A2909" t="s">
        <v>784</v>
      </c>
      <c r="B2909" t="s">
        <v>1075</v>
      </c>
      <c r="C2909" t="s">
        <v>8112</v>
      </c>
    </row>
    <row r="2910" spans="1:3">
      <c r="A2910" t="s">
        <v>784</v>
      </c>
      <c r="B2910" t="s">
        <v>1075</v>
      </c>
      <c r="C2910" t="s">
        <v>8111</v>
      </c>
    </row>
    <row r="2911" spans="1:3">
      <c r="A2911" t="s">
        <v>784</v>
      </c>
      <c r="B2911" t="s">
        <v>1070</v>
      </c>
      <c r="C2911" t="s">
        <v>8110</v>
      </c>
    </row>
    <row r="2912" spans="1:3">
      <c r="A2912" t="s">
        <v>783</v>
      </c>
      <c r="B2912" t="s">
        <v>1075</v>
      </c>
      <c r="C2912" t="s">
        <v>8109</v>
      </c>
    </row>
    <row r="2913" spans="1:3">
      <c r="A2913" t="s">
        <v>783</v>
      </c>
      <c r="B2913" t="s">
        <v>1075</v>
      </c>
      <c r="C2913" t="s">
        <v>8108</v>
      </c>
    </row>
    <row r="2914" spans="1:3">
      <c r="A2914" t="s">
        <v>783</v>
      </c>
      <c r="B2914" t="s">
        <v>1075</v>
      </c>
      <c r="C2914" t="s">
        <v>8107</v>
      </c>
    </row>
    <row r="2915" spans="1:3">
      <c r="A2915" t="s">
        <v>783</v>
      </c>
      <c r="B2915" t="s">
        <v>1075</v>
      </c>
      <c r="C2915" t="s">
        <v>8106</v>
      </c>
    </row>
    <row r="2916" spans="1:3">
      <c r="A2916" t="s">
        <v>783</v>
      </c>
      <c r="B2916" t="s">
        <v>1075</v>
      </c>
      <c r="C2916" t="s">
        <v>8105</v>
      </c>
    </row>
    <row r="2917" spans="1:3">
      <c r="A2917" t="s">
        <v>783</v>
      </c>
      <c r="B2917" t="s">
        <v>1070</v>
      </c>
      <c r="C2917" t="s">
        <v>8104</v>
      </c>
    </row>
    <row r="2918" spans="1:3">
      <c r="A2918" t="s">
        <v>776</v>
      </c>
      <c r="B2918" t="s">
        <v>1075</v>
      </c>
      <c r="C2918" t="s">
        <v>8103</v>
      </c>
    </row>
    <row r="2919" spans="1:3">
      <c r="A2919" t="s">
        <v>776</v>
      </c>
      <c r="B2919" t="s">
        <v>1075</v>
      </c>
      <c r="C2919" t="s">
        <v>8102</v>
      </c>
    </row>
    <row r="2920" spans="1:3">
      <c r="A2920" t="s">
        <v>776</v>
      </c>
      <c r="B2920" t="s">
        <v>1075</v>
      </c>
      <c r="C2920" t="s">
        <v>8101</v>
      </c>
    </row>
    <row r="2921" spans="1:3">
      <c r="A2921" t="s">
        <v>776</v>
      </c>
      <c r="B2921" t="s">
        <v>1075</v>
      </c>
      <c r="C2921" t="s">
        <v>8100</v>
      </c>
    </row>
    <row r="2922" spans="1:3">
      <c r="A2922" t="s">
        <v>776</v>
      </c>
      <c r="B2922" t="s">
        <v>1075</v>
      </c>
      <c r="C2922" t="s">
        <v>8099</v>
      </c>
    </row>
    <row r="2923" spans="1:3">
      <c r="A2923" t="s">
        <v>776</v>
      </c>
      <c r="B2923" t="s">
        <v>1070</v>
      </c>
      <c r="C2923" t="s">
        <v>8098</v>
      </c>
    </row>
    <row r="2924" spans="1:3">
      <c r="A2924" t="s">
        <v>775</v>
      </c>
      <c r="B2924" t="s">
        <v>1075</v>
      </c>
      <c r="C2924" t="s">
        <v>8097</v>
      </c>
    </row>
    <row r="2925" spans="1:3">
      <c r="A2925" t="s">
        <v>775</v>
      </c>
      <c r="B2925" t="s">
        <v>1075</v>
      </c>
      <c r="C2925" t="s">
        <v>8096</v>
      </c>
    </row>
    <row r="2926" spans="1:3">
      <c r="A2926" t="s">
        <v>775</v>
      </c>
      <c r="B2926" t="s">
        <v>1075</v>
      </c>
      <c r="C2926" t="s">
        <v>8095</v>
      </c>
    </row>
    <row r="2927" spans="1:3">
      <c r="A2927" t="s">
        <v>775</v>
      </c>
      <c r="B2927" t="s">
        <v>1075</v>
      </c>
      <c r="C2927" t="s">
        <v>8094</v>
      </c>
    </row>
    <row r="2928" spans="1:3">
      <c r="A2928" t="s">
        <v>775</v>
      </c>
      <c r="B2928" t="s">
        <v>1075</v>
      </c>
      <c r="C2928" t="s">
        <v>8093</v>
      </c>
    </row>
    <row r="2929" spans="1:3">
      <c r="A2929" t="s">
        <v>775</v>
      </c>
      <c r="B2929" t="s">
        <v>1070</v>
      </c>
      <c r="C2929" t="s">
        <v>8092</v>
      </c>
    </row>
    <row r="2930" spans="1:3">
      <c r="A2930" t="s">
        <v>778</v>
      </c>
      <c r="B2930" t="s">
        <v>1075</v>
      </c>
      <c r="C2930" t="s">
        <v>8091</v>
      </c>
    </row>
    <row r="2931" spans="1:3">
      <c r="A2931" t="s">
        <v>778</v>
      </c>
      <c r="B2931" t="s">
        <v>1075</v>
      </c>
      <c r="C2931" t="s">
        <v>8090</v>
      </c>
    </row>
    <row r="2932" spans="1:3">
      <c r="A2932" t="s">
        <v>778</v>
      </c>
      <c r="B2932" t="s">
        <v>1075</v>
      </c>
      <c r="C2932" t="s">
        <v>8089</v>
      </c>
    </row>
    <row r="2933" spans="1:3">
      <c r="A2933" t="s">
        <v>778</v>
      </c>
      <c r="B2933" t="s">
        <v>1075</v>
      </c>
      <c r="C2933" t="s">
        <v>8088</v>
      </c>
    </row>
    <row r="2934" spans="1:3">
      <c r="A2934" t="s">
        <v>778</v>
      </c>
      <c r="B2934" t="s">
        <v>1075</v>
      </c>
      <c r="C2934" t="s">
        <v>8087</v>
      </c>
    </row>
    <row r="2935" spans="1:3">
      <c r="A2935" t="s">
        <v>778</v>
      </c>
      <c r="B2935" t="s">
        <v>1070</v>
      </c>
      <c r="C2935" t="s">
        <v>8086</v>
      </c>
    </row>
    <row r="2936" spans="1:3">
      <c r="A2936" t="s">
        <v>777</v>
      </c>
      <c r="B2936" t="s">
        <v>1075</v>
      </c>
      <c r="C2936" t="s">
        <v>8085</v>
      </c>
    </row>
    <row r="2937" spans="1:3">
      <c r="A2937" t="s">
        <v>777</v>
      </c>
      <c r="B2937" t="s">
        <v>1075</v>
      </c>
      <c r="C2937" t="s">
        <v>8084</v>
      </c>
    </row>
    <row r="2938" spans="1:3">
      <c r="A2938" t="s">
        <v>777</v>
      </c>
      <c r="B2938" t="s">
        <v>1075</v>
      </c>
      <c r="C2938" t="s">
        <v>8083</v>
      </c>
    </row>
    <row r="2939" spans="1:3">
      <c r="A2939" t="s">
        <v>777</v>
      </c>
      <c r="B2939" t="s">
        <v>1075</v>
      </c>
      <c r="C2939" t="s">
        <v>8082</v>
      </c>
    </row>
    <row r="2940" spans="1:3">
      <c r="A2940" t="s">
        <v>777</v>
      </c>
      <c r="B2940" t="s">
        <v>1075</v>
      </c>
      <c r="C2940" t="s">
        <v>8081</v>
      </c>
    </row>
    <row r="2941" spans="1:3">
      <c r="A2941" t="s">
        <v>777</v>
      </c>
      <c r="B2941" t="s">
        <v>1070</v>
      </c>
      <c r="C2941" t="s">
        <v>8080</v>
      </c>
    </row>
    <row r="2942" spans="1:3">
      <c r="A2942" t="s">
        <v>788</v>
      </c>
      <c r="B2942" t="s">
        <v>1075</v>
      </c>
      <c r="C2942" t="s">
        <v>8079</v>
      </c>
    </row>
    <row r="2943" spans="1:3">
      <c r="A2943" t="s">
        <v>788</v>
      </c>
      <c r="B2943" t="s">
        <v>1075</v>
      </c>
      <c r="C2943" t="s">
        <v>8078</v>
      </c>
    </row>
    <row r="2944" spans="1:3">
      <c r="A2944" t="s">
        <v>788</v>
      </c>
      <c r="B2944" t="s">
        <v>1075</v>
      </c>
      <c r="C2944" t="s">
        <v>8077</v>
      </c>
    </row>
    <row r="2945" spans="1:3">
      <c r="A2945" t="s">
        <v>788</v>
      </c>
      <c r="B2945" t="s">
        <v>1075</v>
      </c>
      <c r="C2945" t="s">
        <v>8076</v>
      </c>
    </row>
    <row r="2946" spans="1:3">
      <c r="A2946" t="s">
        <v>788</v>
      </c>
      <c r="B2946" t="s">
        <v>1075</v>
      </c>
      <c r="C2946" t="s">
        <v>8075</v>
      </c>
    </row>
    <row r="2947" spans="1:3">
      <c r="A2947" t="s">
        <v>788</v>
      </c>
      <c r="B2947" t="s">
        <v>1070</v>
      </c>
      <c r="C2947" t="s">
        <v>8074</v>
      </c>
    </row>
    <row r="2948" spans="1:3">
      <c r="A2948" t="s">
        <v>790</v>
      </c>
      <c r="B2948" t="s">
        <v>1075</v>
      </c>
      <c r="C2948" t="s">
        <v>8073</v>
      </c>
    </row>
    <row r="2949" spans="1:3">
      <c r="A2949" t="s">
        <v>790</v>
      </c>
      <c r="B2949" t="s">
        <v>1075</v>
      </c>
      <c r="C2949" t="s">
        <v>8072</v>
      </c>
    </row>
    <row r="2950" spans="1:3">
      <c r="A2950" t="s">
        <v>790</v>
      </c>
      <c r="B2950" t="s">
        <v>1075</v>
      </c>
      <c r="C2950" t="s">
        <v>8071</v>
      </c>
    </row>
    <row r="2951" spans="1:3">
      <c r="A2951" t="s">
        <v>790</v>
      </c>
      <c r="B2951" t="s">
        <v>1075</v>
      </c>
      <c r="C2951" t="s">
        <v>8070</v>
      </c>
    </row>
    <row r="2952" spans="1:3">
      <c r="A2952" t="s">
        <v>790</v>
      </c>
      <c r="B2952" t="s">
        <v>1075</v>
      </c>
      <c r="C2952" t="s">
        <v>8069</v>
      </c>
    </row>
    <row r="2953" spans="1:3">
      <c r="A2953" t="s">
        <v>790</v>
      </c>
      <c r="B2953" t="s">
        <v>1070</v>
      </c>
      <c r="C2953" t="s">
        <v>8068</v>
      </c>
    </row>
    <row r="2954" spans="1:3">
      <c r="A2954" t="s">
        <v>789</v>
      </c>
      <c r="B2954" t="s">
        <v>1075</v>
      </c>
      <c r="C2954" t="s">
        <v>8067</v>
      </c>
    </row>
    <row r="2955" spans="1:3">
      <c r="A2955" t="s">
        <v>789</v>
      </c>
      <c r="B2955" t="s">
        <v>1075</v>
      </c>
      <c r="C2955" t="s">
        <v>8066</v>
      </c>
    </row>
    <row r="2956" spans="1:3">
      <c r="A2956" t="s">
        <v>789</v>
      </c>
      <c r="B2956" t="s">
        <v>1075</v>
      </c>
      <c r="C2956" t="s">
        <v>8065</v>
      </c>
    </row>
    <row r="2957" spans="1:3">
      <c r="A2957" t="s">
        <v>789</v>
      </c>
      <c r="B2957" t="s">
        <v>1075</v>
      </c>
      <c r="C2957" t="s">
        <v>8064</v>
      </c>
    </row>
    <row r="2958" spans="1:3">
      <c r="A2958" t="s">
        <v>789</v>
      </c>
      <c r="B2958" t="s">
        <v>1075</v>
      </c>
      <c r="C2958" t="s">
        <v>8063</v>
      </c>
    </row>
    <row r="2959" spans="1:3">
      <c r="A2959" t="s">
        <v>789</v>
      </c>
      <c r="B2959" t="s">
        <v>1070</v>
      </c>
      <c r="C2959" t="s">
        <v>8062</v>
      </c>
    </row>
    <row r="2960" spans="1:3">
      <c r="A2960" t="s">
        <v>799</v>
      </c>
      <c r="B2960" t="s">
        <v>1075</v>
      </c>
      <c r="C2960" t="s">
        <v>8061</v>
      </c>
    </row>
    <row r="2961" spans="1:3">
      <c r="A2961" t="s">
        <v>799</v>
      </c>
      <c r="B2961" t="s">
        <v>1075</v>
      </c>
      <c r="C2961" t="s">
        <v>8060</v>
      </c>
    </row>
    <row r="2962" spans="1:3">
      <c r="A2962" t="s">
        <v>799</v>
      </c>
      <c r="B2962" t="s">
        <v>1075</v>
      </c>
      <c r="C2962" t="s">
        <v>8059</v>
      </c>
    </row>
    <row r="2963" spans="1:3">
      <c r="A2963" t="s">
        <v>799</v>
      </c>
      <c r="B2963" t="s">
        <v>1075</v>
      </c>
      <c r="C2963" t="s">
        <v>8058</v>
      </c>
    </row>
    <row r="2964" spans="1:3">
      <c r="A2964" t="s">
        <v>799</v>
      </c>
      <c r="B2964" t="s">
        <v>1075</v>
      </c>
      <c r="C2964" t="s">
        <v>8057</v>
      </c>
    </row>
    <row r="2965" spans="1:3">
      <c r="A2965" t="s">
        <v>799</v>
      </c>
      <c r="B2965" t="s">
        <v>1070</v>
      </c>
      <c r="C2965" t="s">
        <v>8056</v>
      </c>
    </row>
    <row r="2966" spans="1:3">
      <c r="A2966" t="s">
        <v>791</v>
      </c>
      <c r="B2966" t="s">
        <v>1075</v>
      </c>
      <c r="C2966" t="s">
        <v>8055</v>
      </c>
    </row>
    <row r="2967" spans="1:3">
      <c r="A2967" t="s">
        <v>791</v>
      </c>
      <c r="B2967" t="s">
        <v>1075</v>
      </c>
      <c r="C2967" t="s">
        <v>8054</v>
      </c>
    </row>
    <row r="2968" spans="1:3">
      <c r="A2968" t="s">
        <v>791</v>
      </c>
      <c r="B2968" t="s">
        <v>1075</v>
      </c>
      <c r="C2968" t="s">
        <v>8053</v>
      </c>
    </row>
    <row r="2969" spans="1:3">
      <c r="A2969" t="s">
        <v>791</v>
      </c>
      <c r="B2969" t="s">
        <v>1075</v>
      </c>
      <c r="C2969" t="s">
        <v>8052</v>
      </c>
    </row>
    <row r="2970" spans="1:3">
      <c r="A2970" t="s">
        <v>791</v>
      </c>
      <c r="B2970" t="s">
        <v>1075</v>
      </c>
      <c r="C2970" t="s">
        <v>8051</v>
      </c>
    </row>
    <row r="2971" spans="1:3">
      <c r="A2971" t="s">
        <v>791</v>
      </c>
      <c r="B2971" t="s">
        <v>1070</v>
      </c>
      <c r="C2971" t="s">
        <v>8050</v>
      </c>
    </row>
    <row r="2972" spans="1:3">
      <c r="A2972" t="s">
        <v>801</v>
      </c>
      <c r="B2972" t="s">
        <v>1075</v>
      </c>
      <c r="C2972" t="s">
        <v>8049</v>
      </c>
    </row>
    <row r="2973" spans="1:3">
      <c r="A2973" t="s">
        <v>801</v>
      </c>
      <c r="B2973" t="s">
        <v>1075</v>
      </c>
      <c r="C2973" t="s">
        <v>8048</v>
      </c>
    </row>
    <row r="2974" spans="1:3">
      <c r="A2974" t="s">
        <v>801</v>
      </c>
      <c r="B2974" t="s">
        <v>1075</v>
      </c>
      <c r="C2974" t="s">
        <v>8047</v>
      </c>
    </row>
    <row r="2975" spans="1:3">
      <c r="A2975" t="s">
        <v>801</v>
      </c>
      <c r="B2975" t="s">
        <v>1075</v>
      </c>
      <c r="C2975" t="s">
        <v>8046</v>
      </c>
    </row>
    <row r="2976" spans="1:3">
      <c r="A2976" t="s">
        <v>801</v>
      </c>
      <c r="B2976" t="s">
        <v>1075</v>
      </c>
      <c r="C2976" t="s">
        <v>8045</v>
      </c>
    </row>
    <row r="2977" spans="1:3">
      <c r="A2977" t="s">
        <v>801</v>
      </c>
      <c r="B2977" t="s">
        <v>1070</v>
      </c>
      <c r="C2977" t="s">
        <v>8044</v>
      </c>
    </row>
    <row r="2978" spans="1:3">
      <c r="A2978" t="s">
        <v>802</v>
      </c>
      <c r="B2978" t="s">
        <v>1075</v>
      </c>
      <c r="C2978" t="s">
        <v>8043</v>
      </c>
    </row>
    <row r="2979" spans="1:3">
      <c r="A2979" t="s">
        <v>802</v>
      </c>
      <c r="B2979" t="s">
        <v>1075</v>
      </c>
      <c r="C2979" t="s">
        <v>8042</v>
      </c>
    </row>
    <row r="2980" spans="1:3">
      <c r="A2980" t="s">
        <v>802</v>
      </c>
      <c r="B2980" t="s">
        <v>1075</v>
      </c>
      <c r="C2980" t="s">
        <v>8041</v>
      </c>
    </row>
    <row r="2981" spans="1:3">
      <c r="A2981" t="s">
        <v>802</v>
      </c>
      <c r="B2981" t="s">
        <v>1075</v>
      </c>
      <c r="C2981" t="s">
        <v>8040</v>
      </c>
    </row>
    <row r="2982" spans="1:3">
      <c r="A2982" t="s">
        <v>802</v>
      </c>
      <c r="B2982" t="s">
        <v>1075</v>
      </c>
      <c r="C2982" t="s">
        <v>8039</v>
      </c>
    </row>
    <row r="2983" spans="1:3">
      <c r="A2983" t="s">
        <v>802</v>
      </c>
      <c r="B2983" t="s">
        <v>1075</v>
      </c>
      <c r="C2983" t="s">
        <v>8038</v>
      </c>
    </row>
    <row r="2984" spans="1:3">
      <c r="A2984" t="s">
        <v>802</v>
      </c>
      <c r="B2984" t="s">
        <v>1075</v>
      </c>
      <c r="C2984" t="s">
        <v>8037</v>
      </c>
    </row>
    <row r="2985" spans="1:3">
      <c r="A2985" t="s">
        <v>802</v>
      </c>
      <c r="B2985" t="s">
        <v>1075</v>
      </c>
      <c r="C2985" t="s">
        <v>8036</v>
      </c>
    </row>
    <row r="2986" spans="1:3">
      <c r="A2986" t="s">
        <v>802</v>
      </c>
      <c r="B2986" t="s">
        <v>1075</v>
      </c>
      <c r="C2986" t="s">
        <v>8035</v>
      </c>
    </row>
    <row r="2987" spans="1:3">
      <c r="A2987" t="s">
        <v>802</v>
      </c>
      <c r="B2987" t="s">
        <v>1075</v>
      </c>
      <c r="C2987" t="s">
        <v>8034</v>
      </c>
    </row>
    <row r="2988" spans="1:3">
      <c r="A2988" t="s">
        <v>802</v>
      </c>
      <c r="B2988" t="s">
        <v>1075</v>
      </c>
      <c r="C2988" t="s">
        <v>8033</v>
      </c>
    </row>
    <row r="2989" spans="1:3">
      <c r="A2989" t="s">
        <v>802</v>
      </c>
      <c r="B2989" t="s">
        <v>1075</v>
      </c>
      <c r="C2989" t="s">
        <v>8032</v>
      </c>
    </row>
    <row r="2990" spans="1:3">
      <c r="A2990" t="s">
        <v>802</v>
      </c>
      <c r="B2990" t="s">
        <v>1075</v>
      </c>
      <c r="C2990" t="s">
        <v>8031</v>
      </c>
    </row>
    <row r="2991" spans="1:3">
      <c r="A2991" t="s">
        <v>802</v>
      </c>
      <c r="B2991" t="s">
        <v>1070</v>
      </c>
      <c r="C2991" t="s">
        <v>8030</v>
      </c>
    </row>
    <row r="2992" spans="1:3">
      <c r="A2992" t="s">
        <v>804</v>
      </c>
      <c r="B2992" t="s">
        <v>1075</v>
      </c>
      <c r="C2992" t="s">
        <v>8029</v>
      </c>
    </row>
    <row r="2993" spans="1:3">
      <c r="A2993" t="s">
        <v>804</v>
      </c>
      <c r="B2993" t="s">
        <v>1075</v>
      </c>
      <c r="C2993" t="s">
        <v>8028</v>
      </c>
    </row>
    <row r="2994" spans="1:3">
      <c r="A2994" t="s">
        <v>804</v>
      </c>
      <c r="B2994" t="s">
        <v>1075</v>
      </c>
      <c r="C2994" t="s">
        <v>8027</v>
      </c>
    </row>
    <row r="2995" spans="1:3">
      <c r="A2995" t="s">
        <v>804</v>
      </c>
      <c r="B2995" t="s">
        <v>1075</v>
      </c>
      <c r="C2995" t="s">
        <v>8026</v>
      </c>
    </row>
    <row r="2996" spans="1:3">
      <c r="A2996" t="s">
        <v>804</v>
      </c>
      <c r="B2996" t="s">
        <v>1075</v>
      </c>
      <c r="C2996" t="s">
        <v>8025</v>
      </c>
    </row>
    <row r="2997" spans="1:3">
      <c r="A2997" t="s">
        <v>804</v>
      </c>
      <c r="B2997" t="s">
        <v>1070</v>
      </c>
      <c r="C2997" t="s">
        <v>8024</v>
      </c>
    </row>
    <row r="2998" spans="1:3">
      <c r="A2998" t="s">
        <v>803</v>
      </c>
      <c r="B2998" t="s">
        <v>1075</v>
      </c>
      <c r="C2998" t="s">
        <v>8023</v>
      </c>
    </row>
    <row r="2999" spans="1:3">
      <c r="A2999" t="s">
        <v>803</v>
      </c>
      <c r="B2999" t="s">
        <v>1075</v>
      </c>
      <c r="C2999" t="s">
        <v>8022</v>
      </c>
    </row>
    <row r="3000" spans="1:3">
      <c r="A3000" t="s">
        <v>803</v>
      </c>
      <c r="B3000" t="s">
        <v>1075</v>
      </c>
      <c r="C3000" t="s">
        <v>8021</v>
      </c>
    </row>
    <row r="3001" spans="1:3">
      <c r="A3001" t="s">
        <v>803</v>
      </c>
      <c r="B3001" t="s">
        <v>1075</v>
      </c>
      <c r="C3001" t="s">
        <v>8020</v>
      </c>
    </row>
    <row r="3002" spans="1:3">
      <c r="A3002" t="s">
        <v>803</v>
      </c>
      <c r="B3002" t="s">
        <v>1075</v>
      </c>
      <c r="C3002" t="s">
        <v>8019</v>
      </c>
    </row>
    <row r="3003" spans="1:3">
      <c r="A3003" t="s">
        <v>803</v>
      </c>
      <c r="B3003" t="s">
        <v>1075</v>
      </c>
      <c r="C3003" t="s">
        <v>8018</v>
      </c>
    </row>
    <row r="3004" spans="1:3">
      <c r="A3004" t="s">
        <v>803</v>
      </c>
      <c r="B3004" t="s">
        <v>1075</v>
      </c>
      <c r="C3004" t="s">
        <v>8017</v>
      </c>
    </row>
    <row r="3005" spans="1:3">
      <c r="A3005" t="s">
        <v>803</v>
      </c>
      <c r="B3005" t="s">
        <v>1075</v>
      </c>
      <c r="C3005" t="s">
        <v>8016</v>
      </c>
    </row>
    <row r="3006" spans="1:3">
      <c r="A3006" t="s">
        <v>803</v>
      </c>
      <c r="B3006" t="s">
        <v>1075</v>
      </c>
      <c r="C3006" t="s">
        <v>8015</v>
      </c>
    </row>
    <row r="3007" spans="1:3">
      <c r="A3007" t="s">
        <v>803</v>
      </c>
      <c r="B3007" t="s">
        <v>1075</v>
      </c>
      <c r="C3007" t="s">
        <v>8014</v>
      </c>
    </row>
    <row r="3008" spans="1:3">
      <c r="A3008" t="s">
        <v>803</v>
      </c>
      <c r="B3008" t="s">
        <v>1075</v>
      </c>
      <c r="C3008" t="s">
        <v>8013</v>
      </c>
    </row>
    <row r="3009" spans="1:3">
      <c r="A3009" t="s">
        <v>803</v>
      </c>
      <c r="B3009" t="s">
        <v>1075</v>
      </c>
      <c r="C3009" t="s">
        <v>8012</v>
      </c>
    </row>
    <row r="3010" spans="1:3">
      <c r="A3010" t="s">
        <v>803</v>
      </c>
      <c r="B3010" t="s">
        <v>1075</v>
      </c>
      <c r="C3010" t="s">
        <v>8011</v>
      </c>
    </row>
    <row r="3011" spans="1:3">
      <c r="A3011" t="s">
        <v>803</v>
      </c>
      <c r="B3011" t="s">
        <v>1070</v>
      </c>
      <c r="C3011" t="s">
        <v>8010</v>
      </c>
    </row>
    <row r="3012" spans="1:3">
      <c r="A3012" t="s">
        <v>792</v>
      </c>
      <c r="B3012" t="s">
        <v>1075</v>
      </c>
      <c r="C3012" t="s">
        <v>8009</v>
      </c>
    </row>
    <row r="3013" spans="1:3">
      <c r="A3013" t="s">
        <v>792</v>
      </c>
      <c r="B3013" t="s">
        <v>1075</v>
      </c>
      <c r="C3013" t="s">
        <v>8008</v>
      </c>
    </row>
    <row r="3014" spans="1:3">
      <c r="A3014" t="s">
        <v>792</v>
      </c>
      <c r="B3014" t="s">
        <v>1075</v>
      </c>
      <c r="C3014" t="s">
        <v>8007</v>
      </c>
    </row>
    <row r="3015" spans="1:3">
      <c r="A3015" t="s">
        <v>792</v>
      </c>
      <c r="B3015" t="s">
        <v>1075</v>
      </c>
      <c r="C3015" t="s">
        <v>8006</v>
      </c>
    </row>
    <row r="3016" spans="1:3">
      <c r="A3016" t="s">
        <v>792</v>
      </c>
      <c r="B3016" t="s">
        <v>1075</v>
      </c>
      <c r="C3016" t="s">
        <v>8005</v>
      </c>
    </row>
    <row r="3017" spans="1:3">
      <c r="A3017" t="s">
        <v>792</v>
      </c>
      <c r="B3017" t="s">
        <v>1070</v>
      </c>
      <c r="C3017" t="s">
        <v>8004</v>
      </c>
    </row>
    <row r="3018" spans="1:3">
      <c r="A3018" t="s">
        <v>794</v>
      </c>
      <c r="B3018" t="s">
        <v>1075</v>
      </c>
      <c r="C3018" t="s">
        <v>8003</v>
      </c>
    </row>
    <row r="3019" spans="1:3">
      <c r="A3019" t="s">
        <v>794</v>
      </c>
      <c r="B3019" t="s">
        <v>1075</v>
      </c>
      <c r="C3019" t="s">
        <v>8002</v>
      </c>
    </row>
    <row r="3020" spans="1:3">
      <c r="A3020" t="s">
        <v>794</v>
      </c>
      <c r="B3020" t="s">
        <v>1075</v>
      </c>
      <c r="C3020" t="s">
        <v>8001</v>
      </c>
    </row>
    <row r="3021" spans="1:3">
      <c r="A3021" t="s">
        <v>794</v>
      </c>
      <c r="B3021" t="s">
        <v>1075</v>
      </c>
      <c r="C3021" t="s">
        <v>8000</v>
      </c>
    </row>
    <row r="3022" spans="1:3">
      <c r="A3022" t="s">
        <v>794</v>
      </c>
      <c r="B3022" t="s">
        <v>1075</v>
      </c>
      <c r="C3022" t="s">
        <v>7999</v>
      </c>
    </row>
    <row r="3023" spans="1:3">
      <c r="A3023" t="s">
        <v>794</v>
      </c>
      <c r="B3023" t="s">
        <v>1070</v>
      </c>
      <c r="C3023" t="s">
        <v>7998</v>
      </c>
    </row>
    <row r="3024" spans="1:3">
      <c r="A3024" t="s">
        <v>793</v>
      </c>
      <c r="B3024" t="s">
        <v>1075</v>
      </c>
      <c r="C3024" t="s">
        <v>7997</v>
      </c>
    </row>
    <row r="3025" spans="1:3">
      <c r="A3025" t="s">
        <v>793</v>
      </c>
      <c r="B3025" t="s">
        <v>1075</v>
      </c>
      <c r="C3025" t="s">
        <v>7996</v>
      </c>
    </row>
    <row r="3026" spans="1:3">
      <c r="A3026" t="s">
        <v>793</v>
      </c>
      <c r="B3026" t="s">
        <v>1075</v>
      </c>
      <c r="C3026" t="s">
        <v>7995</v>
      </c>
    </row>
    <row r="3027" spans="1:3">
      <c r="A3027" t="s">
        <v>793</v>
      </c>
      <c r="B3027" t="s">
        <v>1075</v>
      </c>
      <c r="C3027" t="s">
        <v>7994</v>
      </c>
    </row>
    <row r="3028" spans="1:3">
      <c r="A3028" t="s">
        <v>793</v>
      </c>
      <c r="B3028" t="s">
        <v>1075</v>
      </c>
      <c r="C3028" t="s">
        <v>7993</v>
      </c>
    </row>
    <row r="3029" spans="1:3">
      <c r="A3029" t="s">
        <v>793</v>
      </c>
      <c r="B3029" t="s">
        <v>1070</v>
      </c>
      <c r="C3029" t="s">
        <v>7992</v>
      </c>
    </row>
    <row r="3030" spans="1:3">
      <c r="A3030" t="s">
        <v>785</v>
      </c>
      <c r="B3030" t="s">
        <v>1075</v>
      </c>
      <c r="C3030" t="s">
        <v>7991</v>
      </c>
    </row>
    <row r="3031" spans="1:3">
      <c r="A3031" t="s">
        <v>785</v>
      </c>
      <c r="B3031" t="s">
        <v>1075</v>
      </c>
      <c r="C3031" t="s">
        <v>7990</v>
      </c>
    </row>
    <row r="3032" spans="1:3">
      <c r="A3032" t="s">
        <v>785</v>
      </c>
      <c r="B3032" t="s">
        <v>1075</v>
      </c>
      <c r="C3032" t="s">
        <v>7989</v>
      </c>
    </row>
    <row r="3033" spans="1:3">
      <c r="A3033" t="s">
        <v>785</v>
      </c>
      <c r="B3033" t="s">
        <v>1075</v>
      </c>
      <c r="C3033" t="s">
        <v>7988</v>
      </c>
    </row>
    <row r="3034" spans="1:3">
      <c r="A3034" t="s">
        <v>785</v>
      </c>
      <c r="B3034" t="s">
        <v>1075</v>
      </c>
      <c r="C3034" t="s">
        <v>7987</v>
      </c>
    </row>
    <row r="3035" spans="1:3">
      <c r="A3035" t="s">
        <v>785</v>
      </c>
      <c r="B3035" t="s">
        <v>1070</v>
      </c>
      <c r="C3035" t="s">
        <v>7986</v>
      </c>
    </row>
    <row r="3036" spans="1:3">
      <c r="A3036" t="s">
        <v>787</v>
      </c>
      <c r="B3036" t="s">
        <v>1075</v>
      </c>
      <c r="C3036" t="s">
        <v>7985</v>
      </c>
    </row>
    <row r="3037" spans="1:3">
      <c r="A3037" t="s">
        <v>787</v>
      </c>
      <c r="B3037" t="s">
        <v>1075</v>
      </c>
      <c r="C3037" t="s">
        <v>7984</v>
      </c>
    </row>
    <row r="3038" spans="1:3">
      <c r="A3038" t="s">
        <v>787</v>
      </c>
      <c r="B3038" t="s">
        <v>1075</v>
      </c>
      <c r="C3038" t="s">
        <v>7983</v>
      </c>
    </row>
    <row r="3039" spans="1:3">
      <c r="A3039" t="s">
        <v>787</v>
      </c>
      <c r="B3039" t="s">
        <v>1075</v>
      </c>
      <c r="C3039" t="s">
        <v>7982</v>
      </c>
    </row>
    <row r="3040" spans="1:3">
      <c r="A3040" t="s">
        <v>787</v>
      </c>
      <c r="B3040" t="s">
        <v>1075</v>
      </c>
      <c r="C3040" t="s">
        <v>7981</v>
      </c>
    </row>
    <row r="3041" spans="1:3">
      <c r="A3041" t="s">
        <v>787</v>
      </c>
      <c r="B3041" t="s">
        <v>1070</v>
      </c>
      <c r="C3041" t="s">
        <v>7980</v>
      </c>
    </row>
    <row r="3042" spans="1:3">
      <c r="A3042" t="s">
        <v>786</v>
      </c>
      <c r="B3042" t="s">
        <v>1075</v>
      </c>
      <c r="C3042" t="s">
        <v>7979</v>
      </c>
    </row>
    <row r="3043" spans="1:3">
      <c r="A3043" t="s">
        <v>786</v>
      </c>
      <c r="B3043" t="s">
        <v>1075</v>
      </c>
      <c r="C3043" t="s">
        <v>7978</v>
      </c>
    </row>
    <row r="3044" spans="1:3">
      <c r="A3044" t="s">
        <v>786</v>
      </c>
      <c r="B3044" t="s">
        <v>1075</v>
      </c>
      <c r="C3044" t="s">
        <v>7977</v>
      </c>
    </row>
    <row r="3045" spans="1:3">
      <c r="A3045" t="s">
        <v>786</v>
      </c>
      <c r="B3045" t="s">
        <v>1075</v>
      </c>
      <c r="C3045" t="s">
        <v>7976</v>
      </c>
    </row>
    <row r="3046" spans="1:3">
      <c r="A3046" t="s">
        <v>786</v>
      </c>
      <c r="B3046" t="s">
        <v>1075</v>
      </c>
      <c r="C3046" t="s">
        <v>7975</v>
      </c>
    </row>
    <row r="3047" spans="1:3">
      <c r="A3047" t="s">
        <v>786</v>
      </c>
      <c r="B3047" t="s">
        <v>1070</v>
      </c>
      <c r="C3047" t="s">
        <v>7974</v>
      </c>
    </row>
    <row r="3048" spans="1:3">
      <c r="A3048" t="s">
        <v>796</v>
      </c>
      <c r="B3048" t="s">
        <v>1075</v>
      </c>
      <c r="C3048" t="s">
        <v>7973</v>
      </c>
    </row>
    <row r="3049" spans="1:3">
      <c r="A3049" t="s">
        <v>796</v>
      </c>
      <c r="B3049" t="s">
        <v>1075</v>
      </c>
      <c r="C3049" t="s">
        <v>7972</v>
      </c>
    </row>
    <row r="3050" spans="1:3">
      <c r="A3050" t="s">
        <v>796</v>
      </c>
      <c r="B3050" t="s">
        <v>1075</v>
      </c>
      <c r="C3050" t="s">
        <v>7971</v>
      </c>
    </row>
    <row r="3051" spans="1:3">
      <c r="A3051" t="s">
        <v>796</v>
      </c>
      <c r="B3051" t="s">
        <v>1075</v>
      </c>
      <c r="C3051" t="s">
        <v>7970</v>
      </c>
    </row>
    <row r="3052" spans="1:3">
      <c r="A3052" t="s">
        <v>796</v>
      </c>
      <c r="B3052" t="s">
        <v>1075</v>
      </c>
      <c r="C3052" t="s">
        <v>7969</v>
      </c>
    </row>
    <row r="3053" spans="1:3">
      <c r="A3053" t="s">
        <v>796</v>
      </c>
      <c r="B3053" t="s">
        <v>1070</v>
      </c>
      <c r="C3053" t="s">
        <v>7968</v>
      </c>
    </row>
    <row r="3054" spans="1:3">
      <c r="A3054" t="s">
        <v>795</v>
      </c>
      <c r="B3054" t="s">
        <v>1075</v>
      </c>
      <c r="C3054" t="s">
        <v>7967</v>
      </c>
    </row>
    <row r="3055" spans="1:3">
      <c r="A3055" t="s">
        <v>795</v>
      </c>
      <c r="B3055" t="s">
        <v>1075</v>
      </c>
      <c r="C3055" t="s">
        <v>7966</v>
      </c>
    </row>
    <row r="3056" spans="1:3">
      <c r="A3056" t="s">
        <v>795</v>
      </c>
      <c r="B3056" t="s">
        <v>1075</v>
      </c>
      <c r="C3056" t="s">
        <v>7965</v>
      </c>
    </row>
    <row r="3057" spans="1:3">
      <c r="A3057" t="s">
        <v>795</v>
      </c>
      <c r="B3057" t="s">
        <v>1075</v>
      </c>
      <c r="C3057" t="s">
        <v>7964</v>
      </c>
    </row>
    <row r="3058" spans="1:3">
      <c r="A3058" t="s">
        <v>795</v>
      </c>
      <c r="B3058" t="s">
        <v>1075</v>
      </c>
      <c r="C3058" t="s">
        <v>7963</v>
      </c>
    </row>
    <row r="3059" spans="1:3">
      <c r="A3059" t="s">
        <v>795</v>
      </c>
      <c r="B3059" t="s">
        <v>1070</v>
      </c>
      <c r="C3059" t="s">
        <v>7962</v>
      </c>
    </row>
    <row r="3060" spans="1:3">
      <c r="A3060" t="s">
        <v>800</v>
      </c>
      <c r="B3060" t="s">
        <v>1075</v>
      </c>
      <c r="C3060" t="s">
        <v>7961</v>
      </c>
    </row>
    <row r="3061" spans="1:3">
      <c r="A3061" t="s">
        <v>800</v>
      </c>
      <c r="B3061" t="s">
        <v>1075</v>
      </c>
      <c r="C3061" t="s">
        <v>7960</v>
      </c>
    </row>
    <row r="3062" spans="1:3">
      <c r="A3062" t="s">
        <v>800</v>
      </c>
      <c r="B3062" t="s">
        <v>1075</v>
      </c>
      <c r="C3062" t="s">
        <v>7959</v>
      </c>
    </row>
    <row r="3063" spans="1:3">
      <c r="A3063" t="s">
        <v>800</v>
      </c>
      <c r="B3063" t="s">
        <v>1075</v>
      </c>
      <c r="C3063" t="s">
        <v>7958</v>
      </c>
    </row>
    <row r="3064" spans="1:3">
      <c r="A3064" t="s">
        <v>800</v>
      </c>
      <c r="B3064" t="s">
        <v>1075</v>
      </c>
      <c r="C3064" t="s">
        <v>7957</v>
      </c>
    </row>
    <row r="3065" spans="1:3">
      <c r="A3065" t="s">
        <v>800</v>
      </c>
      <c r="B3065" t="s">
        <v>1070</v>
      </c>
      <c r="C3065" t="s">
        <v>7956</v>
      </c>
    </row>
    <row r="3066" spans="1:3">
      <c r="A3066" t="s">
        <v>797</v>
      </c>
      <c r="B3066" t="s">
        <v>1075</v>
      </c>
      <c r="C3066" t="s">
        <v>7955</v>
      </c>
    </row>
    <row r="3067" spans="1:3">
      <c r="A3067" t="s">
        <v>797</v>
      </c>
      <c r="B3067" t="s">
        <v>1075</v>
      </c>
      <c r="C3067" t="s">
        <v>7954</v>
      </c>
    </row>
    <row r="3068" spans="1:3">
      <c r="A3068" t="s">
        <v>797</v>
      </c>
      <c r="B3068" t="s">
        <v>1075</v>
      </c>
      <c r="C3068" t="s">
        <v>7953</v>
      </c>
    </row>
    <row r="3069" spans="1:3">
      <c r="A3069" t="s">
        <v>797</v>
      </c>
      <c r="B3069" t="s">
        <v>1075</v>
      </c>
      <c r="C3069" t="s">
        <v>7952</v>
      </c>
    </row>
    <row r="3070" spans="1:3">
      <c r="A3070" t="s">
        <v>797</v>
      </c>
      <c r="B3070" t="s">
        <v>1075</v>
      </c>
      <c r="C3070" t="s">
        <v>7951</v>
      </c>
    </row>
    <row r="3071" spans="1:3">
      <c r="A3071" t="s">
        <v>797</v>
      </c>
      <c r="B3071" t="s">
        <v>1070</v>
      </c>
      <c r="C3071" t="s">
        <v>7950</v>
      </c>
    </row>
    <row r="3072" spans="1:3">
      <c r="A3072" t="s">
        <v>798</v>
      </c>
      <c r="B3072" t="s">
        <v>1075</v>
      </c>
      <c r="C3072" t="s">
        <v>7949</v>
      </c>
    </row>
    <row r="3073" spans="1:3">
      <c r="A3073" t="s">
        <v>798</v>
      </c>
      <c r="B3073" t="s">
        <v>1075</v>
      </c>
      <c r="C3073" t="s">
        <v>7948</v>
      </c>
    </row>
    <row r="3074" spans="1:3">
      <c r="A3074" t="s">
        <v>798</v>
      </c>
      <c r="B3074" t="s">
        <v>1075</v>
      </c>
      <c r="C3074" t="s">
        <v>7947</v>
      </c>
    </row>
    <row r="3075" spans="1:3">
      <c r="A3075" t="s">
        <v>798</v>
      </c>
      <c r="B3075" t="s">
        <v>1075</v>
      </c>
      <c r="C3075" t="s">
        <v>7946</v>
      </c>
    </row>
    <row r="3076" spans="1:3">
      <c r="A3076" t="s">
        <v>798</v>
      </c>
      <c r="B3076" t="s">
        <v>1075</v>
      </c>
      <c r="C3076" t="s">
        <v>7945</v>
      </c>
    </row>
    <row r="3077" spans="1:3">
      <c r="A3077" t="s">
        <v>798</v>
      </c>
      <c r="B3077" t="s">
        <v>1070</v>
      </c>
      <c r="C3077" t="s">
        <v>7944</v>
      </c>
    </row>
    <row r="3078" spans="1:3">
      <c r="A3078" t="s">
        <v>816</v>
      </c>
      <c r="B3078" t="s">
        <v>1075</v>
      </c>
      <c r="C3078" t="s">
        <v>7943</v>
      </c>
    </row>
    <row r="3079" spans="1:3">
      <c r="A3079" t="s">
        <v>816</v>
      </c>
      <c r="B3079" t="s">
        <v>1075</v>
      </c>
      <c r="C3079" t="s">
        <v>7942</v>
      </c>
    </row>
    <row r="3080" spans="1:3">
      <c r="A3080" t="s">
        <v>816</v>
      </c>
      <c r="B3080" t="s">
        <v>1075</v>
      </c>
      <c r="C3080" t="s">
        <v>7941</v>
      </c>
    </row>
    <row r="3081" spans="1:3">
      <c r="A3081" t="s">
        <v>816</v>
      </c>
      <c r="B3081" t="s">
        <v>1075</v>
      </c>
      <c r="C3081" t="s">
        <v>7940</v>
      </c>
    </row>
    <row r="3082" spans="1:3">
      <c r="A3082" t="s">
        <v>816</v>
      </c>
      <c r="B3082" t="s">
        <v>1075</v>
      </c>
      <c r="C3082" t="s">
        <v>7939</v>
      </c>
    </row>
    <row r="3083" spans="1:3">
      <c r="A3083" t="s">
        <v>816</v>
      </c>
      <c r="B3083" t="s">
        <v>1070</v>
      </c>
      <c r="C3083" t="s">
        <v>7938</v>
      </c>
    </row>
    <row r="3084" spans="1:3">
      <c r="A3084" t="s">
        <v>815</v>
      </c>
      <c r="B3084" t="s">
        <v>1075</v>
      </c>
      <c r="C3084" t="s">
        <v>7937</v>
      </c>
    </row>
    <row r="3085" spans="1:3">
      <c r="A3085" t="s">
        <v>815</v>
      </c>
      <c r="B3085" t="s">
        <v>1075</v>
      </c>
      <c r="C3085" t="s">
        <v>7936</v>
      </c>
    </row>
    <row r="3086" spans="1:3">
      <c r="A3086" t="s">
        <v>815</v>
      </c>
      <c r="B3086" t="s">
        <v>1075</v>
      </c>
      <c r="C3086" t="s">
        <v>7935</v>
      </c>
    </row>
    <row r="3087" spans="1:3">
      <c r="A3087" t="s">
        <v>815</v>
      </c>
      <c r="B3087" t="s">
        <v>1075</v>
      </c>
      <c r="C3087" t="s">
        <v>7934</v>
      </c>
    </row>
    <row r="3088" spans="1:3">
      <c r="A3088" t="s">
        <v>815</v>
      </c>
      <c r="B3088" t="s">
        <v>1075</v>
      </c>
      <c r="C3088" t="s">
        <v>7933</v>
      </c>
    </row>
    <row r="3089" spans="1:3">
      <c r="A3089" t="s">
        <v>815</v>
      </c>
      <c r="B3089" t="s">
        <v>1070</v>
      </c>
      <c r="C3089" t="s">
        <v>7932</v>
      </c>
    </row>
    <row r="3090" spans="1:3">
      <c r="A3090" t="s">
        <v>820</v>
      </c>
      <c r="B3090" t="s">
        <v>1075</v>
      </c>
      <c r="C3090" t="s">
        <v>7931</v>
      </c>
    </row>
    <row r="3091" spans="1:3">
      <c r="A3091" t="s">
        <v>820</v>
      </c>
      <c r="B3091" t="s">
        <v>1075</v>
      </c>
      <c r="C3091" t="s">
        <v>7930</v>
      </c>
    </row>
    <row r="3092" spans="1:3">
      <c r="A3092" t="s">
        <v>820</v>
      </c>
      <c r="B3092" t="s">
        <v>1075</v>
      </c>
      <c r="C3092" t="s">
        <v>7929</v>
      </c>
    </row>
    <row r="3093" spans="1:3">
      <c r="A3093" t="s">
        <v>820</v>
      </c>
      <c r="B3093" t="s">
        <v>1075</v>
      </c>
      <c r="C3093" t="s">
        <v>7928</v>
      </c>
    </row>
    <row r="3094" spans="1:3">
      <c r="A3094" t="s">
        <v>820</v>
      </c>
      <c r="B3094" t="s">
        <v>1075</v>
      </c>
      <c r="C3094" t="s">
        <v>7927</v>
      </c>
    </row>
    <row r="3095" spans="1:3">
      <c r="A3095" t="s">
        <v>820</v>
      </c>
      <c r="B3095" t="s">
        <v>1070</v>
      </c>
      <c r="C3095" t="s">
        <v>7926</v>
      </c>
    </row>
    <row r="3096" spans="1:3">
      <c r="A3096" t="s">
        <v>817</v>
      </c>
      <c r="B3096" t="s">
        <v>1075</v>
      </c>
      <c r="C3096" t="s">
        <v>7925</v>
      </c>
    </row>
    <row r="3097" spans="1:3">
      <c r="A3097" t="s">
        <v>817</v>
      </c>
      <c r="B3097" t="s">
        <v>1075</v>
      </c>
      <c r="C3097" t="s">
        <v>7924</v>
      </c>
    </row>
    <row r="3098" spans="1:3">
      <c r="A3098" t="s">
        <v>817</v>
      </c>
      <c r="B3098" t="s">
        <v>1075</v>
      </c>
      <c r="C3098" t="s">
        <v>7923</v>
      </c>
    </row>
    <row r="3099" spans="1:3">
      <c r="A3099" t="s">
        <v>817</v>
      </c>
      <c r="B3099" t="s">
        <v>1075</v>
      </c>
      <c r="C3099" t="s">
        <v>7922</v>
      </c>
    </row>
    <row r="3100" spans="1:3">
      <c r="A3100" t="s">
        <v>817</v>
      </c>
      <c r="B3100" t="s">
        <v>1075</v>
      </c>
      <c r="C3100" t="s">
        <v>7921</v>
      </c>
    </row>
    <row r="3101" spans="1:3">
      <c r="A3101" t="s">
        <v>817</v>
      </c>
      <c r="B3101" t="s">
        <v>1070</v>
      </c>
      <c r="C3101" t="s">
        <v>7920</v>
      </c>
    </row>
    <row r="3102" spans="1:3">
      <c r="A3102" t="s">
        <v>809</v>
      </c>
      <c r="B3102" t="s">
        <v>1075</v>
      </c>
      <c r="C3102" t="s">
        <v>7919</v>
      </c>
    </row>
    <row r="3103" spans="1:3">
      <c r="A3103" t="s">
        <v>809</v>
      </c>
      <c r="B3103" t="s">
        <v>1075</v>
      </c>
      <c r="C3103" t="s">
        <v>7918</v>
      </c>
    </row>
    <row r="3104" spans="1:3">
      <c r="A3104" t="s">
        <v>809</v>
      </c>
      <c r="B3104" t="s">
        <v>1075</v>
      </c>
      <c r="C3104" t="s">
        <v>7917</v>
      </c>
    </row>
    <row r="3105" spans="1:3">
      <c r="A3105" t="s">
        <v>809</v>
      </c>
      <c r="B3105" t="s">
        <v>1075</v>
      </c>
      <c r="C3105" t="s">
        <v>7916</v>
      </c>
    </row>
    <row r="3106" spans="1:3">
      <c r="A3106" t="s">
        <v>809</v>
      </c>
      <c r="B3106" t="s">
        <v>1075</v>
      </c>
      <c r="C3106" t="s">
        <v>7915</v>
      </c>
    </row>
    <row r="3107" spans="1:3">
      <c r="A3107" t="s">
        <v>809</v>
      </c>
      <c r="B3107" t="s">
        <v>1070</v>
      </c>
      <c r="C3107" t="s">
        <v>7914</v>
      </c>
    </row>
    <row r="3108" spans="1:3">
      <c r="A3108" t="s">
        <v>805</v>
      </c>
      <c r="B3108" t="s">
        <v>1075</v>
      </c>
      <c r="C3108" t="s">
        <v>7913</v>
      </c>
    </row>
    <row r="3109" spans="1:3">
      <c r="A3109" t="s">
        <v>805</v>
      </c>
      <c r="B3109" t="s">
        <v>1075</v>
      </c>
      <c r="C3109" t="s">
        <v>7912</v>
      </c>
    </row>
    <row r="3110" spans="1:3">
      <c r="A3110" t="s">
        <v>805</v>
      </c>
      <c r="B3110" t="s">
        <v>1075</v>
      </c>
      <c r="C3110" t="s">
        <v>7911</v>
      </c>
    </row>
    <row r="3111" spans="1:3">
      <c r="A3111" t="s">
        <v>805</v>
      </c>
      <c r="B3111" t="s">
        <v>1075</v>
      </c>
      <c r="C3111" t="s">
        <v>7910</v>
      </c>
    </row>
    <row r="3112" spans="1:3">
      <c r="A3112" t="s">
        <v>805</v>
      </c>
      <c r="B3112" t="s">
        <v>1075</v>
      </c>
      <c r="C3112" t="s">
        <v>7909</v>
      </c>
    </row>
    <row r="3113" spans="1:3">
      <c r="A3113" t="s">
        <v>805</v>
      </c>
      <c r="B3113" t="s">
        <v>1070</v>
      </c>
      <c r="C3113" t="s">
        <v>7908</v>
      </c>
    </row>
    <row r="3114" spans="1:3">
      <c r="A3114" t="s">
        <v>808</v>
      </c>
      <c r="B3114" t="s">
        <v>1075</v>
      </c>
      <c r="C3114" t="s">
        <v>7907</v>
      </c>
    </row>
    <row r="3115" spans="1:3">
      <c r="A3115" t="s">
        <v>808</v>
      </c>
      <c r="B3115" t="s">
        <v>1075</v>
      </c>
      <c r="C3115" t="s">
        <v>7906</v>
      </c>
    </row>
    <row r="3116" spans="1:3">
      <c r="A3116" t="s">
        <v>808</v>
      </c>
      <c r="B3116" t="s">
        <v>1075</v>
      </c>
      <c r="C3116" t="s">
        <v>7905</v>
      </c>
    </row>
    <row r="3117" spans="1:3">
      <c r="A3117" t="s">
        <v>808</v>
      </c>
      <c r="B3117" t="s">
        <v>1075</v>
      </c>
      <c r="C3117" t="s">
        <v>7904</v>
      </c>
    </row>
    <row r="3118" spans="1:3">
      <c r="A3118" t="s">
        <v>808</v>
      </c>
      <c r="B3118" t="s">
        <v>1075</v>
      </c>
      <c r="C3118" t="s">
        <v>7903</v>
      </c>
    </row>
    <row r="3119" spans="1:3">
      <c r="A3119" t="s">
        <v>808</v>
      </c>
      <c r="B3119" t="s">
        <v>1070</v>
      </c>
      <c r="C3119" t="s">
        <v>7902</v>
      </c>
    </row>
    <row r="3120" spans="1:3">
      <c r="A3120" t="s">
        <v>819</v>
      </c>
      <c r="B3120" t="s">
        <v>1075</v>
      </c>
      <c r="C3120" t="s">
        <v>7901</v>
      </c>
    </row>
    <row r="3121" spans="1:3">
      <c r="A3121" t="s">
        <v>819</v>
      </c>
      <c r="B3121" t="s">
        <v>1075</v>
      </c>
      <c r="C3121" t="s">
        <v>7900</v>
      </c>
    </row>
    <row r="3122" spans="1:3">
      <c r="A3122" t="s">
        <v>819</v>
      </c>
      <c r="B3122" t="s">
        <v>1075</v>
      </c>
      <c r="C3122" t="s">
        <v>7899</v>
      </c>
    </row>
    <row r="3123" spans="1:3">
      <c r="A3123" t="s">
        <v>819</v>
      </c>
      <c r="B3123" t="s">
        <v>1075</v>
      </c>
      <c r="C3123" t="s">
        <v>7898</v>
      </c>
    </row>
    <row r="3124" spans="1:3">
      <c r="A3124" t="s">
        <v>819</v>
      </c>
      <c r="B3124" t="s">
        <v>1075</v>
      </c>
      <c r="C3124" t="s">
        <v>7897</v>
      </c>
    </row>
    <row r="3125" spans="1:3">
      <c r="A3125" t="s">
        <v>819</v>
      </c>
      <c r="B3125" t="s">
        <v>1070</v>
      </c>
      <c r="C3125" t="s">
        <v>7896</v>
      </c>
    </row>
    <row r="3126" spans="1:3">
      <c r="A3126" t="s">
        <v>818</v>
      </c>
      <c r="B3126" t="s">
        <v>1075</v>
      </c>
      <c r="C3126" t="s">
        <v>7895</v>
      </c>
    </row>
    <row r="3127" spans="1:3">
      <c r="A3127" t="s">
        <v>818</v>
      </c>
      <c r="B3127" t="s">
        <v>1075</v>
      </c>
      <c r="C3127" t="s">
        <v>7894</v>
      </c>
    </row>
    <row r="3128" spans="1:3">
      <c r="A3128" t="s">
        <v>818</v>
      </c>
      <c r="B3128" t="s">
        <v>1075</v>
      </c>
      <c r="C3128" t="s">
        <v>7893</v>
      </c>
    </row>
    <row r="3129" spans="1:3">
      <c r="A3129" t="s">
        <v>818</v>
      </c>
      <c r="B3129" t="s">
        <v>1075</v>
      </c>
      <c r="C3129" t="s">
        <v>7892</v>
      </c>
    </row>
    <row r="3130" spans="1:3">
      <c r="A3130" t="s">
        <v>818</v>
      </c>
      <c r="B3130" t="s">
        <v>1075</v>
      </c>
      <c r="C3130" t="s">
        <v>7891</v>
      </c>
    </row>
    <row r="3131" spans="1:3">
      <c r="A3131" t="s">
        <v>818</v>
      </c>
      <c r="B3131" t="s">
        <v>1070</v>
      </c>
      <c r="C3131" t="s">
        <v>7890</v>
      </c>
    </row>
    <row r="3132" spans="1:3">
      <c r="A3132" t="s">
        <v>806</v>
      </c>
      <c r="B3132" t="s">
        <v>1075</v>
      </c>
      <c r="C3132" t="s">
        <v>7889</v>
      </c>
    </row>
    <row r="3133" spans="1:3">
      <c r="A3133" t="s">
        <v>806</v>
      </c>
      <c r="B3133" t="s">
        <v>1075</v>
      </c>
      <c r="C3133" t="s">
        <v>7888</v>
      </c>
    </row>
    <row r="3134" spans="1:3">
      <c r="A3134" t="s">
        <v>806</v>
      </c>
      <c r="B3134" t="s">
        <v>1075</v>
      </c>
      <c r="C3134" t="s">
        <v>7887</v>
      </c>
    </row>
    <row r="3135" spans="1:3">
      <c r="A3135" t="s">
        <v>806</v>
      </c>
      <c r="B3135" t="s">
        <v>1075</v>
      </c>
      <c r="C3135" t="s">
        <v>7886</v>
      </c>
    </row>
    <row r="3136" spans="1:3">
      <c r="A3136" t="s">
        <v>806</v>
      </c>
      <c r="B3136" t="s">
        <v>1075</v>
      </c>
      <c r="C3136" t="s">
        <v>7885</v>
      </c>
    </row>
    <row r="3137" spans="1:3">
      <c r="A3137" t="s">
        <v>806</v>
      </c>
      <c r="B3137" t="s">
        <v>1070</v>
      </c>
      <c r="C3137" t="s">
        <v>7884</v>
      </c>
    </row>
    <row r="3138" spans="1:3">
      <c r="A3138" t="s">
        <v>810</v>
      </c>
      <c r="B3138" t="s">
        <v>1075</v>
      </c>
      <c r="C3138" t="s">
        <v>7883</v>
      </c>
    </row>
    <row r="3139" spans="1:3">
      <c r="A3139" t="s">
        <v>810</v>
      </c>
      <c r="B3139" t="s">
        <v>1075</v>
      </c>
      <c r="C3139" t="s">
        <v>7882</v>
      </c>
    </row>
    <row r="3140" spans="1:3">
      <c r="A3140" t="s">
        <v>810</v>
      </c>
      <c r="B3140" t="s">
        <v>1075</v>
      </c>
      <c r="C3140" t="s">
        <v>7881</v>
      </c>
    </row>
    <row r="3141" spans="1:3">
      <c r="A3141" t="s">
        <v>810</v>
      </c>
      <c r="B3141" t="s">
        <v>1075</v>
      </c>
      <c r="C3141" t="s">
        <v>7880</v>
      </c>
    </row>
    <row r="3142" spans="1:3">
      <c r="A3142" t="s">
        <v>810</v>
      </c>
      <c r="B3142" t="s">
        <v>1075</v>
      </c>
      <c r="C3142" t="s">
        <v>7879</v>
      </c>
    </row>
    <row r="3143" spans="1:3">
      <c r="A3143" t="s">
        <v>810</v>
      </c>
      <c r="B3143" t="s">
        <v>1070</v>
      </c>
      <c r="C3143" t="s">
        <v>7878</v>
      </c>
    </row>
    <row r="3144" spans="1:3">
      <c r="A3144" t="s">
        <v>812</v>
      </c>
      <c r="B3144" t="s">
        <v>1075</v>
      </c>
      <c r="C3144" t="s">
        <v>7877</v>
      </c>
    </row>
    <row r="3145" spans="1:3">
      <c r="A3145" t="s">
        <v>812</v>
      </c>
      <c r="B3145" t="s">
        <v>1075</v>
      </c>
      <c r="C3145" t="s">
        <v>7876</v>
      </c>
    </row>
    <row r="3146" spans="1:3">
      <c r="A3146" t="s">
        <v>812</v>
      </c>
      <c r="B3146" t="s">
        <v>1075</v>
      </c>
      <c r="C3146" t="s">
        <v>7875</v>
      </c>
    </row>
    <row r="3147" spans="1:3">
      <c r="A3147" t="s">
        <v>812</v>
      </c>
      <c r="B3147" t="s">
        <v>1075</v>
      </c>
      <c r="C3147" t="s">
        <v>7874</v>
      </c>
    </row>
    <row r="3148" spans="1:3">
      <c r="A3148" t="s">
        <v>812</v>
      </c>
      <c r="B3148" t="s">
        <v>1075</v>
      </c>
      <c r="C3148" t="s">
        <v>7873</v>
      </c>
    </row>
    <row r="3149" spans="1:3">
      <c r="A3149" t="s">
        <v>812</v>
      </c>
      <c r="B3149" t="s">
        <v>1070</v>
      </c>
      <c r="C3149" t="s">
        <v>7872</v>
      </c>
    </row>
    <row r="3150" spans="1:3">
      <c r="A3150" t="s">
        <v>811</v>
      </c>
      <c r="B3150" t="s">
        <v>1075</v>
      </c>
      <c r="C3150" t="s">
        <v>7871</v>
      </c>
    </row>
    <row r="3151" spans="1:3">
      <c r="A3151" t="s">
        <v>811</v>
      </c>
      <c r="B3151" t="s">
        <v>1075</v>
      </c>
      <c r="C3151" t="s">
        <v>7870</v>
      </c>
    </row>
    <row r="3152" spans="1:3">
      <c r="A3152" t="s">
        <v>811</v>
      </c>
      <c r="B3152" t="s">
        <v>1075</v>
      </c>
      <c r="C3152" t="s">
        <v>7869</v>
      </c>
    </row>
    <row r="3153" spans="1:3">
      <c r="A3153" t="s">
        <v>811</v>
      </c>
      <c r="B3153" t="s">
        <v>1075</v>
      </c>
      <c r="C3153" t="s">
        <v>7868</v>
      </c>
    </row>
    <row r="3154" spans="1:3">
      <c r="A3154" t="s">
        <v>811</v>
      </c>
      <c r="B3154" t="s">
        <v>1075</v>
      </c>
      <c r="C3154" t="s">
        <v>7867</v>
      </c>
    </row>
    <row r="3155" spans="1:3">
      <c r="A3155" t="s">
        <v>811</v>
      </c>
      <c r="B3155" t="s">
        <v>1070</v>
      </c>
      <c r="C3155" t="s">
        <v>7866</v>
      </c>
    </row>
    <row r="3156" spans="1:3">
      <c r="A3156" t="s">
        <v>807</v>
      </c>
      <c r="B3156" t="s">
        <v>1075</v>
      </c>
      <c r="C3156" t="s">
        <v>7865</v>
      </c>
    </row>
    <row r="3157" spans="1:3">
      <c r="A3157" t="s">
        <v>807</v>
      </c>
      <c r="B3157" t="s">
        <v>1075</v>
      </c>
      <c r="C3157" t="s">
        <v>7864</v>
      </c>
    </row>
    <row r="3158" spans="1:3">
      <c r="A3158" t="s">
        <v>807</v>
      </c>
      <c r="B3158" t="s">
        <v>1075</v>
      </c>
      <c r="C3158" t="s">
        <v>7863</v>
      </c>
    </row>
    <row r="3159" spans="1:3">
      <c r="A3159" t="s">
        <v>807</v>
      </c>
      <c r="B3159" t="s">
        <v>1075</v>
      </c>
      <c r="C3159" t="s">
        <v>7862</v>
      </c>
    </row>
    <row r="3160" spans="1:3">
      <c r="A3160" t="s">
        <v>807</v>
      </c>
      <c r="B3160" t="s">
        <v>1075</v>
      </c>
      <c r="C3160" t="s">
        <v>7861</v>
      </c>
    </row>
    <row r="3161" spans="1:3">
      <c r="A3161" t="s">
        <v>807</v>
      </c>
      <c r="B3161" t="s">
        <v>1070</v>
      </c>
      <c r="C3161" t="s">
        <v>7860</v>
      </c>
    </row>
    <row r="3162" spans="1:3">
      <c r="A3162" t="s">
        <v>814</v>
      </c>
      <c r="B3162" t="s">
        <v>1075</v>
      </c>
      <c r="C3162" t="s">
        <v>7859</v>
      </c>
    </row>
    <row r="3163" spans="1:3">
      <c r="A3163" t="s">
        <v>814</v>
      </c>
      <c r="B3163" t="s">
        <v>1075</v>
      </c>
      <c r="C3163" t="s">
        <v>7858</v>
      </c>
    </row>
    <row r="3164" spans="1:3">
      <c r="A3164" t="s">
        <v>814</v>
      </c>
      <c r="B3164" t="s">
        <v>1075</v>
      </c>
      <c r="C3164" t="s">
        <v>7857</v>
      </c>
    </row>
    <row r="3165" spans="1:3">
      <c r="A3165" t="s">
        <v>814</v>
      </c>
      <c r="B3165" t="s">
        <v>1075</v>
      </c>
      <c r="C3165" t="s">
        <v>7856</v>
      </c>
    </row>
    <row r="3166" spans="1:3">
      <c r="A3166" t="s">
        <v>814</v>
      </c>
      <c r="B3166" t="s">
        <v>1075</v>
      </c>
      <c r="C3166" t="s">
        <v>7855</v>
      </c>
    </row>
    <row r="3167" spans="1:3">
      <c r="A3167" t="s">
        <v>814</v>
      </c>
      <c r="B3167" t="s">
        <v>1070</v>
      </c>
      <c r="C3167" t="s">
        <v>7854</v>
      </c>
    </row>
    <row r="3168" spans="1:3">
      <c r="A3168" t="s">
        <v>813</v>
      </c>
      <c r="B3168" t="s">
        <v>1075</v>
      </c>
      <c r="C3168" t="s">
        <v>7853</v>
      </c>
    </row>
    <row r="3169" spans="1:3">
      <c r="A3169" t="s">
        <v>813</v>
      </c>
      <c r="B3169" t="s">
        <v>1075</v>
      </c>
      <c r="C3169" t="s">
        <v>7852</v>
      </c>
    </row>
    <row r="3170" spans="1:3">
      <c r="A3170" t="s">
        <v>813</v>
      </c>
      <c r="B3170" t="s">
        <v>1075</v>
      </c>
      <c r="C3170" t="s">
        <v>7851</v>
      </c>
    </row>
    <row r="3171" spans="1:3">
      <c r="A3171" t="s">
        <v>813</v>
      </c>
      <c r="B3171" t="s">
        <v>1075</v>
      </c>
      <c r="C3171" t="s">
        <v>7850</v>
      </c>
    </row>
    <row r="3172" spans="1:3">
      <c r="A3172" t="s">
        <v>813</v>
      </c>
      <c r="B3172" t="s">
        <v>1075</v>
      </c>
      <c r="C3172" t="s">
        <v>7849</v>
      </c>
    </row>
    <row r="3173" spans="1:3">
      <c r="A3173" t="s">
        <v>813</v>
      </c>
      <c r="B3173" t="s">
        <v>1070</v>
      </c>
      <c r="C3173" t="s">
        <v>7848</v>
      </c>
    </row>
    <row r="3174" spans="1:3">
      <c r="A3174" t="s">
        <v>821</v>
      </c>
      <c r="B3174" t="s">
        <v>1075</v>
      </c>
      <c r="C3174" t="s">
        <v>7847</v>
      </c>
    </row>
    <row r="3175" spans="1:3">
      <c r="A3175" t="s">
        <v>821</v>
      </c>
      <c r="B3175" t="s">
        <v>1075</v>
      </c>
      <c r="C3175" t="s">
        <v>7846</v>
      </c>
    </row>
    <row r="3176" spans="1:3">
      <c r="A3176" t="s">
        <v>821</v>
      </c>
      <c r="B3176" t="s">
        <v>1075</v>
      </c>
      <c r="C3176" t="s">
        <v>7845</v>
      </c>
    </row>
    <row r="3177" spans="1:3">
      <c r="A3177" t="s">
        <v>821</v>
      </c>
      <c r="B3177" t="s">
        <v>1075</v>
      </c>
      <c r="C3177" t="s">
        <v>7844</v>
      </c>
    </row>
    <row r="3178" spans="1:3">
      <c r="A3178" t="s">
        <v>821</v>
      </c>
      <c r="B3178" t="s">
        <v>1075</v>
      </c>
      <c r="C3178" t="s">
        <v>7843</v>
      </c>
    </row>
    <row r="3179" spans="1:3">
      <c r="A3179" t="s">
        <v>821</v>
      </c>
      <c r="B3179" t="s">
        <v>1070</v>
      </c>
      <c r="C3179" t="s">
        <v>7842</v>
      </c>
    </row>
    <row r="3180" spans="1:3">
      <c r="A3180" t="s">
        <v>825</v>
      </c>
      <c r="B3180" t="s">
        <v>1075</v>
      </c>
      <c r="C3180" t="s">
        <v>7841</v>
      </c>
    </row>
    <row r="3181" spans="1:3">
      <c r="A3181" t="s">
        <v>825</v>
      </c>
      <c r="B3181" t="s">
        <v>1075</v>
      </c>
      <c r="C3181" t="s">
        <v>7840</v>
      </c>
    </row>
    <row r="3182" spans="1:3">
      <c r="A3182" t="s">
        <v>825</v>
      </c>
      <c r="B3182" t="s">
        <v>1075</v>
      </c>
      <c r="C3182" t="s">
        <v>7839</v>
      </c>
    </row>
    <row r="3183" spans="1:3">
      <c r="A3183" t="s">
        <v>825</v>
      </c>
      <c r="B3183" t="s">
        <v>1075</v>
      </c>
      <c r="C3183" t="s">
        <v>7838</v>
      </c>
    </row>
    <row r="3184" spans="1:3">
      <c r="A3184" t="s">
        <v>825</v>
      </c>
      <c r="B3184" t="s">
        <v>1075</v>
      </c>
      <c r="C3184" t="s">
        <v>7837</v>
      </c>
    </row>
    <row r="3185" spans="1:3">
      <c r="A3185" t="s">
        <v>825</v>
      </c>
      <c r="B3185" t="s">
        <v>1070</v>
      </c>
      <c r="C3185" t="s">
        <v>7836</v>
      </c>
    </row>
    <row r="3186" spans="1:3">
      <c r="A3186" t="s">
        <v>826</v>
      </c>
      <c r="B3186" t="s">
        <v>1075</v>
      </c>
      <c r="C3186" t="s">
        <v>7835</v>
      </c>
    </row>
    <row r="3187" spans="1:3">
      <c r="A3187" t="s">
        <v>826</v>
      </c>
      <c r="B3187" t="s">
        <v>1075</v>
      </c>
      <c r="C3187" t="s">
        <v>7834</v>
      </c>
    </row>
    <row r="3188" spans="1:3">
      <c r="A3188" t="s">
        <v>826</v>
      </c>
      <c r="B3188" t="s">
        <v>1075</v>
      </c>
      <c r="C3188" t="s">
        <v>7833</v>
      </c>
    </row>
    <row r="3189" spans="1:3">
      <c r="A3189" t="s">
        <v>826</v>
      </c>
      <c r="B3189" t="s">
        <v>1075</v>
      </c>
      <c r="C3189" t="s">
        <v>7832</v>
      </c>
    </row>
    <row r="3190" spans="1:3">
      <c r="A3190" t="s">
        <v>826</v>
      </c>
      <c r="B3190" t="s">
        <v>1075</v>
      </c>
      <c r="C3190" t="s">
        <v>7831</v>
      </c>
    </row>
    <row r="3191" spans="1:3">
      <c r="A3191" t="s">
        <v>826</v>
      </c>
      <c r="B3191" t="s">
        <v>1070</v>
      </c>
      <c r="C3191" t="s">
        <v>7830</v>
      </c>
    </row>
    <row r="3192" spans="1:3">
      <c r="A3192" t="s">
        <v>823</v>
      </c>
      <c r="B3192" t="s">
        <v>1075</v>
      </c>
      <c r="C3192" t="s">
        <v>7829</v>
      </c>
    </row>
    <row r="3193" spans="1:3">
      <c r="A3193" t="s">
        <v>823</v>
      </c>
      <c r="B3193" t="s">
        <v>1075</v>
      </c>
      <c r="C3193" t="s">
        <v>7828</v>
      </c>
    </row>
    <row r="3194" spans="1:3">
      <c r="A3194" t="s">
        <v>823</v>
      </c>
      <c r="B3194" t="s">
        <v>1075</v>
      </c>
      <c r="C3194" t="s">
        <v>7827</v>
      </c>
    </row>
    <row r="3195" spans="1:3">
      <c r="A3195" t="s">
        <v>823</v>
      </c>
      <c r="B3195" t="s">
        <v>1075</v>
      </c>
      <c r="C3195" t="s">
        <v>7826</v>
      </c>
    </row>
    <row r="3196" spans="1:3">
      <c r="A3196" t="s">
        <v>823</v>
      </c>
      <c r="B3196" t="s">
        <v>1075</v>
      </c>
      <c r="C3196" t="s">
        <v>7825</v>
      </c>
    </row>
    <row r="3197" spans="1:3">
      <c r="A3197" t="s">
        <v>823</v>
      </c>
      <c r="B3197" t="s">
        <v>1070</v>
      </c>
      <c r="C3197" t="s">
        <v>7824</v>
      </c>
    </row>
    <row r="3198" spans="1:3">
      <c r="A3198" t="s">
        <v>824</v>
      </c>
      <c r="B3198" t="s">
        <v>1075</v>
      </c>
      <c r="C3198" t="s">
        <v>7823</v>
      </c>
    </row>
    <row r="3199" spans="1:3">
      <c r="A3199" t="s">
        <v>824</v>
      </c>
      <c r="B3199" t="s">
        <v>1075</v>
      </c>
      <c r="C3199" t="s">
        <v>7822</v>
      </c>
    </row>
    <row r="3200" spans="1:3">
      <c r="A3200" t="s">
        <v>824</v>
      </c>
      <c r="B3200" t="s">
        <v>1075</v>
      </c>
      <c r="C3200" t="s">
        <v>7821</v>
      </c>
    </row>
    <row r="3201" spans="1:3">
      <c r="A3201" t="s">
        <v>824</v>
      </c>
      <c r="B3201" t="s">
        <v>1075</v>
      </c>
      <c r="C3201" t="s">
        <v>7820</v>
      </c>
    </row>
    <row r="3202" spans="1:3">
      <c r="A3202" t="s">
        <v>824</v>
      </c>
      <c r="B3202" t="s">
        <v>1075</v>
      </c>
      <c r="C3202" t="s">
        <v>7819</v>
      </c>
    </row>
    <row r="3203" spans="1:3">
      <c r="A3203" t="s">
        <v>824</v>
      </c>
      <c r="B3203" t="s">
        <v>1070</v>
      </c>
      <c r="C3203" t="s">
        <v>7818</v>
      </c>
    </row>
    <row r="3204" spans="1:3">
      <c r="A3204" t="s">
        <v>822</v>
      </c>
      <c r="B3204" t="s">
        <v>1075</v>
      </c>
      <c r="C3204" t="s">
        <v>7817</v>
      </c>
    </row>
    <row r="3205" spans="1:3">
      <c r="A3205" t="s">
        <v>822</v>
      </c>
      <c r="B3205" t="s">
        <v>1075</v>
      </c>
      <c r="C3205" t="s">
        <v>7816</v>
      </c>
    </row>
    <row r="3206" spans="1:3">
      <c r="A3206" t="s">
        <v>822</v>
      </c>
      <c r="B3206" t="s">
        <v>1075</v>
      </c>
      <c r="C3206" t="s">
        <v>7815</v>
      </c>
    </row>
    <row r="3207" spans="1:3">
      <c r="A3207" t="s">
        <v>822</v>
      </c>
      <c r="B3207" t="s">
        <v>1075</v>
      </c>
      <c r="C3207" t="s">
        <v>7814</v>
      </c>
    </row>
    <row r="3208" spans="1:3">
      <c r="A3208" t="s">
        <v>822</v>
      </c>
      <c r="B3208" t="s">
        <v>1075</v>
      </c>
      <c r="C3208" t="s">
        <v>7813</v>
      </c>
    </row>
    <row r="3209" spans="1:3">
      <c r="A3209" t="s">
        <v>822</v>
      </c>
      <c r="B3209" t="s">
        <v>1070</v>
      </c>
      <c r="C3209" t="s">
        <v>7812</v>
      </c>
    </row>
    <row r="3210" spans="1:3">
      <c r="A3210" t="s">
        <v>827</v>
      </c>
      <c r="B3210" t="s">
        <v>1075</v>
      </c>
      <c r="C3210" t="s">
        <v>7811</v>
      </c>
    </row>
    <row r="3211" spans="1:3">
      <c r="A3211" t="s">
        <v>827</v>
      </c>
      <c r="B3211" t="s">
        <v>1075</v>
      </c>
      <c r="C3211" t="s">
        <v>7810</v>
      </c>
    </row>
    <row r="3212" spans="1:3">
      <c r="A3212" t="s">
        <v>827</v>
      </c>
      <c r="B3212" t="s">
        <v>1075</v>
      </c>
      <c r="C3212" t="s">
        <v>7809</v>
      </c>
    </row>
    <row r="3213" spans="1:3">
      <c r="A3213" t="s">
        <v>827</v>
      </c>
      <c r="B3213" t="s">
        <v>1075</v>
      </c>
      <c r="C3213" t="s">
        <v>7808</v>
      </c>
    </row>
    <row r="3214" spans="1:3">
      <c r="A3214" t="s">
        <v>827</v>
      </c>
      <c r="B3214" t="s">
        <v>1075</v>
      </c>
      <c r="C3214" t="s">
        <v>7807</v>
      </c>
    </row>
    <row r="3215" spans="1:3">
      <c r="A3215" t="s">
        <v>827</v>
      </c>
      <c r="B3215" t="s">
        <v>1070</v>
      </c>
      <c r="C3215" t="s">
        <v>7806</v>
      </c>
    </row>
    <row r="3216" spans="1:3">
      <c r="A3216" t="s">
        <v>828</v>
      </c>
      <c r="B3216" t="s">
        <v>1075</v>
      </c>
      <c r="C3216" t="s">
        <v>7805</v>
      </c>
    </row>
    <row r="3217" spans="1:3">
      <c r="A3217" t="s">
        <v>828</v>
      </c>
      <c r="B3217" t="s">
        <v>1075</v>
      </c>
      <c r="C3217" t="s">
        <v>7804</v>
      </c>
    </row>
    <row r="3218" spans="1:3">
      <c r="A3218" t="s">
        <v>828</v>
      </c>
      <c r="B3218" t="s">
        <v>1075</v>
      </c>
      <c r="C3218" t="s">
        <v>7803</v>
      </c>
    </row>
    <row r="3219" spans="1:3">
      <c r="A3219" t="s">
        <v>828</v>
      </c>
      <c r="B3219" t="s">
        <v>1075</v>
      </c>
      <c r="C3219" t="s">
        <v>7802</v>
      </c>
    </row>
    <row r="3220" spans="1:3">
      <c r="A3220" t="s">
        <v>828</v>
      </c>
      <c r="B3220" t="s">
        <v>1075</v>
      </c>
      <c r="C3220" t="s">
        <v>7801</v>
      </c>
    </row>
    <row r="3221" spans="1:3">
      <c r="A3221" t="s">
        <v>828</v>
      </c>
      <c r="B3221" t="s">
        <v>1070</v>
      </c>
      <c r="C3221" t="s">
        <v>7800</v>
      </c>
    </row>
    <row r="3222" spans="1:3">
      <c r="A3222" t="s">
        <v>830</v>
      </c>
      <c r="B3222" t="s">
        <v>1075</v>
      </c>
      <c r="C3222" t="s">
        <v>7799</v>
      </c>
    </row>
    <row r="3223" spans="1:3">
      <c r="A3223" t="s">
        <v>830</v>
      </c>
      <c r="B3223" t="s">
        <v>1075</v>
      </c>
      <c r="C3223" t="s">
        <v>7798</v>
      </c>
    </row>
    <row r="3224" spans="1:3">
      <c r="A3224" t="s">
        <v>830</v>
      </c>
      <c r="B3224" t="s">
        <v>1075</v>
      </c>
      <c r="C3224" t="s">
        <v>7797</v>
      </c>
    </row>
    <row r="3225" spans="1:3">
      <c r="A3225" t="s">
        <v>830</v>
      </c>
      <c r="B3225" t="s">
        <v>1075</v>
      </c>
      <c r="C3225" t="s">
        <v>7796</v>
      </c>
    </row>
    <row r="3226" spans="1:3">
      <c r="A3226" t="s">
        <v>830</v>
      </c>
      <c r="B3226" t="s">
        <v>1075</v>
      </c>
      <c r="C3226" t="s">
        <v>7795</v>
      </c>
    </row>
    <row r="3227" spans="1:3">
      <c r="A3227" t="s">
        <v>830</v>
      </c>
      <c r="B3227" t="s">
        <v>1070</v>
      </c>
      <c r="C3227" t="s">
        <v>7794</v>
      </c>
    </row>
    <row r="3228" spans="1:3">
      <c r="A3228" t="s">
        <v>829</v>
      </c>
      <c r="B3228" t="s">
        <v>1075</v>
      </c>
      <c r="C3228" t="s">
        <v>7793</v>
      </c>
    </row>
    <row r="3229" spans="1:3">
      <c r="A3229" t="s">
        <v>829</v>
      </c>
      <c r="B3229" t="s">
        <v>1075</v>
      </c>
      <c r="C3229" t="s">
        <v>7792</v>
      </c>
    </row>
    <row r="3230" spans="1:3">
      <c r="A3230" t="s">
        <v>829</v>
      </c>
      <c r="B3230" t="s">
        <v>1075</v>
      </c>
      <c r="C3230" t="s">
        <v>7791</v>
      </c>
    </row>
    <row r="3231" spans="1:3">
      <c r="A3231" t="s">
        <v>829</v>
      </c>
      <c r="B3231" t="s">
        <v>1075</v>
      </c>
      <c r="C3231" t="s">
        <v>7790</v>
      </c>
    </row>
    <row r="3232" spans="1:3">
      <c r="A3232" t="s">
        <v>829</v>
      </c>
      <c r="B3232" t="s">
        <v>1075</v>
      </c>
      <c r="C3232" t="s">
        <v>7789</v>
      </c>
    </row>
    <row r="3233" spans="1:3">
      <c r="A3233" t="s">
        <v>829</v>
      </c>
      <c r="B3233" t="s">
        <v>1070</v>
      </c>
      <c r="C3233" t="s">
        <v>7788</v>
      </c>
    </row>
    <row r="3234" spans="1:3">
      <c r="A3234" t="s">
        <v>831</v>
      </c>
      <c r="B3234" t="s">
        <v>1075</v>
      </c>
      <c r="C3234" t="s">
        <v>7787</v>
      </c>
    </row>
    <row r="3235" spans="1:3">
      <c r="A3235" t="s">
        <v>831</v>
      </c>
      <c r="B3235" t="s">
        <v>1075</v>
      </c>
      <c r="C3235" t="s">
        <v>7786</v>
      </c>
    </row>
    <row r="3236" spans="1:3">
      <c r="A3236" t="s">
        <v>831</v>
      </c>
      <c r="B3236" t="s">
        <v>1075</v>
      </c>
      <c r="C3236" t="s">
        <v>7785</v>
      </c>
    </row>
    <row r="3237" spans="1:3">
      <c r="A3237" t="s">
        <v>831</v>
      </c>
      <c r="B3237" t="s">
        <v>1075</v>
      </c>
      <c r="C3237" t="s">
        <v>7784</v>
      </c>
    </row>
    <row r="3238" spans="1:3">
      <c r="A3238" t="s">
        <v>831</v>
      </c>
      <c r="B3238" t="s">
        <v>1075</v>
      </c>
      <c r="C3238" t="s">
        <v>7783</v>
      </c>
    </row>
    <row r="3239" spans="1:3">
      <c r="A3239" t="s">
        <v>831</v>
      </c>
      <c r="B3239" t="s">
        <v>1070</v>
      </c>
      <c r="C3239" t="s">
        <v>7782</v>
      </c>
    </row>
    <row r="3240" spans="1:3">
      <c r="A3240" t="s">
        <v>832</v>
      </c>
      <c r="B3240" t="s">
        <v>1075</v>
      </c>
      <c r="C3240" t="s">
        <v>7781</v>
      </c>
    </row>
    <row r="3241" spans="1:3">
      <c r="A3241" t="s">
        <v>832</v>
      </c>
      <c r="B3241" t="s">
        <v>1075</v>
      </c>
      <c r="C3241" t="s">
        <v>7780</v>
      </c>
    </row>
    <row r="3242" spans="1:3">
      <c r="A3242" t="s">
        <v>832</v>
      </c>
      <c r="B3242" t="s">
        <v>1075</v>
      </c>
      <c r="C3242" t="s">
        <v>7779</v>
      </c>
    </row>
    <row r="3243" spans="1:3">
      <c r="A3243" t="s">
        <v>832</v>
      </c>
      <c r="B3243" t="s">
        <v>1075</v>
      </c>
      <c r="C3243" t="s">
        <v>7778</v>
      </c>
    </row>
    <row r="3244" spans="1:3">
      <c r="A3244" t="s">
        <v>832</v>
      </c>
      <c r="B3244" t="s">
        <v>1075</v>
      </c>
      <c r="C3244" t="s">
        <v>7777</v>
      </c>
    </row>
    <row r="3245" spans="1:3">
      <c r="A3245" t="s">
        <v>832</v>
      </c>
      <c r="B3245" t="s">
        <v>1070</v>
      </c>
      <c r="C3245" t="s">
        <v>7776</v>
      </c>
    </row>
    <row r="3246" spans="1:3">
      <c r="A3246" t="s">
        <v>833</v>
      </c>
      <c r="B3246" t="s">
        <v>1075</v>
      </c>
      <c r="C3246" t="s">
        <v>7775</v>
      </c>
    </row>
    <row r="3247" spans="1:3">
      <c r="A3247" t="s">
        <v>833</v>
      </c>
      <c r="B3247" t="s">
        <v>1075</v>
      </c>
      <c r="C3247" t="s">
        <v>7774</v>
      </c>
    </row>
    <row r="3248" spans="1:3">
      <c r="A3248" t="s">
        <v>833</v>
      </c>
      <c r="B3248" t="s">
        <v>1075</v>
      </c>
      <c r="C3248" t="s">
        <v>7773</v>
      </c>
    </row>
    <row r="3249" spans="1:3">
      <c r="A3249" t="s">
        <v>833</v>
      </c>
      <c r="B3249" t="s">
        <v>1075</v>
      </c>
      <c r="C3249" t="s">
        <v>7772</v>
      </c>
    </row>
    <row r="3250" spans="1:3">
      <c r="A3250" t="s">
        <v>833</v>
      </c>
      <c r="B3250" t="s">
        <v>1075</v>
      </c>
      <c r="C3250" t="s">
        <v>7771</v>
      </c>
    </row>
    <row r="3251" spans="1:3">
      <c r="A3251" t="s">
        <v>833</v>
      </c>
      <c r="B3251" t="s">
        <v>1070</v>
      </c>
      <c r="C3251" t="s">
        <v>7770</v>
      </c>
    </row>
    <row r="3252" spans="1:3">
      <c r="A3252" t="s">
        <v>834</v>
      </c>
      <c r="B3252" t="s">
        <v>1075</v>
      </c>
      <c r="C3252" t="s">
        <v>7769</v>
      </c>
    </row>
    <row r="3253" spans="1:3">
      <c r="A3253" t="s">
        <v>834</v>
      </c>
      <c r="B3253" t="s">
        <v>1075</v>
      </c>
      <c r="C3253" t="s">
        <v>7768</v>
      </c>
    </row>
    <row r="3254" spans="1:3">
      <c r="A3254" t="s">
        <v>834</v>
      </c>
      <c r="B3254" t="s">
        <v>1075</v>
      </c>
      <c r="C3254" t="s">
        <v>7767</v>
      </c>
    </row>
    <row r="3255" spans="1:3">
      <c r="A3255" t="s">
        <v>834</v>
      </c>
      <c r="B3255" t="s">
        <v>1075</v>
      </c>
      <c r="C3255" t="s">
        <v>7766</v>
      </c>
    </row>
    <row r="3256" spans="1:3">
      <c r="A3256" t="s">
        <v>834</v>
      </c>
      <c r="B3256" t="s">
        <v>1075</v>
      </c>
      <c r="C3256" t="s">
        <v>7765</v>
      </c>
    </row>
    <row r="3257" spans="1:3">
      <c r="A3257" t="s">
        <v>834</v>
      </c>
      <c r="B3257" t="s">
        <v>1070</v>
      </c>
      <c r="C3257" t="s">
        <v>7764</v>
      </c>
    </row>
    <row r="3258" spans="1:3">
      <c r="A3258" t="s">
        <v>755</v>
      </c>
      <c r="B3258" t="s">
        <v>1075</v>
      </c>
      <c r="C3258" t="s">
        <v>5397</v>
      </c>
    </row>
    <row r="3259" spans="1:3">
      <c r="A3259" t="s">
        <v>755</v>
      </c>
      <c r="B3259" t="s">
        <v>1075</v>
      </c>
      <c r="C3259" t="s">
        <v>5396</v>
      </c>
    </row>
    <row r="3260" spans="1:3">
      <c r="A3260" t="s">
        <v>756</v>
      </c>
      <c r="B3260" t="s">
        <v>1075</v>
      </c>
      <c r="C3260" t="s">
        <v>5395</v>
      </c>
    </row>
    <row r="3261" spans="1:3">
      <c r="A3261" t="s">
        <v>756</v>
      </c>
      <c r="B3261" t="s">
        <v>1075</v>
      </c>
      <c r="C3261" t="s">
        <v>5394</v>
      </c>
    </row>
    <row r="3262" spans="1:3">
      <c r="A3262" t="s">
        <v>757</v>
      </c>
      <c r="B3262" t="s">
        <v>1075</v>
      </c>
      <c r="C3262" t="s">
        <v>5393</v>
      </c>
    </row>
    <row r="3263" spans="1:3">
      <c r="A3263" t="s">
        <v>757</v>
      </c>
      <c r="B3263" t="s">
        <v>1075</v>
      </c>
      <c r="C3263" t="s">
        <v>5392</v>
      </c>
    </row>
    <row r="3264" spans="1:3">
      <c r="A3264" t="s">
        <v>758</v>
      </c>
      <c r="B3264" t="s">
        <v>1075</v>
      </c>
      <c r="C3264" t="s">
        <v>5391</v>
      </c>
    </row>
    <row r="3265" spans="1:3">
      <c r="A3265" t="s">
        <v>758</v>
      </c>
      <c r="B3265" t="s">
        <v>1075</v>
      </c>
      <c r="C3265" t="s">
        <v>5390</v>
      </c>
    </row>
    <row r="3266" spans="1:3">
      <c r="A3266" t="s">
        <v>761</v>
      </c>
      <c r="B3266" t="s">
        <v>1070</v>
      </c>
      <c r="C3266" t="s">
        <v>4486</v>
      </c>
    </row>
    <row r="3267" spans="1:3">
      <c r="A3267" t="s">
        <v>761</v>
      </c>
      <c r="B3267" t="s">
        <v>1070</v>
      </c>
      <c r="C3267" t="s">
        <v>4485</v>
      </c>
    </row>
    <row r="3268" spans="1:3">
      <c r="A3268" t="s">
        <v>761</v>
      </c>
      <c r="B3268" t="s">
        <v>1070</v>
      </c>
      <c r="C3268" t="s">
        <v>4484</v>
      </c>
    </row>
    <row r="3269" spans="1:3">
      <c r="A3269" t="s">
        <v>761</v>
      </c>
      <c r="B3269" t="s">
        <v>1070</v>
      </c>
      <c r="C3269" t="s">
        <v>4483</v>
      </c>
    </row>
    <row r="3270" spans="1:3">
      <c r="A3270" t="s">
        <v>761</v>
      </c>
      <c r="B3270" t="s">
        <v>1070</v>
      </c>
      <c r="C3270" t="s">
        <v>4482</v>
      </c>
    </row>
    <row r="3271" spans="1:3">
      <c r="A3271" t="s">
        <v>761</v>
      </c>
      <c r="B3271" t="s">
        <v>1070</v>
      </c>
      <c r="C3271" t="s">
        <v>4481</v>
      </c>
    </row>
    <row r="3272" spans="1:3">
      <c r="A3272" t="s">
        <v>761</v>
      </c>
      <c r="B3272" t="s">
        <v>1075</v>
      </c>
      <c r="C3272" t="s">
        <v>4535</v>
      </c>
    </row>
    <row r="3273" spans="1:3">
      <c r="A3273" t="s">
        <v>761</v>
      </c>
      <c r="B3273" t="s">
        <v>1075</v>
      </c>
      <c r="C3273" t="s">
        <v>4534</v>
      </c>
    </row>
    <row r="3274" spans="1:3">
      <c r="A3274" t="s">
        <v>761</v>
      </c>
      <c r="B3274" t="s">
        <v>1075</v>
      </c>
      <c r="C3274" t="s">
        <v>4533</v>
      </c>
    </row>
    <row r="3275" spans="1:3">
      <c r="A3275" t="s">
        <v>761</v>
      </c>
      <c r="B3275" t="s">
        <v>1075</v>
      </c>
      <c r="C3275" t="s">
        <v>4532</v>
      </c>
    </row>
    <row r="3276" spans="1:3">
      <c r="A3276" t="s">
        <v>761</v>
      </c>
      <c r="B3276" t="s">
        <v>1075</v>
      </c>
      <c r="C3276" t="s">
        <v>4531</v>
      </c>
    </row>
    <row r="3277" spans="1:3">
      <c r="A3277" t="s">
        <v>761</v>
      </c>
      <c r="B3277" t="s">
        <v>1075</v>
      </c>
      <c r="C3277" t="s">
        <v>4530</v>
      </c>
    </row>
    <row r="3278" spans="1:3">
      <c r="A3278" t="s">
        <v>761</v>
      </c>
      <c r="B3278" t="s">
        <v>1075</v>
      </c>
      <c r="C3278" t="s">
        <v>4529</v>
      </c>
    </row>
    <row r="3279" spans="1:3">
      <c r="A3279" t="s">
        <v>761</v>
      </c>
      <c r="B3279" t="s">
        <v>1075</v>
      </c>
      <c r="C3279" t="s">
        <v>4528</v>
      </c>
    </row>
    <row r="3280" spans="1:3">
      <c r="A3280" t="s">
        <v>761</v>
      </c>
      <c r="B3280" t="s">
        <v>1075</v>
      </c>
      <c r="C3280" t="s">
        <v>4527</v>
      </c>
    </row>
    <row r="3281" spans="1:3">
      <c r="A3281" t="s">
        <v>761</v>
      </c>
      <c r="B3281" t="s">
        <v>1075</v>
      </c>
      <c r="C3281" t="s">
        <v>4526</v>
      </c>
    </row>
    <row r="3282" spans="1:3">
      <c r="A3282" t="s">
        <v>761</v>
      </c>
      <c r="B3282" t="s">
        <v>1075</v>
      </c>
      <c r="C3282" t="s">
        <v>4525</v>
      </c>
    </row>
    <row r="3283" spans="1:3">
      <c r="A3283" t="s">
        <v>761</v>
      </c>
      <c r="B3283" t="s">
        <v>1075</v>
      </c>
      <c r="C3283" t="s">
        <v>4524</v>
      </c>
    </row>
    <row r="3284" spans="1:3">
      <c r="A3284" t="s">
        <v>761</v>
      </c>
      <c r="B3284" t="s">
        <v>1075</v>
      </c>
      <c r="C3284" t="s">
        <v>4523</v>
      </c>
    </row>
    <row r="3285" spans="1:3">
      <c r="A3285" t="s">
        <v>761</v>
      </c>
      <c r="B3285" t="s">
        <v>1075</v>
      </c>
      <c r="C3285" t="s">
        <v>4522</v>
      </c>
    </row>
    <row r="3286" spans="1:3">
      <c r="A3286" t="s">
        <v>761</v>
      </c>
      <c r="B3286" t="s">
        <v>1075</v>
      </c>
      <c r="C3286" t="s">
        <v>4521</v>
      </c>
    </row>
    <row r="3287" spans="1:3">
      <c r="A3287" t="s">
        <v>761</v>
      </c>
      <c r="B3287" t="s">
        <v>1075</v>
      </c>
      <c r="C3287" t="s">
        <v>4520</v>
      </c>
    </row>
    <row r="3288" spans="1:3">
      <c r="A3288" t="s">
        <v>761</v>
      </c>
      <c r="B3288" t="s">
        <v>1075</v>
      </c>
      <c r="C3288" t="s">
        <v>4519</v>
      </c>
    </row>
    <row r="3289" spans="1:3">
      <c r="A3289" t="s">
        <v>761</v>
      </c>
      <c r="B3289" t="s">
        <v>1075</v>
      </c>
      <c r="C3289" t="s">
        <v>4518</v>
      </c>
    </row>
    <row r="3290" spans="1:3">
      <c r="A3290" t="s">
        <v>761</v>
      </c>
      <c r="B3290" t="s">
        <v>1075</v>
      </c>
      <c r="C3290" t="s">
        <v>4517</v>
      </c>
    </row>
    <row r="3291" spans="1:3">
      <c r="A3291" t="s">
        <v>761</v>
      </c>
      <c r="B3291" t="s">
        <v>1075</v>
      </c>
      <c r="C3291" t="s">
        <v>4516</v>
      </c>
    </row>
    <row r="3292" spans="1:3">
      <c r="A3292" t="s">
        <v>761</v>
      </c>
      <c r="B3292" t="s">
        <v>1075</v>
      </c>
      <c r="C3292" t="s">
        <v>4515</v>
      </c>
    </row>
    <row r="3293" spans="1:3">
      <c r="A3293" t="s">
        <v>761</v>
      </c>
      <c r="B3293" t="s">
        <v>1075</v>
      </c>
      <c r="C3293" t="s">
        <v>4514</v>
      </c>
    </row>
    <row r="3294" spans="1:3">
      <c r="A3294" t="s">
        <v>761</v>
      </c>
      <c r="B3294" t="s">
        <v>1075</v>
      </c>
      <c r="C3294" t="s">
        <v>4513</v>
      </c>
    </row>
    <row r="3295" spans="1:3">
      <c r="A3295" t="s">
        <v>761</v>
      </c>
      <c r="B3295" t="s">
        <v>1075</v>
      </c>
      <c r="C3295" t="s">
        <v>4512</v>
      </c>
    </row>
    <row r="3296" spans="1:3">
      <c r="A3296" t="s">
        <v>761</v>
      </c>
      <c r="B3296" t="s">
        <v>1075</v>
      </c>
      <c r="C3296" t="s">
        <v>4511</v>
      </c>
    </row>
    <row r="3297" spans="1:3">
      <c r="A3297" t="s">
        <v>761</v>
      </c>
      <c r="B3297" t="s">
        <v>1075</v>
      </c>
      <c r="C3297" t="s">
        <v>4510</v>
      </c>
    </row>
    <row r="3298" spans="1:3">
      <c r="A3298" t="s">
        <v>761</v>
      </c>
      <c r="B3298" t="s">
        <v>1075</v>
      </c>
      <c r="C3298" t="s">
        <v>4509</v>
      </c>
    </row>
    <row r="3299" spans="1:3">
      <c r="A3299" t="s">
        <v>761</v>
      </c>
      <c r="B3299" t="s">
        <v>1075</v>
      </c>
      <c r="C3299" t="s">
        <v>4508</v>
      </c>
    </row>
    <row r="3300" spans="1:3">
      <c r="A3300" t="s">
        <v>761</v>
      </c>
      <c r="B3300" t="s">
        <v>1075</v>
      </c>
      <c r="C3300" t="s">
        <v>4507</v>
      </c>
    </row>
    <row r="3301" spans="1:3">
      <c r="A3301" t="s">
        <v>761</v>
      </c>
      <c r="B3301" t="s">
        <v>1075</v>
      </c>
      <c r="C3301" t="s">
        <v>4506</v>
      </c>
    </row>
    <row r="3302" spans="1:3">
      <c r="A3302" t="s">
        <v>761</v>
      </c>
      <c r="B3302" t="s">
        <v>1075</v>
      </c>
      <c r="C3302" t="s">
        <v>4505</v>
      </c>
    </row>
    <row r="3303" spans="1:3">
      <c r="A3303" t="s">
        <v>761</v>
      </c>
      <c r="B3303" t="s">
        <v>1075</v>
      </c>
      <c r="C3303" t="s">
        <v>4504</v>
      </c>
    </row>
    <row r="3304" spans="1:3">
      <c r="A3304" t="s">
        <v>761</v>
      </c>
      <c r="B3304" t="s">
        <v>1075</v>
      </c>
      <c r="C3304" t="s">
        <v>4503</v>
      </c>
    </row>
    <row r="3305" spans="1:3">
      <c r="A3305" t="s">
        <v>761</v>
      </c>
      <c r="B3305" t="s">
        <v>1075</v>
      </c>
      <c r="C3305" t="s">
        <v>4502</v>
      </c>
    </row>
    <row r="3306" spans="1:3">
      <c r="A3306" t="s">
        <v>761</v>
      </c>
      <c r="B3306" t="s">
        <v>1075</v>
      </c>
      <c r="C3306" t="s">
        <v>4501</v>
      </c>
    </row>
    <row r="3307" spans="1:3">
      <c r="A3307" t="s">
        <v>761</v>
      </c>
      <c r="B3307" t="s">
        <v>1075</v>
      </c>
      <c r="C3307" t="s">
        <v>4500</v>
      </c>
    </row>
    <row r="3308" spans="1:3">
      <c r="A3308" t="s">
        <v>761</v>
      </c>
      <c r="B3308" t="s">
        <v>1075</v>
      </c>
      <c r="C3308" t="s">
        <v>4499</v>
      </c>
    </row>
    <row r="3309" spans="1:3">
      <c r="A3309" t="s">
        <v>761</v>
      </c>
      <c r="B3309" t="s">
        <v>1075</v>
      </c>
      <c r="C3309" t="s">
        <v>4498</v>
      </c>
    </row>
    <row r="3310" spans="1:3">
      <c r="A3310" t="s">
        <v>761</v>
      </c>
      <c r="B3310" t="s">
        <v>1075</v>
      </c>
      <c r="C3310" t="s">
        <v>4497</v>
      </c>
    </row>
    <row r="3311" spans="1:3">
      <c r="A3311" t="s">
        <v>761</v>
      </c>
      <c r="B3311" t="s">
        <v>1075</v>
      </c>
      <c r="C3311" t="s">
        <v>4496</v>
      </c>
    </row>
    <row r="3312" spans="1:3">
      <c r="A3312" t="s">
        <v>761</v>
      </c>
      <c r="B3312" t="s">
        <v>1075</v>
      </c>
      <c r="C3312" t="s">
        <v>4495</v>
      </c>
    </row>
    <row r="3313" spans="1:3">
      <c r="A3313" t="s">
        <v>761</v>
      </c>
      <c r="B3313" t="s">
        <v>1075</v>
      </c>
      <c r="C3313" t="s">
        <v>4494</v>
      </c>
    </row>
    <row r="3314" spans="1:3">
      <c r="A3314" t="s">
        <v>761</v>
      </c>
      <c r="B3314" t="s">
        <v>1075</v>
      </c>
      <c r="C3314" t="s">
        <v>4493</v>
      </c>
    </row>
    <row r="3315" spans="1:3">
      <c r="A3315" t="s">
        <v>761</v>
      </c>
      <c r="B3315" t="s">
        <v>1075</v>
      </c>
      <c r="C3315" t="s">
        <v>4492</v>
      </c>
    </row>
    <row r="3316" spans="1:3">
      <c r="A3316" t="s">
        <v>761</v>
      </c>
      <c r="B3316" t="s">
        <v>1075</v>
      </c>
      <c r="C3316" t="s">
        <v>4491</v>
      </c>
    </row>
    <row r="3317" spans="1:3">
      <c r="A3317" t="s">
        <v>761</v>
      </c>
      <c r="B3317" t="s">
        <v>1075</v>
      </c>
      <c r="C3317" t="s">
        <v>4490</v>
      </c>
    </row>
    <row r="3318" spans="1:3">
      <c r="A3318" t="s">
        <v>761</v>
      </c>
      <c r="B3318" t="s">
        <v>1075</v>
      </c>
      <c r="C3318" t="s">
        <v>4489</v>
      </c>
    </row>
    <row r="3319" spans="1:3">
      <c r="A3319" t="s">
        <v>761</v>
      </c>
      <c r="B3319" t="s">
        <v>1075</v>
      </c>
      <c r="C3319" t="s">
        <v>4488</v>
      </c>
    </row>
    <row r="3320" spans="1:3">
      <c r="A3320" t="s">
        <v>761</v>
      </c>
      <c r="B3320" t="s">
        <v>1075</v>
      </c>
      <c r="C3320" t="s">
        <v>4487</v>
      </c>
    </row>
    <row r="3321" spans="1:3">
      <c r="A3321" t="s">
        <v>760</v>
      </c>
      <c r="B3321" t="s">
        <v>1070</v>
      </c>
      <c r="C3321" t="s">
        <v>4407</v>
      </c>
    </row>
    <row r="3322" spans="1:3">
      <c r="A3322" t="s">
        <v>760</v>
      </c>
      <c r="B3322" t="s">
        <v>1070</v>
      </c>
      <c r="C3322" t="s">
        <v>4406</v>
      </c>
    </row>
    <row r="3323" spans="1:3">
      <c r="A3323" t="s">
        <v>760</v>
      </c>
      <c r="B3323" t="s">
        <v>1070</v>
      </c>
      <c r="C3323" t="s">
        <v>4405</v>
      </c>
    </row>
    <row r="3324" spans="1:3">
      <c r="A3324" t="s">
        <v>760</v>
      </c>
      <c r="B3324" t="s">
        <v>1070</v>
      </c>
      <c r="C3324" t="s">
        <v>4404</v>
      </c>
    </row>
    <row r="3325" spans="1:3">
      <c r="A3325" t="s">
        <v>760</v>
      </c>
      <c r="B3325" t="s">
        <v>1070</v>
      </c>
      <c r="C3325" t="s">
        <v>4403</v>
      </c>
    </row>
    <row r="3326" spans="1:3">
      <c r="A3326" t="s">
        <v>760</v>
      </c>
      <c r="B3326" t="s">
        <v>1070</v>
      </c>
      <c r="C3326" t="s">
        <v>4402</v>
      </c>
    </row>
    <row r="3327" spans="1:3">
      <c r="A3327" t="s">
        <v>760</v>
      </c>
      <c r="B3327" t="s">
        <v>1070</v>
      </c>
      <c r="C3327" t="s">
        <v>4401</v>
      </c>
    </row>
    <row r="3328" spans="1:3">
      <c r="A3328" t="s">
        <v>760</v>
      </c>
      <c r="B3328" t="s">
        <v>1070</v>
      </c>
      <c r="C3328" t="s">
        <v>4400</v>
      </c>
    </row>
    <row r="3329" spans="1:3">
      <c r="A3329" t="s">
        <v>760</v>
      </c>
      <c r="B3329" t="s">
        <v>1070</v>
      </c>
      <c r="C3329" t="s">
        <v>4399</v>
      </c>
    </row>
    <row r="3330" spans="1:3">
      <c r="A3330" t="s">
        <v>760</v>
      </c>
      <c r="B3330" t="s">
        <v>1075</v>
      </c>
      <c r="C3330" t="s">
        <v>4480</v>
      </c>
    </row>
    <row r="3331" spans="1:3">
      <c r="A3331" t="s">
        <v>760</v>
      </c>
      <c r="B3331" t="s">
        <v>1075</v>
      </c>
      <c r="C3331" t="s">
        <v>4479</v>
      </c>
    </row>
    <row r="3332" spans="1:3">
      <c r="A3332" t="s">
        <v>760</v>
      </c>
      <c r="B3332" t="s">
        <v>1075</v>
      </c>
      <c r="C3332" t="s">
        <v>4478</v>
      </c>
    </row>
    <row r="3333" spans="1:3">
      <c r="A3333" t="s">
        <v>760</v>
      </c>
      <c r="B3333" t="s">
        <v>1075</v>
      </c>
      <c r="C3333" t="s">
        <v>4477</v>
      </c>
    </row>
    <row r="3334" spans="1:3">
      <c r="A3334" t="s">
        <v>760</v>
      </c>
      <c r="B3334" t="s">
        <v>1075</v>
      </c>
      <c r="C3334" t="s">
        <v>4476</v>
      </c>
    </row>
    <row r="3335" spans="1:3">
      <c r="A3335" t="s">
        <v>760</v>
      </c>
      <c r="B3335" t="s">
        <v>1075</v>
      </c>
      <c r="C3335" t="s">
        <v>4475</v>
      </c>
    </row>
    <row r="3336" spans="1:3">
      <c r="A3336" t="s">
        <v>760</v>
      </c>
      <c r="B3336" t="s">
        <v>1075</v>
      </c>
      <c r="C3336" t="s">
        <v>4474</v>
      </c>
    </row>
    <row r="3337" spans="1:3">
      <c r="A3337" t="s">
        <v>760</v>
      </c>
      <c r="B3337" t="s">
        <v>1075</v>
      </c>
      <c r="C3337" t="s">
        <v>4473</v>
      </c>
    </row>
    <row r="3338" spans="1:3">
      <c r="A3338" t="s">
        <v>760</v>
      </c>
      <c r="B3338" t="s">
        <v>1075</v>
      </c>
      <c r="C3338" t="s">
        <v>4472</v>
      </c>
    </row>
    <row r="3339" spans="1:3">
      <c r="A3339" t="s">
        <v>760</v>
      </c>
      <c r="B3339" t="s">
        <v>1075</v>
      </c>
      <c r="C3339" t="s">
        <v>4471</v>
      </c>
    </row>
    <row r="3340" spans="1:3">
      <c r="A3340" t="s">
        <v>760</v>
      </c>
      <c r="B3340" t="s">
        <v>1075</v>
      </c>
      <c r="C3340" t="s">
        <v>4470</v>
      </c>
    </row>
    <row r="3341" spans="1:3">
      <c r="A3341" t="s">
        <v>760</v>
      </c>
      <c r="B3341" t="s">
        <v>1075</v>
      </c>
      <c r="C3341" t="s">
        <v>4469</v>
      </c>
    </row>
    <row r="3342" spans="1:3">
      <c r="A3342" t="s">
        <v>760</v>
      </c>
      <c r="B3342" t="s">
        <v>1075</v>
      </c>
      <c r="C3342" t="s">
        <v>4468</v>
      </c>
    </row>
    <row r="3343" spans="1:3">
      <c r="A3343" t="s">
        <v>760</v>
      </c>
      <c r="B3343" t="s">
        <v>1075</v>
      </c>
      <c r="C3343" t="s">
        <v>4467</v>
      </c>
    </row>
    <row r="3344" spans="1:3">
      <c r="A3344" t="s">
        <v>760</v>
      </c>
      <c r="B3344" t="s">
        <v>1075</v>
      </c>
      <c r="C3344" t="s">
        <v>4466</v>
      </c>
    </row>
    <row r="3345" spans="1:3">
      <c r="A3345" t="s">
        <v>760</v>
      </c>
      <c r="B3345" t="s">
        <v>1075</v>
      </c>
      <c r="C3345" t="s">
        <v>4465</v>
      </c>
    </row>
    <row r="3346" spans="1:3">
      <c r="A3346" t="s">
        <v>760</v>
      </c>
      <c r="B3346" t="s">
        <v>1075</v>
      </c>
      <c r="C3346" t="s">
        <v>4464</v>
      </c>
    </row>
    <row r="3347" spans="1:3">
      <c r="A3347" t="s">
        <v>760</v>
      </c>
      <c r="B3347" t="s">
        <v>1075</v>
      </c>
      <c r="C3347" t="s">
        <v>4463</v>
      </c>
    </row>
    <row r="3348" spans="1:3">
      <c r="A3348" t="s">
        <v>760</v>
      </c>
      <c r="B3348" t="s">
        <v>1075</v>
      </c>
      <c r="C3348" t="s">
        <v>4462</v>
      </c>
    </row>
    <row r="3349" spans="1:3">
      <c r="A3349" t="s">
        <v>760</v>
      </c>
      <c r="B3349" t="s">
        <v>1075</v>
      </c>
      <c r="C3349" t="s">
        <v>4461</v>
      </c>
    </row>
    <row r="3350" spans="1:3">
      <c r="A3350" t="s">
        <v>760</v>
      </c>
      <c r="B3350" t="s">
        <v>1075</v>
      </c>
      <c r="C3350" t="s">
        <v>4460</v>
      </c>
    </row>
    <row r="3351" spans="1:3">
      <c r="A3351" t="s">
        <v>760</v>
      </c>
      <c r="B3351" t="s">
        <v>1075</v>
      </c>
      <c r="C3351" t="s">
        <v>4459</v>
      </c>
    </row>
    <row r="3352" spans="1:3">
      <c r="A3352" t="s">
        <v>760</v>
      </c>
      <c r="B3352" t="s">
        <v>1075</v>
      </c>
      <c r="C3352" t="s">
        <v>4458</v>
      </c>
    </row>
    <row r="3353" spans="1:3">
      <c r="A3353" t="s">
        <v>760</v>
      </c>
      <c r="B3353" t="s">
        <v>1075</v>
      </c>
      <c r="C3353" t="s">
        <v>4457</v>
      </c>
    </row>
    <row r="3354" spans="1:3">
      <c r="A3354" t="s">
        <v>760</v>
      </c>
      <c r="B3354" t="s">
        <v>1075</v>
      </c>
      <c r="C3354" t="s">
        <v>4456</v>
      </c>
    </row>
    <row r="3355" spans="1:3">
      <c r="A3355" t="s">
        <v>760</v>
      </c>
      <c r="B3355" t="s">
        <v>1075</v>
      </c>
      <c r="C3355" t="s">
        <v>4455</v>
      </c>
    </row>
    <row r="3356" spans="1:3">
      <c r="A3356" t="s">
        <v>760</v>
      </c>
      <c r="B3356" t="s">
        <v>1075</v>
      </c>
      <c r="C3356" t="s">
        <v>4454</v>
      </c>
    </row>
    <row r="3357" spans="1:3">
      <c r="A3357" t="s">
        <v>760</v>
      </c>
      <c r="B3357" t="s">
        <v>1075</v>
      </c>
      <c r="C3357" t="s">
        <v>4453</v>
      </c>
    </row>
    <row r="3358" spans="1:3">
      <c r="A3358" t="s">
        <v>760</v>
      </c>
      <c r="B3358" t="s">
        <v>1075</v>
      </c>
      <c r="C3358" t="s">
        <v>4452</v>
      </c>
    </row>
    <row r="3359" spans="1:3">
      <c r="A3359" t="s">
        <v>760</v>
      </c>
      <c r="B3359" t="s">
        <v>1075</v>
      </c>
      <c r="C3359" t="s">
        <v>4451</v>
      </c>
    </row>
    <row r="3360" spans="1:3">
      <c r="A3360" t="s">
        <v>760</v>
      </c>
      <c r="B3360" t="s">
        <v>1075</v>
      </c>
      <c r="C3360" t="s">
        <v>4450</v>
      </c>
    </row>
    <row r="3361" spans="1:3">
      <c r="A3361" t="s">
        <v>760</v>
      </c>
      <c r="B3361" t="s">
        <v>1075</v>
      </c>
      <c r="C3361" t="s">
        <v>4449</v>
      </c>
    </row>
    <row r="3362" spans="1:3">
      <c r="A3362" t="s">
        <v>760</v>
      </c>
      <c r="B3362" t="s">
        <v>1075</v>
      </c>
      <c r="C3362" t="s">
        <v>4448</v>
      </c>
    </row>
    <row r="3363" spans="1:3">
      <c r="A3363" t="s">
        <v>760</v>
      </c>
      <c r="B3363" t="s">
        <v>1075</v>
      </c>
      <c r="C3363" t="s">
        <v>4447</v>
      </c>
    </row>
    <row r="3364" spans="1:3">
      <c r="A3364" t="s">
        <v>760</v>
      </c>
      <c r="B3364" t="s">
        <v>1075</v>
      </c>
      <c r="C3364" t="s">
        <v>4446</v>
      </c>
    </row>
    <row r="3365" spans="1:3">
      <c r="A3365" t="s">
        <v>760</v>
      </c>
      <c r="B3365" t="s">
        <v>1075</v>
      </c>
      <c r="C3365" t="s">
        <v>4445</v>
      </c>
    </row>
    <row r="3366" spans="1:3">
      <c r="A3366" t="s">
        <v>760</v>
      </c>
      <c r="B3366" t="s">
        <v>1075</v>
      </c>
      <c r="C3366" t="s">
        <v>4444</v>
      </c>
    </row>
    <row r="3367" spans="1:3">
      <c r="A3367" t="s">
        <v>760</v>
      </c>
      <c r="B3367" t="s">
        <v>1075</v>
      </c>
      <c r="C3367" t="s">
        <v>4443</v>
      </c>
    </row>
    <row r="3368" spans="1:3">
      <c r="A3368" t="s">
        <v>760</v>
      </c>
      <c r="B3368" t="s">
        <v>1075</v>
      </c>
      <c r="C3368" t="s">
        <v>4442</v>
      </c>
    </row>
    <row r="3369" spans="1:3">
      <c r="A3369" t="s">
        <v>760</v>
      </c>
      <c r="B3369" t="s">
        <v>1075</v>
      </c>
      <c r="C3369" t="s">
        <v>4441</v>
      </c>
    </row>
    <row r="3370" spans="1:3">
      <c r="A3370" t="s">
        <v>760</v>
      </c>
      <c r="B3370" t="s">
        <v>1075</v>
      </c>
      <c r="C3370" t="s">
        <v>4440</v>
      </c>
    </row>
    <row r="3371" spans="1:3">
      <c r="A3371" t="s">
        <v>760</v>
      </c>
      <c r="B3371" t="s">
        <v>1075</v>
      </c>
      <c r="C3371" t="s">
        <v>4439</v>
      </c>
    </row>
    <row r="3372" spans="1:3">
      <c r="A3372" t="s">
        <v>760</v>
      </c>
      <c r="B3372" t="s">
        <v>1075</v>
      </c>
      <c r="C3372" t="s">
        <v>4438</v>
      </c>
    </row>
    <row r="3373" spans="1:3">
      <c r="A3373" t="s">
        <v>760</v>
      </c>
      <c r="B3373" t="s">
        <v>1075</v>
      </c>
      <c r="C3373" t="s">
        <v>4437</v>
      </c>
    </row>
    <row r="3374" spans="1:3">
      <c r="A3374" t="s">
        <v>760</v>
      </c>
      <c r="B3374" t="s">
        <v>1075</v>
      </c>
      <c r="C3374" t="s">
        <v>4436</v>
      </c>
    </row>
    <row r="3375" spans="1:3">
      <c r="A3375" t="s">
        <v>760</v>
      </c>
      <c r="B3375" t="s">
        <v>1075</v>
      </c>
      <c r="C3375" t="s">
        <v>4435</v>
      </c>
    </row>
    <row r="3376" spans="1:3">
      <c r="A3376" t="s">
        <v>760</v>
      </c>
      <c r="B3376" t="s">
        <v>1075</v>
      </c>
      <c r="C3376" t="s">
        <v>4434</v>
      </c>
    </row>
    <row r="3377" spans="1:3">
      <c r="A3377" t="s">
        <v>760</v>
      </c>
      <c r="B3377" t="s">
        <v>1075</v>
      </c>
      <c r="C3377" t="s">
        <v>4433</v>
      </c>
    </row>
    <row r="3378" spans="1:3">
      <c r="A3378" t="s">
        <v>760</v>
      </c>
      <c r="B3378" t="s">
        <v>1075</v>
      </c>
      <c r="C3378" t="s">
        <v>4432</v>
      </c>
    </row>
    <row r="3379" spans="1:3">
      <c r="A3379" t="s">
        <v>760</v>
      </c>
      <c r="B3379" t="s">
        <v>1075</v>
      </c>
      <c r="C3379" t="s">
        <v>4431</v>
      </c>
    </row>
    <row r="3380" spans="1:3">
      <c r="A3380" t="s">
        <v>760</v>
      </c>
      <c r="B3380" t="s">
        <v>1075</v>
      </c>
      <c r="C3380" t="s">
        <v>4430</v>
      </c>
    </row>
    <row r="3381" spans="1:3">
      <c r="A3381" t="s">
        <v>760</v>
      </c>
      <c r="B3381" t="s">
        <v>1075</v>
      </c>
      <c r="C3381" t="s">
        <v>4429</v>
      </c>
    </row>
    <row r="3382" spans="1:3">
      <c r="A3382" t="s">
        <v>760</v>
      </c>
      <c r="B3382" t="s">
        <v>1075</v>
      </c>
      <c r="C3382" t="s">
        <v>4428</v>
      </c>
    </row>
    <row r="3383" spans="1:3">
      <c r="A3383" t="s">
        <v>760</v>
      </c>
      <c r="B3383" t="s">
        <v>1075</v>
      </c>
      <c r="C3383" t="s">
        <v>4427</v>
      </c>
    </row>
    <row r="3384" spans="1:3">
      <c r="A3384" t="s">
        <v>760</v>
      </c>
      <c r="B3384" t="s">
        <v>1075</v>
      </c>
      <c r="C3384" t="s">
        <v>4426</v>
      </c>
    </row>
    <row r="3385" spans="1:3">
      <c r="A3385" t="s">
        <v>760</v>
      </c>
      <c r="B3385" t="s">
        <v>1075</v>
      </c>
      <c r="C3385" t="s">
        <v>4425</v>
      </c>
    </row>
    <row r="3386" spans="1:3">
      <c r="A3386" t="s">
        <v>760</v>
      </c>
      <c r="B3386" t="s">
        <v>1075</v>
      </c>
      <c r="C3386" t="s">
        <v>4424</v>
      </c>
    </row>
    <row r="3387" spans="1:3">
      <c r="A3387" t="s">
        <v>760</v>
      </c>
      <c r="B3387" t="s">
        <v>1075</v>
      </c>
      <c r="C3387" t="s">
        <v>4423</v>
      </c>
    </row>
    <row r="3388" spans="1:3">
      <c r="A3388" t="s">
        <v>760</v>
      </c>
      <c r="B3388" t="s">
        <v>1075</v>
      </c>
      <c r="C3388" t="s">
        <v>4422</v>
      </c>
    </row>
    <row r="3389" spans="1:3">
      <c r="A3389" t="s">
        <v>760</v>
      </c>
      <c r="B3389" t="s">
        <v>1075</v>
      </c>
      <c r="C3389" t="s">
        <v>4421</v>
      </c>
    </row>
    <row r="3390" spans="1:3">
      <c r="A3390" t="s">
        <v>760</v>
      </c>
      <c r="B3390" t="s">
        <v>1075</v>
      </c>
      <c r="C3390" t="s">
        <v>4420</v>
      </c>
    </row>
    <row r="3391" spans="1:3">
      <c r="A3391" t="s">
        <v>760</v>
      </c>
      <c r="B3391" t="s">
        <v>1075</v>
      </c>
      <c r="C3391" t="s">
        <v>4419</v>
      </c>
    </row>
    <row r="3392" spans="1:3">
      <c r="A3392" t="s">
        <v>760</v>
      </c>
      <c r="B3392" t="s">
        <v>1075</v>
      </c>
      <c r="C3392" t="s">
        <v>4418</v>
      </c>
    </row>
    <row r="3393" spans="1:3">
      <c r="A3393" t="s">
        <v>760</v>
      </c>
      <c r="B3393" t="s">
        <v>1075</v>
      </c>
      <c r="C3393" t="s">
        <v>4417</v>
      </c>
    </row>
    <row r="3394" spans="1:3">
      <c r="A3394" t="s">
        <v>760</v>
      </c>
      <c r="B3394" t="s">
        <v>1075</v>
      </c>
      <c r="C3394" t="s">
        <v>4416</v>
      </c>
    </row>
    <row r="3395" spans="1:3">
      <c r="A3395" t="s">
        <v>760</v>
      </c>
      <c r="B3395" t="s">
        <v>1075</v>
      </c>
      <c r="C3395" t="s">
        <v>4415</v>
      </c>
    </row>
    <row r="3396" spans="1:3">
      <c r="A3396" t="s">
        <v>760</v>
      </c>
      <c r="B3396" t="s">
        <v>1075</v>
      </c>
      <c r="C3396" t="s">
        <v>4414</v>
      </c>
    </row>
    <row r="3397" spans="1:3">
      <c r="A3397" t="s">
        <v>760</v>
      </c>
      <c r="B3397" t="s">
        <v>1075</v>
      </c>
      <c r="C3397" t="s">
        <v>4413</v>
      </c>
    </row>
    <row r="3398" spans="1:3">
      <c r="A3398" t="s">
        <v>760</v>
      </c>
      <c r="B3398" t="s">
        <v>1075</v>
      </c>
      <c r="C3398" t="s">
        <v>4412</v>
      </c>
    </row>
    <row r="3399" spans="1:3">
      <c r="A3399" t="s">
        <v>760</v>
      </c>
      <c r="B3399" t="s">
        <v>1075</v>
      </c>
      <c r="C3399" t="s">
        <v>4411</v>
      </c>
    </row>
    <row r="3400" spans="1:3">
      <c r="A3400" t="s">
        <v>760</v>
      </c>
      <c r="B3400" t="s">
        <v>1075</v>
      </c>
      <c r="C3400" t="s">
        <v>4410</v>
      </c>
    </row>
    <row r="3401" spans="1:3">
      <c r="A3401" t="s">
        <v>760</v>
      </c>
      <c r="B3401" t="s">
        <v>1075</v>
      </c>
      <c r="C3401" t="s">
        <v>4409</v>
      </c>
    </row>
    <row r="3402" spans="1:3">
      <c r="A3402" t="s">
        <v>760</v>
      </c>
      <c r="B3402" t="s">
        <v>1075</v>
      </c>
      <c r="C3402" t="s">
        <v>4408</v>
      </c>
    </row>
    <row r="3403" spans="1:3">
      <c r="A3403" t="s">
        <v>763</v>
      </c>
      <c r="B3403" t="s">
        <v>1070</v>
      </c>
      <c r="C3403" t="s">
        <v>4309</v>
      </c>
    </row>
    <row r="3404" spans="1:3">
      <c r="A3404" t="s">
        <v>763</v>
      </c>
      <c r="B3404" t="s">
        <v>1070</v>
      </c>
      <c r="C3404" t="s">
        <v>4308</v>
      </c>
    </row>
    <row r="3405" spans="1:3">
      <c r="A3405" t="s">
        <v>763</v>
      </c>
      <c r="B3405" t="s">
        <v>1070</v>
      </c>
      <c r="C3405" t="s">
        <v>4307</v>
      </c>
    </row>
    <row r="3406" spans="1:3">
      <c r="A3406" t="s">
        <v>763</v>
      </c>
      <c r="B3406" t="s">
        <v>1070</v>
      </c>
      <c r="C3406" t="s">
        <v>4306</v>
      </c>
    </row>
    <row r="3407" spans="1:3">
      <c r="A3407" t="s">
        <v>763</v>
      </c>
      <c r="B3407" t="s">
        <v>1070</v>
      </c>
      <c r="C3407" t="s">
        <v>4305</v>
      </c>
    </row>
    <row r="3408" spans="1:3">
      <c r="A3408" t="s">
        <v>763</v>
      </c>
      <c r="B3408" t="s">
        <v>1070</v>
      </c>
      <c r="C3408" t="s">
        <v>4304</v>
      </c>
    </row>
    <row r="3409" spans="1:3">
      <c r="A3409" t="s">
        <v>763</v>
      </c>
      <c r="B3409" t="s">
        <v>1070</v>
      </c>
      <c r="C3409" t="s">
        <v>4303</v>
      </c>
    </row>
    <row r="3410" spans="1:3">
      <c r="A3410" t="s">
        <v>763</v>
      </c>
      <c r="B3410" t="s">
        <v>1070</v>
      </c>
      <c r="C3410" t="s">
        <v>4302</v>
      </c>
    </row>
    <row r="3411" spans="1:3">
      <c r="A3411" t="s">
        <v>763</v>
      </c>
      <c r="B3411" t="s">
        <v>1075</v>
      </c>
      <c r="C3411" t="s">
        <v>4398</v>
      </c>
    </row>
    <row r="3412" spans="1:3">
      <c r="A3412" t="s">
        <v>763</v>
      </c>
      <c r="B3412" t="s">
        <v>1075</v>
      </c>
      <c r="C3412" t="s">
        <v>4397</v>
      </c>
    </row>
    <row r="3413" spans="1:3">
      <c r="A3413" t="s">
        <v>763</v>
      </c>
      <c r="B3413" t="s">
        <v>1075</v>
      </c>
      <c r="C3413" t="s">
        <v>4396</v>
      </c>
    </row>
    <row r="3414" spans="1:3">
      <c r="A3414" t="s">
        <v>763</v>
      </c>
      <c r="B3414" t="s">
        <v>1075</v>
      </c>
      <c r="C3414" t="s">
        <v>4395</v>
      </c>
    </row>
    <row r="3415" spans="1:3">
      <c r="A3415" t="s">
        <v>763</v>
      </c>
      <c r="B3415" t="s">
        <v>1075</v>
      </c>
      <c r="C3415" t="s">
        <v>4394</v>
      </c>
    </row>
    <row r="3416" spans="1:3">
      <c r="A3416" t="s">
        <v>763</v>
      </c>
      <c r="B3416" t="s">
        <v>1075</v>
      </c>
      <c r="C3416" t="s">
        <v>4393</v>
      </c>
    </row>
    <row r="3417" spans="1:3">
      <c r="A3417" t="s">
        <v>763</v>
      </c>
      <c r="B3417" t="s">
        <v>1075</v>
      </c>
      <c r="C3417" t="s">
        <v>4392</v>
      </c>
    </row>
    <row r="3418" spans="1:3">
      <c r="A3418" t="s">
        <v>763</v>
      </c>
      <c r="B3418" t="s">
        <v>1075</v>
      </c>
      <c r="C3418" t="s">
        <v>4391</v>
      </c>
    </row>
    <row r="3419" spans="1:3">
      <c r="A3419" t="s">
        <v>763</v>
      </c>
      <c r="B3419" t="s">
        <v>1075</v>
      </c>
      <c r="C3419" t="s">
        <v>4390</v>
      </c>
    </row>
    <row r="3420" spans="1:3">
      <c r="A3420" t="s">
        <v>763</v>
      </c>
      <c r="B3420" t="s">
        <v>1075</v>
      </c>
      <c r="C3420" t="s">
        <v>4389</v>
      </c>
    </row>
    <row r="3421" spans="1:3">
      <c r="A3421" t="s">
        <v>763</v>
      </c>
      <c r="B3421" t="s">
        <v>1075</v>
      </c>
      <c r="C3421" t="s">
        <v>4388</v>
      </c>
    </row>
    <row r="3422" spans="1:3">
      <c r="A3422" t="s">
        <v>763</v>
      </c>
      <c r="B3422" t="s">
        <v>1075</v>
      </c>
      <c r="C3422" t="s">
        <v>4387</v>
      </c>
    </row>
    <row r="3423" spans="1:3">
      <c r="A3423" t="s">
        <v>763</v>
      </c>
      <c r="B3423" t="s">
        <v>1075</v>
      </c>
      <c r="C3423" t="s">
        <v>4386</v>
      </c>
    </row>
    <row r="3424" spans="1:3">
      <c r="A3424" t="s">
        <v>763</v>
      </c>
      <c r="B3424" t="s">
        <v>1075</v>
      </c>
      <c r="C3424" t="s">
        <v>4385</v>
      </c>
    </row>
    <row r="3425" spans="1:3">
      <c r="A3425" t="s">
        <v>763</v>
      </c>
      <c r="B3425" t="s">
        <v>1075</v>
      </c>
      <c r="C3425" t="s">
        <v>4384</v>
      </c>
    </row>
    <row r="3426" spans="1:3">
      <c r="A3426" t="s">
        <v>763</v>
      </c>
      <c r="B3426" t="s">
        <v>1075</v>
      </c>
      <c r="C3426" t="s">
        <v>4383</v>
      </c>
    </row>
    <row r="3427" spans="1:3">
      <c r="A3427" t="s">
        <v>763</v>
      </c>
      <c r="B3427" t="s">
        <v>1075</v>
      </c>
      <c r="C3427" t="s">
        <v>4382</v>
      </c>
    </row>
    <row r="3428" spans="1:3">
      <c r="A3428" t="s">
        <v>763</v>
      </c>
      <c r="B3428" t="s">
        <v>1075</v>
      </c>
      <c r="C3428" t="s">
        <v>4381</v>
      </c>
    </row>
    <row r="3429" spans="1:3">
      <c r="A3429" t="s">
        <v>763</v>
      </c>
      <c r="B3429" t="s">
        <v>1075</v>
      </c>
      <c r="C3429" t="s">
        <v>4380</v>
      </c>
    </row>
    <row r="3430" spans="1:3">
      <c r="A3430" t="s">
        <v>763</v>
      </c>
      <c r="B3430" t="s">
        <v>1075</v>
      </c>
      <c r="C3430" t="s">
        <v>4379</v>
      </c>
    </row>
    <row r="3431" spans="1:3">
      <c r="A3431" t="s">
        <v>763</v>
      </c>
      <c r="B3431" t="s">
        <v>1075</v>
      </c>
      <c r="C3431" t="s">
        <v>4378</v>
      </c>
    </row>
    <row r="3432" spans="1:3">
      <c r="A3432" t="s">
        <v>763</v>
      </c>
      <c r="B3432" t="s">
        <v>1075</v>
      </c>
      <c r="C3432" t="s">
        <v>4377</v>
      </c>
    </row>
    <row r="3433" spans="1:3">
      <c r="A3433" t="s">
        <v>763</v>
      </c>
      <c r="B3433" t="s">
        <v>1075</v>
      </c>
      <c r="C3433" t="s">
        <v>4376</v>
      </c>
    </row>
    <row r="3434" spans="1:3">
      <c r="A3434" t="s">
        <v>763</v>
      </c>
      <c r="B3434" t="s">
        <v>1075</v>
      </c>
      <c r="C3434" t="s">
        <v>4375</v>
      </c>
    </row>
    <row r="3435" spans="1:3">
      <c r="A3435" t="s">
        <v>763</v>
      </c>
      <c r="B3435" t="s">
        <v>1075</v>
      </c>
      <c r="C3435" t="s">
        <v>4374</v>
      </c>
    </row>
    <row r="3436" spans="1:3">
      <c r="A3436" t="s">
        <v>763</v>
      </c>
      <c r="B3436" t="s">
        <v>1075</v>
      </c>
      <c r="C3436" t="s">
        <v>4373</v>
      </c>
    </row>
    <row r="3437" spans="1:3">
      <c r="A3437" t="s">
        <v>763</v>
      </c>
      <c r="B3437" t="s">
        <v>1075</v>
      </c>
      <c r="C3437" t="s">
        <v>4372</v>
      </c>
    </row>
    <row r="3438" spans="1:3">
      <c r="A3438" t="s">
        <v>763</v>
      </c>
      <c r="B3438" t="s">
        <v>1075</v>
      </c>
      <c r="C3438" t="s">
        <v>4371</v>
      </c>
    </row>
    <row r="3439" spans="1:3">
      <c r="A3439" t="s">
        <v>763</v>
      </c>
      <c r="B3439" t="s">
        <v>1075</v>
      </c>
      <c r="C3439" t="s">
        <v>4370</v>
      </c>
    </row>
    <row r="3440" spans="1:3">
      <c r="A3440" t="s">
        <v>763</v>
      </c>
      <c r="B3440" t="s">
        <v>1075</v>
      </c>
      <c r="C3440" t="s">
        <v>4369</v>
      </c>
    </row>
    <row r="3441" spans="1:3">
      <c r="A3441" t="s">
        <v>763</v>
      </c>
      <c r="B3441" t="s">
        <v>1075</v>
      </c>
      <c r="C3441" t="s">
        <v>4368</v>
      </c>
    </row>
    <row r="3442" spans="1:3">
      <c r="A3442" t="s">
        <v>763</v>
      </c>
      <c r="B3442" t="s">
        <v>1075</v>
      </c>
      <c r="C3442" t="s">
        <v>4367</v>
      </c>
    </row>
    <row r="3443" spans="1:3">
      <c r="A3443" t="s">
        <v>763</v>
      </c>
      <c r="B3443" t="s">
        <v>1075</v>
      </c>
      <c r="C3443" t="s">
        <v>4366</v>
      </c>
    </row>
    <row r="3444" spans="1:3">
      <c r="A3444" t="s">
        <v>763</v>
      </c>
      <c r="B3444" t="s">
        <v>1075</v>
      </c>
      <c r="C3444" t="s">
        <v>4365</v>
      </c>
    </row>
    <row r="3445" spans="1:3">
      <c r="A3445" t="s">
        <v>763</v>
      </c>
      <c r="B3445" t="s">
        <v>1075</v>
      </c>
      <c r="C3445" t="s">
        <v>4364</v>
      </c>
    </row>
    <row r="3446" spans="1:3">
      <c r="A3446" t="s">
        <v>763</v>
      </c>
      <c r="B3446" t="s">
        <v>1075</v>
      </c>
      <c r="C3446" t="s">
        <v>4363</v>
      </c>
    </row>
    <row r="3447" spans="1:3">
      <c r="A3447" t="s">
        <v>763</v>
      </c>
      <c r="B3447" t="s">
        <v>1075</v>
      </c>
      <c r="C3447" t="s">
        <v>4362</v>
      </c>
    </row>
    <row r="3448" spans="1:3">
      <c r="A3448" t="s">
        <v>763</v>
      </c>
      <c r="B3448" t="s">
        <v>1075</v>
      </c>
      <c r="C3448" t="s">
        <v>4361</v>
      </c>
    </row>
    <row r="3449" spans="1:3">
      <c r="A3449" t="s">
        <v>763</v>
      </c>
      <c r="B3449" t="s">
        <v>1075</v>
      </c>
      <c r="C3449" t="s">
        <v>4360</v>
      </c>
    </row>
    <row r="3450" spans="1:3">
      <c r="A3450" t="s">
        <v>763</v>
      </c>
      <c r="B3450" t="s">
        <v>1075</v>
      </c>
      <c r="C3450" t="s">
        <v>4359</v>
      </c>
    </row>
    <row r="3451" spans="1:3">
      <c r="A3451" t="s">
        <v>763</v>
      </c>
      <c r="B3451" t="s">
        <v>1075</v>
      </c>
      <c r="C3451" t="s">
        <v>4358</v>
      </c>
    </row>
    <row r="3452" spans="1:3">
      <c r="A3452" t="s">
        <v>763</v>
      </c>
      <c r="B3452" t="s">
        <v>1075</v>
      </c>
      <c r="C3452" t="s">
        <v>4357</v>
      </c>
    </row>
    <row r="3453" spans="1:3">
      <c r="A3453" t="s">
        <v>763</v>
      </c>
      <c r="B3453" t="s">
        <v>1075</v>
      </c>
      <c r="C3453" t="s">
        <v>4356</v>
      </c>
    </row>
    <row r="3454" spans="1:3">
      <c r="A3454" t="s">
        <v>763</v>
      </c>
      <c r="B3454" t="s">
        <v>1075</v>
      </c>
      <c r="C3454" t="s">
        <v>4355</v>
      </c>
    </row>
    <row r="3455" spans="1:3">
      <c r="A3455" t="s">
        <v>763</v>
      </c>
      <c r="B3455" t="s">
        <v>1075</v>
      </c>
      <c r="C3455" t="s">
        <v>4354</v>
      </c>
    </row>
    <row r="3456" spans="1:3">
      <c r="A3456" t="s">
        <v>763</v>
      </c>
      <c r="B3456" t="s">
        <v>1075</v>
      </c>
      <c r="C3456" t="s">
        <v>4353</v>
      </c>
    </row>
    <row r="3457" spans="1:3">
      <c r="A3457" t="s">
        <v>763</v>
      </c>
      <c r="B3457" t="s">
        <v>1075</v>
      </c>
      <c r="C3457" t="s">
        <v>4352</v>
      </c>
    </row>
    <row r="3458" spans="1:3">
      <c r="A3458" t="s">
        <v>763</v>
      </c>
      <c r="B3458" t="s">
        <v>1075</v>
      </c>
      <c r="C3458" t="s">
        <v>4351</v>
      </c>
    </row>
    <row r="3459" spans="1:3">
      <c r="A3459" t="s">
        <v>763</v>
      </c>
      <c r="B3459" t="s">
        <v>1075</v>
      </c>
      <c r="C3459" t="s">
        <v>4350</v>
      </c>
    </row>
    <row r="3460" spans="1:3">
      <c r="A3460" t="s">
        <v>763</v>
      </c>
      <c r="B3460" t="s">
        <v>1075</v>
      </c>
      <c r="C3460" t="s">
        <v>4349</v>
      </c>
    </row>
    <row r="3461" spans="1:3">
      <c r="A3461" t="s">
        <v>763</v>
      </c>
      <c r="B3461" t="s">
        <v>1075</v>
      </c>
      <c r="C3461" t="s">
        <v>4348</v>
      </c>
    </row>
    <row r="3462" spans="1:3">
      <c r="A3462" t="s">
        <v>763</v>
      </c>
      <c r="B3462" t="s">
        <v>1075</v>
      </c>
      <c r="C3462" t="s">
        <v>4347</v>
      </c>
    </row>
    <row r="3463" spans="1:3">
      <c r="A3463" t="s">
        <v>763</v>
      </c>
      <c r="B3463" t="s">
        <v>1075</v>
      </c>
      <c r="C3463" t="s">
        <v>4346</v>
      </c>
    </row>
    <row r="3464" spans="1:3">
      <c r="A3464" t="s">
        <v>763</v>
      </c>
      <c r="B3464" t="s">
        <v>1075</v>
      </c>
      <c r="C3464" t="s">
        <v>4345</v>
      </c>
    </row>
    <row r="3465" spans="1:3">
      <c r="A3465" t="s">
        <v>763</v>
      </c>
      <c r="B3465" t="s">
        <v>1075</v>
      </c>
      <c r="C3465" t="s">
        <v>4344</v>
      </c>
    </row>
    <row r="3466" spans="1:3">
      <c r="A3466" t="s">
        <v>763</v>
      </c>
      <c r="B3466" t="s">
        <v>1075</v>
      </c>
      <c r="C3466" t="s">
        <v>4343</v>
      </c>
    </row>
    <row r="3467" spans="1:3">
      <c r="A3467" t="s">
        <v>763</v>
      </c>
      <c r="B3467" t="s">
        <v>1075</v>
      </c>
      <c r="C3467" t="s">
        <v>4342</v>
      </c>
    </row>
    <row r="3468" spans="1:3">
      <c r="A3468" t="s">
        <v>763</v>
      </c>
      <c r="B3468" t="s">
        <v>1075</v>
      </c>
      <c r="C3468" t="s">
        <v>4341</v>
      </c>
    </row>
    <row r="3469" spans="1:3">
      <c r="A3469" t="s">
        <v>763</v>
      </c>
      <c r="B3469" t="s">
        <v>1075</v>
      </c>
      <c r="C3469" t="s">
        <v>4340</v>
      </c>
    </row>
    <row r="3470" spans="1:3">
      <c r="A3470" t="s">
        <v>763</v>
      </c>
      <c r="B3470" t="s">
        <v>1075</v>
      </c>
      <c r="C3470" t="s">
        <v>4339</v>
      </c>
    </row>
    <row r="3471" spans="1:3">
      <c r="A3471" t="s">
        <v>763</v>
      </c>
      <c r="B3471" t="s">
        <v>1075</v>
      </c>
      <c r="C3471" t="s">
        <v>4338</v>
      </c>
    </row>
    <row r="3472" spans="1:3">
      <c r="A3472" t="s">
        <v>763</v>
      </c>
      <c r="B3472" t="s">
        <v>1075</v>
      </c>
      <c r="C3472" t="s">
        <v>4337</v>
      </c>
    </row>
    <row r="3473" spans="1:3">
      <c r="A3473" t="s">
        <v>763</v>
      </c>
      <c r="B3473" t="s">
        <v>1075</v>
      </c>
      <c r="C3473" t="s">
        <v>4336</v>
      </c>
    </row>
    <row r="3474" spans="1:3">
      <c r="A3474" t="s">
        <v>763</v>
      </c>
      <c r="B3474" t="s">
        <v>1075</v>
      </c>
      <c r="C3474" t="s">
        <v>4335</v>
      </c>
    </row>
    <row r="3475" spans="1:3">
      <c r="A3475" t="s">
        <v>763</v>
      </c>
      <c r="B3475" t="s">
        <v>1075</v>
      </c>
      <c r="C3475" t="s">
        <v>4334</v>
      </c>
    </row>
    <row r="3476" spans="1:3">
      <c r="A3476" t="s">
        <v>763</v>
      </c>
      <c r="B3476" t="s">
        <v>1075</v>
      </c>
      <c r="C3476" t="s">
        <v>4333</v>
      </c>
    </row>
    <row r="3477" spans="1:3">
      <c r="A3477" t="s">
        <v>763</v>
      </c>
      <c r="B3477" t="s">
        <v>1075</v>
      </c>
      <c r="C3477" t="s">
        <v>4332</v>
      </c>
    </row>
    <row r="3478" spans="1:3">
      <c r="A3478" t="s">
        <v>763</v>
      </c>
      <c r="B3478" t="s">
        <v>1075</v>
      </c>
      <c r="C3478" t="s">
        <v>4331</v>
      </c>
    </row>
    <row r="3479" spans="1:3">
      <c r="A3479" t="s">
        <v>763</v>
      </c>
      <c r="B3479" t="s">
        <v>1075</v>
      </c>
      <c r="C3479" t="s">
        <v>4330</v>
      </c>
    </row>
    <row r="3480" spans="1:3">
      <c r="A3480" t="s">
        <v>763</v>
      </c>
      <c r="B3480" t="s">
        <v>1075</v>
      </c>
      <c r="C3480" t="s">
        <v>4329</v>
      </c>
    </row>
    <row r="3481" spans="1:3">
      <c r="A3481" t="s">
        <v>763</v>
      </c>
      <c r="B3481" t="s">
        <v>1075</v>
      </c>
      <c r="C3481" t="s">
        <v>4328</v>
      </c>
    </row>
    <row r="3482" spans="1:3">
      <c r="A3482" t="s">
        <v>763</v>
      </c>
      <c r="B3482" t="s">
        <v>1075</v>
      </c>
      <c r="C3482" t="s">
        <v>4327</v>
      </c>
    </row>
    <row r="3483" spans="1:3">
      <c r="A3483" t="s">
        <v>763</v>
      </c>
      <c r="B3483" t="s">
        <v>1075</v>
      </c>
      <c r="C3483" t="s">
        <v>4326</v>
      </c>
    </row>
    <row r="3484" spans="1:3">
      <c r="A3484" t="s">
        <v>763</v>
      </c>
      <c r="B3484" t="s">
        <v>1075</v>
      </c>
      <c r="C3484" t="s">
        <v>4325</v>
      </c>
    </row>
    <row r="3485" spans="1:3">
      <c r="A3485" t="s">
        <v>763</v>
      </c>
      <c r="B3485" t="s">
        <v>1075</v>
      </c>
      <c r="C3485" t="s">
        <v>4324</v>
      </c>
    </row>
    <row r="3486" spans="1:3">
      <c r="A3486" t="s">
        <v>763</v>
      </c>
      <c r="B3486" t="s">
        <v>1075</v>
      </c>
      <c r="C3486" t="s">
        <v>4323</v>
      </c>
    </row>
    <row r="3487" spans="1:3">
      <c r="A3487" t="s">
        <v>763</v>
      </c>
      <c r="B3487" t="s">
        <v>1075</v>
      </c>
      <c r="C3487" t="s">
        <v>4322</v>
      </c>
    </row>
    <row r="3488" spans="1:3">
      <c r="A3488" t="s">
        <v>763</v>
      </c>
      <c r="B3488" t="s">
        <v>1075</v>
      </c>
      <c r="C3488" t="s">
        <v>4321</v>
      </c>
    </row>
    <row r="3489" spans="1:3">
      <c r="A3489" t="s">
        <v>763</v>
      </c>
      <c r="B3489" t="s">
        <v>1075</v>
      </c>
      <c r="C3489" t="s">
        <v>4320</v>
      </c>
    </row>
    <row r="3490" spans="1:3">
      <c r="A3490" t="s">
        <v>763</v>
      </c>
      <c r="B3490" t="s">
        <v>1075</v>
      </c>
      <c r="C3490" t="s">
        <v>4319</v>
      </c>
    </row>
    <row r="3491" spans="1:3">
      <c r="A3491" t="s">
        <v>763</v>
      </c>
      <c r="B3491" t="s">
        <v>1075</v>
      </c>
      <c r="C3491" t="s">
        <v>4318</v>
      </c>
    </row>
    <row r="3492" spans="1:3">
      <c r="A3492" t="s">
        <v>763</v>
      </c>
      <c r="B3492" t="s">
        <v>1075</v>
      </c>
      <c r="C3492" t="s">
        <v>4317</v>
      </c>
    </row>
    <row r="3493" spans="1:3">
      <c r="A3493" t="s">
        <v>763</v>
      </c>
      <c r="B3493" t="s">
        <v>1075</v>
      </c>
      <c r="C3493" t="s">
        <v>4316</v>
      </c>
    </row>
    <row r="3494" spans="1:3">
      <c r="A3494" t="s">
        <v>763</v>
      </c>
      <c r="B3494" t="s">
        <v>1075</v>
      </c>
      <c r="C3494" t="s">
        <v>4315</v>
      </c>
    </row>
    <row r="3495" spans="1:3">
      <c r="A3495" t="s">
        <v>763</v>
      </c>
      <c r="B3495" t="s">
        <v>1075</v>
      </c>
      <c r="C3495" t="s">
        <v>4314</v>
      </c>
    </row>
    <row r="3496" spans="1:3">
      <c r="A3496" t="s">
        <v>763</v>
      </c>
      <c r="B3496" t="s">
        <v>1075</v>
      </c>
      <c r="C3496" t="s">
        <v>4313</v>
      </c>
    </row>
    <row r="3497" spans="1:3">
      <c r="A3497" t="s">
        <v>763</v>
      </c>
      <c r="B3497" t="s">
        <v>1075</v>
      </c>
      <c r="C3497" t="s">
        <v>4312</v>
      </c>
    </row>
    <row r="3498" spans="1:3">
      <c r="A3498" t="s">
        <v>763</v>
      </c>
      <c r="B3498" t="s">
        <v>1075</v>
      </c>
      <c r="C3498" t="s">
        <v>4311</v>
      </c>
    </row>
    <row r="3499" spans="1:3">
      <c r="A3499" t="s">
        <v>763</v>
      </c>
      <c r="B3499" t="s">
        <v>1075</v>
      </c>
      <c r="C3499" t="s">
        <v>4310</v>
      </c>
    </row>
    <row r="3500" spans="1:3">
      <c r="A3500" t="s">
        <v>762</v>
      </c>
      <c r="B3500" t="s">
        <v>1070</v>
      </c>
      <c r="C3500" t="s">
        <v>4276</v>
      </c>
    </row>
    <row r="3501" spans="1:3">
      <c r="A3501" t="s">
        <v>762</v>
      </c>
      <c r="B3501" t="s">
        <v>1070</v>
      </c>
      <c r="C3501" t="s">
        <v>4275</v>
      </c>
    </row>
    <row r="3502" spans="1:3">
      <c r="A3502" t="s">
        <v>762</v>
      </c>
      <c r="B3502" t="s">
        <v>1070</v>
      </c>
      <c r="C3502" t="s">
        <v>4274</v>
      </c>
    </row>
    <row r="3503" spans="1:3">
      <c r="A3503" t="s">
        <v>762</v>
      </c>
      <c r="B3503" t="s">
        <v>1070</v>
      </c>
      <c r="C3503" t="s">
        <v>4273</v>
      </c>
    </row>
    <row r="3504" spans="1:3">
      <c r="A3504" t="s">
        <v>762</v>
      </c>
      <c r="B3504" t="s">
        <v>1075</v>
      </c>
      <c r="C3504" t="s">
        <v>4301</v>
      </c>
    </row>
    <row r="3505" spans="1:3">
      <c r="A3505" t="s">
        <v>762</v>
      </c>
      <c r="B3505" t="s">
        <v>1075</v>
      </c>
      <c r="C3505" t="s">
        <v>4300</v>
      </c>
    </row>
    <row r="3506" spans="1:3">
      <c r="A3506" t="s">
        <v>762</v>
      </c>
      <c r="B3506" t="s">
        <v>1075</v>
      </c>
      <c r="C3506" t="s">
        <v>4299</v>
      </c>
    </row>
    <row r="3507" spans="1:3">
      <c r="A3507" t="s">
        <v>762</v>
      </c>
      <c r="B3507" t="s">
        <v>1075</v>
      </c>
      <c r="C3507" t="s">
        <v>4298</v>
      </c>
    </row>
    <row r="3508" spans="1:3">
      <c r="A3508" t="s">
        <v>762</v>
      </c>
      <c r="B3508" t="s">
        <v>1075</v>
      </c>
      <c r="C3508" t="s">
        <v>4297</v>
      </c>
    </row>
    <row r="3509" spans="1:3">
      <c r="A3509" t="s">
        <v>762</v>
      </c>
      <c r="B3509" t="s">
        <v>1075</v>
      </c>
      <c r="C3509" t="s">
        <v>4296</v>
      </c>
    </row>
    <row r="3510" spans="1:3">
      <c r="A3510" t="s">
        <v>762</v>
      </c>
      <c r="B3510" t="s">
        <v>1075</v>
      </c>
      <c r="C3510" t="s">
        <v>4295</v>
      </c>
    </row>
    <row r="3511" spans="1:3">
      <c r="A3511" t="s">
        <v>762</v>
      </c>
      <c r="B3511" t="s">
        <v>1075</v>
      </c>
      <c r="C3511" t="s">
        <v>4294</v>
      </c>
    </row>
    <row r="3512" spans="1:3">
      <c r="A3512" t="s">
        <v>762</v>
      </c>
      <c r="B3512" t="s">
        <v>1075</v>
      </c>
      <c r="C3512" t="s">
        <v>4293</v>
      </c>
    </row>
    <row r="3513" spans="1:3">
      <c r="A3513" t="s">
        <v>762</v>
      </c>
      <c r="B3513" t="s">
        <v>1075</v>
      </c>
      <c r="C3513" t="s">
        <v>4292</v>
      </c>
    </row>
    <row r="3514" spans="1:3">
      <c r="A3514" t="s">
        <v>762</v>
      </c>
      <c r="B3514" t="s">
        <v>1075</v>
      </c>
      <c r="C3514" t="s">
        <v>4291</v>
      </c>
    </row>
    <row r="3515" spans="1:3">
      <c r="A3515" t="s">
        <v>762</v>
      </c>
      <c r="B3515" t="s">
        <v>1075</v>
      </c>
      <c r="C3515" t="s">
        <v>4290</v>
      </c>
    </row>
    <row r="3516" spans="1:3">
      <c r="A3516" t="s">
        <v>762</v>
      </c>
      <c r="B3516" t="s">
        <v>1075</v>
      </c>
      <c r="C3516" t="s">
        <v>4289</v>
      </c>
    </row>
    <row r="3517" spans="1:3">
      <c r="A3517" t="s">
        <v>762</v>
      </c>
      <c r="B3517" t="s">
        <v>1075</v>
      </c>
      <c r="C3517" t="s">
        <v>4288</v>
      </c>
    </row>
    <row r="3518" spans="1:3">
      <c r="A3518" t="s">
        <v>762</v>
      </c>
      <c r="B3518" t="s">
        <v>1075</v>
      </c>
      <c r="C3518" t="s">
        <v>4287</v>
      </c>
    </row>
    <row r="3519" spans="1:3">
      <c r="A3519" t="s">
        <v>762</v>
      </c>
      <c r="B3519" t="s">
        <v>1075</v>
      </c>
      <c r="C3519" t="s">
        <v>4286</v>
      </c>
    </row>
    <row r="3520" spans="1:3">
      <c r="A3520" t="s">
        <v>762</v>
      </c>
      <c r="B3520" t="s">
        <v>1075</v>
      </c>
      <c r="C3520" t="s">
        <v>4285</v>
      </c>
    </row>
    <row r="3521" spans="1:3">
      <c r="A3521" t="s">
        <v>762</v>
      </c>
      <c r="B3521" t="s">
        <v>1075</v>
      </c>
      <c r="C3521" t="s">
        <v>4284</v>
      </c>
    </row>
    <row r="3522" spans="1:3">
      <c r="A3522" t="s">
        <v>762</v>
      </c>
      <c r="B3522" t="s">
        <v>1075</v>
      </c>
      <c r="C3522" t="s">
        <v>4283</v>
      </c>
    </row>
    <row r="3523" spans="1:3">
      <c r="A3523" t="s">
        <v>762</v>
      </c>
      <c r="B3523" t="s">
        <v>1075</v>
      </c>
      <c r="C3523" t="s">
        <v>4282</v>
      </c>
    </row>
    <row r="3524" spans="1:3">
      <c r="A3524" t="s">
        <v>762</v>
      </c>
      <c r="B3524" t="s">
        <v>1075</v>
      </c>
      <c r="C3524" t="s">
        <v>4281</v>
      </c>
    </row>
    <row r="3525" spans="1:3">
      <c r="A3525" t="s">
        <v>762</v>
      </c>
      <c r="B3525" t="s">
        <v>1075</v>
      </c>
      <c r="C3525" t="s">
        <v>4280</v>
      </c>
    </row>
    <row r="3526" spans="1:3">
      <c r="A3526" t="s">
        <v>762</v>
      </c>
      <c r="B3526" t="s">
        <v>1075</v>
      </c>
      <c r="C3526" t="s">
        <v>4279</v>
      </c>
    </row>
    <row r="3527" spans="1:3">
      <c r="A3527" t="s">
        <v>762</v>
      </c>
      <c r="B3527" t="s">
        <v>1075</v>
      </c>
      <c r="C3527" t="s">
        <v>4278</v>
      </c>
    </row>
    <row r="3528" spans="1:3">
      <c r="A3528" t="s">
        <v>762</v>
      </c>
      <c r="B3528" t="s">
        <v>1075</v>
      </c>
      <c r="C3528" t="s">
        <v>4277</v>
      </c>
    </row>
    <row r="3529" spans="1:3">
      <c r="A3529" t="s">
        <v>836</v>
      </c>
      <c r="B3529" t="s">
        <v>1070</v>
      </c>
      <c r="C3529" t="s">
        <v>4223</v>
      </c>
    </row>
    <row r="3530" spans="1:3">
      <c r="A3530" t="s">
        <v>836</v>
      </c>
      <c r="B3530" t="s">
        <v>1070</v>
      </c>
      <c r="C3530" t="s">
        <v>4222</v>
      </c>
    </row>
    <row r="3531" spans="1:3">
      <c r="A3531" t="s">
        <v>836</v>
      </c>
      <c r="B3531" t="s">
        <v>1070</v>
      </c>
      <c r="C3531" t="s">
        <v>4221</v>
      </c>
    </row>
    <row r="3532" spans="1:3">
      <c r="A3532" t="s">
        <v>836</v>
      </c>
      <c r="B3532" t="s">
        <v>1070</v>
      </c>
      <c r="C3532" t="s">
        <v>4220</v>
      </c>
    </row>
    <row r="3533" spans="1:3">
      <c r="A3533" t="s">
        <v>836</v>
      </c>
      <c r="B3533" t="s">
        <v>1070</v>
      </c>
      <c r="C3533" t="s">
        <v>4219</v>
      </c>
    </row>
    <row r="3534" spans="1:3">
      <c r="A3534" t="s">
        <v>836</v>
      </c>
      <c r="B3534" t="s">
        <v>1070</v>
      </c>
      <c r="C3534" t="s">
        <v>4218</v>
      </c>
    </row>
    <row r="3535" spans="1:3">
      <c r="A3535" t="s">
        <v>836</v>
      </c>
      <c r="B3535" t="s">
        <v>1075</v>
      </c>
      <c r="C3535" t="s">
        <v>4272</v>
      </c>
    </row>
    <row r="3536" spans="1:3">
      <c r="A3536" t="s">
        <v>836</v>
      </c>
      <c r="B3536" t="s">
        <v>1075</v>
      </c>
      <c r="C3536" t="s">
        <v>4271</v>
      </c>
    </row>
    <row r="3537" spans="1:3">
      <c r="A3537" t="s">
        <v>836</v>
      </c>
      <c r="B3537" t="s">
        <v>1075</v>
      </c>
      <c r="C3537" t="s">
        <v>4270</v>
      </c>
    </row>
    <row r="3538" spans="1:3">
      <c r="A3538" t="s">
        <v>836</v>
      </c>
      <c r="B3538" t="s">
        <v>1075</v>
      </c>
      <c r="C3538" t="s">
        <v>4269</v>
      </c>
    </row>
    <row r="3539" spans="1:3">
      <c r="A3539" t="s">
        <v>836</v>
      </c>
      <c r="B3539" t="s">
        <v>1075</v>
      </c>
      <c r="C3539" t="s">
        <v>4268</v>
      </c>
    </row>
    <row r="3540" spans="1:3">
      <c r="A3540" t="s">
        <v>836</v>
      </c>
      <c r="B3540" t="s">
        <v>1075</v>
      </c>
      <c r="C3540" t="s">
        <v>4267</v>
      </c>
    </row>
    <row r="3541" spans="1:3">
      <c r="A3541" t="s">
        <v>836</v>
      </c>
      <c r="B3541" t="s">
        <v>1075</v>
      </c>
      <c r="C3541" t="s">
        <v>4266</v>
      </c>
    </row>
    <row r="3542" spans="1:3">
      <c r="A3542" t="s">
        <v>836</v>
      </c>
      <c r="B3542" t="s">
        <v>1075</v>
      </c>
      <c r="C3542" t="s">
        <v>4265</v>
      </c>
    </row>
    <row r="3543" spans="1:3">
      <c r="A3543" t="s">
        <v>836</v>
      </c>
      <c r="B3543" t="s">
        <v>1075</v>
      </c>
      <c r="C3543" t="s">
        <v>4264</v>
      </c>
    </row>
    <row r="3544" spans="1:3">
      <c r="A3544" t="s">
        <v>836</v>
      </c>
      <c r="B3544" t="s">
        <v>1075</v>
      </c>
      <c r="C3544" t="s">
        <v>4263</v>
      </c>
    </row>
    <row r="3545" spans="1:3">
      <c r="A3545" t="s">
        <v>836</v>
      </c>
      <c r="B3545" t="s">
        <v>1075</v>
      </c>
      <c r="C3545" t="s">
        <v>4262</v>
      </c>
    </row>
    <row r="3546" spans="1:3">
      <c r="A3546" t="s">
        <v>836</v>
      </c>
      <c r="B3546" t="s">
        <v>1075</v>
      </c>
      <c r="C3546" t="s">
        <v>4261</v>
      </c>
    </row>
    <row r="3547" spans="1:3">
      <c r="A3547" t="s">
        <v>836</v>
      </c>
      <c r="B3547" t="s">
        <v>1075</v>
      </c>
      <c r="C3547" t="s">
        <v>4260</v>
      </c>
    </row>
    <row r="3548" spans="1:3">
      <c r="A3548" t="s">
        <v>836</v>
      </c>
      <c r="B3548" t="s">
        <v>1075</v>
      </c>
      <c r="C3548" t="s">
        <v>4259</v>
      </c>
    </row>
    <row r="3549" spans="1:3">
      <c r="A3549" t="s">
        <v>836</v>
      </c>
      <c r="B3549" t="s">
        <v>1075</v>
      </c>
      <c r="C3549" t="s">
        <v>4258</v>
      </c>
    </row>
    <row r="3550" spans="1:3">
      <c r="A3550" t="s">
        <v>836</v>
      </c>
      <c r="B3550" t="s">
        <v>1075</v>
      </c>
      <c r="C3550" t="s">
        <v>4257</v>
      </c>
    </row>
    <row r="3551" spans="1:3">
      <c r="A3551" t="s">
        <v>836</v>
      </c>
      <c r="B3551" t="s">
        <v>1075</v>
      </c>
      <c r="C3551" t="s">
        <v>4256</v>
      </c>
    </row>
    <row r="3552" spans="1:3">
      <c r="A3552" t="s">
        <v>836</v>
      </c>
      <c r="B3552" t="s">
        <v>1075</v>
      </c>
      <c r="C3552" t="s">
        <v>4255</v>
      </c>
    </row>
    <row r="3553" spans="1:3">
      <c r="A3553" t="s">
        <v>836</v>
      </c>
      <c r="B3553" t="s">
        <v>1075</v>
      </c>
      <c r="C3553" t="s">
        <v>4254</v>
      </c>
    </row>
    <row r="3554" spans="1:3">
      <c r="A3554" t="s">
        <v>836</v>
      </c>
      <c r="B3554" t="s">
        <v>1075</v>
      </c>
      <c r="C3554" t="s">
        <v>4253</v>
      </c>
    </row>
    <row r="3555" spans="1:3">
      <c r="A3555" t="s">
        <v>836</v>
      </c>
      <c r="B3555" t="s">
        <v>1075</v>
      </c>
      <c r="C3555" t="s">
        <v>4252</v>
      </c>
    </row>
    <row r="3556" spans="1:3">
      <c r="A3556" t="s">
        <v>836</v>
      </c>
      <c r="B3556" t="s">
        <v>1075</v>
      </c>
      <c r="C3556" t="s">
        <v>4251</v>
      </c>
    </row>
    <row r="3557" spans="1:3">
      <c r="A3557" t="s">
        <v>836</v>
      </c>
      <c r="B3557" t="s">
        <v>1075</v>
      </c>
      <c r="C3557" t="s">
        <v>4250</v>
      </c>
    </row>
    <row r="3558" spans="1:3">
      <c r="A3558" t="s">
        <v>836</v>
      </c>
      <c r="B3558" t="s">
        <v>1075</v>
      </c>
      <c r="C3558" t="s">
        <v>4249</v>
      </c>
    </row>
    <row r="3559" spans="1:3">
      <c r="A3559" t="s">
        <v>836</v>
      </c>
      <c r="B3559" t="s">
        <v>1075</v>
      </c>
      <c r="C3559" t="s">
        <v>4248</v>
      </c>
    </row>
    <row r="3560" spans="1:3">
      <c r="A3560" t="s">
        <v>836</v>
      </c>
      <c r="B3560" t="s">
        <v>1075</v>
      </c>
      <c r="C3560" t="s">
        <v>4247</v>
      </c>
    </row>
    <row r="3561" spans="1:3">
      <c r="A3561" t="s">
        <v>836</v>
      </c>
      <c r="B3561" t="s">
        <v>1075</v>
      </c>
      <c r="C3561" t="s">
        <v>4246</v>
      </c>
    </row>
    <row r="3562" spans="1:3">
      <c r="A3562" t="s">
        <v>836</v>
      </c>
      <c r="B3562" t="s">
        <v>1075</v>
      </c>
      <c r="C3562" t="s">
        <v>4245</v>
      </c>
    </row>
    <row r="3563" spans="1:3">
      <c r="A3563" t="s">
        <v>836</v>
      </c>
      <c r="B3563" t="s">
        <v>1075</v>
      </c>
      <c r="C3563" t="s">
        <v>4244</v>
      </c>
    </row>
    <row r="3564" spans="1:3">
      <c r="A3564" t="s">
        <v>836</v>
      </c>
      <c r="B3564" t="s">
        <v>1075</v>
      </c>
      <c r="C3564" t="s">
        <v>4243</v>
      </c>
    </row>
    <row r="3565" spans="1:3">
      <c r="A3565" t="s">
        <v>836</v>
      </c>
      <c r="B3565" t="s">
        <v>1075</v>
      </c>
      <c r="C3565" t="s">
        <v>4242</v>
      </c>
    </row>
    <row r="3566" spans="1:3">
      <c r="A3566" t="s">
        <v>836</v>
      </c>
      <c r="B3566" t="s">
        <v>1075</v>
      </c>
      <c r="C3566" t="s">
        <v>4241</v>
      </c>
    </row>
    <row r="3567" spans="1:3">
      <c r="A3567" t="s">
        <v>836</v>
      </c>
      <c r="B3567" t="s">
        <v>1075</v>
      </c>
      <c r="C3567" t="s">
        <v>4240</v>
      </c>
    </row>
    <row r="3568" spans="1:3">
      <c r="A3568" t="s">
        <v>836</v>
      </c>
      <c r="B3568" t="s">
        <v>1075</v>
      </c>
      <c r="C3568" t="s">
        <v>4239</v>
      </c>
    </row>
    <row r="3569" spans="1:3">
      <c r="A3569" t="s">
        <v>836</v>
      </c>
      <c r="B3569" t="s">
        <v>1075</v>
      </c>
      <c r="C3569" t="s">
        <v>4238</v>
      </c>
    </row>
    <row r="3570" spans="1:3">
      <c r="A3570" t="s">
        <v>836</v>
      </c>
      <c r="B3570" t="s">
        <v>1075</v>
      </c>
      <c r="C3570" t="s">
        <v>4237</v>
      </c>
    </row>
    <row r="3571" spans="1:3">
      <c r="A3571" t="s">
        <v>836</v>
      </c>
      <c r="B3571" t="s">
        <v>1075</v>
      </c>
      <c r="C3571" t="s">
        <v>4236</v>
      </c>
    </row>
    <row r="3572" spans="1:3">
      <c r="A3572" t="s">
        <v>836</v>
      </c>
      <c r="B3572" t="s">
        <v>1075</v>
      </c>
      <c r="C3572" t="s">
        <v>4235</v>
      </c>
    </row>
    <row r="3573" spans="1:3">
      <c r="A3573" t="s">
        <v>836</v>
      </c>
      <c r="B3573" t="s">
        <v>1075</v>
      </c>
      <c r="C3573" t="s">
        <v>4234</v>
      </c>
    </row>
    <row r="3574" spans="1:3">
      <c r="A3574" t="s">
        <v>836</v>
      </c>
      <c r="B3574" t="s">
        <v>1075</v>
      </c>
      <c r="C3574" t="s">
        <v>4233</v>
      </c>
    </row>
    <row r="3575" spans="1:3">
      <c r="A3575" t="s">
        <v>836</v>
      </c>
      <c r="B3575" t="s">
        <v>1075</v>
      </c>
      <c r="C3575" t="s">
        <v>4232</v>
      </c>
    </row>
    <row r="3576" spans="1:3">
      <c r="A3576" t="s">
        <v>836</v>
      </c>
      <c r="B3576" t="s">
        <v>1075</v>
      </c>
      <c r="C3576" t="s">
        <v>4231</v>
      </c>
    </row>
    <row r="3577" spans="1:3">
      <c r="A3577" t="s">
        <v>836</v>
      </c>
      <c r="B3577" t="s">
        <v>1075</v>
      </c>
      <c r="C3577" t="s">
        <v>4230</v>
      </c>
    </row>
    <row r="3578" spans="1:3">
      <c r="A3578" t="s">
        <v>836</v>
      </c>
      <c r="B3578" t="s">
        <v>1075</v>
      </c>
      <c r="C3578" t="s">
        <v>4229</v>
      </c>
    </row>
    <row r="3579" spans="1:3">
      <c r="A3579" t="s">
        <v>836</v>
      </c>
      <c r="B3579" t="s">
        <v>1075</v>
      </c>
      <c r="C3579" t="s">
        <v>4228</v>
      </c>
    </row>
    <row r="3580" spans="1:3">
      <c r="A3580" t="s">
        <v>836</v>
      </c>
      <c r="B3580" t="s">
        <v>1075</v>
      </c>
      <c r="C3580" t="s">
        <v>4227</v>
      </c>
    </row>
    <row r="3581" spans="1:3">
      <c r="A3581" t="s">
        <v>836</v>
      </c>
      <c r="B3581" t="s">
        <v>1075</v>
      </c>
      <c r="C3581" t="s">
        <v>4226</v>
      </c>
    </row>
    <row r="3582" spans="1:3">
      <c r="A3582" t="s">
        <v>836</v>
      </c>
      <c r="B3582" t="s">
        <v>1075</v>
      </c>
      <c r="C3582" t="s">
        <v>4225</v>
      </c>
    </row>
    <row r="3583" spans="1:3">
      <c r="A3583" t="s">
        <v>836</v>
      </c>
      <c r="B3583" t="s">
        <v>1075</v>
      </c>
      <c r="C3583" t="s">
        <v>4224</v>
      </c>
    </row>
    <row r="3584" spans="1:3">
      <c r="A3584" t="s">
        <v>837</v>
      </c>
      <c r="B3584" t="s">
        <v>1070</v>
      </c>
      <c r="C3584" t="s">
        <v>4180</v>
      </c>
    </row>
    <row r="3585" spans="1:3">
      <c r="A3585" t="s">
        <v>837</v>
      </c>
      <c r="B3585" t="s">
        <v>1070</v>
      </c>
      <c r="C3585" t="s">
        <v>4179</v>
      </c>
    </row>
    <row r="3586" spans="1:3">
      <c r="A3586" t="s">
        <v>837</v>
      </c>
      <c r="B3586" t="s">
        <v>1070</v>
      </c>
      <c r="C3586" t="s">
        <v>4178</v>
      </c>
    </row>
    <row r="3587" spans="1:3">
      <c r="A3587" t="s">
        <v>837</v>
      </c>
      <c r="B3587" t="s">
        <v>1070</v>
      </c>
      <c r="C3587" t="s">
        <v>4177</v>
      </c>
    </row>
    <row r="3588" spans="1:3">
      <c r="A3588" t="s">
        <v>837</v>
      </c>
      <c r="B3588" t="s">
        <v>1070</v>
      </c>
      <c r="C3588" t="s">
        <v>4176</v>
      </c>
    </row>
    <row r="3589" spans="1:3">
      <c r="A3589" t="s">
        <v>837</v>
      </c>
      <c r="B3589" t="s">
        <v>1075</v>
      </c>
      <c r="C3589" t="s">
        <v>4217</v>
      </c>
    </row>
    <row r="3590" spans="1:3">
      <c r="A3590" t="s">
        <v>837</v>
      </c>
      <c r="B3590" t="s">
        <v>1075</v>
      </c>
      <c r="C3590" t="s">
        <v>4216</v>
      </c>
    </row>
    <row r="3591" spans="1:3">
      <c r="A3591" t="s">
        <v>837</v>
      </c>
      <c r="B3591" t="s">
        <v>1075</v>
      </c>
      <c r="C3591" t="s">
        <v>4215</v>
      </c>
    </row>
    <row r="3592" spans="1:3">
      <c r="A3592" t="s">
        <v>837</v>
      </c>
      <c r="B3592" t="s">
        <v>1075</v>
      </c>
      <c r="C3592" t="s">
        <v>4214</v>
      </c>
    </row>
    <row r="3593" spans="1:3">
      <c r="A3593" t="s">
        <v>837</v>
      </c>
      <c r="B3593" t="s">
        <v>1075</v>
      </c>
      <c r="C3593" t="s">
        <v>4213</v>
      </c>
    </row>
    <row r="3594" spans="1:3">
      <c r="A3594" t="s">
        <v>837</v>
      </c>
      <c r="B3594" t="s">
        <v>1075</v>
      </c>
      <c r="C3594" t="s">
        <v>4212</v>
      </c>
    </row>
    <row r="3595" spans="1:3">
      <c r="A3595" t="s">
        <v>837</v>
      </c>
      <c r="B3595" t="s">
        <v>1075</v>
      </c>
      <c r="C3595" t="s">
        <v>4211</v>
      </c>
    </row>
    <row r="3596" spans="1:3">
      <c r="A3596" t="s">
        <v>837</v>
      </c>
      <c r="B3596" t="s">
        <v>1075</v>
      </c>
      <c r="C3596" t="s">
        <v>4210</v>
      </c>
    </row>
    <row r="3597" spans="1:3">
      <c r="A3597" t="s">
        <v>837</v>
      </c>
      <c r="B3597" t="s">
        <v>1075</v>
      </c>
      <c r="C3597" t="s">
        <v>4209</v>
      </c>
    </row>
    <row r="3598" spans="1:3">
      <c r="A3598" t="s">
        <v>837</v>
      </c>
      <c r="B3598" t="s">
        <v>1075</v>
      </c>
      <c r="C3598" t="s">
        <v>4208</v>
      </c>
    </row>
    <row r="3599" spans="1:3">
      <c r="A3599" t="s">
        <v>837</v>
      </c>
      <c r="B3599" t="s">
        <v>1075</v>
      </c>
      <c r="C3599" t="s">
        <v>4207</v>
      </c>
    </row>
    <row r="3600" spans="1:3">
      <c r="A3600" t="s">
        <v>837</v>
      </c>
      <c r="B3600" t="s">
        <v>1075</v>
      </c>
      <c r="C3600" t="s">
        <v>4206</v>
      </c>
    </row>
    <row r="3601" spans="1:3">
      <c r="A3601" t="s">
        <v>837</v>
      </c>
      <c r="B3601" t="s">
        <v>1075</v>
      </c>
      <c r="C3601" t="s">
        <v>4205</v>
      </c>
    </row>
    <row r="3602" spans="1:3">
      <c r="A3602" t="s">
        <v>837</v>
      </c>
      <c r="B3602" t="s">
        <v>1075</v>
      </c>
      <c r="C3602" t="s">
        <v>4204</v>
      </c>
    </row>
    <row r="3603" spans="1:3">
      <c r="A3603" t="s">
        <v>837</v>
      </c>
      <c r="B3603" t="s">
        <v>1075</v>
      </c>
      <c r="C3603" t="s">
        <v>4203</v>
      </c>
    </row>
    <row r="3604" spans="1:3">
      <c r="A3604" t="s">
        <v>837</v>
      </c>
      <c r="B3604" t="s">
        <v>1075</v>
      </c>
      <c r="C3604" t="s">
        <v>4202</v>
      </c>
    </row>
    <row r="3605" spans="1:3">
      <c r="A3605" t="s">
        <v>837</v>
      </c>
      <c r="B3605" t="s">
        <v>1075</v>
      </c>
      <c r="C3605" t="s">
        <v>4201</v>
      </c>
    </row>
    <row r="3606" spans="1:3">
      <c r="A3606" t="s">
        <v>837</v>
      </c>
      <c r="B3606" t="s">
        <v>1075</v>
      </c>
      <c r="C3606" t="s">
        <v>4200</v>
      </c>
    </row>
    <row r="3607" spans="1:3">
      <c r="A3607" t="s">
        <v>837</v>
      </c>
      <c r="B3607" t="s">
        <v>1075</v>
      </c>
      <c r="C3607" t="s">
        <v>4199</v>
      </c>
    </row>
    <row r="3608" spans="1:3">
      <c r="A3608" t="s">
        <v>837</v>
      </c>
      <c r="B3608" t="s">
        <v>1075</v>
      </c>
      <c r="C3608" t="s">
        <v>4198</v>
      </c>
    </row>
    <row r="3609" spans="1:3">
      <c r="A3609" t="s">
        <v>837</v>
      </c>
      <c r="B3609" t="s">
        <v>1075</v>
      </c>
      <c r="C3609" t="s">
        <v>4197</v>
      </c>
    </row>
    <row r="3610" spans="1:3">
      <c r="A3610" t="s">
        <v>837</v>
      </c>
      <c r="B3610" t="s">
        <v>1075</v>
      </c>
      <c r="C3610" t="s">
        <v>4196</v>
      </c>
    </row>
    <row r="3611" spans="1:3">
      <c r="A3611" t="s">
        <v>837</v>
      </c>
      <c r="B3611" t="s">
        <v>1075</v>
      </c>
      <c r="C3611" t="s">
        <v>4195</v>
      </c>
    </row>
    <row r="3612" spans="1:3">
      <c r="A3612" t="s">
        <v>837</v>
      </c>
      <c r="B3612" t="s">
        <v>1075</v>
      </c>
      <c r="C3612" t="s">
        <v>4194</v>
      </c>
    </row>
    <row r="3613" spans="1:3">
      <c r="A3613" t="s">
        <v>837</v>
      </c>
      <c r="B3613" t="s">
        <v>1075</v>
      </c>
      <c r="C3613" t="s">
        <v>4193</v>
      </c>
    </row>
    <row r="3614" spans="1:3">
      <c r="A3614" t="s">
        <v>837</v>
      </c>
      <c r="B3614" t="s">
        <v>1075</v>
      </c>
      <c r="C3614" t="s">
        <v>4192</v>
      </c>
    </row>
    <row r="3615" spans="1:3">
      <c r="A3615" t="s">
        <v>837</v>
      </c>
      <c r="B3615" t="s">
        <v>1075</v>
      </c>
      <c r="C3615" t="s">
        <v>4191</v>
      </c>
    </row>
    <row r="3616" spans="1:3">
      <c r="A3616" t="s">
        <v>837</v>
      </c>
      <c r="B3616" t="s">
        <v>1075</v>
      </c>
      <c r="C3616" t="s">
        <v>4190</v>
      </c>
    </row>
    <row r="3617" spans="1:3">
      <c r="A3617" t="s">
        <v>837</v>
      </c>
      <c r="B3617" t="s">
        <v>1075</v>
      </c>
      <c r="C3617" t="s">
        <v>4189</v>
      </c>
    </row>
    <row r="3618" spans="1:3">
      <c r="A3618" t="s">
        <v>837</v>
      </c>
      <c r="B3618" t="s">
        <v>1075</v>
      </c>
      <c r="C3618" t="s">
        <v>4188</v>
      </c>
    </row>
    <row r="3619" spans="1:3">
      <c r="A3619" t="s">
        <v>837</v>
      </c>
      <c r="B3619" t="s">
        <v>1075</v>
      </c>
      <c r="C3619" t="s">
        <v>4187</v>
      </c>
    </row>
    <row r="3620" spans="1:3">
      <c r="A3620" t="s">
        <v>837</v>
      </c>
      <c r="B3620" t="s">
        <v>1075</v>
      </c>
      <c r="C3620" t="s">
        <v>4186</v>
      </c>
    </row>
    <row r="3621" spans="1:3">
      <c r="A3621" t="s">
        <v>837</v>
      </c>
      <c r="B3621" t="s">
        <v>1075</v>
      </c>
      <c r="C3621" t="s">
        <v>4185</v>
      </c>
    </row>
    <row r="3622" spans="1:3">
      <c r="A3622" t="s">
        <v>837</v>
      </c>
      <c r="B3622" t="s">
        <v>1075</v>
      </c>
      <c r="C3622" t="s">
        <v>4184</v>
      </c>
    </row>
    <row r="3623" spans="1:3">
      <c r="A3623" t="s">
        <v>837</v>
      </c>
      <c r="B3623" t="s">
        <v>1075</v>
      </c>
      <c r="C3623" t="s">
        <v>4183</v>
      </c>
    </row>
    <row r="3624" spans="1:3">
      <c r="A3624" t="s">
        <v>837</v>
      </c>
      <c r="B3624" t="s">
        <v>1075</v>
      </c>
      <c r="C3624" t="s">
        <v>4182</v>
      </c>
    </row>
    <row r="3625" spans="1:3">
      <c r="A3625" t="s">
        <v>837</v>
      </c>
      <c r="B3625" t="s">
        <v>1075</v>
      </c>
      <c r="C3625" t="s">
        <v>4181</v>
      </c>
    </row>
    <row r="3626" spans="1:3">
      <c r="A3626" t="s">
        <v>835</v>
      </c>
      <c r="B3626" t="s">
        <v>1070</v>
      </c>
      <c r="C3626" t="s">
        <v>4102</v>
      </c>
    </row>
    <row r="3627" spans="1:3">
      <c r="A3627" t="s">
        <v>835</v>
      </c>
      <c r="B3627" t="s">
        <v>1070</v>
      </c>
      <c r="C3627" t="s">
        <v>4101</v>
      </c>
    </row>
    <row r="3628" spans="1:3">
      <c r="A3628" t="s">
        <v>835</v>
      </c>
      <c r="B3628" t="s">
        <v>1070</v>
      </c>
      <c r="C3628" t="s">
        <v>4100</v>
      </c>
    </row>
    <row r="3629" spans="1:3">
      <c r="A3629" t="s">
        <v>835</v>
      </c>
      <c r="B3629" t="s">
        <v>1070</v>
      </c>
      <c r="C3629" t="s">
        <v>4099</v>
      </c>
    </row>
    <row r="3630" spans="1:3">
      <c r="A3630" t="s">
        <v>835</v>
      </c>
      <c r="B3630" t="s">
        <v>1070</v>
      </c>
      <c r="C3630" t="s">
        <v>4098</v>
      </c>
    </row>
    <row r="3631" spans="1:3">
      <c r="A3631" t="s">
        <v>835</v>
      </c>
      <c r="B3631" t="s">
        <v>1070</v>
      </c>
      <c r="C3631" t="s">
        <v>4097</v>
      </c>
    </row>
    <row r="3632" spans="1:3">
      <c r="A3632" t="s">
        <v>835</v>
      </c>
      <c r="B3632" t="s">
        <v>1070</v>
      </c>
      <c r="C3632" t="s">
        <v>4096</v>
      </c>
    </row>
    <row r="3633" spans="1:3">
      <c r="A3633" t="s">
        <v>835</v>
      </c>
      <c r="B3633" t="s">
        <v>1070</v>
      </c>
      <c r="C3633" t="s">
        <v>4095</v>
      </c>
    </row>
    <row r="3634" spans="1:3">
      <c r="A3634" t="s">
        <v>835</v>
      </c>
      <c r="B3634" t="s">
        <v>1070</v>
      </c>
      <c r="C3634" t="s">
        <v>4094</v>
      </c>
    </row>
    <row r="3635" spans="1:3">
      <c r="A3635" t="s">
        <v>835</v>
      </c>
      <c r="B3635" t="s">
        <v>1075</v>
      </c>
      <c r="C3635" t="s">
        <v>4175</v>
      </c>
    </row>
    <row r="3636" spans="1:3">
      <c r="A3636" t="s">
        <v>835</v>
      </c>
      <c r="B3636" t="s">
        <v>1075</v>
      </c>
      <c r="C3636" t="s">
        <v>4174</v>
      </c>
    </row>
    <row r="3637" spans="1:3">
      <c r="A3637" t="s">
        <v>835</v>
      </c>
      <c r="B3637" t="s">
        <v>1075</v>
      </c>
      <c r="C3637" t="s">
        <v>4173</v>
      </c>
    </row>
    <row r="3638" spans="1:3">
      <c r="A3638" t="s">
        <v>835</v>
      </c>
      <c r="B3638" t="s">
        <v>1075</v>
      </c>
      <c r="C3638" t="s">
        <v>4172</v>
      </c>
    </row>
    <row r="3639" spans="1:3">
      <c r="A3639" t="s">
        <v>835</v>
      </c>
      <c r="B3639" t="s">
        <v>1075</v>
      </c>
      <c r="C3639" t="s">
        <v>4171</v>
      </c>
    </row>
    <row r="3640" spans="1:3">
      <c r="A3640" t="s">
        <v>835</v>
      </c>
      <c r="B3640" t="s">
        <v>1075</v>
      </c>
      <c r="C3640" t="s">
        <v>4170</v>
      </c>
    </row>
    <row r="3641" spans="1:3">
      <c r="A3641" t="s">
        <v>835</v>
      </c>
      <c r="B3641" t="s">
        <v>1075</v>
      </c>
      <c r="C3641" t="s">
        <v>4169</v>
      </c>
    </row>
    <row r="3642" spans="1:3">
      <c r="A3642" t="s">
        <v>835</v>
      </c>
      <c r="B3642" t="s">
        <v>1075</v>
      </c>
      <c r="C3642" t="s">
        <v>4168</v>
      </c>
    </row>
    <row r="3643" spans="1:3">
      <c r="A3643" t="s">
        <v>835</v>
      </c>
      <c r="B3643" t="s">
        <v>1075</v>
      </c>
      <c r="C3643" t="s">
        <v>4167</v>
      </c>
    </row>
    <row r="3644" spans="1:3">
      <c r="A3644" t="s">
        <v>835</v>
      </c>
      <c r="B3644" t="s">
        <v>1075</v>
      </c>
      <c r="C3644" t="s">
        <v>4166</v>
      </c>
    </row>
    <row r="3645" spans="1:3">
      <c r="A3645" t="s">
        <v>835</v>
      </c>
      <c r="B3645" t="s">
        <v>1075</v>
      </c>
      <c r="C3645" t="s">
        <v>4165</v>
      </c>
    </row>
    <row r="3646" spans="1:3">
      <c r="A3646" t="s">
        <v>835</v>
      </c>
      <c r="B3646" t="s">
        <v>1075</v>
      </c>
      <c r="C3646" t="s">
        <v>4164</v>
      </c>
    </row>
    <row r="3647" spans="1:3">
      <c r="A3647" t="s">
        <v>835</v>
      </c>
      <c r="B3647" t="s">
        <v>1075</v>
      </c>
      <c r="C3647" t="s">
        <v>4163</v>
      </c>
    </row>
    <row r="3648" spans="1:3">
      <c r="A3648" t="s">
        <v>835</v>
      </c>
      <c r="B3648" t="s">
        <v>1075</v>
      </c>
      <c r="C3648" t="s">
        <v>4162</v>
      </c>
    </row>
    <row r="3649" spans="1:3">
      <c r="A3649" t="s">
        <v>835</v>
      </c>
      <c r="B3649" t="s">
        <v>1075</v>
      </c>
      <c r="C3649" t="s">
        <v>4161</v>
      </c>
    </row>
    <row r="3650" spans="1:3">
      <c r="A3650" t="s">
        <v>835</v>
      </c>
      <c r="B3650" t="s">
        <v>1075</v>
      </c>
      <c r="C3650" t="s">
        <v>4160</v>
      </c>
    </row>
    <row r="3651" spans="1:3">
      <c r="A3651" t="s">
        <v>835</v>
      </c>
      <c r="B3651" t="s">
        <v>1075</v>
      </c>
      <c r="C3651" t="s">
        <v>4159</v>
      </c>
    </row>
    <row r="3652" spans="1:3">
      <c r="A3652" t="s">
        <v>835</v>
      </c>
      <c r="B3652" t="s">
        <v>1075</v>
      </c>
      <c r="C3652" t="s">
        <v>4158</v>
      </c>
    </row>
    <row r="3653" spans="1:3">
      <c r="A3653" t="s">
        <v>835</v>
      </c>
      <c r="B3653" t="s">
        <v>1075</v>
      </c>
      <c r="C3653" t="s">
        <v>4157</v>
      </c>
    </row>
    <row r="3654" spans="1:3">
      <c r="A3654" t="s">
        <v>835</v>
      </c>
      <c r="B3654" t="s">
        <v>1075</v>
      </c>
      <c r="C3654" t="s">
        <v>4156</v>
      </c>
    </row>
    <row r="3655" spans="1:3">
      <c r="A3655" t="s">
        <v>835</v>
      </c>
      <c r="B3655" t="s">
        <v>1075</v>
      </c>
      <c r="C3655" t="s">
        <v>4155</v>
      </c>
    </row>
    <row r="3656" spans="1:3">
      <c r="A3656" t="s">
        <v>835</v>
      </c>
      <c r="B3656" t="s">
        <v>1075</v>
      </c>
      <c r="C3656" t="s">
        <v>4154</v>
      </c>
    </row>
    <row r="3657" spans="1:3">
      <c r="A3657" t="s">
        <v>835</v>
      </c>
      <c r="B3657" t="s">
        <v>1075</v>
      </c>
      <c r="C3657" t="s">
        <v>4153</v>
      </c>
    </row>
    <row r="3658" spans="1:3">
      <c r="A3658" t="s">
        <v>835</v>
      </c>
      <c r="B3658" t="s">
        <v>1075</v>
      </c>
      <c r="C3658" t="s">
        <v>4152</v>
      </c>
    </row>
    <row r="3659" spans="1:3">
      <c r="A3659" t="s">
        <v>835</v>
      </c>
      <c r="B3659" t="s">
        <v>1075</v>
      </c>
      <c r="C3659" t="s">
        <v>4151</v>
      </c>
    </row>
    <row r="3660" spans="1:3">
      <c r="A3660" t="s">
        <v>835</v>
      </c>
      <c r="B3660" t="s">
        <v>1075</v>
      </c>
      <c r="C3660" t="s">
        <v>4150</v>
      </c>
    </row>
    <row r="3661" spans="1:3">
      <c r="A3661" t="s">
        <v>835</v>
      </c>
      <c r="B3661" t="s">
        <v>1075</v>
      </c>
      <c r="C3661" t="s">
        <v>4149</v>
      </c>
    </row>
    <row r="3662" spans="1:3">
      <c r="A3662" t="s">
        <v>835</v>
      </c>
      <c r="B3662" t="s">
        <v>1075</v>
      </c>
      <c r="C3662" t="s">
        <v>4148</v>
      </c>
    </row>
    <row r="3663" spans="1:3">
      <c r="A3663" t="s">
        <v>835</v>
      </c>
      <c r="B3663" t="s">
        <v>1075</v>
      </c>
      <c r="C3663" t="s">
        <v>4147</v>
      </c>
    </row>
    <row r="3664" spans="1:3">
      <c r="A3664" t="s">
        <v>835</v>
      </c>
      <c r="B3664" t="s">
        <v>1075</v>
      </c>
      <c r="C3664" t="s">
        <v>4146</v>
      </c>
    </row>
    <row r="3665" spans="1:3">
      <c r="A3665" t="s">
        <v>835</v>
      </c>
      <c r="B3665" t="s">
        <v>1075</v>
      </c>
      <c r="C3665" t="s">
        <v>4145</v>
      </c>
    </row>
    <row r="3666" spans="1:3">
      <c r="A3666" t="s">
        <v>835</v>
      </c>
      <c r="B3666" t="s">
        <v>1075</v>
      </c>
      <c r="C3666" t="s">
        <v>4144</v>
      </c>
    </row>
    <row r="3667" spans="1:3">
      <c r="A3667" t="s">
        <v>835</v>
      </c>
      <c r="B3667" t="s">
        <v>1075</v>
      </c>
      <c r="C3667" t="s">
        <v>4143</v>
      </c>
    </row>
    <row r="3668" spans="1:3">
      <c r="A3668" t="s">
        <v>835</v>
      </c>
      <c r="B3668" t="s">
        <v>1075</v>
      </c>
      <c r="C3668" t="s">
        <v>4142</v>
      </c>
    </row>
    <row r="3669" spans="1:3">
      <c r="A3669" t="s">
        <v>835</v>
      </c>
      <c r="B3669" t="s">
        <v>1075</v>
      </c>
      <c r="C3669" t="s">
        <v>4141</v>
      </c>
    </row>
    <row r="3670" spans="1:3">
      <c r="A3670" t="s">
        <v>835</v>
      </c>
      <c r="B3670" t="s">
        <v>1075</v>
      </c>
      <c r="C3670" t="s">
        <v>4140</v>
      </c>
    </row>
    <row r="3671" spans="1:3">
      <c r="A3671" t="s">
        <v>835</v>
      </c>
      <c r="B3671" t="s">
        <v>1075</v>
      </c>
      <c r="C3671" t="s">
        <v>4139</v>
      </c>
    </row>
    <row r="3672" spans="1:3">
      <c r="A3672" t="s">
        <v>835</v>
      </c>
      <c r="B3672" t="s">
        <v>1075</v>
      </c>
      <c r="C3672" t="s">
        <v>4138</v>
      </c>
    </row>
    <row r="3673" spans="1:3">
      <c r="A3673" t="s">
        <v>835</v>
      </c>
      <c r="B3673" t="s">
        <v>1075</v>
      </c>
      <c r="C3673" t="s">
        <v>4137</v>
      </c>
    </row>
    <row r="3674" spans="1:3">
      <c r="A3674" t="s">
        <v>835</v>
      </c>
      <c r="B3674" t="s">
        <v>1075</v>
      </c>
      <c r="C3674" t="s">
        <v>4136</v>
      </c>
    </row>
    <row r="3675" spans="1:3">
      <c r="A3675" t="s">
        <v>835</v>
      </c>
      <c r="B3675" t="s">
        <v>1075</v>
      </c>
      <c r="C3675" t="s">
        <v>4135</v>
      </c>
    </row>
    <row r="3676" spans="1:3">
      <c r="A3676" t="s">
        <v>835</v>
      </c>
      <c r="B3676" t="s">
        <v>1075</v>
      </c>
      <c r="C3676" t="s">
        <v>4134</v>
      </c>
    </row>
    <row r="3677" spans="1:3">
      <c r="A3677" t="s">
        <v>835</v>
      </c>
      <c r="B3677" t="s">
        <v>1075</v>
      </c>
      <c r="C3677" t="s">
        <v>4133</v>
      </c>
    </row>
    <row r="3678" spans="1:3">
      <c r="A3678" t="s">
        <v>835</v>
      </c>
      <c r="B3678" t="s">
        <v>1075</v>
      </c>
      <c r="C3678" t="s">
        <v>4132</v>
      </c>
    </row>
    <row r="3679" spans="1:3">
      <c r="A3679" t="s">
        <v>835</v>
      </c>
      <c r="B3679" t="s">
        <v>1075</v>
      </c>
      <c r="C3679" t="s">
        <v>4131</v>
      </c>
    </row>
    <row r="3680" spans="1:3">
      <c r="A3680" t="s">
        <v>835</v>
      </c>
      <c r="B3680" t="s">
        <v>1075</v>
      </c>
      <c r="C3680" t="s">
        <v>4130</v>
      </c>
    </row>
    <row r="3681" spans="1:3">
      <c r="A3681" t="s">
        <v>835</v>
      </c>
      <c r="B3681" t="s">
        <v>1075</v>
      </c>
      <c r="C3681" t="s">
        <v>4129</v>
      </c>
    </row>
    <row r="3682" spans="1:3">
      <c r="A3682" t="s">
        <v>835</v>
      </c>
      <c r="B3682" t="s">
        <v>1075</v>
      </c>
      <c r="C3682" t="s">
        <v>4128</v>
      </c>
    </row>
    <row r="3683" spans="1:3">
      <c r="A3683" t="s">
        <v>835</v>
      </c>
      <c r="B3683" t="s">
        <v>1075</v>
      </c>
      <c r="C3683" t="s">
        <v>4127</v>
      </c>
    </row>
    <row r="3684" spans="1:3">
      <c r="A3684" t="s">
        <v>835</v>
      </c>
      <c r="B3684" t="s">
        <v>1075</v>
      </c>
      <c r="C3684" t="s">
        <v>4126</v>
      </c>
    </row>
    <row r="3685" spans="1:3">
      <c r="A3685" t="s">
        <v>835</v>
      </c>
      <c r="B3685" t="s">
        <v>1075</v>
      </c>
      <c r="C3685" t="s">
        <v>4125</v>
      </c>
    </row>
    <row r="3686" spans="1:3">
      <c r="A3686" t="s">
        <v>835</v>
      </c>
      <c r="B3686" t="s">
        <v>1075</v>
      </c>
      <c r="C3686" t="s">
        <v>4124</v>
      </c>
    </row>
    <row r="3687" spans="1:3">
      <c r="A3687" t="s">
        <v>835</v>
      </c>
      <c r="B3687" t="s">
        <v>1075</v>
      </c>
      <c r="C3687" t="s">
        <v>4123</v>
      </c>
    </row>
    <row r="3688" spans="1:3">
      <c r="A3688" t="s">
        <v>835</v>
      </c>
      <c r="B3688" t="s">
        <v>1075</v>
      </c>
      <c r="C3688" t="s">
        <v>4122</v>
      </c>
    </row>
    <row r="3689" spans="1:3">
      <c r="A3689" t="s">
        <v>835</v>
      </c>
      <c r="B3689" t="s">
        <v>1075</v>
      </c>
      <c r="C3689" t="s">
        <v>4121</v>
      </c>
    </row>
    <row r="3690" spans="1:3">
      <c r="A3690" t="s">
        <v>835</v>
      </c>
      <c r="B3690" t="s">
        <v>1075</v>
      </c>
      <c r="C3690" t="s">
        <v>4120</v>
      </c>
    </row>
    <row r="3691" spans="1:3">
      <c r="A3691" t="s">
        <v>835</v>
      </c>
      <c r="B3691" t="s">
        <v>1075</v>
      </c>
      <c r="C3691" t="s">
        <v>4119</v>
      </c>
    </row>
    <row r="3692" spans="1:3">
      <c r="A3692" t="s">
        <v>835</v>
      </c>
      <c r="B3692" t="s">
        <v>1075</v>
      </c>
      <c r="C3692" t="s">
        <v>4118</v>
      </c>
    </row>
    <row r="3693" spans="1:3">
      <c r="A3693" t="s">
        <v>835</v>
      </c>
      <c r="B3693" t="s">
        <v>1075</v>
      </c>
      <c r="C3693" t="s">
        <v>4117</v>
      </c>
    </row>
    <row r="3694" spans="1:3">
      <c r="A3694" t="s">
        <v>835</v>
      </c>
      <c r="B3694" t="s">
        <v>1075</v>
      </c>
      <c r="C3694" t="s">
        <v>4116</v>
      </c>
    </row>
    <row r="3695" spans="1:3">
      <c r="A3695" t="s">
        <v>835</v>
      </c>
      <c r="B3695" t="s">
        <v>1075</v>
      </c>
      <c r="C3695" t="s">
        <v>4115</v>
      </c>
    </row>
    <row r="3696" spans="1:3">
      <c r="A3696" t="s">
        <v>835</v>
      </c>
      <c r="B3696" t="s">
        <v>1075</v>
      </c>
      <c r="C3696" t="s">
        <v>4114</v>
      </c>
    </row>
    <row r="3697" spans="1:3">
      <c r="A3697" t="s">
        <v>835</v>
      </c>
      <c r="B3697" t="s">
        <v>1075</v>
      </c>
      <c r="C3697" t="s">
        <v>4113</v>
      </c>
    </row>
    <row r="3698" spans="1:3">
      <c r="A3698" t="s">
        <v>835</v>
      </c>
      <c r="B3698" t="s">
        <v>1075</v>
      </c>
      <c r="C3698" t="s">
        <v>4112</v>
      </c>
    </row>
    <row r="3699" spans="1:3">
      <c r="A3699" t="s">
        <v>835</v>
      </c>
      <c r="B3699" t="s">
        <v>1075</v>
      </c>
      <c r="C3699" t="s">
        <v>4111</v>
      </c>
    </row>
    <row r="3700" spans="1:3">
      <c r="A3700" t="s">
        <v>835</v>
      </c>
      <c r="B3700" t="s">
        <v>1075</v>
      </c>
      <c r="C3700" t="s">
        <v>4110</v>
      </c>
    </row>
    <row r="3701" spans="1:3">
      <c r="A3701" t="s">
        <v>835</v>
      </c>
      <c r="B3701" t="s">
        <v>1075</v>
      </c>
      <c r="C3701" t="s">
        <v>4109</v>
      </c>
    </row>
    <row r="3702" spans="1:3">
      <c r="A3702" t="s">
        <v>835</v>
      </c>
      <c r="B3702" t="s">
        <v>1075</v>
      </c>
      <c r="C3702" t="s">
        <v>4108</v>
      </c>
    </row>
    <row r="3703" spans="1:3">
      <c r="A3703" t="s">
        <v>835</v>
      </c>
      <c r="B3703" t="s">
        <v>1075</v>
      </c>
      <c r="C3703" t="s">
        <v>4107</v>
      </c>
    </row>
    <row r="3704" spans="1:3">
      <c r="A3704" t="s">
        <v>835</v>
      </c>
      <c r="B3704" t="s">
        <v>1075</v>
      </c>
      <c r="C3704" t="s">
        <v>4106</v>
      </c>
    </row>
    <row r="3705" spans="1:3">
      <c r="A3705" t="s">
        <v>835</v>
      </c>
      <c r="B3705" t="s">
        <v>1075</v>
      </c>
      <c r="C3705" t="s">
        <v>4105</v>
      </c>
    </row>
    <row r="3706" spans="1:3">
      <c r="A3706" t="s">
        <v>835</v>
      </c>
      <c r="B3706" t="s">
        <v>1075</v>
      </c>
      <c r="C3706" t="s">
        <v>4104</v>
      </c>
    </row>
    <row r="3707" spans="1:3">
      <c r="A3707" t="s">
        <v>835</v>
      </c>
      <c r="B3707" t="s">
        <v>1075</v>
      </c>
      <c r="C3707" t="s">
        <v>4103</v>
      </c>
    </row>
    <row r="3708" spans="1:3">
      <c r="A3708" t="s">
        <v>841</v>
      </c>
      <c r="B3708" t="s">
        <v>1070</v>
      </c>
      <c r="C3708" t="s">
        <v>4044</v>
      </c>
    </row>
    <row r="3709" spans="1:3">
      <c r="A3709" t="s">
        <v>841</v>
      </c>
      <c r="B3709" t="s">
        <v>1070</v>
      </c>
      <c r="C3709" t="s">
        <v>4043</v>
      </c>
    </row>
    <row r="3710" spans="1:3">
      <c r="A3710" t="s">
        <v>841</v>
      </c>
      <c r="B3710" t="s">
        <v>1070</v>
      </c>
      <c r="C3710" t="s">
        <v>4042</v>
      </c>
    </row>
    <row r="3711" spans="1:3">
      <c r="A3711" t="s">
        <v>841</v>
      </c>
      <c r="B3711" t="s">
        <v>1070</v>
      </c>
      <c r="C3711" t="s">
        <v>4041</v>
      </c>
    </row>
    <row r="3712" spans="1:3">
      <c r="A3712" t="s">
        <v>841</v>
      </c>
      <c r="B3712" t="s">
        <v>1070</v>
      </c>
      <c r="C3712" t="s">
        <v>4040</v>
      </c>
    </row>
    <row r="3713" spans="1:3">
      <c r="A3713" t="s">
        <v>841</v>
      </c>
      <c r="B3713" t="s">
        <v>1075</v>
      </c>
      <c r="C3713" t="s">
        <v>4093</v>
      </c>
    </row>
    <row r="3714" spans="1:3">
      <c r="A3714" t="s">
        <v>841</v>
      </c>
      <c r="B3714" t="s">
        <v>1075</v>
      </c>
      <c r="C3714" t="s">
        <v>4092</v>
      </c>
    </row>
    <row r="3715" spans="1:3">
      <c r="A3715" t="s">
        <v>841</v>
      </c>
      <c r="B3715" t="s">
        <v>1075</v>
      </c>
      <c r="C3715" t="s">
        <v>4091</v>
      </c>
    </row>
    <row r="3716" spans="1:3">
      <c r="A3716" t="s">
        <v>841</v>
      </c>
      <c r="B3716" t="s">
        <v>1075</v>
      </c>
      <c r="C3716" t="s">
        <v>4090</v>
      </c>
    </row>
    <row r="3717" spans="1:3">
      <c r="A3717" t="s">
        <v>841</v>
      </c>
      <c r="B3717" t="s">
        <v>1075</v>
      </c>
      <c r="C3717" t="s">
        <v>4089</v>
      </c>
    </row>
    <row r="3718" spans="1:3">
      <c r="A3718" t="s">
        <v>841</v>
      </c>
      <c r="B3718" t="s">
        <v>1075</v>
      </c>
      <c r="C3718" t="s">
        <v>4088</v>
      </c>
    </row>
    <row r="3719" spans="1:3">
      <c r="A3719" t="s">
        <v>841</v>
      </c>
      <c r="B3719" t="s">
        <v>1075</v>
      </c>
      <c r="C3719" t="s">
        <v>4087</v>
      </c>
    </row>
    <row r="3720" spans="1:3">
      <c r="A3720" t="s">
        <v>841</v>
      </c>
      <c r="B3720" t="s">
        <v>1075</v>
      </c>
      <c r="C3720" t="s">
        <v>4086</v>
      </c>
    </row>
    <row r="3721" spans="1:3">
      <c r="A3721" t="s">
        <v>841</v>
      </c>
      <c r="B3721" t="s">
        <v>1075</v>
      </c>
      <c r="C3721" t="s">
        <v>4085</v>
      </c>
    </row>
    <row r="3722" spans="1:3">
      <c r="A3722" t="s">
        <v>841</v>
      </c>
      <c r="B3722" t="s">
        <v>1075</v>
      </c>
      <c r="C3722" t="s">
        <v>4084</v>
      </c>
    </row>
    <row r="3723" spans="1:3">
      <c r="A3723" t="s">
        <v>841</v>
      </c>
      <c r="B3723" t="s">
        <v>1075</v>
      </c>
      <c r="C3723" t="s">
        <v>4083</v>
      </c>
    </row>
    <row r="3724" spans="1:3">
      <c r="A3724" t="s">
        <v>841</v>
      </c>
      <c r="B3724" t="s">
        <v>1075</v>
      </c>
      <c r="C3724" t="s">
        <v>4082</v>
      </c>
    </row>
    <row r="3725" spans="1:3">
      <c r="A3725" t="s">
        <v>841</v>
      </c>
      <c r="B3725" t="s">
        <v>1075</v>
      </c>
      <c r="C3725" t="s">
        <v>4081</v>
      </c>
    </row>
    <row r="3726" spans="1:3">
      <c r="A3726" t="s">
        <v>841</v>
      </c>
      <c r="B3726" t="s">
        <v>1075</v>
      </c>
      <c r="C3726" t="s">
        <v>4080</v>
      </c>
    </row>
    <row r="3727" spans="1:3">
      <c r="A3727" t="s">
        <v>841</v>
      </c>
      <c r="B3727" t="s">
        <v>1075</v>
      </c>
      <c r="C3727" t="s">
        <v>4079</v>
      </c>
    </row>
    <row r="3728" spans="1:3">
      <c r="A3728" t="s">
        <v>841</v>
      </c>
      <c r="B3728" t="s">
        <v>1075</v>
      </c>
      <c r="C3728" t="s">
        <v>4078</v>
      </c>
    </row>
    <row r="3729" spans="1:3">
      <c r="A3729" t="s">
        <v>841</v>
      </c>
      <c r="B3729" t="s">
        <v>1075</v>
      </c>
      <c r="C3729" t="s">
        <v>4077</v>
      </c>
    </row>
    <row r="3730" spans="1:3">
      <c r="A3730" t="s">
        <v>841</v>
      </c>
      <c r="B3730" t="s">
        <v>1075</v>
      </c>
      <c r="C3730" t="s">
        <v>4076</v>
      </c>
    </row>
    <row r="3731" spans="1:3">
      <c r="A3731" t="s">
        <v>841</v>
      </c>
      <c r="B3731" t="s">
        <v>1075</v>
      </c>
      <c r="C3731" t="s">
        <v>4075</v>
      </c>
    </row>
    <row r="3732" spans="1:3">
      <c r="A3732" t="s">
        <v>841</v>
      </c>
      <c r="B3732" t="s">
        <v>1075</v>
      </c>
      <c r="C3732" t="s">
        <v>4074</v>
      </c>
    </row>
    <row r="3733" spans="1:3">
      <c r="A3733" t="s">
        <v>841</v>
      </c>
      <c r="B3733" t="s">
        <v>1075</v>
      </c>
      <c r="C3733" t="s">
        <v>4073</v>
      </c>
    </row>
    <row r="3734" spans="1:3">
      <c r="A3734" t="s">
        <v>841</v>
      </c>
      <c r="B3734" t="s">
        <v>1075</v>
      </c>
      <c r="C3734" t="s">
        <v>4072</v>
      </c>
    </row>
    <row r="3735" spans="1:3">
      <c r="A3735" t="s">
        <v>841</v>
      </c>
      <c r="B3735" t="s">
        <v>1075</v>
      </c>
      <c r="C3735" t="s">
        <v>4071</v>
      </c>
    </row>
    <row r="3736" spans="1:3">
      <c r="A3736" t="s">
        <v>841</v>
      </c>
      <c r="B3736" t="s">
        <v>1075</v>
      </c>
      <c r="C3736" t="s">
        <v>4070</v>
      </c>
    </row>
    <row r="3737" spans="1:3">
      <c r="A3737" t="s">
        <v>841</v>
      </c>
      <c r="B3737" t="s">
        <v>1075</v>
      </c>
      <c r="C3737" t="s">
        <v>4069</v>
      </c>
    </row>
    <row r="3738" spans="1:3">
      <c r="A3738" t="s">
        <v>841</v>
      </c>
      <c r="B3738" t="s">
        <v>1075</v>
      </c>
      <c r="C3738" t="s">
        <v>4068</v>
      </c>
    </row>
    <row r="3739" spans="1:3">
      <c r="A3739" t="s">
        <v>841</v>
      </c>
      <c r="B3739" t="s">
        <v>1075</v>
      </c>
      <c r="C3739" t="s">
        <v>4067</v>
      </c>
    </row>
    <row r="3740" spans="1:3">
      <c r="A3740" t="s">
        <v>841</v>
      </c>
      <c r="B3740" t="s">
        <v>1075</v>
      </c>
      <c r="C3740" t="s">
        <v>4066</v>
      </c>
    </row>
    <row r="3741" spans="1:3">
      <c r="A3741" t="s">
        <v>841</v>
      </c>
      <c r="B3741" t="s">
        <v>1075</v>
      </c>
      <c r="C3741" t="s">
        <v>4065</v>
      </c>
    </row>
    <row r="3742" spans="1:3">
      <c r="A3742" t="s">
        <v>841</v>
      </c>
      <c r="B3742" t="s">
        <v>1075</v>
      </c>
      <c r="C3742" t="s">
        <v>4064</v>
      </c>
    </row>
    <row r="3743" spans="1:3">
      <c r="A3743" t="s">
        <v>841</v>
      </c>
      <c r="B3743" t="s">
        <v>1075</v>
      </c>
      <c r="C3743" t="s">
        <v>4063</v>
      </c>
    </row>
    <row r="3744" spans="1:3">
      <c r="A3744" t="s">
        <v>841</v>
      </c>
      <c r="B3744" t="s">
        <v>1075</v>
      </c>
      <c r="C3744" t="s">
        <v>4062</v>
      </c>
    </row>
    <row r="3745" spans="1:3">
      <c r="A3745" t="s">
        <v>841</v>
      </c>
      <c r="B3745" t="s">
        <v>1075</v>
      </c>
      <c r="C3745" t="s">
        <v>4061</v>
      </c>
    </row>
    <row r="3746" spans="1:3">
      <c r="A3746" t="s">
        <v>841</v>
      </c>
      <c r="B3746" t="s">
        <v>1075</v>
      </c>
      <c r="C3746" t="s">
        <v>4060</v>
      </c>
    </row>
    <row r="3747" spans="1:3">
      <c r="A3747" t="s">
        <v>841</v>
      </c>
      <c r="B3747" t="s">
        <v>1075</v>
      </c>
      <c r="C3747" t="s">
        <v>4059</v>
      </c>
    </row>
    <row r="3748" spans="1:3">
      <c r="A3748" t="s">
        <v>841</v>
      </c>
      <c r="B3748" t="s">
        <v>1075</v>
      </c>
      <c r="C3748" t="s">
        <v>4058</v>
      </c>
    </row>
    <row r="3749" spans="1:3">
      <c r="A3749" t="s">
        <v>841</v>
      </c>
      <c r="B3749" t="s">
        <v>1075</v>
      </c>
      <c r="C3749" t="s">
        <v>4057</v>
      </c>
    </row>
    <row r="3750" spans="1:3">
      <c r="A3750" t="s">
        <v>841</v>
      </c>
      <c r="B3750" t="s">
        <v>1075</v>
      </c>
      <c r="C3750" t="s">
        <v>4056</v>
      </c>
    </row>
    <row r="3751" spans="1:3">
      <c r="A3751" t="s">
        <v>841</v>
      </c>
      <c r="B3751" t="s">
        <v>1075</v>
      </c>
      <c r="C3751" t="s">
        <v>4055</v>
      </c>
    </row>
    <row r="3752" spans="1:3">
      <c r="A3752" t="s">
        <v>841</v>
      </c>
      <c r="B3752" t="s">
        <v>1075</v>
      </c>
      <c r="C3752" t="s">
        <v>4054</v>
      </c>
    </row>
    <row r="3753" spans="1:3">
      <c r="A3753" t="s">
        <v>841</v>
      </c>
      <c r="B3753" t="s">
        <v>1075</v>
      </c>
      <c r="C3753" t="s">
        <v>4053</v>
      </c>
    </row>
    <row r="3754" spans="1:3">
      <c r="A3754" t="s">
        <v>841</v>
      </c>
      <c r="B3754" t="s">
        <v>1075</v>
      </c>
      <c r="C3754" t="s">
        <v>4052</v>
      </c>
    </row>
    <row r="3755" spans="1:3">
      <c r="A3755" t="s">
        <v>841</v>
      </c>
      <c r="B3755" t="s">
        <v>1075</v>
      </c>
      <c r="C3755" t="s">
        <v>4051</v>
      </c>
    </row>
    <row r="3756" spans="1:3">
      <c r="A3756" t="s">
        <v>841</v>
      </c>
      <c r="B3756" t="s">
        <v>1075</v>
      </c>
      <c r="C3756" t="s">
        <v>4050</v>
      </c>
    </row>
    <row r="3757" spans="1:3">
      <c r="A3757" t="s">
        <v>841</v>
      </c>
      <c r="B3757" t="s">
        <v>1075</v>
      </c>
      <c r="C3757" t="s">
        <v>4049</v>
      </c>
    </row>
    <row r="3758" spans="1:3">
      <c r="A3758" t="s">
        <v>841</v>
      </c>
      <c r="B3758" t="s">
        <v>1075</v>
      </c>
      <c r="C3758" t="s">
        <v>4048</v>
      </c>
    </row>
    <row r="3759" spans="1:3">
      <c r="A3759" t="s">
        <v>841</v>
      </c>
      <c r="B3759" t="s">
        <v>1075</v>
      </c>
      <c r="C3759" t="s">
        <v>4047</v>
      </c>
    </row>
    <row r="3760" spans="1:3">
      <c r="A3760" t="s">
        <v>841</v>
      </c>
      <c r="B3760" t="s">
        <v>1075</v>
      </c>
      <c r="C3760" t="s">
        <v>4046</v>
      </c>
    </row>
    <row r="3761" spans="1:3">
      <c r="A3761" t="s">
        <v>841</v>
      </c>
      <c r="B3761" t="s">
        <v>1075</v>
      </c>
      <c r="C3761" t="s">
        <v>4045</v>
      </c>
    </row>
    <row r="3762" spans="1:3">
      <c r="A3762" t="s">
        <v>839</v>
      </c>
      <c r="B3762" t="s">
        <v>1070</v>
      </c>
      <c r="C3762" t="s">
        <v>3950</v>
      </c>
    </row>
    <row r="3763" spans="1:3">
      <c r="A3763" t="s">
        <v>839</v>
      </c>
      <c r="B3763" t="s">
        <v>1070</v>
      </c>
      <c r="C3763" t="s">
        <v>3949</v>
      </c>
    </row>
    <row r="3764" spans="1:3">
      <c r="A3764" t="s">
        <v>839</v>
      </c>
      <c r="B3764" t="s">
        <v>1070</v>
      </c>
      <c r="C3764" t="s">
        <v>3948</v>
      </c>
    </row>
    <row r="3765" spans="1:3">
      <c r="A3765" t="s">
        <v>839</v>
      </c>
      <c r="B3765" t="s">
        <v>1070</v>
      </c>
      <c r="C3765" t="s">
        <v>3947</v>
      </c>
    </row>
    <row r="3766" spans="1:3">
      <c r="A3766" t="s">
        <v>839</v>
      </c>
      <c r="B3766" t="s">
        <v>1070</v>
      </c>
      <c r="C3766" t="s">
        <v>3946</v>
      </c>
    </row>
    <row r="3767" spans="1:3">
      <c r="A3767" t="s">
        <v>839</v>
      </c>
      <c r="B3767" t="s">
        <v>1070</v>
      </c>
      <c r="C3767" t="s">
        <v>3945</v>
      </c>
    </row>
    <row r="3768" spans="1:3">
      <c r="A3768" t="s">
        <v>839</v>
      </c>
      <c r="B3768" t="s">
        <v>1070</v>
      </c>
      <c r="C3768" t="s">
        <v>3944</v>
      </c>
    </row>
    <row r="3769" spans="1:3">
      <c r="A3769" t="s">
        <v>839</v>
      </c>
      <c r="B3769" t="s">
        <v>1070</v>
      </c>
      <c r="C3769" t="s">
        <v>3943</v>
      </c>
    </row>
    <row r="3770" spans="1:3">
      <c r="A3770" t="s">
        <v>839</v>
      </c>
      <c r="B3770" t="s">
        <v>1075</v>
      </c>
      <c r="C3770" t="s">
        <v>4039</v>
      </c>
    </row>
    <row r="3771" spans="1:3">
      <c r="A3771" t="s">
        <v>839</v>
      </c>
      <c r="B3771" t="s">
        <v>1075</v>
      </c>
      <c r="C3771" t="s">
        <v>4038</v>
      </c>
    </row>
    <row r="3772" spans="1:3">
      <c r="A3772" t="s">
        <v>839</v>
      </c>
      <c r="B3772" t="s">
        <v>1075</v>
      </c>
      <c r="C3772" t="s">
        <v>4037</v>
      </c>
    </row>
    <row r="3773" spans="1:3">
      <c r="A3773" t="s">
        <v>839</v>
      </c>
      <c r="B3773" t="s">
        <v>1075</v>
      </c>
      <c r="C3773" t="s">
        <v>4036</v>
      </c>
    </row>
    <row r="3774" spans="1:3">
      <c r="A3774" t="s">
        <v>839</v>
      </c>
      <c r="B3774" t="s">
        <v>1075</v>
      </c>
      <c r="C3774" t="s">
        <v>4035</v>
      </c>
    </row>
    <row r="3775" spans="1:3">
      <c r="A3775" t="s">
        <v>839</v>
      </c>
      <c r="B3775" t="s">
        <v>1075</v>
      </c>
      <c r="C3775" t="s">
        <v>4034</v>
      </c>
    </row>
    <row r="3776" spans="1:3">
      <c r="A3776" t="s">
        <v>839</v>
      </c>
      <c r="B3776" t="s">
        <v>1075</v>
      </c>
      <c r="C3776" t="s">
        <v>4033</v>
      </c>
    </row>
    <row r="3777" spans="1:3">
      <c r="A3777" t="s">
        <v>839</v>
      </c>
      <c r="B3777" t="s">
        <v>1075</v>
      </c>
      <c r="C3777" t="s">
        <v>4032</v>
      </c>
    </row>
    <row r="3778" spans="1:3">
      <c r="A3778" t="s">
        <v>839</v>
      </c>
      <c r="B3778" t="s">
        <v>1075</v>
      </c>
      <c r="C3778" t="s">
        <v>4031</v>
      </c>
    </row>
    <row r="3779" spans="1:3">
      <c r="A3779" t="s">
        <v>839</v>
      </c>
      <c r="B3779" t="s">
        <v>1075</v>
      </c>
      <c r="C3779" t="s">
        <v>4030</v>
      </c>
    </row>
    <row r="3780" spans="1:3">
      <c r="A3780" t="s">
        <v>839</v>
      </c>
      <c r="B3780" t="s">
        <v>1075</v>
      </c>
      <c r="C3780" t="s">
        <v>4029</v>
      </c>
    </row>
    <row r="3781" spans="1:3">
      <c r="A3781" t="s">
        <v>839</v>
      </c>
      <c r="B3781" t="s">
        <v>1075</v>
      </c>
      <c r="C3781" t="s">
        <v>4028</v>
      </c>
    </row>
    <row r="3782" spans="1:3">
      <c r="A3782" t="s">
        <v>839</v>
      </c>
      <c r="B3782" t="s">
        <v>1075</v>
      </c>
      <c r="C3782" t="s">
        <v>4027</v>
      </c>
    </row>
    <row r="3783" spans="1:3">
      <c r="A3783" t="s">
        <v>839</v>
      </c>
      <c r="B3783" t="s">
        <v>1075</v>
      </c>
      <c r="C3783" t="s">
        <v>4026</v>
      </c>
    </row>
    <row r="3784" spans="1:3">
      <c r="A3784" t="s">
        <v>839</v>
      </c>
      <c r="B3784" t="s">
        <v>1075</v>
      </c>
      <c r="C3784" t="s">
        <v>4025</v>
      </c>
    </row>
    <row r="3785" spans="1:3">
      <c r="A3785" t="s">
        <v>839</v>
      </c>
      <c r="B3785" t="s">
        <v>1075</v>
      </c>
      <c r="C3785" t="s">
        <v>4024</v>
      </c>
    </row>
    <row r="3786" spans="1:3">
      <c r="A3786" t="s">
        <v>839</v>
      </c>
      <c r="B3786" t="s">
        <v>1075</v>
      </c>
      <c r="C3786" t="s">
        <v>4023</v>
      </c>
    </row>
    <row r="3787" spans="1:3">
      <c r="A3787" t="s">
        <v>839</v>
      </c>
      <c r="B3787" t="s">
        <v>1075</v>
      </c>
      <c r="C3787" t="s">
        <v>4022</v>
      </c>
    </row>
    <row r="3788" spans="1:3">
      <c r="A3788" t="s">
        <v>839</v>
      </c>
      <c r="B3788" t="s">
        <v>1075</v>
      </c>
      <c r="C3788" t="s">
        <v>4021</v>
      </c>
    </row>
    <row r="3789" spans="1:3">
      <c r="A3789" t="s">
        <v>839</v>
      </c>
      <c r="B3789" t="s">
        <v>1075</v>
      </c>
      <c r="C3789" t="s">
        <v>4020</v>
      </c>
    </row>
    <row r="3790" spans="1:3">
      <c r="A3790" t="s">
        <v>839</v>
      </c>
      <c r="B3790" t="s">
        <v>1075</v>
      </c>
      <c r="C3790" t="s">
        <v>4019</v>
      </c>
    </row>
    <row r="3791" spans="1:3">
      <c r="A3791" t="s">
        <v>839</v>
      </c>
      <c r="B3791" t="s">
        <v>1075</v>
      </c>
      <c r="C3791" t="s">
        <v>4018</v>
      </c>
    </row>
    <row r="3792" spans="1:3">
      <c r="A3792" t="s">
        <v>839</v>
      </c>
      <c r="B3792" t="s">
        <v>1075</v>
      </c>
      <c r="C3792" t="s">
        <v>4017</v>
      </c>
    </row>
    <row r="3793" spans="1:3">
      <c r="A3793" t="s">
        <v>839</v>
      </c>
      <c r="B3793" t="s">
        <v>1075</v>
      </c>
      <c r="C3793" t="s">
        <v>4016</v>
      </c>
    </row>
    <row r="3794" spans="1:3">
      <c r="A3794" t="s">
        <v>839</v>
      </c>
      <c r="B3794" t="s">
        <v>1075</v>
      </c>
      <c r="C3794" t="s">
        <v>4015</v>
      </c>
    </row>
    <row r="3795" spans="1:3">
      <c r="A3795" t="s">
        <v>839</v>
      </c>
      <c r="B3795" t="s">
        <v>1075</v>
      </c>
      <c r="C3795" t="s">
        <v>4014</v>
      </c>
    </row>
    <row r="3796" spans="1:3">
      <c r="A3796" t="s">
        <v>839</v>
      </c>
      <c r="B3796" t="s">
        <v>1075</v>
      </c>
      <c r="C3796" t="s">
        <v>4013</v>
      </c>
    </row>
    <row r="3797" spans="1:3">
      <c r="A3797" t="s">
        <v>839</v>
      </c>
      <c r="B3797" t="s">
        <v>1075</v>
      </c>
      <c r="C3797" t="s">
        <v>4012</v>
      </c>
    </row>
    <row r="3798" spans="1:3">
      <c r="A3798" t="s">
        <v>839</v>
      </c>
      <c r="B3798" t="s">
        <v>1075</v>
      </c>
      <c r="C3798" t="s">
        <v>4011</v>
      </c>
    </row>
    <row r="3799" spans="1:3">
      <c r="A3799" t="s">
        <v>839</v>
      </c>
      <c r="B3799" t="s">
        <v>1075</v>
      </c>
      <c r="C3799" t="s">
        <v>4010</v>
      </c>
    </row>
    <row r="3800" spans="1:3">
      <c r="A3800" t="s">
        <v>839</v>
      </c>
      <c r="B3800" t="s">
        <v>1075</v>
      </c>
      <c r="C3800" t="s">
        <v>4009</v>
      </c>
    </row>
    <row r="3801" spans="1:3">
      <c r="A3801" t="s">
        <v>839</v>
      </c>
      <c r="B3801" t="s">
        <v>1075</v>
      </c>
      <c r="C3801" t="s">
        <v>4008</v>
      </c>
    </row>
    <row r="3802" spans="1:3">
      <c r="A3802" t="s">
        <v>839</v>
      </c>
      <c r="B3802" t="s">
        <v>1075</v>
      </c>
      <c r="C3802" t="s">
        <v>4007</v>
      </c>
    </row>
    <row r="3803" spans="1:3">
      <c r="A3803" t="s">
        <v>839</v>
      </c>
      <c r="B3803" t="s">
        <v>1075</v>
      </c>
      <c r="C3803" t="s">
        <v>4006</v>
      </c>
    </row>
    <row r="3804" spans="1:3">
      <c r="A3804" t="s">
        <v>839</v>
      </c>
      <c r="B3804" t="s">
        <v>1075</v>
      </c>
      <c r="C3804" t="s">
        <v>4005</v>
      </c>
    </row>
    <row r="3805" spans="1:3">
      <c r="A3805" t="s">
        <v>839</v>
      </c>
      <c r="B3805" t="s">
        <v>1075</v>
      </c>
      <c r="C3805" t="s">
        <v>4004</v>
      </c>
    </row>
    <row r="3806" spans="1:3">
      <c r="A3806" t="s">
        <v>839</v>
      </c>
      <c r="B3806" t="s">
        <v>1075</v>
      </c>
      <c r="C3806" t="s">
        <v>4003</v>
      </c>
    </row>
    <row r="3807" spans="1:3">
      <c r="A3807" t="s">
        <v>839</v>
      </c>
      <c r="B3807" t="s">
        <v>1075</v>
      </c>
      <c r="C3807" t="s">
        <v>4002</v>
      </c>
    </row>
    <row r="3808" spans="1:3">
      <c r="A3808" t="s">
        <v>839</v>
      </c>
      <c r="B3808" t="s">
        <v>1075</v>
      </c>
      <c r="C3808" t="s">
        <v>4001</v>
      </c>
    </row>
    <row r="3809" spans="1:3">
      <c r="A3809" t="s">
        <v>839</v>
      </c>
      <c r="B3809" t="s">
        <v>1075</v>
      </c>
      <c r="C3809" t="s">
        <v>4000</v>
      </c>
    </row>
    <row r="3810" spans="1:3">
      <c r="A3810" t="s">
        <v>839</v>
      </c>
      <c r="B3810" t="s">
        <v>1075</v>
      </c>
      <c r="C3810" t="s">
        <v>3999</v>
      </c>
    </row>
    <row r="3811" spans="1:3">
      <c r="A3811" t="s">
        <v>839</v>
      </c>
      <c r="B3811" t="s">
        <v>1075</v>
      </c>
      <c r="C3811" t="s">
        <v>3998</v>
      </c>
    </row>
    <row r="3812" spans="1:3">
      <c r="A3812" t="s">
        <v>839</v>
      </c>
      <c r="B3812" t="s">
        <v>1075</v>
      </c>
      <c r="C3812" t="s">
        <v>3997</v>
      </c>
    </row>
    <row r="3813" spans="1:3">
      <c r="A3813" t="s">
        <v>839</v>
      </c>
      <c r="B3813" t="s">
        <v>1075</v>
      </c>
      <c r="C3813" t="s">
        <v>3996</v>
      </c>
    </row>
    <row r="3814" spans="1:3">
      <c r="A3814" t="s">
        <v>839</v>
      </c>
      <c r="B3814" t="s">
        <v>1075</v>
      </c>
      <c r="C3814" t="s">
        <v>3995</v>
      </c>
    </row>
    <row r="3815" spans="1:3">
      <c r="A3815" t="s">
        <v>839</v>
      </c>
      <c r="B3815" t="s">
        <v>1075</v>
      </c>
      <c r="C3815" t="s">
        <v>3994</v>
      </c>
    </row>
    <row r="3816" spans="1:3">
      <c r="A3816" t="s">
        <v>839</v>
      </c>
      <c r="B3816" t="s">
        <v>1075</v>
      </c>
      <c r="C3816" t="s">
        <v>3993</v>
      </c>
    </row>
    <row r="3817" spans="1:3">
      <c r="A3817" t="s">
        <v>839</v>
      </c>
      <c r="B3817" t="s">
        <v>1075</v>
      </c>
      <c r="C3817" t="s">
        <v>3992</v>
      </c>
    </row>
    <row r="3818" spans="1:3">
      <c r="A3818" t="s">
        <v>839</v>
      </c>
      <c r="B3818" t="s">
        <v>1075</v>
      </c>
      <c r="C3818" t="s">
        <v>3991</v>
      </c>
    </row>
    <row r="3819" spans="1:3">
      <c r="A3819" t="s">
        <v>839</v>
      </c>
      <c r="B3819" t="s">
        <v>1075</v>
      </c>
      <c r="C3819" t="s">
        <v>3990</v>
      </c>
    </row>
    <row r="3820" spans="1:3">
      <c r="A3820" t="s">
        <v>839</v>
      </c>
      <c r="B3820" t="s">
        <v>1075</v>
      </c>
      <c r="C3820" t="s">
        <v>3989</v>
      </c>
    </row>
    <row r="3821" spans="1:3">
      <c r="A3821" t="s">
        <v>839</v>
      </c>
      <c r="B3821" t="s">
        <v>1075</v>
      </c>
      <c r="C3821" t="s">
        <v>3988</v>
      </c>
    </row>
    <row r="3822" spans="1:3">
      <c r="A3822" t="s">
        <v>839</v>
      </c>
      <c r="B3822" t="s">
        <v>1075</v>
      </c>
      <c r="C3822" t="s">
        <v>3987</v>
      </c>
    </row>
    <row r="3823" spans="1:3">
      <c r="A3823" t="s">
        <v>839</v>
      </c>
      <c r="B3823" t="s">
        <v>1075</v>
      </c>
      <c r="C3823" t="s">
        <v>3986</v>
      </c>
    </row>
    <row r="3824" spans="1:3">
      <c r="A3824" t="s">
        <v>839</v>
      </c>
      <c r="B3824" t="s">
        <v>1075</v>
      </c>
      <c r="C3824" t="s">
        <v>3985</v>
      </c>
    </row>
    <row r="3825" spans="1:3">
      <c r="A3825" t="s">
        <v>839</v>
      </c>
      <c r="B3825" t="s">
        <v>1075</v>
      </c>
      <c r="C3825" t="s">
        <v>3984</v>
      </c>
    </row>
    <row r="3826" spans="1:3">
      <c r="A3826" t="s">
        <v>839</v>
      </c>
      <c r="B3826" t="s">
        <v>1075</v>
      </c>
      <c r="C3826" t="s">
        <v>3983</v>
      </c>
    </row>
    <row r="3827" spans="1:3">
      <c r="A3827" t="s">
        <v>839</v>
      </c>
      <c r="B3827" t="s">
        <v>1075</v>
      </c>
      <c r="C3827" t="s">
        <v>3982</v>
      </c>
    </row>
    <row r="3828" spans="1:3">
      <c r="A3828" t="s">
        <v>839</v>
      </c>
      <c r="B3828" t="s">
        <v>1075</v>
      </c>
      <c r="C3828" t="s">
        <v>3981</v>
      </c>
    </row>
    <row r="3829" spans="1:3">
      <c r="A3829" t="s">
        <v>839</v>
      </c>
      <c r="B3829" t="s">
        <v>1075</v>
      </c>
      <c r="C3829" t="s">
        <v>3980</v>
      </c>
    </row>
    <row r="3830" spans="1:3">
      <c r="A3830" t="s">
        <v>839</v>
      </c>
      <c r="B3830" t="s">
        <v>1075</v>
      </c>
      <c r="C3830" t="s">
        <v>3979</v>
      </c>
    </row>
    <row r="3831" spans="1:3">
      <c r="A3831" t="s">
        <v>839</v>
      </c>
      <c r="B3831" t="s">
        <v>1075</v>
      </c>
      <c r="C3831" t="s">
        <v>3978</v>
      </c>
    </row>
    <row r="3832" spans="1:3">
      <c r="A3832" t="s">
        <v>839</v>
      </c>
      <c r="B3832" t="s">
        <v>1075</v>
      </c>
      <c r="C3832" t="s">
        <v>3977</v>
      </c>
    </row>
    <row r="3833" spans="1:3">
      <c r="A3833" t="s">
        <v>839</v>
      </c>
      <c r="B3833" t="s">
        <v>1075</v>
      </c>
      <c r="C3833" t="s">
        <v>3976</v>
      </c>
    </row>
    <row r="3834" spans="1:3">
      <c r="A3834" t="s">
        <v>839</v>
      </c>
      <c r="B3834" t="s">
        <v>1075</v>
      </c>
      <c r="C3834" t="s">
        <v>3975</v>
      </c>
    </row>
    <row r="3835" spans="1:3">
      <c r="A3835" t="s">
        <v>839</v>
      </c>
      <c r="B3835" t="s">
        <v>1075</v>
      </c>
      <c r="C3835" t="s">
        <v>3974</v>
      </c>
    </row>
    <row r="3836" spans="1:3">
      <c r="A3836" t="s">
        <v>839</v>
      </c>
      <c r="B3836" t="s">
        <v>1075</v>
      </c>
      <c r="C3836" t="s">
        <v>3973</v>
      </c>
    </row>
    <row r="3837" spans="1:3">
      <c r="A3837" t="s">
        <v>839</v>
      </c>
      <c r="B3837" t="s">
        <v>1075</v>
      </c>
      <c r="C3837" t="s">
        <v>3972</v>
      </c>
    </row>
    <row r="3838" spans="1:3">
      <c r="A3838" t="s">
        <v>839</v>
      </c>
      <c r="B3838" t="s">
        <v>1075</v>
      </c>
      <c r="C3838" t="s">
        <v>3971</v>
      </c>
    </row>
    <row r="3839" spans="1:3">
      <c r="A3839" t="s">
        <v>839</v>
      </c>
      <c r="B3839" t="s">
        <v>1075</v>
      </c>
      <c r="C3839" t="s">
        <v>3970</v>
      </c>
    </row>
    <row r="3840" spans="1:3">
      <c r="A3840" t="s">
        <v>839</v>
      </c>
      <c r="B3840" t="s">
        <v>1075</v>
      </c>
      <c r="C3840" t="s">
        <v>3969</v>
      </c>
    </row>
    <row r="3841" spans="1:3">
      <c r="A3841" t="s">
        <v>839</v>
      </c>
      <c r="B3841" t="s">
        <v>1075</v>
      </c>
      <c r="C3841" t="s">
        <v>3968</v>
      </c>
    </row>
    <row r="3842" spans="1:3">
      <c r="A3842" t="s">
        <v>839</v>
      </c>
      <c r="B3842" t="s">
        <v>1075</v>
      </c>
      <c r="C3842" t="s">
        <v>3967</v>
      </c>
    </row>
    <row r="3843" spans="1:3">
      <c r="A3843" t="s">
        <v>839</v>
      </c>
      <c r="B3843" t="s">
        <v>1075</v>
      </c>
      <c r="C3843" t="s">
        <v>3966</v>
      </c>
    </row>
    <row r="3844" spans="1:3">
      <c r="A3844" t="s">
        <v>839</v>
      </c>
      <c r="B3844" t="s">
        <v>1075</v>
      </c>
      <c r="C3844" t="s">
        <v>3965</v>
      </c>
    </row>
    <row r="3845" spans="1:3">
      <c r="A3845" t="s">
        <v>839</v>
      </c>
      <c r="B3845" t="s">
        <v>1075</v>
      </c>
      <c r="C3845" t="s">
        <v>3964</v>
      </c>
    </row>
    <row r="3846" spans="1:3">
      <c r="A3846" t="s">
        <v>839</v>
      </c>
      <c r="B3846" t="s">
        <v>1075</v>
      </c>
      <c r="C3846" t="s">
        <v>3963</v>
      </c>
    </row>
    <row r="3847" spans="1:3">
      <c r="A3847" t="s">
        <v>839</v>
      </c>
      <c r="B3847" t="s">
        <v>1075</v>
      </c>
      <c r="C3847" t="s">
        <v>3962</v>
      </c>
    </row>
    <row r="3848" spans="1:3">
      <c r="A3848" t="s">
        <v>839</v>
      </c>
      <c r="B3848" t="s">
        <v>1075</v>
      </c>
      <c r="C3848" t="s">
        <v>3961</v>
      </c>
    </row>
    <row r="3849" spans="1:3">
      <c r="A3849" t="s">
        <v>839</v>
      </c>
      <c r="B3849" t="s">
        <v>1075</v>
      </c>
      <c r="C3849" t="s">
        <v>3960</v>
      </c>
    </row>
    <row r="3850" spans="1:3">
      <c r="A3850" t="s">
        <v>839</v>
      </c>
      <c r="B3850" t="s">
        <v>1075</v>
      </c>
      <c r="C3850" t="s">
        <v>3959</v>
      </c>
    </row>
    <row r="3851" spans="1:3">
      <c r="A3851" t="s">
        <v>839</v>
      </c>
      <c r="B3851" t="s">
        <v>1075</v>
      </c>
      <c r="C3851" t="s">
        <v>3958</v>
      </c>
    </row>
    <row r="3852" spans="1:3">
      <c r="A3852" t="s">
        <v>839</v>
      </c>
      <c r="B3852" t="s">
        <v>1075</v>
      </c>
      <c r="C3852" t="s">
        <v>3957</v>
      </c>
    </row>
    <row r="3853" spans="1:3">
      <c r="A3853" t="s">
        <v>839</v>
      </c>
      <c r="B3853" t="s">
        <v>1075</v>
      </c>
      <c r="C3853" t="s">
        <v>3956</v>
      </c>
    </row>
    <row r="3854" spans="1:3">
      <c r="A3854" t="s">
        <v>839</v>
      </c>
      <c r="B3854" t="s">
        <v>1075</v>
      </c>
      <c r="C3854" t="s">
        <v>3955</v>
      </c>
    </row>
    <row r="3855" spans="1:3">
      <c r="A3855" t="s">
        <v>839</v>
      </c>
      <c r="B3855" t="s">
        <v>1075</v>
      </c>
      <c r="C3855" t="s">
        <v>3954</v>
      </c>
    </row>
    <row r="3856" spans="1:3">
      <c r="A3856" t="s">
        <v>839</v>
      </c>
      <c r="B3856" t="s">
        <v>1075</v>
      </c>
      <c r="C3856" t="s">
        <v>3953</v>
      </c>
    </row>
    <row r="3857" spans="1:3">
      <c r="A3857" t="s">
        <v>839</v>
      </c>
      <c r="B3857" t="s">
        <v>1075</v>
      </c>
      <c r="C3857" t="s">
        <v>3952</v>
      </c>
    </row>
    <row r="3858" spans="1:3">
      <c r="A3858" t="s">
        <v>839</v>
      </c>
      <c r="B3858" t="s">
        <v>1075</v>
      </c>
      <c r="C3858" t="s">
        <v>3951</v>
      </c>
    </row>
    <row r="3859" spans="1:3">
      <c r="A3859" t="s">
        <v>840</v>
      </c>
      <c r="B3859" t="s">
        <v>1070</v>
      </c>
      <c r="C3859" t="s">
        <v>3929</v>
      </c>
    </row>
    <row r="3860" spans="1:3">
      <c r="A3860" t="s">
        <v>840</v>
      </c>
      <c r="B3860" t="s">
        <v>1075</v>
      </c>
      <c r="C3860" t="s">
        <v>3942</v>
      </c>
    </row>
    <row r="3861" spans="1:3">
      <c r="A3861" t="s">
        <v>840</v>
      </c>
      <c r="B3861" t="s">
        <v>1075</v>
      </c>
      <c r="C3861" t="s">
        <v>3941</v>
      </c>
    </row>
    <row r="3862" spans="1:3">
      <c r="A3862" t="s">
        <v>840</v>
      </c>
      <c r="B3862" t="s">
        <v>1075</v>
      </c>
      <c r="C3862" t="s">
        <v>3940</v>
      </c>
    </row>
    <row r="3863" spans="1:3">
      <c r="A3863" t="s">
        <v>840</v>
      </c>
      <c r="B3863" t="s">
        <v>1075</v>
      </c>
      <c r="C3863" t="s">
        <v>3939</v>
      </c>
    </row>
    <row r="3864" spans="1:3">
      <c r="A3864" t="s">
        <v>840</v>
      </c>
      <c r="B3864" t="s">
        <v>1075</v>
      </c>
      <c r="C3864" t="s">
        <v>3938</v>
      </c>
    </row>
    <row r="3865" spans="1:3">
      <c r="A3865" t="s">
        <v>840</v>
      </c>
      <c r="B3865" t="s">
        <v>1075</v>
      </c>
      <c r="C3865" t="s">
        <v>3937</v>
      </c>
    </row>
    <row r="3866" spans="1:3">
      <c r="A3866" t="s">
        <v>840</v>
      </c>
      <c r="B3866" t="s">
        <v>1075</v>
      </c>
      <c r="C3866" t="s">
        <v>3936</v>
      </c>
    </row>
    <row r="3867" spans="1:3">
      <c r="A3867" t="s">
        <v>840</v>
      </c>
      <c r="B3867" t="s">
        <v>1075</v>
      </c>
      <c r="C3867" t="s">
        <v>3935</v>
      </c>
    </row>
    <row r="3868" spans="1:3">
      <c r="A3868" t="s">
        <v>840</v>
      </c>
      <c r="B3868" t="s">
        <v>1075</v>
      </c>
      <c r="C3868" t="s">
        <v>3934</v>
      </c>
    </row>
    <row r="3869" spans="1:3">
      <c r="A3869" t="s">
        <v>840</v>
      </c>
      <c r="B3869" t="s">
        <v>1075</v>
      </c>
      <c r="C3869" t="s">
        <v>3933</v>
      </c>
    </row>
    <row r="3870" spans="1:3">
      <c r="A3870" t="s">
        <v>840</v>
      </c>
      <c r="B3870" t="s">
        <v>1075</v>
      </c>
      <c r="C3870" t="s">
        <v>3932</v>
      </c>
    </row>
    <row r="3871" spans="1:3">
      <c r="A3871" t="s">
        <v>840</v>
      </c>
      <c r="B3871" t="s">
        <v>1075</v>
      </c>
      <c r="C3871" t="s">
        <v>3931</v>
      </c>
    </row>
    <row r="3872" spans="1:3">
      <c r="A3872" t="s">
        <v>840</v>
      </c>
      <c r="B3872" t="s">
        <v>1075</v>
      </c>
      <c r="C3872" t="s">
        <v>3930</v>
      </c>
    </row>
    <row r="3873" spans="1:3">
      <c r="A3873" t="s">
        <v>838</v>
      </c>
      <c r="B3873" t="s">
        <v>1070</v>
      </c>
      <c r="C3873" t="s">
        <v>3891</v>
      </c>
    </row>
    <row r="3874" spans="1:3">
      <c r="A3874" t="s">
        <v>838</v>
      </c>
      <c r="B3874" t="s">
        <v>1070</v>
      </c>
      <c r="C3874" t="s">
        <v>3890</v>
      </c>
    </row>
    <row r="3875" spans="1:3">
      <c r="A3875" t="s">
        <v>838</v>
      </c>
      <c r="B3875" t="s">
        <v>1070</v>
      </c>
      <c r="C3875" t="s">
        <v>3889</v>
      </c>
    </row>
    <row r="3876" spans="1:3">
      <c r="A3876" t="s">
        <v>838</v>
      </c>
      <c r="B3876" t="s">
        <v>1070</v>
      </c>
      <c r="C3876" t="s">
        <v>3888</v>
      </c>
    </row>
    <row r="3877" spans="1:3">
      <c r="A3877" t="s">
        <v>838</v>
      </c>
      <c r="B3877" t="s">
        <v>1070</v>
      </c>
      <c r="C3877" t="s">
        <v>3887</v>
      </c>
    </row>
    <row r="3878" spans="1:3">
      <c r="A3878" t="s">
        <v>838</v>
      </c>
      <c r="B3878" t="s">
        <v>1070</v>
      </c>
      <c r="C3878" t="s">
        <v>3886</v>
      </c>
    </row>
    <row r="3879" spans="1:3">
      <c r="A3879" t="s">
        <v>838</v>
      </c>
      <c r="B3879" t="s">
        <v>1075</v>
      </c>
      <c r="C3879" t="s">
        <v>3928</v>
      </c>
    </row>
    <row r="3880" spans="1:3">
      <c r="A3880" t="s">
        <v>838</v>
      </c>
      <c r="B3880" t="s">
        <v>1075</v>
      </c>
      <c r="C3880" t="s">
        <v>3927</v>
      </c>
    </row>
    <row r="3881" spans="1:3">
      <c r="A3881" t="s">
        <v>838</v>
      </c>
      <c r="B3881" t="s">
        <v>1075</v>
      </c>
      <c r="C3881" t="s">
        <v>3926</v>
      </c>
    </row>
    <row r="3882" spans="1:3">
      <c r="A3882" t="s">
        <v>838</v>
      </c>
      <c r="B3882" t="s">
        <v>1075</v>
      </c>
      <c r="C3882" t="s">
        <v>3925</v>
      </c>
    </row>
    <row r="3883" spans="1:3">
      <c r="A3883" t="s">
        <v>838</v>
      </c>
      <c r="B3883" t="s">
        <v>1075</v>
      </c>
      <c r="C3883" t="s">
        <v>3924</v>
      </c>
    </row>
    <row r="3884" spans="1:3">
      <c r="A3884" t="s">
        <v>838</v>
      </c>
      <c r="B3884" t="s">
        <v>1075</v>
      </c>
      <c r="C3884" t="s">
        <v>3923</v>
      </c>
    </row>
    <row r="3885" spans="1:3">
      <c r="A3885" t="s">
        <v>838</v>
      </c>
      <c r="B3885" t="s">
        <v>1075</v>
      </c>
      <c r="C3885" t="s">
        <v>3922</v>
      </c>
    </row>
    <row r="3886" spans="1:3">
      <c r="A3886" t="s">
        <v>838</v>
      </c>
      <c r="B3886" t="s">
        <v>1075</v>
      </c>
      <c r="C3886" t="s">
        <v>3921</v>
      </c>
    </row>
    <row r="3887" spans="1:3">
      <c r="A3887" t="s">
        <v>838</v>
      </c>
      <c r="B3887" t="s">
        <v>1075</v>
      </c>
      <c r="C3887" t="s">
        <v>3920</v>
      </c>
    </row>
    <row r="3888" spans="1:3">
      <c r="A3888" t="s">
        <v>838</v>
      </c>
      <c r="B3888" t="s">
        <v>1075</v>
      </c>
      <c r="C3888" t="s">
        <v>3919</v>
      </c>
    </row>
    <row r="3889" spans="1:3">
      <c r="A3889" t="s">
        <v>838</v>
      </c>
      <c r="B3889" t="s">
        <v>1075</v>
      </c>
      <c r="C3889" t="s">
        <v>3918</v>
      </c>
    </row>
    <row r="3890" spans="1:3">
      <c r="A3890" t="s">
        <v>838</v>
      </c>
      <c r="B3890" t="s">
        <v>1075</v>
      </c>
      <c r="C3890" t="s">
        <v>3917</v>
      </c>
    </row>
    <row r="3891" spans="1:3">
      <c r="A3891" t="s">
        <v>838</v>
      </c>
      <c r="B3891" t="s">
        <v>1075</v>
      </c>
      <c r="C3891" t="s">
        <v>3916</v>
      </c>
    </row>
    <row r="3892" spans="1:3">
      <c r="A3892" t="s">
        <v>838</v>
      </c>
      <c r="B3892" t="s">
        <v>1075</v>
      </c>
      <c r="C3892" t="s">
        <v>3915</v>
      </c>
    </row>
    <row r="3893" spans="1:3">
      <c r="A3893" t="s">
        <v>838</v>
      </c>
      <c r="B3893" t="s">
        <v>1075</v>
      </c>
      <c r="C3893" t="s">
        <v>3914</v>
      </c>
    </row>
    <row r="3894" spans="1:3">
      <c r="A3894" t="s">
        <v>838</v>
      </c>
      <c r="B3894" t="s">
        <v>1075</v>
      </c>
      <c r="C3894" t="s">
        <v>3913</v>
      </c>
    </row>
    <row r="3895" spans="1:3">
      <c r="A3895" t="s">
        <v>838</v>
      </c>
      <c r="B3895" t="s">
        <v>1075</v>
      </c>
      <c r="C3895" t="s">
        <v>3912</v>
      </c>
    </row>
    <row r="3896" spans="1:3">
      <c r="A3896" t="s">
        <v>838</v>
      </c>
      <c r="B3896" t="s">
        <v>1075</v>
      </c>
      <c r="C3896" t="s">
        <v>3911</v>
      </c>
    </row>
    <row r="3897" spans="1:3">
      <c r="A3897" t="s">
        <v>838</v>
      </c>
      <c r="B3897" t="s">
        <v>1075</v>
      </c>
      <c r="C3897" t="s">
        <v>3910</v>
      </c>
    </row>
    <row r="3898" spans="1:3">
      <c r="A3898" t="s">
        <v>838</v>
      </c>
      <c r="B3898" t="s">
        <v>1075</v>
      </c>
      <c r="C3898" t="s">
        <v>3909</v>
      </c>
    </row>
    <row r="3899" spans="1:3">
      <c r="A3899" t="s">
        <v>838</v>
      </c>
      <c r="B3899" t="s">
        <v>1075</v>
      </c>
      <c r="C3899" t="s">
        <v>3908</v>
      </c>
    </row>
    <row r="3900" spans="1:3">
      <c r="A3900" t="s">
        <v>838</v>
      </c>
      <c r="B3900" t="s">
        <v>1075</v>
      </c>
      <c r="C3900" t="s">
        <v>3907</v>
      </c>
    </row>
    <row r="3901" spans="1:3">
      <c r="A3901" t="s">
        <v>838</v>
      </c>
      <c r="B3901" t="s">
        <v>1075</v>
      </c>
      <c r="C3901" t="s">
        <v>3906</v>
      </c>
    </row>
    <row r="3902" spans="1:3">
      <c r="A3902" t="s">
        <v>838</v>
      </c>
      <c r="B3902" t="s">
        <v>1075</v>
      </c>
      <c r="C3902" t="s">
        <v>3905</v>
      </c>
    </row>
    <row r="3903" spans="1:3">
      <c r="A3903" t="s">
        <v>838</v>
      </c>
      <c r="B3903" t="s">
        <v>1075</v>
      </c>
      <c r="C3903" t="s">
        <v>3904</v>
      </c>
    </row>
    <row r="3904" spans="1:3">
      <c r="A3904" t="s">
        <v>838</v>
      </c>
      <c r="B3904" t="s">
        <v>1075</v>
      </c>
      <c r="C3904" t="s">
        <v>3903</v>
      </c>
    </row>
    <row r="3905" spans="1:3">
      <c r="A3905" t="s">
        <v>838</v>
      </c>
      <c r="B3905" t="s">
        <v>1075</v>
      </c>
      <c r="C3905" t="s">
        <v>3902</v>
      </c>
    </row>
    <row r="3906" spans="1:3">
      <c r="A3906" t="s">
        <v>838</v>
      </c>
      <c r="B3906" t="s">
        <v>1075</v>
      </c>
      <c r="C3906" t="s">
        <v>3901</v>
      </c>
    </row>
    <row r="3907" spans="1:3">
      <c r="A3907" t="s">
        <v>838</v>
      </c>
      <c r="B3907" t="s">
        <v>1075</v>
      </c>
      <c r="C3907" t="s">
        <v>3900</v>
      </c>
    </row>
    <row r="3908" spans="1:3">
      <c r="A3908" t="s">
        <v>838</v>
      </c>
      <c r="B3908" t="s">
        <v>1075</v>
      </c>
      <c r="C3908" t="s">
        <v>3899</v>
      </c>
    </row>
    <row r="3909" spans="1:3">
      <c r="A3909" t="s">
        <v>838</v>
      </c>
      <c r="B3909" t="s">
        <v>1075</v>
      </c>
      <c r="C3909" t="s">
        <v>3898</v>
      </c>
    </row>
    <row r="3910" spans="1:3">
      <c r="A3910" t="s">
        <v>838</v>
      </c>
      <c r="B3910" t="s">
        <v>1075</v>
      </c>
      <c r="C3910" t="s">
        <v>3897</v>
      </c>
    </row>
    <row r="3911" spans="1:3">
      <c r="A3911" t="s">
        <v>838</v>
      </c>
      <c r="B3911" t="s">
        <v>1075</v>
      </c>
      <c r="C3911" t="s">
        <v>3896</v>
      </c>
    </row>
    <row r="3912" spans="1:3">
      <c r="A3912" t="s">
        <v>838</v>
      </c>
      <c r="B3912" t="s">
        <v>1075</v>
      </c>
      <c r="C3912" t="s">
        <v>3895</v>
      </c>
    </row>
    <row r="3913" spans="1:3">
      <c r="A3913" t="s">
        <v>838</v>
      </c>
      <c r="B3913" t="s">
        <v>1075</v>
      </c>
      <c r="C3913" t="s">
        <v>3894</v>
      </c>
    </row>
    <row r="3914" spans="1:3">
      <c r="A3914" t="s">
        <v>838</v>
      </c>
      <c r="B3914" t="s">
        <v>1075</v>
      </c>
      <c r="C3914" t="s">
        <v>3893</v>
      </c>
    </row>
    <row r="3915" spans="1:3">
      <c r="A3915" t="s">
        <v>838</v>
      </c>
      <c r="B3915" t="s">
        <v>1075</v>
      </c>
      <c r="C3915" t="s">
        <v>3892</v>
      </c>
    </row>
    <row r="3916" spans="1:3">
      <c r="A3916" t="s">
        <v>843</v>
      </c>
      <c r="B3916" t="s">
        <v>1070</v>
      </c>
      <c r="C3916" t="s">
        <v>3836</v>
      </c>
    </row>
    <row r="3917" spans="1:3">
      <c r="A3917" t="s">
        <v>843</v>
      </c>
      <c r="B3917" t="s">
        <v>1070</v>
      </c>
      <c r="C3917" t="s">
        <v>3835</v>
      </c>
    </row>
    <row r="3918" spans="1:3">
      <c r="A3918" t="s">
        <v>843</v>
      </c>
      <c r="B3918" t="s">
        <v>1070</v>
      </c>
      <c r="C3918" t="s">
        <v>3834</v>
      </c>
    </row>
    <row r="3919" spans="1:3">
      <c r="A3919" t="s">
        <v>843</v>
      </c>
      <c r="B3919" t="s">
        <v>1070</v>
      </c>
      <c r="C3919" t="s">
        <v>3833</v>
      </c>
    </row>
    <row r="3920" spans="1:3">
      <c r="A3920" t="s">
        <v>843</v>
      </c>
      <c r="B3920" t="s">
        <v>1070</v>
      </c>
      <c r="C3920" t="s">
        <v>3832</v>
      </c>
    </row>
    <row r="3921" spans="1:3">
      <c r="A3921" t="s">
        <v>843</v>
      </c>
      <c r="B3921" t="s">
        <v>1070</v>
      </c>
      <c r="C3921" t="s">
        <v>3831</v>
      </c>
    </row>
    <row r="3922" spans="1:3">
      <c r="A3922" t="s">
        <v>843</v>
      </c>
      <c r="B3922" t="s">
        <v>1075</v>
      </c>
      <c r="C3922" t="s">
        <v>3885</v>
      </c>
    </row>
    <row r="3923" spans="1:3">
      <c r="A3923" t="s">
        <v>843</v>
      </c>
      <c r="B3923" t="s">
        <v>1075</v>
      </c>
      <c r="C3923" t="s">
        <v>3884</v>
      </c>
    </row>
    <row r="3924" spans="1:3">
      <c r="A3924" t="s">
        <v>843</v>
      </c>
      <c r="B3924" t="s">
        <v>1075</v>
      </c>
      <c r="C3924" t="s">
        <v>3883</v>
      </c>
    </row>
    <row r="3925" spans="1:3">
      <c r="A3925" t="s">
        <v>843</v>
      </c>
      <c r="B3925" t="s">
        <v>1075</v>
      </c>
      <c r="C3925" t="s">
        <v>3882</v>
      </c>
    </row>
    <row r="3926" spans="1:3">
      <c r="A3926" t="s">
        <v>843</v>
      </c>
      <c r="B3926" t="s">
        <v>1075</v>
      </c>
      <c r="C3926" t="s">
        <v>3881</v>
      </c>
    </row>
    <row r="3927" spans="1:3">
      <c r="A3927" t="s">
        <v>843</v>
      </c>
      <c r="B3927" t="s">
        <v>1075</v>
      </c>
      <c r="C3927" t="s">
        <v>3880</v>
      </c>
    </row>
    <row r="3928" spans="1:3">
      <c r="A3928" t="s">
        <v>843</v>
      </c>
      <c r="B3928" t="s">
        <v>1075</v>
      </c>
      <c r="C3928" t="s">
        <v>3879</v>
      </c>
    </row>
    <row r="3929" spans="1:3">
      <c r="A3929" t="s">
        <v>843</v>
      </c>
      <c r="B3929" t="s">
        <v>1075</v>
      </c>
      <c r="C3929" t="s">
        <v>3878</v>
      </c>
    </row>
    <row r="3930" spans="1:3">
      <c r="A3930" t="s">
        <v>843</v>
      </c>
      <c r="B3930" t="s">
        <v>1075</v>
      </c>
      <c r="C3930" t="s">
        <v>3877</v>
      </c>
    </row>
    <row r="3931" spans="1:3">
      <c r="A3931" t="s">
        <v>843</v>
      </c>
      <c r="B3931" t="s">
        <v>1075</v>
      </c>
      <c r="C3931" t="s">
        <v>3876</v>
      </c>
    </row>
    <row r="3932" spans="1:3">
      <c r="A3932" t="s">
        <v>843</v>
      </c>
      <c r="B3932" t="s">
        <v>1075</v>
      </c>
      <c r="C3932" t="s">
        <v>3875</v>
      </c>
    </row>
    <row r="3933" spans="1:3">
      <c r="A3933" t="s">
        <v>843</v>
      </c>
      <c r="B3933" t="s">
        <v>1075</v>
      </c>
      <c r="C3933" t="s">
        <v>3874</v>
      </c>
    </row>
    <row r="3934" spans="1:3">
      <c r="A3934" t="s">
        <v>843</v>
      </c>
      <c r="B3934" t="s">
        <v>1075</v>
      </c>
      <c r="C3934" t="s">
        <v>3873</v>
      </c>
    </row>
    <row r="3935" spans="1:3">
      <c r="A3935" t="s">
        <v>843</v>
      </c>
      <c r="B3935" t="s">
        <v>1075</v>
      </c>
      <c r="C3935" t="s">
        <v>3872</v>
      </c>
    </row>
    <row r="3936" spans="1:3">
      <c r="A3936" t="s">
        <v>843</v>
      </c>
      <c r="B3936" t="s">
        <v>1075</v>
      </c>
      <c r="C3936" t="s">
        <v>3871</v>
      </c>
    </row>
    <row r="3937" spans="1:3">
      <c r="A3937" t="s">
        <v>843</v>
      </c>
      <c r="B3937" t="s">
        <v>1075</v>
      </c>
      <c r="C3937" t="s">
        <v>3870</v>
      </c>
    </row>
    <row r="3938" spans="1:3">
      <c r="A3938" t="s">
        <v>843</v>
      </c>
      <c r="B3938" t="s">
        <v>1075</v>
      </c>
      <c r="C3938" t="s">
        <v>3869</v>
      </c>
    </row>
    <row r="3939" spans="1:3">
      <c r="A3939" t="s">
        <v>843</v>
      </c>
      <c r="B3939" t="s">
        <v>1075</v>
      </c>
      <c r="C3939" t="s">
        <v>3868</v>
      </c>
    </row>
    <row r="3940" spans="1:3">
      <c r="A3940" t="s">
        <v>843</v>
      </c>
      <c r="B3940" t="s">
        <v>1075</v>
      </c>
      <c r="C3940" t="s">
        <v>3867</v>
      </c>
    </row>
    <row r="3941" spans="1:3">
      <c r="A3941" t="s">
        <v>843</v>
      </c>
      <c r="B3941" t="s">
        <v>1075</v>
      </c>
      <c r="C3941" t="s">
        <v>3866</v>
      </c>
    </row>
    <row r="3942" spans="1:3">
      <c r="A3942" t="s">
        <v>843</v>
      </c>
      <c r="B3942" t="s">
        <v>1075</v>
      </c>
      <c r="C3942" t="s">
        <v>3865</v>
      </c>
    </row>
    <row r="3943" spans="1:3">
      <c r="A3943" t="s">
        <v>843</v>
      </c>
      <c r="B3943" t="s">
        <v>1075</v>
      </c>
      <c r="C3943" t="s">
        <v>3864</v>
      </c>
    </row>
    <row r="3944" spans="1:3">
      <c r="A3944" t="s">
        <v>843</v>
      </c>
      <c r="B3944" t="s">
        <v>1075</v>
      </c>
      <c r="C3944" t="s">
        <v>3863</v>
      </c>
    </row>
    <row r="3945" spans="1:3">
      <c r="A3945" t="s">
        <v>843</v>
      </c>
      <c r="B3945" t="s">
        <v>1075</v>
      </c>
      <c r="C3945" t="s">
        <v>3862</v>
      </c>
    </row>
    <row r="3946" spans="1:3">
      <c r="A3946" t="s">
        <v>843</v>
      </c>
      <c r="B3946" t="s">
        <v>1075</v>
      </c>
      <c r="C3946" t="s">
        <v>3861</v>
      </c>
    </row>
    <row r="3947" spans="1:3">
      <c r="A3947" t="s">
        <v>843</v>
      </c>
      <c r="B3947" t="s">
        <v>1075</v>
      </c>
      <c r="C3947" t="s">
        <v>3860</v>
      </c>
    </row>
    <row r="3948" spans="1:3">
      <c r="A3948" t="s">
        <v>843</v>
      </c>
      <c r="B3948" t="s">
        <v>1075</v>
      </c>
      <c r="C3948" t="s">
        <v>3859</v>
      </c>
    </row>
    <row r="3949" spans="1:3">
      <c r="A3949" t="s">
        <v>843</v>
      </c>
      <c r="B3949" t="s">
        <v>1075</v>
      </c>
      <c r="C3949" t="s">
        <v>3858</v>
      </c>
    </row>
    <row r="3950" spans="1:3">
      <c r="A3950" t="s">
        <v>843</v>
      </c>
      <c r="B3950" t="s">
        <v>1075</v>
      </c>
      <c r="C3950" t="s">
        <v>3857</v>
      </c>
    </row>
    <row r="3951" spans="1:3">
      <c r="A3951" t="s">
        <v>843</v>
      </c>
      <c r="B3951" t="s">
        <v>1075</v>
      </c>
      <c r="C3951" t="s">
        <v>3856</v>
      </c>
    </row>
    <row r="3952" spans="1:3">
      <c r="A3952" t="s">
        <v>843</v>
      </c>
      <c r="B3952" t="s">
        <v>1075</v>
      </c>
      <c r="C3952" t="s">
        <v>3855</v>
      </c>
    </row>
    <row r="3953" spans="1:3">
      <c r="A3953" t="s">
        <v>843</v>
      </c>
      <c r="B3953" t="s">
        <v>1075</v>
      </c>
      <c r="C3953" t="s">
        <v>3854</v>
      </c>
    </row>
    <row r="3954" spans="1:3">
      <c r="A3954" t="s">
        <v>843</v>
      </c>
      <c r="B3954" t="s">
        <v>1075</v>
      </c>
      <c r="C3954" t="s">
        <v>3853</v>
      </c>
    </row>
    <row r="3955" spans="1:3">
      <c r="A3955" t="s">
        <v>843</v>
      </c>
      <c r="B3955" t="s">
        <v>1075</v>
      </c>
      <c r="C3955" t="s">
        <v>3852</v>
      </c>
    </row>
    <row r="3956" spans="1:3">
      <c r="A3956" t="s">
        <v>843</v>
      </c>
      <c r="B3956" t="s">
        <v>1075</v>
      </c>
      <c r="C3956" t="s">
        <v>3851</v>
      </c>
    </row>
    <row r="3957" spans="1:3">
      <c r="A3957" t="s">
        <v>843</v>
      </c>
      <c r="B3957" t="s">
        <v>1075</v>
      </c>
      <c r="C3957" t="s">
        <v>3850</v>
      </c>
    </row>
    <row r="3958" spans="1:3">
      <c r="A3958" t="s">
        <v>843</v>
      </c>
      <c r="B3958" t="s">
        <v>1075</v>
      </c>
      <c r="C3958" t="s">
        <v>3849</v>
      </c>
    </row>
    <row r="3959" spans="1:3">
      <c r="A3959" t="s">
        <v>843</v>
      </c>
      <c r="B3959" t="s">
        <v>1075</v>
      </c>
      <c r="C3959" t="s">
        <v>3848</v>
      </c>
    </row>
    <row r="3960" spans="1:3">
      <c r="A3960" t="s">
        <v>843</v>
      </c>
      <c r="B3960" t="s">
        <v>1075</v>
      </c>
      <c r="C3960" t="s">
        <v>3847</v>
      </c>
    </row>
    <row r="3961" spans="1:3">
      <c r="A3961" t="s">
        <v>843</v>
      </c>
      <c r="B3961" t="s">
        <v>1075</v>
      </c>
      <c r="C3961" t="s">
        <v>3846</v>
      </c>
    </row>
    <row r="3962" spans="1:3">
      <c r="A3962" t="s">
        <v>843</v>
      </c>
      <c r="B3962" t="s">
        <v>1075</v>
      </c>
      <c r="C3962" t="s">
        <v>3845</v>
      </c>
    </row>
    <row r="3963" spans="1:3">
      <c r="A3963" t="s">
        <v>843</v>
      </c>
      <c r="B3963" t="s">
        <v>1075</v>
      </c>
      <c r="C3963" t="s">
        <v>3844</v>
      </c>
    </row>
    <row r="3964" spans="1:3">
      <c r="A3964" t="s">
        <v>843</v>
      </c>
      <c r="B3964" t="s">
        <v>1075</v>
      </c>
      <c r="C3964" t="s">
        <v>3843</v>
      </c>
    </row>
    <row r="3965" spans="1:3">
      <c r="A3965" t="s">
        <v>843</v>
      </c>
      <c r="B3965" t="s">
        <v>1075</v>
      </c>
      <c r="C3965" t="s">
        <v>3842</v>
      </c>
    </row>
    <row r="3966" spans="1:3">
      <c r="A3966" t="s">
        <v>843</v>
      </c>
      <c r="B3966" t="s">
        <v>1075</v>
      </c>
      <c r="C3966" t="s">
        <v>3841</v>
      </c>
    </row>
    <row r="3967" spans="1:3">
      <c r="A3967" t="s">
        <v>843</v>
      </c>
      <c r="B3967" t="s">
        <v>1075</v>
      </c>
      <c r="C3967" t="s">
        <v>3840</v>
      </c>
    </row>
    <row r="3968" spans="1:3">
      <c r="A3968" t="s">
        <v>843</v>
      </c>
      <c r="B3968" t="s">
        <v>1075</v>
      </c>
      <c r="C3968" t="s">
        <v>3839</v>
      </c>
    </row>
    <row r="3969" spans="1:3">
      <c r="A3969" t="s">
        <v>843</v>
      </c>
      <c r="B3969" t="s">
        <v>1075</v>
      </c>
      <c r="C3969" t="s">
        <v>3838</v>
      </c>
    </row>
    <row r="3970" spans="1:3">
      <c r="A3970" t="s">
        <v>843</v>
      </c>
      <c r="B3970" t="s">
        <v>1075</v>
      </c>
      <c r="C3970" t="s">
        <v>3837</v>
      </c>
    </row>
    <row r="3971" spans="1:3">
      <c r="A3971" t="s">
        <v>844</v>
      </c>
      <c r="B3971" t="s">
        <v>1070</v>
      </c>
      <c r="C3971" t="s">
        <v>3793</v>
      </c>
    </row>
    <row r="3972" spans="1:3">
      <c r="A3972" t="s">
        <v>844</v>
      </c>
      <c r="B3972" t="s">
        <v>1070</v>
      </c>
      <c r="C3972" t="s">
        <v>3792</v>
      </c>
    </row>
    <row r="3973" spans="1:3">
      <c r="A3973" t="s">
        <v>844</v>
      </c>
      <c r="B3973" t="s">
        <v>1070</v>
      </c>
      <c r="C3973" t="s">
        <v>3791</v>
      </c>
    </row>
    <row r="3974" spans="1:3">
      <c r="A3974" t="s">
        <v>844</v>
      </c>
      <c r="B3974" t="s">
        <v>1070</v>
      </c>
      <c r="C3974" t="s">
        <v>3790</v>
      </c>
    </row>
    <row r="3975" spans="1:3">
      <c r="A3975" t="s">
        <v>844</v>
      </c>
      <c r="B3975" t="s">
        <v>1070</v>
      </c>
      <c r="C3975" t="s">
        <v>3789</v>
      </c>
    </row>
    <row r="3976" spans="1:3">
      <c r="A3976" t="s">
        <v>844</v>
      </c>
      <c r="B3976" t="s">
        <v>1075</v>
      </c>
      <c r="C3976" t="s">
        <v>3830</v>
      </c>
    </row>
    <row r="3977" spans="1:3">
      <c r="A3977" t="s">
        <v>844</v>
      </c>
      <c r="B3977" t="s">
        <v>1075</v>
      </c>
      <c r="C3977" t="s">
        <v>3829</v>
      </c>
    </row>
    <row r="3978" spans="1:3">
      <c r="A3978" t="s">
        <v>844</v>
      </c>
      <c r="B3978" t="s">
        <v>1075</v>
      </c>
      <c r="C3978" t="s">
        <v>3828</v>
      </c>
    </row>
    <row r="3979" spans="1:3">
      <c r="A3979" t="s">
        <v>844</v>
      </c>
      <c r="B3979" t="s">
        <v>1075</v>
      </c>
      <c r="C3979" t="s">
        <v>3827</v>
      </c>
    </row>
    <row r="3980" spans="1:3">
      <c r="A3980" t="s">
        <v>844</v>
      </c>
      <c r="B3980" t="s">
        <v>1075</v>
      </c>
      <c r="C3980" t="s">
        <v>3826</v>
      </c>
    </row>
    <row r="3981" spans="1:3">
      <c r="A3981" t="s">
        <v>844</v>
      </c>
      <c r="B3981" t="s">
        <v>1075</v>
      </c>
      <c r="C3981" t="s">
        <v>3825</v>
      </c>
    </row>
    <row r="3982" spans="1:3">
      <c r="A3982" t="s">
        <v>844</v>
      </c>
      <c r="B3982" t="s">
        <v>1075</v>
      </c>
      <c r="C3982" t="s">
        <v>3824</v>
      </c>
    </row>
    <row r="3983" spans="1:3">
      <c r="A3983" t="s">
        <v>844</v>
      </c>
      <c r="B3983" t="s">
        <v>1075</v>
      </c>
      <c r="C3983" t="s">
        <v>3823</v>
      </c>
    </row>
    <row r="3984" spans="1:3">
      <c r="A3984" t="s">
        <v>844</v>
      </c>
      <c r="B3984" t="s">
        <v>1075</v>
      </c>
      <c r="C3984" t="s">
        <v>3822</v>
      </c>
    </row>
    <row r="3985" spans="1:3">
      <c r="A3985" t="s">
        <v>844</v>
      </c>
      <c r="B3985" t="s">
        <v>1075</v>
      </c>
      <c r="C3985" t="s">
        <v>3821</v>
      </c>
    </row>
    <row r="3986" spans="1:3">
      <c r="A3986" t="s">
        <v>844</v>
      </c>
      <c r="B3986" t="s">
        <v>1075</v>
      </c>
      <c r="C3986" t="s">
        <v>3820</v>
      </c>
    </row>
    <row r="3987" spans="1:3">
      <c r="A3987" t="s">
        <v>844</v>
      </c>
      <c r="B3987" t="s">
        <v>1075</v>
      </c>
      <c r="C3987" t="s">
        <v>3819</v>
      </c>
    </row>
    <row r="3988" spans="1:3">
      <c r="A3988" t="s">
        <v>844</v>
      </c>
      <c r="B3988" t="s">
        <v>1075</v>
      </c>
      <c r="C3988" t="s">
        <v>3818</v>
      </c>
    </row>
    <row r="3989" spans="1:3">
      <c r="A3989" t="s">
        <v>844</v>
      </c>
      <c r="B3989" t="s">
        <v>1075</v>
      </c>
      <c r="C3989" t="s">
        <v>3817</v>
      </c>
    </row>
    <row r="3990" spans="1:3">
      <c r="A3990" t="s">
        <v>844</v>
      </c>
      <c r="B3990" t="s">
        <v>1075</v>
      </c>
      <c r="C3990" t="s">
        <v>3816</v>
      </c>
    </row>
    <row r="3991" spans="1:3">
      <c r="A3991" t="s">
        <v>844</v>
      </c>
      <c r="B3991" t="s">
        <v>1075</v>
      </c>
      <c r="C3991" t="s">
        <v>3815</v>
      </c>
    </row>
    <row r="3992" spans="1:3">
      <c r="A3992" t="s">
        <v>844</v>
      </c>
      <c r="B3992" t="s">
        <v>1075</v>
      </c>
      <c r="C3992" t="s">
        <v>3814</v>
      </c>
    </row>
    <row r="3993" spans="1:3">
      <c r="A3993" t="s">
        <v>844</v>
      </c>
      <c r="B3993" t="s">
        <v>1075</v>
      </c>
      <c r="C3993" t="s">
        <v>3813</v>
      </c>
    </row>
    <row r="3994" spans="1:3">
      <c r="A3994" t="s">
        <v>844</v>
      </c>
      <c r="B3994" t="s">
        <v>1075</v>
      </c>
      <c r="C3994" t="s">
        <v>3812</v>
      </c>
    </row>
    <row r="3995" spans="1:3">
      <c r="A3995" t="s">
        <v>844</v>
      </c>
      <c r="B3995" t="s">
        <v>1075</v>
      </c>
      <c r="C3995" t="s">
        <v>3811</v>
      </c>
    </row>
    <row r="3996" spans="1:3">
      <c r="A3996" t="s">
        <v>844</v>
      </c>
      <c r="B3996" t="s">
        <v>1075</v>
      </c>
      <c r="C3996" t="s">
        <v>3810</v>
      </c>
    </row>
    <row r="3997" spans="1:3">
      <c r="A3997" t="s">
        <v>844</v>
      </c>
      <c r="B3997" t="s">
        <v>1075</v>
      </c>
      <c r="C3997" t="s">
        <v>3809</v>
      </c>
    </row>
    <row r="3998" spans="1:3">
      <c r="A3998" t="s">
        <v>844</v>
      </c>
      <c r="B3998" t="s">
        <v>1075</v>
      </c>
      <c r="C3998" t="s">
        <v>3808</v>
      </c>
    </row>
    <row r="3999" spans="1:3">
      <c r="A3999" t="s">
        <v>844</v>
      </c>
      <c r="B3999" t="s">
        <v>1075</v>
      </c>
      <c r="C3999" t="s">
        <v>3807</v>
      </c>
    </row>
    <row r="4000" spans="1:3">
      <c r="A4000" t="s">
        <v>844</v>
      </c>
      <c r="B4000" t="s">
        <v>1075</v>
      </c>
      <c r="C4000" t="s">
        <v>3806</v>
      </c>
    </row>
    <row r="4001" spans="1:3">
      <c r="A4001" t="s">
        <v>844</v>
      </c>
      <c r="B4001" t="s">
        <v>1075</v>
      </c>
      <c r="C4001" t="s">
        <v>3805</v>
      </c>
    </row>
    <row r="4002" spans="1:3">
      <c r="A4002" t="s">
        <v>844</v>
      </c>
      <c r="B4002" t="s">
        <v>1075</v>
      </c>
      <c r="C4002" t="s">
        <v>3804</v>
      </c>
    </row>
    <row r="4003" spans="1:3">
      <c r="A4003" t="s">
        <v>844</v>
      </c>
      <c r="B4003" t="s">
        <v>1075</v>
      </c>
      <c r="C4003" t="s">
        <v>3803</v>
      </c>
    </row>
    <row r="4004" spans="1:3">
      <c r="A4004" t="s">
        <v>844</v>
      </c>
      <c r="B4004" t="s">
        <v>1075</v>
      </c>
      <c r="C4004" t="s">
        <v>3802</v>
      </c>
    </row>
    <row r="4005" spans="1:3">
      <c r="A4005" t="s">
        <v>844</v>
      </c>
      <c r="B4005" t="s">
        <v>1075</v>
      </c>
      <c r="C4005" t="s">
        <v>3801</v>
      </c>
    </row>
    <row r="4006" spans="1:3">
      <c r="A4006" t="s">
        <v>844</v>
      </c>
      <c r="B4006" t="s">
        <v>1075</v>
      </c>
      <c r="C4006" t="s">
        <v>3800</v>
      </c>
    </row>
    <row r="4007" spans="1:3">
      <c r="A4007" t="s">
        <v>844</v>
      </c>
      <c r="B4007" t="s">
        <v>1075</v>
      </c>
      <c r="C4007" t="s">
        <v>3799</v>
      </c>
    </row>
    <row r="4008" spans="1:3">
      <c r="A4008" t="s">
        <v>844</v>
      </c>
      <c r="B4008" t="s">
        <v>1075</v>
      </c>
      <c r="C4008" t="s">
        <v>3798</v>
      </c>
    </row>
    <row r="4009" spans="1:3">
      <c r="A4009" t="s">
        <v>844</v>
      </c>
      <c r="B4009" t="s">
        <v>1075</v>
      </c>
      <c r="C4009" t="s">
        <v>3797</v>
      </c>
    </row>
    <row r="4010" spans="1:3">
      <c r="A4010" t="s">
        <v>844</v>
      </c>
      <c r="B4010" t="s">
        <v>1075</v>
      </c>
      <c r="C4010" t="s">
        <v>3796</v>
      </c>
    </row>
    <row r="4011" spans="1:3">
      <c r="A4011" t="s">
        <v>844</v>
      </c>
      <c r="B4011" t="s">
        <v>1075</v>
      </c>
      <c r="C4011" t="s">
        <v>3795</v>
      </c>
    </row>
    <row r="4012" spans="1:3">
      <c r="A4012" t="s">
        <v>844</v>
      </c>
      <c r="B4012" t="s">
        <v>1075</v>
      </c>
      <c r="C4012" t="s">
        <v>3794</v>
      </c>
    </row>
    <row r="4013" spans="1:3">
      <c r="A4013" t="s">
        <v>842</v>
      </c>
      <c r="B4013" t="s">
        <v>1070</v>
      </c>
      <c r="C4013" t="s">
        <v>3715</v>
      </c>
    </row>
    <row r="4014" spans="1:3">
      <c r="A4014" t="s">
        <v>842</v>
      </c>
      <c r="B4014" t="s">
        <v>1070</v>
      </c>
      <c r="C4014" t="s">
        <v>3714</v>
      </c>
    </row>
    <row r="4015" spans="1:3">
      <c r="A4015" t="s">
        <v>842</v>
      </c>
      <c r="B4015" t="s">
        <v>1070</v>
      </c>
      <c r="C4015" t="s">
        <v>3713</v>
      </c>
    </row>
    <row r="4016" spans="1:3">
      <c r="A4016" t="s">
        <v>842</v>
      </c>
      <c r="B4016" t="s">
        <v>1070</v>
      </c>
      <c r="C4016" t="s">
        <v>3712</v>
      </c>
    </row>
    <row r="4017" spans="1:3">
      <c r="A4017" t="s">
        <v>842</v>
      </c>
      <c r="B4017" t="s">
        <v>1070</v>
      </c>
      <c r="C4017" t="s">
        <v>3711</v>
      </c>
    </row>
    <row r="4018" spans="1:3">
      <c r="A4018" t="s">
        <v>842</v>
      </c>
      <c r="B4018" t="s">
        <v>1070</v>
      </c>
      <c r="C4018" t="s">
        <v>3710</v>
      </c>
    </row>
    <row r="4019" spans="1:3">
      <c r="A4019" t="s">
        <v>842</v>
      </c>
      <c r="B4019" t="s">
        <v>1070</v>
      </c>
      <c r="C4019" t="s">
        <v>3709</v>
      </c>
    </row>
    <row r="4020" spans="1:3">
      <c r="A4020" t="s">
        <v>842</v>
      </c>
      <c r="B4020" t="s">
        <v>1070</v>
      </c>
      <c r="C4020" t="s">
        <v>3708</v>
      </c>
    </row>
    <row r="4021" spans="1:3">
      <c r="A4021" t="s">
        <v>842</v>
      </c>
      <c r="B4021" t="s">
        <v>1070</v>
      </c>
      <c r="C4021" t="s">
        <v>3707</v>
      </c>
    </row>
    <row r="4022" spans="1:3">
      <c r="A4022" t="s">
        <v>842</v>
      </c>
      <c r="B4022" t="s">
        <v>1075</v>
      </c>
      <c r="C4022" t="s">
        <v>3788</v>
      </c>
    </row>
    <row r="4023" spans="1:3">
      <c r="A4023" t="s">
        <v>842</v>
      </c>
      <c r="B4023" t="s">
        <v>1075</v>
      </c>
      <c r="C4023" t="s">
        <v>3787</v>
      </c>
    </row>
    <row r="4024" spans="1:3">
      <c r="A4024" t="s">
        <v>842</v>
      </c>
      <c r="B4024" t="s">
        <v>1075</v>
      </c>
      <c r="C4024" t="s">
        <v>3786</v>
      </c>
    </row>
    <row r="4025" spans="1:3">
      <c r="A4025" t="s">
        <v>842</v>
      </c>
      <c r="B4025" t="s">
        <v>1075</v>
      </c>
      <c r="C4025" t="s">
        <v>3785</v>
      </c>
    </row>
    <row r="4026" spans="1:3">
      <c r="A4026" t="s">
        <v>842</v>
      </c>
      <c r="B4026" t="s">
        <v>1075</v>
      </c>
      <c r="C4026" t="s">
        <v>3784</v>
      </c>
    </row>
    <row r="4027" spans="1:3">
      <c r="A4027" t="s">
        <v>842</v>
      </c>
      <c r="B4027" t="s">
        <v>1075</v>
      </c>
      <c r="C4027" t="s">
        <v>3783</v>
      </c>
    </row>
    <row r="4028" spans="1:3">
      <c r="A4028" t="s">
        <v>842</v>
      </c>
      <c r="B4028" t="s">
        <v>1075</v>
      </c>
      <c r="C4028" t="s">
        <v>3782</v>
      </c>
    </row>
    <row r="4029" spans="1:3">
      <c r="A4029" t="s">
        <v>842</v>
      </c>
      <c r="B4029" t="s">
        <v>1075</v>
      </c>
      <c r="C4029" t="s">
        <v>3781</v>
      </c>
    </row>
    <row r="4030" spans="1:3">
      <c r="A4030" t="s">
        <v>842</v>
      </c>
      <c r="B4030" t="s">
        <v>1075</v>
      </c>
      <c r="C4030" t="s">
        <v>3780</v>
      </c>
    </row>
    <row r="4031" spans="1:3">
      <c r="A4031" t="s">
        <v>842</v>
      </c>
      <c r="B4031" t="s">
        <v>1075</v>
      </c>
      <c r="C4031" t="s">
        <v>3779</v>
      </c>
    </row>
    <row r="4032" spans="1:3">
      <c r="A4032" t="s">
        <v>842</v>
      </c>
      <c r="B4032" t="s">
        <v>1075</v>
      </c>
      <c r="C4032" t="s">
        <v>3778</v>
      </c>
    </row>
    <row r="4033" spans="1:3">
      <c r="A4033" t="s">
        <v>842</v>
      </c>
      <c r="B4033" t="s">
        <v>1075</v>
      </c>
      <c r="C4033" t="s">
        <v>3777</v>
      </c>
    </row>
    <row r="4034" spans="1:3">
      <c r="A4034" t="s">
        <v>842</v>
      </c>
      <c r="B4034" t="s">
        <v>1075</v>
      </c>
      <c r="C4034" t="s">
        <v>3776</v>
      </c>
    </row>
    <row r="4035" spans="1:3">
      <c r="A4035" t="s">
        <v>842</v>
      </c>
      <c r="B4035" t="s">
        <v>1075</v>
      </c>
      <c r="C4035" t="s">
        <v>3775</v>
      </c>
    </row>
    <row r="4036" spans="1:3">
      <c r="A4036" t="s">
        <v>842</v>
      </c>
      <c r="B4036" t="s">
        <v>1075</v>
      </c>
      <c r="C4036" t="s">
        <v>3774</v>
      </c>
    </row>
    <row r="4037" spans="1:3">
      <c r="A4037" t="s">
        <v>842</v>
      </c>
      <c r="B4037" t="s">
        <v>1075</v>
      </c>
      <c r="C4037" t="s">
        <v>3773</v>
      </c>
    </row>
    <row r="4038" spans="1:3">
      <c r="A4038" t="s">
        <v>842</v>
      </c>
      <c r="B4038" t="s">
        <v>1075</v>
      </c>
      <c r="C4038" t="s">
        <v>3772</v>
      </c>
    </row>
    <row r="4039" spans="1:3">
      <c r="A4039" t="s">
        <v>842</v>
      </c>
      <c r="B4039" t="s">
        <v>1075</v>
      </c>
      <c r="C4039" t="s">
        <v>3771</v>
      </c>
    </row>
    <row r="4040" spans="1:3">
      <c r="A4040" t="s">
        <v>842</v>
      </c>
      <c r="B4040" t="s">
        <v>1075</v>
      </c>
      <c r="C4040" t="s">
        <v>3770</v>
      </c>
    </row>
    <row r="4041" spans="1:3">
      <c r="A4041" t="s">
        <v>842</v>
      </c>
      <c r="B4041" t="s">
        <v>1075</v>
      </c>
      <c r="C4041" t="s">
        <v>3769</v>
      </c>
    </row>
    <row r="4042" spans="1:3">
      <c r="A4042" t="s">
        <v>842</v>
      </c>
      <c r="B4042" t="s">
        <v>1075</v>
      </c>
      <c r="C4042" t="s">
        <v>3768</v>
      </c>
    </row>
    <row r="4043" spans="1:3">
      <c r="A4043" t="s">
        <v>842</v>
      </c>
      <c r="B4043" t="s">
        <v>1075</v>
      </c>
      <c r="C4043" t="s">
        <v>3767</v>
      </c>
    </row>
    <row r="4044" spans="1:3">
      <c r="A4044" t="s">
        <v>842</v>
      </c>
      <c r="B4044" t="s">
        <v>1075</v>
      </c>
      <c r="C4044" t="s">
        <v>3766</v>
      </c>
    </row>
    <row r="4045" spans="1:3">
      <c r="A4045" t="s">
        <v>842</v>
      </c>
      <c r="B4045" t="s">
        <v>1075</v>
      </c>
      <c r="C4045" t="s">
        <v>3765</v>
      </c>
    </row>
    <row r="4046" spans="1:3">
      <c r="A4046" t="s">
        <v>842</v>
      </c>
      <c r="B4046" t="s">
        <v>1075</v>
      </c>
      <c r="C4046" t="s">
        <v>3764</v>
      </c>
    </row>
    <row r="4047" spans="1:3">
      <c r="A4047" t="s">
        <v>842</v>
      </c>
      <c r="B4047" t="s">
        <v>1075</v>
      </c>
      <c r="C4047" t="s">
        <v>3763</v>
      </c>
    </row>
    <row r="4048" spans="1:3">
      <c r="A4048" t="s">
        <v>842</v>
      </c>
      <c r="B4048" t="s">
        <v>1075</v>
      </c>
      <c r="C4048" t="s">
        <v>3762</v>
      </c>
    </row>
    <row r="4049" spans="1:3">
      <c r="A4049" t="s">
        <v>842</v>
      </c>
      <c r="B4049" t="s">
        <v>1075</v>
      </c>
      <c r="C4049" t="s">
        <v>3761</v>
      </c>
    </row>
    <row r="4050" spans="1:3">
      <c r="A4050" t="s">
        <v>842</v>
      </c>
      <c r="B4050" t="s">
        <v>1075</v>
      </c>
      <c r="C4050" t="s">
        <v>3760</v>
      </c>
    </row>
    <row r="4051" spans="1:3">
      <c r="A4051" t="s">
        <v>842</v>
      </c>
      <c r="B4051" t="s">
        <v>1075</v>
      </c>
      <c r="C4051" t="s">
        <v>3759</v>
      </c>
    </row>
    <row r="4052" spans="1:3">
      <c r="A4052" t="s">
        <v>842</v>
      </c>
      <c r="B4052" t="s">
        <v>1075</v>
      </c>
      <c r="C4052" t="s">
        <v>3758</v>
      </c>
    </row>
    <row r="4053" spans="1:3">
      <c r="A4053" t="s">
        <v>842</v>
      </c>
      <c r="B4053" t="s">
        <v>1075</v>
      </c>
      <c r="C4053" t="s">
        <v>3757</v>
      </c>
    </row>
    <row r="4054" spans="1:3">
      <c r="A4054" t="s">
        <v>842</v>
      </c>
      <c r="B4054" t="s">
        <v>1075</v>
      </c>
      <c r="C4054" t="s">
        <v>3756</v>
      </c>
    </row>
    <row r="4055" spans="1:3">
      <c r="A4055" t="s">
        <v>842</v>
      </c>
      <c r="B4055" t="s">
        <v>1075</v>
      </c>
      <c r="C4055" t="s">
        <v>3755</v>
      </c>
    </row>
    <row r="4056" spans="1:3">
      <c r="A4056" t="s">
        <v>842</v>
      </c>
      <c r="B4056" t="s">
        <v>1075</v>
      </c>
      <c r="C4056" t="s">
        <v>3754</v>
      </c>
    </row>
    <row r="4057" spans="1:3">
      <c r="A4057" t="s">
        <v>842</v>
      </c>
      <c r="B4057" t="s">
        <v>1075</v>
      </c>
      <c r="C4057" t="s">
        <v>3753</v>
      </c>
    </row>
    <row r="4058" spans="1:3">
      <c r="A4058" t="s">
        <v>842</v>
      </c>
      <c r="B4058" t="s">
        <v>1075</v>
      </c>
      <c r="C4058" t="s">
        <v>3752</v>
      </c>
    </row>
    <row r="4059" spans="1:3">
      <c r="A4059" t="s">
        <v>842</v>
      </c>
      <c r="B4059" t="s">
        <v>1075</v>
      </c>
      <c r="C4059" t="s">
        <v>3751</v>
      </c>
    </row>
    <row r="4060" spans="1:3">
      <c r="A4060" t="s">
        <v>842</v>
      </c>
      <c r="B4060" t="s">
        <v>1075</v>
      </c>
      <c r="C4060" t="s">
        <v>3750</v>
      </c>
    </row>
    <row r="4061" spans="1:3">
      <c r="A4061" t="s">
        <v>842</v>
      </c>
      <c r="B4061" t="s">
        <v>1075</v>
      </c>
      <c r="C4061" t="s">
        <v>3749</v>
      </c>
    </row>
    <row r="4062" spans="1:3">
      <c r="A4062" t="s">
        <v>842</v>
      </c>
      <c r="B4062" t="s">
        <v>1075</v>
      </c>
      <c r="C4062" t="s">
        <v>3748</v>
      </c>
    </row>
    <row r="4063" spans="1:3">
      <c r="A4063" t="s">
        <v>842</v>
      </c>
      <c r="B4063" t="s">
        <v>1075</v>
      </c>
      <c r="C4063" t="s">
        <v>3747</v>
      </c>
    </row>
    <row r="4064" spans="1:3">
      <c r="A4064" t="s">
        <v>842</v>
      </c>
      <c r="B4064" t="s">
        <v>1075</v>
      </c>
      <c r="C4064" t="s">
        <v>3746</v>
      </c>
    </row>
    <row r="4065" spans="1:3">
      <c r="A4065" t="s">
        <v>842</v>
      </c>
      <c r="B4065" t="s">
        <v>1075</v>
      </c>
      <c r="C4065" t="s">
        <v>3745</v>
      </c>
    </row>
    <row r="4066" spans="1:3">
      <c r="A4066" t="s">
        <v>842</v>
      </c>
      <c r="B4066" t="s">
        <v>1075</v>
      </c>
      <c r="C4066" t="s">
        <v>3744</v>
      </c>
    </row>
    <row r="4067" spans="1:3">
      <c r="A4067" t="s">
        <v>842</v>
      </c>
      <c r="B4067" t="s">
        <v>1075</v>
      </c>
      <c r="C4067" t="s">
        <v>3743</v>
      </c>
    </row>
    <row r="4068" spans="1:3">
      <c r="A4068" t="s">
        <v>842</v>
      </c>
      <c r="B4068" t="s">
        <v>1075</v>
      </c>
      <c r="C4068" t="s">
        <v>3742</v>
      </c>
    </row>
    <row r="4069" spans="1:3">
      <c r="A4069" t="s">
        <v>842</v>
      </c>
      <c r="B4069" t="s">
        <v>1075</v>
      </c>
      <c r="C4069" t="s">
        <v>3741</v>
      </c>
    </row>
    <row r="4070" spans="1:3">
      <c r="A4070" t="s">
        <v>842</v>
      </c>
      <c r="B4070" t="s">
        <v>1075</v>
      </c>
      <c r="C4070" t="s">
        <v>3740</v>
      </c>
    </row>
    <row r="4071" spans="1:3">
      <c r="A4071" t="s">
        <v>842</v>
      </c>
      <c r="B4071" t="s">
        <v>1075</v>
      </c>
      <c r="C4071" t="s">
        <v>3739</v>
      </c>
    </row>
    <row r="4072" spans="1:3">
      <c r="A4072" t="s">
        <v>842</v>
      </c>
      <c r="B4072" t="s">
        <v>1075</v>
      </c>
      <c r="C4072" t="s">
        <v>3738</v>
      </c>
    </row>
    <row r="4073" spans="1:3">
      <c r="A4073" t="s">
        <v>842</v>
      </c>
      <c r="B4073" t="s">
        <v>1075</v>
      </c>
      <c r="C4073" t="s">
        <v>3737</v>
      </c>
    </row>
    <row r="4074" spans="1:3">
      <c r="A4074" t="s">
        <v>842</v>
      </c>
      <c r="B4074" t="s">
        <v>1075</v>
      </c>
      <c r="C4074" t="s">
        <v>3736</v>
      </c>
    </row>
    <row r="4075" spans="1:3">
      <c r="A4075" t="s">
        <v>842</v>
      </c>
      <c r="B4075" t="s">
        <v>1075</v>
      </c>
      <c r="C4075" t="s">
        <v>3735</v>
      </c>
    </row>
    <row r="4076" spans="1:3">
      <c r="A4076" t="s">
        <v>842</v>
      </c>
      <c r="B4076" t="s">
        <v>1075</v>
      </c>
      <c r="C4076" t="s">
        <v>3734</v>
      </c>
    </row>
    <row r="4077" spans="1:3">
      <c r="A4077" t="s">
        <v>842</v>
      </c>
      <c r="B4077" t="s">
        <v>1075</v>
      </c>
      <c r="C4077" t="s">
        <v>3733</v>
      </c>
    </row>
    <row r="4078" spans="1:3">
      <c r="A4078" t="s">
        <v>842</v>
      </c>
      <c r="B4078" t="s">
        <v>1075</v>
      </c>
      <c r="C4078" t="s">
        <v>3732</v>
      </c>
    </row>
    <row r="4079" spans="1:3">
      <c r="A4079" t="s">
        <v>842</v>
      </c>
      <c r="B4079" t="s">
        <v>1075</v>
      </c>
      <c r="C4079" t="s">
        <v>3731</v>
      </c>
    </row>
    <row r="4080" spans="1:3">
      <c r="A4080" t="s">
        <v>842</v>
      </c>
      <c r="B4080" t="s">
        <v>1075</v>
      </c>
      <c r="C4080" t="s">
        <v>3730</v>
      </c>
    </row>
    <row r="4081" spans="1:3">
      <c r="A4081" t="s">
        <v>842</v>
      </c>
      <c r="B4081" t="s">
        <v>1075</v>
      </c>
      <c r="C4081" t="s">
        <v>3729</v>
      </c>
    </row>
    <row r="4082" spans="1:3">
      <c r="A4082" t="s">
        <v>842</v>
      </c>
      <c r="B4082" t="s">
        <v>1075</v>
      </c>
      <c r="C4082" t="s">
        <v>3728</v>
      </c>
    </row>
    <row r="4083" spans="1:3">
      <c r="A4083" t="s">
        <v>842</v>
      </c>
      <c r="B4083" t="s">
        <v>1075</v>
      </c>
      <c r="C4083" t="s">
        <v>3727</v>
      </c>
    </row>
    <row r="4084" spans="1:3">
      <c r="A4084" t="s">
        <v>842</v>
      </c>
      <c r="B4084" t="s">
        <v>1075</v>
      </c>
      <c r="C4084" t="s">
        <v>3726</v>
      </c>
    </row>
    <row r="4085" spans="1:3">
      <c r="A4085" t="s">
        <v>842</v>
      </c>
      <c r="B4085" t="s">
        <v>1075</v>
      </c>
      <c r="C4085" t="s">
        <v>3725</v>
      </c>
    </row>
    <row r="4086" spans="1:3">
      <c r="A4086" t="s">
        <v>842</v>
      </c>
      <c r="B4086" t="s">
        <v>1075</v>
      </c>
      <c r="C4086" t="s">
        <v>3724</v>
      </c>
    </row>
    <row r="4087" spans="1:3">
      <c r="A4087" t="s">
        <v>842</v>
      </c>
      <c r="B4087" t="s">
        <v>1075</v>
      </c>
      <c r="C4087" t="s">
        <v>3723</v>
      </c>
    </row>
    <row r="4088" spans="1:3">
      <c r="A4088" t="s">
        <v>842</v>
      </c>
      <c r="B4088" t="s">
        <v>1075</v>
      </c>
      <c r="C4088" t="s">
        <v>3722</v>
      </c>
    </row>
    <row r="4089" spans="1:3">
      <c r="A4089" t="s">
        <v>842</v>
      </c>
      <c r="B4089" t="s">
        <v>1075</v>
      </c>
      <c r="C4089" t="s">
        <v>3721</v>
      </c>
    </row>
    <row r="4090" spans="1:3">
      <c r="A4090" t="s">
        <v>842</v>
      </c>
      <c r="B4090" t="s">
        <v>1075</v>
      </c>
      <c r="C4090" t="s">
        <v>3720</v>
      </c>
    </row>
    <row r="4091" spans="1:3">
      <c r="A4091" t="s">
        <v>842</v>
      </c>
      <c r="B4091" t="s">
        <v>1075</v>
      </c>
      <c r="C4091" t="s">
        <v>3719</v>
      </c>
    </row>
    <row r="4092" spans="1:3">
      <c r="A4092" t="s">
        <v>842</v>
      </c>
      <c r="B4092" t="s">
        <v>1075</v>
      </c>
      <c r="C4092" t="s">
        <v>3718</v>
      </c>
    </row>
    <row r="4093" spans="1:3">
      <c r="A4093" t="s">
        <v>842</v>
      </c>
      <c r="B4093" t="s">
        <v>1075</v>
      </c>
      <c r="C4093" t="s">
        <v>3717</v>
      </c>
    </row>
    <row r="4094" spans="1:3">
      <c r="A4094" t="s">
        <v>842</v>
      </c>
      <c r="B4094" t="s">
        <v>1075</v>
      </c>
      <c r="C4094" t="s">
        <v>3716</v>
      </c>
    </row>
    <row r="4095" spans="1:3">
      <c r="A4095" t="s">
        <v>849</v>
      </c>
      <c r="B4095" t="s">
        <v>1070</v>
      </c>
      <c r="C4095" t="s">
        <v>3657</v>
      </c>
    </row>
    <row r="4096" spans="1:3">
      <c r="A4096" t="s">
        <v>849</v>
      </c>
      <c r="B4096" t="s">
        <v>1070</v>
      </c>
      <c r="C4096" t="s">
        <v>3656</v>
      </c>
    </row>
    <row r="4097" spans="1:3">
      <c r="A4097" t="s">
        <v>849</v>
      </c>
      <c r="B4097" t="s">
        <v>1070</v>
      </c>
      <c r="C4097" t="s">
        <v>3655</v>
      </c>
    </row>
    <row r="4098" spans="1:3">
      <c r="A4098" t="s">
        <v>849</v>
      </c>
      <c r="B4098" t="s">
        <v>1070</v>
      </c>
      <c r="C4098" t="s">
        <v>3654</v>
      </c>
    </row>
    <row r="4099" spans="1:3">
      <c r="A4099" t="s">
        <v>849</v>
      </c>
      <c r="B4099" t="s">
        <v>1070</v>
      </c>
      <c r="C4099" t="s">
        <v>3653</v>
      </c>
    </row>
    <row r="4100" spans="1:3">
      <c r="A4100" t="s">
        <v>849</v>
      </c>
      <c r="B4100" t="s">
        <v>1075</v>
      </c>
      <c r="C4100" t="s">
        <v>3706</v>
      </c>
    </row>
    <row r="4101" spans="1:3">
      <c r="A4101" t="s">
        <v>849</v>
      </c>
      <c r="B4101" t="s">
        <v>1075</v>
      </c>
      <c r="C4101" t="s">
        <v>3705</v>
      </c>
    </row>
    <row r="4102" spans="1:3">
      <c r="A4102" t="s">
        <v>849</v>
      </c>
      <c r="B4102" t="s">
        <v>1075</v>
      </c>
      <c r="C4102" t="s">
        <v>3704</v>
      </c>
    </row>
    <row r="4103" spans="1:3">
      <c r="A4103" t="s">
        <v>849</v>
      </c>
      <c r="B4103" t="s">
        <v>1075</v>
      </c>
      <c r="C4103" t="s">
        <v>3703</v>
      </c>
    </row>
    <row r="4104" spans="1:3">
      <c r="A4104" t="s">
        <v>849</v>
      </c>
      <c r="B4104" t="s">
        <v>1075</v>
      </c>
      <c r="C4104" t="s">
        <v>3702</v>
      </c>
    </row>
    <row r="4105" spans="1:3">
      <c r="A4105" t="s">
        <v>849</v>
      </c>
      <c r="B4105" t="s">
        <v>1075</v>
      </c>
      <c r="C4105" t="s">
        <v>3701</v>
      </c>
    </row>
    <row r="4106" spans="1:3">
      <c r="A4106" t="s">
        <v>849</v>
      </c>
      <c r="B4106" t="s">
        <v>1075</v>
      </c>
      <c r="C4106" t="s">
        <v>3700</v>
      </c>
    </row>
    <row r="4107" spans="1:3">
      <c r="A4107" t="s">
        <v>849</v>
      </c>
      <c r="B4107" t="s">
        <v>1075</v>
      </c>
      <c r="C4107" t="s">
        <v>3699</v>
      </c>
    </row>
    <row r="4108" spans="1:3">
      <c r="A4108" t="s">
        <v>849</v>
      </c>
      <c r="B4108" t="s">
        <v>1075</v>
      </c>
      <c r="C4108" t="s">
        <v>3698</v>
      </c>
    </row>
    <row r="4109" spans="1:3">
      <c r="A4109" t="s">
        <v>849</v>
      </c>
      <c r="B4109" t="s">
        <v>1075</v>
      </c>
      <c r="C4109" t="s">
        <v>3697</v>
      </c>
    </row>
    <row r="4110" spans="1:3">
      <c r="A4110" t="s">
        <v>849</v>
      </c>
      <c r="B4110" t="s">
        <v>1075</v>
      </c>
      <c r="C4110" t="s">
        <v>3696</v>
      </c>
    </row>
    <row r="4111" spans="1:3">
      <c r="A4111" t="s">
        <v>849</v>
      </c>
      <c r="B4111" t="s">
        <v>1075</v>
      </c>
      <c r="C4111" t="s">
        <v>3695</v>
      </c>
    </row>
    <row r="4112" spans="1:3">
      <c r="A4112" t="s">
        <v>849</v>
      </c>
      <c r="B4112" t="s">
        <v>1075</v>
      </c>
      <c r="C4112" t="s">
        <v>3694</v>
      </c>
    </row>
    <row r="4113" spans="1:3">
      <c r="A4113" t="s">
        <v>849</v>
      </c>
      <c r="B4113" t="s">
        <v>1075</v>
      </c>
      <c r="C4113" t="s">
        <v>3693</v>
      </c>
    </row>
    <row r="4114" spans="1:3">
      <c r="A4114" t="s">
        <v>849</v>
      </c>
      <c r="B4114" t="s">
        <v>1075</v>
      </c>
      <c r="C4114" t="s">
        <v>3692</v>
      </c>
    </row>
    <row r="4115" spans="1:3">
      <c r="A4115" t="s">
        <v>849</v>
      </c>
      <c r="B4115" t="s">
        <v>1075</v>
      </c>
      <c r="C4115" t="s">
        <v>3691</v>
      </c>
    </row>
    <row r="4116" spans="1:3">
      <c r="A4116" t="s">
        <v>849</v>
      </c>
      <c r="B4116" t="s">
        <v>1075</v>
      </c>
      <c r="C4116" t="s">
        <v>3690</v>
      </c>
    </row>
    <row r="4117" spans="1:3">
      <c r="A4117" t="s">
        <v>849</v>
      </c>
      <c r="B4117" t="s">
        <v>1075</v>
      </c>
      <c r="C4117" t="s">
        <v>3689</v>
      </c>
    </row>
    <row r="4118" spans="1:3">
      <c r="A4118" t="s">
        <v>849</v>
      </c>
      <c r="B4118" t="s">
        <v>1075</v>
      </c>
      <c r="C4118" t="s">
        <v>3688</v>
      </c>
    </row>
    <row r="4119" spans="1:3">
      <c r="A4119" t="s">
        <v>849</v>
      </c>
      <c r="B4119" t="s">
        <v>1075</v>
      </c>
      <c r="C4119" t="s">
        <v>3687</v>
      </c>
    </row>
    <row r="4120" spans="1:3">
      <c r="A4120" t="s">
        <v>849</v>
      </c>
      <c r="B4120" t="s">
        <v>1075</v>
      </c>
      <c r="C4120" t="s">
        <v>3686</v>
      </c>
    </row>
    <row r="4121" spans="1:3">
      <c r="A4121" t="s">
        <v>849</v>
      </c>
      <c r="B4121" t="s">
        <v>1075</v>
      </c>
      <c r="C4121" t="s">
        <v>3685</v>
      </c>
    </row>
    <row r="4122" spans="1:3">
      <c r="A4122" t="s">
        <v>849</v>
      </c>
      <c r="B4122" t="s">
        <v>1075</v>
      </c>
      <c r="C4122" t="s">
        <v>3684</v>
      </c>
    </row>
    <row r="4123" spans="1:3">
      <c r="A4123" t="s">
        <v>849</v>
      </c>
      <c r="B4123" t="s">
        <v>1075</v>
      </c>
      <c r="C4123" t="s">
        <v>3683</v>
      </c>
    </row>
    <row r="4124" spans="1:3">
      <c r="A4124" t="s">
        <v>849</v>
      </c>
      <c r="B4124" t="s">
        <v>1075</v>
      </c>
      <c r="C4124" t="s">
        <v>3682</v>
      </c>
    </row>
    <row r="4125" spans="1:3">
      <c r="A4125" t="s">
        <v>849</v>
      </c>
      <c r="B4125" t="s">
        <v>1075</v>
      </c>
      <c r="C4125" t="s">
        <v>3681</v>
      </c>
    </row>
    <row r="4126" spans="1:3">
      <c r="A4126" t="s">
        <v>849</v>
      </c>
      <c r="B4126" t="s">
        <v>1075</v>
      </c>
      <c r="C4126" t="s">
        <v>3680</v>
      </c>
    </row>
    <row r="4127" spans="1:3">
      <c r="A4127" t="s">
        <v>849</v>
      </c>
      <c r="B4127" t="s">
        <v>1075</v>
      </c>
      <c r="C4127" t="s">
        <v>3679</v>
      </c>
    </row>
    <row r="4128" spans="1:3">
      <c r="A4128" t="s">
        <v>849</v>
      </c>
      <c r="B4128" t="s">
        <v>1075</v>
      </c>
      <c r="C4128" t="s">
        <v>3678</v>
      </c>
    </row>
    <row r="4129" spans="1:3">
      <c r="A4129" t="s">
        <v>849</v>
      </c>
      <c r="B4129" t="s">
        <v>1075</v>
      </c>
      <c r="C4129" t="s">
        <v>3677</v>
      </c>
    </row>
    <row r="4130" spans="1:3">
      <c r="A4130" t="s">
        <v>849</v>
      </c>
      <c r="B4130" t="s">
        <v>1075</v>
      </c>
      <c r="C4130" t="s">
        <v>3676</v>
      </c>
    </row>
    <row r="4131" spans="1:3">
      <c r="A4131" t="s">
        <v>849</v>
      </c>
      <c r="B4131" t="s">
        <v>1075</v>
      </c>
      <c r="C4131" t="s">
        <v>3675</v>
      </c>
    </row>
    <row r="4132" spans="1:3">
      <c r="A4132" t="s">
        <v>849</v>
      </c>
      <c r="B4132" t="s">
        <v>1075</v>
      </c>
      <c r="C4132" t="s">
        <v>3674</v>
      </c>
    </row>
    <row r="4133" spans="1:3">
      <c r="A4133" t="s">
        <v>849</v>
      </c>
      <c r="B4133" t="s">
        <v>1075</v>
      </c>
      <c r="C4133" t="s">
        <v>3673</v>
      </c>
    </row>
    <row r="4134" spans="1:3">
      <c r="A4134" t="s">
        <v>849</v>
      </c>
      <c r="B4134" t="s">
        <v>1075</v>
      </c>
      <c r="C4134" t="s">
        <v>3672</v>
      </c>
    </row>
    <row r="4135" spans="1:3">
      <c r="A4135" t="s">
        <v>849</v>
      </c>
      <c r="B4135" t="s">
        <v>1075</v>
      </c>
      <c r="C4135" t="s">
        <v>3671</v>
      </c>
    </row>
    <row r="4136" spans="1:3">
      <c r="A4136" t="s">
        <v>849</v>
      </c>
      <c r="B4136" t="s">
        <v>1075</v>
      </c>
      <c r="C4136" t="s">
        <v>3670</v>
      </c>
    </row>
    <row r="4137" spans="1:3">
      <c r="A4137" t="s">
        <v>849</v>
      </c>
      <c r="B4137" t="s">
        <v>1075</v>
      </c>
      <c r="C4137" t="s">
        <v>3669</v>
      </c>
    </row>
    <row r="4138" spans="1:3">
      <c r="A4138" t="s">
        <v>849</v>
      </c>
      <c r="B4138" t="s">
        <v>1075</v>
      </c>
      <c r="C4138" t="s">
        <v>3668</v>
      </c>
    </row>
    <row r="4139" spans="1:3">
      <c r="A4139" t="s">
        <v>849</v>
      </c>
      <c r="B4139" t="s">
        <v>1075</v>
      </c>
      <c r="C4139" t="s">
        <v>3667</v>
      </c>
    </row>
    <row r="4140" spans="1:3">
      <c r="A4140" t="s">
        <v>849</v>
      </c>
      <c r="B4140" t="s">
        <v>1075</v>
      </c>
      <c r="C4140" t="s">
        <v>3666</v>
      </c>
    </row>
    <row r="4141" spans="1:3">
      <c r="A4141" t="s">
        <v>849</v>
      </c>
      <c r="B4141" t="s">
        <v>1075</v>
      </c>
      <c r="C4141" t="s">
        <v>3665</v>
      </c>
    </row>
    <row r="4142" spans="1:3">
      <c r="A4142" t="s">
        <v>849</v>
      </c>
      <c r="B4142" t="s">
        <v>1075</v>
      </c>
      <c r="C4142" t="s">
        <v>3664</v>
      </c>
    </row>
    <row r="4143" spans="1:3">
      <c r="A4143" t="s">
        <v>849</v>
      </c>
      <c r="B4143" t="s">
        <v>1075</v>
      </c>
      <c r="C4143" t="s">
        <v>3663</v>
      </c>
    </row>
    <row r="4144" spans="1:3">
      <c r="A4144" t="s">
        <v>849</v>
      </c>
      <c r="B4144" t="s">
        <v>1075</v>
      </c>
      <c r="C4144" t="s">
        <v>3662</v>
      </c>
    </row>
    <row r="4145" spans="1:3">
      <c r="A4145" t="s">
        <v>849</v>
      </c>
      <c r="B4145" t="s">
        <v>1075</v>
      </c>
      <c r="C4145" t="s">
        <v>3661</v>
      </c>
    </row>
    <row r="4146" spans="1:3">
      <c r="A4146" t="s">
        <v>849</v>
      </c>
      <c r="B4146" t="s">
        <v>1075</v>
      </c>
      <c r="C4146" t="s">
        <v>3660</v>
      </c>
    </row>
    <row r="4147" spans="1:3">
      <c r="A4147" t="s">
        <v>849</v>
      </c>
      <c r="B4147" t="s">
        <v>1075</v>
      </c>
      <c r="C4147" t="s">
        <v>3659</v>
      </c>
    </row>
    <row r="4148" spans="1:3">
      <c r="A4148" t="s">
        <v>849</v>
      </c>
      <c r="B4148" t="s">
        <v>1075</v>
      </c>
      <c r="C4148" t="s">
        <v>3658</v>
      </c>
    </row>
    <row r="4149" spans="1:3">
      <c r="A4149" t="s">
        <v>846</v>
      </c>
      <c r="B4149" t="s">
        <v>1070</v>
      </c>
      <c r="C4149" t="s">
        <v>3563</v>
      </c>
    </row>
    <row r="4150" spans="1:3">
      <c r="A4150" t="s">
        <v>846</v>
      </c>
      <c r="B4150" t="s">
        <v>1070</v>
      </c>
      <c r="C4150" t="s">
        <v>3562</v>
      </c>
    </row>
    <row r="4151" spans="1:3">
      <c r="A4151" t="s">
        <v>846</v>
      </c>
      <c r="B4151" t="s">
        <v>1070</v>
      </c>
      <c r="C4151" t="s">
        <v>3561</v>
      </c>
    </row>
    <row r="4152" spans="1:3">
      <c r="A4152" t="s">
        <v>846</v>
      </c>
      <c r="B4152" t="s">
        <v>1070</v>
      </c>
      <c r="C4152" t="s">
        <v>3560</v>
      </c>
    </row>
    <row r="4153" spans="1:3">
      <c r="A4153" t="s">
        <v>846</v>
      </c>
      <c r="B4153" t="s">
        <v>1070</v>
      </c>
      <c r="C4153" t="s">
        <v>3559</v>
      </c>
    </row>
    <row r="4154" spans="1:3">
      <c r="A4154" t="s">
        <v>846</v>
      </c>
      <c r="B4154" t="s">
        <v>1070</v>
      </c>
      <c r="C4154" t="s">
        <v>3558</v>
      </c>
    </row>
    <row r="4155" spans="1:3">
      <c r="A4155" t="s">
        <v>846</v>
      </c>
      <c r="B4155" t="s">
        <v>1070</v>
      </c>
      <c r="C4155" t="s">
        <v>3557</v>
      </c>
    </row>
    <row r="4156" spans="1:3">
      <c r="A4156" t="s">
        <v>846</v>
      </c>
      <c r="B4156" t="s">
        <v>1070</v>
      </c>
      <c r="C4156" t="s">
        <v>3556</v>
      </c>
    </row>
    <row r="4157" spans="1:3">
      <c r="A4157" t="s">
        <v>846</v>
      </c>
      <c r="B4157" t="s">
        <v>1075</v>
      </c>
      <c r="C4157" t="s">
        <v>3652</v>
      </c>
    </row>
    <row r="4158" spans="1:3">
      <c r="A4158" t="s">
        <v>846</v>
      </c>
      <c r="B4158" t="s">
        <v>1075</v>
      </c>
      <c r="C4158" t="s">
        <v>3651</v>
      </c>
    </row>
    <row r="4159" spans="1:3">
      <c r="A4159" t="s">
        <v>846</v>
      </c>
      <c r="B4159" t="s">
        <v>1075</v>
      </c>
      <c r="C4159" t="s">
        <v>3650</v>
      </c>
    </row>
    <row r="4160" spans="1:3">
      <c r="A4160" t="s">
        <v>846</v>
      </c>
      <c r="B4160" t="s">
        <v>1075</v>
      </c>
      <c r="C4160" t="s">
        <v>3649</v>
      </c>
    </row>
    <row r="4161" spans="1:3">
      <c r="A4161" t="s">
        <v>846</v>
      </c>
      <c r="B4161" t="s">
        <v>1075</v>
      </c>
      <c r="C4161" t="s">
        <v>3648</v>
      </c>
    </row>
    <row r="4162" spans="1:3">
      <c r="A4162" t="s">
        <v>846</v>
      </c>
      <c r="B4162" t="s">
        <v>1075</v>
      </c>
      <c r="C4162" t="s">
        <v>3647</v>
      </c>
    </row>
    <row r="4163" spans="1:3">
      <c r="A4163" t="s">
        <v>846</v>
      </c>
      <c r="B4163" t="s">
        <v>1075</v>
      </c>
      <c r="C4163" t="s">
        <v>3646</v>
      </c>
    </row>
    <row r="4164" spans="1:3">
      <c r="A4164" t="s">
        <v>846</v>
      </c>
      <c r="B4164" t="s">
        <v>1075</v>
      </c>
      <c r="C4164" t="s">
        <v>3645</v>
      </c>
    </row>
    <row r="4165" spans="1:3">
      <c r="A4165" t="s">
        <v>846</v>
      </c>
      <c r="B4165" t="s">
        <v>1075</v>
      </c>
      <c r="C4165" t="s">
        <v>3644</v>
      </c>
    </row>
    <row r="4166" spans="1:3">
      <c r="A4166" t="s">
        <v>846</v>
      </c>
      <c r="B4166" t="s">
        <v>1075</v>
      </c>
      <c r="C4166" t="s">
        <v>3643</v>
      </c>
    </row>
    <row r="4167" spans="1:3">
      <c r="A4167" t="s">
        <v>846</v>
      </c>
      <c r="B4167" t="s">
        <v>1075</v>
      </c>
      <c r="C4167" t="s">
        <v>3642</v>
      </c>
    </row>
    <row r="4168" spans="1:3">
      <c r="A4168" t="s">
        <v>846</v>
      </c>
      <c r="B4168" t="s">
        <v>1075</v>
      </c>
      <c r="C4168" t="s">
        <v>3641</v>
      </c>
    </row>
    <row r="4169" spans="1:3">
      <c r="A4169" t="s">
        <v>846</v>
      </c>
      <c r="B4169" t="s">
        <v>1075</v>
      </c>
      <c r="C4169" t="s">
        <v>3640</v>
      </c>
    </row>
    <row r="4170" spans="1:3">
      <c r="A4170" t="s">
        <v>846</v>
      </c>
      <c r="B4170" t="s">
        <v>1075</v>
      </c>
      <c r="C4170" t="s">
        <v>3639</v>
      </c>
    </row>
    <row r="4171" spans="1:3">
      <c r="A4171" t="s">
        <v>846</v>
      </c>
      <c r="B4171" t="s">
        <v>1075</v>
      </c>
      <c r="C4171" t="s">
        <v>3638</v>
      </c>
    </row>
    <row r="4172" spans="1:3">
      <c r="A4172" t="s">
        <v>846</v>
      </c>
      <c r="B4172" t="s">
        <v>1075</v>
      </c>
      <c r="C4172" t="s">
        <v>3637</v>
      </c>
    </row>
    <row r="4173" spans="1:3">
      <c r="A4173" t="s">
        <v>846</v>
      </c>
      <c r="B4173" t="s">
        <v>1075</v>
      </c>
      <c r="C4173" t="s">
        <v>3636</v>
      </c>
    </row>
    <row r="4174" spans="1:3">
      <c r="A4174" t="s">
        <v>846</v>
      </c>
      <c r="B4174" t="s">
        <v>1075</v>
      </c>
      <c r="C4174" t="s">
        <v>3635</v>
      </c>
    </row>
    <row r="4175" spans="1:3">
      <c r="A4175" t="s">
        <v>846</v>
      </c>
      <c r="B4175" t="s">
        <v>1075</v>
      </c>
      <c r="C4175" t="s">
        <v>3634</v>
      </c>
    </row>
    <row r="4176" spans="1:3">
      <c r="A4176" t="s">
        <v>846</v>
      </c>
      <c r="B4176" t="s">
        <v>1075</v>
      </c>
      <c r="C4176" t="s">
        <v>3633</v>
      </c>
    </row>
    <row r="4177" spans="1:3">
      <c r="A4177" t="s">
        <v>846</v>
      </c>
      <c r="B4177" t="s">
        <v>1075</v>
      </c>
      <c r="C4177" t="s">
        <v>3632</v>
      </c>
    </row>
    <row r="4178" spans="1:3">
      <c r="A4178" t="s">
        <v>846</v>
      </c>
      <c r="B4178" t="s">
        <v>1075</v>
      </c>
      <c r="C4178" t="s">
        <v>3631</v>
      </c>
    </row>
    <row r="4179" spans="1:3">
      <c r="A4179" t="s">
        <v>846</v>
      </c>
      <c r="B4179" t="s">
        <v>1075</v>
      </c>
      <c r="C4179" t="s">
        <v>3630</v>
      </c>
    </row>
    <row r="4180" spans="1:3">
      <c r="A4180" t="s">
        <v>846</v>
      </c>
      <c r="B4180" t="s">
        <v>1075</v>
      </c>
      <c r="C4180" t="s">
        <v>3629</v>
      </c>
    </row>
    <row r="4181" spans="1:3">
      <c r="A4181" t="s">
        <v>846</v>
      </c>
      <c r="B4181" t="s">
        <v>1075</v>
      </c>
      <c r="C4181" t="s">
        <v>3628</v>
      </c>
    </row>
    <row r="4182" spans="1:3">
      <c r="A4182" t="s">
        <v>846</v>
      </c>
      <c r="B4182" t="s">
        <v>1075</v>
      </c>
      <c r="C4182" t="s">
        <v>3627</v>
      </c>
    </row>
    <row r="4183" spans="1:3">
      <c r="A4183" t="s">
        <v>846</v>
      </c>
      <c r="B4183" t="s">
        <v>1075</v>
      </c>
      <c r="C4183" t="s">
        <v>3626</v>
      </c>
    </row>
    <row r="4184" spans="1:3">
      <c r="A4184" t="s">
        <v>846</v>
      </c>
      <c r="B4184" t="s">
        <v>1075</v>
      </c>
      <c r="C4184" t="s">
        <v>3625</v>
      </c>
    </row>
    <row r="4185" spans="1:3">
      <c r="A4185" t="s">
        <v>846</v>
      </c>
      <c r="B4185" t="s">
        <v>1075</v>
      </c>
      <c r="C4185" t="s">
        <v>3624</v>
      </c>
    </row>
    <row r="4186" spans="1:3">
      <c r="A4186" t="s">
        <v>846</v>
      </c>
      <c r="B4186" t="s">
        <v>1075</v>
      </c>
      <c r="C4186" t="s">
        <v>3623</v>
      </c>
    </row>
    <row r="4187" spans="1:3">
      <c r="A4187" t="s">
        <v>846</v>
      </c>
      <c r="B4187" t="s">
        <v>1075</v>
      </c>
      <c r="C4187" t="s">
        <v>3622</v>
      </c>
    </row>
    <row r="4188" spans="1:3">
      <c r="A4188" t="s">
        <v>846</v>
      </c>
      <c r="B4188" t="s">
        <v>1075</v>
      </c>
      <c r="C4188" t="s">
        <v>3621</v>
      </c>
    </row>
    <row r="4189" spans="1:3">
      <c r="A4189" t="s">
        <v>846</v>
      </c>
      <c r="B4189" t="s">
        <v>1075</v>
      </c>
      <c r="C4189" t="s">
        <v>3620</v>
      </c>
    </row>
    <row r="4190" spans="1:3">
      <c r="A4190" t="s">
        <v>846</v>
      </c>
      <c r="B4190" t="s">
        <v>1075</v>
      </c>
      <c r="C4190" t="s">
        <v>3619</v>
      </c>
    </row>
    <row r="4191" spans="1:3">
      <c r="A4191" t="s">
        <v>846</v>
      </c>
      <c r="B4191" t="s">
        <v>1075</v>
      </c>
      <c r="C4191" t="s">
        <v>3618</v>
      </c>
    </row>
    <row r="4192" spans="1:3">
      <c r="A4192" t="s">
        <v>846</v>
      </c>
      <c r="B4192" t="s">
        <v>1075</v>
      </c>
      <c r="C4192" t="s">
        <v>3617</v>
      </c>
    </row>
    <row r="4193" spans="1:3">
      <c r="A4193" t="s">
        <v>846</v>
      </c>
      <c r="B4193" t="s">
        <v>1075</v>
      </c>
      <c r="C4193" t="s">
        <v>3616</v>
      </c>
    </row>
    <row r="4194" spans="1:3">
      <c r="A4194" t="s">
        <v>846</v>
      </c>
      <c r="B4194" t="s">
        <v>1075</v>
      </c>
      <c r="C4194" t="s">
        <v>3615</v>
      </c>
    </row>
    <row r="4195" spans="1:3">
      <c r="A4195" t="s">
        <v>846</v>
      </c>
      <c r="B4195" t="s">
        <v>1075</v>
      </c>
      <c r="C4195" t="s">
        <v>3614</v>
      </c>
    </row>
    <row r="4196" spans="1:3">
      <c r="A4196" t="s">
        <v>846</v>
      </c>
      <c r="B4196" t="s">
        <v>1075</v>
      </c>
      <c r="C4196" t="s">
        <v>3613</v>
      </c>
    </row>
    <row r="4197" spans="1:3">
      <c r="A4197" t="s">
        <v>846</v>
      </c>
      <c r="B4197" t="s">
        <v>1075</v>
      </c>
      <c r="C4197" t="s">
        <v>3612</v>
      </c>
    </row>
    <row r="4198" spans="1:3">
      <c r="A4198" t="s">
        <v>846</v>
      </c>
      <c r="B4198" t="s">
        <v>1075</v>
      </c>
      <c r="C4198" t="s">
        <v>3611</v>
      </c>
    </row>
    <row r="4199" spans="1:3">
      <c r="A4199" t="s">
        <v>846</v>
      </c>
      <c r="B4199" t="s">
        <v>1075</v>
      </c>
      <c r="C4199" t="s">
        <v>3610</v>
      </c>
    </row>
    <row r="4200" spans="1:3">
      <c r="A4200" t="s">
        <v>846</v>
      </c>
      <c r="B4200" t="s">
        <v>1075</v>
      </c>
      <c r="C4200" t="s">
        <v>3609</v>
      </c>
    </row>
    <row r="4201" spans="1:3">
      <c r="A4201" t="s">
        <v>846</v>
      </c>
      <c r="B4201" t="s">
        <v>1075</v>
      </c>
      <c r="C4201" t="s">
        <v>3608</v>
      </c>
    </row>
    <row r="4202" spans="1:3">
      <c r="A4202" t="s">
        <v>846</v>
      </c>
      <c r="B4202" t="s">
        <v>1075</v>
      </c>
      <c r="C4202" t="s">
        <v>3607</v>
      </c>
    </row>
    <row r="4203" spans="1:3">
      <c r="A4203" t="s">
        <v>846</v>
      </c>
      <c r="B4203" t="s">
        <v>1075</v>
      </c>
      <c r="C4203" t="s">
        <v>3606</v>
      </c>
    </row>
    <row r="4204" spans="1:3">
      <c r="A4204" t="s">
        <v>846</v>
      </c>
      <c r="B4204" t="s">
        <v>1075</v>
      </c>
      <c r="C4204" t="s">
        <v>3605</v>
      </c>
    </row>
    <row r="4205" spans="1:3">
      <c r="A4205" t="s">
        <v>846</v>
      </c>
      <c r="B4205" t="s">
        <v>1075</v>
      </c>
      <c r="C4205" t="s">
        <v>3604</v>
      </c>
    </row>
    <row r="4206" spans="1:3">
      <c r="A4206" t="s">
        <v>846</v>
      </c>
      <c r="B4206" t="s">
        <v>1075</v>
      </c>
      <c r="C4206" t="s">
        <v>3603</v>
      </c>
    </row>
    <row r="4207" spans="1:3">
      <c r="A4207" t="s">
        <v>846</v>
      </c>
      <c r="B4207" t="s">
        <v>1075</v>
      </c>
      <c r="C4207" t="s">
        <v>3602</v>
      </c>
    </row>
    <row r="4208" spans="1:3">
      <c r="A4208" t="s">
        <v>846</v>
      </c>
      <c r="B4208" t="s">
        <v>1075</v>
      </c>
      <c r="C4208" t="s">
        <v>3601</v>
      </c>
    </row>
    <row r="4209" spans="1:3">
      <c r="A4209" t="s">
        <v>846</v>
      </c>
      <c r="B4209" t="s">
        <v>1075</v>
      </c>
      <c r="C4209" t="s">
        <v>3600</v>
      </c>
    </row>
    <row r="4210" spans="1:3">
      <c r="A4210" t="s">
        <v>846</v>
      </c>
      <c r="B4210" t="s">
        <v>1075</v>
      </c>
      <c r="C4210" t="s">
        <v>3599</v>
      </c>
    </row>
    <row r="4211" spans="1:3">
      <c r="A4211" t="s">
        <v>846</v>
      </c>
      <c r="B4211" t="s">
        <v>1075</v>
      </c>
      <c r="C4211" t="s">
        <v>3598</v>
      </c>
    </row>
    <row r="4212" spans="1:3">
      <c r="A4212" t="s">
        <v>846</v>
      </c>
      <c r="B4212" t="s">
        <v>1075</v>
      </c>
      <c r="C4212" t="s">
        <v>3597</v>
      </c>
    </row>
    <row r="4213" spans="1:3">
      <c r="A4213" t="s">
        <v>846</v>
      </c>
      <c r="B4213" t="s">
        <v>1075</v>
      </c>
      <c r="C4213" t="s">
        <v>3596</v>
      </c>
    </row>
    <row r="4214" spans="1:3">
      <c r="A4214" t="s">
        <v>846</v>
      </c>
      <c r="B4214" t="s">
        <v>1075</v>
      </c>
      <c r="C4214" t="s">
        <v>3595</v>
      </c>
    </row>
    <row r="4215" spans="1:3">
      <c r="A4215" t="s">
        <v>846</v>
      </c>
      <c r="B4215" t="s">
        <v>1075</v>
      </c>
      <c r="C4215" t="s">
        <v>3594</v>
      </c>
    </row>
    <row r="4216" spans="1:3">
      <c r="A4216" t="s">
        <v>846</v>
      </c>
      <c r="B4216" t="s">
        <v>1075</v>
      </c>
      <c r="C4216" t="s">
        <v>3593</v>
      </c>
    </row>
    <row r="4217" spans="1:3">
      <c r="A4217" t="s">
        <v>846</v>
      </c>
      <c r="B4217" t="s">
        <v>1075</v>
      </c>
      <c r="C4217" t="s">
        <v>3592</v>
      </c>
    </row>
    <row r="4218" spans="1:3">
      <c r="A4218" t="s">
        <v>846</v>
      </c>
      <c r="B4218" t="s">
        <v>1075</v>
      </c>
      <c r="C4218" t="s">
        <v>3591</v>
      </c>
    </row>
    <row r="4219" spans="1:3">
      <c r="A4219" t="s">
        <v>846</v>
      </c>
      <c r="B4219" t="s">
        <v>1075</v>
      </c>
      <c r="C4219" t="s">
        <v>3590</v>
      </c>
    </row>
    <row r="4220" spans="1:3">
      <c r="A4220" t="s">
        <v>846</v>
      </c>
      <c r="B4220" t="s">
        <v>1075</v>
      </c>
      <c r="C4220" t="s">
        <v>3589</v>
      </c>
    </row>
    <row r="4221" spans="1:3">
      <c r="A4221" t="s">
        <v>846</v>
      </c>
      <c r="B4221" t="s">
        <v>1075</v>
      </c>
      <c r="C4221" t="s">
        <v>3588</v>
      </c>
    </row>
    <row r="4222" spans="1:3">
      <c r="A4222" t="s">
        <v>846</v>
      </c>
      <c r="B4222" t="s">
        <v>1075</v>
      </c>
      <c r="C4222" t="s">
        <v>3587</v>
      </c>
    </row>
    <row r="4223" spans="1:3">
      <c r="A4223" t="s">
        <v>846</v>
      </c>
      <c r="B4223" t="s">
        <v>1075</v>
      </c>
      <c r="C4223" t="s">
        <v>3586</v>
      </c>
    </row>
    <row r="4224" spans="1:3">
      <c r="A4224" t="s">
        <v>846</v>
      </c>
      <c r="B4224" t="s">
        <v>1075</v>
      </c>
      <c r="C4224" t="s">
        <v>3585</v>
      </c>
    </row>
    <row r="4225" spans="1:3">
      <c r="A4225" t="s">
        <v>846</v>
      </c>
      <c r="B4225" t="s">
        <v>1075</v>
      </c>
      <c r="C4225" t="s">
        <v>3584</v>
      </c>
    </row>
    <row r="4226" spans="1:3">
      <c r="A4226" t="s">
        <v>846</v>
      </c>
      <c r="B4226" t="s">
        <v>1075</v>
      </c>
      <c r="C4226" t="s">
        <v>3583</v>
      </c>
    </row>
    <row r="4227" spans="1:3">
      <c r="A4227" t="s">
        <v>846</v>
      </c>
      <c r="B4227" t="s">
        <v>1075</v>
      </c>
      <c r="C4227" t="s">
        <v>3582</v>
      </c>
    </row>
    <row r="4228" spans="1:3">
      <c r="A4228" t="s">
        <v>846</v>
      </c>
      <c r="B4228" t="s">
        <v>1075</v>
      </c>
      <c r="C4228" t="s">
        <v>3581</v>
      </c>
    </row>
    <row r="4229" spans="1:3">
      <c r="A4229" t="s">
        <v>846</v>
      </c>
      <c r="B4229" t="s">
        <v>1075</v>
      </c>
      <c r="C4229" t="s">
        <v>3580</v>
      </c>
    </row>
    <row r="4230" spans="1:3">
      <c r="A4230" t="s">
        <v>846</v>
      </c>
      <c r="B4230" t="s">
        <v>1075</v>
      </c>
      <c r="C4230" t="s">
        <v>3579</v>
      </c>
    </row>
    <row r="4231" spans="1:3">
      <c r="A4231" t="s">
        <v>846</v>
      </c>
      <c r="B4231" t="s">
        <v>1075</v>
      </c>
      <c r="C4231" t="s">
        <v>3578</v>
      </c>
    </row>
    <row r="4232" spans="1:3">
      <c r="A4232" t="s">
        <v>846</v>
      </c>
      <c r="B4232" t="s">
        <v>1075</v>
      </c>
      <c r="C4232" t="s">
        <v>3577</v>
      </c>
    </row>
    <row r="4233" spans="1:3">
      <c r="A4233" t="s">
        <v>846</v>
      </c>
      <c r="B4233" t="s">
        <v>1075</v>
      </c>
      <c r="C4233" t="s">
        <v>3576</v>
      </c>
    </row>
    <row r="4234" spans="1:3">
      <c r="A4234" t="s">
        <v>846</v>
      </c>
      <c r="B4234" t="s">
        <v>1075</v>
      </c>
      <c r="C4234" t="s">
        <v>3575</v>
      </c>
    </row>
    <row r="4235" spans="1:3">
      <c r="A4235" t="s">
        <v>846</v>
      </c>
      <c r="B4235" t="s">
        <v>1075</v>
      </c>
      <c r="C4235" t="s">
        <v>3574</v>
      </c>
    </row>
    <row r="4236" spans="1:3">
      <c r="A4236" t="s">
        <v>846</v>
      </c>
      <c r="B4236" t="s">
        <v>1075</v>
      </c>
      <c r="C4236" t="s">
        <v>3573</v>
      </c>
    </row>
    <row r="4237" spans="1:3">
      <c r="A4237" t="s">
        <v>846</v>
      </c>
      <c r="B4237" t="s">
        <v>1075</v>
      </c>
      <c r="C4237" t="s">
        <v>3572</v>
      </c>
    </row>
    <row r="4238" spans="1:3">
      <c r="A4238" t="s">
        <v>846</v>
      </c>
      <c r="B4238" t="s">
        <v>1075</v>
      </c>
      <c r="C4238" t="s">
        <v>3571</v>
      </c>
    </row>
    <row r="4239" spans="1:3">
      <c r="A4239" t="s">
        <v>846</v>
      </c>
      <c r="B4239" t="s">
        <v>1075</v>
      </c>
      <c r="C4239" t="s">
        <v>3570</v>
      </c>
    </row>
    <row r="4240" spans="1:3">
      <c r="A4240" t="s">
        <v>846</v>
      </c>
      <c r="B4240" t="s">
        <v>1075</v>
      </c>
      <c r="C4240" t="s">
        <v>3569</v>
      </c>
    </row>
    <row r="4241" spans="1:3">
      <c r="A4241" t="s">
        <v>846</v>
      </c>
      <c r="B4241" t="s">
        <v>1075</v>
      </c>
      <c r="C4241" t="s">
        <v>3568</v>
      </c>
    </row>
    <row r="4242" spans="1:3">
      <c r="A4242" t="s">
        <v>846</v>
      </c>
      <c r="B4242" t="s">
        <v>1075</v>
      </c>
      <c r="C4242" t="s">
        <v>3567</v>
      </c>
    </row>
    <row r="4243" spans="1:3">
      <c r="A4243" t="s">
        <v>846</v>
      </c>
      <c r="B4243" t="s">
        <v>1075</v>
      </c>
      <c r="C4243" t="s">
        <v>3566</v>
      </c>
    </row>
    <row r="4244" spans="1:3">
      <c r="A4244" t="s">
        <v>846</v>
      </c>
      <c r="B4244" t="s">
        <v>1075</v>
      </c>
      <c r="C4244" t="s">
        <v>3565</v>
      </c>
    </row>
    <row r="4245" spans="1:3">
      <c r="A4245" t="s">
        <v>846</v>
      </c>
      <c r="B4245" t="s">
        <v>1075</v>
      </c>
      <c r="C4245" t="s">
        <v>3564</v>
      </c>
    </row>
    <row r="4246" spans="1:3">
      <c r="A4246" t="s">
        <v>847</v>
      </c>
      <c r="B4246" t="s">
        <v>1070</v>
      </c>
      <c r="C4246" t="s">
        <v>3542</v>
      </c>
    </row>
    <row r="4247" spans="1:3">
      <c r="A4247" t="s">
        <v>847</v>
      </c>
      <c r="B4247" t="s">
        <v>1075</v>
      </c>
      <c r="C4247" t="s">
        <v>3555</v>
      </c>
    </row>
    <row r="4248" spans="1:3">
      <c r="A4248" t="s">
        <v>847</v>
      </c>
      <c r="B4248" t="s">
        <v>1075</v>
      </c>
      <c r="C4248" t="s">
        <v>3554</v>
      </c>
    </row>
    <row r="4249" spans="1:3">
      <c r="A4249" t="s">
        <v>847</v>
      </c>
      <c r="B4249" t="s">
        <v>1075</v>
      </c>
      <c r="C4249" t="s">
        <v>3553</v>
      </c>
    </row>
    <row r="4250" spans="1:3">
      <c r="A4250" t="s">
        <v>847</v>
      </c>
      <c r="B4250" t="s">
        <v>1075</v>
      </c>
      <c r="C4250" t="s">
        <v>3552</v>
      </c>
    </row>
    <row r="4251" spans="1:3">
      <c r="A4251" t="s">
        <v>847</v>
      </c>
      <c r="B4251" t="s">
        <v>1075</v>
      </c>
      <c r="C4251" t="s">
        <v>3551</v>
      </c>
    </row>
    <row r="4252" spans="1:3">
      <c r="A4252" t="s">
        <v>847</v>
      </c>
      <c r="B4252" t="s">
        <v>1075</v>
      </c>
      <c r="C4252" t="s">
        <v>3550</v>
      </c>
    </row>
    <row r="4253" spans="1:3">
      <c r="A4253" t="s">
        <v>847</v>
      </c>
      <c r="B4253" t="s">
        <v>1075</v>
      </c>
      <c r="C4253" t="s">
        <v>3549</v>
      </c>
    </row>
    <row r="4254" spans="1:3">
      <c r="A4254" t="s">
        <v>847</v>
      </c>
      <c r="B4254" t="s">
        <v>1075</v>
      </c>
      <c r="C4254" t="s">
        <v>3548</v>
      </c>
    </row>
    <row r="4255" spans="1:3">
      <c r="A4255" t="s">
        <v>847</v>
      </c>
      <c r="B4255" t="s">
        <v>1075</v>
      </c>
      <c r="C4255" t="s">
        <v>3547</v>
      </c>
    </row>
    <row r="4256" spans="1:3">
      <c r="A4256" t="s">
        <v>847</v>
      </c>
      <c r="B4256" t="s">
        <v>1075</v>
      </c>
      <c r="C4256" t="s">
        <v>3546</v>
      </c>
    </row>
    <row r="4257" spans="1:3">
      <c r="A4257" t="s">
        <v>847</v>
      </c>
      <c r="B4257" t="s">
        <v>1075</v>
      </c>
      <c r="C4257" t="s">
        <v>3545</v>
      </c>
    </row>
    <row r="4258" spans="1:3">
      <c r="A4258" t="s">
        <v>847</v>
      </c>
      <c r="B4258" t="s">
        <v>1075</v>
      </c>
      <c r="C4258" t="s">
        <v>3544</v>
      </c>
    </row>
    <row r="4259" spans="1:3">
      <c r="A4259" t="s">
        <v>847</v>
      </c>
      <c r="B4259" t="s">
        <v>1075</v>
      </c>
      <c r="C4259" t="s">
        <v>3543</v>
      </c>
    </row>
    <row r="4260" spans="1:3">
      <c r="A4260" t="s">
        <v>848</v>
      </c>
      <c r="B4260" t="s">
        <v>1070</v>
      </c>
      <c r="C4260" t="s">
        <v>3528</v>
      </c>
    </row>
    <row r="4261" spans="1:3">
      <c r="A4261" t="s">
        <v>848</v>
      </c>
      <c r="B4261" t="s">
        <v>1075</v>
      </c>
      <c r="C4261" t="s">
        <v>3541</v>
      </c>
    </row>
    <row r="4262" spans="1:3">
      <c r="A4262" t="s">
        <v>848</v>
      </c>
      <c r="B4262" t="s">
        <v>1075</v>
      </c>
      <c r="C4262" t="s">
        <v>3540</v>
      </c>
    </row>
    <row r="4263" spans="1:3">
      <c r="A4263" t="s">
        <v>848</v>
      </c>
      <c r="B4263" t="s">
        <v>1075</v>
      </c>
      <c r="C4263" t="s">
        <v>3539</v>
      </c>
    </row>
    <row r="4264" spans="1:3">
      <c r="A4264" t="s">
        <v>848</v>
      </c>
      <c r="B4264" t="s">
        <v>1075</v>
      </c>
      <c r="C4264" t="s">
        <v>3538</v>
      </c>
    </row>
    <row r="4265" spans="1:3">
      <c r="A4265" t="s">
        <v>848</v>
      </c>
      <c r="B4265" t="s">
        <v>1075</v>
      </c>
      <c r="C4265" t="s">
        <v>3537</v>
      </c>
    </row>
    <row r="4266" spans="1:3">
      <c r="A4266" t="s">
        <v>848</v>
      </c>
      <c r="B4266" t="s">
        <v>1075</v>
      </c>
      <c r="C4266" t="s">
        <v>3536</v>
      </c>
    </row>
    <row r="4267" spans="1:3">
      <c r="A4267" t="s">
        <v>848</v>
      </c>
      <c r="B4267" t="s">
        <v>1075</v>
      </c>
      <c r="C4267" t="s">
        <v>3535</v>
      </c>
    </row>
    <row r="4268" spans="1:3">
      <c r="A4268" t="s">
        <v>848</v>
      </c>
      <c r="B4268" t="s">
        <v>1075</v>
      </c>
      <c r="C4268" t="s">
        <v>3534</v>
      </c>
    </row>
    <row r="4269" spans="1:3">
      <c r="A4269" t="s">
        <v>848</v>
      </c>
      <c r="B4269" t="s">
        <v>1075</v>
      </c>
      <c r="C4269" t="s">
        <v>3533</v>
      </c>
    </row>
    <row r="4270" spans="1:3">
      <c r="A4270" t="s">
        <v>848</v>
      </c>
      <c r="B4270" t="s">
        <v>1075</v>
      </c>
      <c r="C4270" t="s">
        <v>3532</v>
      </c>
    </row>
    <row r="4271" spans="1:3">
      <c r="A4271" t="s">
        <v>848</v>
      </c>
      <c r="B4271" t="s">
        <v>1075</v>
      </c>
      <c r="C4271" t="s">
        <v>3531</v>
      </c>
    </row>
    <row r="4272" spans="1:3">
      <c r="A4272" t="s">
        <v>848</v>
      </c>
      <c r="B4272" t="s">
        <v>1075</v>
      </c>
      <c r="C4272" t="s">
        <v>3530</v>
      </c>
    </row>
    <row r="4273" spans="1:3">
      <c r="A4273" t="s">
        <v>848</v>
      </c>
      <c r="B4273" t="s">
        <v>1075</v>
      </c>
      <c r="C4273" t="s">
        <v>3529</v>
      </c>
    </row>
    <row r="4274" spans="1:3">
      <c r="A4274" t="s">
        <v>845</v>
      </c>
      <c r="B4274" t="s">
        <v>1070</v>
      </c>
      <c r="C4274" t="s">
        <v>3502</v>
      </c>
    </row>
    <row r="4275" spans="1:3">
      <c r="A4275" t="s">
        <v>845</v>
      </c>
      <c r="B4275" t="s">
        <v>1070</v>
      </c>
      <c r="C4275" t="s">
        <v>3501</v>
      </c>
    </row>
    <row r="4276" spans="1:3">
      <c r="A4276" t="s">
        <v>845</v>
      </c>
      <c r="B4276" t="s">
        <v>1070</v>
      </c>
      <c r="C4276" t="s">
        <v>3500</v>
      </c>
    </row>
    <row r="4277" spans="1:3">
      <c r="A4277" t="s">
        <v>845</v>
      </c>
      <c r="B4277" t="s">
        <v>1070</v>
      </c>
      <c r="C4277" t="s">
        <v>3499</v>
      </c>
    </row>
    <row r="4278" spans="1:3">
      <c r="A4278" t="s">
        <v>845</v>
      </c>
      <c r="B4278" t="s">
        <v>1075</v>
      </c>
      <c r="C4278" t="s">
        <v>3527</v>
      </c>
    </row>
    <row r="4279" spans="1:3">
      <c r="A4279" t="s">
        <v>845</v>
      </c>
      <c r="B4279" t="s">
        <v>1075</v>
      </c>
      <c r="C4279" t="s">
        <v>3526</v>
      </c>
    </row>
    <row r="4280" spans="1:3">
      <c r="A4280" t="s">
        <v>845</v>
      </c>
      <c r="B4280" t="s">
        <v>1075</v>
      </c>
      <c r="C4280" t="s">
        <v>3525</v>
      </c>
    </row>
    <row r="4281" spans="1:3">
      <c r="A4281" t="s">
        <v>845</v>
      </c>
      <c r="B4281" t="s">
        <v>1075</v>
      </c>
      <c r="C4281" t="s">
        <v>3524</v>
      </c>
    </row>
    <row r="4282" spans="1:3">
      <c r="A4282" t="s">
        <v>845</v>
      </c>
      <c r="B4282" t="s">
        <v>1075</v>
      </c>
      <c r="C4282" t="s">
        <v>3523</v>
      </c>
    </row>
    <row r="4283" spans="1:3">
      <c r="A4283" t="s">
        <v>845</v>
      </c>
      <c r="B4283" t="s">
        <v>1075</v>
      </c>
      <c r="C4283" t="s">
        <v>3522</v>
      </c>
    </row>
    <row r="4284" spans="1:3">
      <c r="A4284" t="s">
        <v>845</v>
      </c>
      <c r="B4284" t="s">
        <v>1075</v>
      </c>
      <c r="C4284" t="s">
        <v>3521</v>
      </c>
    </row>
    <row r="4285" spans="1:3">
      <c r="A4285" t="s">
        <v>845</v>
      </c>
      <c r="B4285" t="s">
        <v>1075</v>
      </c>
      <c r="C4285" t="s">
        <v>3520</v>
      </c>
    </row>
    <row r="4286" spans="1:3">
      <c r="A4286" t="s">
        <v>845</v>
      </c>
      <c r="B4286" t="s">
        <v>1075</v>
      </c>
      <c r="C4286" t="s">
        <v>3519</v>
      </c>
    </row>
    <row r="4287" spans="1:3">
      <c r="A4287" t="s">
        <v>845</v>
      </c>
      <c r="B4287" t="s">
        <v>1075</v>
      </c>
      <c r="C4287" t="s">
        <v>3518</v>
      </c>
    </row>
    <row r="4288" spans="1:3">
      <c r="A4288" t="s">
        <v>845</v>
      </c>
      <c r="B4288" t="s">
        <v>1075</v>
      </c>
      <c r="C4288" t="s">
        <v>3517</v>
      </c>
    </row>
    <row r="4289" spans="1:3">
      <c r="A4289" t="s">
        <v>845</v>
      </c>
      <c r="B4289" t="s">
        <v>1075</v>
      </c>
      <c r="C4289" t="s">
        <v>3516</v>
      </c>
    </row>
    <row r="4290" spans="1:3">
      <c r="A4290" t="s">
        <v>845</v>
      </c>
      <c r="B4290" t="s">
        <v>1075</v>
      </c>
      <c r="C4290" t="s">
        <v>3515</v>
      </c>
    </row>
    <row r="4291" spans="1:3">
      <c r="A4291" t="s">
        <v>845</v>
      </c>
      <c r="B4291" t="s">
        <v>1075</v>
      </c>
      <c r="C4291" t="s">
        <v>3514</v>
      </c>
    </row>
    <row r="4292" spans="1:3">
      <c r="A4292" t="s">
        <v>845</v>
      </c>
      <c r="B4292" t="s">
        <v>1075</v>
      </c>
      <c r="C4292" t="s">
        <v>3513</v>
      </c>
    </row>
    <row r="4293" spans="1:3">
      <c r="A4293" t="s">
        <v>845</v>
      </c>
      <c r="B4293" t="s">
        <v>1075</v>
      </c>
      <c r="C4293" t="s">
        <v>3512</v>
      </c>
    </row>
    <row r="4294" spans="1:3">
      <c r="A4294" t="s">
        <v>845</v>
      </c>
      <c r="B4294" t="s">
        <v>1075</v>
      </c>
      <c r="C4294" t="s">
        <v>3511</v>
      </c>
    </row>
    <row r="4295" spans="1:3">
      <c r="A4295" t="s">
        <v>845</v>
      </c>
      <c r="B4295" t="s">
        <v>1075</v>
      </c>
      <c r="C4295" t="s">
        <v>3510</v>
      </c>
    </row>
    <row r="4296" spans="1:3">
      <c r="A4296" t="s">
        <v>845</v>
      </c>
      <c r="B4296" t="s">
        <v>1075</v>
      </c>
      <c r="C4296" t="s">
        <v>3509</v>
      </c>
    </row>
    <row r="4297" spans="1:3">
      <c r="A4297" t="s">
        <v>845</v>
      </c>
      <c r="B4297" t="s">
        <v>1075</v>
      </c>
      <c r="C4297" t="s">
        <v>3508</v>
      </c>
    </row>
    <row r="4298" spans="1:3">
      <c r="A4298" t="s">
        <v>845</v>
      </c>
      <c r="B4298" t="s">
        <v>1075</v>
      </c>
      <c r="C4298" t="s">
        <v>3507</v>
      </c>
    </row>
    <row r="4299" spans="1:3">
      <c r="A4299" t="s">
        <v>845</v>
      </c>
      <c r="B4299" t="s">
        <v>1075</v>
      </c>
      <c r="C4299" t="s">
        <v>3506</v>
      </c>
    </row>
    <row r="4300" spans="1:3">
      <c r="A4300" t="s">
        <v>845</v>
      </c>
      <c r="B4300" t="s">
        <v>1075</v>
      </c>
      <c r="C4300" t="s">
        <v>3505</v>
      </c>
    </row>
    <row r="4301" spans="1:3">
      <c r="A4301" t="s">
        <v>845</v>
      </c>
      <c r="B4301" t="s">
        <v>1075</v>
      </c>
      <c r="C4301" t="s">
        <v>3504</v>
      </c>
    </row>
    <row r="4302" spans="1:3">
      <c r="A4302" t="s">
        <v>845</v>
      </c>
      <c r="B4302" t="s">
        <v>1075</v>
      </c>
      <c r="C4302" t="s">
        <v>3503</v>
      </c>
    </row>
    <row r="4303" spans="1:3">
      <c r="A4303" t="s">
        <v>852</v>
      </c>
      <c r="B4303" t="s">
        <v>1070</v>
      </c>
      <c r="C4303" t="s">
        <v>3449</v>
      </c>
    </row>
    <row r="4304" spans="1:3">
      <c r="A4304" t="s">
        <v>852</v>
      </c>
      <c r="B4304" t="s">
        <v>1070</v>
      </c>
      <c r="C4304" t="s">
        <v>3448</v>
      </c>
    </row>
    <row r="4305" spans="1:3">
      <c r="A4305" t="s">
        <v>852</v>
      </c>
      <c r="B4305" t="s">
        <v>1070</v>
      </c>
      <c r="C4305" t="s">
        <v>3447</v>
      </c>
    </row>
    <row r="4306" spans="1:3">
      <c r="A4306" t="s">
        <v>852</v>
      </c>
      <c r="B4306" t="s">
        <v>1070</v>
      </c>
      <c r="C4306" t="s">
        <v>3446</v>
      </c>
    </row>
    <row r="4307" spans="1:3">
      <c r="A4307" t="s">
        <v>852</v>
      </c>
      <c r="B4307" t="s">
        <v>1070</v>
      </c>
      <c r="C4307" t="s">
        <v>3445</v>
      </c>
    </row>
    <row r="4308" spans="1:3">
      <c r="A4308" t="s">
        <v>852</v>
      </c>
      <c r="B4308" t="s">
        <v>1070</v>
      </c>
      <c r="C4308" t="s">
        <v>3444</v>
      </c>
    </row>
    <row r="4309" spans="1:3">
      <c r="A4309" t="s">
        <v>852</v>
      </c>
      <c r="B4309" t="s">
        <v>1075</v>
      </c>
      <c r="C4309" t="s">
        <v>3498</v>
      </c>
    </row>
    <row r="4310" spans="1:3">
      <c r="A4310" t="s">
        <v>852</v>
      </c>
      <c r="B4310" t="s">
        <v>1075</v>
      </c>
      <c r="C4310" t="s">
        <v>3497</v>
      </c>
    </row>
    <row r="4311" spans="1:3">
      <c r="A4311" t="s">
        <v>852</v>
      </c>
      <c r="B4311" t="s">
        <v>1075</v>
      </c>
      <c r="C4311" t="s">
        <v>3496</v>
      </c>
    </row>
    <row r="4312" spans="1:3">
      <c r="A4312" t="s">
        <v>852</v>
      </c>
      <c r="B4312" t="s">
        <v>1075</v>
      </c>
      <c r="C4312" t="s">
        <v>3495</v>
      </c>
    </row>
    <row r="4313" spans="1:3">
      <c r="A4313" t="s">
        <v>852</v>
      </c>
      <c r="B4313" t="s">
        <v>1075</v>
      </c>
      <c r="C4313" t="s">
        <v>3494</v>
      </c>
    </row>
    <row r="4314" spans="1:3">
      <c r="A4314" t="s">
        <v>852</v>
      </c>
      <c r="B4314" t="s">
        <v>1075</v>
      </c>
      <c r="C4314" t="s">
        <v>3493</v>
      </c>
    </row>
    <row r="4315" spans="1:3">
      <c r="A4315" t="s">
        <v>852</v>
      </c>
      <c r="B4315" t="s">
        <v>1075</v>
      </c>
      <c r="C4315" t="s">
        <v>3492</v>
      </c>
    </row>
    <row r="4316" spans="1:3">
      <c r="A4316" t="s">
        <v>852</v>
      </c>
      <c r="B4316" t="s">
        <v>1075</v>
      </c>
      <c r="C4316" t="s">
        <v>3491</v>
      </c>
    </row>
    <row r="4317" spans="1:3">
      <c r="A4317" t="s">
        <v>852</v>
      </c>
      <c r="B4317" t="s">
        <v>1075</v>
      </c>
      <c r="C4317" t="s">
        <v>3490</v>
      </c>
    </row>
    <row r="4318" spans="1:3">
      <c r="A4318" t="s">
        <v>852</v>
      </c>
      <c r="B4318" t="s">
        <v>1075</v>
      </c>
      <c r="C4318" t="s">
        <v>3489</v>
      </c>
    </row>
    <row r="4319" spans="1:3">
      <c r="A4319" t="s">
        <v>852</v>
      </c>
      <c r="B4319" t="s">
        <v>1075</v>
      </c>
      <c r="C4319" t="s">
        <v>3488</v>
      </c>
    </row>
    <row r="4320" spans="1:3">
      <c r="A4320" t="s">
        <v>852</v>
      </c>
      <c r="B4320" t="s">
        <v>1075</v>
      </c>
      <c r="C4320" t="s">
        <v>3487</v>
      </c>
    </row>
    <row r="4321" spans="1:3">
      <c r="A4321" t="s">
        <v>852</v>
      </c>
      <c r="B4321" t="s">
        <v>1075</v>
      </c>
      <c r="C4321" t="s">
        <v>3486</v>
      </c>
    </row>
    <row r="4322" spans="1:3">
      <c r="A4322" t="s">
        <v>852</v>
      </c>
      <c r="B4322" t="s">
        <v>1075</v>
      </c>
      <c r="C4322" t="s">
        <v>3485</v>
      </c>
    </row>
    <row r="4323" spans="1:3">
      <c r="A4323" t="s">
        <v>852</v>
      </c>
      <c r="B4323" t="s">
        <v>1075</v>
      </c>
      <c r="C4323" t="s">
        <v>3484</v>
      </c>
    </row>
    <row r="4324" spans="1:3">
      <c r="A4324" t="s">
        <v>852</v>
      </c>
      <c r="B4324" t="s">
        <v>1075</v>
      </c>
      <c r="C4324" t="s">
        <v>3483</v>
      </c>
    </row>
    <row r="4325" spans="1:3">
      <c r="A4325" t="s">
        <v>852</v>
      </c>
      <c r="B4325" t="s">
        <v>1075</v>
      </c>
      <c r="C4325" t="s">
        <v>3482</v>
      </c>
    </row>
    <row r="4326" spans="1:3">
      <c r="A4326" t="s">
        <v>852</v>
      </c>
      <c r="B4326" t="s">
        <v>1075</v>
      </c>
      <c r="C4326" t="s">
        <v>3481</v>
      </c>
    </row>
    <row r="4327" spans="1:3">
      <c r="A4327" t="s">
        <v>852</v>
      </c>
      <c r="B4327" t="s">
        <v>1075</v>
      </c>
      <c r="C4327" t="s">
        <v>3480</v>
      </c>
    </row>
    <row r="4328" spans="1:3">
      <c r="A4328" t="s">
        <v>852</v>
      </c>
      <c r="B4328" t="s">
        <v>1075</v>
      </c>
      <c r="C4328" t="s">
        <v>3479</v>
      </c>
    </row>
    <row r="4329" spans="1:3">
      <c r="A4329" t="s">
        <v>852</v>
      </c>
      <c r="B4329" t="s">
        <v>1075</v>
      </c>
      <c r="C4329" t="s">
        <v>3478</v>
      </c>
    </row>
    <row r="4330" spans="1:3">
      <c r="A4330" t="s">
        <v>852</v>
      </c>
      <c r="B4330" t="s">
        <v>1075</v>
      </c>
      <c r="C4330" t="s">
        <v>3477</v>
      </c>
    </row>
    <row r="4331" spans="1:3">
      <c r="A4331" t="s">
        <v>852</v>
      </c>
      <c r="B4331" t="s">
        <v>1075</v>
      </c>
      <c r="C4331" t="s">
        <v>3476</v>
      </c>
    </row>
    <row r="4332" spans="1:3">
      <c r="A4332" t="s">
        <v>852</v>
      </c>
      <c r="B4332" t="s">
        <v>1075</v>
      </c>
      <c r="C4332" t="s">
        <v>3475</v>
      </c>
    </row>
    <row r="4333" spans="1:3">
      <c r="A4333" t="s">
        <v>852</v>
      </c>
      <c r="B4333" t="s">
        <v>1075</v>
      </c>
      <c r="C4333" t="s">
        <v>3474</v>
      </c>
    </row>
    <row r="4334" spans="1:3">
      <c r="A4334" t="s">
        <v>852</v>
      </c>
      <c r="B4334" t="s">
        <v>1075</v>
      </c>
      <c r="C4334" t="s">
        <v>3473</v>
      </c>
    </row>
    <row r="4335" spans="1:3">
      <c r="A4335" t="s">
        <v>852</v>
      </c>
      <c r="B4335" t="s">
        <v>1075</v>
      </c>
      <c r="C4335" t="s">
        <v>3472</v>
      </c>
    </row>
    <row r="4336" spans="1:3">
      <c r="A4336" t="s">
        <v>852</v>
      </c>
      <c r="B4336" t="s">
        <v>1075</v>
      </c>
      <c r="C4336" t="s">
        <v>3471</v>
      </c>
    </row>
    <row r="4337" spans="1:3">
      <c r="A4337" t="s">
        <v>852</v>
      </c>
      <c r="B4337" t="s">
        <v>1075</v>
      </c>
      <c r="C4337" t="s">
        <v>3470</v>
      </c>
    </row>
    <row r="4338" spans="1:3">
      <c r="A4338" t="s">
        <v>852</v>
      </c>
      <c r="B4338" t="s">
        <v>1075</v>
      </c>
      <c r="C4338" t="s">
        <v>3469</v>
      </c>
    </row>
    <row r="4339" spans="1:3">
      <c r="A4339" t="s">
        <v>852</v>
      </c>
      <c r="B4339" t="s">
        <v>1075</v>
      </c>
      <c r="C4339" t="s">
        <v>3468</v>
      </c>
    </row>
    <row r="4340" spans="1:3">
      <c r="A4340" t="s">
        <v>852</v>
      </c>
      <c r="B4340" t="s">
        <v>1075</v>
      </c>
      <c r="C4340" t="s">
        <v>3467</v>
      </c>
    </row>
    <row r="4341" spans="1:3">
      <c r="A4341" t="s">
        <v>852</v>
      </c>
      <c r="B4341" t="s">
        <v>1075</v>
      </c>
      <c r="C4341" t="s">
        <v>3466</v>
      </c>
    </row>
    <row r="4342" spans="1:3">
      <c r="A4342" t="s">
        <v>852</v>
      </c>
      <c r="B4342" t="s">
        <v>1075</v>
      </c>
      <c r="C4342" t="s">
        <v>3465</v>
      </c>
    </row>
    <row r="4343" spans="1:3">
      <c r="A4343" t="s">
        <v>852</v>
      </c>
      <c r="B4343" t="s">
        <v>1075</v>
      </c>
      <c r="C4343" t="s">
        <v>3464</v>
      </c>
    </row>
    <row r="4344" spans="1:3">
      <c r="A4344" t="s">
        <v>852</v>
      </c>
      <c r="B4344" t="s">
        <v>1075</v>
      </c>
      <c r="C4344" t="s">
        <v>3463</v>
      </c>
    </row>
    <row r="4345" spans="1:3">
      <c r="A4345" t="s">
        <v>852</v>
      </c>
      <c r="B4345" t="s">
        <v>1075</v>
      </c>
      <c r="C4345" t="s">
        <v>3462</v>
      </c>
    </row>
    <row r="4346" spans="1:3">
      <c r="A4346" t="s">
        <v>852</v>
      </c>
      <c r="B4346" t="s">
        <v>1075</v>
      </c>
      <c r="C4346" t="s">
        <v>3461</v>
      </c>
    </row>
    <row r="4347" spans="1:3">
      <c r="A4347" t="s">
        <v>852</v>
      </c>
      <c r="B4347" t="s">
        <v>1075</v>
      </c>
      <c r="C4347" t="s">
        <v>3460</v>
      </c>
    </row>
    <row r="4348" spans="1:3">
      <c r="A4348" t="s">
        <v>852</v>
      </c>
      <c r="B4348" t="s">
        <v>1075</v>
      </c>
      <c r="C4348" t="s">
        <v>3459</v>
      </c>
    </row>
    <row r="4349" spans="1:3">
      <c r="A4349" t="s">
        <v>852</v>
      </c>
      <c r="B4349" t="s">
        <v>1075</v>
      </c>
      <c r="C4349" t="s">
        <v>3458</v>
      </c>
    </row>
    <row r="4350" spans="1:3">
      <c r="A4350" t="s">
        <v>852</v>
      </c>
      <c r="B4350" t="s">
        <v>1075</v>
      </c>
      <c r="C4350" t="s">
        <v>3457</v>
      </c>
    </row>
    <row r="4351" spans="1:3">
      <c r="A4351" t="s">
        <v>852</v>
      </c>
      <c r="B4351" t="s">
        <v>1075</v>
      </c>
      <c r="C4351" t="s">
        <v>3456</v>
      </c>
    </row>
    <row r="4352" spans="1:3">
      <c r="A4352" t="s">
        <v>852</v>
      </c>
      <c r="B4352" t="s">
        <v>1075</v>
      </c>
      <c r="C4352" t="s">
        <v>3455</v>
      </c>
    </row>
    <row r="4353" spans="1:3">
      <c r="A4353" t="s">
        <v>852</v>
      </c>
      <c r="B4353" t="s">
        <v>1075</v>
      </c>
      <c r="C4353" t="s">
        <v>3454</v>
      </c>
    </row>
    <row r="4354" spans="1:3">
      <c r="A4354" t="s">
        <v>852</v>
      </c>
      <c r="B4354" t="s">
        <v>1075</v>
      </c>
      <c r="C4354" t="s">
        <v>3453</v>
      </c>
    </row>
    <row r="4355" spans="1:3">
      <c r="A4355" t="s">
        <v>852</v>
      </c>
      <c r="B4355" t="s">
        <v>1075</v>
      </c>
      <c r="C4355" t="s">
        <v>3452</v>
      </c>
    </row>
    <row r="4356" spans="1:3">
      <c r="A4356" t="s">
        <v>852</v>
      </c>
      <c r="B4356" t="s">
        <v>1075</v>
      </c>
      <c r="C4356" t="s">
        <v>3451</v>
      </c>
    </row>
    <row r="4357" spans="1:3">
      <c r="A4357" t="s">
        <v>852</v>
      </c>
      <c r="B4357" t="s">
        <v>1075</v>
      </c>
      <c r="C4357" t="s">
        <v>3450</v>
      </c>
    </row>
    <row r="4358" spans="1:3">
      <c r="A4358" t="s">
        <v>853</v>
      </c>
      <c r="B4358" t="s">
        <v>1070</v>
      </c>
      <c r="C4358" t="s">
        <v>3406</v>
      </c>
    </row>
    <row r="4359" spans="1:3">
      <c r="A4359" t="s">
        <v>853</v>
      </c>
      <c r="B4359" t="s">
        <v>1070</v>
      </c>
      <c r="C4359" t="s">
        <v>3405</v>
      </c>
    </row>
    <row r="4360" spans="1:3">
      <c r="A4360" t="s">
        <v>853</v>
      </c>
      <c r="B4360" t="s">
        <v>1070</v>
      </c>
      <c r="C4360" t="s">
        <v>3404</v>
      </c>
    </row>
    <row r="4361" spans="1:3">
      <c r="A4361" t="s">
        <v>853</v>
      </c>
      <c r="B4361" t="s">
        <v>1070</v>
      </c>
      <c r="C4361" t="s">
        <v>3403</v>
      </c>
    </row>
    <row r="4362" spans="1:3">
      <c r="A4362" t="s">
        <v>853</v>
      </c>
      <c r="B4362" t="s">
        <v>1070</v>
      </c>
      <c r="C4362" t="s">
        <v>3402</v>
      </c>
    </row>
    <row r="4363" spans="1:3">
      <c r="A4363" t="s">
        <v>853</v>
      </c>
      <c r="B4363" t="s">
        <v>1075</v>
      </c>
      <c r="C4363" t="s">
        <v>3443</v>
      </c>
    </row>
    <row r="4364" spans="1:3">
      <c r="A4364" t="s">
        <v>853</v>
      </c>
      <c r="B4364" t="s">
        <v>1075</v>
      </c>
      <c r="C4364" t="s">
        <v>3442</v>
      </c>
    </row>
    <row r="4365" spans="1:3">
      <c r="A4365" t="s">
        <v>853</v>
      </c>
      <c r="B4365" t="s">
        <v>1075</v>
      </c>
      <c r="C4365" t="s">
        <v>3441</v>
      </c>
    </row>
    <row r="4366" spans="1:3">
      <c r="A4366" t="s">
        <v>853</v>
      </c>
      <c r="B4366" t="s">
        <v>1075</v>
      </c>
      <c r="C4366" t="s">
        <v>3440</v>
      </c>
    </row>
    <row r="4367" spans="1:3">
      <c r="A4367" t="s">
        <v>853</v>
      </c>
      <c r="B4367" t="s">
        <v>1075</v>
      </c>
      <c r="C4367" t="s">
        <v>3439</v>
      </c>
    </row>
    <row r="4368" spans="1:3">
      <c r="A4368" t="s">
        <v>853</v>
      </c>
      <c r="B4368" t="s">
        <v>1075</v>
      </c>
      <c r="C4368" t="s">
        <v>3438</v>
      </c>
    </row>
    <row r="4369" spans="1:3">
      <c r="A4369" t="s">
        <v>853</v>
      </c>
      <c r="B4369" t="s">
        <v>1075</v>
      </c>
      <c r="C4369" t="s">
        <v>3437</v>
      </c>
    </row>
    <row r="4370" spans="1:3">
      <c r="A4370" t="s">
        <v>853</v>
      </c>
      <c r="B4370" t="s">
        <v>1075</v>
      </c>
      <c r="C4370" t="s">
        <v>3436</v>
      </c>
    </row>
    <row r="4371" spans="1:3">
      <c r="A4371" t="s">
        <v>853</v>
      </c>
      <c r="B4371" t="s">
        <v>1075</v>
      </c>
      <c r="C4371" t="s">
        <v>3435</v>
      </c>
    </row>
    <row r="4372" spans="1:3">
      <c r="A4372" t="s">
        <v>853</v>
      </c>
      <c r="B4372" t="s">
        <v>1075</v>
      </c>
      <c r="C4372" t="s">
        <v>3434</v>
      </c>
    </row>
    <row r="4373" spans="1:3">
      <c r="A4373" t="s">
        <v>853</v>
      </c>
      <c r="B4373" t="s">
        <v>1075</v>
      </c>
      <c r="C4373" t="s">
        <v>3433</v>
      </c>
    </row>
    <row r="4374" spans="1:3">
      <c r="A4374" t="s">
        <v>853</v>
      </c>
      <c r="B4374" t="s">
        <v>1075</v>
      </c>
      <c r="C4374" t="s">
        <v>3432</v>
      </c>
    </row>
    <row r="4375" spans="1:3">
      <c r="A4375" t="s">
        <v>853</v>
      </c>
      <c r="B4375" t="s">
        <v>1075</v>
      </c>
      <c r="C4375" t="s">
        <v>3431</v>
      </c>
    </row>
    <row r="4376" spans="1:3">
      <c r="A4376" t="s">
        <v>853</v>
      </c>
      <c r="B4376" t="s">
        <v>1075</v>
      </c>
      <c r="C4376" t="s">
        <v>3430</v>
      </c>
    </row>
    <row r="4377" spans="1:3">
      <c r="A4377" t="s">
        <v>853</v>
      </c>
      <c r="B4377" t="s">
        <v>1075</v>
      </c>
      <c r="C4377" t="s">
        <v>3429</v>
      </c>
    </row>
    <row r="4378" spans="1:3">
      <c r="A4378" t="s">
        <v>853</v>
      </c>
      <c r="B4378" t="s">
        <v>1075</v>
      </c>
      <c r="C4378" t="s">
        <v>3428</v>
      </c>
    </row>
    <row r="4379" spans="1:3">
      <c r="A4379" t="s">
        <v>853</v>
      </c>
      <c r="B4379" t="s">
        <v>1075</v>
      </c>
      <c r="C4379" t="s">
        <v>3427</v>
      </c>
    </row>
    <row r="4380" spans="1:3">
      <c r="A4380" t="s">
        <v>853</v>
      </c>
      <c r="B4380" t="s">
        <v>1075</v>
      </c>
      <c r="C4380" t="s">
        <v>3426</v>
      </c>
    </row>
    <row r="4381" spans="1:3">
      <c r="A4381" t="s">
        <v>853</v>
      </c>
      <c r="B4381" t="s">
        <v>1075</v>
      </c>
      <c r="C4381" t="s">
        <v>3425</v>
      </c>
    </row>
    <row r="4382" spans="1:3">
      <c r="A4382" t="s">
        <v>853</v>
      </c>
      <c r="B4382" t="s">
        <v>1075</v>
      </c>
      <c r="C4382" t="s">
        <v>3424</v>
      </c>
    </row>
    <row r="4383" spans="1:3">
      <c r="A4383" t="s">
        <v>853</v>
      </c>
      <c r="B4383" t="s">
        <v>1075</v>
      </c>
      <c r="C4383" t="s">
        <v>3423</v>
      </c>
    </row>
    <row r="4384" spans="1:3">
      <c r="A4384" t="s">
        <v>853</v>
      </c>
      <c r="B4384" t="s">
        <v>1075</v>
      </c>
      <c r="C4384" t="s">
        <v>3422</v>
      </c>
    </row>
    <row r="4385" spans="1:3">
      <c r="A4385" t="s">
        <v>853</v>
      </c>
      <c r="B4385" t="s">
        <v>1075</v>
      </c>
      <c r="C4385" t="s">
        <v>3421</v>
      </c>
    </row>
    <row r="4386" spans="1:3">
      <c r="A4386" t="s">
        <v>853</v>
      </c>
      <c r="B4386" t="s">
        <v>1075</v>
      </c>
      <c r="C4386" t="s">
        <v>3420</v>
      </c>
    </row>
    <row r="4387" spans="1:3">
      <c r="A4387" t="s">
        <v>853</v>
      </c>
      <c r="B4387" t="s">
        <v>1075</v>
      </c>
      <c r="C4387" t="s">
        <v>3419</v>
      </c>
    </row>
    <row r="4388" spans="1:3">
      <c r="A4388" t="s">
        <v>853</v>
      </c>
      <c r="B4388" t="s">
        <v>1075</v>
      </c>
      <c r="C4388" t="s">
        <v>3418</v>
      </c>
    </row>
    <row r="4389" spans="1:3">
      <c r="A4389" t="s">
        <v>853</v>
      </c>
      <c r="B4389" t="s">
        <v>1075</v>
      </c>
      <c r="C4389" t="s">
        <v>3417</v>
      </c>
    </row>
    <row r="4390" spans="1:3">
      <c r="A4390" t="s">
        <v>853</v>
      </c>
      <c r="B4390" t="s">
        <v>1075</v>
      </c>
      <c r="C4390" t="s">
        <v>3416</v>
      </c>
    </row>
    <row r="4391" spans="1:3">
      <c r="A4391" t="s">
        <v>853</v>
      </c>
      <c r="B4391" t="s">
        <v>1075</v>
      </c>
      <c r="C4391" t="s">
        <v>3415</v>
      </c>
    </row>
    <row r="4392" spans="1:3">
      <c r="A4392" t="s">
        <v>853</v>
      </c>
      <c r="B4392" t="s">
        <v>1075</v>
      </c>
      <c r="C4392" t="s">
        <v>3414</v>
      </c>
    </row>
    <row r="4393" spans="1:3">
      <c r="A4393" t="s">
        <v>853</v>
      </c>
      <c r="B4393" t="s">
        <v>1075</v>
      </c>
      <c r="C4393" t="s">
        <v>3413</v>
      </c>
    </row>
    <row r="4394" spans="1:3">
      <c r="A4394" t="s">
        <v>853</v>
      </c>
      <c r="B4394" t="s">
        <v>1075</v>
      </c>
      <c r="C4394" t="s">
        <v>3412</v>
      </c>
    </row>
    <row r="4395" spans="1:3">
      <c r="A4395" t="s">
        <v>853</v>
      </c>
      <c r="B4395" t="s">
        <v>1075</v>
      </c>
      <c r="C4395" t="s">
        <v>3411</v>
      </c>
    </row>
    <row r="4396" spans="1:3">
      <c r="A4396" t="s">
        <v>853</v>
      </c>
      <c r="B4396" t="s">
        <v>1075</v>
      </c>
      <c r="C4396" t="s">
        <v>3410</v>
      </c>
    </row>
    <row r="4397" spans="1:3">
      <c r="A4397" t="s">
        <v>853</v>
      </c>
      <c r="B4397" t="s">
        <v>1075</v>
      </c>
      <c r="C4397" t="s">
        <v>3409</v>
      </c>
    </row>
    <row r="4398" spans="1:3">
      <c r="A4398" t="s">
        <v>853</v>
      </c>
      <c r="B4398" t="s">
        <v>1075</v>
      </c>
      <c r="C4398" t="s">
        <v>3408</v>
      </c>
    </row>
    <row r="4399" spans="1:3">
      <c r="A4399" t="s">
        <v>853</v>
      </c>
      <c r="B4399" t="s">
        <v>1075</v>
      </c>
      <c r="C4399" t="s">
        <v>3407</v>
      </c>
    </row>
    <row r="4400" spans="1:3">
      <c r="A4400" t="s">
        <v>860</v>
      </c>
      <c r="B4400" t="s">
        <v>1070</v>
      </c>
      <c r="C4400" t="s">
        <v>3388</v>
      </c>
    </row>
    <row r="4401" spans="1:3">
      <c r="A4401" t="s">
        <v>860</v>
      </c>
      <c r="B4401" t="s">
        <v>1075</v>
      </c>
      <c r="C4401" t="s">
        <v>3401</v>
      </c>
    </row>
    <row r="4402" spans="1:3">
      <c r="A4402" t="s">
        <v>860</v>
      </c>
      <c r="B4402" t="s">
        <v>1075</v>
      </c>
      <c r="C4402" t="s">
        <v>3400</v>
      </c>
    </row>
    <row r="4403" spans="1:3">
      <c r="A4403" t="s">
        <v>860</v>
      </c>
      <c r="B4403" t="s">
        <v>1075</v>
      </c>
      <c r="C4403" t="s">
        <v>3399</v>
      </c>
    </row>
    <row r="4404" spans="1:3">
      <c r="A4404" t="s">
        <v>860</v>
      </c>
      <c r="B4404" t="s">
        <v>1075</v>
      </c>
      <c r="C4404" t="s">
        <v>3398</v>
      </c>
    </row>
    <row r="4405" spans="1:3">
      <c r="A4405" t="s">
        <v>860</v>
      </c>
      <c r="B4405" t="s">
        <v>1075</v>
      </c>
      <c r="C4405" t="s">
        <v>3397</v>
      </c>
    </row>
    <row r="4406" spans="1:3">
      <c r="A4406" t="s">
        <v>860</v>
      </c>
      <c r="B4406" t="s">
        <v>1075</v>
      </c>
      <c r="C4406" t="s">
        <v>3396</v>
      </c>
    </row>
    <row r="4407" spans="1:3">
      <c r="A4407" t="s">
        <v>860</v>
      </c>
      <c r="B4407" t="s">
        <v>1075</v>
      </c>
      <c r="C4407" t="s">
        <v>3395</v>
      </c>
    </row>
    <row r="4408" spans="1:3">
      <c r="A4408" t="s">
        <v>860</v>
      </c>
      <c r="B4408" t="s">
        <v>1075</v>
      </c>
      <c r="C4408" t="s">
        <v>3394</v>
      </c>
    </row>
    <row r="4409" spans="1:3">
      <c r="A4409" t="s">
        <v>860</v>
      </c>
      <c r="B4409" t="s">
        <v>1075</v>
      </c>
      <c r="C4409" t="s">
        <v>3393</v>
      </c>
    </row>
    <row r="4410" spans="1:3">
      <c r="A4410" t="s">
        <v>860</v>
      </c>
      <c r="B4410" t="s">
        <v>1075</v>
      </c>
      <c r="C4410" t="s">
        <v>3392</v>
      </c>
    </row>
    <row r="4411" spans="1:3">
      <c r="A4411" t="s">
        <v>860</v>
      </c>
      <c r="B4411" t="s">
        <v>1075</v>
      </c>
      <c r="C4411" t="s">
        <v>3391</v>
      </c>
    </row>
    <row r="4412" spans="1:3">
      <c r="A4412" t="s">
        <v>860</v>
      </c>
      <c r="B4412" t="s">
        <v>1075</v>
      </c>
      <c r="C4412" t="s">
        <v>3390</v>
      </c>
    </row>
    <row r="4413" spans="1:3">
      <c r="A4413" t="s">
        <v>860</v>
      </c>
      <c r="B4413" t="s">
        <v>1075</v>
      </c>
      <c r="C4413" t="s">
        <v>3389</v>
      </c>
    </row>
    <row r="4414" spans="1:3">
      <c r="A4414" t="s">
        <v>862</v>
      </c>
      <c r="B4414" t="s">
        <v>1070</v>
      </c>
      <c r="C4414" t="s">
        <v>3350</v>
      </c>
    </row>
    <row r="4415" spans="1:3">
      <c r="A4415" t="s">
        <v>862</v>
      </c>
      <c r="B4415" t="s">
        <v>1070</v>
      </c>
      <c r="C4415" t="s">
        <v>3349</v>
      </c>
    </row>
    <row r="4416" spans="1:3">
      <c r="A4416" t="s">
        <v>862</v>
      </c>
      <c r="B4416" t="s">
        <v>1070</v>
      </c>
      <c r="C4416" t="s">
        <v>3348</v>
      </c>
    </row>
    <row r="4417" spans="1:3">
      <c r="A4417" t="s">
        <v>862</v>
      </c>
      <c r="B4417" t="s">
        <v>1070</v>
      </c>
      <c r="C4417" t="s">
        <v>3347</v>
      </c>
    </row>
    <row r="4418" spans="1:3">
      <c r="A4418" t="s">
        <v>862</v>
      </c>
      <c r="B4418" t="s">
        <v>1070</v>
      </c>
      <c r="C4418" t="s">
        <v>3346</v>
      </c>
    </row>
    <row r="4419" spans="1:3">
      <c r="A4419" t="s">
        <v>862</v>
      </c>
      <c r="B4419" t="s">
        <v>1075</v>
      </c>
      <c r="C4419" t="s">
        <v>3387</v>
      </c>
    </row>
    <row r="4420" spans="1:3">
      <c r="A4420" t="s">
        <v>862</v>
      </c>
      <c r="B4420" t="s">
        <v>1075</v>
      </c>
      <c r="C4420" t="s">
        <v>3386</v>
      </c>
    </row>
    <row r="4421" spans="1:3">
      <c r="A4421" t="s">
        <v>862</v>
      </c>
      <c r="B4421" t="s">
        <v>1075</v>
      </c>
      <c r="C4421" t="s">
        <v>3385</v>
      </c>
    </row>
    <row r="4422" spans="1:3">
      <c r="A4422" t="s">
        <v>862</v>
      </c>
      <c r="B4422" t="s">
        <v>1075</v>
      </c>
      <c r="C4422" t="s">
        <v>3384</v>
      </c>
    </row>
    <row r="4423" spans="1:3">
      <c r="A4423" t="s">
        <v>862</v>
      </c>
      <c r="B4423" t="s">
        <v>1075</v>
      </c>
      <c r="C4423" t="s">
        <v>3383</v>
      </c>
    </row>
    <row r="4424" spans="1:3">
      <c r="A4424" t="s">
        <v>862</v>
      </c>
      <c r="B4424" t="s">
        <v>1075</v>
      </c>
      <c r="C4424" t="s">
        <v>3382</v>
      </c>
    </row>
    <row r="4425" spans="1:3">
      <c r="A4425" t="s">
        <v>862</v>
      </c>
      <c r="B4425" t="s">
        <v>1075</v>
      </c>
      <c r="C4425" t="s">
        <v>3381</v>
      </c>
    </row>
    <row r="4426" spans="1:3">
      <c r="A4426" t="s">
        <v>862</v>
      </c>
      <c r="B4426" t="s">
        <v>1075</v>
      </c>
      <c r="C4426" t="s">
        <v>3380</v>
      </c>
    </row>
    <row r="4427" spans="1:3">
      <c r="A4427" t="s">
        <v>862</v>
      </c>
      <c r="B4427" t="s">
        <v>1075</v>
      </c>
      <c r="C4427" t="s">
        <v>3379</v>
      </c>
    </row>
    <row r="4428" spans="1:3">
      <c r="A4428" t="s">
        <v>862</v>
      </c>
      <c r="B4428" t="s">
        <v>1075</v>
      </c>
      <c r="C4428" t="s">
        <v>3378</v>
      </c>
    </row>
    <row r="4429" spans="1:3">
      <c r="A4429" t="s">
        <v>862</v>
      </c>
      <c r="B4429" t="s">
        <v>1075</v>
      </c>
      <c r="C4429" t="s">
        <v>3377</v>
      </c>
    </row>
    <row r="4430" spans="1:3">
      <c r="A4430" t="s">
        <v>862</v>
      </c>
      <c r="B4430" t="s">
        <v>1075</v>
      </c>
      <c r="C4430" t="s">
        <v>3376</v>
      </c>
    </row>
    <row r="4431" spans="1:3">
      <c r="A4431" t="s">
        <v>862</v>
      </c>
      <c r="B4431" t="s">
        <v>1075</v>
      </c>
      <c r="C4431" t="s">
        <v>3375</v>
      </c>
    </row>
    <row r="4432" spans="1:3">
      <c r="A4432" t="s">
        <v>862</v>
      </c>
      <c r="B4432" t="s">
        <v>1075</v>
      </c>
      <c r="C4432" t="s">
        <v>3374</v>
      </c>
    </row>
    <row r="4433" spans="1:3">
      <c r="A4433" t="s">
        <v>862</v>
      </c>
      <c r="B4433" t="s">
        <v>1075</v>
      </c>
      <c r="C4433" t="s">
        <v>3373</v>
      </c>
    </row>
    <row r="4434" spans="1:3">
      <c r="A4434" t="s">
        <v>862</v>
      </c>
      <c r="B4434" t="s">
        <v>1075</v>
      </c>
      <c r="C4434" t="s">
        <v>3372</v>
      </c>
    </row>
    <row r="4435" spans="1:3">
      <c r="A4435" t="s">
        <v>862</v>
      </c>
      <c r="B4435" t="s">
        <v>1075</v>
      </c>
      <c r="C4435" t="s">
        <v>3371</v>
      </c>
    </row>
    <row r="4436" spans="1:3">
      <c r="A4436" t="s">
        <v>862</v>
      </c>
      <c r="B4436" t="s">
        <v>1075</v>
      </c>
      <c r="C4436" t="s">
        <v>3370</v>
      </c>
    </row>
    <row r="4437" spans="1:3">
      <c r="A4437" t="s">
        <v>862</v>
      </c>
      <c r="B4437" t="s">
        <v>1075</v>
      </c>
      <c r="C4437" t="s">
        <v>3369</v>
      </c>
    </row>
    <row r="4438" spans="1:3">
      <c r="A4438" t="s">
        <v>862</v>
      </c>
      <c r="B4438" t="s">
        <v>1075</v>
      </c>
      <c r="C4438" t="s">
        <v>3368</v>
      </c>
    </row>
    <row r="4439" spans="1:3">
      <c r="A4439" t="s">
        <v>862</v>
      </c>
      <c r="B4439" t="s">
        <v>1075</v>
      </c>
      <c r="C4439" t="s">
        <v>3367</v>
      </c>
    </row>
    <row r="4440" spans="1:3">
      <c r="A4440" t="s">
        <v>862</v>
      </c>
      <c r="B4440" t="s">
        <v>1075</v>
      </c>
      <c r="C4440" t="s">
        <v>3366</v>
      </c>
    </row>
    <row r="4441" spans="1:3">
      <c r="A4441" t="s">
        <v>862</v>
      </c>
      <c r="B4441" t="s">
        <v>1075</v>
      </c>
      <c r="C4441" t="s">
        <v>3365</v>
      </c>
    </row>
    <row r="4442" spans="1:3">
      <c r="A4442" t="s">
        <v>862</v>
      </c>
      <c r="B4442" t="s">
        <v>1075</v>
      </c>
      <c r="C4442" t="s">
        <v>3364</v>
      </c>
    </row>
    <row r="4443" spans="1:3">
      <c r="A4443" t="s">
        <v>862</v>
      </c>
      <c r="B4443" t="s">
        <v>1075</v>
      </c>
      <c r="C4443" t="s">
        <v>3363</v>
      </c>
    </row>
    <row r="4444" spans="1:3">
      <c r="A4444" t="s">
        <v>862</v>
      </c>
      <c r="B4444" t="s">
        <v>1075</v>
      </c>
      <c r="C4444" t="s">
        <v>3362</v>
      </c>
    </row>
    <row r="4445" spans="1:3">
      <c r="A4445" t="s">
        <v>862</v>
      </c>
      <c r="B4445" t="s">
        <v>1075</v>
      </c>
      <c r="C4445" t="s">
        <v>3361</v>
      </c>
    </row>
    <row r="4446" spans="1:3">
      <c r="A4446" t="s">
        <v>862</v>
      </c>
      <c r="B4446" t="s">
        <v>1075</v>
      </c>
      <c r="C4446" t="s">
        <v>3360</v>
      </c>
    </row>
    <row r="4447" spans="1:3">
      <c r="A4447" t="s">
        <v>862</v>
      </c>
      <c r="B4447" t="s">
        <v>1075</v>
      </c>
      <c r="C4447" t="s">
        <v>3359</v>
      </c>
    </row>
    <row r="4448" spans="1:3">
      <c r="A4448" t="s">
        <v>862</v>
      </c>
      <c r="B4448" t="s">
        <v>1075</v>
      </c>
      <c r="C4448" t="s">
        <v>3358</v>
      </c>
    </row>
    <row r="4449" spans="1:3">
      <c r="A4449" t="s">
        <v>862</v>
      </c>
      <c r="B4449" t="s">
        <v>1075</v>
      </c>
      <c r="C4449" t="s">
        <v>3357</v>
      </c>
    </row>
    <row r="4450" spans="1:3">
      <c r="A4450" t="s">
        <v>862</v>
      </c>
      <c r="B4450" t="s">
        <v>1075</v>
      </c>
      <c r="C4450" t="s">
        <v>3356</v>
      </c>
    </row>
    <row r="4451" spans="1:3">
      <c r="A4451" t="s">
        <v>862</v>
      </c>
      <c r="B4451" t="s">
        <v>1075</v>
      </c>
      <c r="C4451" t="s">
        <v>3355</v>
      </c>
    </row>
    <row r="4452" spans="1:3">
      <c r="A4452" t="s">
        <v>862</v>
      </c>
      <c r="B4452" t="s">
        <v>1075</v>
      </c>
      <c r="C4452" t="s">
        <v>3354</v>
      </c>
    </row>
    <row r="4453" spans="1:3">
      <c r="A4453" t="s">
        <v>862</v>
      </c>
      <c r="B4453" t="s">
        <v>1075</v>
      </c>
      <c r="C4453" t="s">
        <v>3353</v>
      </c>
    </row>
    <row r="4454" spans="1:3">
      <c r="A4454" t="s">
        <v>862</v>
      </c>
      <c r="B4454" t="s">
        <v>1075</v>
      </c>
      <c r="C4454" t="s">
        <v>3352</v>
      </c>
    </row>
    <row r="4455" spans="1:3">
      <c r="A4455" t="s">
        <v>862</v>
      </c>
      <c r="B4455" t="s">
        <v>1075</v>
      </c>
      <c r="C4455" t="s">
        <v>3351</v>
      </c>
    </row>
    <row r="4456" spans="1:3">
      <c r="A4456" t="s">
        <v>861</v>
      </c>
      <c r="B4456" t="s">
        <v>1070</v>
      </c>
      <c r="C4456" t="s">
        <v>3308</v>
      </c>
    </row>
    <row r="4457" spans="1:3">
      <c r="A4457" t="s">
        <v>861</v>
      </c>
      <c r="B4457" t="s">
        <v>1070</v>
      </c>
      <c r="C4457" t="s">
        <v>3307</v>
      </c>
    </row>
    <row r="4458" spans="1:3">
      <c r="A4458" t="s">
        <v>861</v>
      </c>
      <c r="B4458" t="s">
        <v>1070</v>
      </c>
      <c r="C4458" t="s">
        <v>3306</v>
      </c>
    </row>
    <row r="4459" spans="1:3">
      <c r="A4459" t="s">
        <v>861</v>
      </c>
      <c r="B4459" t="s">
        <v>1070</v>
      </c>
      <c r="C4459" t="s">
        <v>3305</v>
      </c>
    </row>
    <row r="4460" spans="1:3">
      <c r="A4460" t="s">
        <v>861</v>
      </c>
      <c r="B4460" t="s">
        <v>1070</v>
      </c>
      <c r="C4460" t="s">
        <v>3304</v>
      </c>
    </row>
    <row r="4461" spans="1:3">
      <c r="A4461" t="s">
        <v>861</v>
      </c>
      <c r="B4461" t="s">
        <v>1075</v>
      </c>
      <c r="C4461" t="s">
        <v>3345</v>
      </c>
    </row>
    <row r="4462" spans="1:3">
      <c r="A4462" t="s">
        <v>861</v>
      </c>
      <c r="B4462" t="s">
        <v>1075</v>
      </c>
      <c r="C4462" t="s">
        <v>3344</v>
      </c>
    </row>
    <row r="4463" spans="1:3">
      <c r="A4463" t="s">
        <v>861</v>
      </c>
      <c r="B4463" t="s">
        <v>1075</v>
      </c>
      <c r="C4463" t="s">
        <v>3343</v>
      </c>
    </row>
    <row r="4464" spans="1:3">
      <c r="A4464" t="s">
        <v>861</v>
      </c>
      <c r="B4464" t="s">
        <v>1075</v>
      </c>
      <c r="C4464" t="s">
        <v>3342</v>
      </c>
    </row>
    <row r="4465" spans="1:3">
      <c r="A4465" t="s">
        <v>861</v>
      </c>
      <c r="B4465" t="s">
        <v>1075</v>
      </c>
      <c r="C4465" t="s">
        <v>3341</v>
      </c>
    </row>
    <row r="4466" spans="1:3">
      <c r="A4466" t="s">
        <v>861</v>
      </c>
      <c r="B4466" t="s">
        <v>1075</v>
      </c>
      <c r="C4466" t="s">
        <v>3340</v>
      </c>
    </row>
    <row r="4467" spans="1:3">
      <c r="A4467" t="s">
        <v>861</v>
      </c>
      <c r="B4467" t="s">
        <v>1075</v>
      </c>
      <c r="C4467" t="s">
        <v>3339</v>
      </c>
    </row>
    <row r="4468" spans="1:3">
      <c r="A4468" t="s">
        <v>861</v>
      </c>
      <c r="B4468" t="s">
        <v>1075</v>
      </c>
      <c r="C4468" t="s">
        <v>3338</v>
      </c>
    </row>
    <row r="4469" spans="1:3">
      <c r="A4469" t="s">
        <v>861</v>
      </c>
      <c r="B4469" t="s">
        <v>1075</v>
      </c>
      <c r="C4469" t="s">
        <v>3337</v>
      </c>
    </row>
    <row r="4470" spans="1:3">
      <c r="A4470" t="s">
        <v>861</v>
      </c>
      <c r="B4470" t="s">
        <v>1075</v>
      </c>
      <c r="C4470" t="s">
        <v>3336</v>
      </c>
    </row>
    <row r="4471" spans="1:3">
      <c r="A4471" t="s">
        <v>861</v>
      </c>
      <c r="B4471" t="s">
        <v>1075</v>
      </c>
      <c r="C4471" t="s">
        <v>3335</v>
      </c>
    </row>
    <row r="4472" spans="1:3">
      <c r="A4472" t="s">
        <v>861</v>
      </c>
      <c r="B4472" t="s">
        <v>1075</v>
      </c>
      <c r="C4472" t="s">
        <v>3334</v>
      </c>
    </row>
    <row r="4473" spans="1:3">
      <c r="A4473" t="s">
        <v>861</v>
      </c>
      <c r="B4473" t="s">
        <v>1075</v>
      </c>
      <c r="C4473" t="s">
        <v>3333</v>
      </c>
    </row>
    <row r="4474" spans="1:3">
      <c r="A4474" t="s">
        <v>861</v>
      </c>
      <c r="B4474" t="s">
        <v>1075</v>
      </c>
      <c r="C4474" t="s">
        <v>3332</v>
      </c>
    </row>
    <row r="4475" spans="1:3">
      <c r="A4475" t="s">
        <v>861</v>
      </c>
      <c r="B4475" t="s">
        <v>1075</v>
      </c>
      <c r="C4475" t="s">
        <v>3331</v>
      </c>
    </row>
    <row r="4476" spans="1:3">
      <c r="A4476" t="s">
        <v>861</v>
      </c>
      <c r="B4476" t="s">
        <v>1075</v>
      </c>
      <c r="C4476" t="s">
        <v>3330</v>
      </c>
    </row>
    <row r="4477" spans="1:3">
      <c r="A4477" t="s">
        <v>861</v>
      </c>
      <c r="B4477" t="s">
        <v>1075</v>
      </c>
      <c r="C4477" t="s">
        <v>3329</v>
      </c>
    </row>
    <row r="4478" spans="1:3">
      <c r="A4478" t="s">
        <v>861</v>
      </c>
      <c r="B4478" t="s">
        <v>1075</v>
      </c>
      <c r="C4478" t="s">
        <v>3328</v>
      </c>
    </row>
    <row r="4479" spans="1:3">
      <c r="A4479" t="s">
        <v>861</v>
      </c>
      <c r="B4479" t="s">
        <v>1075</v>
      </c>
      <c r="C4479" t="s">
        <v>3327</v>
      </c>
    </row>
    <row r="4480" spans="1:3">
      <c r="A4480" t="s">
        <v>861</v>
      </c>
      <c r="B4480" t="s">
        <v>1075</v>
      </c>
      <c r="C4480" t="s">
        <v>3326</v>
      </c>
    </row>
    <row r="4481" spans="1:3">
      <c r="A4481" t="s">
        <v>861</v>
      </c>
      <c r="B4481" t="s">
        <v>1075</v>
      </c>
      <c r="C4481" t="s">
        <v>3325</v>
      </c>
    </row>
    <row r="4482" spans="1:3">
      <c r="A4482" t="s">
        <v>861</v>
      </c>
      <c r="B4482" t="s">
        <v>1075</v>
      </c>
      <c r="C4482" t="s">
        <v>3324</v>
      </c>
    </row>
    <row r="4483" spans="1:3">
      <c r="A4483" t="s">
        <v>861</v>
      </c>
      <c r="B4483" t="s">
        <v>1075</v>
      </c>
      <c r="C4483" t="s">
        <v>3323</v>
      </c>
    </row>
    <row r="4484" spans="1:3">
      <c r="A4484" t="s">
        <v>861</v>
      </c>
      <c r="B4484" t="s">
        <v>1075</v>
      </c>
      <c r="C4484" t="s">
        <v>3322</v>
      </c>
    </row>
    <row r="4485" spans="1:3">
      <c r="A4485" t="s">
        <v>861</v>
      </c>
      <c r="B4485" t="s">
        <v>1075</v>
      </c>
      <c r="C4485" t="s">
        <v>3321</v>
      </c>
    </row>
    <row r="4486" spans="1:3">
      <c r="A4486" t="s">
        <v>861</v>
      </c>
      <c r="B4486" t="s">
        <v>1075</v>
      </c>
      <c r="C4486" t="s">
        <v>3320</v>
      </c>
    </row>
    <row r="4487" spans="1:3">
      <c r="A4487" t="s">
        <v>861</v>
      </c>
      <c r="B4487" t="s">
        <v>1075</v>
      </c>
      <c r="C4487" t="s">
        <v>3319</v>
      </c>
    </row>
    <row r="4488" spans="1:3">
      <c r="A4488" t="s">
        <v>861</v>
      </c>
      <c r="B4488" t="s">
        <v>1075</v>
      </c>
      <c r="C4488" t="s">
        <v>3318</v>
      </c>
    </row>
    <row r="4489" spans="1:3">
      <c r="A4489" t="s">
        <v>861</v>
      </c>
      <c r="B4489" t="s">
        <v>1075</v>
      </c>
      <c r="C4489" t="s">
        <v>3317</v>
      </c>
    </row>
    <row r="4490" spans="1:3">
      <c r="A4490" t="s">
        <v>861</v>
      </c>
      <c r="B4490" t="s">
        <v>1075</v>
      </c>
      <c r="C4490" t="s">
        <v>3316</v>
      </c>
    </row>
    <row r="4491" spans="1:3">
      <c r="A4491" t="s">
        <v>861</v>
      </c>
      <c r="B4491" t="s">
        <v>1075</v>
      </c>
      <c r="C4491" t="s">
        <v>3315</v>
      </c>
    </row>
    <row r="4492" spans="1:3">
      <c r="A4492" t="s">
        <v>861</v>
      </c>
      <c r="B4492" t="s">
        <v>1075</v>
      </c>
      <c r="C4492" t="s">
        <v>3314</v>
      </c>
    </row>
    <row r="4493" spans="1:3">
      <c r="A4493" t="s">
        <v>861</v>
      </c>
      <c r="B4493" t="s">
        <v>1075</v>
      </c>
      <c r="C4493" t="s">
        <v>3313</v>
      </c>
    </row>
    <row r="4494" spans="1:3">
      <c r="A4494" t="s">
        <v>861</v>
      </c>
      <c r="B4494" t="s">
        <v>1075</v>
      </c>
      <c r="C4494" t="s">
        <v>3312</v>
      </c>
    </row>
    <row r="4495" spans="1:3">
      <c r="A4495" t="s">
        <v>861</v>
      </c>
      <c r="B4495" t="s">
        <v>1075</v>
      </c>
      <c r="C4495" t="s">
        <v>3311</v>
      </c>
    </row>
    <row r="4496" spans="1:3">
      <c r="A4496" t="s">
        <v>861</v>
      </c>
      <c r="B4496" t="s">
        <v>1075</v>
      </c>
      <c r="C4496" t="s">
        <v>3310</v>
      </c>
    </row>
    <row r="4497" spans="1:3">
      <c r="A4497" t="s">
        <v>861</v>
      </c>
      <c r="B4497" t="s">
        <v>1075</v>
      </c>
      <c r="C4497" t="s">
        <v>3309</v>
      </c>
    </row>
    <row r="4498" spans="1:3">
      <c r="A4498" t="s">
        <v>850</v>
      </c>
      <c r="B4498" t="s">
        <v>1070</v>
      </c>
      <c r="C4498" t="s">
        <v>3230</v>
      </c>
    </row>
    <row r="4499" spans="1:3">
      <c r="A4499" t="s">
        <v>850</v>
      </c>
      <c r="B4499" t="s">
        <v>1070</v>
      </c>
      <c r="C4499" t="s">
        <v>3229</v>
      </c>
    </row>
    <row r="4500" spans="1:3">
      <c r="A4500" t="s">
        <v>850</v>
      </c>
      <c r="B4500" t="s">
        <v>1070</v>
      </c>
      <c r="C4500" t="s">
        <v>3228</v>
      </c>
    </row>
    <row r="4501" spans="1:3">
      <c r="A4501" t="s">
        <v>850</v>
      </c>
      <c r="B4501" t="s">
        <v>1070</v>
      </c>
      <c r="C4501" t="s">
        <v>3227</v>
      </c>
    </row>
    <row r="4502" spans="1:3">
      <c r="A4502" t="s">
        <v>850</v>
      </c>
      <c r="B4502" t="s">
        <v>1070</v>
      </c>
      <c r="C4502" t="s">
        <v>3226</v>
      </c>
    </row>
    <row r="4503" spans="1:3">
      <c r="A4503" t="s">
        <v>850</v>
      </c>
      <c r="B4503" t="s">
        <v>1070</v>
      </c>
      <c r="C4503" t="s">
        <v>3225</v>
      </c>
    </row>
    <row r="4504" spans="1:3">
      <c r="A4504" t="s">
        <v>850</v>
      </c>
      <c r="B4504" t="s">
        <v>1070</v>
      </c>
      <c r="C4504" t="s">
        <v>3224</v>
      </c>
    </row>
    <row r="4505" spans="1:3">
      <c r="A4505" t="s">
        <v>850</v>
      </c>
      <c r="B4505" t="s">
        <v>1070</v>
      </c>
      <c r="C4505" t="s">
        <v>3223</v>
      </c>
    </row>
    <row r="4506" spans="1:3">
      <c r="A4506" t="s">
        <v>850</v>
      </c>
      <c r="B4506" t="s">
        <v>1070</v>
      </c>
      <c r="C4506" t="s">
        <v>3222</v>
      </c>
    </row>
    <row r="4507" spans="1:3">
      <c r="A4507" t="s">
        <v>850</v>
      </c>
      <c r="B4507" t="s">
        <v>1075</v>
      </c>
      <c r="C4507" t="s">
        <v>3303</v>
      </c>
    </row>
    <row r="4508" spans="1:3">
      <c r="A4508" t="s">
        <v>850</v>
      </c>
      <c r="B4508" t="s">
        <v>1075</v>
      </c>
      <c r="C4508" t="s">
        <v>3302</v>
      </c>
    </row>
    <row r="4509" spans="1:3">
      <c r="A4509" t="s">
        <v>850</v>
      </c>
      <c r="B4509" t="s">
        <v>1075</v>
      </c>
      <c r="C4509" t="s">
        <v>3301</v>
      </c>
    </row>
    <row r="4510" spans="1:3">
      <c r="A4510" t="s">
        <v>850</v>
      </c>
      <c r="B4510" t="s">
        <v>1075</v>
      </c>
      <c r="C4510" t="s">
        <v>3300</v>
      </c>
    </row>
    <row r="4511" spans="1:3">
      <c r="A4511" t="s">
        <v>850</v>
      </c>
      <c r="B4511" t="s">
        <v>1075</v>
      </c>
      <c r="C4511" t="s">
        <v>3299</v>
      </c>
    </row>
    <row r="4512" spans="1:3">
      <c r="A4512" t="s">
        <v>850</v>
      </c>
      <c r="B4512" t="s">
        <v>1075</v>
      </c>
      <c r="C4512" t="s">
        <v>3298</v>
      </c>
    </row>
    <row r="4513" spans="1:3">
      <c r="A4513" t="s">
        <v>850</v>
      </c>
      <c r="B4513" t="s">
        <v>1075</v>
      </c>
      <c r="C4513" t="s">
        <v>3297</v>
      </c>
    </row>
    <row r="4514" spans="1:3">
      <c r="A4514" t="s">
        <v>850</v>
      </c>
      <c r="B4514" t="s">
        <v>1075</v>
      </c>
      <c r="C4514" t="s">
        <v>3296</v>
      </c>
    </row>
    <row r="4515" spans="1:3">
      <c r="A4515" t="s">
        <v>850</v>
      </c>
      <c r="B4515" t="s">
        <v>1075</v>
      </c>
      <c r="C4515" t="s">
        <v>3295</v>
      </c>
    </row>
    <row r="4516" spans="1:3">
      <c r="A4516" t="s">
        <v>850</v>
      </c>
      <c r="B4516" t="s">
        <v>1075</v>
      </c>
      <c r="C4516" t="s">
        <v>3294</v>
      </c>
    </row>
    <row r="4517" spans="1:3">
      <c r="A4517" t="s">
        <v>850</v>
      </c>
      <c r="B4517" t="s">
        <v>1075</v>
      </c>
      <c r="C4517" t="s">
        <v>3293</v>
      </c>
    </row>
    <row r="4518" spans="1:3">
      <c r="A4518" t="s">
        <v>850</v>
      </c>
      <c r="B4518" t="s">
        <v>1075</v>
      </c>
      <c r="C4518" t="s">
        <v>3292</v>
      </c>
    </row>
    <row r="4519" spans="1:3">
      <c r="A4519" t="s">
        <v>850</v>
      </c>
      <c r="B4519" t="s">
        <v>1075</v>
      </c>
      <c r="C4519" t="s">
        <v>3291</v>
      </c>
    </row>
    <row r="4520" spans="1:3">
      <c r="A4520" t="s">
        <v>850</v>
      </c>
      <c r="B4520" t="s">
        <v>1075</v>
      </c>
      <c r="C4520" t="s">
        <v>3290</v>
      </c>
    </row>
    <row r="4521" spans="1:3">
      <c r="A4521" t="s">
        <v>850</v>
      </c>
      <c r="B4521" t="s">
        <v>1075</v>
      </c>
      <c r="C4521" t="s">
        <v>3289</v>
      </c>
    </row>
    <row r="4522" spans="1:3">
      <c r="A4522" t="s">
        <v>850</v>
      </c>
      <c r="B4522" t="s">
        <v>1075</v>
      </c>
      <c r="C4522" t="s">
        <v>3288</v>
      </c>
    </row>
    <row r="4523" spans="1:3">
      <c r="A4523" t="s">
        <v>850</v>
      </c>
      <c r="B4523" t="s">
        <v>1075</v>
      </c>
      <c r="C4523" t="s">
        <v>3287</v>
      </c>
    </row>
    <row r="4524" spans="1:3">
      <c r="A4524" t="s">
        <v>850</v>
      </c>
      <c r="B4524" t="s">
        <v>1075</v>
      </c>
      <c r="C4524" t="s">
        <v>3286</v>
      </c>
    </row>
    <row r="4525" spans="1:3">
      <c r="A4525" t="s">
        <v>850</v>
      </c>
      <c r="B4525" t="s">
        <v>1075</v>
      </c>
      <c r="C4525" t="s">
        <v>3285</v>
      </c>
    </row>
    <row r="4526" spans="1:3">
      <c r="A4526" t="s">
        <v>850</v>
      </c>
      <c r="B4526" t="s">
        <v>1075</v>
      </c>
      <c r="C4526" t="s">
        <v>3284</v>
      </c>
    </row>
    <row r="4527" spans="1:3">
      <c r="A4527" t="s">
        <v>850</v>
      </c>
      <c r="B4527" t="s">
        <v>1075</v>
      </c>
      <c r="C4527" t="s">
        <v>3283</v>
      </c>
    </row>
    <row r="4528" spans="1:3">
      <c r="A4528" t="s">
        <v>850</v>
      </c>
      <c r="B4528" t="s">
        <v>1075</v>
      </c>
      <c r="C4528" t="s">
        <v>3282</v>
      </c>
    </row>
    <row r="4529" spans="1:3">
      <c r="A4529" t="s">
        <v>850</v>
      </c>
      <c r="B4529" t="s">
        <v>1075</v>
      </c>
      <c r="C4529" t="s">
        <v>3281</v>
      </c>
    </row>
    <row r="4530" spans="1:3">
      <c r="A4530" t="s">
        <v>850</v>
      </c>
      <c r="B4530" t="s">
        <v>1075</v>
      </c>
      <c r="C4530" t="s">
        <v>3280</v>
      </c>
    </row>
    <row r="4531" spans="1:3">
      <c r="A4531" t="s">
        <v>850</v>
      </c>
      <c r="B4531" t="s">
        <v>1075</v>
      </c>
      <c r="C4531" t="s">
        <v>3279</v>
      </c>
    </row>
    <row r="4532" spans="1:3">
      <c r="A4532" t="s">
        <v>850</v>
      </c>
      <c r="B4532" t="s">
        <v>1075</v>
      </c>
      <c r="C4532" t="s">
        <v>3278</v>
      </c>
    </row>
    <row r="4533" spans="1:3">
      <c r="A4533" t="s">
        <v>850</v>
      </c>
      <c r="B4533" t="s">
        <v>1075</v>
      </c>
      <c r="C4533" t="s">
        <v>3277</v>
      </c>
    </row>
    <row r="4534" spans="1:3">
      <c r="A4534" t="s">
        <v>850</v>
      </c>
      <c r="B4534" t="s">
        <v>1075</v>
      </c>
      <c r="C4534" t="s">
        <v>3276</v>
      </c>
    </row>
    <row r="4535" spans="1:3">
      <c r="A4535" t="s">
        <v>850</v>
      </c>
      <c r="B4535" t="s">
        <v>1075</v>
      </c>
      <c r="C4535" t="s">
        <v>3275</v>
      </c>
    </row>
    <row r="4536" spans="1:3">
      <c r="A4536" t="s">
        <v>850</v>
      </c>
      <c r="B4536" t="s">
        <v>1075</v>
      </c>
      <c r="C4536" t="s">
        <v>3274</v>
      </c>
    </row>
    <row r="4537" spans="1:3">
      <c r="A4537" t="s">
        <v>850</v>
      </c>
      <c r="B4537" t="s">
        <v>1075</v>
      </c>
      <c r="C4537" t="s">
        <v>3273</v>
      </c>
    </row>
    <row r="4538" spans="1:3">
      <c r="A4538" t="s">
        <v>850</v>
      </c>
      <c r="B4538" t="s">
        <v>1075</v>
      </c>
      <c r="C4538" t="s">
        <v>3272</v>
      </c>
    </row>
    <row r="4539" spans="1:3">
      <c r="A4539" t="s">
        <v>850</v>
      </c>
      <c r="B4539" t="s">
        <v>1075</v>
      </c>
      <c r="C4539" t="s">
        <v>3271</v>
      </c>
    </row>
    <row r="4540" spans="1:3">
      <c r="A4540" t="s">
        <v>850</v>
      </c>
      <c r="B4540" t="s">
        <v>1075</v>
      </c>
      <c r="C4540" t="s">
        <v>3270</v>
      </c>
    </row>
    <row r="4541" spans="1:3">
      <c r="A4541" t="s">
        <v>850</v>
      </c>
      <c r="B4541" t="s">
        <v>1075</v>
      </c>
      <c r="C4541" t="s">
        <v>3269</v>
      </c>
    </row>
    <row r="4542" spans="1:3">
      <c r="A4542" t="s">
        <v>850</v>
      </c>
      <c r="B4542" t="s">
        <v>1075</v>
      </c>
      <c r="C4542" t="s">
        <v>3268</v>
      </c>
    </row>
    <row r="4543" spans="1:3">
      <c r="A4543" t="s">
        <v>850</v>
      </c>
      <c r="B4543" t="s">
        <v>1075</v>
      </c>
      <c r="C4543" t="s">
        <v>3267</v>
      </c>
    </row>
    <row r="4544" spans="1:3">
      <c r="A4544" t="s">
        <v>850</v>
      </c>
      <c r="B4544" t="s">
        <v>1075</v>
      </c>
      <c r="C4544" t="s">
        <v>3266</v>
      </c>
    </row>
    <row r="4545" spans="1:3">
      <c r="A4545" t="s">
        <v>850</v>
      </c>
      <c r="B4545" t="s">
        <v>1075</v>
      </c>
      <c r="C4545" t="s">
        <v>3265</v>
      </c>
    </row>
    <row r="4546" spans="1:3">
      <c r="A4546" t="s">
        <v>850</v>
      </c>
      <c r="B4546" t="s">
        <v>1075</v>
      </c>
      <c r="C4546" t="s">
        <v>3264</v>
      </c>
    </row>
    <row r="4547" spans="1:3">
      <c r="A4547" t="s">
        <v>850</v>
      </c>
      <c r="B4547" t="s">
        <v>1075</v>
      </c>
      <c r="C4547" t="s">
        <v>3263</v>
      </c>
    </row>
    <row r="4548" spans="1:3">
      <c r="A4548" t="s">
        <v>850</v>
      </c>
      <c r="B4548" t="s">
        <v>1075</v>
      </c>
      <c r="C4548" t="s">
        <v>3262</v>
      </c>
    </row>
    <row r="4549" spans="1:3">
      <c r="A4549" t="s">
        <v>850</v>
      </c>
      <c r="B4549" t="s">
        <v>1075</v>
      </c>
      <c r="C4549" t="s">
        <v>3261</v>
      </c>
    </row>
    <row r="4550" spans="1:3">
      <c r="A4550" t="s">
        <v>850</v>
      </c>
      <c r="B4550" t="s">
        <v>1075</v>
      </c>
      <c r="C4550" t="s">
        <v>3260</v>
      </c>
    </row>
    <row r="4551" spans="1:3">
      <c r="A4551" t="s">
        <v>850</v>
      </c>
      <c r="B4551" t="s">
        <v>1075</v>
      </c>
      <c r="C4551" t="s">
        <v>3259</v>
      </c>
    </row>
    <row r="4552" spans="1:3">
      <c r="A4552" t="s">
        <v>850</v>
      </c>
      <c r="B4552" t="s">
        <v>1075</v>
      </c>
      <c r="C4552" t="s">
        <v>3258</v>
      </c>
    </row>
    <row r="4553" spans="1:3">
      <c r="A4553" t="s">
        <v>850</v>
      </c>
      <c r="B4553" t="s">
        <v>1075</v>
      </c>
      <c r="C4553" t="s">
        <v>3257</v>
      </c>
    </row>
    <row r="4554" spans="1:3">
      <c r="A4554" t="s">
        <v>850</v>
      </c>
      <c r="B4554" t="s">
        <v>1075</v>
      </c>
      <c r="C4554" t="s">
        <v>3256</v>
      </c>
    </row>
    <row r="4555" spans="1:3">
      <c r="A4555" t="s">
        <v>850</v>
      </c>
      <c r="B4555" t="s">
        <v>1075</v>
      </c>
      <c r="C4555" t="s">
        <v>3255</v>
      </c>
    </row>
    <row r="4556" spans="1:3">
      <c r="A4556" t="s">
        <v>850</v>
      </c>
      <c r="B4556" t="s">
        <v>1075</v>
      </c>
      <c r="C4556" t="s">
        <v>3254</v>
      </c>
    </row>
    <row r="4557" spans="1:3">
      <c r="A4557" t="s">
        <v>850</v>
      </c>
      <c r="B4557" t="s">
        <v>1075</v>
      </c>
      <c r="C4557" t="s">
        <v>3253</v>
      </c>
    </row>
    <row r="4558" spans="1:3">
      <c r="A4558" t="s">
        <v>850</v>
      </c>
      <c r="B4558" t="s">
        <v>1075</v>
      </c>
      <c r="C4558" t="s">
        <v>3252</v>
      </c>
    </row>
    <row r="4559" spans="1:3">
      <c r="A4559" t="s">
        <v>850</v>
      </c>
      <c r="B4559" t="s">
        <v>1075</v>
      </c>
      <c r="C4559" t="s">
        <v>3251</v>
      </c>
    </row>
    <row r="4560" spans="1:3">
      <c r="A4560" t="s">
        <v>850</v>
      </c>
      <c r="B4560" t="s">
        <v>1075</v>
      </c>
      <c r="C4560" t="s">
        <v>3250</v>
      </c>
    </row>
    <row r="4561" spans="1:3">
      <c r="A4561" t="s">
        <v>850</v>
      </c>
      <c r="B4561" t="s">
        <v>1075</v>
      </c>
      <c r="C4561" t="s">
        <v>3249</v>
      </c>
    </row>
    <row r="4562" spans="1:3">
      <c r="A4562" t="s">
        <v>850</v>
      </c>
      <c r="B4562" t="s">
        <v>1075</v>
      </c>
      <c r="C4562" t="s">
        <v>3248</v>
      </c>
    </row>
    <row r="4563" spans="1:3">
      <c r="A4563" t="s">
        <v>850</v>
      </c>
      <c r="B4563" t="s">
        <v>1075</v>
      </c>
      <c r="C4563" t="s">
        <v>3247</v>
      </c>
    </row>
    <row r="4564" spans="1:3">
      <c r="A4564" t="s">
        <v>850</v>
      </c>
      <c r="B4564" t="s">
        <v>1075</v>
      </c>
      <c r="C4564" t="s">
        <v>3246</v>
      </c>
    </row>
    <row r="4565" spans="1:3">
      <c r="A4565" t="s">
        <v>850</v>
      </c>
      <c r="B4565" t="s">
        <v>1075</v>
      </c>
      <c r="C4565" t="s">
        <v>3245</v>
      </c>
    </row>
    <row r="4566" spans="1:3">
      <c r="A4566" t="s">
        <v>850</v>
      </c>
      <c r="B4566" t="s">
        <v>1075</v>
      </c>
      <c r="C4566" t="s">
        <v>3244</v>
      </c>
    </row>
    <row r="4567" spans="1:3">
      <c r="A4567" t="s">
        <v>850</v>
      </c>
      <c r="B4567" t="s">
        <v>1075</v>
      </c>
      <c r="C4567" t="s">
        <v>3243</v>
      </c>
    </row>
    <row r="4568" spans="1:3">
      <c r="A4568" t="s">
        <v>850</v>
      </c>
      <c r="B4568" t="s">
        <v>1075</v>
      </c>
      <c r="C4568" t="s">
        <v>3242</v>
      </c>
    </row>
    <row r="4569" spans="1:3">
      <c r="A4569" t="s">
        <v>850</v>
      </c>
      <c r="B4569" t="s">
        <v>1075</v>
      </c>
      <c r="C4569" t="s">
        <v>3241</v>
      </c>
    </row>
    <row r="4570" spans="1:3">
      <c r="A4570" t="s">
        <v>850</v>
      </c>
      <c r="B4570" t="s">
        <v>1075</v>
      </c>
      <c r="C4570" t="s">
        <v>3240</v>
      </c>
    </row>
    <row r="4571" spans="1:3">
      <c r="A4571" t="s">
        <v>850</v>
      </c>
      <c r="B4571" t="s">
        <v>1075</v>
      </c>
      <c r="C4571" t="s">
        <v>3239</v>
      </c>
    </row>
    <row r="4572" spans="1:3">
      <c r="A4572" t="s">
        <v>850</v>
      </c>
      <c r="B4572" t="s">
        <v>1075</v>
      </c>
      <c r="C4572" t="s">
        <v>3238</v>
      </c>
    </row>
    <row r="4573" spans="1:3">
      <c r="A4573" t="s">
        <v>850</v>
      </c>
      <c r="B4573" t="s">
        <v>1075</v>
      </c>
      <c r="C4573" t="s">
        <v>3237</v>
      </c>
    </row>
    <row r="4574" spans="1:3">
      <c r="A4574" t="s">
        <v>850</v>
      </c>
      <c r="B4574" t="s">
        <v>1075</v>
      </c>
      <c r="C4574" t="s">
        <v>3236</v>
      </c>
    </row>
    <row r="4575" spans="1:3">
      <c r="A4575" t="s">
        <v>850</v>
      </c>
      <c r="B4575" t="s">
        <v>1075</v>
      </c>
      <c r="C4575" t="s">
        <v>3235</v>
      </c>
    </row>
    <row r="4576" spans="1:3">
      <c r="A4576" t="s">
        <v>850</v>
      </c>
      <c r="B4576" t="s">
        <v>1075</v>
      </c>
      <c r="C4576" t="s">
        <v>3234</v>
      </c>
    </row>
    <row r="4577" spans="1:3">
      <c r="A4577" t="s">
        <v>850</v>
      </c>
      <c r="B4577" t="s">
        <v>1075</v>
      </c>
      <c r="C4577" t="s">
        <v>3233</v>
      </c>
    </row>
    <row r="4578" spans="1:3">
      <c r="A4578" t="s">
        <v>850</v>
      </c>
      <c r="B4578" t="s">
        <v>1075</v>
      </c>
      <c r="C4578" t="s">
        <v>3232</v>
      </c>
    </row>
    <row r="4579" spans="1:3">
      <c r="A4579" t="s">
        <v>850</v>
      </c>
      <c r="B4579" t="s">
        <v>1075</v>
      </c>
      <c r="C4579" t="s">
        <v>3231</v>
      </c>
    </row>
    <row r="4580" spans="1:3">
      <c r="A4580" t="s">
        <v>855</v>
      </c>
      <c r="B4580" t="s">
        <v>1070</v>
      </c>
      <c r="C4580" t="s">
        <v>3144</v>
      </c>
    </row>
    <row r="4581" spans="1:3">
      <c r="A4581" t="s">
        <v>855</v>
      </c>
      <c r="B4581" t="s">
        <v>1070</v>
      </c>
      <c r="C4581" t="s">
        <v>3143</v>
      </c>
    </row>
    <row r="4582" spans="1:3">
      <c r="A4582" t="s">
        <v>855</v>
      </c>
      <c r="B4582" t="s">
        <v>1070</v>
      </c>
      <c r="C4582" t="s">
        <v>3142</v>
      </c>
    </row>
    <row r="4583" spans="1:3">
      <c r="A4583" t="s">
        <v>855</v>
      </c>
      <c r="B4583" t="s">
        <v>1070</v>
      </c>
      <c r="C4583" t="s">
        <v>3141</v>
      </c>
    </row>
    <row r="4584" spans="1:3">
      <c r="A4584" t="s">
        <v>855</v>
      </c>
      <c r="B4584" t="s">
        <v>1070</v>
      </c>
      <c r="C4584" t="s">
        <v>3140</v>
      </c>
    </row>
    <row r="4585" spans="1:3">
      <c r="A4585" t="s">
        <v>855</v>
      </c>
      <c r="B4585" t="s">
        <v>1070</v>
      </c>
      <c r="C4585" t="s">
        <v>3139</v>
      </c>
    </row>
    <row r="4586" spans="1:3">
      <c r="A4586" t="s">
        <v>855</v>
      </c>
      <c r="B4586" t="s">
        <v>1070</v>
      </c>
      <c r="C4586" t="s">
        <v>3138</v>
      </c>
    </row>
    <row r="4587" spans="1:3">
      <c r="A4587" t="s">
        <v>855</v>
      </c>
      <c r="B4587" t="s">
        <v>1075</v>
      </c>
      <c r="C4587" t="s">
        <v>3221</v>
      </c>
    </row>
    <row r="4588" spans="1:3">
      <c r="A4588" t="s">
        <v>855</v>
      </c>
      <c r="B4588" t="s">
        <v>1075</v>
      </c>
      <c r="C4588" t="s">
        <v>3220</v>
      </c>
    </row>
    <row r="4589" spans="1:3">
      <c r="A4589" t="s">
        <v>855</v>
      </c>
      <c r="B4589" t="s">
        <v>1075</v>
      </c>
      <c r="C4589" t="s">
        <v>3219</v>
      </c>
    </row>
    <row r="4590" spans="1:3">
      <c r="A4590" t="s">
        <v>855</v>
      </c>
      <c r="B4590" t="s">
        <v>1075</v>
      </c>
      <c r="C4590" t="s">
        <v>3218</v>
      </c>
    </row>
    <row r="4591" spans="1:3">
      <c r="A4591" t="s">
        <v>855</v>
      </c>
      <c r="B4591" t="s">
        <v>1075</v>
      </c>
      <c r="C4591" t="s">
        <v>3217</v>
      </c>
    </row>
    <row r="4592" spans="1:3">
      <c r="A4592" t="s">
        <v>855</v>
      </c>
      <c r="B4592" t="s">
        <v>1075</v>
      </c>
      <c r="C4592" t="s">
        <v>3216</v>
      </c>
    </row>
    <row r="4593" spans="1:3">
      <c r="A4593" t="s">
        <v>855</v>
      </c>
      <c r="B4593" t="s">
        <v>1075</v>
      </c>
      <c r="C4593" t="s">
        <v>3215</v>
      </c>
    </row>
    <row r="4594" spans="1:3">
      <c r="A4594" t="s">
        <v>855</v>
      </c>
      <c r="B4594" t="s">
        <v>1075</v>
      </c>
      <c r="C4594" t="s">
        <v>3214</v>
      </c>
    </row>
    <row r="4595" spans="1:3">
      <c r="A4595" t="s">
        <v>855</v>
      </c>
      <c r="B4595" t="s">
        <v>1075</v>
      </c>
      <c r="C4595" t="s">
        <v>3213</v>
      </c>
    </row>
    <row r="4596" spans="1:3">
      <c r="A4596" t="s">
        <v>855</v>
      </c>
      <c r="B4596" t="s">
        <v>1075</v>
      </c>
      <c r="C4596" t="s">
        <v>3212</v>
      </c>
    </row>
    <row r="4597" spans="1:3">
      <c r="A4597" t="s">
        <v>855</v>
      </c>
      <c r="B4597" t="s">
        <v>1075</v>
      </c>
      <c r="C4597" t="s">
        <v>3211</v>
      </c>
    </row>
    <row r="4598" spans="1:3">
      <c r="A4598" t="s">
        <v>855</v>
      </c>
      <c r="B4598" t="s">
        <v>1075</v>
      </c>
      <c r="C4598" t="s">
        <v>3210</v>
      </c>
    </row>
    <row r="4599" spans="1:3">
      <c r="A4599" t="s">
        <v>855</v>
      </c>
      <c r="B4599" t="s">
        <v>1075</v>
      </c>
      <c r="C4599" t="s">
        <v>3209</v>
      </c>
    </row>
    <row r="4600" spans="1:3">
      <c r="A4600" t="s">
        <v>855</v>
      </c>
      <c r="B4600" t="s">
        <v>1075</v>
      </c>
      <c r="C4600" t="s">
        <v>3208</v>
      </c>
    </row>
    <row r="4601" spans="1:3">
      <c r="A4601" t="s">
        <v>855</v>
      </c>
      <c r="B4601" t="s">
        <v>1075</v>
      </c>
      <c r="C4601" t="s">
        <v>3207</v>
      </c>
    </row>
    <row r="4602" spans="1:3">
      <c r="A4602" t="s">
        <v>855</v>
      </c>
      <c r="B4602" t="s">
        <v>1075</v>
      </c>
      <c r="C4602" t="s">
        <v>3206</v>
      </c>
    </row>
    <row r="4603" spans="1:3">
      <c r="A4603" t="s">
        <v>855</v>
      </c>
      <c r="B4603" t="s">
        <v>1075</v>
      </c>
      <c r="C4603" t="s">
        <v>3205</v>
      </c>
    </row>
    <row r="4604" spans="1:3">
      <c r="A4604" t="s">
        <v>855</v>
      </c>
      <c r="B4604" t="s">
        <v>1075</v>
      </c>
      <c r="C4604" t="s">
        <v>3204</v>
      </c>
    </row>
    <row r="4605" spans="1:3">
      <c r="A4605" t="s">
        <v>855</v>
      </c>
      <c r="B4605" t="s">
        <v>1075</v>
      </c>
      <c r="C4605" t="s">
        <v>3203</v>
      </c>
    </row>
    <row r="4606" spans="1:3">
      <c r="A4606" t="s">
        <v>855</v>
      </c>
      <c r="B4606" t="s">
        <v>1075</v>
      </c>
      <c r="C4606" t="s">
        <v>3202</v>
      </c>
    </row>
    <row r="4607" spans="1:3">
      <c r="A4607" t="s">
        <v>855</v>
      </c>
      <c r="B4607" t="s">
        <v>1075</v>
      </c>
      <c r="C4607" t="s">
        <v>3201</v>
      </c>
    </row>
    <row r="4608" spans="1:3">
      <c r="A4608" t="s">
        <v>855</v>
      </c>
      <c r="B4608" t="s">
        <v>1075</v>
      </c>
      <c r="C4608" t="s">
        <v>3200</v>
      </c>
    </row>
    <row r="4609" spans="1:3">
      <c r="A4609" t="s">
        <v>855</v>
      </c>
      <c r="B4609" t="s">
        <v>1075</v>
      </c>
      <c r="C4609" t="s">
        <v>3199</v>
      </c>
    </row>
    <row r="4610" spans="1:3">
      <c r="A4610" t="s">
        <v>855</v>
      </c>
      <c r="B4610" t="s">
        <v>1075</v>
      </c>
      <c r="C4610" t="s">
        <v>3198</v>
      </c>
    </row>
    <row r="4611" spans="1:3">
      <c r="A4611" t="s">
        <v>855</v>
      </c>
      <c r="B4611" t="s">
        <v>1075</v>
      </c>
      <c r="C4611" t="s">
        <v>3197</v>
      </c>
    </row>
    <row r="4612" spans="1:3">
      <c r="A4612" t="s">
        <v>855</v>
      </c>
      <c r="B4612" t="s">
        <v>1075</v>
      </c>
      <c r="C4612" t="s">
        <v>3196</v>
      </c>
    </row>
    <row r="4613" spans="1:3">
      <c r="A4613" t="s">
        <v>855</v>
      </c>
      <c r="B4613" t="s">
        <v>1075</v>
      </c>
      <c r="C4613" t="s">
        <v>3195</v>
      </c>
    </row>
    <row r="4614" spans="1:3">
      <c r="A4614" t="s">
        <v>855</v>
      </c>
      <c r="B4614" t="s">
        <v>1075</v>
      </c>
      <c r="C4614" t="s">
        <v>3194</v>
      </c>
    </row>
    <row r="4615" spans="1:3">
      <c r="A4615" t="s">
        <v>855</v>
      </c>
      <c r="B4615" t="s">
        <v>1075</v>
      </c>
      <c r="C4615" t="s">
        <v>3193</v>
      </c>
    </row>
    <row r="4616" spans="1:3">
      <c r="A4616" t="s">
        <v>855</v>
      </c>
      <c r="B4616" t="s">
        <v>1075</v>
      </c>
      <c r="C4616" t="s">
        <v>3192</v>
      </c>
    </row>
    <row r="4617" spans="1:3">
      <c r="A4617" t="s">
        <v>855</v>
      </c>
      <c r="B4617" t="s">
        <v>1075</v>
      </c>
      <c r="C4617" t="s">
        <v>3191</v>
      </c>
    </row>
    <row r="4618" spans="1:3">
      <c r="A4618" t="s">
        <v>855</v>
      </c>
      <c r="B4618" t="s">
        <v>1075</v>
      </c>
      <c r="C4618" t="s">
        <v>3190</v>
      </c>
    </row>
    <row r="4619" spans="1:3">
      <c r="A4619" t="s">
        <v>855</v>
      </c>
      <c r="B4619" t="s">
        <v>1075</v>
      </c>
      <c r="C4619" t="s">
        <v>3189</v>
      </c>
    </row>
    <row r="4620" spans="1:3">
      <c r="A4620" t="s">
        <v>855</v>
      </c>
      <c r="B4620" t="s">
        <v>1075</v>
      </c>
      <c r="C4620" t="s">
        <v>3188</v>
      </c>
    </row>
    <row r="4621" spans="1:3">
      <c r="A4621" t="s">
        <v>855</v>
      </c>
      <c r="B4621" t="s">
        <v>1075</v>
      </c>
      <c r="C4621" t="s">
        <v>3187</v>
      </c>
    </row>
    <row r="4622" spans="1:3">
      <c r="A4622" t="s">
        <v>855</v>
      </c>
      <c r="B4622" t="s">
        <v>1075</v>
      </c>
      <c r="C4622" t="s">
        <v>3186</v>
      </c>
    </row>
    <row r="4623" spans="1:3">
      <c r="A4623" t="s">
        <v>855</v>
      </c>
      <c r="B4623" t="s">
        <v>1075</v>
      </c>
      <c r="C4623" t="s">
        <v>3185</v>
      </c>
    </row>
    <row r="4624" spans="1:3">
      <c r="A4624" t="s">
        <v>855</v>
      </c>
      <c r="B4624" t="s">
        <v>1075</v>
      </c>
      <c r="C4624" t="s">
        <v>3184</v>
      </c>
    </row>
    <row r="4625" spans="1:3">
      <c r="A4625" t="s">
        <v>855</v>
      </c>
      <c r="B4625" t="s">
        <v>1075</v>
      </c>
      <c r="C4625" t="s">
        <v>3183</v>
      </c>
    </row>
    <row r="4626" spans="1:3">
      <c r="A4626" t="s">
        <v>855</v>
      </c>
      <c r="B4626" t="s">
        <v>1075</v>
      </c>
      <c r="C4626" t="s">
        <v>3182</v>
      </c>
    </row>
    <row r="4627" spans="1:3">
      <c r="A4627" t="s">
        <v>855</v>
      </c>
      <c r="B4627" t="s">
        <v>1075</v>
      </c>
      <c r="C4627" t="s">
        <v>3181</v>
      </c>
    </row>
    <row r="4628" spans="1:3">
      <c r="A4628" t="s">
        <v>855</v>
      </c>
      <c r="B4628" t="s">
        <v>1075</v>
      </c>
      <c r="C4628" t="s">
        <v>3180</v>
      </c>
    </row>
    <row r="4629" spans="1:3">
      <c r="A4629" t="s">
        <v>855</v>
      </c>
      <c r="B4629" t="s">
        <v>1075</v>
      </c>
      <c r="C4629" t="s">
        <v>3179</v>
      </c>
    </row>
    <row r="4630" spans="1:3">
      <c r="A4630" t="s">
        <v>855</v>
      </c>
      <c r="B4630" t="s">
        <v>1075</v>
      </c>
      <c r="C4630" t="s">
        <v>3178</v>
      </c>
    </row>
    <row r="4631" spans="1:3">
      <c r="A4631" t="s">
        <v>855</v>
      </c>
      <c r="B4631" t="s">
        <v>1075</v>
      </c>
      <c r="C4631" t="s">
        <v>3177</v>
      </c>
    </row>
    <row r="4632" spans="1:3">
      <c r="A4632" t="s">
        <v>855</v>
      </c>
      <c r="B4632" t="s">
        <v>1075</v>
      </c>
      <c r="C4632" t="s">
        <v>3176</v>
      </c>
    </row>
    <row r="4633" spans="1:3">
      <c r="A4633" t="s">
        <v>855</v>
      </c>
      <c r="B4633" t="s">
        <v>1075</v>
      </c>
      <c r="C4633" t="s">
        <v>3175</v>
      </c>
    </row>
    <row r="4634" spans="1:3">
      <c r="A4634" t="s">
        <v>855</v>
      </c>
      <c r="B4634" t="s">
        <v>1075</v>
      </c>
      <c r="C4634" t="s">
        <v>3174</v>
      </c>
    </row>
    <row r="4635" spans="1:3">
      <c r="A4635" t="s">
        <v>855</v>
      </c>
      <c r="B4635" t="s">
        <v>1075</v>
      </c>
      <c r="C4635" t="s">
        <v>3173</v>
      </c>
    </row>
    <row r="4636" spans="1:3">
      <c r="A4636" t="s">
        <v>855</v>
      </c>
      <c r="B4636" t="s">
        <v>1075</v>
      </c>
      <c r="C4636" t="s">
        <v>3172</v>
      </c>
    </row>
    <row r="4637" spans="1:3">
      <c r="A4637" t="s">
        <v>855</v>
      </c>
      <c r="B4637" t="s">
        <v>1075</v>
      </c>
      <c r="C4637" t="s">
        <v>3171</v>
      </c>
    </row>
    <row r="4638" spans="1:3">
      <c r="A4638" t="s">
        <v>855</v>
      </c>
      <c r="B4638" t="s">
        <v>1075</v>
      </c>
      <c r="C4638" t="s">
        <v>3170</v>
      </c>
    </row>
    <row r="4639" spans="1:3">
      <c r="A4639" t="s">
        <v>855</v>
      </c>
      <c r="B4639" t="s">
        <v>1075</v>
      </c>
      <c r="C4639" t="s">
        <v>3169</v>
      </c>
    </row>
    <row r="4640" spans="1:3">
      <c r="A4640" t="s">
        <v>855</v>
      </c>
      <c r="B4640" t="s">
        <v>1075</v>
      </c>
      <c r="C4640" t="s">
        <v>3168</v>
      </c>
    </row>
    <row r="4641" spans="1:3">
      <c r="A4641" t="s">
        <v>855</v>
      </c>
      <c r="B4641" t="s">
        <v>1075</v>
      </c>
      <c r="C4641" t="s">
        <v>3167</v>
      </c>
    </row>
    <row r="4642" spans="1:3">
      <c r="A4642" t="s">
        <v>855</v>
      </c>
      <c r="B4642" t="s">
        <v>1075</v>
      </c>
      <c r="C4642" t="s">
        <v>3166</v>
      </c>
    </row>
    <row r="4643" spans="1:3">
      <c r="A4643" t="s">
        <v>855</v>
      </c>
      <c r="B4643" t="s">
        <v>1075</v>
      </c>
      <c r="C4643" t="s">
        <v>3165</v>
      </c>
    </row>
    <row r="4644" spans="1:3">
      <c r="A4644" t="s">
        <v>855</v>
      </c>
      <c r="B4644" t="s">
        <v>1075</v>
      </c>
      <c r="C4644" t="s">
        <v>3164</v>
      </c>
    </row>
    <row r="4645" spans="1:3">
      <c r="A4645" t="s">
        <v>855</v>
      </c>
      <c r="B4645" t="s">
        <v>1075</v>
      </c>
      <c r="C4645" t="s">
        <v>3163</v>
      </c>
    </row>
    <row r="4646" spans="1:3">
      <c r="A4646" t="s">
        <v>855</v>
      </c>
      <c r="B4646" t="s">
        <v>1075</v>
      </c>
      <c r="C4646" t="s">
        <v>3162</v>
      </c>
    </row>
    <row r="4647" spans="1:3">
      <c r="A4647" t="s">
        <v>855</v>
      </c>
      <c r="B4647" t="s">
        <v>1075</v>
      </c>
      <c r="C4647" t="s">
        <v>3161</v>
      </c>
    </row>
    <row r="4648" spans="1:3">
      <c r="A4648" t="s">
        <v>855</v>
      </c>
      <c r="B4648" t="s">
        <v>1075</v>
      </c>
      <c r="C4648" t="s">
        <v>3160</v>
      </c>
    </row>
    <row r="4649" spans="1:3">
      <c r="A4649" t="s">
        <v>855</v>
      </c>
      <c r="B4649" t="s">
        <v>1075</v>
      </c>
      <c r="C4649" t="s">
        <v>3159</v>
      </c>
    </row>
    <row r="4650" spans="1:3">
      <c r="A4650" t="s">
        <v>855</v>
      </c>
      <c r="B4650" t="s">
        <v>1075</v>
      </c>
      <c r="C4650" t="s">
        <v>3158</v>
      </c>
    </row>
    <row r="4651" spans="1:3">
      <c r="A4651" t="s">
        <v>855</v>
      </c>
      <c r="B4651" t="s">
        <v>1075</v>
      </c>
      <c r="C4651" t="s">
        <v>3157</v>
      </c>
    </row>
    <row r="4652" spans="1:3">
      <c r="A4652" t="s">
        <v>855</v>
      </c>
      <c r="B4652" t="s">
        <v>1075</v>
      </c>
      <c r="C4652" t="s">
        <v>3156</v>
      </c>
    </row>
    <row r="4653" spans="1:3">
      <c r="A4653" t="s">
        <v>855</v>
      </c>
      <c r="B4653" t="s">
        <v>1075</v>
      </c>
      <c r="C4653" t="s">
        <v>3155</v>
      </c>
    </row>
    <row r="4654" spans="1:3">
      <c r="A4654" t="s">
        <v>855</v>
      </c>
      <c r="B4654" t="s">
        <v>1075</v>
      </c>
      <c r="C4654" t="s">
        <v>3154</v>
      </c>
    </row>
    <row r="4655" spans="1:3">
      <c r="A4655" t="s">
        <v>855</v>
      </c>
      <c r="B4655" t="s">
        <v>1075</v>
      </c>
      <c r="C4655" t="s">
        <v>3153</v>
      </c>
    </row>
    <row r="4656" spans="1:3">
      <c r="A4656" t="s">
        <v>855</v>
      </c>
      <c r="B4656" t="s">
        <v>1075</v>
      </c>
      <c r="C4656" t="s">
        <v>3152</v>
      </c>
    </row>
    <row r="4657" spans="1:3">
      <c r="A4657" t="s">
        <v>855</v>
      </c>
      <c r="B4657" t="s">
        <v>1075</v>
      </c>
      <c r="C4657" t="s">
        <v>3151</v>
      </c>
    </row>
    <row r="4658" spans="1:3">
      <c r="A4658" t="s">
        <v>855</v>
      </c>
      <c r="B4658" t="s">
        <v>1075</v>
      </c>
      <c r="C4658" t="s">
        <v>3150</v>
      </c>
    </row>
    <row r="4659" spans="1:3">
      <c r="A4659" t="s">
        <v>855</v>
      </c>
      <c r="B4659" t="s">
        <v>1075</v>
      </c>
      <c r="C4659" t="s">
        <v>3149</v>
      </c>
    </row>
    <row r="4660" spans="1:3">
      <c r="A4660" t="s">
        <v>855</v>
      </c>
      <c r="B4660" t="s">
        <v>1075</v>
      </c>
      <c r="C4660" t="s">
        <v>3148</v>
      </c>
    </row>
    <row r="4661" spans="1:3">
      <c r="A4661" t="s">
        <v>855</v>
      </c>
      <c r="B4661" t="s">
        <v>1075</v>
      </c>
      <c r="C4661" t="s">
        <v>3147</v>
      </c>
    </row>
    <row r="4662" spans="1:3">
      <c r="A4662" t="s">
        <v>855</v>
      </c>
      <c r="B4662" t="s">
        <v>1075</v>
      </c>
      <c r="C4662" t="s">
        <v>3146</v>
      </c>
    </row>
    <row r="4663" spans="1:3">
      <c r="A4663" t="s">
        <v>855</v>
      </c>
      <c r="B4663" t="s">
        <v>1075</v>
      </c>
      <c r="C4663" t="s">
        <v>3145</v>
      </c>
    </row>
    <row r="4664" spans="1:3">
      <c r="A4664" t="s">
        <v>851</v>
      </c>
      <c r="B4664" t="s">
        <v>1070</v>
      </c>
      <c r="C4664" t="s">
        <v>3076</v>
      </c>
    </row>
    <row r="4665" spans="1:3">
      <c r="A4665" t="s">
        <v>851</v>
      </c>
      <c r="B4665" t="s">
        <v>1070</v>
      </c>
      <c r="C4665" t="s">
        <v>3075</v>
      </c>
    </row>
    <row r="4666" spans="1:3">
      <c r="A4666" t="s">
        <v>851</v>
      </c>
      <c r="B4666" t="s">
        <v>1070</v>
      </c>
      <c r="C4666" t="s">
        <v>3074</v>
      </c>
    </row>
    <row r="4667" spans="1:3">
      <c r="A4667" t="s">
        <v>851</v>
      </c>
      <c r="B4667" t="s">
        <v>1070</v>
      </c>
      <c r="C4667" t="s">
        <v>3073</v>
      </c>
    </row>
    <row r="4668" spans="1:3">
      <c r="A4668" t="s">
        <v>851</v>
      </c>
      <c r="B4668" t="s">
        <v>1070</v>
      </c>
      <c r="C4668" t="s">
        <v>3072</v>
      </c>
    </row>
    <row r="4669" spans="1:3">
      <c r="A4669" t="s">
        <v>851</v>
      </c>
      <c r="B4669" t="s">
        <v>1070</v>
      </c>
      <c r="C4669" t="s">
        <v>3071</v>
      </c>
    </row>
    <row r="4670" spans="1:3">
      <c r="A4670" t="s">
        <v>851</v>
      </c>
      <c r="B4670" t="s">
        <v>1070</v>
      </c>
      <c r="C4670" t="s">
        <v>3070</v>
      </c>
    </row>
    <row r="4671" spans="1:3">
      <c r="A4671" t="s">
        <v>851</v>
      </c>
      <c r="B4671" t="s">
        <v>1070</v>
      </c>
      <c r="C4671" t="s">
        <v>3069</v>
      </c>
    </row>
    <row r="4672" spans="1:3">
      <c r="A4672" t="s">
        <v>851</v>
      </c>
      <c r="B4672" t="s">
        <v>1075</v>
      </c>
      <c r="C4672" t="s">
        <v>3137</v>
      </c>
    </row>
    <row r="4673" spans="1:3">
      <c r="A4673" t="s">
        <v>851</v>
      </c>
      <c r="B4673" t="s">
        <v>1075</v>
      </c>
      <c r="C4673" t="s">
        <v>3136</v>
      </c>
    </row>
    <row r="4674" spans="1:3">
      <c r="A4674" t="s">
        <v>851</v>
      </c>
      <c r="B4674" t="s">
        <v>1075</v>
      </c>
      <c r="C4674" t="s">
        <v>3135</v>
      </c>
    </row>
    <row r="4675" spans="1:3">
      <c r="A4675" t="s">
        <v>851</v>
      </c>
      <c r="B4675" t="s">
        <v>1075</v>
      </c>
      <c r="C4675" t="s">
        <v>3134</v>
      </c>
    </row>
    <row r="4676" spans="1:3">
      <c r="A4676" t="s">
        <v>851</v>
      </c>
      <c r="B4676" t="s">
        <v>1075</v>
      </c>
      <c r="C4676" t="s">
        <v>3133</v>
      </c>
    </row>
    <row r="4677" spans="1:3">
      <c r="A4677" t="s">
        <v>851</v>
      </c>
      <c r="B4677" t="s">
        <v>1075</v>
      </c>
      <c r="C4677" t="s">
        <v>3132</v>
      </c>
    </row>
    <row r="4678" spans="1:3">
      <c r="A4678" t="s">
        <v>851</v>
      </c>
      <c r="B4678" t="s">
        <v>1075</v>
      </c>
      <c r="C4678" t="s">
        <v>3131</v>
      </c>
    </row>
    <row r="4679" spans="1:3">
      <c r="A4679" t="s">
        <v>851</v>
      </c>
      <c r="B4679" t="s">
        <v>1075</v>
      </c>
      <c r="C4679" t="s">
        <v>3130</v>
      </c>
    </row>
    <row r="4680" spans="1:3">
      <c r="A4680" t="s">
        <v>851</v>
      </c>
      <c r="B4680" t="s">
        <v>1075</v>
      </c>
      <c r="C4680" t="s">
        <v>3129</v>
      </c>
    </row>
    <row r="4681" spans="1:3">
      <c r="A4681" t="s">
        <v>851</v>
      </c>
      <c r="B4681" t="s">
        <v>1075</v>
      </c>
      <c r="C4681" t="s">
        <v>3128</v>
      </c>
    </row>
    <row r="4682" spans="1:3">
      <c r="A4682" t="s">
        <v>851</v>
      </c>
      <c r="B4682" t="s">
        <v>1075</v>
      </c>
      <c r="C4682" t="s">
        <v>3127</v>
      </c>
    </row>
    <row r="4683" spans="1:3">
      <c r="A4683" t="s">
        <v>851</v>
      </c>
      <c r="B4683" t="s">
        <v>1075</v>
      </c>
      <c r="C4683" t="s">
        <v>3126</v>
      </c>
    </row>
    <row r="4684" spans="1:3">
      <c r="A4684" t="s">
        <v>851</v>
      </c>
      <c r="B4684" t="s">
        <v>1075</v>
      </c>
      <c r="C4684" t="s">
        <v>3125</v>
      </c>
    </row>
    <row r="4685" spans="1:3">
      <c r="A4685" t="s">
        <v>851</v>
      </c>
      <c r="B4685" t="s">
        <v>1075</v>
      </c>
      <c r="C4685" t="s">
        <v>3124</v>
      </c>
    </row>
    <row r="4686" spans="1:3">
      <c r="A4686" t="s">
        <v>851</v>
      </c>
      <c r="B4686" t="s">
        <v>1075</v>
      </c>
      <c r="C4686" t="s">
        <v>3123</v>
      </c>
    </row>
    <row r="4687" spans="1:3">
      <c r="A4687" t="s">
        <v>851</v>
      </c>
      <c r="B4687" t="s">
        <v>1075</v>
      </c>
      <c r="C4687" t="s">
        <v>3122</v>
      </c>
    </row>
    <row r="4688" spans="1:3">
      <c r="A4688" t="s">
        <v>851</v>
      </c>
      <c r="B4688" t="s">
        <v>1075</v>
      </c>
      <c r="C4688" t="s">
        <v>3121</v>
      </c>
    </row>
    <row r="4689" spans="1:3">
      <c r="A4689" t="s">
        <v>851</v>
      </c>
      <c r="B4689" t="s">
        <v>1075</v>
      </c>
      <c r="C4689" t="s">
        <v>3120</v>
      </c>
    </row>
    <row r="4690" spans="1:3">
      <c r="A4690" t="s">
        <v>851</v>
      </c>
      <c r="B4690" t="s">
        <v>1075</v>
      </c>
      <c r="C4690" t="s">
        <v>3119</v>
      </c>
    </row>
    <row r="4691" spans="1:3">
      <c r="A4691" t="s">
        <v>851</v>
      </c>
      <c r="B4691" t="s">
        <v>1075</v>
      </c>
      <c r="C4691" t="s">
        <v>3118</v>
      </c>
    </row>
    <row r="4692" spans="1:3">
      <c r="A4692" t="s">
        <v>851</v>
      </c>
      <c r="B4692" t="s">
        <v>1075</v>
      </c>
      <c r="C4692" t="s">
        <v>3117</v>
      </c>
    </row>
    <row r="4693" spans="1:3">
      <c r="A4693" t="s">
        <v>851</v>
      </c>
      <c r="B4693" t="s">
        <v>1075</v>
      </c>
      <c r="C4693" t="s">
        <v>3116</v>
      </c>
    </row>
    <row r="4694" spans="1:3">
      <c r="A4694" t="s">
        <v>851</v>
      </c>
      <c r="B4694" t="s">
        <v>1075</v>
      </c>
      <c r="C4694" t="s">
        <v>3115</v>
      </c>
    </row>
    <row r="4695" spans="1:3">
      <c r="A4695" t="s">
        <v>851</v>
      </c>
      <c r="B4695" t="s">
        <v>1075</v>
      </c>
      <c r="C4695" t="s">
        <v>3114</v>
      </c>
    </row>
    <row r="4696" spans="1:3">
      <c r="A4696" t="s">
        <v>851</v>
      </c>
      <c r="B4696" t="s">
        <v>1075</v>
      </c>
      <c r="C4696" t="s">
        <v>3113</v>
      </c>
    </row>
    <row r="4697" spans="1:3">
      <c r="A4697" t="s">
        <v>851</v>
      </c>
      <c r="B4697" t="s">
        <v>1075</v>
      </c>
      <c r="C4697" t="s">
        <v>3112</v>
      </c>
    </row>
    <row r="4698" spans="1:3">
      <c r="A4698" t="s">
        <v>851</v>
      </c>
      <c r="B4698" t="s">
        <v>1075</v>
      </c>
      <c r="C4698" t="s">
        <v>3111</v>
      </c>
    </row>
    <row r="4699" spans="1:3">
      <c r="A4699" t="s">
        <v>851</v>
      </c>
      <c r="B4699" t="s">
        <v>1075</v>
      </c>
      <c r="C4699" t="s">
        <v>3110</v>
      </c>
    </row>
    <row r="4700" spans="1:3">
      <c r="A4700" t="s">
        <v>851</v>
      </c>
      <c r="B4700" t="s">
        <v>1075</v>
      </c>
      <c r="C4700" t="s">
        <v>3109</v>
      </c>
    </row>
    <row r="4701" spans="1:3">
      <c r="A4701" t="s">
        <v>851</v>
      </c>
      <c r="B4701" t="s">
        <v>1075</v>
      </c>
      <c r="C4701" t="s">
        <v>3108</v>
      </c>
    </row>
    <row r="4702" spans="1:3">
      <c r="A4702" t="s">
        <v>851</v>
      </c>
      <c r="B4702" t="s">
        <v>1075</v>
      </c>
      <c r="C4702" t="s">
        <v>3107</v>
      </c>
    </row>
    <row r="4703" spans="1:3">
      <c r="A4703" t="s">
        <v>851</v>
      </c>
      <c r="B4703" t="s">
        <v>1075</v>
      </c>
      <c r="C4703" t="s">
        <v>3106</v>
      </c>
    </row>
    <row r="4704" spans="1:3">
      <c r="A4704" t="s">
        <v>851</v>
      </c>
      <c r="B4704" t="s">
        <v>1075</v>
      </c>
      <c r="C4704" t="s">
        <v>3105</v>
      </c>
    </row>
    <row r="4705" spans="1:3">
      <c r="A4705" t="s">
        <v>851</v>
      </c>
      <c r="B4705" t="s">
        <v>1075</v>
      </c>
      <c r="C4705" t="s">
        <v>3104</v>
      </c>
    </row>
    <row r="4706" spans="1:3">
      <c r="A4706" t="s">
        <v>851</v>
      </c>
      <c r="B4706" t="s">
        <v>1075</v>
      </c>
      <c r="C4706" t="s">
        <v>3103</v>
      </c>
    </row>
    <row r="4707" spans="1:3">
      <c r="A4707" t="s">
        <v>851</v>
      </c>
      <c r="B4707" t="s">
        <v>1075</v>
      </c>
      <c r="C4707" t="s">
        <v>3102</v>
      </c>
    </row>
    <row r="4708" spans="1:3">
      <c r="A4708" t="s">
        <v>851</v>
      </c>
      <c r="B4708" t="s">
        <v>1075</v>
      </c>
      <c r="C4708" t="s">
        <v>3101</v>
      </c>
    </row>
    <row r="4709" spans="1:3">
      <c r="A4709" t="s">
        <v>851</v>
      </c>
      <c r="B4709" t="s">
        <v>1075</v>
      </c>
      <c r="C4709" t="s">
        <v>3100</v>
      </c>
    </row>
    <row r="4710" spans="1:3">
      <c r="A4710" t="s">
        <v>851</v>
      </c>
      <c r="B4710" t="s">
        <v>1075</v>
      </c>
      <c r="C4710" t="s">
        <v>3099</v>
      </c>
    </row>
    <row r="4711" spans="1:3">
      <c r="A4711" t="s">
        <v>851</v>
      </c>
      <c r="B4711" t="s">
        <v>1075</v>
      </c>
      <c r="C4711" t="s">
        <v>3098</v>
      </c>
    </row>
    <row r="4712" spans="1:3">
      <c r="A4712" t="s">
        <v>851</v>
      </c>
      <c r="B4712" t="s">
        <v>1075</v>
      </c>
      <c r="C4712" t="s">
        <v>3097</v>
      </c>
    </row>
    <row r="4713" spans="1:3">
      <c r="A4713" t="s">
        <v>851</v>
      </c>
      <c r="B4713" t="s">
        <v>1075</v>
      </c>
      <c r="C4713" t="s">
        <v>3096</v>
      </c>
    </row>
    <row r="4714" spans="1:3">
      <c r="A4714" t="s">
        <v>851</v>
      </c>
      <c r="B4714" t="s">
        <v>1075</v>
      </c>
      <c r="C4714" t="s">
        <v>3095</v>
      </c>
    </row>
    <row r="4715" spans="1:3">
      <c r="A4715" t="s">
        <v>851</v>
      </c>
      <c r="B4715" t="s">
        <v>1075</v>
      </c>
      <c r="C4715" t="s">
        <v>3094</v>
      </c>
    </row>
    <row r="4716" spans="1:3">
      <c r="A4716" t="s">
        <v>851</v>
      </c>
      <c r="B4716" t="s">
        <v>1075</v>
      </c>
      <c r="C4716" t="s">
        <v>3093</v>
      </c>
    </row>
    <row r="4717" spans="1:3">
      <c r="A4717" t="s">
        <v>851</v>
      </c>
      <c r="B4717" t="s">
        <v>1075</v>
      </c>
      <c r="C4717" t="s">
        <v>3092</v>
      </c>
    </row>
    <row r="4718" spans="1:3">
      <c r="A4718" t="s">
        <v>851</v>
      </c>
      <c r="B4718" t="s">
        <v>1075</v>
      </c>
      <c r="C4718" t="s">
        <v>3091</v>
      </c>
    </row>
    <row r="4719" spans="1:3">
      <c r="A4719" t="s">
        <v>851</v>
      </c>
      <c r="B4719" t="s">
        <v>1075</v>
      </c>
      <c r="C4719" t="s">
        <v>3090</v>
      </c>
    </row>
    <row r="4720" spans="1:3">
      <c r="A4720" t="s">
        <v>851</v>
      </c>
      <c r="B4720" t="s">
        <v>1075</v>
      </c>
      <c r="C4720" t="s">
        <v>3089</v>
      </c>
    </row>
    <row r="4721" spans="1:3">
      <c r="A4721" t="s">
        <v>851</v>
      </c>
      <c r="B4721" t="s">
        <v>1075</v>
      </c>
      <c r="C4721" t="s">
        <v>3088</v>
      </c>
    </row>
    <row r="4722" spans="1:3">
      <c r="A4722" t="s">
        <v>851</v>
      </c>
      <c r="B4722" t="s">
        <v>1075</v>
      </c>
      <c r="C4722" t="s">
        <v>3087</v>
      </c>
    </row>
    <row r="4723" spans="1:3">
      <c r="A4723" t="s">
        <v>851</v>
      </c>
      <c r="B4723" t="s">
        <v>1075</v>
      </c>
      <c r="C4723" t="s">
        <v>3086</v>
      </c>
    </row>
    <row r="4724" spans="1:3">
      <c r="A4724" t="s">
        <v>851</v>
      </c>
      <c r="B4724" t="s">
        <v>1075</v>
      </c>
      <c r="C4724" t="s">
        <v>3085</v>
      </c>
    </row>
    <row r="4725" spans="1:3">
      <c r="A4725" t="s">
        <v>851</v>
      </c>
      <c r="B4725" t="s">
        <v>1075</v>
      </c>
      <c r="C4725" t="s">
        <v>3084</v>
      </c>
    </row>
    <row r="4726" spans="1:3">
      <c r="A4726" t="s">
        <v>851</v>
      </c>
      <c r="B4726" t="s">
        <v>1075</v>
      </c>
      <c r="C4726" t="s">
        <v>3083</v>
      </c>
    </row>
    <row r="4727" spans="1:3">
      <c r="A4727" t="s">
        <v>851</v>
      </c>
      <c r="B4727" t="s">
        <v>1075</v>
      </c>
      <c r="C4727" t="s">
        <v>3082</v>
      </c>
    </row>
    <row r="4728" spans="1:3">
      <c r="A4728" t="s">
        <v>851</v>
      </c>
      <c r="B4728" t="s">
        <v>1075</v>
      </c>
      <c r="C4728" t="s">
        <v>3081</v>
      </c>
    </row>
    <row r="4729" spans="1:3">
      <c r="A4729" t="s">
        <v>851</v>
      </c>
      <c r="B4729" t="s">
        <v>1075</v>
      </c>
      <c r="C4729" t="s">
        <v>3080</v>
      </c>
    </row>
    <row r="4730" spans="1:3">
      <c r="A4730" t="s">
        <v>851</v>
      </c>
      <c r="B4730" t="s">
        <v>1075</v>
      </c>
      <c r="C4730" t="s">
        <v>3079</v>
      </c>
    </row>
    <row r="4731" spans="1:3">
      <c r="A4731" t="s">
        <v>851</v>
      </c>
      <c r="B4731" t="s">
        <v>1075</v>
      </c>
      <c r="C4731" t="s">
        <v>3078</v>
      </c>
    </row>
    <row r="4732" spans="1:3">
      <c r="A4732" t="s">
        <v>851</v>
      </c>
      <c r="B4732" t="s">
        <v>1075</v>
      </c>
      <c r="C4732" t="s">
        <v>3077</v>
      </c>
    </row>
    <row r="4733" spans="1:3">
      <c r="A4733" t="s">
        <v>858</v>
      </c>
      <c r="B4733" t="s">
        <v>1070</v>
      </c>
      <c r="C4733" t="s">
        <v>3019</v>
      </c>
    </row>
    <row r="4734" spans="1:3">
      <c r="A4734" t="s">
        <v>858</v>
      </c>
      <c r="B4734" t="s">
        <v>1070</v>
      </c>
      <c r="C4734" t="s">
        <v>3018</v>
      </c>
    </row>
    <row r="4735" spans="1:3">
      <c r="A4735" t="s">
        <v>858</v>
      </c>
      <c r="B4735" t="s">
        <v>1070</v>
      </c>
      <c r="C4735" t="s">
        <v>3017</v>
      </c>
    </row>
    <row r="4736" spans="1:3">
      <c r="A4736" t="s">
        <v>858</v>
      </c>
      <c r="B4736" t="s">
        <v>1070</v>
      </c>
      <c r="C4736" t="s">
        <v>3016</v>
      </c>
    </row>
    <row r="4737" spans="1:3">
      <c r="A4737" t="s">
        <v>858</v>
      </c>
      <c r="B4737" t="s">
        <v>1070</v>
      </c>
      <c r="C4737" t="s">
        <v>3015</v>
      </c>
    </row>
    <row r="4738" spans="1:3">
      <c r="A4738" t="s">
        <v>858</v>
      </c>
      <c r="B4738" t="s">
        <v>1075</v>
      </c>
      <c r="C4738" t="s">
        <v>3068</v>
      </c>
    </row>
    <row r="4739" spans="1:3">
      <c r="A4739" t="s">
        <v>858</v>
      </c>
      <c r="B4739" t="s">
        <v>1075</v>
      </c>
      <c r="C4739" t="s">
        <v>3067</v>
      </c>
    </row>
    <row r="4740" spans="1:3">
      <c r="A4740" t="s">
        <v>858</v>
      </c>
      <c r="B4740" t="s">
        <v>1075</v>
      </c>
      <c r="C4740" t="s">
        <v>3066</v>
      </c>
    </row>
    <row r="4741" spans="1:3">
      <c r="A4741" t="s">
        <v>858</v>
      </c>
      <c r="B4741" t="s">
        <v>1075</v>
      </c>
      <c r="C4741" t="s">
        <v>3065</v>
      </c>
    </row>
    <row r="4742" spans="1:3">
      <c r="A4742" t="s">
        <v>858</v>
      </c>
      <c r="B4742" t="s">
        <v>1075</v>
      </c>
      <c r="C4742" t="s">
        <v>3064</v>
      </c>
    </row>
    <row r="4743" spans="1:3">
      <c r="A4743" t="s">
        <v>858</v>
      </c>
      <c r="B4743" t="s">
        <v>1075</v>
      </c>
      <c r="C4743" t="s">
        <v>3063</v>
      </c>
    </row>
    <row r="4744" spans="1:3">
      <c r="A4744" t="s">
        <v>858</v>
      </c>
      <c r="B4744" t="s">
        <v>1075</v>
      </c>
      <c r="C4744" t="s">
        <v>3062</v>
      </c>
    </row>
    <row r="4745" spans="1:3">
      <c r="A4745" t="s">
        <v>858</v>
      </c>
      <c r="B4745" t="s">
        <v>1075</v>
      </c>
      <c r="C4745" t="s">
        <v>3061</v>
      </c>
    </row>
    <row r="4746" spans="1:3">
      <c r="A4746" t="s">
        <v>858</v>
      </c>
      <c r="B4746" t="s">
        <v>1075</v>
      </c>
      <c r="C4746" t="s">
        <v>3060</v>
      </c>
    </row>
    <row r="4747" spans="1:3">
      <c r="A4747" t="s">
        <v>858</v>
      </c>
      <c r="B4747" t="s">
        <v>1075</v>
      </c>
      <c r="C4747" t="s">
        <v>3059</v>
      </c>
    </row>
    <row r="4748" spans="1:3">
      <c r="A4748" t="s">
        <v>858</v>
      </c>
      <c r="B4748" t="s">
        <v>1075</v>
      </c>
      <c r="C4748" t="s">
        <v>3058</v>
      </c>
    </row>
    <row r="4749" spans="1:3">
      <c r="A4749" t="s">
        <v>858</v>
      </c>
      <c r="B4749" t="s">
        <v>1075</v>
      </c>
      <c r="C4749" t="s">
        <v>3057</v>
      </c>
    </row>
    <row r="4750" spans="1:3">
      <c r="A4750" t="s">
        <v>858</v>
      </c>
      <c r="B4750" t="s">
        <v>1075</v>
      </c>
      <c r="C4750" t="s">
        <v>3056</v>
      </c>
    </row>
    <row r="4751" spans="1:3">
      <c r="A4751" t="s">
        <v>858</v>
      </c>
      <c r="B4751" t="s">
        <v>1075</v>
      </c>
      <c r="C4751" t="s">
        <v>3055</v>
      </c>
    </row>
    <row r="4752" spans="1:3">
      <c r="A4752" t="s">
        <v>858</v>
      </c>
      <c r="B4752" t="s">
        <v>1075</v>
      </c>
      <c r="C4752" t="s">
        <v>3054</v>
      </c>
    </row>
    <row r="4753" spans="1:3">
      <c r="A4753" t="s">
        <v>858</v>
      </c>
      <c r="B4753" t="s">
        <v>1075</v>
      </c>
      <c r="C4753" t="s">
        <v>3053</v>
      </c>
    </row>
    <row r="4754" spans="1:3">
      <c r="A4754" t="s">
        <v>858</v>
      </c>
      <c r="B4754" t="s">
        <v>1075</v>
      </c>
      <c r="C4754" t="s">
        <v>3052</v>
      </c>
    </row>
    <row r="4755" spans="1:3">
      <c r="A4755" t="s">
        <v>858</v>
      </c>
      <c r="B4755" t="s">
        <v>1075</v>
      </c>
      <c r="C4755" t="s">
        <v>3051</v>
      </c>
    </row>
    <row r="4756" spans="1:3">
      <c r="A4756" t="s">
        <v>858</v>
      </c>
      <c r="B4756" t="s">
        <v>1075</v>
      </c>
      <c r="C4756" t="s">
        <v>3050</v>
      </c>
    </row>
    <row r="4757" spans="1:3">
      <c r="A4757" t="s">
        <v>858</v>
      </c>
      <c r="B4757" t="s">
        <v>1075</v>
      </c>
      <c r="C4757" t="s">
        <v>3049</v>
      </c>
    </row>
    <row r="4758" spans="1:3">
      <c r="A4758" t="s">
        <v>858</v>
      </c>
      <c r="B4758" t="s">
        <v>1075</v>
      </c>
      <c r="C4758" t="s">
        <v>3048</v>
      </c>
    </row>
    <row r="4759" spans="1:3">
      <c r="A4759" t="s">
        <v>858</v>
      </c>
      <c r="B4759" t="s">
        <v>1075</v>
      </c>
      <c r="C4759" t="s">
        <v>3047</v>
      </c>
    </row>
    <row r="4760" spans="1:3">
      <c r="A4760" t="s">
        <v>858</v>
      </c>
      <c r="B4760" t="s">
        <v>1075</v>
      </c>
      <c r="C4760" t="s">
        <v>3046</v>
      </c>
    </row>
    <row r="4761" spans="1:3">
      <c r="A4761" t="s">
        <v>858</v>
      </c>
      <c r="B4761" t="s">
        <v>1075</v>
      </c>
      <c r="C4761" t="s">
        <v>3045</v>
      </c>
    </row>
    <row r="4762" spans="1:3">
      <c r="A4762" t="s">
        <v>858</v>
      </c>
      <c r="B4762" t="s">
        <v>1075</v>
      </c>
      <c r="C4762" t="s">
        <v>3044</v>
      </c>
    </row>
    <row r="4763" spans="1:3">
      <c r="A4763" t="s">
        <v>858</v>
      </c>
      <c r="B4763" t="s">
        <v>1075</v>
      </c>
      <c r="C4763" t="s">
        <v>3043</v>
      </c>
    </row>
    <row r="4764" spans="1:3">
      <c r="A4764" t="s">
        <v>858</v>
      </c>
      <c r="B4764" t="s">
        <v>1075</v>
      </c>
      <c r="C4764" t="s">
        <v>3042</v>
      </c>
    </row>
    <row r="4765" spans="1:3">
      <c r="A4765" t="s">
        <v>858</v>
      </c>
      <c r="B4765" t="s">
        <v>1075</v>
      </c>
      <c r="C4765" t="s">
        <v>3041</v>
      </c>
    </row>
    <row r="4766" spans="1:3">
      <c r="A4766" t="s">
        <v>858</v>
      </c>
      <c r="B4766" t="s">
        <v>1075</v>
      </c>
      <c r="C4766" t="s">
        <v>3040</v>
      </c>
    </row>
    <row r="4767" spans="1:3">
      <c r="A4767" t="s">
        <v>858</v>
      </c>
      <c r="B4767" t="s">
        <v>1075</v>
      </c>
      <c r="C4767" t="s">
        <v>3039</v>
      </c>
    </row>
    <row r="4768" spans="1:3">
      <c r="A4768" t="s">
        <v>858</v>
      </c>
      <c r="B4768" t="s">
        <v>1075</v>
      </c>
      <c r="C4768" t="s">
        <v>3038</v>
      </c>
    </row>
    <row r="4769" spans="1:3">
      <c r="A4769" t="s">
        <v>858</v>
      </c>
      <c r="B4769" t="s">
        <v>1075</v>
      </c>
      <c r="C4769" t="s">
        <v>3037</v>
      </c>
    </row>
    <row r="4770" spans="1:3">
      <c r="A4770" t="s">
        <v>858</v>
      </c>
      <c r="B4770" t="s">
        <v>1075</v>
      </c>
      <c r="C4770" t="s">
        <v>3036</v>
      </c>
    </row>
    <row r="4771" spans="1:3">
      <c r="A4771" t="s">
        <v>858</v>
      </c>
      <c r="B4771" t="s">
        <v>1075</v>
      </c>
      <c r="C4771" t="s">
        <v>3035</v>
      </c>
    </row>
    <row r="4772" spans="1:3">
      <c r="A4772" t="s">
        <v>858</v>
      </c>
      <c r="B4772" t="s">
        <v>1075</v>
      </c>
      <c r="C4772" t="s">
        <v>3034</v>
      </c>
    </row>
    <row r="4773" spans="1:3">
      <c r="A4773" t="s">
        <v>858</v>
      </c>
      <c r="B4773" t="s">
        <v>1075</v>
      </c>
      <c r="C4773" t="s">
        <v>3033</v>
      </c>
    </row>
    <row r="4774" spans="1:3">
      <c r="A4774" t="s">
        <v>858</v>
      </c>
      <c r="B4774" t="s">
        <v>1075</v>
      </c>
      <c r="C4774" t="s">
        <v>3032</v>
      </c>
    </row>
    <row r="4775" spans="1:3">
      <c r="A4775" t="s">
        <v>858</v>
      </c>
      <c r="B4775" t="s">
        <v>1075</v>
      </c>
      <c r="C4775" t="s">
        <v>3031</v>
      </c>
    </row>
    <row r="4776" spans="1:3">
      <c r="A4776" t="s">
        <v>858</v>
      </c>
      <c r="B4776" t="s">
        <v>1075</v>
      </c>
      <c r="C4776" t="s">
        <v>3030</v>
      </c>
    </row>
    <row r="4777" spans="1:3">
      <c r="A4777" t="s">
        <v>858</v>
      </c>
      <c r="B4777" t="s">
        <v>1075</v>
      </c>
      <c r="C4777" t="s">
        <v>3029</v>
      </c>
    </row>
    <row r="4778" spans="1:3">
      <c r="A4778" t="s">
        <v>858</v>
      </c>
      <c r="B4778" t="s">
        <v>1075</v>
      </c>
      <c r="C4778" t="s">
        <v>3028</v>
      </c>
    </row>
    <row r="4779" spans="1:3">
      <c r="A4779" t="s">
        <v>858</v>
      </c>
      <c r="B4779" t="s">
        <v>1075</v>
      </c>
      <c r="C4779" t="s">
        <v>3027</v>
      </c>
    </row>
    <row r="4780" spans="1:3">
      <c r="A4780" t="s">
        <v>858</v>
      </c>
      <c r="B4780" t="s">
        <v>1075</v>
      </c>
      <c r="C4780" t="s">
        <v>3026</v>
      </c>
    </row>
    <row r="4781" spans="1:3">
      <c r="A4781" t="s">
        <v>858</v>
      </c>
      <c r="B4781" t="s">
        <v>1075</v>
      </c>
      <c r="C4781" t="s">
        <v>3025</v>
      </c>
    </row>
    <row r="4782" spans="1:3">
      <c r="A4782" t="s">
        <v>858</v>
      </c>
      <c r="B4782" t="s">
        <v>1075</v>
      </c>
      <c r="C4782" t="s">
        <v>3024</v>
      </c>
    </row>
    <row r="4783" spans="1:3">
      <c r="A4783" t="s">
        <v>858</v>
      </c>
      <c r="B4783" t="s">
        <v>1075</v>
      </c>
      <c r="C4783" t="s">
        <v>3023</v>
      </c>
    </row>
    <row r="4784" spans="1:3">
      <c r="A4784" t="s">
        <v>858</v>
      </c>
      <c r="B4784" t="s">
        <v>1075</v>
      </c>
      <c r="C4784" t="s">
        <v>3022</v>
      </c>
    </row>
    <row r="4785" spans="1:3">
      <c r="A4785" t="s">
        <v>858</v>
      </c>
      <c r="B4785" t="s">
        <v>1075</v>
      </c>
      <c r="C4785" t="s">
        <v>3021</v>
      </c>
    </row>
    <row r="4786" spans="1:3">
      <c r="A4786" t="s">
        <v>858</v>
      </c>
      <c r="B4786" t="s">
        <v>1075</v>
      </c>
      <c r="C4786" t="s">
        <v>3020</v>
      </c>
    </row>
    <row r="4787" spans="1:3">
      <c r="A4787" t="s">
        <v>859</v>
      </c>
      <c r="B4787" t="s">
        <v>1070</v>
      </c>
      <c r="C4787" t="s">
        <v>2965</v>
      </c>
    </row>
    <row r="4788" spans="1:3">
      <c r="A4788" t="s">
        <v>859</v>
      </c>
      <c r="B4788" t="s">
        <v>1070</v>
      </c>
      <c r="C4788" t="s">
        <v>2964</v>
      </c>
    </row>
    <row r="4789" spans="1:3">
      <c r="A4789" t="s">
        <v>859</v>
      </c>
      <c r="B4789" t="s">
        <v>1070</v>
      </c>
      <c r="C4789" t="s">
        <v>2963</v>
      </c>
    </row>
    <row r="4790" spans="1:3">
      <c r="A4790" t="s">
        <v>859</v>
      </c>
      <c r="B4790" t="s">
        <v>1070</v>
      </c>
      <c r="C4790" t="s">
        <v>2962</v>
      </c>
    </row>
    <row r="4791" spans="1:3">
      <c r="A4791" t="s">
        <v>859</v>
      </c>
      <c r="B4791" t="s">
        <v>1070</v>
      </c>
      <c r="C4791" t="s">
        <v>2961</v>
      </c>
    </row>
    <row r="4792" spans="1:3">
      <c r="A4792" t="s">
        <v>859</v>
      </c>
      <c r="B4792" t="s">
        <v>1075</v>
      </c>
      <c r="C4792" t="s">
        <v>3014</v>
      </c>
    </row>
    <row r="4793" spans="1:3">
      <c r="A4793" t="s">
        <v>859</v>
      </c>
      <c r="B4793" t="s">
        <v>1075</v>
      </c>
      <c r="C4793" t="s">
        <v>3013</v>
      </c>
    </row>
    <row r="4794" spans="1:3">
      <c r="A4794" t="s">
        <v>859</v>
      </c>
      <c r="B4794" t="s">
        <v>1075</v>
      </c>
      <c r="C4794" t="s">
        <v>3012</v>
      </c>
    </row>
    <row r="4795" spans="1:3">
      <c r="A4795" t="s">
        <v>859</v>
      </c>
      <c r="B4795" t="s">
        <v>1075</v>
      </c>
      <c r="C4795" t="s">
        <v>3011</v>
      </c>
    </row>
    <row r="4796" spans="1:3">
      <c r="A4796" t="s">
        <v>859</v>
      </c>
      <c r="B4796" t="s">
        <v>1075</v>
      </c>
      <c r="C4796" t="s">
        <v>3010</v>
      </c>
    </row>
    <row r="4797" spans="1:3">
      <c r="A4797" t="s">
        <v>859</v>
      </c>
      <c r="B4797" t="s">
        <v>1075</v>
      </c>
      <c r="C4797" t="s">
        <v>3009</v>
      </c>
    </row>
    <row r="4798" spans="1:3">
      <c r="A4798" t="s">
        <v>859</v>
      </c>
      <c r="B4798" t="s">
        <v>1075</v>
      </c>
      <c r="C4798" t="s">
        <v>3008</v>
      </c>
    </row>
    <row r="4799" spans="1:3">
      <c r="A4799" t="s">
        <v>859</v>
      </c>
      <c r="B4799" t="s">
        <v>1075</v>
      </c>
      <c r="C4799" t="s">
        <v>3007</v>
      </c>
    </row>
    <row r="4800" spans="1:3">
      <c r="A4800" t="s">
        <v>859</v>
      </c>
      <c r="B4800" t="s">
        <v>1075</v>
      </c>
      <c r="C4800" t="s">
        <v>3006</v>
      </c>
    </row>
    <row r="4801" spans="1:3">
      <c r="A4801" t="s">
        <v>859</v>
      </c>
      <c r="B4801" t="s">
        <v>1075</v>
      </c>
      <c r="C4801" t="s">
        <v>3005</v>
      </c>
    </row>
    <row r="4802" spans="1:3">
      <c r="A4802" t="s">
        <v>859</v>
      </c>
      <c r="B4802" t="s">
        <v>1075</v>
      </c>
      <c r="C4802" t="s">
        <v>3004</v>
      </c>
    </row>
    <row r="4803" spans="1:3">
      <c r="A4803" t="s">
        <v>859</v>
      </c>
      <c r="B4803" t="s">
        <v>1075</v>
      </c>
      <c r="C4803" t="s">
        <v>3003</v>
      </c>
    </row>
    <row r="4804" spans="1:3">
      <c r="A4804" t="s">
        <v>859</v>
      </c>
      <c r="B4804" t="s">
        <v>1075</v>
      </c>
      <c r="C4804" t="s">
        <v>3002</v>
      </c>
    </row>
    <row r="4805" spans="1:3">
      <c r="A4805" t="s">
        <v>859</v>
      </c>
      <c r="B4805" t="s">
        <v>1075</v>
      </c>
      <c r="C4805" t="s">
        <v>3001</v>
      </c>
    </row>
    <row r="4806" spans="1:3">
      <c r="A4806" t="s">
        <v>859</v>
      </c>
      <c r="B4806" t="s">
        <v>1075</v>
      </c>
      <c r="C4806" t="s">
        <v>3000</v>
      </c>
    </row>
    <row r="4807" spans="1:3">
      <c r="A4807" t="s">
        <v>859</v>
      </c>
      <c r="B4807" t="s">
        <v>1075</v>
      </c>
      <c r="C4807" t="s">
        <v>2999</v>
      </c>
    </row>
    <row r="4808" spans="1:3">
      <c r="A4808" t="s">
        <v>859</v>
      </c>
      <c r="B4808" t="s">
        <v>1075</v>
      </c>
      <c r="C4808" t="s">
        <v>2998</v>
      </c>
    </row>
    <row r="4809" spans="1:3">
      <c r="A4809" t="s">
        <v>859</v>
      </c>
      <c r="B4809" t="s">
        <v>1075</v>
      </c>
      <c r="C4809" t="s">
        <v>2997</v>
      </c>
    </row>
    <row r="4810" spans="1:3">
      <c r="A4810" t="s">
        <v>859</v>
      </c>
      <c r="B4810" t="s">
        <v>1075</v>
      </c>
      <c r="C4810" t="s">
        <v>2996</v>
      </c>
    </row>
    <row r="4811" spans="1:3">
      <c r="A4811" t="s">
        <v>859</v>
      </c>
      <c r="B4811" t="s">
        <v>1075</v>
      </c>
      <c r="C4811" t="s">
        <v>2995</v>
      </c>
    </row>
    <row r="4812" spans="1:3">
      <c r="A4812" t="s">
        <v>859</v>
      </c>
      <c r="B4812" t="s">
        <v>1075</v>
      </c>
      <c r="C4812" t="s">
        <v>2994</v>
      </c>
    </row>
    <row r="4813" spans="1:3">
      <c r="A4813" t="s">
        <v>859</v>
      </c>
      <c r="B4813" t="s">
        <v>1075</v>
      </c>
      <c r="C4813" t="s">
        <v>2993</v>
      </c>
    </row>
    <row r="4814" spans="1:3">
      <c r="A4814" t="s">
        <v>859</v>
      </c>
      <c r="B4814" t="s">
        <v>1075</v>
      </c>
      <c r="C4814" t="s">
        <v>2992</v>
      </c>
    </row>
    <row r="4815" spans="1:3">
      <c r="A4815" t="s">
        <v>859</v>
      </c>
      <c r="B4815" t="s">
        <v>1075</v>
      </c>
      <c r="C4815" t="s">
        <v>2991</v>
      </c>
    </row>
    <row r="4816" spans="1:3">
      <c r="A4816" t="s">
        <v>859</v>
      </c>
      <c r="B4816" t="s">
        <v>1075</v>
      </c>
      <c r="C4816" t="s">
        <v>2990</v>
      </c>
    </row>
    <row r="4817" spans="1:3">
      <c r="A4817" t="s">
        <v>859</v>
      </c>
      <c r="B4817" t="s">
        <v>1075</v>
      </c>
      <c r="C4817" t="s">
        <v>2989</v>
      </c>
    </row>
    <row r="4818" spans="1:3">
      <c r="A4818" t="s">
        <v>859</v>
      </c>
      <c r="B4818" t="s">
        <v>1075</v>
      </c>
      <c r="C4818" t="s">
        <v>2988</v>
      </c>
    </row>
    <row r="4819" spans="1:3">
      <c r="A4819" t="s">
        <v>859</v>
      </c>
      <c r="B4819" t="s">
        <v>1075</v>
      </c>
      <c r="C4819" t="s">
        <v>2987</v>
      </c>
    </row>
    <row r="4820" spans="1:3">
      <c r="A4820" t="s">
        <v>859</v>
      </c>
      <c r="B4820" t="s">
        <v>1075</v>
      </c>
      <c r="C4820" t="s">
        <v>2986</v>
      </c>
    </row>
    <row r="4821" spans="1:3">
      <c r="A4821" t="s">
        <v>859</v>
      </c>
      <c r="B4821" t="s">
        <v>1075</v>
      </c>
      <c r="C4821" t="s">
        <v>2985</v>
      </c>
    </row>
    <row r="4822" spans="1:3">
      <c r="A4822" t="s">
        <v>859</v>
      </c>
      <c r="B4822" t="s">
        <v>1075</v>
      </c>
      <c r="C4822" t="s">
        <v>2984</v>
      </c>
    </row>
    <row r="4823" spans="1:3">
      <c r="A4823" t="s">
        <v>859</v>
      </c>
      <c r="B4823" t="s">
        <v>1075</v>
      </c>
      <c r="C4823" t="s">
        <v>2983</v>
      </c>
    </row>
    <row r="4824" spans="1:3">
      <c r="A4824" t="s">
        <v>859</v>
      </c>
      <c r="B4824" t="s">
        <v>1075</v>
      </c>
      <c r="C4824" t="s">
        <v>2982</v>
      </c>
    </row>
    <row r="4825" spans="1:3">
      <c r="A4825" t="s">
        <v>859</v>
      </c>
      <c r="B4825" t="s">
        <v>1075</v>
      </c>
      <c r="C4825" t="s">
        <v>2981</v>
      </c>
    </row>
    <row r="4826" spans="1:3">
      <c r="A4826" t="s">
        <v>859</v>
      </c>
      <c r="B4826" t="s">
        <v>1075</v>
      </c>
      <c r="C4826" t="s">
        <v>2980</v>
      </c>
    </row>
    <row r="4827" spans="1:3">
      <c r="A4827" t="s">
        <v>859</v>
      </c>
      <c r="B4827" t="s">
        <v>1075</v>
      </c>
      <c r="C4827" t="s">
        <v>2979</v>
      </c>
    </row>
    <row r="4828" spans="1:3">
      <c r="A4828" t="s">
        <v>859</v>
      </c>
      <c r="B4828" t="s">
        <v>1075</v>
      </c>
      <c r="C4828" t="s">
        <v>2978</v>
      </c>
    </row>
    <row r="4829" spans="1:3">
      <c r="A4829" t="s">
        <v>859</v>
      </c>
      <c r="B4829" t="s">
        <v>1075</v>
      </c>
      <c r="C4829" t="s">
        <v>2977</v>
      </c>
    </row>
    <row r="4830" spans="1:3">
      <c r="A4830" t="s">
        <v>859</v>
      </c>
      <c r="B4830" t="s">
        <v>1075</v>
      </c>
      <c r="C4830" t="s">
        <v>2976</v>
      </c>
    </row>
    <row r="4831" spans="1:3">
      <c r="A4831" t="s">
        <v>859</v>
      </c>
      <c r="B4831" t="s">
        <v>1075</v>
      </c>
      <c r="C4831" t="s">
        <v>2975</v>
      </c>
    </row>
    <row r="4832" spans="1:3">
      <c r="A4832" t="s">
        <v>859</v>
      </c>
      <c r="B4832" t="s">
        <v>1075</v>
      </c>
      <c r="C4832" t="s">
        <v>2974</v>
      </c>
    </row>
    <row r="4833" spans="1:3">
      <c r="A4833" t="s">
        <v>859</v>
      </c>
      <c r="B4833" t="s">
        <v>1075</v>
      </c>
      <c r="C4833" t="s">
        <v>2973</v>
      </c>
    </row>
    <row r="4834" spans="1:3">
      <c r="A4834" t="s">
        <v>859</v>
      </c>
      <c r="B4834" t="s">
        <v>1075</v>
      </c>
      <c r="C4834" t="s">
        <v>2972</v>
      </c>
    </row>
    <row r="4835" spans="1:3">
      <c r="A4835" t="s">
        <v>859</v>
      </c>
      <c r="B4835" t="s">
        <v>1075</v>
      </c>
      <c r="C4835" t="s">
        <v>2971</v>
      </c>
    </row>
    <row r="4836" spans="1:3">
      <c r="A4836" t="s">
        <v>859</v>
      </c>
      <c r="B4836" t="s">
        <v>1075</v>
      </c>
      <c r="C4836" t="s">
        <v>2970</v>
      </c>
    </row>
    <row r="4837" spans="1:3">
      <c r="A4837" t="s">
        <v>859</v>
      </c>
      <c r="B4837" t="s">
        <v>1075</v>
      </c>
      <c r="C4837" t="s">
        <v>2969</v>
      </c>
    </row>
    <row r="4838" spans="1:3">
      <c r="A4838" t="s">
        <v>859</v>
      </c>
      <c r="B4838" t="s">
        <v>1075</v>
      </c>
      <c r="C4838" t="s">
        <v>2968</v>
      </c>
    </row>
    <row r="4839" spans="1:3">
      <c r="A4839" t="s">
        <v>859</v>
      </c>
      <c r="B4839" t="s">
        <v>1075</v>
      </c>
      <c r="C4839" t="s">
        <v>2967</v>
      </c>
    </row>
    <row r="4840" spans="1:3">
      <c r="A4840" t="s">
        <v>859</v>
      </c>
      <c r="B4840" t="s">
        <v>1075</v>
      </c>
      <c r="C4840" t="s">
        <v>2966</v>
      </c>
    </row>
    <row r="4841" spans="1:3">
      <c r="A4841" t="s">
        <v>856</v>
      </c>
      <c r="B4841" t="s">
        <v>1070</v>
      </c>
      <c r="C4841" t="s">
        <v>2947</v>
      </c>
    </row>
    <row r="4842" spans="1:3">
      <c r="A4842" t="s">
        <v>856</v>
      </c>
      <c r="B4842" t="s">
        <v>1075</v>
      </c>
      <c r="C4842" t="s">
        <v>2960</v>
      </c>
    </row>
    <row r="4843" spans="1:3">
      <c r="A4843" t="s">
        <v>856</v>
      </c>
      <c r="B4843" t="s">
        <v>1075</v>
      </c>
      <c r="C4843" t="s">
        <v>2959</v>
      </c>
    </row>
    <row r="4844" spans="1:3">
      <c r="A4844" t="s">
        <v>856</v>
      </c>
      <c r="B4844" t="s">
        <v>1075</v>
      </c>
      <c r="C4844" t="s">
        <v>2958</v>
      </c>
    </row>
    <row r="4845" spans="1:3">
      <c r="A4845" t="s">
        <v>856</v>
      </c>
      <c r="B4845" t="s">
        <v>1075</v>
      </c>
      <c r="C4845" t="s">
        <v>2957</v>
      </c>
    </row>
    <row r="4846" spans="1:3">
      <c r="A4846" t="s">
        <v>856</v>
      </c>
      <c r="B4846" t="s">
        <v>1075</v>
      </c>
      <c r="C4846" t="s">
        <v>2956</v>
      </c>
    </row>
    <row r="4847" spans="1:3">
      <c r="A4847" t="s">
        <v>856</v>
      </c>
      <c r="B4847" t="s">
        <v>1075</v>
      </c>
      <c r="C4847" t="s">
        <v>2955</v>
      </c>
    </row>
    <row r="4848" spans="1:3">
      <c r="A4848" t="s">
        <v>856</v>
      </c>
      <c r="B4848" t="s">
        <v>1075</v>
      </c>
      <c r="C4848" t="s">
        <v>2954</v>
      </c>
    </row>
    <row r="4849" spans="1:3">
      <c r="A4849" t="s">
        <v>856</v>
      </c>
      <c r="B4849" t="s">
        <v>1075</v>
      </c>
      <c r="C4849" t="s">
        <v>2953</v>
      </c>
    </row>
    <row r="4850" spans="1:3">
      <c r="A4850" t="s">
        <v>856</v>
      </c>
      <c r="B4850" t="s">
        <v>1075</v>
      </c>
      <c r="C4850" t="s">
        <v>2952</v>
      </c>
    </row>
    <row r="4851" spans="1:3">
      <c r="A4851" t="s">
        <v>856</v>
      </c>
      <c r="B4851" t="s">
        <v>1075</v>
      </c>
      <c r="C4851" t="s">
        <v>2951</v>
      </c>
    </row>
    <row r="4852" spans="1:3">
      <c r="A4852" t="s">
        <v>856</v>
      </c>
      <c r="B4852" t="s">
        <v>1075</v>
      </c>
      <c r="C4852" t="s">
        <v>2950</v>
      </c>
    </row>
    <row r="4853" spans="1:3">
      <c r="A4853" t="s">
        <v>856</v>
      </c>
      <c r="B4853" t="s">
        <v>1075</v>
      </c>
      <c r="C4853" t="s">
        <v>2949</v>
      </c>
    </row>
    <row r="4854" spans="1:3">
      <c r="A4854" t="s">
        <v>856</v>
      </c>
      <c r="B4854" t="s">
        <v>1075</v>
      </c>
      <c r="C4854" t="s">
        <v>2948</v>
      </c>
    </row>
    <row r="4855" spans="1:3">
      <c r="A4855" t="s">
        <v>857</v>
      </c>
      <c r="B4855" t="s">
        <v>1070</v>
      </c>
      <c r="C4855" t="s">
        <v>2933</v>
      </c>
    </row>
    <row r="4856" spans="1:3">
      <c r="A4856" t="s">
        <v>857</v>
      </c>
      <c r="B4856" t="s">
        <v>1075</v>
      </c>
      <c r="C4856" t="s">
        <v>2946</v>
      </c>
    </row>
    <row r="4857" spans="1:3">
      <c r="A4857" t="s">
        <v>857</v>
      </c>
      <c r="B4857" t="s">
        <v>1075</v>
      </c>
      <c r="C4857" t="s">
        <v>2945</v>
      </c>
    </row>
    <row r="4858" spans="1:3">
      <c r="A4858" t="s">
        <v>857</v>
      </c>
      <c r="B4858" t="s">
        <v>1075</v>
      </c>
      <c r="C4858" t="s">
        <v>2944</v>
      </c>
    </row>
    <row r="4859" spans="1:3">
      <c r="A4859" t="s">
        <v>857</v>
      </c>
      <c r="B4859" t="s">
        <v>1075</v>
      </c>
      <c r="C4859" t="s">
        <v>2943</v>
      </c>
    </row>
    <row r="4860" spans="1:3">
      <c r="A4860" t="s">
        <v>857</v>
      </c>
      <c r="B4860" t="s">
        <v>1075</v>
      </c>
      <c r="C4860" t="s">
        <v>2942</v>
      </c>
    </row>
    <row r="4861" spans="1:3">
      <c r="A4861" t="s">
        <v>857</v>
      </c>
      <c r="B4861" t="s">
        <v>1075</v>
      </c>
      <c r="C4861" t="s">
        <v>2941</v>
      </c>
    </row>
    <row r="4862" spans="1:3">
      <c r="A4862" t="s">
        <v>857</v>
      </c>
      <c r="B4862" t="s">
        <v>1075</v>
      </c>
      <c r="C4862" t="s">
        <v>2940</v>
      </c>
    </row>
    <row r="4863" spans="1:3">
      <c r="A4863" t="s">
        <v>857</v>
      </c>
      <c r="B4863" t="s">
        <v>1075</v>
      </c>
      <c r="C4863" t="s">
        <v>2939</v>
      </c>
    </row>
    <row r="4864" spans="1:3">
      <c r="A4864" t="s">
        <v>857</v>
      </c>
      <c r="B4864" t="s">
        <v>1075</v>
      </c>
      <c r="C4864" t="s">
        <v>2938</v>
      </c>
    </row>
    <row r="4865" spans="1:3">
      <c r="A4865" t="s">
        <v>857</v>
      </c>
      <c r="B4865" t="s">
        <v>1075</v>
      </c>
      <c r="C4865" t="s">
        <v>2937</v>
      </c>
    </row>
    <row r="4866" spans="1:3">
      <c r="A4866" t="s">
        <v>857</v>
      </c>
      <c r="B4866" t="s">
        <v>1075</v>
      </c>
      <c r="C4866" t="s">
        <v>2936</v>
      </c>
    </row>
    <row r="4867" spans="1:3">
      <c r="A4867" t="s">
        <v>857</v>
      </c>
      <c r="B4867" t="s">
        <v>1075</v>
      </c>
      <c r="C4867" t="s">
        <v>2935</v>
      </c>
    </row>
    <row r="4868" spans="1:3">
      <c r="A4868" t="s">
        <v>857</v>
      </c>
      <c r="B4868" t="s">
        <v>1075</v>
      </c>
      <c r="C4868" t="s">
        <v>2934</v>
      </c>
    </row>
    <row r="4869" spans="1:3">
      <c r="A4869" t="s">
        <v>854</v>
      </c>
      <c r="B4869" t="s">
        <v>1070</v>
      </c>
      <c r="C4869" t="s">
        <v>2907</v>
      </c>
    </row>
    <row r="4870" spans="1:3">
      <c r="A4870" t="s">
        <v>854</v>
      </c>
      <c r="B4870" t="s">
        <v>1070</v>
      </c>
      <c r="C4870" t="s">
        <v>2906</v>
      </c>
    </row>
    <row r="4871" spans="1:3">
      <c r="A4871" t="s">
        <v>854</v>
      </c>
      <c r="B4871" t="s">
        <v>1070</v>
      </c>
      <c r="C4871" t="s">
        <v>2905</v>
      </c>
    </row>
    <row r="4872" spans="1:3">
      <c r="A4872" t="s">
        <v>854</v>
      </c>
      <c r="B4872" t="s">
        <v>1070</v>
      </c>
      <c r="C4872" t="s">
        <v>2904</v>
      </c>
    </row>
    <row r="4873" spans="1:3">
      <c r="A4873" t="s">
        <v>854</v>
      </c>
      <c r="B4873" t="s">
        <v>1075</v>
      </c>
      <c r="C4873" t="s">
        <v>2932</v>
      </c>
    </row>
    <row r="4874" spans="1:3">
      <c r="A4874" t="s">
        <v>854</v>
      </c>
      <c r="B4874" t="s">
        <v>1075</v>
      </c>
      <c r="C4874" t="s">
        <v>2931</v>
      </c>
    </row>
    <row r="4875" spans="1:3">
      <c r="A4875" t="s">
        <v>854</v>
      </c>
      <c r="B4875" t="s">
        <v>1075</v>
      </c>
      <c r="C4875" t="s">
        <v>2930</v>
      </c>
    </row>
    <row r="4876" spans="1:3">
      <c r="A4876" t="s">
        <v>854</v>
      </c>
      <c r="B4876" t="s">
        <v>1075</v>
      </c>
      <c r="C4876" t="s">
        <v>2929</v>
      </c>
    </row>
    <row r="4877" spans="1:3">
      <c r="A4877" t="s">
        <v>854</v>
      </c>
      <c r="B4877" t="s">
        <v>1075</v>
      </c>
      <c r="C4877" t="s">
        <v>2928</v>
      </c>
    </row>
    <row r="4878" spans="1:3">
      <c r="A4878" t="s">
        <v>854</v>
      </c>
      <c r="B4878" t="s">
        <v>1075</v>
      </c>
      <c r="C4878" t="s">
        <v>2927</v>
      </c>
    </row>
    <row r="4879" spans="1:3">
      <c r="A4879" t="s">
        <v>854</v>
      </c>
      <c r="B4879" t="s">
        <v>1075</v>
      </c>
      <c r="C4879" t="s">
        <v>2926</v>
      </c>
    </row>
    <row r="4880" spans="1:3">
      <c r="A4880" t="s">
        <v>854</v>
      </c>
      <c r="B4880" t="s">
        <v>1075</v>
      </c>
      <c r="C4880" t="s">
        <v>2925</v>
      </c>
    </row>
    <row r="4881" spans="1:3">
      <c r="A4881" t="s">
        <v>854</v>
      </c>
      <c r="B4881" t="s">
        <v>1075</v>
      </c>
      <c r="C4881" t="s">
        <v>2924</v>
      </c>
    </row>
    <row r="4882" spans="1:3">
      <c r="A4882" t="s">
        <v>854</v>
      </c>
      <c r="B4882" t="s">
        <v>1075</v>
      </c>
      <c r="C4882" t="s">
        <v>2923</v>
      </c>
    </row>
    <row r="4883" spans="1:3">
      <c r="A4883" t="s">
        <v>854</v>
      </c>
      <c r="B4883" t="s">
        <v>1075</v>
      </c>
      <c r="C4883" t="s">
        <v>2922</v>
      </c>
    </row>
    <row r="4884" spans="1:3">
      <c r="A4884" t="s">
        <v>854</v>
      </c>
      <c r="B4884" t="s">
        <v>1075</v>
      </c>
      <c r="C4884" t="s">
        <v>2921</v>
      </c>
    </row>
    <row r="4885" spans="1:3">
      <c r="A4885" t="s">
        <v>854</v>
      </c>
      <c r="B4885" t="s">
        <v>1075</v>
      </c>
      <c r="C4885" t="s">
        <v>2920</v>
      </c>
    </row>
    <row r="4886" spans="1:3">
      <c r="A4886" t="s">
        <v>854</v>
      </c>
      <c r="B4886" t="s">
        <v>1075</v>
      </c>
      <c r="C4886" t="s">
        <v>2919</v>
      </c>
    </row>
    <row r="4887" spans="1:3">
      <c r="A4887" t="s">
        <v>854</v>
      </c>
      <c r="B4887" t="s">
        <v>1075</v>
      </c>
      <c r="C4887" t="s">
        <v>2918</v>
      </c>
    </row>
    <row r="4888" spans="1:3">
      <c r="A4888" t="s">
        <v>854</v>
      </c>
      <c r="B4888" t="s">
        <v>1075</v>
      </c>
      <c r="C4888" t="s">
        <v>2917</v>
      </c>
    </row>
    <row r="4889" spans="1:3">
      <c r="A4889" t="s">
        <v>854</v>
      </c>
      <c r="B4889" t="s">
        <v>1075</v>
      </c>
      <c r="C4889" t="s">
        <v>2916</v>
      </c>
    </row>
    <row r="4890" spans="1:3">
      <c r="A4890" t="s">
        <v>854</v>
      </c>
      <c r="B4890" t="s">
        <v>1075</v>
      </c>
      <c r="C4890" t="s">
        <v>2915</v>
      </c>
    </row>
    <row r="4891" spans="1:3">
      <c r="A4891" t="s">
        <v>854</v>
      </c>
      <c r="B4891" t="s">
        <v>1075</v>
      </c>
      <c r="C4891" t="s">
        <v>2914</v>
      </c>
    </row>
    <row r="4892" spans="1:3">
      <c r="A4892" t="s">
        <v>854</v>
      </c>
      <c r="B4892" t="s">
        <v>1075</v>
      </c>
      <c r="C4892" t="s">
        <v>2913</v>
      </c>
    </row>
    <row r="4893" spans="1:3">
      <c r="A4893" t="s">
        <v>854</v>
      </c>
      <c r="B4893" t="s">
        <v>1075</v>
      </c>
      <c r="C4893" t="s">
        <v>2912</v>
      </c>
    </row>
    <row r="4894" spans="1:3">
      <c r="A4894" t="s">
        <v>854</v>
      </c>
      <c r="B4894" t="s">
        <v>1075</v>
      </c>
      <c r="C4894" t="s">
        <v>2911</v>
      </c>
    </row>
    <row r="4895" spans="1:3">
      <c r="A4895" t="s">
        <v>854</v>
      </c>
      <c r="B4895" t="s">
        <v>1075</v>
      </c>
      <c r="C4895" t="s">
        <v>2910</v>
      </c>
    </row>
    <row r="4896" spans="1:3">
      <c r="A4896" t="s">
        <v>854</v>
      </c>
      <c r="B4896" t="s">
        <v>1075</v>
      </c>
      <c r="C4896" t="s">
        <v>2909</v>
      </c>
    </row>
    <row r="4897" spans="1:3">
      <c r="A4897" t="s">
        <v>854</v>
      </c>
      <c r="B4897" t="s">
        <v>1075</v>
      </c>
      <c r="C4897" t="s">
        <v>2908</v>
      </c>
    </row>
    <row r="4898" spans="1:3">
      <c r="A4898" t="s">
        <v>865</v>
      </c>
      <c r="B4898" t="s">
        <v>1070</v>
      </c>
      <c r="C4898" t="s">
        <v>2854</v>
      </c>
    </row>
    <row r="4899" spans="1:3">
      <c r="A4899" t="s">
        <v>865</v>
      </c>
      <c r="B4899" t="s">
        <v>1070</v>
      </c>
      <c r="C4899" t="s">
        <v>2853</v>
      </c>
    </row>
    <row r="4900" spans="1:3">
      <c r="A4900" t="s">
        <v>865</v>
      </c>
      <c r="B4900" t="s">
        <v>1070</v>
      </c>
      <c r="C4900" t="s">
        <v>2852</v>
      </c>
    </row>
    <row r="4901" spans="1:3">
      <c r="A4901" t="s">
        <v>865</v>
      </c>
      <c r="B4901" t="s">
        <v>1070</v>
      </c>
      <c r="C4901" t="s">
        <v>2851</v>
      </c>
    </row>
    <row r="4902" spans="1:3">
      <c r="A4902" t="s">
        <v>865</v>
      </c>
      <c r="B4902" t="s">
        <v>1070</v>
      </c>
      <c r="C4902" t="s">
        <v>2850</v>
      </c>
    </row>
    <row r="4903" spans="1:3">
      <c r="A4903" t="s">
        <v>865</v>
      </c>
      <c r="B4903" t="s">
        <v>1070</v>
      </c>
      <c r="C4903" t="s">
        <v>2849</v>
      </c>
    </row>
    <row r="4904" spans="1:3">
      <c r="A4904" t="s">
        <v>865</v>
      </c>
      <c r="B4904" t="s">
        <v>1075</v>
      </c>
      <c r="C4904" t="s">
        <v>2903</v>
      </c>
    </row>
    <row r="4905" spans="1:3">
      <c r="A4905" t="s">
        <v>865</v>
      </c>
      <c r="B4905" t="s">
        <v>1075</v>
      </c>
      <c r="C4905" t="s">
        <v>2902</v>
      </c>
    </row>
    <row r="4906" spans="1:3">
      <c r="A4906" t="s">
        <v>865</v>
      </c>
      <c r="B4906" t="s">
        <v>1075</v>
      </c>
      <c r="C4906" t="s">
        <v>2901</v>
      </c>
    </row>
    <row r="4907" spans="1:3">
      <c r="A4907" t="s">
        <v>865</v>
      </c>
      <c r="B4907" t="s">
        <v>1075</v>
      </c>
      <c r="C4907" t="s">
        <v>2900</v>
      </c>
    </row>
    <row r="4908" spans="1:3">
      <c r="A4908" t="s">
        <v>865</v>
      </c>
      <c r="B4908" t="s">
        <v>1075</v>
      </c>
      <c r="C4908" t="s">
        <v>2899</v>
      </c>
    </row>
    <row r="4909" spans="1:3">
      <c r="A4909" t="s">
        <v>865</v>
      </c>
      <c r="B4909" t="s">
        <v>1075</v>
      </c>
      <c r="C4909" t="s">
        <v>2898</v>
      </c>
    </row>
    <row r="4910" spans="1:3">
      <c r="A4910" t="s">
        <v>865</v>
      </c>
      <c r="B4910" t="s">
        <v>1075</v>
      </c>
      <c r="C4910" t="s">
        <v>2897</v>
      </c>
    </row>
    <row r="4911" spans="1:3">
      <c r="A4911" t="s">
        <v>865</v>
      </c>
      <c r="B4911" t="s">
        <v>1075</v>
      </c>
      <c r="C4911" t="s">
        <v>2896</v>
      </c>
    </row>
    <row r="4912" spans="1:3">
      <c r="A4912" t="s">
        <v>865</v>
      </c>
      <c r="B4912" t="s">
        <v>1075</v>
      </c>
      <c r="C4912" t="s">
        <v>2895</v>
      </c>
    </row>
    <row r="4913" spans="1:3">
      <c r="A4913" t="s">
        <v>865</v>
      </c>
      <c r="B4913" t="s">
        <v>1075</v>
      </c>
      <c r="C4913" t="s">
        <v>2894</v>
      </c>
    </row>
    <row r="4914" spans="1:3">
      <c r="A4914" t="s">
        <v>865</v>
      </c>
      <c r="B4914" t="s">
        <v>1075</v>
      </c>
      <c r="C4914" t="s">
        <v>2893</v>
      </c>
    </row>
    <row r="4915" spans="1:3">
      <c r="A4915" t="s">
        <v>865</v>
      </c>
      <c r="B4915" t="s">
        <v>1075</v>
      </c>
      <c r="C4915" t="s">
        <v>2892</v>
      </c>
    </row>
    <row r="4916" spans="1:3">
      <c r="A4916" t="s">
        <v>865</v>
      </c>
      <c r="B4916" t="s">
        <v>1075</v>
      </c>
      <c r="C4916" t="s">
        <v>2891</v>
      </c>
    </row>
    <row r="4917" spans="1:3">
      <c r="A4917" t="s">
        <v>865</v>
      </c>
      <c r="B4917" t="s">
        <v>1075</v>
      </c>
      <c r="C4917" t="s">
        <v>2890</v>
      </c>
    </row>
    <row r="4918" spans="1:3">
      <c r="A4918" t="s">
        <v>865</v>
      </c>
      <c r="B4918" t="s">
        <v>1075</v>
      </c>
      <c r="C4918" t="s">
        <v>2889</v>
      </c>
    </row>
    <row r="4919" spans="1:3">
      <c r="A4919" t="s">
        <v>865</v>
      </c>
      <c r="B4919" t="s">
        <v>1075</v>
      </c>
      <c r="C4919" t="s">
        <v>2888</v>
      </c>
    </row>
    <row r="4920" spans="1:3">
      <c r="A4920" t="s">
        <v>865</v>
      </c>
      <c r="B4920" t="s">
        <v>1075</v>
      </c>
      <c r="C4920" t="s">
        <v>2887</v>
      </c>
    </row>
    <row r="4921" spans="1:3">
      <c r="A4921" t="s">
        <v>865</v>
      </c>
      <c r="B4921" t="s">
        <v>1075</v>
      </c>
      <c r="C4921" t="s">
        <v>2886</v>
      </c>
    </row>
    <row r="4922" spans="1:3">
      <c r="A4922" t="s">
        <v>865</v>
      </c>
      <c r="B4922" t="s">
        <v>1075</v>
      </c>
      <c r="C4922" t="s">
        <v>2885</v>
      </c>
    </row>
    <row r="4923" spans="1:3">
      <c r="A4923" t="s">
        <v>865</v>
      </c>
      <c r="B4923" t="s">
        <v>1075</v>
      </c>
      <c r="C4923" t="s">
        <v>2884</v>
      </c>
    </row>
    <row r="4924" spans="1:3">
      <c r="A4924" t="s">
        <v>865</v>
      </c>
      <c r="B4924" t="s">
        <v>1075</v>
      </c>
      <c r="C4924" t="s">
        <v>2883</v>
      </c>
    </row>
    <row r="4925" spans="1:3">
      <c r="A4925" t="s">
        <v>865</v>
      </c>
      <c r="B4925" t="s">
        <v>1075</v>
      </c>
      <c r="C4925" t="s">
        <v>2882</v>
      </c>
    </row>
    <row r="4926" spans="1:3">
      <c r="A4926" t="s">
        <v>865</v>
      </c>
      <c r="B4926" t="s">
        <v>1075</v>
      </c>
      <c r="C4926" t="s">
        <v>2881</v>
      </c>
    </row>
    <row r="4927" spans="1:3">
      <c r="A4927" t="s">
        <v>865</v>
      </c>
      <c r="B4927" t="s">
        <v>1075</v>
      </c>
      <c r="C4927" t="s">
        <v>2880</v>
      </c>
    </row>
    <row r="4928" spans="1:3">
      <c r="A4928" t="s">
        <v>865</v>
      </c>
      <c r="B4928" t="s">
        <v>1075</v>
      </c>
      <c r="C4928" t="s">
        <v>2879</v>
      </c>
    </row>
    <row r="4929" spans="1:3">
      <c r="A4929" t="s">
        <v>865</v>
      </c>
      <c r="B4929" t="s">
        <v>1075</v>
      </c>
      <c r="C4929" t="s">
        <v>2878</v>
      </c>
    </row>
    <row r="4930" spans="1:3">
      <c r="A4930" t="s">
        <v>865</v>
      </c>
      <c r="B4930" t="s">
        <v>1075</v>
      </c>
      <c r="C4930" t="s">
        <v>2877</v>
      </c>
    </row>
    <row r="4931" spans="1:3">
      <c r="A4931" t="s">
        <v>865</v>
      </c>
      <c r="B4931" t="s">
        <v>1075</v>
      </c>
      <c r="C4931" t="s">
        <v>2876</v>
      </c>
    </row>
    <row r="4932" spans="1:3">
      <c r="A4932" t="s">
        <v>865</v>
      </c>
      <c r="B4932" t="s">
        <v>1075</v>
      </c>
      <c r="C4932" t="s">
        <v>2875</v>
      </c>
    </row>
    <row r="4933" spans="1:3">
      <c r="A4933" t="s">
        <v>865</v>
      </c>
      <c r="B4933" t="s">
        <v>1075</v>
      </c>
      <c r="C4933" t="s">
        <v>2874</v>
      </c>
    </row>
    <row r="4934" spans="1:3">
      <c r="A4934" t="s">
        <v>865</v>
      </c>
      <c r="B4934" t="s">
        <v>1075</v>
      </c>
      <c r="C4934" t="s">
        <v>2873</v>
      </c>
    </row>
    <row r="4935" spans="1:3">
      <c r="A4935" t="s">
        <v>865</v>
      </c>
      <c r="B4935" t="s">
        <v>1075</v>
      </c>
      <c r="C4935" t="s">
        <v>2872</v>
      </c>
    </row>
    <row r="4936" spans="1:3">
      <c r="A4936" t="s">
        <v>865</v>
      </c>
      <c r="B4936" t="s">
        <v>1075</v>
      </c>
      <c r="C4936" t="s">
        <v>2871</v>
      </c>
    </row>
    <row r="4937" spans="1:3">
      <c r="A4937" t="s">
        <v>865</v>
      </c>
      <c r="B4937" t="s">
        <v>1075</v>
      </c>
      <c r="C4937" t="s">
        <v>2870</v>
      </c>
    </row>
    <row r="4938" spans="1:3">
      <c r="A4938" t="s">
        <v>865</v>
      </c>
      <c r="B4938" t="s">
        <v>1075</v>
      </c>
      <c r="C4938" t="s">
        <v>2869</v>
      </c>
    </row>
    <row r="4939" spans="1:3">
      <c r="A4939" t="s">
        <v>865</v>
      </c>
      <c r="B4939" t="s">
        <v>1075</v>
      </c>
      <c r="C4939" t="s">
        <v>2868</v>
      </c>
    </row>
    <row r="4940" spans="1:3">
      <c r="A4940" t="s">
        <v>865</v>
      </c>
      <c r="B4940" t="s">
        <v>1075</v>
      </c>
      <c r="C4940" t="s">
        <v>2867</v>
      </c>
    </row>
    <row r="4941" spans="1:3">
      <c r="A4941" t="s">
        <v>865</v>
      </c>
      <c r="B4941" t="s">
        <v>1075</v>
      </c>
      <c r="C4941" t="s">
        <v>2866</v>
      </c>
    </row>
    <row r="4942" spans="1:3">
      <c r="A4942" t="s">
        <v>865</v>
      </c>
      <c r="B4942" t="s">
        <v>1075</v>
      </c>
      <c r="C4942" t="s">
        <v>2865</v>
      </c>
    </row>
    <row r="4943" spans="1:3">
      <c r="A4943" t="s">
        <v>865</v>
      </c>
      <c r="B4943" t="s">
        <v>1075</v>
      </c>
      <c r="C4943" t="s">
        <v>2864</v>
      </c>
    </row>
    <row r="4944" spans="1:3">
      <c r="A4944" t="s">
        <v>865</v>
      </c>
      <c r="B4944" t="s">
        <v>1075</v>
      </c>
      <c r="C4944" t="s">
        <v>2863</v>
      </c>
    </row>
    <row r="4945" spans="1:3">
      <c r="A4945" t="s">
        <v>865</v>
      </c>
      <c r="B4945" t="s">
        <v>1075</v>
      </c>
      <c r="C4945" t="s">
        <v>2862</v>
      </c>
    </row>
    <row r="4946" spans="1:3">
      <c r="A4946" t="s">
        <v>865</v>
      </c>
      <c r="B4946" t="s">
        <v>1075</v>
      </c>
      <c r="C4946" t="s">
        <v>2861</v>
      </c>
    </row>
    <row r="4947" spans="1:3">
      <c r="A4947" t="s">
        <v>865</v>
      </c>
      <c r="B4947" t="s">
        <v>1075</v>
      </c>
      <c r="C4947" t="s">
        <v>2860</v>
      </c>
    </row>
    <row r="4948" spans="1:3">
      <c r="A4948" t="s">
        <v>865</v>
      </c>
      <c r="B4948" t="s">
        <v>1075</v>
      </c>
      <c r="C4948" t="s">
        <v>2859</v>
      </c>
    </row>
    <row r="4949" spans="1:3">
      <c r="A4949" t="s">
        <v>865</v>
      </c>
      <c r="B4949" t="s">
        <v>1075</v>
      </c>
      <c r="C4949" t="s">
        <v>2858</v>
      </c>
    </row>
    <row r="4950" spans="1:3">
      <c r="A4950" t="s">
        <v>865</v>
      </c>
      <c r="B4950" t="s">
        <v>1075</v>
      </c>
      <c r="C4950" t="s">
        <v>2857</v>
      </c>
    </row>
    <row r="4951" spans="1:3">
      <c r="A4951" t="s">
        <v>865</v>
      </c>
      <c r="B4951" t="s">
        <v>1075</v>
      </c>
      <c r="C4951" t="s">
        <v>2856</v>
      </c>
    </row>
    <row r="4952" spans="1:3">
      <c r="A4952" t="s">
        <v>865</v>
      </c>
      <c r="B4952" t="s">
        <v>1075</v>
      </c>
      <c r="C4952" t="s">
        <v>2855</v>
      </c>
    </row>
    <row r="4953" spans="1:3">
      <c r="A4953" t="s">
        <v>866</v>
      </c>
      <c r="B4953" t="s">
        <v>1070</v>
      </c>
      <c r="C4953" t="s">
        <v>2835</v>
      </c>
    </row>
    <row r="4954" spans="1:3">
      <c r="A4954" t="s">
        <v>866</v>
      </c>
      <c r="B4954" t="s">
        <v>1075</v>
      </c>
      <c r="C4954" t="s">
        <v>2848</v>
      </c>
    </row>
    <row r="4955" spans="1:3">
      <c r="A4955" t="s">
        <v>866</v>
      </c>
      <c r="B4955" t="s">
        <v>1075</v>
      </c>
      <c r="C4955" t="s">
        <v>2847</v>
      </c>
    </row>
    <row r="4956" spans="1:3">
      <c r="A4956" t="s">
        <v>866</v>
      </c>
      <c r="B4956" t="s">
        <v>1075</v>
      </c>
      <c r="C4956" t="s">
        <v>2846</v>
      </c>
    </row>
    <row r="4957" spans="1:3">
      <c r="A4957" t="s">
        <v>866</v>
      </c>
      <c r="B4957" t="s">
        <v>1075</v>
      </c>
      <c r="C4957" t="s">
        <v>2845</v>
      </c>
    </row>
    <row r="4958" spans="1:3">
      <c r="A4958" t="s">
        <v>866</v>
      </c>
      <c r="B4958" t="s">
        <v>1075</v>
      </c>
      <c r="C4958" t="s">
        <v>2844</v>
      </c>
    </row>
    <row r="4959" spans="1:3">
      <c r="A4959" t="s">
        <v>866</v>
      </c>
      <c r="B4959" t="s">
        <v>1075</v>
      </c>
      <c r="C4959" t="s">
        <v>2843</v>
      </c>
    </row>
    <row r="4960" spans="1:3">
      <c r="A4960" t="s">
        <v>866</v>
      </c>
      <c r="B4960" t="s">
        <v>1075</v>
      </c>
      <c r="C4960" t="s">
        <v>2842</v>
      </c>
    </row>
    <row r="4961" spans="1:3">
      <c r="A4961" t="s">
        <v>866</v>
      </c>
      <c r="B4961" t="s">
        <v>1075</v>
      </c>
      <c r="C4961" t="s">
        <v>2841</v>
      </c>
    </row>
    <row r="4962" spans="1:3">
      <c r="A4962" t="s">
        <v>866</v>
      </c>
      <c r="B4962" t="s">
        <v>1075</v>
      </c>
      <c r="C4962" t="s">
        <v>2840</v>
      </c>
    </row>
    <row r="4963" spans="1:3">
      <c r="A4963" t="s">
        <v>866</v>
      </c>
      <c r="B4963" t="s">
        <v>1075</v>
      </c>
      <c r="C4963" t="s">
        <v>2839</v>
      </c>
    </row>
    <row r="4964" spans="1:3">
      <c r="A4964" t="s">
        <v>866</v>
      </c>
      <c r="B4964" t="s">
        <v>1075</v>
      </c>
      <c r="C4964" t="s">
        <v>2838</v>
      </c>
    </row>
    <row r="4965" spans="1:3">
      <c r="A4965" t="s">
        <v>866</v>
      </c>
      <c r="B4965" t="s">
        <v>1075</v>
      </c>
      <c r="C4965" t="s">
        <v>2837</v>
      </c>
    </row>
    <row r="4966" spans="1:3">
      <c r="A4966" t="s">
        <v>866</v>
      </c>
      <c r="B4966" t="s">
        <v>1075</v>
      </c>
      <c r="C4966" t="s">
        <v>2836</v>
      </c>
    </row>
    <row r="4967" spans="1:3">
      <c r="A4967" t="s">
        <v>873</v>
      </c>
      <c r="B4967" t="s">
        <v>1070</v>
      </c>
      <c r="C4967" t="s">
        <v>2821</v>
      </c>
    </row>
    <row r="4968" spans="1:3">
      <c r="A4968" t="s">
        <v>873</v>
      </c>
      <c r="B4968" t="s">
        <v>1075</v>
      </c>
      <c r="C4968" t="s">
        <v>2834</v>
      </c>
    </row>
    <row r="4969" spans="1:3">
      <c r="A4969" t="s">
        <v>873</v>
      </c>
      <c r="B4969" t="s">
        <v>1075</v>
      </c>
      <c r="C4969" t="s">
        <v>2833</v>
      </c>
    </row>
    <row r="4970" spans="1:3">
      <c r="A4970" t="s">
        <v>873</v>
      </c>
      <c r="B4970" t="s">
        <v>1075</v>
      </c>
      <c r="C4970" t="s">
        <v>2832</v>
      </c>
    </row>
    <row r="4971" spans="1:3">
      <c r="A4971" t="s">
        <v>873</v>
      </c>
      <c r="B4971" t="s">
        <v>1075</v>
      </c>
      <c r="C4971" t="s">
        <v>2831</v>
      </c>
    </row>
    <row r="4972" spans="1:3">
      <c r="A4972" t="s">
        <v>873</v>
      </c>
      <c r="B4972" t="s">
        <v>1075</v>
      </c>
      <c r="C4972" t="s">
        <v>2830</v>
      </c>
    </row>
    <row r="4973" spans="1:3">
      <c r="A4973" t="s">
        <v>873</v>
      </c>
      <c r="B4973" t="s">
        <v>1075</v>
      </c>
      <c r="C4973" t="s">
        <v>2829</v>
      </c>
    </row>
    <row r="4974" spans="1:3">
      <c r="A4974" t="s">
        <v>873</v>
      </c>
      <c r="B4974" t="s">
        <v>1075</v>
      </c>
      <c r="C4974" t="s">
        <v>2828</v>
      </c>
    </row>
    <row r="4975" spans="1:3">
      <c r="A4975" t="s">
        <v>873</v>
      </c>
      <c r="B4975" t="s">
        <v>1075</v>
      </c>
      <c r="C4975" t="s">
        <v>2827</v>
      </c>
    </row>
    <row r="4976" spans="1:3">
      <c r="A4976" t="s">
        <v>873</v>
      </c>
      <c r="B4976" t="s">
        <v>1075</v>
      </c>
      <c r="C4976" t="s">
        <v>2826</v>
      </c>
    </row>
    <row r="4977" spans="1:3">
      <c r="A4977" t="s">
        <v>873</v>
      </c>
      <c r="B4977" t="s">
        <v>1075</v>
      </c>
      <c r="C4977" t="s">
        <v>2825</v>
      </c>
    </row>
    <row r="4978" spans="1:3">
      <c r="A4978" t="s">
        <v>873</v>
      </c>
      <c r="B4978" t="s">
        <v>1075</v>
      </c>
      <c r="C4978" t="s">
        <v>2824</v>
      </c>
    </row>
    <row r="4979" spans="1:3">
      <c r="A4979" t="s">
        <v>873</v>
      </c>
      <c r="B4979" t="s">
        <v>1075</v>
      </c>
      <c r="C4979" t="s">
        <v>2823</v>
      </c>
    </row>
    <row r="4980" spans="1:3">
      <c r="A4980" t="s">
        <v>873</v>
      </c>
      <c r="B4980" t="s">
        <v>1075</v>
      </c>
      <c r="C4980" t="s">
        <v>2822</v>
      </c>
    </row>
    <row r="4981" spans="1:3">
      <c r="A4981" t="s">
        <v>875</v>
      </c>
      <c r="B4981" t="s">
        <v>1070</v>
      </c>
      <c r="C4981" t="s">
        <v>2783</v>
      </c>
    </row>
    <row r="4982" spans="1:3">
      <c r="A4982" t="s">
        <v>875</v>
      </c>
      <c r="B4982" t="s">
        <v>1070</v>
      </c>
      <c r="C4982" t="s">
        <v>2782</v>
      </c>
    </row>
    <row r="4983" spans="1:3">
      <c r="A4983" t="s">
        <v>875</v>
      </c>
      <c r="B4983" t="s">
        <v>1070</v>
      </c>
      <c r="C4983" t="s">
        <v>2781</v>
      </c>
    </row>
    <row r="4984" spans="1:3">
      <c r="A4984" t="s">
        <v>875</v>
      </c>
      <c r="B4984" t="s">
        <v>1070</v>
      </c>
      <c r="C4984" t="s">
        <v>2780</v>
      </c>
    </row>
    <row r="4985" spans="1:3">
      <c r="A4985" t="s">
        <v>875</v>
      </c>
      <c r="B4985" t="s">
        <v>1070</v>
      </c>
      <c r="C4985" t="s">
        <v>2779</v>
      </c>
    </row>
    <row r="4986" spans="1:3">
      <c r="A4986" t="s">
        <v>875</v>
      </c>
      <c r="B4986" t="s">
        <v>1075</v>
      </c>
      <c r="C4986" t="s">
        <v>2820</v>
      </c>
    </row>
    <row r="4987" spans="1:3">
      <c r="A4987" t="s">
        <v>875</v>
      </c>
      <c r="B4987" t="s">
        <v>1075</v>
      </c>
      <c r="C4987" t="s">
        <v>2819</v>
      </c>
    </row>
    <row r="4988" spans="1:3">
      <c r="A4988" t="s">
        <v>875</v>
      </c>
      <c r="B4988" t="s">
        <v>1075</v>
      </c>
      <c r="C4988" t="s">
        <v>2818</v>
      </c>
    </row>
    <row r="4989" spans="1:3">
      <c r="A4989" t="s">
        <v>875</v>
      </c>
      <c r="B4989" t="s">
        <v>1075</v>
      </c>
      <c r="C4989" t="s">
        <v>2817</v>
      </c>
    </row>
    <row r="4990" spans="1:3">
      <c r="A4990" t="s">
        <v>875</v>
      </c>
      <c r="B4990" t="s">
        <v>1075</v>
      </c>
      <c r="C4990" t="s">
        <v>2816</v>
      </c>
    </row>
    <row r="4991" spans="1:3">
      <c r="A4991" t="s">
        <v>875</v>
      </c>
      <c r="B4991" t="s">
        <v>1075</v>
      </c>
      <c r="C4991" t="s">
        <v>2815</v>
      </c>
    </row>
    <row r="4992" spans="1:3">
      <c r="A4992" t="s">
        <v>875</v>
      </c>
      <c r="B4992" t="s">
        <v>1075</v>
      </c>
      <c r="C4992" t="s">
        <v>2814</v>
      </c>
    </row>
    <row r="4993" spans="1:3">
      <c r="A4993" t="s">
        <v>875</v>
      </c>
      <c r="B4993" t="s">
        <v>1075</v>
      </c>
      <c r="C4993" t="s">
        <v>2813</v>
      </c>
    </row>
    <row r="4994" spans="1:3">
      <c r="A4994" t="s">
        <v>875</v>
      </c>
      <c r="B4994" t="s">
        <v>1075</v>
      </c>
      <c r="C4994" t="s">
        <v>2812</v>
      </c>
    </row>
    <row r="4995" spans="1:3">
      <c r="A4995" t="s">
        <v>875</v>
      </c>
      <c r="B4995" t="s">
        <v>1075</v>
      </c>
      <c r="C4995" t="s">
        <v>2811</v>
      </c>
    </row>
    <row r="4996" spans="1:3">
      <c r="A4996" t="s">
        <v>875</v>
      </c>
      <c r="B4996" t="s">
        <v>1075</v>
      </c>
      <c r="C4996" t="s">
        <v>2810</v>
      </c>
    </row>
    <row r="4997" spans="1:3">
      <c r="A4997" t="s">
        <v>875</v>
      </c>
      <c r="B4997" t="s">
        <v>1075</v>
      </c>
      <c r="C4997" t="s">
        <v>2809</v>
      </c>
    </row>
    <row r="4998" spans="1:3">
      <c r="A4998" t="s">
        <v>875</v>
      </c>
      <c r="B4998" t="s">
        <v>1075</v>
      </c>
      <c r="C4998" t="s">
        <v>2808</v>
      </c>
    </row>
    <row r="4999" spans="1:3">
      <c r="A4999" t="s">
        <v>875</v>
      </c>
      <c r="B4999" t="s">
        <v>1075</v>
      </c>
      <c r="C4999" t="s">
        <v>2807</v>
      </c>
    </row>
    <row r="5000" spans="1:3">
      <c r="A5000" t="s">
        <v>875</v>
      </c>
      <c r="B5000" t="s">
        <v>1075</v>
      </c>
      <c r="C5000" t="s">
        <v>2806</v>
      </c>
    </row>
    <row r="5001" spans="1:3">
      <c r="A5001" t="s">
        <v>875</v>
      </c>
      <c r="B5001" t="s">
        <v>1075</v>
      </c>
      <c r="C5001" t="s">
        <v>2805</v>
      </c>
    </row>
    <row r="5002" spans="1:3">
      <c r="A5002" t="s">
        <v>875</v>
      </c>
      <c r="B5002" t="s">
        <v>1075</v>
      </c>
      <c r="C5002" t="s">
        <v>2804</v>
      </c>
    </row>
    <row r="5003" spans="1:3">
      <c r="A5003" t="s">
        <v>875</v>
      </c>
      <c r="B5003" t="s">
        <v>1075</v>
      </c>
      <c r="C5003" t="s">
        <v>2803</v>
      </c>
    </row>
    <row r="5004" spans="1:3">
      <c r="A5004" t="s">
        <v>875</v>
      </c>
      <c r="B5004" t="s">
        <v>1075</v>
      </c>
      <c r="C5004" t="s">
        <v>2802</v>
      </c>
    </row>
    <row r="5005" spans="1:3">
      <c r="A5005" t="s">
        <v>875</v>
      </c>
      <c r="B5005" t="s">
        <v>1075</v>
      </c>
      <c r="C5005" t="s">
        <v>2801</v>
      </c>
    </row>
    <row r="5006" spans="1:3">
      <c r="A5006" t="s">
        <v>875</v>
      </c>
      <c r="B5006" t="s">
        <v>1075</v>
      </c>
      <c r="C5006" t="s">
        <v>2800</v>
      </c>
    </row>
    <row r="5007" spans="1:3">
      <c r="A5007" t="s">
        <v>875</v>
      </c>
      <c r="B5007" t="s">
        <v>1075</v>
      </c>
      <c r="C5007" t="s">
        <v>2799</v>
      </c>
    </row>
    <row r="5008" spans="1:3">
      <c r="A5008" t="s">
        <v>875</v>
      </c>
      <c r="B5008" t="s">
        <v>1075</v>
      </c>
      <c r="C5008" t="s">
        <v>2798</v>
      </c>
    </row>
    <row r="5009" spans="1:3">
      <c r="A5009" t="s">
        <v>875</v>
      </c>
      <c r="B5009" t="s">
        <v>1075</v>
      </c>
      <c r="C5009" t="s">
        <v>2797</v>
      </c>
    </row>
    <row r="5010" spans="1:3">
      <c r="A5010" t="s">
        <v>875</v>
      </c>
      <c r="B5010" t="s">
        <v>1075</v>
      </c>
      <c r="C5010" t="s">
        <v>2796</v>
      </c>
    </row>
    <row r="5011" spans="1:3">
      <c r="A5011" t="s">
        <v>875</v>
      </c>
      <c r="B5011" t="s">
        <v>1075</v>
      </c>
      <c r="C5011" t="s">
        <v>2795</v>
      </c>
    </row>
    <row r="5012" spans="1:3">
      <c r="A5012" t="s">
        <v>875</v>
      </c>
      <c r="B5012" t="s">
        <v>1075</v>
      </c>
      <c r="C5012" t="s">
        <v>2794</v>
      </c>
    </row>
    <row r="5013" spans="1:3">
      <c r="A5013" t="s">
        <v>875</v>
      </c>
      <c r="B5013" t="s">
        <v>1075</v>
      </c>
      <c r="C5013" t="s">
        <v>2793</v>
      </c>
    </row>
    <row r="5014" spans="1:3">
      <c r="A5014" t="s">
        <v>875</v>
      </c>
      <c r="B5014" t="s">
        <v>1075</v>
      </c>
      <c r="C5014" t="s">
        <v>2792</v>
      </c>
    </row>
    <row r="5015" spans="1:3">
      <c r="A5015" t="s">
        <v>875</v>
      </c>
      <c r="B5015" t="s">
        <v>1075</v>
      </c>
      <c r="C5015" t="s">
        <v>2791</v>
      </c>
    </row>
    <row r="5016" spans="1:3">
      <c r="A5016" t="s">
        <v>875</v>
      </c>
      <c r="B5016" t="s">
        <v>1075</v>
      </c>
      <c r="C5016" t="s">
        <v>2790</v>
      </c>
    </row>
    <row r="5017" spans="1:3">
      <c r="A5017" t="s">
        <v>875</v>
      </c>
      <c r="B5017" t="s">
        <v>1075</v>
      </c>
      <c r="C5017" t="s">
        <v>2789</v>
      </c>
    </row>
    <row r="5018" spans="1:3">
      <c r="A5018" t="s">
        <v>875</v>
      </c>
      <c r="B5018" t="s">
        <v>1075</v>
      </c>
      <c r="C5018" t="s">
        <v>2788</v>
      </c>
    </row>
    <row r="5019" spans="1:3">
      <c r="A5019" t="s">
        <v>875</v>
      </c>
      <c r="B5019" t="s">
        <v>1075</v>
      </c>
      <c r="C5019" t="s">
        <v>2787</v>
      </c>
    </row>
    <row r="5020" spans="1:3">
      <c r="A5020" t="s">
        <v>875</v>
      </c>
      <c r="B5020" t="s">
        <v>1075</v>
      </c>
      <c r="C5020" t="s">
        <v>2786</v>
      </c>
    </row>
    <row r="5021" spans="1:3">
      <c r="A5021" t="s">
        <v>875</v>
      </c>
      <c r="B5021" t="s">
        <v>1075</v>
      </c>
      <c r="C5021" t="s">
        <v>2785</v>
      </c>
    </row>
    <row r="5022" spans="1:3">
      <c r="A5022" t="s">
        <v>875</v>
      </c>
      <c r="B5022" t="s">
        <v>1075</v>
      </c>
      <c r="C5022" t="s">
        <v>2784</v>
      </c>
    </row>
    <row r="5023" spans="1:3">
      <c r="A5023" t="s">
        <v>874</v>
      </c>
      <c r="B5023" t="s">
        <v>1070</v>
      </c>
      <c r="C5023" t="s">
        <v>2741</v>
      </c>
    </row>
    <row r="5024" spans="1:3">
      <c r="A5024" t="s">
        <v>874</v>
      </c>
      <c r="B5024" t="s">
        <v>1070</v>
      </c>
      <c r="C5024" t="s">
        <v>2740</v>
      </c>
    </row>
    <row r="5025" spans="1:3">
      <c r="A5025" t="s">
        <v>874</v>
      </c>
      <c r="B5025" t="s">
        <v>1070</v>
      </c>
      <c r="C5025" t="s">
        <v>2739</v>
      </c>
    </row>
    <row r="5026" spans="1:3">
      <c r="A5026" t="s">
        <v>874</v>
      </c>
      <c r="B5026" t="s">
        <v>1070</v>
      </c>
      <c r="C5026" t="s">
        <v>2738</v>
      </c>
    </row>
    <row r="5027" spans="1:3">
      <c r="A5027" t="s">
        <v>874</v>
      </c>
      <c r="B5027" t="s">
        <v>1070</v>
      </c>
      <c r="C5027" t="s">
        <v>2737</v>
      </c>
    </row>
    <row r="5028" spans="1:3">
      <c r="A5028" t="s">
        <v>874</v>
      </c>
      <c r="B5028" t="s">
        <v>1075</v>
      </c>
      <c r="C5028" t="s">
        <v>2778</v>
      </c>
    </row>
    <row r="5029" spans="1:3">
      <c r="A5029" t="s">
        <v>874</v>
      </c>
      <c r="B5029" t="s">
        <v>1075</v>
      </c>
      <c r="C5029" t="s">
        <v>2777</v>
      </c>
    </row>
    <row r="5030" spans="1:3">
      <c r="A5030" t="s">
        <v>874</v>
      </c>
      <c r="B5030" t="s">
        <v>1075</v>
      </c>
      <c r="C5030" t="s">
        <v>2776</v>
      </c>
    </row>
    <row r="5031" spans="1:3">
      <c r="A5031" t="s">
        <v>874</v>
      </c>
      <c r="B5031" t="s">
        <v>1075</v>
      </c>
      <c r="C5031" t="s">
        <v>2775</v>
      </c>
    </row>
    <row r="5032" spans="1:3">
      <c r="A5032" t="s">
        <v>874</v>
      </c>
      <c r="B5032" t="s">
        <v>1075</v>
      </c>
      <c r="C5032" t="s">
        <v>2774</v>
      </c>
    </row>
    <row r="5033" spans="1:3">
      <c r="A5033" t="s">
        <v>874</v>
      </c>
      <c r="B5033" t="s">
        <v>1075</v>
      </c>
      <c r="C5033" t="s">
        <v>2773</v>
      </c>
    </row>
    <row r="5034" spans="1:3">
      <c r="A5034" t="s">
        <v>874</v>
      </c>
      <c r="B5034" t="s">
        <v>1075</v>
      </c>
      <c r="C5034" t="s">
        <v>2772</v>
      </c>
    </row>
    <row r="5035" spans="1:3">
      <c r="A5035" t="s">
        <v>874</v>
      </c>
      <c r="B5035" t="s">
        <v>1075</v>
      </c>
      <c r="C5035" t="s">
        <v>2771</v>
      </c>
    </row>
    <row r="5036" spans="1:3">
      <c r="A5036" t="s">
        <v>874</v>
      </c>
      <c r="B5036" t="s">
        <v>1075</v>
      </c>
      <c r="C5036" t="s">
        <v>2770</v>
      </c>
    </row>
    <row r="5037" spans="1:3">
      <c r="A5037" t="s">
        <v>874</v>
      </c>
      <c r="B5037" t="s">
        <v>1075</v>
      </c>
      <c r="C5037" t="s">
        <v>2769</v>
      </c>
    </row>
    <row r="5038" spans="1:3">
      <c r="A5038" t="s">
        <v>874</v>
      </c>
      <c r="B5038" t="s">
        <v>1075</v>
      </c>
      <c r="C5038" t="s">
        <v>2768</v>
      </c>
    </row>
    <row r="5039" spans="1:3">
      <c r="A5039" t="s">
        <v>874</v>
      </c>
      <c r="B5039" t="s">
        <v>1075</v>
      </c>
      <c r="C5039" t="s">
        <v>2767</v>
      </c>
    </row>
    <row r="5040" spans="1:3">
      <c r="A5040" t="s">
        <v>874</v>
      </c>
      <c r="B5040" t="s">
        <v>1075</v>
      </c>
      <c r="C5040" t="s">
        <v>2766</v>
      </c>
    </row>
    <row r="5041" spans="1:3">
      <c r="A5041" t="s">
        <v>874</v>
      </c>
      <c r="B5041" t="s">
        <v>1075</v>
      </c>
      <c r="C5041" t="s">
        <v>2765</v>
      </c>
    </row>
    <row r="5042" spans="1:3">
      <c r="A5042" t="s">
        <v>874</v>
      </c>
      <c r="B5042" t="s">
        <v>1075</v>
      </c>
      <c r="C5042" t="s">
        <v>2764</v>
      </c>
    </row>
    <row r="5043" spans="1:3">
      <c r="A5043" t="s">
        <v>874</v>
      </c>
      <c r="B5043" t="s">
        <v>1075</v>
      </c>
      <c r="C5043" t="s">
        <v>2763</v>
      </c>
    </row>
    <row r="5044" spans="1:3">
      <c r="A5044" t="s">
        <v>874</v>
      </c>
      <c r="B5044" t="s">
        <v>1075</v>
      </c>
      <c r="C5044" t="s">
        <v>2762</v>
      </c>
    </row>
    <row r="5045" spans="1:3">
      <c r="A5045" t="s">
        <v>874</v>
      </c>
      <c r="B5045" t="s">
        <v>1075</v>
      </c>
      <c r="C5045" t="s">
        <v>2761</v>
      </c>
    </row>
    <row r="5046" spans="1:3">
      <c r="A5046" t="s">
        <v>874</v>
      </c>
      <c r="B5046" t="s">
        <v>1075</v>
      </c>
      <c r="C5046" t="s">
        <v>2760</v>
      </c>
    </row>
    <row r="5047" spans="1:3">
      <c r="A5047" t="s">
        <v>874</v>
      </c>
      <c r="B5047" t="s">
        <v>1075</v>
      </c>
      <c r="C5047" t="s">
        <v>2759</v>
      </c>
    </row>
    <row r="5048" spans="1:3">
      <c r="A5048" t="s">
        <v>874</v>
      </c>
      <c r="B5048" t="s">
        <v>1075</v>
      </c>
      <c r="C5048" t="s">
        <v>2758</v>
      </c>
    </row>
    <row r="5049" spans="1:3">
      <c r="A5049" t="s">
        <v>874</v>
      </c>
      <c r="B5049" t="s">
        <v>1075</v>
      </c>
      <c r="C5049" t="s">
        <v>2757</v>
      </c>
    </row>
    <row r="5050" spans="1:3">
      <c r="A5050" t="s">
        <v>874</v>
      </c>
      <c r="B5050" t="s">
        <v>1075</v>
      </c>
      <c r="C5050" t="s">
        <v>2756</v>
      </c>
    </row>
    <row r="5051" spans="1:3">
      <c r="A5051" t="s">
        <v>874</v>
      </c>
      <c r="B5051" t="s">
        <v>1075</v>
      </c>
      <c r="C5051" t="s">
        <v>2755</v>
      </c>
    </row>
    <row r="5052" spans="1:3">
      <c r="A5052" t="s">
        <v>874</v>
      </c>
      <c r="B5052" t="s">
        <v>1075</v>
      </c>
      <c r="C5052" t="s">
        <v>2754</v>
      </c>
    </row>
    <row r="5053" spans="1:3">
      <c r="A5053" t="s">
        <v>874</v>
      </c>
      <c r="B5053" t="s">
        <v>1075</v>
      </c>
      <c r="C5053" t="s">
        <v>2753</v>
      </c>
    </row>
    <row r="5054" spans="1:3">
      <c r="A5054" t="s">
        <v>874</v>
      </c>
      <c r="B5054" t="s">
        <v>1075</v>
      </c>
      <c r="C5054" t="s">
        <v>2752</v>
      </c>
    </row>
    <row r="5055" spans="1:3">
      <c r="A5055" t="s">
        <v>874</v>
      </c>
      <c r="B5055" t="s">
        <v>1075</v>
      </c>
      <c r="C5055" t="s">
        <v>2751</v>
      </c>
    </row>
    <row r="5056" spans="1:3">
      <c r="A5056" t="s">
        <v>874</v>
      </c>
      <c r="B5056" t="s">
        <v>1075</v>
      </c>
      <c r="C5056" t="s">
        <v>2750</v>
      </c>
    </row>
    <row r="5057" spans="1:3">
      <c r="A5057" t="s">
        <v>874</v>
      </c>
      <c r="B5057" t="s">
        <v>1075</v>
      </c>
      <c r="C5057" t="s">
        <v>2749</v>
      </c>
    </row>
    <row r="5058" spans="1:3">
      <c r="A5058" t="s">
        <v>874</v>
      </c>
      <c r="B5058" t="s">
        <v>1075</v>
      </c>
      <c r="C5058" t="s">
        <v>2748</v>
      </c>
    </row>
    <row r="5059" spans="1:3">
      <c r="A5059" t="s">
        <v>874</v>
      </c>
      <c r="B5059" t="s">
        <v>1075</v>
      </c>
      <c r="C5059" t="s">
        <v>2747</v>
      </c>
    </row>
    <row r="5060" spans="1:3">
      <c r="A5060" t="s">
        <v>874</v>
      </c>
      <c r="B5060" t="s">
        <v>1075</v>
      </c>
      <c r="C5060" t="s">
        <v>2746</v>
      </c>
    </row>
    <row r="5061" spans="1:3">
      <c r="A5061" t="s">
        <v>874</v>
      </c>
      <c r="B5061" t="s">
        <v>1075</v>
      </c>
      <c r="C5061" t="s">
        <v>2745</v>
      </c>
    </row>
    <row r="5062" spans="1:3">
      <c r="A5062" t="s">
        <v>874</v>
      </c>
      <c r="B5062" t="s">
        <v>1075</v>
      </c>
      <c r="C5062" t="s">
        <v>2744</v>
      </c>
    </row>
    <row r="5063" spans="1:3">
      <c r="A5063" t="s">
        <v>874</v>
      </c>
      <c r="B5063" t="s">
        <v>1075</v>
      </c>
      <c r="C5063" t="s">
        <v>2743</v>
      </c>
    </row>
    <row r="5064" spans="1:3">
      <c r="A5064" t="s">
        <v>874</v>
      </c>
      <c r="B5064" t="s">
        <v>1075</v>
      </c>
      <c r="C5064" t="s">
        <v>2742</v>
      </c>
    </row>
    <row r="5065" spans="1:3">
      <c r="A5065" t="s">
        <v>876</v>
      </c>
      <c r="B5065" t="s">
        <v>1070</v>
      </c>
      <c r="C5065" t="s">
        <v>2711</v>
      </c>
    </row>
    <row r="5066" spans="1:3">
      <c r="A5066" t="s">
        <v>876</v>
      </c>
      <c r="B5066" t="s">
        <v>1070</v>
      </c>
      <c r="C5066" t="s">
        <v>2710</v>
      </c>
    </row>
    <row r="5067" spans="1:3">
      <c r="A5067" t="s">
        <v>876</v>
      </c>
      <c r="B5067" t="s">
        <v>1070</v>
      </c>
      <c r="C5067" t="s">
        <v>2709</v>
      </c>
    </row>
    <row r="5068" spans="1:3">
      <c r="A5068" t="s">
        <v>876</v>
      </c>
      <c r="B5068" t="s">
        <v>1070</v>
      </c>
      <c r="C5068" t="s">
        <v>2708</v>
      </c>
    </row>
    <row r="5069" spans="1:3">
      <c r="A5069" t="s">
        <v>876</v>
      </c>
      <c r="B5069" t="s">
        <v>1075</v>
      </c>
      <c r="C5069" t="s">
        <v>2736</v>
      </c>
    </row>
    <row r="5070" spans="1:3">
      <c r="A5070" t="s">
        <v>876</v>
      </c>
      <c r="B5070" t="s">
        <v>1075</v>
      </c>
      <c r="C5070" t="s">
        <v>2735</v>
      </c>
    </row>
    <row r="5071" spans="1:3">
      <c r="A5071" t="s">
        <v>876</v>
      </c>
      <c r="B5071" t="s">
        <v>1075</v>
      </c>
      <c r="C5071" t="s">
        <v>2734</v>
      </c>
    </row>
    <row r="5072" spans="1:3">
      <c r="A5072" t="s">
        <v>876</v>
      </c>
      <c r="B5072" t="s">
        <v>1075</v>
      </c>
      <c r="C5072" t="s">
        <v>2733</v>
      </c>
    </row>
    <row r="5073" spans="1:3">
      <c r="A5073" t="s">
        <v>876</v>
      </c>
      <c r="B5073" t="s">
        <v>1075</v>
      </c>
      <c r="C5073" t="s">
        <v>2732</v>
      </c>
    </row>
    <row r="5074" spans="1:3">
      <c r="A5074" t="s">
        <v>876</v>
      </c>
      <c r="B5074" t="s">
        <v>1075</v>
      </c>
      <c r="C5074" t="s">
        <v>2731</v>
      </c>
    </row>
    <row r="5075" spans="1:3">
      <c r="A5075" t="s">
        <v>876</v>
      </c>
      <c r="B5075" t="s">
        <v>1075</v>
      </c>
      <c r="C5075" t="s">
        <v>2730</v>
      </c>
    </row>
    <row r="5076" spans="1:3">
      <c r="A5076" t="s">
        <v>876</v>
      </c>
      <c r="B5076" t="s">
        <v>1075</v>
      </c>
      <c r="C5076" t="s">
        <v>2729</v>
      </c>
    </row>
    <row r="5077" spans="1:3">
      <c r="A5077" t="s">
        <v>876</v>
      </c>
      <c r="B5077" t="s">
        <v>1075</v>
      </c>
      <c r="C5077" t="s">
        <v>2728</v>
      </c>
    </row>
    <row r="5078" spans="1:3">
      <c r="A5078" t="s">
        <v>876</v>
      </c>
      <c r="B5078" t="s">
        <v>1075</v>
      </c>
      <c r="C5078" t="s">
        <v>2727</v>
      </c>
    </row>
    <row r="5079" spans="1:3">
      <c r="A5079" t="s">
        <v>876</v>
      </c>
      <c r="B5079" t="s">
        <v>1075</v>
      </c>
      <c r="C5079" t="s">
        <v>2726</v>
      </c>
    </row>
    <row r="5080" spans="1:3">
      <c r="A5080" t="s">
        <v>876</v>
      </c>
      <c r="B5080" t="s">
        <v>1075</v>
      </c>
      <c r="C5080" t="s">
        <v>2725</v>
      </c>
    </row>
    <row r="5081" spans="1:3">
      <c r="A5081" t="s">
        <v>876</v>
      </c>
      <c r="B5081" t="s">
        <v>1075</v>
      </c>
      <c r="C5081" t="s">
        <v>2724</v>
      </c>
    </row>
    <row r="5082" spans="1:3">
      <c r="A5082" t="s">
        <v>876</v>
      </c>
      <c r="B5082" t="s">
        <v>1075</v>
      </c>
      <c r="C5082" t="s">
        <v>2723</v>
      </c>
    </row>
    <row r="5083" spans="1:3">
      <c r="A5083" t="s">
        <v>876</v>
      </c>
      <c r="B5083" t="s">
        <v>1075</v>
      </c>
      <c r="C5083" t="s">
        <v>2722</v>
      </c>
    </row>
    <row r="5084" spans="1:3">
      <c r="A5084" t="s">
        <v>876</v>
      </c>
      <c r="B5084" t="s">
        <v>1075</v>
      </c>
      <c r="C5084" t="s">
        <v>2721</v>
      </c>
    </row>
    <row r="5085" spans="1:3">
      <c r="A5085" t="s">
        <v>876</v>
      </c>
      <c r="B5085" t="s">
        <v>1075</v>
      </c>
      <c r="C5085" t="s">
        <v>2720</v>
      </c>
    </row>
    <row r="5086" spans="1:3">
      <c r="A5086" t="s">
        <v>876</v>
      </c>
      <c r="B5086" t="s">
        <v>1075</v>
      </c>
      <c r="C5086" t="s">
        <v>2719</v>
      </c>
    </row>
    <row r="5087" spans="1:3">
      <c r="A5087" t="s">
        <v>876</v>
      </c>
      <c r="B5087" t="s">
        <v>1075</v>
      </c>
      <c r="C5087" t="s">
        <v>2718</v>
      </c>
    </row>
    <row r="5088" spans="1:3">
      <c r="A5088" t="s">
        <v>876</v>
      </c>
      <c r="B5088" t="s">
        <v>1075</v>
      </c>
      <c r="C5088" t="s">
        <v>2717</v>
      </c>
    </row>
    <row r="5089" spans="1:3">
      <c r="A5089" t="s">
        <v>876</v>
      </c>
      <c r="B5089" t="s">
        <v>1075</v>
      </c>
      <c r="C5089" t="s">
        <v>2716</v>
      </c>
    </row>
    <row r="5090" spans="1:3">
      <c r="A5090" t="s">
        <v>876</v>
      </c>
      <c r="B5090" t="s">
        <v>1075</v>
      </c>
      <c r="C5090" t="s">
        <v>2715</v>
      </c>
    </row>
    <row r="5091" spans="1:3">
      <c r="A5091" t="s">
        <v>876</v>
      </c>
      <c r="B5091" t="s">
        <v>1075</v>
      </c>
      <c r="C5091" t="s">
        <v>2714</v>
      </c>
    </row>
    <row r="5092" spans="1:3">
      <c r="A5092" t="s">
        <v>876</v>
      </c>
      <c r="B5092" t="s">
        <v>1075</v>
      </c>
      <c r="C5092" t="s">
        <v>2713</v>
      </c>
    </row>
    <row r="5093" spans="1:3">
      <c r="A5093" t="s">
        <v>876</v>
      </c>
      <c r="B5093" t="s">
        <v>1075</v>
      </c>
      <c r="C5093" t="s">
        <v>2712</v>
      </c>
    </row>
    <row r="5094" spans="1:3">
      <c r="A5094" t="s">
        <v>863</v>
      </c>
      <c r="B5094" t="s">
        <v>1070</v>
      </c>
      <c r="C5094" t="s">
        <v>2634</v>
      </c>
    </row>
    <row r="5095" spans="1:3">
      <c r="A5095" t="s">
        <v>863</v>
      </c>
      <c r="B5095" t="s">
        <v>1070</v>
      </c>
      <c r="C5095" t="s">
        <v>2633</v>
      </c>
    </row>
    <row r="5096" spans="1:3">
      <c r="A5096" t="s">
        <v>863</v>
      </c>
      <c r="B5096" t="s">
        <v>1070</v>
      </c>
      <c r="C5096" t="s">
        <v>2632</v>
      </c>
    </row>
    <row r="5097" spans="1:3">
      <c r="A5097" t="s">
        <v>863</v>
      </c>
      <c r="B5097" t="s">
        <v>1070</v>
      </c>
      <c r="C5097" t="s">
        <v>2631</v>
      </c>
    </row>
    <row r="5098" spans="1:3">
      <c r="A5098" t="s">
        <v>863</v>
      </c>
      <c r="B5098" t="s">
        <v>1070</v>
      </c>
      <c r="C5098" t="s">
        <v>2630</v>
      </c>
    </row>
    <row r="5099" spans="1:3">
      <c r="A5099" t="s">
        <v>863</v>
      </c>
      <c r="B5099" t="s">
        <v>1070</v>
      </c>
      <c r="C5099" t="s">
        <v>2629</v>
      </c>
    </row>
    <row r="5100" spans="1:3">
      <c r="A5100" t="s">
        <v>863</v>
      </c>
      <c r="B5100" t="s">
        <v>1070</v>
      </c>
      <c r="C5100" t="s">
        <v>2628</v>
      </c>
    </row>
    <row r="5101" spans="1:3">
      <c r="A5101" t="s">
        <v>863</v>
      </c>
      <c r="B5101" t="s">
        <v>1070</v>
      </c>
      <c r="C5101" t="s">
        <v>2627</v>
      </c>
    </row>
    <row r="5102" spans="1:3">
      <c r="A5102" t="s">
        <v>863</v>
      </c>
      <c r="B5102" t="s">
        <v>1070</v>
      </c>
      <c r="C5102" t="s">
        <v>2626</v>
      </c>
    </row>
    <row r="5103" spans="1:3">
      <c r="A5103" t="s">
        <v>863</v>
      </c>
      <c r="B5103" t="s">
        <v>1075</v>
      </c>
      <c r="C5103" t="s">
        <v>2707</v>
      </c>
    </row>
    <row r="5104" spans="1:3">
      <c r="A5104" t="s">
        <v>863</v>
      </c>
      <c r="B5104" t="s">
        <v>1075</v>
      </c>
      <c r="C5104" t="s">
        <v>2706</v>
      </c>
    </row>
    <row r="5105" spans="1:3">
      <c r="A5105" t="s">
        <v>863</v>
      </c>
      <c r="B5105" t="s">
        <v>1075</v>
      </c>
      <c r="C5105" t="s">
        <v>2705</v>
      </c>
    </row>
    <row r="5106" spans="1:3">
      <c r="A5106" t="s">
        <v>863</v>
      </c>
      <c r="B5106" t="s">
        <v>1075</v>
      </c>
      <c r="C5106" t="s">
        <v>2704</v>
      </c>
    </row>
    <row r="5107" spans="1:3">
      <c r="A5107" t="s">
        <v>863</v>
      </c>
      <c r="B5107" t="s">
        <v>1075</v>
      </c>
      <c r="C5107" t="s">
        <v>2703</v>
      </c>
    </row>
    <row r="5108" spans="1:3">
      <c r="A5108" t="s">
        <v>863</v>
      </c>
      <c r="B5108" t="s">
        <v>1075</v>
      </c>
      <c r="C5108" t="s">
        <v>2702</v>
      </c>
    </row>
    <row r="5109" spans="1:3">
      <c r="A5109" t="s">
        <v>863</v>
      </c>
      <c r="B5109" t="s">
        <v>1075</v>
      </c>
      <c r="C5109" t="s">
        <v>2701</v>
      </c>
    </row>
    <row r="5110" spans="1:3">
      <c r="A5110" t="s">
        <v>863</v>
      </c>
      <c r="B5110" t="s">
        <v>1075</v>
      </c>
      <c r="C5110" t="s">
        <v>2700</v>
      </c>
    </row>
    <row r="5111" spans="1:3">
      <c r="A5111" t="s">
        <v>863</v>
      </c>
      <c r="B5111" t="s">
        <v>1075</v>
      </c>
      <c r="C5111" t="s">
        <v>2699</v>
      </c>
    </row>
    <row r="5112" spans="1:3">
      <c r="A5112" t="s">
        <v>863</v>
      </c>
      <c r="B5112" t="s">
        <v>1075</v>
      </c>
      <c r="C5112" t="s">
        <v>2698</v>
      </c>
    </row>
    <row r="5113" spans="1:3">
      <c r="A5113" t="s">
        <v>863</v>
      </c>
      <c r="B5113" t="s">
        <v>1075</v>
      </c>
      <c r="C5113" t="s">
        <v>2697</v>
      </c>
    </row>
    <row r="5114" spans="1:3">
      <c r="A5114" t="s">
        <v>863</v>
      </c>
      <c r="B5114" t="s">
        <v>1075</v>
      </c>
      <c r="C5114" t="s">
        <v>2696</v>
      </c>
    </row>
    <row r="5115" spans="1:3">
      <c r="A5115" t="s">
        <v>863</v>
      </c>
      <c r="B5115" t="s">
        <v>1075</v>
      </c>
      <c r="C5115" t="s">
        <v>2695</v>
      </c>
    </row>
    <row r="5116" spans="1:3">
      <c r="A5116" t="s">
        <v>863</v>
      </c>
      <c r="B5116" t="s">
        <v>1075</v>
      </c>
      <c r="C5116" t="s">
        <v>2694</v>
      </c>
    </row>
    <row r="5117" spans="1:3">
      <c r="A5117" t="s">
        <v>863</v>
      </c>
      <c r="B5117" t="s">
        <v>1075</v>
      </c>
      <c r="C5117" t="s">
        <v>2693</v>
      </c>
    </row>
    <row r="5118" spans="1:3">
      <c r="A5118" t="s">
        <v>863</v>
      </c>
      <c r="B5118" t="s">
        <v>1075</v>
      </c>
      <c r="C5118" t="s">
        <v>2692</v>
      </c>
    </row>
    <row r="5119" spans="1:3">
      <c r="A5119" t="s">
        <v>863</v>
      </c>
      <c r="B5119" t="s">
        <v>1075</v>
      </c>
      <c r="C5119" t="s">
        <v>2691</v>
      </c>
    </row>
    <row r="5120" spans="1:3">
      <c r="A5120" t="s">
        <v>863</v>
      </c>
      <c r="B5120" t="s">
        <v>1075</v>
      </c>
      <c r="C5120" t="s">
        <v>2690</v>
      </c>
    </row>
    <row r="5121" spans="1:3">
      <c r="A5121" t="s">
        <v>863</v>
      </c>
      <c r="B5121" t="s">
        <v>1075</v>
      </c>
      <c r="C5121" t="s">
        <v>2689</v>
      </c>
    </row>
    <row r="5122" spans="1:3">
      <c r="A5122" t="s">
        <v>863</v>
      </c>
      <c r="B5122" t="s">
        <v>1075</v>
      </c>
      <c r="C5122" t="s">
        <v>2688</v>
      </c>
    </row>
    <row r="5123" spans="1:3">
      <c r="A5123" t="s">
        <v>863</v>
      </c>
      <c r="B5123" t="s">
        <v>1075</v>
      </c>
      <c r="C5123" t="s">
        <v>2687</v>
      </c>
    </row>
    <row r="5124" spans="1:3">
      <c r="A5124" t="s">
        <v>863</v>
      </c>
      <c r="B5124" t="s">
        <v>1075</v>
      </c>
      <c r="C5124" t="s">
        <v>2686</v>
      </c>
    </row>
    <row r="5125" spans="1:3">
      <c r="A5125" t="s">
        <v>863</v>
      </c>
      <c r="B5125" t="s">
        <v>1075</v>
      </c>
      <c r="C5125" t="s">
        <v>2685</v>
      </c>
    </row>
    <row r="5126" spans="1:3">
      <c r="A5126" t="s">
        <v>863</v>
      </c>
      <c r="B5126" t="s">
        <v>1075</v>
      </c>
      <c r="C5126" t="s">
        <v>2684</v>
      </c>
    </row>
    <row r="5127" spans="1:3">
      <c r="A5127" t="s">
        <v>863</v>
      </c>
      <c r="B5127" t="s">
        <v>1075</v>
      </c>
      <c r="C5127" t="s">
        <v>2683</v>
      </c>
    </row>
    <row r="5128" spans="1:3">
      <c r="A5128" t="s">
        <v>863</v>
      </c>
      <c r="B5128" t="s">
        <v>1075</v>
      </c>
      <c r="C5128" t="s">
        <v>2682</v>
      </c>
    </row>
    <row r="5129" spans="1:3">
      <c r="A5129" t="s">
        <v>863</v>
      </c>
      <c r="B5129" t="s">
        <v>1075</v>
      </c>
      <c r="C5129" t="s">
        <v>2681</v>
      </c>
    </row>
    <row r="5130" spans="1:3">
      <c r="A5130" t="s">
        <v>863</v>
      </c>
      <c r="B5130" t="s">
        <v>1075</v>
      </c>
      <c r="C5130" t="s">
        <v>2680</v>
      </c>
    </row>
    <row r="5131" spans="1:3">
      <c r="A5131" t="s">
        <v>863</v>
      </c>
      <c r="B5131" t="s">
        <v>1075</v>
      </c>
      <c r="C5131" t="s">
        <v>2679</v>
      </c>
    </row>
    <row r="5132" spans="1:3">
      <c r="A5132" t="s">
        <v>863</v>
      </c>
      <c r="B5132" t="s">
        <v>1075</v>
      </c>
      <c r="C5132" t="s">
        <v>2678</v>
      </c>
    </row>
    <row r="5133" spans="1:3">
      <c r="A5133" t="s">
        <v>863</v>
      </c>
      <c r="B5133" t="s">
        <v>1075</v>
      </c>
      <c r="C5133" t="s">
        <v>2677</v>
      </c>
    </row>
    <row r="5134" spans="1:3">
      <c r="A5134" t="s">
        <v>863</v>
      </c>
      <c r="B5134" t="s">
        <v>1075</v>
      </c>
      <c r="C5134" t="s">
        <v>2676</v>
      </c>
    </row>
    <row r="5135" spans="1:3">
      <c r="A5135" t="s">
        <v>863</v>
      </c>
      <c r="B5135" t="s">
        <v>1075</v>
      </c>
      <c r="C5135" t="s">
        <v>2675</v>
      </c>
    </row>
    <row r="5136" spans="1:3">
      <c r="A5136" t="s">
        <v>863</v>
      </c>
      <c r="B5136" t="s">
        <v>1075</v>
      </c>
      <c r="C5136" t="s">
        <v>2674</v>
      </c>
    </row>
    <row r="5137" spans="1:3">
      <c r="A5137" t="s">
        <v>863</v>
      </c>
      <c r="B5137" t="s">
        <v>1075</v>
      </c>
      <c r="C5137" t="s">
        <v>2673</v>
      </c>
    </row>
    <row r="5138" spans="1:3">
      <c r="A5138" t="s">
        <v>863</v>
      </c>
      <c r="B5138" t="s">
        <v>1075</v>
      </c>
      <c r="C5138" t="s">
        <v>2672</v>
      </c>
    </row>
    <row r="5139" spans="1:3">
      <c r="A5139" t="s">
        <v>863</v>
      </c>
      <c r="B5139" t="s">
        <v>1075</v>
      </c>
      <c r="C5139" t="s">
        <v>2671</v>
      </c>
    </row>
    <row r="5140" spans="1:3">
      <c r="A5140" t="s">
        <v>863</v>
      </c>
      <c r="B5140" t="s">
        <v>1075</v>
      </c>
      <c r="C5140" t="s">
        <v>2670</v>
      </c>
    </row>
    <row r="5141" spans="1:3">
      <c r="A5141" t="s">
        <v>863</v>
      </c>
      <c r="B5141" t="s">
        <v>1075</v>
      </c>
      <c r="C5141" t="s">
        <v>2669</v>
      </c>
    </row>
    <row r="5142" spans="1:3">
      <c r="A5142" t="s">
        <v>863</v>
      </c>
      <c r="B5142" t="s">
        <v>1075</v>
      </c>
      <c r="C5142" t="s">
        <v>2668</v>
      </c>
    </row>
    <row r="5143" spans="1:3">
      <c r="A5143" t="s">
        <v>863</v>
      </c>
      <c r="B5143" t="s">
        <v>1075</v>
      </c>
      <c r="C5143" t="s">
        <v>2667</v>
      </c>
    </row>
    <row r="5144" spans="1:3">
      <c r="A5144" t="s">
        <v>863</v>
      </c>
      <c r="B5144" t="s">
        <v>1075</v>
      </c>
      <c r="C5144" t="s">
        <v>2666</v>
      </c>
    </row>
    <row r="5145" spans="1:3">
      <c r="A5145" t="s">
        <v>863</v>
      </c>
      <c r="B5145" t="s">
        <v>1075</v>
      </c>
      <c r="C5145" t="s">
        <v>2665</v>
      </c>
    </row>
    <row r="5146" spans="1:3">
      <c r="A5146" t="s">
        <v>863</v>
      </c>
      <c r="B5146" t="s">
        <v>1075</v>
      </c>
      <c r="C5146" t="s">
        <v>2664</v>
      </c>
    </row>
    <row r="5147" spans="1:3">
      <c r="A5147" t="s">
        <v>863</v>
      </c>
      <c r="B5147" t="s">
        <v>1075</v>
      </c>
      <c r="C5147" t="s">
        <v>2663</v>
      </c>
    </row>
    <row r="5148" spans="1:3">
      <c r="A5148" t="s">
        <v>863</v>
      </c>
      <c r="B5148" t="s">
        <v>1075</v>
      </c>
      <c r="C5148" t="s">
        <v>2662</v>
      </c>
    </row>
    <row r="5149" spans="1:3">
      <c r="A5149" t="s">
        <v>863</v>
      </c>
      <c r="B5149" t="s">
        <v>1075</v>
      </c>
      <c r="C5149" t="s">
        <v>2661</v>
      </c>
    </row>
    <row r="5150" spans="1:3">
      <c r="A5150" t="s">
        <v>863</v>
      </c>
      <c r="B5150" t="s">
        <v>1075</v>
      </c>
      <c r="C5150" t="s">
        <v>2660</v>
      </c>
    </row>
    <row r="5151" spans="1:3">
      <c r="A5151" t="s">
        <v>863</v>
      </c>
      <c r="B5151" t="s">
        <v>1075</v>
      </c>
      <c r="C5151" t="s">
        <v>2659</v>
      </c>
    </row>
    <row r="5152" spans="1:3">
      <c r="A5152" t="s">
        <v>863</v>
      </c>
      <c r="B5152" t="s">
        <v>1075</v>
      </c>
      <c r="C5152" t="s">
        <v>2658</v>
      </c>
    </row>
    <row r="5153" spans="1:3">
      <c r="A5153" t="s">
        <v>863</v>
      </c>
      <c r="B5153" t="s">
        <v>1075</v>
      </c>
      <c r="C5153" t="s">
        <v>2657</v>
      </c>
    </row>
    <row r="5154" spans="1:3">
      <c r="A5154" t="s">
        <v>863</v>
      </c>
      <c r="B5154" t="s">
        <v>1075</v>
      </c>
      <c r="C5154" t="s">
        <v>2656</v>
      </c>
    </row>
    <row r="5155" spans="1:3">
      <c r="A5155" t="s">
        <v>863</v>
      </c>
      <c r="B5155" t="s">
        <v>1075</v>
      </c>
      <c r="C5155" t="s">
        <v>2655</v>
      </c>
    </row>
    <row r="5156" spans="1:3">
      <c r="A5156" t="s">
        <v>863</v>
      </c>
      <c r="B5156" t="s">
        <v>1075</v>
      </c>
      <c r="C5156" t="s">
        <v>2654</v>
      </c>
    </row>
    <row r="5157" spans="1:3">
      <c r="A5157" t="s">
        <v>863</v>
      </c>
      <c r="B5157" t="s">
        <v>1075</v>
      </c>
      <c r="C5157" t="s">
        <v>2653</v>
      </c>
    </row>
    <row r="5158" spans="1:3">
      <c r="A5158" t="s">
        <v>863</v>
      </c>
      <c r="B5158" t="s">
        <v>1075</v>
      </c>
      <c r="C5158" t="s">
        <v>2652</v>
      </c>
    </row>
    <row r="5159" spans="1:3">
      <c r="A5159" t="s">
        <v>863</v>
      </c>
      <c r="B5159" t="s">
        <v>1075</v>
      </c>
      <c r="C5159" t="s">
        <v>2651</v>
      </c>
    </row>
    <row r="5160" spans="1:3">
      <c r="A5160" t="s">
        <v>863</v>
      </c>
      <c r="B5160" t="s">
        <v>1075</v>
      </c>
      <c r="C5160" t="s">
        <v>2650</v>
      </c>
    </row>
    <row r="5161" spans="1:3">
      <c r="A5161" t="s">
        <v>863</v>
      </c>
      <c r="B5161" t="s">
        <v>1075</v>
      </c>
      <c r="C5161" t="s">
        <v>2649</v>
      </c>
    </row>
    <row r="5162" spans="1:3">
      <c r="A5162" t="s">
        <v>863</v>
      </c>
      <c r="B5162" t="s">
        <v>1075</v>
      </c>
      <c r="C5162" t="s">
        <v>2648</v>
      </c>
    </row>
    <row r="5163" spans="1:3">
      <c r="A5163" t="s">
        <v>863</v>
      </c>
      <c r="B5163" t="s">
        <v>1075</v>
      </c>
      <c r="C5163" t="s">
        <v>2647</v>
      </c>
    </row>
    <row r="5164" spans="1:3">
      <c r="A5164" t="s">
        <v>863</v>
      </c>
      <c r="B5164" t="s">
        <v>1075</v>
      </c>
      <c r="C5164" t="s">
        <v>2646</v>
      </c>
    </row>
    <row r="5165" spans="1:3">
      <c r="A5165" t="s">
        <v>863</v>
      </c>
      <c r="B5165" t="s">
        <v>1075</v>
      </c>
      <c r="C5165" t="s">
        <v>2645</v>
      </c>
    </row>
    <row r="5166" spans="1:3">
      <c r="A5166" t="s">
        <v>863</v>
      </c>
      <c r="B5166" t="s">
        <v>1075</v>
      </c>
      <c r="C5166" t="s">
        <v>2644</v>
      </c>
    </row>
    <row r="5167" spans="1:3">
      <c r="A5167" t="s">
        <v>863</v>
      </c>
      <c r="B5167" t="s">
        <v>1075</v>
      </c>
      <c r="C5167" t="s">
        <v>2643</v>
      </c>
    </row>
    <row r="5168" spans="1:3">
      <c r="A5168" t="s">
        <v>863</v>
      </c>
      <c r="B5168" t="s">
        <v>1075</v>
      </c>
      <c r="C5168" t="s">
        <v>2642</v>
      </c>
    </row>
    <row r="5169" spans="1:3">
      <c r="A5169" t="s">
        <v>863</v>
      </c>
      <c r="B5169" t="s">
        <v>1075</v>
      </c>
      <c r="C5169" t="s">
        <v>2641</v>
      </c>
    </row>
    <row r="5170" spans="1:3">
      <c r="A5170" t="s">
        <v>863</v>
      </c>
      <c r="B5170" t="s">
        <v>1075</v>
      </c>
      <c r="C5170" t="s">
        <v>2640</v>
      </c>
    </row>
    <row r="5171" spans="1:3">
      <c r="A5171" t="s">
        <v>863</v>
      </c>
      <c r="B5171" t="s">
        <v>1075</v>
      </c>
      <c r="C5171" t="s">
        <v>2639</v>
      </c>
    </row>
    <row r="5172" spans="1:3">
      <c r="A5172" t="s">
        <v>863</v>
      </c>
      <c r="B5172" t="s">
        <v>1075</v>
      </c>
      <c r="C5172" t="s">
        <v>2638</v>
      </c>
    </row>
    <row r="5173" spans="1:3">
      <c r="A5173" t="s">
        <v>863</v>
      </c>
      <c r="B5173" t="s">
        <v>1075</v>
      </c>
      <c r="C5173" t="s">
        <v>2637</v>
      </c>
    </row>
    <row r="5174" spans="1:3">
      <c r="A5174" t="s">
        <v>863</v>
      </c>
      <c r="B5174" t="s">
        <v>1075</v>
      </c>
      <c r="C5174" t="s">
        <v>2636</v>
      </c>
    </row>
    <row r="5175" spans="1:3">
      <c r="A5175" t="s">
        <v>863</v>
      </c>
      <c r="B5175" t="s">
        <v>1075</v>
      </c>
      <c r="C5175" t="s">
        <v>2635</v>
      </c>
    </row>
    <row r="5176" spans="1:3">
      <c r="A5176" t="s">
        <v>868</v>
      </c>
      <c r="B5176" t="s">
        <v>1070</v>
      </c>
      <c r="C5176" t="s">
        <v>2548</v>
      </c>
    </row>
    <row r="5177" spans="1:3">
      <c r="A5177" t="s">
        <v>868</v>
      </c>
      <c r="B5177" t="s">
        <v>1070</v>
      </c>
      <c r="C5177" t="s">
        <v>2547</v>
      </c>
    </row>
    <row r="5178" spans="1:3">
      <c r="A5178" t="s">
        <v>868</v>
      </c>
      <c r="B5178" t="s">
        <v>1070</v>
      </c>
      <c r="C5178" t="s">
        <v>2546</v>
      </c>
    </row>
    <row r="5179" spans="1:3">
      <c r="A5179" t="s">
        <v>868</v>
      </c>
      <c r="B5179" t="s">
        <v>1070</v>
      </c>
      <c r="C5179" t="s">
        <v>2545</v>
      </c>
    </row>
    <row r="5180" spans="1:3">
      <c r="A5180" t="s">
        <v>868</v>
      </c>
      <c r="B5180" t="s">
        <v>1070</v>
      </c>
      <c r="C5180" t="s">
        <v>2544</v>
      </c>
    </row>
    <row r="5181" spans="1:3">
      <c r="A5181" t="s">
        <v>868</v>
      </c>
      <c r="B5181" t="s">
        <v>1070</v>
      </c>
      <c r="C5181" t="s">
        <v>2543</v>
      </c>
    </row>
    <row r="5182" spans="1:3">
      <c r="A5182" t="s">
        <v>868</v>
      </c>
      <c r="B5182" t="s">
        <v>1070</v>
      </c>
      <c r="C5182" t="s">
        <v>2542</v>
      </c>
    </row>
    <row r="5183" spans="1:3">
      <c r="A5183" t="s">
        <v>868</v>
      </c>
      <c r="B5183" t="s">
        <v>1075</v>
      </c>
      <c r="C5183" t="s">
        <v>2625</v>
      </c>
    </row>
    <row r="5184" spans="1:3">
      <c r="A5184" t="s">
        <v>868</v>
      </c>
      <c r="B5184" t="s">
        <v>1075</v>
      </c>
      <c r="C5184" t="s">
        <v>2624</v>
      </c>
    </row>
    <row r="5185" spans="1:3">
      <c r="A5185" t="s">
        <v>868</v>
      </c>
      <c r="B5185" t="s">
        <v>1075</v>
      </c>
      <c r="C5185" t="s">
        <v>2623</v>
      </c>
    </row>
    <row r="5186" spans="1:3">
      <c r="A5186" t="s">
        <v>868</v>
      </c>
      <c r="B5186" t="s">
        <v>1075</v>
      </c>
      <c r="C5186" t="s">
        <v>2622</v>
      </c>
    </row>
    <row r="5187" spans="1:3">
      <c r="A5187" t="s">
        <v>868</v>
      </c>
      <c r="B5187" t="s">
        <v>1075</v>
      </c>
      <c r="C5187" t="s">
        <v>2621</v>
      </c>
    </row>
    <row r="5188" spans="1:3">
      <c r="A5188" t="s">
        <v>868</v>
      </c>
      <c r="B5188" t="s">
        <v>1075</v>
      </c>
      <c r="C5188" t="s">
        <v>2620</v>
      </c>
    </row>
    <row r="5189" spans="1:3">
      <c r="A5189" t="s">
        <v>868</v>
      </c>
      <c r="B5189" t="s">
        <v>1075</v>
      </c>
      <c r="C5189" t="s">
        <v>2619</v>
      </c>
    </row>
    <row r="5190" spans="1:3">
      <c r="A5190" t="s">
        <v>868</v>
      </c>
      <c r="B5190" t="s">
        <v>1075</v>
      </c>
      <c r="C5190" t="s">
        <v>2618</v>
      </c>
    </row>
    <row r="5191" spans="1:3">
      <c r="A5191" t="s">
        <v>868</v>
      </c>
      <c r="B5191" t="s">
        <v>1075</v>
      </c>
      <c r="C5191" t="s">
        <v>2617</v>
      </c>
    </row>
    <row r="5192" spans="1:3">
      <c r="A5192" t="s">
        <v>868</v>
      </c>
      <c r="B5192" t="s">
        <v>1075</v>
      </c>
      <c r="C5192" t="s">
        <v>2616</v>
      </c>
    </row>
    <row r="5193" spans="1:3">
      <c r="A5193" t="s">
        <v>868</v>
      </c>
      <c r="B5193" t="s">
        <v>1075</v>
      </c>
      <c r="C5193" t="s">
        <v>2615</v>
      </c>
    </row>
    <row r="5194" spans="1:3">
      <c r="A5194" t="s">
        <v>868</v>
      </c>
      <c r="B5194" t="s">
        <v>1075</v>
      </c>
      <c r="C5194" t="s">
        <v>2614</v>
      </c>
    </row>
    <row r="5195" spans="1:3">
      <c r="A5195" t="s">
        <v>868</v>
      </c>
      <c r="B5195" t="s">
        <v>1075</v>
      </c>
      <c r="C5195" t="s">
        <v>2613</v>
      </c>
    </row>
    <row r="5196" spans="1:3">
      <c r="A5196" t="s">
        <v>868</v>
      </c>
      <c r="B5196" t="s">
        <v>1075</v>
      </c>
      <c r="C5196" t="s">
        <v>2612</v>
      </c>
    </row>
    <row r="5197" spans="1:3">
      <c r="A5197" t="s">
        <v>868</v>
      </c>
      <c r="B5197" t="s">
        <v>1075</v>
      </c>
      <c r="C5197" t="s">
        <v>2611</v>
      </c>
    </row>
    <row r="5198" spans="1:3">
      <c r="A5198" t="s">
        <v>868</v>
      </c>
      <c r="B5198" t="s">
        <v>1075</v>
      </c>
      <c r="C5198" t="s">
        <v>2610</v>
      </c>
    </row>
    <row r="5199" spans="1:3">
      <c r="A5199" t="s">
        <v>868</v>
      </c>
      <c r="B5199" t="s">
        <v>1075</v>
      </c>
      <c r="C5199" t="s">
        <v>2609</v>
      </c>
    </row>
    <row r="5200" spans="1:3">
      <c r="A5200" t="s">
        <v>868</v>
      </c>
      <c r="B5200" t="s">
        <v>1075</v>
      </c>
      <c r="C5200" t="s">
        <v>2608</v>
      </c>
    </row>
    <row r="5201" spans="1:3">
      <c r="A5201" t="s">
        <v>868</v>
      </c>
      <c r="B5201" t="s">
        <v>1075</v>
      </c>
      <c r="C5201" t="s">
        <v>2607</v>
      </c>
    </row>
    <row r="5202" spans="1:3">
      <c r="A5202" t="s">
        <v>868</v>
      </c>
      <c r="B5202" t="s">
        <v>1075</v>
      </c>
      <c r="C5202" t="s">
        <v>2606</v>
      </c>
    </row>
    <row r="5203" spans="1:3">
      <c r="A5203" t="s">
        <v>868</v>
      </c>
      <c r="B5203" t="s">
        <v>1075</v>
      </c>
      <c r="C5203" t="s">
        <v>2605</v>
      </c>
    </row>
    <row r="5204" spans="1:3">
      <c r="A5204" t="s">
        <v>868</v>
      </c>
      <c r="B5204" t="s">
        <v>1075</v>
      </c>
      <c r="C5204" t="s">
        <v>2604</v>
      </c>
    </row>
    <row r="5205" spans="1:3">
      <c r="A5205" t="s">
        <v>868</v>
      </c>
      <c r="B5205" t="s">
        <v>1075</v>
      </c>
      <c r="C5205" t="s">
        <v>2603</v>
      </c>
    </row>
    <row r="5206" spans="1:3">
      <c r="A5206" t="s">
        <v>868</v>
      </c>
      <c r="B5206" t="s">
        <v>1075</v>
      </c>
      <c r="C5206" t="s">
        <v>2602</v>
      </c>
    </row>
    <row r="5207" spans="1:3">
      <c r="A5207" t="s">
        <v>868</v>
      </c>
      <c r="B5207" t="s">
        <v>1075</v>
      </c>
      <c r="C5207" t="s">
        <v>2601</v>
      </c>
    </row>
    <row r="5208" spans="1:3">
      <c r="A5208" t="s">
        <v>868</v>
      </c>
      <c r="B5208" t="s">
        <v>1075</v>
      </c>
      <c r="C5208" t="s">
        <v>2600</v>
      </c>
    </row>
    <row r="5209" spans="1:3">
      <c r="A5209" t="s">
        <v>868</v>
      </c>
      <c r="B5209" t="s">
        <v>1075</v>
      </c>
      <c r="C5209" t="s">
        <v>2599</v>
      </c>
    </row>
    <row r="5210" spans="1:3">
      <c r="A5210" t="s">
        <v>868</v>
      </c>
      <c r="B5210" t="s">
        <v>1075</v>
      </c>
      <c r="C5210" t="s">
        <v>2598</v>
      </c>
    </row>
    <row r="5211" spans="1:3">
      <c r="A5211" t="s">
        <v>868</v>
      </c>
      <c r="B5211" t="s">
        <v>1075</v>
      </c>
      <c r="C5211" t="s">
        <v>2597</v>
      </c>
    </row>
    <row r="5212" spans="1:3">
      <c r="A5212" t="s">
        <v>868</v>
      </c>
      <c r="B5212" t="s">
        <v>1075</v>
      </c>
      <c r="C5212" t="s">
        <v>2596</v>
      </c>
    </row>
    <row r="5213" spans="1:3">
      <c r="A5213" t="s">
        <v>868</v>
      </c>
      <c r="B5213" t="s">
        <v>1075</v>
      </c>
      <c r="C5213" t="s">
        <v>2595</v>
      </c>
    </row>
    <row r="5214" spans="1:3">
      <c r="A5214" t="s">
        <v>868</v>
      </c>
      <c r="B5214" t="s">
        <v>1075</v>
      </c>
      <c r="C5214" t="s">
        <v>2594</v>
      </c>
    </row>
    <row r="5215" spans="1:3">
      <c r="A5215" t="s">
        <v>868</v>
      </c>
      <c r="B5215" t="s">
        <v>1075</v>
      </c>
      <c r="C5215" t="s">
        <v>2593</v>
      </c>
    </row>
    <row r="5216" spans="1:3">
      <c r="A5216" t="s">
        <v>868</v>
      </c>
      <c r="B5216" t="s">
        <v>1075</v>
      </c>
      <c r="C5216" t="s">
        <v>2592</v>
      </c>
    </row>
    <row r="5217" spans="1:3">
      <c r="A5217" t="s">
        <v>868</v>
      </c>
      <c r="B5217" t="s">
        <v>1075</v>
      </c>
      <c r="C5217" t="s">
        <v>2591</v>
      </c>
    </row>
    <row r="5218" spans="1:3">
      <c r="A5218" t="s">
        <v>868</v>
      </c>
      <c r="B5218" t="s">
        <v>1075</v>
      </c>
      <c r="C5218" t="s">
        <v>2590</v>
      </c>
    </row>
    <row r="5219" spans="1:3">
      <c r="A5219" t="s">
        <v>868</v>
      </c>
      <c r="B5219" t="s">
        <v>1075</v>
      </c>
      <c r="C5219" t="s">
        <v>2589</v>
      </c>
    </row>
    <row r="5220" spans="1:3">
      <c r="A5220" t="s">
        <v>868</v>
      </c>
      <c r="B5220" t="s">
        <v>1075</v>
      </c>
      <c r="C5220" t="s">
        <v>2588</v>
      </c>
    </row>
    <row r="5221" spans="1:3">
      <c r="A5221" t="s">
        <v>868</v>
      </c>
      <c r="B5221" t="s">
        <v>1075</v>
      </c>
      <c r="C5221" t="s">
        <v>2587</v>
      </c>
    </row>
    <row r="5222" spans="1:3">
      <c r="A5222" t="s">
        <v>868</v>
      </c>
      <c r="B5222" t="s">
        <v>1075</v>
      </c>
      <c r="C5222" t="s">
        <v>2586</v>
      </c>
    </row>
    <row r="5223" spans="1:3">
      <c r="A5223" t="s">
        <v>868</v>
      </c>
      <c r="B5223" t="s">
        <v>1075</v>
      </c>
      <c r="C5223" t="s">
        <v>2585</v>
      </c>
    </row>
    <row r="5224" spans="1:3">
      <c r="A5224" t="s">
        <v>868</v>
      </c>
      <c r="B5224" t="s">
        <v>1075</v>
      </c>
      <c r="C5224" t="s">
        <v>2584</v>
      </c>
    </row>
    <row r="5225" spans="1:3">
      <c r="A5225" t="s">
        <v>868</v>
      </c>
      <c r="B5225" t="s">
        <v>1075</v>
      </c>
      <c r="C5225" t="s">
        <v>2583</v>
      </c>
    </row>
    <row r="5226" spans="1:3">
      <c r="A5226" t="s">
        <v>868</v>
      </c>
      <c r="B5226" t="s">
        <v>1075</v>
      </c>
      <c r="C5226" t="s">
        <v>2582</v>
      </c>
    </row>
    <row r="5227" spans="1:3">
      <c r="A5227" t="s">
        <v>868</v>
      </c>
      <c r="B5227" t="s">
        <v>1075</v>
      </c>
      <c r="C5227" t="s">
        <v>2581</v>
      </c>
    </row>
    <row r="5228" spans="1:3">
      <c r="A5228" t="s">
        <v>868</v>
      </c>
      <c r="B5228" t="s">
        <v>1075</v>
      </c>
      <c r="C5228" t="s">
        <v>2580</v>
      </c>
    </row>
    <row r="5229" spans="1:3">
      <c r="A5229" t="s">
        <v>868</v>
      </c>
      <c r="B5229" t="s">
        <v>1075</v>
      </c>
      <c r="C5229" t="s">
        <v>2579</v>
      </c>
    </row>
    <row r="5230" spans="1:3">
      <c r="A5230" t="s">
        <v>868</v>
      </c>
      <c r="B5230" t="s">
        <v>1075</v>
      </c>
      <c r="C5230" t="s">
        <v>2578</v>
      </c>
    </row>
    <row r="5231" spans="1:3">
      <c r="A5231" t="s">
        <v>868</v>
      </c>
      <c r="B5231" t="s">
        <v>1075</v>
      </c>
      <c r="C5231" t="s">
        <v>2577</v>
      </c>
    </row>
    <row r="5232" spans="1:3">
      <c r="A5232" t="s">
        <v>868</v>
      </c>
      <c r="B5232" t="s">
        <v>1075</v>
      </c>
      <c r="C5232" t="s">
        <v>2576</v>
      </c>
    </row>
    <row r="5233" spans="1:3">
      <c r="A5233" t="s">
        <v>868</v>
      </c>
      <c r="B5233" t="s">
        <v>1075</v>
      </c>
      <c r="C5233" t="s">
        <v>2575</v>
      </c>
    </row>
    <row r="5234" spans="1:3">
      <c r="A5234" t="s">
        <v>868</v>
      </c>
      <c r="B5234" t="s">
        <v>1075</v>
      </c>
      <c r="C5234" t="s">
        <v>2574</v>
      </c>
    </row>
    <row r="5235" spans="1:3">
      <c r="A5235" t="s">
        <v>868</v>
      </c>
      <c r="B5235" t="s">
        <v>1075</v>
      </c>
      <c r="C5235" t="s">
        <v>2573</v>
      </c>
    </row>
    <row r="5236" spans="1:3">
      <c r="A5236" t="s">
        <v>868</v>
      </c>
      <c r="B5236" t="s">
        <v>1075</v>
      </c>
      <c r="C5236" t="s">
        <v>2572</v>
      </c>
    </row>
    <row r="5237" spans="1:3">
      <c r="A5237" t="s">
        <v>868</v>
      </c>
      <c r="B5237" t="s">
        <v>1075</v>
      </c>
      <c r="C5237" t="s">
        <v>2571</v>
      </c>
    </row>
    <row r="5238" spans="1:3">
      <c r="A5238" t="s">
        <v>868</v>
      </c>
      <c r="B5238" t="s">
        <v>1075</v>
      </c>
      <c r="C5238" t="s">
        <v>2570</v>
      </c>
    </row>
    <row r="5239" spans="1:3">
      <c r="A5239" t="s">
        <v>868</v>
      </c>
      <c r="B5239" t="s">
        <v>1075</v>
      </c>
      <c r="C5239" t="s">
        <v>2569</v>
      </c>
    </row>
    <row r="5240" spans="1:3">
      <c r="A5240" t="s">
        <v>868</v>
      </c>
      <c r="B5240" t="s">
        <v>1075</v>
      </c>
      <c r="C5240" t="s">
        <v>2568</v>
      </c>
    </row>
    <row r="5241" spans="1:3">
      <c r="A5241" t="s">
        <v>868</v>
      </c>
      <c r="B5241" t="s">
        <v>1075</v>
      </c>
      <c r="C5241" t="s">
        <v>2567</v>
      </c>
    </row>
    <row r="5242" spans="1:3">
      <c r="A5242" t="s">
        <v>868</v>
      </c>
      <c r="B5242" t="s">
        <v>1075</v>
      </c>
      <c r="C5242" t="s">
        <v>2566</v>
      </c>
    </row>
    <row r="5243" spans="1:3">
      <c r="A5243" t="s">
        <v>868</v>
      </c>
      <c r="B5243" t="s">
        <v>1075</v>
      </c>
      <c r="C5243" t="s">
        <v>2565</v>
      </c>
    </row>
    <row r="5244" spans="1:3">
      <c r="A5244" t="s">
        <v>868</v>
      </c>
      <c r="B5244" t="s">
        <v>1075</v>
      </c>
      <c r="C5244" t="s">
        <v>2564</v>
      </c>
    </row>
    <row r="5245" spans="1:3">
      <c r="A5245" t="s">
        <v>868</v>
      </c>
      <c r="B5245" t="s">
        <v>1075</v>
      </c>
      <c r="C5245" t="s">
        <v>2563</v>
      </c>
    </row>
    <row r="5246" spans="1:3">
      <c r="A5246" t="s">
        <v>868</v>
      </c>
      <c r="B5246" t="s">
        <v>1075</v>
      </c>
      <c r="C5246" t="s">
        <v>2562</v>
      </c>
    </row>
    <row r="5247" spans="1:3">
      <c r="A5247" t="s">
        <v>868</v>
      </c>
      <c r="B5247" t="s">
        <v>1075</v>
      </c>
      <c r="C5247" t="s">
        <v>2561</v>
      </c>
    </row>
    <row r="5248" spans="1:3">
      <c r="A5248" t="s">
        <v>868</v>
      </c>
      <c r="B5248" t="s">
        <v>1075</v>
      </c>
      <c r="C5248" t="s">
        <v>2560</v>
      </c>
    </row>
    <row r="5249" spans="1:3">
      <c r="A5249" t="s">
        <v>868</v>
      </c>
      <c r="B5249" t="s">
        <v>1075</v>
      </c>
      <c r="C5249" t="s">
        <v>2559</v>
      </c>
    </row>
    <row r="5250" spans="1:3">
      <c r="A5250" t="s">
        <v>868</v>
      </c>
      <c r="B5250" t="s">
        <v>1075</v>
      </c>
      <c r="C5250" t="s">
        <v>2558</v>
      </c>
    </row>
    <row r="5251" spans="1:3">
      <c r="A5251" t="s">
        <v>868</v>
      </c>
      <c r="B5251" t="s">
        <v>1075</v>
      </c>
      <c r="C5251" t="s">
        <v>2557</v>
      </c>
    </row>
    <row r="5252" spans="1:3">
      <c r="A5252" t="s">
        <v>868</v>
      </c>
      <c r="B5252" t="s">
        <v>1075</v>
      </c>
      <c r="C5252" t="s">
        <v>2556</v>
      </c>
    </row>
    <row r="5253" spans="1:3">
      <c r="A5253" t="s">
        <v>868</v>
      </c>
      <c r="B5253" t="s">
        <v>1075</v>
      </c>
      <c r="C5253" t="s">
        <v>2555</v>
      </c>
    </row>
    <row r="5254" spans="1:3">
      <c r="A5254" t="s">
        <v>868</v>
      </c>
      <c r="B5254" t="s">
        <v>1075</v>
      </c>
      <c r="C5254" t="s">
        <v>2554</v>
      </c>
    </row>
    <row r="5255" spans="1:3">
      <c r="A5255" t="s">
        <v>868</v>
      </c>
      <c r="B5255" t="s">
        <v>1075</v>
      </c>
      <c r="C5255" t="s">
        <v>2553</v>
      </c>
    </row>
    <row r="5256" spans="1:3">
      <c r="A5256" t="s">
        <v>868</v>
      </c>
      <c r="B5256" t="s">
        <v>1075</v>
      </c>
      <c r="C5256" t="s">
        <v>2552</v>
      </c>
    </row>
    <row r="5257" spans="1:3">
      <c r="A5257" t="s">
        <v>868</v>
      </c>
      <c r="B5257" t="s">
        <v>1075</v>
      </c>
      <c r="C5257" t="s">
        <v>2551</v>
      </c>
    </row>
    <row r="5258" spans="1:3">
      <c r="A5258" t="s">
        <v>868</v>
      </c>
      <c r="B5258" t="s">
        <v>1075</v>
      </c>
      <c r="C5258" t="s">
        <v>2550</v>
      </c>
    </row>
    <row r="5259" spans="1:3">
      <c r="A5259" t="s">
        <v>868</v>
      </c>
      <c r="B5259" t="s">
        <v>1075</v>
      </c>
      <c r="C5259" t="s">
        <v>2549</v>
      </c>
    </row>
    <row r="5260" spans="1:3">
      <c r="A5260" t="s">
        <v>864</v>
      </c>
      <c r="B5260" t="s">
        <v>1070</v>
      </c>
      <c r="C5260" t="s">
        <v>2480</v>
      </c>
    </row>
    <row r="5261" spans="1:3">
      <c r="A5261" t="s">
        <v>864</v>
      </c>
      <c r="B5261" t="s">
        <v>1070</v>
      </c>
      <c r="C5261" t="s">
        <v>2479</v>
      </c>
    </row>
    <row r="5262" spans="1:3">
      <c r="A5262" t="s">
        <v>864</v>
      </c>
      <c r="B5262" t="s">
        <v>1070</v>
      </c>
      <c r="C5262" t="s">
        <v>2478</v>
      </c>
    </row>
    <row r="5263" spans="1:3">
      <c r="A5263" t="s">
        <v>864</v>
      </c>
      <c r="B5263" t="s">
        <v>1070</v>
      </c>
      <c r="C5263" t="s">
        <v>2477</v>
      </c>
    </row>
    <row r="5264" spans="1:3">
      <c r="A5264" t="s">
        <v>864</v>
      </c>
      <c r="B5264" t="s">
        <v>1070</v>
      </c>
      <c r="C5264" t="s">
        <v>2476</v>
      </c>
    </row>
    <row r="5265" spans="1:3">
      <c r="A5265" t="s">
        <v>864</v>
      </c>
      <c r="B5265" t="s">
        <v>1070</v>
      </c>
      <c r="C5265" t="s">
        <v>2475</v>
      </c>
    </row>
    <row r="5266" spans="1:3">
      <c r="A5266" t="s">
        <v>864</v>
      </c>
      <c r="B5266" t="s">
        <v>1070</v>
      </c>
      <c r="C5266" t="s">
        <v>2474</v>
      </c>
    </row>
    <row r="5267" spans="1:3">
      <c r="A5267" t="s">
        <v>864</v>
      </c>
      <c r="B5267" t="s">
        <v>1070</v>
      </c>
      <c r="C5267" t="s">
        <v>2473</v>
      </c>
    </row>
    <row r="5268" spans="1:3">
      <c r="A5268" t="s">
        <v>864</v>
      </c>
      <c r="B5268" t="s">
        <v>1075</v>
      </c>
      <c r="C5268" t="s">
        <v>2541</v>
      </c>
    </row>
    <row r="5269" spans="1:3">
      <c r="A5269" t="s">
        <v>864</v>
      </c>
      <c r="B5269" t="s">
        <v>1075</v>
      </c>
      <c r="C5269" t="s">
        <v>2540</v>
      </c>
    </row>
    <row r="5270" spans="1:3">
      <c r="A5270" t="s">
        <v>864</v>
      </c>
      <c r="B5270" t="s">
        <v>1075</v>
      </c>
      <c r="C5270" t="s">
        <v>2539</v>
      </c>
    </row>
    <row r="5271" spans="1:3">
      <c r="A5271" t="s">
        <v>864</v>
      </c>
      <c r="B5271" t="s">
        <v>1075</v>
      </c>
      <c r="C5271" t="s">
        <v>2538</v>
      </c>
    </row>
    <row r="5272" spans="1:3">
      <c r="A5272" t="s">
        <v>864</v>
      </c>
      <c r="B5272" t="s">
        <v>1075</v>
      </c>
      <c r="C5272" t="s">
        <v>2537</v>
      </c>
    </row>
    <row r="5273" spans="1:3">
      <c r="A5273" t="s">
        <v>864</v>
      </c>
      <c r="B5273" t="s">
        <v>1075</v>
      </c>
      <c r="C5273" t="s">
        <v>2536</v>
      </c>
    </row>
    <row r="5274" spans="1:3">
      <c r="A5274" t="s">
        <v>864</v>
      </c>
      <c r="B5274" t="s">
        <v>1075</v>
      </c>
      <c r="C5274" t="s">
        <v>2535</v>
      </c>
    </row>
    <row r="5275" spans="1:3">
      <c r="A5275" t="s">
        <v>864</v>
      </c>
      <c r="B5275" t="s">
        <v>1075</v>
      </c>
      <c r="C5275" t="s">
        <v>2534</v>
      </c>
    </row>
    <row r="5276" spans="1:3">
      <c r="A5276" t="s">
        <v>864</v>
      </c>
      <c r="B5276" t="s">
        <v>1075</v>
      </c>
      <c r="C5276" t="s">
        <v>2533</v>
      </c>
    </row>
    <row r="5277" spans="1:3">
      <c r="A5277" t="s">
        <v>864</v>
      </c>
      <c r="B5277" t="s">
        <v>1075</v>
      </c>
      <c r="C5277" t="s">
        <v>2532</v>
      </c>
    </row>
    <row r="5278" spans="1:3">
      <c r="A5278" t="s">
        <v>864</v>
      </c>
      <c r="B5278" t="s">
        <v>1075</v>
      </c>
      <c r="C5278" t="s">
        <v>2531</v>
      </c>
    </row>
    <row r="5279" spans="1:3">
      <c r="A5279" t="s">
        <v>864</v>
      </c>
      <c r="B5279" t="s">
        <v>1075</v>
      </c>
      <c r="C5279" t="s">
        <v>2530</v>
      </c>
    </row>
    <row r="5280" spans="1:3">
      <c r="A5280" t="s">
        <v>864</v>
      </c>
      <c r="B5280" t="s">
        <v>1075</v>
      </c>
      <c r="C5280" t="s">
        <v>2529</v>
      </c>
    </row>
    <row r="5281" spans="1:3">
      <c r="A5281" t="s">
        <v>864</v>
      </c>
      <c r="B5281" t="s">
        <v>1075</v>
      </c>
      <c r="C5281" t="s">
        <v>2528</v>
      </c>
    </row>
    <row r="5282" spans="1:3">
      <c r="A5282" t="s">
        <v>864</v>
      </c>
      <c r="B5282" t="s">
        <v>1075</v>
      </c>
      <c r="C5282" t="s">
        <v>2527</v>
      </c>
    </row>
    <row r="5283" spans="1:3">
      <c r="A5283" t="s">
        <v>864</v>
      </c>
      <c r="B5283" t="s">
        <v>1075</v>
      </c>
      <c r="C5283" t="s">
        <v>2526</v>
      </c>
    </row>
    <row r="5284" spans="1:3">
      <c r="A5284" t="s">
        <v>864</v>
      </c>
      <c r="B5284" t="s">
        <v>1075</v>
      </c>
      <c r="C5284" t="s">
        <v>2525</v>
      </c>
    </row>
    <row r="5285" spans="1:3">
      <c r="A5285" t="s">
        <v>864</v>
      </c>
      <c r="B5285" t="s">
        <v>1075</v>
      </c>
      <c r="C5285" t="s">
        <v>2524</v>
      </c>
    </row>
    <row r="5286" spans="1:3">
      <c r="A5286" t="s">
        <v>864</v>
      </c>
      <c r="B5286" t="s">
        <v>1075</v>
      </c>
      <c r="C5286" t="s">
        <v>2523</v>
      </c>
    </row>
    <row r="5287" spans="1:3">
      <c r="A5287" t="s">
        <v>864</v>
      </c>
      <c r="B5287" t="s">
        <v>1075</v>
      </c>
      <c r="C5287" t="s">
        <v>2522</v>
      </c>
    </row>
    <row r="5288" spans="1:3">
      <c r="A5288" t="s">
        <v>864</v>
      </c>
      <c r="B5288" t="s">
        <v>1075</v>
      </c>
      <c r="C5288" t="s">
        <v>2521</v>
      </c>
    </row>
    <row r="5289" spans="1:3">
      <c r="A5289" t="s">
        <v>864</v>
      </c>
      <c r="B5289" t="s">
        <v>1075</v>
      </c>
      <c r="C5289" t="s">
        <v>2520</v>
      </c>
    </row>
    <row r="5290" spans="1:3">
      <c r="A5290" t="s">
        <v>864</v>
      </c>
      <c r="B5290" t="s">
        <v>1075</v>
      </c>
      <c r="C5290" t="s">
        <v>2519</v>
      </c>
    </row>
    <row r="5291" spans="1:3">
      <c r="A5291" t="s">
        <v>864</v>
      </c>
      <c r="B5291" t="s">
        <v>1075</v>
      </c>
      <c r="C5291" t="s">
        <v>2518</v>
      </c>
    </row>
    <row r="5292" spans="1:3">
      <c r="A5292" t="s">
        <v>864</v>
      </c>
      <c r="B5292" t="s">
        <v>1075</v>
      </c>
      <c r="C5292" t="s">
        <v>2517</v>
      </c>
    </row>
    <row r="5293" spans="1:3">
      <c r="A5293" t="s">
        <v>864</v>
      </c>
      <c r="B5293" t="s">
        <v>1075</v>
      </c>
      <c r="C5293" t="s">
        <v>2516</v>
      </c>
    </row>
    <row r="5294" spans="1:3">
      <c r="A5294" t="s">
        <v>864</v>
      </c>
      <c r="B5294" t="s">
        <v>1075</v>
      </c>
      <c r="C5294" t="s">
        <v>2515</v>
      </c>
    </row>
    <row r="5295" spans="1:3">
      <c r="A5295" t="s">
        <v>864</v>
      </c>
      <c r="B5295" t="s">
        <v>1075</v>
      </c>
      <c r="C5295" t="s">
        <v>2514</v>
      </c>
    </row>
    <row r="5296" spans="1:3">
      <c r="A5296" t="s">
        <v>864</v>
      </c>
      <c r="B5296" t="s">
        <v>1075</v>
      </c>
      <c r="C5296" t="s">
        <v>2513</v>
      </c>
    </row>
    <row r="5297" spans="1:3">
      <c r="A5297" t="s">
        <v>864</v>
      </c>
      <c r="B5297" t="s">
        <v>1075</v>
      </c>
      <c r="C5297" t="s">
        <v>2512</v>
      </c>
    </row>
    <row r="5298" spans="1:3">
      <c r="A5298" t="s">
        <v>864</v>
      </c>
      <c r="B5298" t="s">
        <v>1075</v>
      </c>
      <c r="C5298" t="s">
        <v>2511</v>
      </c>
    </row>
    <row r="5299" spans="1:3">
      <c r="A5299" t="s">
        <v>864</v>
      </c>
      <c r="B5299" t="s">
        <v>1075</v>
      </c>
      <c r="C5299" t="s">
        <v>2510</v>
      </c>
    </row>
    <row r="5300" spans="1:3">
      <c r="A5300" t="s">
        <v>864</v>
      </c>
      <c r="B5300" t="s">
        <v>1075</v>
      </c>
      <c r="C5300" t="s">
        <v>2509</v>
      </c>
    </row>
    <row r="5301" spans="1:3">
      <c r="A5301" t="s">
        <v>864</v>
      </c>
      <c r="B5301" t="s">
        <v>1075</v>
      </c>
      <c r="C5301" t="s">
        <v>2508</v>
      </c>
    </row>
    <row r="5302" spans="1:3">
      <c r="A5302" t="s">
        <v>864</v>
      </c>
      <c r="B5302" t="s">
        <v>1075</v>
      </c>
      <c r="C5302" t="s">
        <v>2507</v>
      </c>
    </row>
    <row r="5303" spans="1:3">
      <c r="A5303" t="s">
        <v>864</v>
      </c>
      <c r="B5303" t="s">
        <v>1075</v>
      </c>
      <c r="C5303" t="s">
        <v>2506</v>
      </c>
    </row>
    <row r="5304" spans="1:3">
      <c r="A5304" t="s">
        <v>864</v>
      </c>
      <c r="B5304" t="s">
        <v>1075</v>
      </c>
      <c r="C5304" t="s">
        <v>2505</v>
      </c>
    </row>
    <row r="5305" spans="1:3">
      <c r="A5305" t="s">
        <v>864</v>
      </c>
      <c r="B5305" t="s">
        <v>1075</v>
      </c>
      <c r="C5305" t="s">
        <v>2504</v>
      </c>
    </row>
    <row r="5306" spans="1:3">
      <c r="A5306" t="s">
        <v>864</v>
      </c>
      <c r="B5306" t="s">
        <v>1075</v>
      </c>
      <c r="C5306" t="s">
        <v>2503</v>
      </c>
    </row>
    <row r="5307" spans="1:3">
      <c r="A5307" t="s">
        <v>864</v>
      </c>
      <c r="B5307" t="s">
        <v>1075</v>
      </c>
      <c r="C5307" t="s">
        <v>2502</v>
      </c>
    </row>
    <row r="5308" spans="1:3">
      <c r="A5308" t="s">
        <v>864</v>
      </c>
      <c r="B5308" t="s">
        <v>1075</v>
      </c>
      <c r="C5308" t="s">
        <v>2501</v>
      </c>
    </row>
    <row r="5309" spans="1:3">
      <c r="A5309" t="s">
        <v>864</v>
      </c>
      <c r="B5309" t="s">
        <v>1075</v>
      </c>
      <c r="C5309" t="s">
        <v>2500</v>
      </c>
    </row>
    <row r="5310" spans="1:3">
      <c r="A5310" t="s">
        <v>864</v>
      </c>
      <c r="B5310" t="s">
        <v>1075</v>
      </c>
      <c r="C5310" t="s">
        <v>2499</v>
      </c>
    </row>
    <row r="5311" spans="1:3">
      <c r="A5311" t="s">
        <v>864</v>
      </c>
      <c r="B5311" t="s">
        <v>1075</v>
      </c>
      <c r="C5311" t="s">
        <v>2498</v>
      </c>
    </row>
    <row r="5312" spans="1:3">
      <c r="A5312" t="s">
        <v>864</v>
      </c>
      <c r="B5312" t="s">
        <v>1075</v>
      </c>
      <c r="C5312" t="s">
        <v>2497</v>
      </c>
    </row>
    <row r="5313" spans="1:3">
      <c r="A5313" t="s">
        <v>864</v>
      </c>
      <c r="B5313" t="s">
        <v>1075</v>
      </c>
      <c r="C5313" t="s">
        <v>2496</v>
      </c>
    </row>
    <row r="5314" spans="1:3">
      <c r="A5314" t="s">
        <v>864</v>
      </c>
      <c r="B5314" t="s">
        <v>1075</v>
      </c>
      <c r="C5314" t="s">
        <v>2495</v>
      </c>
    </row>
    <row r="5315" spans="1:3">
      <c r="A5315" t="s">
        <v>864</v>
      </c>
      <c r="B5315" t="s">
        <v>1075</v>
      </c>
      <c r="C5315" t="s">
        <v>2494</v>
      </c>
    </row>
    <row r="5316" spans="1:3">
      <c r="A5316" t="s">
        <v>864</v>
      </c>
      <c r="B5316" t="s">
        <v>1075</v>
      </c>
      <c r="C5316" t="s">
        <v>2493</v>
      </c>
    </row>
    <row r="5317" spans="1:3">
      <c r="A5317" t="s">
        <v>864</v>
      </c>
      <c r="B5317" t="s">
        <v>1075</v>
      </c>
      <c r="C5317" t="s">
        <v>2492</v>
      </c>
    </row>
    <row r="5318" spans="1:3">
      <c r="A5318" t="s">
        <v>864</v>
      </c>
      <c r="B5318" t="s">
        <v>1075</v>
      </c>
      <c r="C5318" t="s">
        <v>2491</v>
      </c>
    </row>
    <row r="5319" spans="1:3">
      <c r="A5319" t="s">
        <v>864</v>
      </c>
      <c r="B5319" t="s">
        <v>1075</v>
      </c>
      <c r="C5319" t="s">
        <v>2490</v>
      </c>
    </row>
    <row r="5320" spans="1:3">
      <c r="A5320" t="s">
        <v>864</v>
      </c>
      <c r="B5320" t="s">
        <v>1075</v>
      </c>
      <c r="C5320" t="s">
        <v>2489</v>
      </c>
    </row>
    <row r="5321" spans="1:3">
      <c r="A5321" t="s">
        <v>864</v>
      </c>
      <c r="B5321" t="s">
        <v>1075</v>
      </c>
      <c r="C5321" t="s">
        <v>2488</v>
      </c>
    </row>
    <row r="5322" spans="1:3">
      <c r="A5322" t="s">
        <v>864</v>
      </c>
      <c r="B5322" t="s">
        <v>1075</v>
      </c>
      <c r="C5322" t="s">
        <v>2487</v>
      </c>
    </row>
    <row r="5323" spans="1:3">
      <c r="A5323" t="s">
        <v>864</v>
      </c>
      <c r="B5323" t="s">
        <v>1075</v>
      </c>
      <c r="C5323" t="s">
        <v>2486</v>
      </c>
    </row>
    <row r="5324" spans="1:3">
      <c r="A5324" t="s">
        <v>864</v>
      </c>
      <c r="B5324" t="s">
        <v>1075</v>
      </c>
      <c r="C5324" t="s">
        <v>2485</v>
      </c>
    </row>
    <row r="5325" spans="1:3">
      <c r="A5325" t="s">
        <v>864</v>
      </c>
      <c r="B5325" t="s">
        <v>1075</v>
      </c>
      <c r="C5325" t="s">
        <v>2484</v>
      </c>
    </row>
    <row r="5326" spans="1:3">
      <c r="A5326" t="s">
        <v>864</v>
      </c>
      <c r="B5326" t="s">
        <v>1075</v>
      </c>
      <c r="C5326" t="s">
        <v>2483</v>
      </c>
    </row>
    <row r="5327" spans="1:3">
      <c r="A5327" t="s">
        <v>864</v>
      </c>
      <c r="B5327" t="s">
        <v>1075</v>
      </c>
      <c r="C5327" t="s">
        <v>2482</v>
      </c>
    </row>
    <row r="5328" spans="1:3">
      <c r="A5328" t="s">
        <v>864</v>
      </c>
      <c r="B5328" t="s">
        <v>1075</v>
      </c>
      <c r="C5328" t="s">
        <v>2481</v>
      </c>
    </row>
    <row r="5329" spans="1:3">
      <c r="A5329" t="s">
        <v>871</v>
      </c>
      <c r="B5329" t="s">
        <v>1070</v>
      </c>
      <c r="C5329" t="s">
        <v>2423</v>
      </c>
    </row>
    <row r="5330" spans="1:3">
      <c r="A5330" t="s">
        <v>871</v>
      </c>
      <c r="B5330" t="s">
        <v>1070</v>
      </c>
      <c r="C5330" t="s">
        <v>2422</v>
      </c>
    </row>
    <row r="5331" spans="1:3">
      <c r="A5331" t="s">
        <v>871</v>
      </c>
      <c r="B5331" t="s">
        <v>1070</v>
      </c>
      <c r="C5331" t="s">
        <v>2421</v>
      </c>
    </row>
    <row r="5332" spans="1:3">
      <c r="A5332" t="s">
        <v>871</v>
      </c>
      <c r="B5332" t="s">
        <v>1070</v>
      </c>
      <c r="C5332" t="s">
        <v>2420</v>
      </c>
    </row>
    <row r="5333" spans="1:3">
      <c r="A5333" t="s">
        <v>871</v>
      </c>
      <c r="B5333" t="s">
        <v>1070</v>
      </c>
      <c r="C5333" t="s">
        <v>2419</v>
      </c>
    </row>
    <row r="5334" spans="1:3">
      <c r="A5334" t="s">
        <v>871</v>
      </c>
      <c r="B5334" t="s">
        <v>1075</v>
      </c>
      <c r="C5334" t="s">
        <v>2472</v>
      </c>
    </row>
    <row r="5335" spans="1:3">
      <c r="A5335" t="s">
        <v>871</v>
      </c>
      <c r="B5335" t="s">
        <v>1075</v>
      </c>
      <c r="C5335" t="s">
        <v>2471</v>
      </c>
    </row>
    <row r="5336" spans="1:3">
      <c r="A5336" t="s">
        <v>871</v>
      </c>
      <c r="B5336" t="s">
        <v>1075</v>
      </c>
      <c r="C5336" t="s">
        <v>2470</v>
      </c>
    </row>
    <row r="5337" spans="1:3">
      <c r="A5337" t="s">
        <v>871</v>
      </c>
      <c r="B5337" t="s">
        <v>1075</v>
      </c>
      <c r="C5337" t="s">
        <v>2469</v>
      </c>
    </row>
    <row r="5338" spans="1:3">
      <c r="A5338" t="s">
        <v>871</v>
      </c>
      <c r="B5338" t="s">
        <v>1075</v>
      </c>
      <c r="C5338" t="s">
        <v>2468</v>
      </c>
    </row>
    <row r="5339" spans="1:3">
      <c r="A5339" t="s">
        <v>871</v>
      </c>
      <c r="B5339" t="s">
        <v>1075</v>
      </c>
      <c r="C5339" t="s">
        <v>2467</v>
      </c>
    </row>
    <row r="5340" spans="1:3">
      <c r="A5340" t="s">
        <v>871</v>
      </c>
      <c r="B5340" t="s">
        <v>1075</v>
      </c>
      <c r="C5340" t="s">
        <v>2466</v>
      </c>
    </row>
    <row r="5341" spans="1:3">
      <c r="A5341" t="s">
        <v>871</v>
      </c>
      <c r="B5341" t="s">
        <v>1075</v>
      </c>
      <c r="C5341" t="s">
        <v>2465</v>
      </c>
    </row>
    <row r="5342" spans="1:3">
      <c r="A5342" t="s">
        <v>871</v>
      </c>
      <c r="B5342" t="s">
        <v>1075</v>
      </c>
      <c r="C5342" t="s">
        <v>2464</v>
      </c>
    </row>
    <row r="5343" spans="1:3">
      <c r="A5343" t="s">
        <v>871</v>
      </c>
      <c r="B5343" t="s">
        <v>1075</v>
      </c>
      <c r="C5343" t="s">
        <v>2463</v>
      </c>
    </row>
    <row r="5344" spans="1:3">
      <c r="A5344" t="s">
        <v>871</v>
      </c>
      <c r="B5344" t="s">
        <v>1075</v>
      </c>
      <c r="C5344" t="s">
        <v>2462</v>
      </c>
    </row>
    <row r="5345" spans="1:3">
      <c r="A5345" t="s">
        <v>871</v>
      </c>
      <c r="B5345" t="s">
        <v>1075</v>
      </c>
      <c r="C5345" t="s">
        <v>2461</v>
      </c>
    </row>
    <row r="5346" spans="1:3">
      <c r="A5346" t="s">
        <v>871</v>
      </c>
      <c r="B5346" t="s">
        <v>1075</v>
      </c>
      <c r="C5346" t="s">
        <v>2460</v>
      </c>
    </row>
    <row r="5347" spans="1:3">
      <c r="A5347" t="s">
        <v>871</v>
      </c>
      <c r="B5347" t="s">
        <v>1075</v>
      </c>
      <c r="C5347" t="s">
        <v>2459</v>
      </c>
    </row>
    <row r="5348" spans="1:3">
      <c r="A5348" t="s">
        <v>871</v>
      </c>
      <c r="B5348" t="s">
        <v>1075</v>
      </c>
      <c r="C5348" t="s">
        <v>2458</v>
      </c>
    </row>
    <row r="5349" spans="1:3">
      <c r="A5349" t="s">
        <v>871</v>
      </c>
      <c r="B5349" t="s">
        <v>1075</v>
      </c>
      <c r="C5349" t="s">
        <v>2457</v>
      </c>
    </row>
    <row r="5350" spans="1:3">
      <c r="A5350" t="s">
        <v>871</v>
      </c>
      <c r="B5350" t="s">
        <v>1075</v>
      </c>
      <c r="C5350" t="s">
        <v>2456</v>
      </c>
    </row>
    <row r="5351" spans="1:3">
      <c r="A5351" t="s">
        <v>871</v>
      </c>
      <c r="B5351" t="s">
        <v>1075</v>
      </c>
      <c r="C5351" t="s">
        <v>2455</v>
      </c>
    </row>
    <row r="5352" spans="1:3">
      <c r="A5352" t="s">
        <v>871</v>
      </c>
      <c r="B5352" t="s">
        <v>1075</v>
      </c>
      <c r="C5352" t="s">
        <v>2454</v>
      </c>
    </row>
    <row r="5353" spans="1:3">
      <c r="A5353" t="s">
        <v>871</v>
      </c>
      <c r="B5353" t="s">
        <v>1075</v>
      </c>
      <c r="C5353" t="s">
        <v>2453</v>
      </c>
    </row>
    <row r="5354" spans="1:3">
      <c r="A5354" t="s">
        <v>871</v>
      </c>
      <c r="B5354" t="s">
        <v>1075</v>
      </c>
      <c r="C5354" t="s">
        <v>2452</v>
      </c>
    </row>
    <row r="5355" spans="1:3">
      <c r="A5355" t="s">
        <v>871</v>
      </c>
      <c r="B5355" t="s">
        <v>1075</v>
      </c>
      <c r="C5355" t="s">
        <v>2451</v>
      </c>
    </row>
    <row r="5356" spans="1:3">
      <c r="A5356" t="s">
        <v>871</v>
      </c>
      <c r="B5356" t="s">
        <v>1075</v>
      </c>
      <c r="C5356" t="s">
        <v>2450</v>
      </c>
    </row>
    <row r="5357" spans="1:3">
      <c r="A5357" t="s">
        <v>871</v>
      </c>
      <c r="B5357" t="s">
        <v>1075</v>
      </c>
      <c r="C5357" t="s">
        <v>2449</v>
      </c>
    </row>
    <row r="5358" spans="1:3">
      <c r="A5358" t="s">
        <v>871</v>
      </c>
      <c r="B5358" t="s">
        <v>1075</v>
      </c>
      <c r="C5358" t="s">
        <v>2448</v>
      </c>
    </row>
    <row r="5359" spans="1:3">
      <c r="A5359" t="s">
        <v>871</v>
      </c>
      <c r="B5359" t="s">
        <v>1075</v>
      </c>
      <c r="C5359" t="s">
        <v>2447</v>
      </c>
    </row>
    <row r="5360" spans="1:3">
      <c r="A5360" t="s">
        <v>871</v>
      </c>
      <c r="B5360" t="s">
        <v>1075</v>
      </c>
      <c r="C5360" t="s">
        <v>2446</v>
      </c>
    </row>
    <row r="5361" spans="1:3">
      <c r="A5361" t="s">
        <v>871</v>
      </c>
      <c r="B5361" t="s">
        <v>1075</v>
      </c>
      <c r="C5361" t="s">
        <v>2445</v>
      </c>
    </row>
    <row r="5362" spans="1:3">
      <c r="A5362" t="s">
        <v>871</v>
      </c>
      <c r="B5362" t="s">
        <v>1075</v>
      </c>
      <c r="C5362" t="s">
        <v>2444</v>
      </c>
    </row>
    <row r="5363" spans="1:3">
      <c r="A5363" t="s">
        <v>871</v>
      </c>
      <c r="B5363" t="s">
        <v>1075</v>
      </c>
      <c r="C5363" t="s">
        <v>2443</v>
      </c>
    </row>
    <row r="5364" spans="1:3">
      <c r="A5364" t="s">
        <v>871</v>
      </c>
      <c r="B5364" t="s">
        <v>1075</v>
      </c>
      <c r="C5364" t="s">
        <v>2442</v>
      </c>
    </row>
    <row r="5365" spans="1:3">
      <c r="A5365" t="s">
        <v>871</v>
      </c>
      <c r="B5365" t="s">
        <v>1075</v>
      </c>
      <c r="C5365" t="s">
        <v>2441</v>
      </c>
    </row>
    <row r="5366" spans="1:3">
      <c r="A5366" t="s">
        <v>871</v>
      </c>
      <c r="B5366" t="s">
        <v>1075</v>
      </c>
      <c r="C5366" t="s">
        <v>2440</v>
      </c>
    </row>
    <row r="5367" spans="1:3">
      <c r="A5367" t="s">
        <v>871</v>
      </c>
      <c r="B5367" t="s">
        <v>1075</v>
      </c>
      <c r="C5367" t="s">
        <v>2439</v>
      </c>
    </row>
    <row r="5368" spans="1:3">
      <c r="A5368" t="s">
        <v>871</v>
      </c>
      <c r="B5368" t="s">
        <v>1075</v>
      </c>
      <c r="C5368" t="s">
        <v>2438</v>
      </c>
    </row>
    <row r="5369" spans="1:3">
      <c r="A5369" t="s">
        <v>871</v>
      </c>
      <c r="B5369" t="s">
        <v>1075</v>
      </c>
      <c r="C5369" t="s">
        <v>2437</v>
      </c>
    </row>
    <row r="5370" spans="1:3">
      <c r="A5370" t="s">
        <v>871</v>
      </c>
      <c r="B5370" t="s">
        <v>1075</v>
      </c>
      <c r="C5370" t="s">
        <v>2436</v>
      </c>
    </row>
    <row r="5371" spans="1:3">
      <c r="A5371" t="s">
        <v>871</v>
      </c>
      <c r="B5371" t="s">
        <v>1075</v>
      </c>
      <c r="C5371" t="s">
        <v>2435</v>
      </c>
    </row>
    <row r="5372" spans="1:3">
      <c r="A5372" t="s">
        <v>871</v>
      </c>
      <c r="B5372" t="s">
        <v>1075</v>
      </c>
      <c r="C5372" t="s">
        <v>2434</v>
      </c>
    </row>
    <row r="5373" spans="1:3">
      <c r="A5373" t="s">
        <v>871</v>
      </c>
      <c r="B5373" t="s">
        <v>1075</v>
      </c>
      <c r="C5373" t="s">
        <v>2433</v>
      </c>
    </row>
    <row r="5374" spans="1:3">
      <c r="A5374" t="s">
        <v>871</v>
      </c>
      <c r="B5374" t="s">
        <v>1075</v>
      </c>
      <c r="C5374" t="s">
        <v>2432</v>
      </c>
    </row>
    <row r="5375" spans="1:3">
      <c r="A5375" t="s">
        <v>871</v>
      </c>
      <c r="B5375" t="s">
        <v>1075</v>
      </c>
      <c r="C5375" t="s">
        <v>2431</v>
      </c>
    </row>
    <row r="5376" spans="1:3">
      <c r="A5376" t="s">
        <v>871</v>
      </c>
      <c r="B5376" t="s">
        <v>1075</v>
      </c>
      <c r="C5376" t="s">
        <v>2430</v>
      </c>
    </row>
    <row r="5377" spans="1:3">
      <c r="A5377" t="s">
        <v>871</v>
      </c>
      <c r="B5377" t="s">
        <v>1075</v>
      </c>
      <c r="C5377" t="s">
        <v>2429</v>
      </c>
    </row>
    <row r="5378" spans="1:3">
      <c r="A5378" t="s">
        <v>871</v>
      </c>
      <c r="B5378" t="s">
        <v>1075</v>
      </c>
      <c r="C5378" t="s">
        <v>2428</v>
      </c>
    </row>
    <row r="5379" spans="1:3">
      <c r="A5379" t="s">
        <v>871</v>
      </c>
      <c r="B5379" t="s">
        <v>1075</v>
      </c>
      <c r="C5379" t="s">
        <v>2427</v>
      </c>
    </row>
    <row r="5380" spans="1:3">
      <c r="A5380" t="s">
        <v>871</v>
      </c>
      <c r="B5380" t="s">
        <v>1075</v>
      </c>
      <c r="C5380" t="s">
        <v>2426</v>
      </c>
    </row>
    <row r="5381" spans="1:3">
      <c r="A5381" t="s">
        <v>871</v>
      </c>
      <c r="B5381" t="s">
        <v>1075</v>
      </c>
      <c r="C5381" t="s">
        <v>2425</v>
      </c>
    </row>
    <row r="5382" spans="1:3">
      <c r="A5382" t="s">
        <v>871</v>
      </c>
      <c r="B5382" t="s">
        <v>1075</v>
      </c>
      <c r="C5382" t="s">
        <v>2424</v>
      </c>
    </row>
    <row r="5383" spans="1:3">
      <c r="A5383" t="s">
        <v>872</v>
      </c>
      <c r="B5383" t="s">
        <v>1070</v>
      </c>
      <c r="C5383" t="s">
        <v>2369</v>
      </c>
    </row>
    <row r="5384" spans="1:3">
      <c r="A5384" t="s">
        <v>872</v>
      </c>
      <c r="B5384" t="s">
        <v>1070</v>
      </c>
      <c r="C5384" t="s">
        <v>2368</v>
      </c>
    </row>
    <row r="5385" spans="1:3">
      <c r="A5385" t="s">
        <v>872</v>
      </c>
      <c r="B5385" t="s">
        <v>1070</v>
      </c>
      <c r="C5385" t="s">
        <v>2367</v>
      </c>
    </row>
    <row r="5386" spans="1:3">
      <c r="A5386" t="s">
        <v>872</v>
      </c>
      <c r="B5386" t="s">
        <v>1070</v>
      </c>
      <c r="C5386" t="s">
        <v>2366</v>
      </c>
    </row>
    <row r="5387" spans="1:3">
      <c r="A5387" t="s">
        <v>872</v>
      </c>
      <c r="B5387" t="s">
        <v>1070</v>
      </c>
      <c r="C5387" t="s">
        <v>2365</v>
      </c>
    </row>
    <row r="5388" spans="1:3">
      <c r="A5388" t="s">
        <v>872</v>
      </c>
      <c r="B5388" t="s">
        <v>1075</v>
      </c>
      <c r="C5388" t="s">
        <v>2418</v>
      </c>
    </row>
    <row r="5389" spans="1:3">
      <c r="A5389" t="s">
        <v>872</v>
      </c>
      <c r="B5389" t="s">
        <v>1075</v>
      </c>
      <c r="C5389" t="s">
        <v>2417</v>
      </c>
    </row>
    <row r="5390" spans="1:3">
      <c r="A5390" t="s">
        <v>872</v>
      </c>
      <c r="B5390" t="s">
        <v>1075</v>
      </c>
      <c r="C5390" t="s">
        <v>2416</v>
      </c>
    </row>
    <row r="5391" spans="1:3">
      <c r="A5391" t="s">
        <v>872</v>
      </c>
      <c r="B5391" t="s">
        <v>1075</v>
      </c>
      <c r="C5391" t="s">
        <v>2415</v>
      </c>
    </row>
    <row r="5392" spans="1:3">
      <c r="A5392" t="s">
        <v>872</v>
      </c>
      <c r="B5392" t="s">
        <v>1075</v>
      </c>
      <c r="C5392" t="s">
        <v>2414</v>
      </c>
    </row>
    <row r="5393" spans="1:3">
      <c r="A5393" t="s">
        <v>872</v>
      </c>
      <c r="B5393" t="s">
        <v>1075</v>
      </c>
      <c r="C5393" t="s">
        <v>2413</v>
      </c>
    </row>
    <row r="5394" spans="1:3">
      <c r="A5394" t="s">
        <v>872</v>
      </c>
      <c r="B5394" t="s">
        <v>1075</v>
      </c>
      <c r="C5394" t="s">
        <v>2412</v>
      </c>
    </row>
    <row r="5395" spans="1:3">
      <c r="A5395" t="s">
        <v>872</v>
      </c>
      <c r="B5395" t="s">
        <v>1075</v>
      </c>
      <c r="C5395" t="s">
        <v>2411</v>
      </c>
    </row>
    <row r="5396" spans="1:3">
      <c r="A5396" t="s">
        <v>872</v>
      </c>
      <c r="B5396" t="s">
        <v>1075</v>
      </c>
      <c r="C5396" t="s">
        <v>2410</v>
      </c>
    </row>
    <row r="5397" spans="1:3">
      <c r="A5397" t="s">
        <v>872</v>
      </c>
      <c r="B5397" t="s">
        <v>1075</v>
      </c>
      <c r="C5397" t="s">
        <v>2409</v>
      </c>
    </row>
    <row r="5398" spans="1:3">
      <c r="A5398" t="s">
        <v>872</v>
      </c>
      <c r="B5398" t="s">
        <v>1075</v>
      </c>
      <c r="C5398" t="s">
        <v>2408</v>
      </c>
    </row>
    <row r="5399" spans="1:3">
      <c r="A5399" t="s">
        <v>872</v>
      </c>
      <c r="B5399" t="s">
        <v>1075</v>
      </c>
      <c r="C5399" t="s">
        <v>2407</v>
      </c>
    </row>
    <row r="5400" spans="1:3">
      <c r="A5400" t="s">
        <v>872</v>
      </c>
      <c r="B5400" t="s">
        <v>1075</v>
      </c>
      <c r="C5400" t="s">
        <v>2406</v>
      </c>
    </row>
    <row r="5401" spans="1:3">
      <c r="A5401" t="s">
        <v>872</v>
      </c>
      <c r="B5401" t="s">
        <v>1075</v>
      </c>
      <c r="C5401" t="s">
        <v>2405</v>
      </c>
    </row>
    <row r="5402" spans="1:3">
      <c r="A5402" t="s">
        <v>872</v>
      </c>
      <c r="B5402" t="s">
        <v>1075</v>
      </c>
      <c r="C5402" t="s">
        <v>2404</v>
      </c>
    </row>
    <row r="5403" spans="1:3">
      <c r="A5403" t="s">
        <v>872</v>
      </c>
      <c r="B5403" t="s">
        <v>1075</v>
      </c>
      <c r="C5403" t="s">
        <v>2403</v>
      </c>
    </row>
    <row r="5404" spans="1:3">
      <c r="A5404" t="s">
        <v>872</v>
      </c>
      <c r="B5404" t="s">
        <v>1075</v>
      </c>
      <c r="C5404" t="s">
        <v>2402</v>
      </c>
    </row>
    <row r="5405" spans="1:3">
      <c r="A5405" t="s">
        <v>872</v>
      </c>
      <c r="B5405" t="s">
        <v>1075</v>
      </c>
      <c r="C5405" t="s">
        <v>2401</v>
      </c>
    </row>
    <row r="5406" spans="1:3">
      <c r="A5406" t="s">
        <v>872</v>
      </c>
      <c r="B5406" t="s">
        <v>1075</v>
      </c>
      <c r="C5406" t="s">
        <v>2400</v>
      </c>
    </row>
    <row r="5407" spans="1:3">
      <c r="A5407" t="s">
        <v>872</v>
      </c>
      <c r="B5407" t="s">
        <v>1075</v>
      </c>
      <c r="C5407" t="s">
        <v>2399</v>
      </c>
    </row>
    <row r="5408" spans="1:3">
      <c r="A5408" t="s">
        <v>872</v>
      </c>
      <c r="B5408" t="s">
        <v>1075</v>
      </c>
      <c r="C5408" t="s">
        <v>2398</v>
      </c>
    </row>
    <row r="5409" spans="1:3">
      <c r="A5409" t="s">
        <v>872</v>
      </c>
      <c r="B5409" t="s">
        <v>1075</v>
      </c>
      <c r="C5409" t="s">
        <v>2397</v>
      </c>
    </row>
    <row r="5410" spans="1:3">
      <c r="A5410" t="s">
        <v>872</v>
      </c>
      <c r="B5410" t="s">
        <v>1075</v>
      </c>
      <c r="C5410" t="s">
        <v>2396</v>
      </c>
    </row>
    <row r="5411" spans="1:3">
      <c r="A5411" t="s">
        <v>872</v>
      </c>
      <c r="B5411" t="s">
        <v>1075</v>
      </c>
      <c r="C5411" t="s">
        <v>2395</v>
      </c>
    </row>
    <row r="5412" spans="1:3">
      <c r="A5412" t="s">
        <v>872</v>
      </c>
      <c r="B5412" t="s">
        <v>1075</v>
      </c>
      <c r="C5412" t="s">
        <v>2394</v>
      </c>
    </row>
    <row r="5413" spans="1:3">
      <c r="A5413" t="s">
        <v>872</v>
      </c>
      <c r="B5413" t="s">
        <v>1075</v>
      </c>
      <c r="C5413" t="s">
        <v>2393</v>
      </c>
    </row>
    <row r="5414" spans="1:3">
      <c r="A5414" t="s">
        <v>872</v>
      </c>
      <c r="B5414" t="s">
        <v>1075</v>
      </c>
      <c r="C5414" t="s">
        <v>2392</v>
      </c>
    </row>
    <row r="5415" spans="1:3">
      <c r="A5415" t="s">
        <v>872</v>
      </c>
      <c r="B5415" t="s">
        <v>1075</v>
      </c>
      <c r="C5415" t="s">
        <v>2391</v>
      </c>
    </row>
    <row r="5416" spans="1:3">
      <c r="A5416" t="s">
        <v>872</v>
      </c>
      <c r="B5416" t="s">
        <v>1075</v>
      </c>
      <c r="C5416" t="s">
        <v>2390</v>
      </c>
    </row>
    <row r="5417" spans="1:3">
      <c r="A5417" t="s">
        <v>872</v>
      </c>
      <c r="B5417" t="s">
        <v>1075</v>
      </c>
      <c r="C5417" t="s">
        <v>2389</v>
      </c>
    </row>
    <row r="5418" spans="1:3">
      <c r="A5418" t="s">
        <v>872</v>
      </c>
      <c r="B5418" t="s">
        <v>1075</v>
      </c>
      <c r="C5418" t="s">
        <v>2388</v>
      </c>
    </row>
    <row r="5419" spans="1:3">
      <c r="A5419" t="s">
        <v>872</v>
      </c>
      <c r="B5419" t="s">
        <v>1075</v>
      </c>
      <c r="C5419" t="s">
        <v>2387</v>
      </c>
    </row>
    <row r="5420" spans="1:3">
      <c r="A5420" t="s">
        <v>872</v>
      </c>
      <c r="B5420" t="s">
        <v>1075</v>
      </c>
      <c r="C5420" t="s">
        <v>2386</v>
      </c>
    </row>
    <row r="5421" spans="1:3">
      <c r="A5421" t="s">
        <v>872</v>
      </c>
      <c r="B5421" t="s">
        <v>1075</v>
      </c>
      <c r="C5421" t="s">
        <v>2385</v>
      </c>
    </row>
    <row r="5422" spans="1:3">
      <c r="A5422" t="s">
        <v>872</v>
      </c>
      <c r="B5422" t="s">
        <v>1075</v>
      </c>
      <c r="C5422" t="s">
        <v>2384</v>
      </c>
    </row>
    <row r="5423" spans="1:3">
      <c r="A5423" t="s">
        <v>872</v>
      </c>
      <c r="B5423" t="s">
        <v>1075</v>
      </c>
      <c r="C5423" t="s">
        <v>2383</v>
      </c>
    </row>
    <row r="5424" spans="1:3">
      <c r="A5424" t="s">
        <v>872</v>
      </c>
      <c r="B5424" t="s">
        <v>1075</v>
      </c>
      <c r="C5424" t="s">
        <v>2382</v>
      </c>
    </row>
    <row r="5425" spans="1:3">
      <c r="A5425" t="s">
        <v>872</v>
      </c>
      <c r="B5425" t="s">
        <v>1075</v>
      </c>
      <c r="C5425" t="s">
        <v>2381</v>
      </c>
    </row>
    <row r="5426" spans="1:3">
      <c r="A5426" t="s">
        <v>872</v>
      </c>
      <c r="B5426" t="s">
        <v>1075</v>
      </c>
      <c r="C5426" t="s">
        <v>2380</v>
      </c>
    </row>
    <row r="5427" spans="1:3">
      <c r="A5427" t="s">
        <v>872</v>
      </c>
      <c r="B5427" t="s">
        <v>1075</v>
      </c>
      <c r="C5427" t="s">
        <v>2379</v>
      </c>
    </row>
    <row r="5428" spans="1:3">
      <c r="A5428" t="s">
        <v>872</v>
      </c>
      <c r="B5428" t="s">
        <v>1075</v>
      </c>
      <c r="C5428" t="s">
        <v>2378</v>
      </c>
    </row>
    <row r="5429" spans="1:3">
      <c r="A5429" t="s">
        <v>872</v>
      </c>
      <c r="B5429" t="s">
        <v>1075</v>
      </c>
      <c r="C5429" t="s">
        <v>2377</v>
      </c>
    </row>
    <row r="5430" spans="1:3">
      <c r="A5430" t="s">
        <v>872</v>
      </c>
      <c r="B5430" t="s">
        <v>1075</v>
      </c>
      <c r="C5430" t="s">
        <v>2376</v>
      </c>
    </row>
    <row r="5431" spans="1:3">
      <c r="A5431" t="s">
        <v>872</v>
      </c>
      <c r="B5431" t="s">
        <v>1075</v>
      </c>
      <c r="C5431" t="s">
        <v>2375</v>
      </c>
    </row>
    <row r="5432" spans="1:3">
      <c r="A5432" t="s">
        <v>872</v>
      </c>
      <c r="B5432" t="s">
        <v>1075</v>
      </c>
      <c r="C5432" t="s">
        <v>2374</v>
      </c>
    </row>
    <row r="5433" spans="1:3">
      <c r="A5433" t="s">
        <v>872</v>
      </c>
      <c r="B5433" t="s">
        <v>1075</v>
      </c>
      <c r="C5433" t="s">
        <v>2373</v>
      </c>
    </row>
    <row r="5434" spans="1:3">
      <c r="A5434" t="s">
        <v>872</v>
      </c>
      <c r="B5434" t="s">
        <v>1075</v>
      </c>
      <c r="C5434" t="s">
        <v>2372</v>
      </c>
    </row>
    <row r="5435" spans="1:3">
      <c r="A5435" t="s">
        <v>872</v>
      </c>
      <c r="B5435" t="s">
        <v>1075</v>
      </c>
      <c r="C5435" t="s">
        <v>2371</v>
      </c>
    </row>
    <row r="5436" spans="1:3">
      <c r="A5436" t="s">
        <v>872</v>
      </c>
      <c r="B5436" t="s">
        <v>1075</v>
      </c>
      <c r="C5436" t="s">
        <v>2370</v>
      </c>
    </row>
    <row r="5437" spans="1:3">
      <c r="A5437" t="s">
        <v>869</v>
      </c>
      <c r="B5437" t="s">
        <v>1070</v>
      </c>
      <c r="C5437" t="s">
        <v>2351</v>
      </c>
    </row>
    <row r="5438" spans="1:3">
      <c r="A5438" t="s">
        <v>869</v>
      </c>
      <c r="B5438" t="s">
        <v>1075</v>
      </c>
      <c r="C5438" t="s">
        <v>2364</v>
      </c>
    </row>
    <row r="5439" spans="1:3">
      <c r="A5439" t="s">
        <v>869</v>
      </c>
      <c r="B5439" t="s">
        <v>1075</v>
      </c>
      <c r="C5439" t="s">
        <v>2363</v>
      </c>
    </row>
    <row r="5440" spans="1:3">
      <c r="A5440" t="s">
        <v>869</v>
      </c>
      <c r="B5440" t="s">
        <v>1075</v>
      </c>
      <c r="C5440" t="s">
        <v>2362</v>
      </c>
    </row>
    <row r="5441" spans="1:3">
      <c r="A5441" t="s">
        <v>869</v>
      </c>
      <c r="B5441" t="s">
        <v>1075</v>
      </c>
      <c r="C5441" t="s">
        <v>2361</v>
      </c>
    </row>
    <row r="5442" spans="1:3">
      <c r="A5442" t="s">
        <v>869</v>
      </c>
      <c r="B5442" t="s">
        <v>1075</v>
      </c>
      <c r="C5442" t="s">
        <v>2360</v>
      </c>
    </row>
    <row r="5443" spans="1:3">
      <c r="A5443" t="s">
        <v>869</v>
      </c>
      <c r="B5443" t="s">
        <v>1075</v>
      </c>
      <c r="C5443" t="s">
        <v>2359</v>
      </c>
    </row>
    <row r="5444" spans="1:3">
      <c r="A5444" t="s">
        <v>869</v>
      </c>
      <c r="B5444" t="s">
        <v>1075</v>
      </c>
      <c r="C5444" t="s">
        <v>2358</v>
      </c>
    </row>
    <row r="5445" spans="1:3">
      <c r="A5445" t="s">
        <v>869</v>
      </c>
      <c r="B5445" t="s">
        <v>1075</v>
      </c>
      <c r="C5445" t="s">
        <v>2357</v>
      </c>
    </row>
    <row r="5446" spans="1:3">
      <c r="A5446" t="s">
        <v>869</v>
      </c>
      <c r="B5446" t="s">
        <v>1075</v>
      </c>
      <c r="C5446" t="s">
        <v>2356</v>
      </c>
    </row>
    <row r="5447" spans="1:3">
      <c r="A5447" t="s">
        <v>869</v>
      </c>
      <c r="B5447" t="s">
        <v>1075</v>
      </c>
      <c r="C5447" t="s">
        <v>2355</v>
      </c>
    </row>
    <row r="5448" spans="1:3">
      <c r="A5448" t="s">
        <v>869</v>
      </c>
      <c r="B5448" t="s">
        <v>1075</v>
      </c>
      <c r="C5448" t="s">
        <v>2354</v>
      </c>
    </row>
    <row r="5449" spans="1:3">
      <c r="A5449" t="s">
        <v>869</v>
      </c>
      <c r="B5449" t="s">
        <v>1075</v>
      </c>
      <c r="C5449" t="s">
        <v>2353</v>
      </c>
    </row>
    <row r="5450" spans="1:3">
      <c r="A5450" t="s">
        <v>869</v>
      </c>
      <c r="B5450" t="s">
        <v>1075</v>
      </c>
      <c r="C5450" t="s">
        <v>2352</v>
      </c>
    </row>
    <row r="5451" spans="1:3">
      <c r="A5451" t="s">
        <v>870</v>
      </c>
      <c r="B5451" t="s">
        <v>1070</v>
      </c>
      <c r="C5451" t="s">
        <v>2337</v>
      </c>
    </row>
    <row r="5452" spans="1:3">
      <c r="A5452" t="s">
        <v>870</v>
      </c>
      <c r="B5452" t="s">
        <v>1075</v>
      </c>
      <c r="C5452" t="s">
        <v>2350</v>
      </c>
    </row>
    <row r="5453" spans="1:3">
      <c r="A5453" t="s">
        <v>870</v>
      </c>
      <c r="B5453" t="s">
        <v>1075</v>
      </c>
      <c r="C5453" t="s">
        <v>2349</v>
      </c>
    </row>
    <row r="5454" spans="1:3">
      <c r="A5454" t="s">
        <v>870</v>
      </c>
      <c r="B5454" t="s">
        <v>1075</v>
      </c>
      <c r="C5454" t="s">
        <v>2348</v>
      </c>
    </row>
    <row r="5455" spans="1:3">
      <c r="A5455" t="s">
        <v>870</v>
      </c>
      <c r="B5455" t="s">
        <v>1075</v>
      </c>
      <c r="C5455" t="s">
        <v>2347</v>
      </c>
    </row>
    <row r="5456" spans="1:3">
      <c r="A5456" t="s">
        <v>870</v>
      </c>
      <c r="B5456" t="s">
        <v>1075</v>
      </c>
      <c r="C5456" t="s">
        <v>2346</v>
      </c>
    </row>
    <row r="5457" spans="1:3">
      <c r="A5457" t="s">
        <v>870</v>
      </c>
      <c r="B5457" t="s">
        <v>1075</v>
      </c>
      <c r="C5457" t="s">
        <v>2345</v>
      </c>
    </row>
    <row r="5458" spans="1:3">
      <c r="A5458" t="s">
        <v>870</v>
      </c>
      <c r="B5458" t="s">
        <v>1075</v>
      </c>
      <c r="C5458" t="s">
        <v>2344</v>
      </c>
    </row>
    <row r="5459" spans="1:3">
      <c r="A5459" t="s">
        <v>870</v>
      </c>
      <c r="B5459" t="s">
        <v>1075</v>
      </c>
      <c r="C5459" t="s">
        <v>2343</v>
      </c>
    </row>
    <row r="5460" spans="1:3">
      <c r="A5460" t="s">
        <v>870</v>
      </c>
      <c r="B5460" t="s">
        <v>1075</v>
      </c>
      <c r="C5460" t="s">
        <v>2342</v>
      </c>
    </row>
    <row r="5461" spans="1:3">
      <c r="A5461" t="s">
        <v>870</v>
      </c>
      <c r="B5461" t="s">
        <v>1075</v>
      </c>
      <c r="C5461" t="s">
        <v>2341</v>
      </c>
    </row>
    <row r="5462" spans="1:3">
      <c r="A5462" t="s">
        <v>870</v>
      </c>
      <c r="B5462" t="s">
        <v>1075</v>
      </c>
      <c r="C5462" t="s">
        <v>2340</v>
      </c>
    </row>
    <row r="5463" spans="1:3">
      <c r="A5463" t="s">
        <v>870</v>
      </c>
      <c r="B5463" t="s">
        <v>1075</v>
      </c>
      <c r="C5463" t="s">
        <v>2339</v>
      </c>
    </row>
    <row r="5464" spans="1:3">
      <c r="A5464" t="s">
        <v>870</v>
      </c>
      <c r="B5464" t="s">
        <v>1075</v>
      </c>
      <c r="C5464" t="s">
        <v>2338</v>
      </c>
    </row>
    <row r="5465" spans="1:3">
      <c r="A5465" t="s">
        <v>877</v>
      </c>
      <c r="B5465" t="s">
        <v>1070</v>
      </c>
      <c r="C5465" t="s">
        <v>2328</v>
      </c>
    </row>
    <row r="5466" spans="1:3">
      <c r="A5466" t="s">
        <v>877</v>
      </c>
      <c r="B5466" t="s">
        <v>1070</v>
      </c>
      <c r="C5466" t="s">
        <v>2327</v>
      </c>
    </row>
    <row r="5467" spans="1:3">
      <c r="A5467" t="s">
        <v>877</v>
      </c>
      <c r="B5467" t="s">
        <v>1070</v>
      </c>
      <c r="C5467" t="s">
        <v>2326</v>
      </c>
    </row>
    <row r="5468" spans="1:3">
      <c r="A5468" t="s">
        <v>877</v>
      </c>
      <c r="B5468" t="s">
        <v>1075</v>
      </c>
      <c r="C5468" t="s">
        <v>2336</v>
      </c>
    </row>
    <row r="5469" spans="1:3">
      <c r="A5469" t="s">
        <v>877</v>
      </c>
      <c r="B5469" t="s">
        <v>1075</v>
      </c>
      <c r="C5469" t="s">
        <v>2335</v>
      </c>
    </row>
    <row r="5470" spans="1:3">
      <c r="A5470" t="s">
        <v>877</v>
      </c>
      <c r="B5470" t="s">
        <v>1075</v>
      </c>
      <c r="C5470" t="s">
        <v>2334</v>
      </c>
    </row>
    <row r="5471" spans="1:3">
      <c r="A5471" t="s">
        <v>877</v>
      </c>
      <c r="B5471" t="s">
        <v>1075</v>
      </c>
      <c r="C5471" t="s">
        <v>2333</v>
      </c>
    </row>
    <row r="5472" spans="1:3">
      <c r="A5472" t="s">
        <v>877</v>
      </c>
      <c r="B5472" t="s">
        <v>1075</v>
      </c>
      <c r="C5472" t="s">
        <v>2332</v>
      </c>
    </row>
    <row r="5473" spans="1:3">
      <c r="A5473" t="s">
        <v>877</v>
      </c>
      <c r="B5473" t="s">
        <v>1075</v>
      </c>
      <c r="C5473" t="s">
        <v>2331</v>
      </c>
    </row>
    <row r="5474" spans="1:3">
      <c r="A5474" t="s">
        <v>877</v>
      </c>
      <c r="B5474" t="s">
        <v>1075</v>
      </c>
      <c r="C5474" t="s">
        <v>2330</v>
      </c>
    </row>
    <row r="5475" spans="1:3">
      <c r="A5475" t="s">
        <v>877</v>
      </c>
      <c r="B5475" t="s">
        <v>1075</v>
      </c>
      <c r="C5475" t="s">
        <v>2329</v>
      </c>
    </row>
    <row r="5476" spans="1:3">
      <c r="A5476" t="s">
        <v>867</v>
      </c>
      <c r="B5476" t="s">
        <v>1070</v>
      </c>
      <c r="C5476" t="s">
        <v>2300</v>
      </c>
    </row>
    <row r="5477" spans="1:3">
      <c r="A5477" t="s">
        <v>867</v>
      </c>
      <c r="B5477" t="s">
        <v>1070</v>
      </c>
      <c r="C5477" t="s">
        <v>2299</v>
      </c>
    </row>
    <row r="5478" spans="1:3">
      <c r="A5478" t="s">
        <v>867</v>
      </c>
      <c r="B5478" t="s">
        <v>1070</v>
      </c>
      <c r="C5478" t="s">
        <v>2298</v>
      </c>
    </row>
    <row r="5479" spans="1:3">
      <c r="A5479" t="s">
        <v>867</v>
      </c>
      <c r="B5479" t="s">
        <v>1070</v>
      </c>
      <c r="C5479" t="s">
        <v>2297</v>
      </c>
    </row>
    <row r="5480" spans="1:3">
      <c r="A5480" t="s">
        <v>867</v>
      </c>
      <c r="B5480" t="s">
        <v>1075</v>
      </c>
      <c r="C5480" t="s">
        <v>2325</v>
      </c>
    </row>
    <row r="5481" spans="1:3">
      <c r="A5481" t="s">
        <v>867</v>
      </c>
      <c r="B5481" t="s">
        <v>1075</v>
      </c>
      <c r="C5481" t="s">
        <v>2324</v>
      </c>
    </row>
    <row r="5482" spans="1:3">
      <c r="A5482" t="s">
        <v>867</v>
      </c>
      <c r="B5482" t="s">
        <v>1075</v>
      </c>
      <c r="C5482" t="s">
        <v>2323</v>
      </c>
    </row>
    <row r="5483" spans="1:3">
      <c r="A5483" t="s">
        <v>867</v>
      </c>
      <c r="B5483" t="s">
        <v>1075</v>
      </c>
      <c r="C5483" t="s">
        <v>2322</v>
      </c>
    </row>
    <row r="5484" spans="1:3">
      <c r="A5484" t="s">
        <v>867</v>
      </c>
      <c r="B5484" t="s">
        <v>1075</v>
      </c>
      <c r="C5484" t="s">
        <v>2321</v>
      </c>
    </row>
    <row r="5485" spans="1:3">
      <c r="A5485" t="s">
        <v>867</v>
      </c>
      <c r="B5485" t="s">
        <v>1075</v>
      </c>
      <c r="C5485" t="s">
        <v>2320</v>
      </c>
    </row>
    <row r="5486" spans="1:3">
      <c r="A5486" t="s">
        <v>867</v>
      </c>
      <c r="B5486" t="s">
        <v>1075</v>
      </c>
      <c r="C5486" t="s">
        <v>2319</v>
      </c>
    </row>
    <row r="5487" spans="1:3">
      <c r="A5487" t="s">
        <v>867</v>
      </c>
      <c r="B5487" t="s">
        <v>1075</v>
      </c>
      <c r="C5487" t="s">
        <v>2318</v>
      </c>
    </row>
    <row r="5488" spans="1:3">
      <c r="A5488" t="s">
        <v>867</v>
      </c>
      <c r="B5488" t="s">
        <v>1075</v>
      </c>
      <c r="C5488" t="s">
        <v>2317</v>
      </c>
    </row>
    <row r="5489" spans="1:3">
      <c r="A5489" t="s">
        <v>867</v>
      </c>
      <c r="B5489" t="s">
        <v>1075</v>
      </c>
      <c r="C5489" t="s">
        <v>2316</v>
      </c>
    </row>
    <row r="5490" spans="1:3">
      <c r="A5490" t="s">
        <v>867</v>
      </c>
      <c r="B5490" t="s">
        <v>1075</v>
      </c>
      <c r="C5490" t="s">
        <v>2315</v>
      </c>
    </row>
    <row r="5491" spans="1:3">
      <c r="A5491" t="s">
        <v>867</v>
      </c>
      <c r="B5491" t="s">
        <v>1075</v>
      </c>
      <c r="C5491" t="s">
        <v>2314</v>
      </c>
    </row>
    <row r="5492" spans="1:3">
      <c r="A5492" t="s">
        <v>867</v>
      </c>
      <c r="B5492" t="s">
        <v>1075</v>
      </c>
      <c r="C5492" t="s">
        <v>2313</v>
      </c>
    </row>
    <row r="5493" spans="1:3">
      <c r="A5493" t="s">
        <v>867</v>
      </c>
      <c r="B5493" t="s">
        <v>1075</v>
      </c>
      <c r="C5493" t="s">
        <v>2312</v>
      </c>
    </row>
    <row r="5494" spans="1:3">
      <c r="A5494" t="s">
        <v>867</v>
      </c>
      <c r="B5494" t="s">
        <v>1075</v>
      </c>
      <c r="C5494" t="s">
        <v>2311</v>
      </c>
    </row>
    <row r="5495" spans="1:3">
      <c r="A5495" t="s">
        <v>867</v>
      </c>
      <c r="B5495" t="s">
        <v>1075</v>
      </c>
      <c r="C5495" t="s">
        <v>2310</v>
      </c>
    </row>
    <row r="5496" spans="1:3">
      <c r="A5496" t="s">
        <v>867</v>
      </c>
      <c r="B5496" t="s">
        <v>1075</v>
      </c>
      <c r="C5496" t="s">
        <v>2309</v>
      </c>
    </row>
    <row r="5497" spans="1:3">
      <c r="A5497" t="s">
        <v>867</v>
      </c>
      <c r="B5497" t="s">
        <v>1075</v>
      </c>
      <c r="C5497" t="s">
        <v>2308</v>
      </c>
    </row>
    <row r="5498" spans="1:3">
      <c r="A5498" t="s">
        <v>867</v>
      </c>
      <c r="B5498" t="s">
        <v>1075</v>
      </c>
      <c r="C5498" t="s">
        <v>2307</v>
      </c>
    </row>
    <row r="5499" spans="1:3">
      <c r="A5499" t="s">
        <v>867</v>
      </c>
      <c r="B5499" t="s">
        <v>1075</v>
      </c>
      <c r="C5499" t="s">
        <v>2306</v>
      </c>
    </row>
    <row r="5500" spans="1:3">
      <c r="A5500" t="s">
        <v>867</v>
      </c>
      <c r="B5500" t="s">
        <v>1075</v>
      </c>
      <c r="C5500" t="s">
        <v>2305</v>
      </c>
    </row>
    <row r="5501" spans="1:3">
      <c r="A5501" t="s">
        <v>867</v>
      </c>
      <c r="B5501" t="s">
        <v>1075</v>
      </c>
      <c r="C5501" t="s">
        <v>2304</v>
      </c>
    </row>
    <row r="5502" spans="1:3">
      <c r="A5502" t="s">
        <v>867</v>
      </c>
      <c r="B5502" t="s">
        <v>1075</v>
      </c>
      <c r="C5502" t="s">
        <v>2303</v>
      </c>
    </row>
    <row r="5503" spans="1:3">
      <c r="A5503" t="s">
        <v>867</v>
      </c>
      <c r="B5503" t="s">
        <v>1075</v>
      </c>
      <c r="C5503" t="s">
        <v>2302</v>
      </c>
    </row>
    <row r="5504" spans="1:3">
      <c r="A5504" t="s">
        <v>867</v>
      </c>
      <c r="B5504" t="s">
        <v>1075</v>
      </c>
      <c r="C5504" t="s">
        <v>2301</v>
      </c>
    </row>
    <row r="5505" spans="1:3">
      <c r="A5505" t="s">
        <v>880</v>
      </c>
      <c r="B5505" t="s">
        <v>1070</v>
      </c>
      <c r="C5505" t="s">
        <v>2247</v>
      </c>
    </row>
    <row r="5506" spans="1:3">
      <c r="A5506" t="s">
        <v>880</v>
      </c>
      <c r="B5506" t="s">
        <v>1070</v>
      </c>
      <c r="C5506" t="s">
        <v>2246</v>
      </c>
    </row>
    <row r="5507" spans="1:3">
      <c r="A5507" t="s">
        <v>880</v>
      </c>
      <c r="B5507" t="s">
        <v>1070</v>
      </c>
      <c r="C5507" t="s">
        <v>2245</v>
      </c>
    </row>
    <row r="5508" spans="1:3">
      <c r="A5508" t="s">
        <v>880</v>
      </c>
      <c r="B5508" t="s">
        <v>1070</v>
      </c>
      <c r="C5508" t="s">
        <v>2244</v>
      </c>
    </row>
    <row r="5509" spans="1:3">
      <c r="A5509" t="s">
        <v>880</v>
      </c>
      <c r="B5509" t="s">
        <v>1070</v>
      </c>
      <c r="C5509" t="s">
        <v>2243</v>
      </c>
    </row>
    <row r="5510" spans="1:3">
      <c r="A5510" t="s">
        <v>880</v>
      </c>
      <c r="B5510" t="s">
        <v>1070</v>
      </c>
      <c r="C5510" t="s">
        <v>2242</v>
      </c>
    </row>
    <row r="5511" spans="1:3">
      <c r="A5511" t="s">
        <v>880</v>
      </c>
      <c r="B5511" t="s">
        <v>1075</v>
      </c>
      <c r="C5511" t="s">
        <v>2296</v>
      </c>
    </row>
    <row r="5512" spans="1:3">
      <c r="A5512" t="s">
        <v>880</v>
      </c>
      <c r="B5512" t="s">
        <v>1075</v>
      </c>
      <c r="C5512" t="s">
        <v>2295</v>
      </c>
    </row>
    <row r="5513" spans="1:3">
      <c r="A5513" t="s">
        <v>880</v>
      </c>
      <c r="B5513" t="s">
        <v>1075</v>
      </c>
      <c r="C5513" t="s">
        <v>2294</v>
      </c>
    </row>
    <row r="5514" spans="1:3">
      <c r="A5514" t="s">
        <v>880</v>
      </c>
      <c r="B5514" t="s">
        <v>1075</v>
      </c>
      <c r="C5514" t="s">
        <v>2293</v>
      </c>
    </row>
    <row r="5515" spans="1:3">
      <c r="A5515" t="s">
        <v>880</v>
      </c>
      <c r="B5515" t="s">
        <v>1075</v>
      </c>
      <c r="C5515" t="s">
        <v>2292</v>
      </c>
    </row>
    <row r="5516" spans="1:3">
      <c r="A5516" t="s">
        <v>880</v>
      </c>
      <c r="B5516" t="s">
        <v>1075</v>
      </c>
      <c r="C5516" t="s">
        <v>2291</v>
      </c>
    </row>
    <row r="5517" spans="1:3">
      <c r="A5517" t="s">
        <v>880</v>
      </c>
      <c r="B5517" t="s">
        <v>1075</v>
      </c>
      <c r="C5517" t="s">
        <v>2290</v>
      </c>
    </row>
    <row r="5518" spans="1:3">
      <c r="A5518" t="s">
        <v>880</v>
      </c>
      <c r="B5518" t="s">
        <v>1075</v>
      </c>
      <c r="C5518" t="s">
        <v>2289</v>
      </c>
    </row>
    <row r="5519" spans="1:3">
      <c r="A5519" t="s">
        <v>880</v>
      </c>
      <c r="B5519" t="s">
        <v>1075</v>
      </c>
      <c r="C5519" t="s">
        <v>2288</v>
      </c>
    </row>
    <row r="5520" spans="1:3">
      <c r="A5520" t="s">
        <v>880</v>
      </c>
      <c r="B5520" t="s">
        <v>1075</v>
      </c>
      <c r="C5520" t="s">
        <v>2287</v>
      </c>
    </row>
    <row r="5521" spans="1:3">
      <c r="A5521" t="s">
        <v>880</v>
      </c>
      <c r="B5521" t="s">
        <v>1075</v>
      </c>
      <c r="C5521" t="s">
        <v>2286</v>
      </c>
    </row>
    <row r="5522" spans="1:3">
      <c r="A5522" t="s">
        <v>880</v>
      </c>
      <c r="B5522" t="s">
        <v>1075</v>
      </c>
      <c r="C5522" t="s">
        <v>2285</v>
      </c>
    </row>
    <row r="5523" spans="1:3">
      <c r="A5523" t="s">
        <v>880</v>
      </c>
      <c r="B5523" t="s">
        <v>1075</v>
      </c>
      <c r="C5523" t="s">
        <v>2284</v>
      </c>
    </row>
    <row r="5524" spans="1:3">
      <c r="A5524" t="s">
        <v>880</v>
      </c>
      <c r="B5524" t="s">
        <v>1075</v>
      </c>
      <c r="C5524" t="s">
        <v>2283</v>
      </c>
    </row>
    <row r="5525" spans="1:3">
      <c r="A5525" t="s">
        <v>880</v>
      </c>
      <c r="B5525" t="s">
        <v>1075</v>
      </c>
      <c r="C5525" t="s">
        <v>2282</v>
      </c>
    </row>
    <row r="5526" spans="1:3">
      <c r="A5526" t="s">
        <v>880</v>
      </c>
      <c r="B5526" t="s">
        <v>1075</v>
      </c>
      <c r="C5526" t="s">
        <v>2281</v>
      </c>
    </row>
    <row r="5527" spans="1:3">
      <c r="A5527" t="s">
        <v>880</v>
      </c>
      <c r="B5527" t="s">
        <v>1075</v>
      </c>
      <c r="C5527" t="s">
        <v>2280</v>
      </c>
    </row>
    <row r="5528" spans="1:3">
      <c r="A5528" t="s">
        <v>880</v>
      </c>
      <c r="B5528" t="s">
        <v>1075</v>
      </c>
      <c r="C5528" t="s">
        <v>2279</v>
      </c>
    </row>
    <row r="5529" spans="1:3">
      <c r="A5529" t="s">
        <v>880</v>
      </c>
      <c r="B5529" t="s">
        <v>1075</v>
      </c>
      <c r="C5529" t="s">
        <v>2278</v>
      </c>
    </row>
    <row r="5530" spans="1:3">
      <c r="A5530" t="s">
        <v>880</v>
      </c>
      <c r="B5530" t="s">
        <v>1075</v>
      </c>
      <c r="C5530" t="s">
        <v>2277</v>
      </c>
    </row>
    <row r="5531" spans="1:3">
      <c r="A5531" t="s">
        <v>880</v>
      </c>
      <c r="B5531" t="s">
        <v>1075</v>
      </c>
      <c r="C5531" t="s">
        <v>2276</v>
      </c>
    </row>
    <row r="5532" spans="1:3">
      <c r="A5532" t="s">
        <v>880</v>
      </c>
      <c r="B5532" t="s">
        <v>1075</v>
      </c>
      <c r="C5532" t="s">
        <v>2275</v>
      </c>
    </row>
    <row r="5533" spans="1:3">
      <c r="A5533" t="s">
        <v>880</v>
      </c>
      <c r="B5533" t="s">
        <v>1075</v>
      </c>
      <c r="C5533" t="s">
        <v>2274</v>
      </c>
    </row>
    <row r="5534" spans="1:3">
      <c r="A5534" t="s">
        <v>880</v>
      </c>
      <c r="B5534" t="s">
        <v>1075</v>
      </c>
      <c r="C5534" t="s">
        <v>2273</v>
      </c>
    </row>
    <row r="5535" spans="1:3">
      <c r="A5535" t="s">
        <v>880</v>
      </c>
      <c r="B5535" t="s">
        <v>1075</v>
      </c>
      <c r="C5535" t="s">
        <v>2272</v>
      </c>
    </row>
    <row r="5536" spans="1:3">
      <c r="A5536" t="s">
        <v>880</v>
      </c>
      <c r="B5536" t="s">
        <v>1075</v>
      </c>
      <c r="C5536" t="s">
        <v>2271</v>
      </c>
    </row>
    <row r="5537" spans="1:3">
      <c r="A5537" t="s">
        <v>880</v>
      </c>
      <c r="B5537" t="s">
        <v>1075</v>
      </c>
      <c r="C5537" t="s">
        <v>2270</v>
      </c>
    </row>
    <row r="5538" spans="1:3">
      <c r="A5538" t="s">
        <v>880</v>
      </c>
      <c r="B5538" t="s">
        <v>1075</v>
      </c>
      <c r="C5538" t="s">
        <v>2269</v>
      </c>
    </row>
    <row r="5539" spans="1:3">
      <c r="A5539" t="s">
        <v>880</v>
      </c>
      <c r="B5539" t="s">
        <v>1075</v>
      </c>
      <c r="C5539" t="s">
        <v>2268</v>
      </c>
    </row>
    <row r="5540" spans="1:3">
      <c r="A5540" t="s">
        <v>880</v>
      </c>
      <c r="B5540" t="s">
        <v>1075</v>
      </c>
      <c r="C5540" t="s">
        <v>2267</v>
      </c>
    </row>
    <row r="5541" spans="1:3">
      <c r="A5541" t="s">
        <v>880</v>
      </c>
      <c r="B5541" t="s">
        <v>1075</v>
      </c>
      <c r="C5541" t="s">
        <v>2266</v>
      </c>
    </row>
    <row r="5542" spans="1:3">
      <c r="A5542" t="s">
        <v>880</v>
      </c>
      <c r="B5542" t="s">
        <v>1075</v>
      </c>
      <c r="C5542" t="s">
        <v>2265</v>
      </c>
    </row>
    <row r="5543" spans="1:3">
      <c r="A5543" t="s">
        <v>880</v>
      </c>
      <c r="B5543" t="s">
        <v>1075</v>
      </c>
      <c r="C5543" t="s">
        <v>2264</v>
      </c>
    </row>
    <row r="5544" spans="1:3">
      <c r="A5544" t="s">
        <v>880</v>
      </c>
      <c r="B5544" t="s">
        <v>1075</v>
      </c>
      <c r="C5544" t="s">
        <v>2263</v>
      </c>
    </row>
    <row r="5545" spans="1:3">
      <c r="A5545" t="s">
        <v>880</v>
      </c>
      <c r="B5545" t="s">
        <v>1075</v>
      </c>
      <c r="C5545" t="s">
        <v>2262</v>
      </c>
    </row>
    <row r="5546" spans="1:3">
      <c r="A5546" t="s">
        <v>880</v>
      </c>
      <c r="B5546" t="s">
        <v>1075</v>
      </c>
      <c r="C5546" t="s">
        <v>2261</v>
      </c>
    </row>
    <row r="5547" spans="1:3">
      <c r="A5547" t="s">
        <v>880</v>
      </c>
      <c r="B5547" t="s">
        <v>1075</v>
      </c>
      <c r="C5547" t="s">
        <v>2260</v>
      </c>
    </row>
    <row r="5548" spans="1:3">
      <c r="A5548" t="s">
        <v>880</v>
      </c>
      <c r="B5548" t="s">
        <v>1075</v>
      </c>
      <c r="C5548" t="s">
        <v>2259</v>
      </c>
    </row>
    <row r="5549" spans="1:3">
      <c r="A5549" t="s">
        <v>880</v>
      </c>
      <c r="B5549" t="s">
        <v>1075</v>
      </c>
      <c r="C5549" t="s">
        <v>2258</v>
      </c>
    </row>
    <row r="5550" spans="1:3">
      <c r="A5550" t="s">
        <v>880</v>
      </c>
      <c r="B5550" t="s">
        <v>1075</v>
      </c>
      <c r="C5550" t="s">
        <v>2257</v>
      </c>
    </row>
    <row r="5551" spans="1:3">
      <c r="A5551" t="s">
        <v>880</v>
      </c>
      <c r="B5551" t="s">
        <v>1075</v>
      </c>
      <c r="C5551" t="s">
        <v>2256</v>
      </c>
    </row>
    <row r="5552" spans="1:3">
      <c r="A5552" t="s">
        <v>880</v>
      </c>
      <c r="B5552" t="s">
        <v>1075</v>
      </c>
      <c r="C5552" t="s">
        <v>2255</v>
      </c>
    </row>
    <row r="5553" spans="1:3">
      <c r="A5553" t="s">
        <v>880</v>
      </c>
      <c r="B5553" t="s">
        <v>1075</v>
      </c>
      <c r="C5553" t="s">
        <v>2254</v>
      </c>
    </row>
    <row r="5554" spans="1:3">
      <c r="A5554" t="s">
        <v>880</v>
      </c>
      <c r="B5554" t="s">
        <v>1075</v>
      </c>
      <c r="C5554" t="s">
        <v>2253</v>
      </c>
    </row>
    <row r="5555" spans="1:3">
      <c r="A5555" t="s">
        <v>880</v>
      </c>
      <c r="B5555" t="s">
        <v>1075</v>
      </c>
      <c r="C5555" t="s">
        <v>2252</v>
      </c>
    </row>
    <row r="5556" spans="1:3">
      <c r="A5556" t="s">
        <v>880</v>
      </c>
      <c r="B5556" t="s">
        <v>1075</v>
      </c>
      <c r="C5556" t="s">
        <v>2251</v>
      </c>
    </row>
    <row r="5557" spans="1:3">
      <c r="A5557" t="s">
        <v>880</v>
      </c>
      <c r="B5557" t="s">
        <v>1075</v>
      </c>
      <c r="C5557" t="s">
        <v>2250</v>
      </c>
    </row>
    <row r="5558" spans="1:3">
      <c r="A5558" t="s">
        <v>880</v>
      </c>
      <c r="B5558" t="s">
        <v>1075</v>
      </c>
      <c r="C5558" t="s">
        <v>2249</v>
      </c>
    </row>
    <row r="5559" spans="1:3">
      <c r="A5559" t="s">
        <v>880</v>
      </c>
      <c r="B5559" t="s">
        <v>1075</v>
      </c>
      <c r="C5559" t="s">
        <v>2248</v>
      </c>
    </row>
    <row r="5560" spans="1:3">
      <c r="A5560" t="s">
        <v>881</v>
      </c>
      <c r="B5560" t="s">
        <v>1070</v>
      </c>
      <c r="C5560" t="s">
        <v>2228</v>
      </c>
    </row>
    <row r="5561" spans="1:3">
      <c r="A5561" t="s">
        <v>881</v>
      </c>
      <c r="B5561" t="s">
        <v>1075</v>
      </c>
      <c r="C5561" t="s">
        <v>2241</v>
      </c>
    </row>
    <row r="5562" spans="1:3">
      <c r="A5562" t="s">
        <v>881</v>
      </c>
      <c r="B5562" t="s">
        <v>1075</v>
      </c>
      <c r="C5562" t="s">
        <v>2240</v>
      </c>
    </row>
    <row r="5563" spans="1:3">
      <c r="A5563" t="s">
        <v>881</v>
      </c>
      <c r="B5563" t="s">
        <v>1075</v>
      </c>
      <c r="C5563" t="s">
        <v>2239</v>
      </c>
    </row>
    <row r="5564" spans="1:3">
      <c r="A5564" t="s">
        <v>881</v>
      </c>
      <c r="B5564" t="s">
        <v>1075</v>
      </c>
      <c r="C5564" t="s">
        <v>2238</v>
      </c>
    </row>
    <row r="5565" spans="1:3">
      <c r="A5565" t="s">
        <v>881</v>
      </c>
      <c r="B5565" t="s">
        <v>1075</v>
      </c>
      <c r="C5565" t="s">
        <v>2237</v>
      </c>
    </row>
    <row r="5566" spans="1:3">
      <c r="A5566" t="s">
        <v>881</v>
      </c>
      <c r="B5566" t="s">
        <v>1075</v>
      </c>
      <c r="C5566" t="s">
        <v>2236</v>
      </c>
    </row>
    <row r="5567" spans="1:3">
      <c r="A5567" t="s">
        <v>881</v>
      </c>
      <c r="B5567" t="s">
        <v>1075</v>
      </c>
      <c r="C5567" t="s">
        <v>2235</v>
      </c>
    </row>
    <row r="5568" spans="1:3">
      <c r="A5568" t="s">
        <v>881</v>
      </c>
      <c r="B5568" t="s">
        <v>1075</v>
      </c>
      <c r="C5568" t="s">
        <v>2234</v>
      </c>
    </row>
    <row r="5569" spans="1:3">
      <c r="A5569" t="s">
        <v>881</v>
      </c>
      <c r="B5569" t="s">
        <v>1075</v>
      </c>
      <c r="C5569" t="s">
        <v>2233</v>
      </c>
    </row>
    <row r="5570" spans="1:3">
      <c r="A5570" t="s">
        <v>881</v>
      </c>
      <c r="B5570" t="s">
        <v>1075</v>
      </c>
      <c r="C5570" t="s">
        <v>2232</v>
      </c>
    </row>
    <row r="5571" spans="1:3">
      <c r="A5571" t="s">
        <v>881</v>
      </c>
      <c r="B5571" t="s">
        <v>1075</v>
      </c>
      <c r="C5571" t="s">
        <v>2231</v>
      </c>
    </row>
    <row r="5572" spans="1:3">
      <c r="A5572" t="s">
        <v>881</v>
      </c>
      <c r="B5572" t="s">
        <v>1075</v>
      </c>
      <c r="C5572" t="s">
        <v>2230</v>
      </c>
    </row>
    <row r="5573" spans="1:3">
      <c r="A5573" t="s">
        <v>881</v>
      </c>
      <c r="B5573" t="s">
        <v>1075</v>
      </c>
      <c r="C5573" t="s">
        <v>2229</v>
      </c>
    </row>
    <row r="5574" spans="1:3">
      <c r="A5574" t="s">
        <v>888</v>
      </c>
      <c r="B5574" t="s">
        <v>1070</v>
      </c>
      <c r="C5574" t="s">
        <v>2214</v>
      </c>
    </row>
    <row r="5575" spans="1:3">
      <c r="A5575" t="s">
        <v>888</v>
      </c>
      <c r="B5575" t="s">
        <v>1075</v>
      </c>
      <c r="C5575" t="s">
        <v>2227</v>
      </c>
    </row>
    <row r="5576" spans="1:3">
      <c r="A5576" t="s">
        <v>888</v>
      </c>
      <c r="B5576" t="s">
        <v>1075</v>
      </c>
      <c r="C5576" t="s">
        <v>2226</v>
      </c>
    </row>
    <row r="5577" spans="1:3">
      <c r="A5577" t="s">
        <v>888</v>
      </c>
      <c r="B5577" t="s">
        <v>1075</v>
      </c>
      <c r="C5577" t="s">
        <v>2225</v>
      </c>
    </row>
    <row r="5578" spans="1:3">
      <c r="A5578" t="s">
        <v>888</v>
      </c>
      <c r="B5578" t="s">
        <v>1075</v>
      </c>
      <c r="C5578" t="s">
        <v>2224</v>
      </c>
    </row>
    <row r="5579" spans="1:3">
      <c r="A5579" t="s">
        <v>888</v>
      </c>
      <c r="B5579" t="s">
        <v>1075</v>
      </c>
      <c r="C5579" t="s">
        <v>2223</v>
      </c>
    </row>
    <row r="5580" spans="1:3">
      <c r="A5580" t="s">
        <v>888</v>
      </c>
      <c r="B5580" t="s">
        <v>1075</v>
      </c>
      <c r="C5580" t="s">
        <v>2222</v>
      </c>
    </row>
    <row r="5581" spans="1:3">
      <c r="A5581" t="s">
        <v>888</v>
      </c>
      <c r="B5581" t="s">
        <v>1075</v>
      </c>
      <c r="C5581" t="s">
        <v>2221</v>
      </c>
    </row>
    <row r="5582" spans="1:3">
      <c r="A5582" t="s">
        <v>888</v>
      </c>
      <c r="B5582" t="s">
        <v>1075</v>
      </c>
      <c r="C5582" t="s">
        <v>2220</v>
      </c>
    </row>
    <row r="5583" spans="1:3">
      <c r="A5583" t="s">
        <v>888</v>
      </c>
      <c r="B5583" t="s">
        <v>1075</v>
      </c>
      <c r="C5583" t="s">
        <v>2219</v>
      </c>
    </row>
    <row r="5584" spans="1:3">
      <c r="A5584" t="s">
        <v>888</v>
      </c>
      <c r="B5584" t="s">
        <v>1075</v>
      </c>
      <c r="C5584" t="s">
        <v>2218</v>
      </c>
    </row>
    <row r="5585" spans="1:3">
      <c r="A5585" t="s">
        <v>888</v>
      </c>
      <c r="B5585" t="s">
        <v>1075</v>
      </c>
      <c r="C5585" t="s">
        <v>2217</v>
      </c>
    </row>
    <row r="5586" spans="1:3">
      <c r="A5586" t="s">
        <v>888</v>
      </c>
      <c r="B5586" t="s">
        <v>1075</v>
      </c>
      <c r="C5586" t="s">
        <v>2216</v>
      </c>
    </row>
    <row r="5587" spans="1:3">
      <c r="A5587" t="s">
        <v>888</v>
      </c>
      <c r="B5587" t="s">
        <v>1075</v>
      </c>
      <c r="C5587" t="s">
        <v>2215</v>
      </c>
    </row>
    <row r="5588" spans="1:3">
      <c r="A5588" t="s">
        <v>890</v>
      </c>
      <c r="B5588" t="s">
        <v>1070</v>
      </c>
      <c r="C5588" t="s">
        <v>2176</v>
      </c>
    </row>
    <row r="5589" spans="1:3">
      <c r="A5589" t="s">
        <v>890</v>
      </c>
      <c r="B5589" t="s">
        <v>1070</v>
      </c>
      <c r="C5589" t="s">
        <v>2175</v>
      </c>
    </row>
    <row r="5590" spans="1:3">
      <c r="A5590" t="s">
        <v>890</v>
      </c>
      <c r="B5590" t="s">
        <v>1070</v>
      </c>
      <c r="C5590" t="s">
        <v>2174</v>
      </c>
    </row>
    <row r="5591" spans="1:3">
      <c r="A5591" t="s">
        <v>890</v>
      </c>
      <c r="B5591" t="s">
        <v>1070</v>
      </c>
      <c r="C5591" t="s">
        <v>2173</v>
      </c>
    </row>
    <row r="5592" spans="1:3">
      <c r="A5592" t="s">
        <v>890</v>
      </c>
      <c r="B5592" t="s">
        <v>1070</v>
      </c>
      <c r="C5592" t="s">
        <v>2172</v>
      </c>
    </row>
    <row r="5593" spans="1:3">
      <c r="A5593" t="s">
        <v>890</v>
      </c>
      <c r="B5593" t="s">
        <v>1075</v>
      </c>
      <c r="C5593" t="s">
        <v>2213</v>
      </c>
    </row>
    <row r="5594" spans="1:3">
      <c r="A5594" t="s">
        <v>890</v>
      </c>
      <c r="B5594" t="s">
        <v>1075</v>
      </c>
      <c r="C5594" t="s">
        <v>2212</v>
      </c>
    </row>
    <row r="5595" spans="1:3">
      <c r="A5595" t="s">
        <v>890</v>
      </c>
      <c r="B5595" t="s">
        <v>1075</v>
      </c>
      <c r="C5595" t="s">
        <v>2211</v>
      </c>
    </row>
    <row r="5596" spans="1:3">
      <c r="A5596" t="s">
        <v>890</v>
      </c>
      <c r="B5596" t="s">
        <v>1075</v>
      </c>
      <c r="C5596" t="s">
        <v>2210</v>
      </c>
    </row>
    <row r="5597" spans="1:3">
      <c r="A5597" t="s">
        <v>890</v>
      </c>
      <c r="B5597" t="s">
        <v>1075</v>
      </c>
      <c r="C5597" t="s">
        <v>2209</v>
      </c>
    </row>
    <row r="5598" spans="1:3">
      <c r="A5598" t="s">
        <v>890</v>
      </c>
      <c r="B5598" t="s">
        <v>1075</v>
      </c>
      <c r="C5598" t="s">
        <v>2208</v>
      </c>
    </row>
    <row r="5599" spans="1:3">
      <c r="A5599" t="s">
        <v>890</v>
      </c>
      <c r="B5599" t="s">
        <v>1075</v>
      </c>
      <c r="C5599" t="s">
        <v>2207</v>
      </c>
    </row>
    <row r="5600" spans="1:3">
      <c r="A5600" t="s">
        <v>890</v>
      </c>
      <c r="B5600" t="s">
        <v>1075</v>
      </c>
      <c r="C5600" t="s">
        <v>2206</v>
      </c>
    </row>
    <row r="5601" spans="1:3">
      <c r="A5601" t="s">
        <v>890</v>
      </c>
      <c r="B5601" t="s">
        <v>1075</v>
      </c>
      <c r="C5601" t="s">
        <v>2205</v>
      </c>
    </row>
    <row r="5602" spans="1:3">
      <c r="A5602" t="s">
        <v>890</v>
      </c>
      <c r="B5602" t="s">
        <v>1075</v>
      </c>
      <c r="C5602" t="s">
        <v>2204</v>
      </c>
    </row>
    <row r="5603" spans="1:3">
      <c r="A5603" t="s">
        <v>890</v>
      </c>
      <c r="B5603" t="s">
        <v>1075</v>
      </c>
      <c r="C5603" t="s">
        <v>2203</v>
      </c>
    </row>
    <row r="5604" spans="1:3">
      <c r="A5604" t="s">
        <v>890</v>
      </c>
      <c r="B5604" t="s">
        <v>1075</v>
      </c>
      <c r="C5604" t="s">
        <v>2202</v>
      </c>
    </row>
    <row r="5605" spans="1:3">
      <c r="A5605" t="s">
        <v>890</v>
      </c>
      <c r="B5605" t="s">
        <v>1075</v>
      </c>
      <c r="C5605" t="s">
        <v>2201</v>
      </c>
    </row>
    <row r="5606" spans="1:3">
      <c r="A5606" t="s">
        <v>890</v>
      </c>
      <c r="B5606" t="s">
        <v>1075</v>
      </c>
      <c r="C5606" t="s">
        <v>2200</v>
      </c>
    </row>
    <row r="5607" spans="1:3">
      <c r="A5607" t="s">
        <v>890</v>
      </c>
      <c r="B5607" t="s">
        <v>1075</v>
      </c>
      <c r="C5607" t="s">
        <v>2199</v>
      </c>
    </row>
    <row r="5608" spans="1:3">
      <c r="A5608" t="s">
        <v>890</v>
      </c>
      <c r="B5608" t="s">
        <v>1075</v>
      </c>
      <c r="C5608" t="s">
        <v>2198</v>
      </c>
    </row>
    <row r="5609" spans="1:3">
      <c r="A5609" t="s">
        <v>890</v>
      </c>
      <c r="B5609" t="s">
        <v>1075</v>
      </c>
      <c r="C5609" t="s">
        <v>2197</v>
      </c>
    </row>
    <row r="5610" spans="1:3">
      <c r="A5610" t="s">
        <v>890</v>
      </c>
      <c r="B5610" t="s">
        <v>1075</v>
      </c>
      <c r="C5610" t="s">
        <v>2196</v>
      </c>
    </row>
    <row r="5611" spans="1:3">
      <c r="A5611" t="s">
        <v>890</v>
      </c>
      <c r="B5611" t="s">
        <v>1075</v>
      </c>
      <c r="C5611" t="s">
        <v>2195</v>
      </c>
    </row>
    <row r="5612" spans="1:3">
      <c r="A5612" t="s">
        <v>890</v>
      </c>
      <c r="B5612" t="s">
        <v>1075</v>
      </c>
      <c r="C5612" t="s">
        <v>2194</v>
      </c>
    </row>
    <row r="5613" spans="1:3">
      <c r="A5613" t="s">
        <v>890</v>
      </c>
      <c r="B5613" t="s">
        <v>1075</v>
      </c>
      <c r="C5613" t="s">
        <v>2193</v>
      </c>
    </row>
    <row r="5614" spans="1:3">
      <c r="A5614" t="s">
        <v>890</v>
      </c>
      <c r="B5614" t="s">
        <v>1075</v>
      </c>
      <c r="C5614" t="s">
        <v>2192</v>
      </c>
    </row>
    <row r="5615" spans="1:3">
      <c r="A5615" t="s">
        <v>890</v>
      </c>
      <c r="B5615" t="s">
        <v>1075</v>
      </c>
      <c r="C5615" t="s">
        <v>2191</v>
      </c>
    </row>
    <row r="5616" spans="1:3">
      <c r="A5616" t="s">
        <v>890</v>
      </c>
      <c r="B5616" t="s">
        <v>1075</v>
      </c>
      <c r="C5616" t="s">
        <v>2190</v>
      </c>
    </row>
    <row r="5617" spans="1:3">
      <c r="A5617" t="s">
        <v>890</v>
      </c>
      <c r="B5617" t="s">
        <v>1075</v>
      </c>
      <c r="C5617" t="s">
        <v>2189</v>
      </c>
    </row>
    <row r="5618" spans="1:3">
      <c r="A5618" t="s">
        <v>890</v>
      </c>
      <c r="B5618" t="s">
        <v>1075</v>
      </c>
      <c r="C5618" t="s">
        <v>2188</v>
      </c>
    </row>
    <row r="5619" spans="1:3">
      <c r="A5619" t="s">
        <v>890</v>
      </c>
      <c r="B5619" t="s">
        <v>1075</v>
      </c>
      <c r="C5619" t="s">
        <v>2187</v>
      </c>
    </row>
    <row r="5620" spans="1:3">
      <c r="A5620" t="s">
        <v>890</v>
      </c>
      <c r="B5620" t="s">
        <v>1075</v>
      </c>
      <c r="C5620" t="s">
        <v>2186</v>
      </c>
    </row>
    <row r="5621" spans="1:3">
      <c r="A5621" t="s">
        <v>890</v>
      </c>
      <c r="B5621" t="s">
        <v>1075</v>
      </c>
      <c r="C5621" t="s">
        <v>2185</v>
      </c>
    </row>
    <row r="5622" spans="1:3">
      <c r="A5622" t="s">
        <v>890</v>
      </c>
      <c r="B5622" t="s">
        <v>1075</v>
      </c>
      <c r="C5622" t="s">
        <v>2184</v>
      </c>
    </row>
    <row r="5623" spans="1:3">
      <c r="A5623" t="s">
        <v>890</v>
      </c>
      <c r="B5623" t="s">
        <v>1075</v>
      </c>
      <c r="C5623" t="s">
        <v>2183</v>
      </c>
    </row>
    <row r="5624" spans="1:3">
      <c r="A5624" t="s">
        <v>890</v>
      </c>
      <c r="B5624" t="s">
        <v>1075</v>
      </c>
      <c r="C5624" t="s">
        <v>2182</v>
      </c>
    </row>
    <row r="5625" spans="1:3">
      <c r="A5625" t="s">
        <v>890</v>
      </c>
      <c r="B5625" t="s">
        <v>1075</v>
      </c>
      <c r="C5625" t="s">
        <v>2181</v>
      </c>
    </row>
    <row r="5626" spans="1:3">
      <c r="A5626" t="s">
        <v>890</v>
      </c>
      <c r="B5626" t="s">
        <v>1075</v>
      </c>
      <c r="C5626" t="s">
        <v>2180</v>
      </c>
    </row>
    <row r="5627" spans="1:3">
      <c r="A5627" t="s">
        <v>890</v>
      </c>
      <c r="B5627" t="s">
        <v>1075</v>
      </c>
      <c r="C5627" t="s">
        <v>2179</v>
      </c>
    </row>
    <row r="5628" spans="1:3">
      <c r="A5628" t="s">
        <v>890</v>
      </c>
      <c r="B5628" t="s">
        <v>1075</v>
      </c>
      <c r="C5628" t="s">
        <v>2178</v>
      </c>
    </row>
    <row r="5629" spans="1:3">
      <c r="A5629" t="s">
        <v>890</v>
      </c>
      <c r="B5629" t="s">
        <v>1075</v>
      </c>
      <c r="C5629" t="s">
        <v>2177</v>
      </c>
    </row>
    <row r="5630" spans="1:3">
      <c r="A5630" t="s">
        <v>889</v>
      </c>
      <c r="B5630" t="s">
        <v>1070</v>
      </c>
      <c r="C5630" t="s">
        <v>2134</v>
      </c>
    </row>
    <row r="5631" spans="1:3">
      <c r="A5631" t="s">
        <v>889</v>
      </c>
      <c r="B5631" t="s">
        <v>1070</v>
      </c>
      <c r="C5631" t="s">
        <v>2133</v>
      </c>
    </row>
    <row r="5632" spans="1:3">
      <c r="A5632" t="s">
        <v>889</v>
      </c>
      <c r="B5632" t="s">
        <v>1070</v>
      </c>
      <c r="C5632" t="s">
        <v>2132</v>
      </c>
    </row>
    <row r="5633" spans="1:3">
      <c r="A5633" t="s">
        <v>889</v>
      </c>
      <c r="B5633" t="s">
        <v>1070</v>
      </c>
      <c r="C5633" t="s">
        <v>2131</v>
      </c>
    </row>
    <row r="5634" spans="1:3">
      <c r="A5634" t="s">
        <v>889</v>
      </c>
      <c r="B5634" t="s">
        <v>1070</v>
      </c>
      <c r="C5634" t="s">
        <v>2130</v>
      </c>
    </row>
    <row r="5635" spans="1:3">
      <c r="A5635" t="s">
        <v>889</v>
      </c>
      <c r="B5635" t="s">
        <v>1075</v>
      </c>
      <c r="C5635" t="s">
        <v>2171</v>
      </c>
    </row>
    <row r="5636" spans="1:3">
      <c r="A5636" t="s">
        <v>889</v>
      </c>
      <c r="B5636" t="s">
        <v>1075</v>
      </c>
      <c r="C5636" t="s">
        <v>2170</v>
      </c>
    </row>
    <row r="5637" spans="1:3">
      <c r="A5637" t="s">
        <v>889</v>
      </c>
      <c r="B5637" t="s">
        <v>1075</v>
      </c>
      <c r="C5637" t="s">
        <v>2169</v>
      </c>
    </row>
    <row r="5638" spans="1:3">
      <c r="A5638" t="s">
        <v>889</v>
      </c>
      <c r="B5638" t="s">
        <v>1075</v>
      </c>
      <c r="C5638" t="s">
        <v>2168</v>
      </c>
    </row>
    <row r="5639" spans="1:3">
      <c r="A5639" t="s">
        <v>889</v>
      </c>
      <c r="B5639" t="s">
        <v>1075</v>
      </c>
      <c r="C5639" t="s">
        <v>2167</v>
      </c>
    </row>
    <row r="5640" spans="1:3">
      <c r="A5640" t="s">
        <v>889</v>
      </c>
      <c r="B5640" t="s">
        <v>1075</v>
      </c>
      <c r="C5640" t="s">
        <v>2166</v>
      </c>
    </row>
    <row r="5641" spans="1:3">
      <c r="A5641" t="s">
        <v>889</v>
      </c>
      <c r="B5641" t="s">
        <v>1075</v>
      </c>
      <c r="C5641" t="s">
        <v>2165</v>
      </c>
    </row>
    <row r="5642" spans="1:3">
      <c r="A5642" t="s">
        <v>889</v>
      </c>
      <c r="B5642" t="s">
        <v>1075</v>
      </c>
      <c r="C5642" t="s">
        <v>2164</v>
      </c>
    </row>
    <row r="5643" spans="1:3">
      <c r="A5643" t="s">
        <v>889</v>
      </c>
      <c r="B5643" t="s">
        <v>1075</v>
      </c>
      <c r="C5643" t="s">
        <v>2163</v>
      </c>
    </row>
    <row r="5644" spans="1:3">
      <c r="A5644" t="s">
        <v>889</v>
      </c>
      <c r="B5644" t="s">
        <v>1075</v>
      </c>
      <c r="C5644" t="s">
        <v>2162</v>
      </c>
    </row>
    <row r="5645" spans="1:3">
      <c r="A5645" t="s">
        <v>889</v>
      </c>
      <c r="B5645" t="s">
        <v>1075</v>
      </c>
      <c r="C5645" t="s">
        <v>2161</v>
      </c>
    </row>
    <row r="5646" spans="1:3">
      <c r="A5646" t="s">
        <v>889</v>
      </c>
      <c r="B5646" t="s">
        <v>1075</v>
      </c>
      <c r="C5646" t="s">
        <v>2160</v>
      </c>
    </row>
    <row r="5647" spans="1:3">
      <c r="A5647" t="s">
        <v>889</v>
      </c>
      <c r="B5647" t="s">
        <v>1075</v>
      </c>
      <c r="C5647" t="s">
        <v>2159</v>
      </c>
    </row>
    <row r="5648" spans="1:3">
      <c r="A5648" t="s">
        <v>889</v>
      </c>
      <c r="B5648" t="s">
        <v>1075</v>
      </c>
      <c r="C5648" t="s">
        <v>2158</v>
      </c>
    </row>
    <row r="5649" spans="1:3">
      <c r="A5649" t="s">
        <v>889</v>
      </c>
      <c r="B5649" t="s">
        <v>1075</v>
      </c>
      <c r="C5649" t="s">
        <v>2157</v>
      </c>
    </row>
    <row r="5650" spans="1:3">
      <c r="A5650" t="s">
        <v>889</v>
      </c>
      <c r="B5650" t="s">
        <v>1075</v>
      </c>
      <c r="C5650" t="s">
        <v>2156</v>
      </c>
    </row>
    <row r="5651" spans="1:3">
      <c r="A5651" t="s">
        <v>889</v>
      </c>
      <c r="B5651" t="s">
        <v>1075</v>
      </c>
      <c r="C5651" t="s">
        <v>2155</v>
      </c>
    </row>
    <row r="5652" spans="1:3">
      <c r="A5652" t="s">
        <v>889</v>
      </c>
      <c r="B5652" t="s">
        <v>1075</v>
      </c>
      <c r="C5652" t="s">
        <v>2154</v>
      </c>
    </row>
    <row r="5653" spans="1:3">
      <c r="A5653" t="s">
        <v>889</v>
      </c>
      <c r="B5653" t="s">
        <v>1075</v>
      </c>
      <c r="C5653" t="s">
        <v>2153</v>
      </c>
    </row>
    <row r="5654" spans="1:3">
      <c r="A5654" t="s">
        <v>889</v>
      </c>
      <c r="B5654" t="s">
        <v>1075</v>
      </c>
      <c r="C5654" t="s">
        <v>2152</v>
      </c>
    </row>
    <row r="5655" spans="1:3">
      <c r="A5655" t="s">
        <v>889</v>
      </c>
      <c r="B5655" t="s">
        <v>1075</v>
      </c>
      <c r="C5655" t="s">
        <v>2151</v>
      </c>
    </row>
    <row r="5656" spans="1:3">
      <c r="A5656" t="s">
        <v>889</v>
      </c>
      <c r="B5656" t="s">
        <v>1075</v>
      </c>
      <c r="C5656" t="s">
        <v>2150</v>
      </c>
    </row>
    <row r="5657" spans="1:3">
      <c r="A5657" t="s">
        <v>889</v>
      </c>
      <c r="B5657" t="s">
        <v>1075</v>
      </c>
      <c r="C5657" t="s">
        <v>2149</v>
      </c>
    </row>
    <row r="5658" spans="1:3">
      <c r="A5658" t="s">
        <v>889</v>
      </c>
      <c r="B5658" t="s">
        <v>1075</v>
      </c>
      <c r="C5658" t="s">
        <v>2148</v>
      </c>
    </row>
    <row r="5659" spans="1:3">
      <c r="A5659" t="s">
        <v>889</v>
      </c>
      <c r="B5659" t="s">
        <v>1075</v>
      </c>
      <c r="C5659" t="s">
        <v>2147</v>
      </c>
    </row>
    <row r="5660" spans="1:3">
      <c r="A5660" t="s">
        <v>889</v>
      </c>
      <c r="B5660" t="s">
        <v>1075</v>
      </c>
      <c r="C5660" t="s">
        <v>2146</v>
      </c>
    </row>
    <row r="5661" spans="1:3">
      <c r="A5661" t="s">
        <v>889</v>
      </c>
      <c r="B5661" t="s">
        <v>1075</v>
      </c>
      <c r="C5661" t="s">
        <v>2145</v>
      </c>
    </row>
    <row r="5662" spans="1:3">
      <c r="A5662" t="s">
        <v>889</v>
      </c>
      <c r="B5662" t="s">
        <v>1075</v>
      </c>
      <c r="C5662" t="s">
        <v>2144</v>
      </c>
    </row>
    <row r="5663" spans="1:3">
      <c r="A5663" t="s">
        <v>889</v>
      </c>
      <c r="B5663" t="s">
        <v>1075</v>
      </c>
      <c r="C5663" t="s">
        <v>2143</v>
      </c>
    </row>
    <row r="5664" spans="1:3">
      <c r="A5664" t="s">
        <v>889</v>
      </c>
      <c r="B5664" t="s">
        <v>1075</v>
      </c>
      <c r="C5664" t="s">
        <v>2142</v>
      </c>
    </row>
    <row r="5665" spans="1:3">
      <c r="A5665" t="s">
        <v>889</v>
      </c>
      <c r="B5665" t="s">
        <v>1075</v>
      </c>
      <c r="C5665" t="s">
        <v>2141</v>
      </c>
    </row>
    <row r="5666" spans="1:3">
      <c r="A5666" t="s">
        <v>889</v>
      </c>
      <c r="B5666" t="s">
        <v>1075</v>
      </c>
      <c r="C5666" t="s">
        <v>2140</v>
      </c>
    </row>
    <row r="5667" spans="1:3">
      <c r="A5667" t="s">
        <v>889</v>
      </c>
      <c r="B5667" t="s">
        <v>1075</v>
      </c>
      <c r="C5667" t="s">
        <v>2139</v>
      </c>
    </row>
    <row r="5668" spans="1:3">
      <c r="A5668" t="s">
        <v>889</v>
      </c>
      <c r="B5668" t="s">
        <v>1075</v>
      </c>
      <c r="C5668" t="s">
        <v>2138</v>
      </c>
    </row>
    <row r="5669" spans="1:3">
      <c r="A5669" t="s">
        <v>889</v>
      </c>
      <c r="B5669" t="s">
        <v>1075</v>
      </c>
      <c r="C5669" t="s">
        <v>2137</v>
      </c>
    </row>
    <row r="5670" spans="1:3">
      <c r="A5670" t="s">
        <v>889</v>
      </c>
      <c r="B5670" t="s">
        <v>1075</v>
      </c>
      <c r="C5670" t="s">
        <v>2136</v>
      </c>
    </row>
    <row r="5671" spans="1:3">
      <c r="A5671" t="s">
        <v>889</v>
      </c>
      <c r="B5671" t="s">
        <v>1075</v>
      </c>
      <c r="C5671" t="s">
        <v>2135</v>
      </c>
    </row>
    <row r="5672" spans="1:3">
      <c r="A5672" t="s">
        <v>891</v>
      </c>
      <c r="B5672" t="s">
        <v>1070</v>
      </c>
      <c r="C5672" t="s">
        <v>2104</v>
      </c>
    </row>
    <row r="5673" spans="1:3">
      <c r="A5673" t="s">
        <v>891</v>
      </c>
      <c r="B5673" t="s">
        <v>1070</v>
      </c>
      <c r="C5673" t="s">
        <v>2103</v>
      </c>
    </row>
    <row r="5674" spans="1:3">
      <c r="A5674" t="s">
        <v>891</v>
      </c>
      <c r="B5674" t="s">
        <v>1070</v>
      </c>
      <c r="C5674" t="s">
        <v>2102</v>
      </c>
    </row>
    <row r="5675" spans="1:3">
      <c r="A5675" t="s">
        <v>891</v>
      </c>
      <c r="B5675" t="s">
        <v>1070</v>
      </c>
      <c r="C5675" t="s">
        <v>2101</v>
      </c>
    </row>
    <row r="5676" spans="1:3">
      <c r="A5676" t="s">
        <v>891</v>
      </c>
      <c r="B5676" t="s">
        <v>1075</v>
      </c>
      <c r="C5676" t="s">
        <v>2129</v>
      </c>
    </row>
    <row r="5677" spans="1:3">
      <c r="A5677" t="s">
        <v>891</v>
      </c>
      <c r="B5677" t="s">
        <v>1075</v>
      </c>
      <c r="C5677" t="s">
        <v>2128</v>
      </c>
    </row>
    <row r="5678" spans="1:3">
      <c r="A5678" t="s">
        <v>891</v>
      </c>
      <c r="B5678" t="s">
        <v>1075</v>
      </c>
      <c r="C5678" t="s">
        <v>2127</v>
      </c>
    </row>
    <row r="5679" spans="1:3">
      <c r="A5679" t="s">
        <v>891</v>
      </c>
      <c r="B5679" t="s">
        <v>1075</v>
      </c>
      <c r="C5679" t="s">
        <v>2126</v>
      </c>
    </row>
    <row r="5680" spans="1:3">
      <c r="A5680" t="s">
        <v>891</v>
      </c>
      <c r="B5680" t="s">
        <v>1075</v>
      </c>
      <c r="C5680" t="s">
        <v>2125</v>
      </c>
    </row>
    <row r="5681" spans="1:3">
      <c r="A5681" t="s">
        <v>891</v>
      </c>
      <c r="B5681" t="s">
        <v>1075</v>
      </c>
      <c r="C5681" t="s">
        <v>2124</v>
      </c>
    </row>
    <row r="5682" spans="1:3">
      <c r="A5682" t="s">
        <v>891</v>
      </c>
      <c r="B5682" t="s">
        <v>1075</v>
      </c>
      <c r="C5682" t="s">
        <v>2123</v>
      </c>
    </row>
    <row r="5683" spans="1:3">
      <c r="A5683" t="s">
        <v>891</v>
      </c>
      <c r="B5683" t="s">
        <v>1075</v>
      </c>
      <c r="C5683" t="s">
        <v>2122</v>
      </c>
    </row>
    <row r="5684" spans="1:3">
      <c r="A5684" t="s">
        <v>891</v>
      </c>
      <c r="B5684" t="s">
        <v>1075</v>
      </c>
      <c r="C5684" t="s">
        <v>2121</v>
      </c>
    </row>
    <row r="5685" spans="1:3">
      <c r="A5685" t="s">
        <v>891</v>
      </c>
      <c r="B5685" t="s">
        <v>1075</v>
      </c>
      <c r="C5685" t="s">
        <v>2120</v>
      </c>
    </row>
    <row r="5686" spans="1:3">
      <c r="A5686" t="s">
        <v>891</v>
      </c>
      <c r="B5686" t="s">
        <v>1075</v>
      </c>
      <c r="C5686" t="s">
        <v>2119</v>
      </c>
    </row>
    <row r="5687" spans="1:3">
      <c r="A5687" t="s">
        <v>891</v>
      </c>
      <c r="B5687" t="s">
        <v>1075</v>
      </c>
      <c r="C5687" t="s">
        <v>2118</v>
      </c>
    </row>
    <row r="5688" spans="1:3">
      <c r="A5688" t="s">
        <v>891</v>
      </c>
      <c r="B5688" t="s">
        <v>1075</v>
      </c>
      <c r="C5688" t="s">
        <v>2117</v>
      </c>
    </row>
    <row r="5689" spans="1:3">
      <c r="A5689" t="s">
        <v>891</v>
      </c>
      <c r="B5689" t="s">
        <v>1075</v>
      </c>
      <c r="C5689" t="s">
        <v>2116</v>
      </c>
    </row>
    <row r="5690" spans="1:3">
      <c r="A5690" t="s">
        <v>891</v>
      </c>
      <c r="B5690" t="s">
        <v>1075</v>
      </c>
      <c r="C5690" t="s">
        <v>2115</v>
      </c>
    </row>
    <row r="5691" spans="1:3">
      <c r="A5691" t="s">
        <v>891</v>
      </c>
      <c r="B5691" t="s">
        <v>1075</v>
      </c>
      <c r="C5691" t="s">
        <v>2114</v>
      </c>
    </row>
    <row r="5692" spans="1:3">
      <c r="A5692" t="s">
        <v>891</v>
      </c>
      <c r="B5692" t="s">
        <v>1075</v>
      </c>
      <c r="C5692" t="s">
        <v>2113</v>
      </c>
    </row>
    <row r="5693" spans="1:3">
      <c r="A5693" t="s">
        <v>891</v>
      </c>
      <c r="B5693" t="s">
        <v>1075</v>
      </c>
      <c r="C5693" t="s">
        <v>2112</v>
      </c>
    </row>
    <row r="5694" spans="1:3">
      <c r="A5694" t="s">
        <v>891</v>
      </c>
      <c r="B5694" t="s">
        <v>1075</v>
      </c>
      <c r="C5694" t="s">
        <v>2111</v>
      </c>
    </row>
    <row r="5695" spans="1:3">
      <c r="A5695" t="s">
        <v>891</v>
      </c>
      <c r="B5695" t="s">
        <v>1075</v>
      </c>
      <c r="C5695" t="s">
        <v>2110</v>
      </c>
    </row>
    <row r="5696" spans="1:3">
      <c r="A5696" t="s">
        <v>891</v>
      </c>
      <c r="B5696" t="s">
        <v>1075</v>
      </c>
      <c r="C5696" t="s">
        <v>2109</v>
      </c>
    </row>
    <row r="5697" spans="1:3">
      <c r="A5697" t="s">
        <v>891</v>
      </c>
      <c r="B5697" t="s">
        <v>1075</v>
      </c>
      <c r="C5697" t="s">
        <v>2108</v>
      </c>
    </row>
    <row r="5698" spans="1:3">
      <c r="A5698" t="s">
        <v>891</v>
      </c>
      <c r="B5698" t="s">
        <v>1075</v>
      </c>
      <c r="C5698" t="s">
        <v>2107</v>
      </c>
    </row>
    <row r="5699" spans="1:3">
      <c r="A5699" t="s">
        <v>891</v>
      </c>
      <c r="B5699" t="s">
        <v>1075</v>
      </c>
      <c r="C5699" t="s">
        <v>2106</v>
      </c>
    </row>
    <row r="5700" spans="1:3">
      <c r="A5700" t="s">
        <v>891</v>
      </c>
      <c r="B5700" t="s">
        <v>1075</v>
      </c>
      <c r="C5700" t="s">
        <v>2105</v>
      </c>
    </row>
    <row r="5701" spans="1:3">
      <c r="A5701" t="s">
        <v>878</v>
      </c>
      <c r="B5701" t="s">
        <v>1070</v>
      </c>
      <c r="C5701" t="s">
        <v>2027</v>
      </c>
    </row>
    <row r="5702" spans="1:3">
      <c r="A5702" t="s">
        <v>878</v>
      </c>
      <c r="B5702" t="s">
        <v>1070</v>
      </c>
      <c r="C5702" t="s">
        <v>2026</v>
      </c>
    </row>
    <row r="5703" spans="1:3">
      <c r="A5703" t="s">
        <v>878</v>
      </c>
      <c r="B5703" t="s">
        <v>1070</v>
      </c>
      <c r="C5703" t="s">
        <v>2025</v>
      </c>
    </row>
    <row r="5704" spans="1:3">
      <c r="A5704" t="s">
        <v>878</v>
      </c>
      <c r="B5704" t="s">
        <v>1070</v>
      </c>
      <c r="C5704" t="s">
        <v>2024</v>
      </c>
    </row>
    <row r="5705" spans="1:3">
      <c r="A5705" t="s">
        <v>878</v>
      </c>
      <c r="B5705" t="s">
        <v>1070</v>
      </c>
      <c r="C5705" t="s">
        <v>2023</v>
      </c>
    </row>
    <row r="5706" spans="1:3">
      <c r="A5706" t="s">
        <v>878</v>
      </c>
      <c r="B5706" t="s">
        <v>1070</v>
      </c>
      <c r="C5706" t="s">
        <v>2022</v>
      </c>
    </row>
    <row r="5707" spans="1:3">
      <c r="A5707" t="s">
        <v>878</v>
      </c>
      <c r="B5707" t="s">
        <v>1070</v>
      </c>
      <c r="C5707" t="s">
        <v>2021</v>
      </c>
    </row>
    <row r="5708" spans="1:3">
      <c r="A5708" t="s">
        <v>878</v>
      </c>
      <c r="B5708" t="s">
        <v>1070</v>
      </c>
      <c r="C5708" t="s">
        <v>2020</v>
      </c>
    </row>
    <row r="5709" spans="1:3">
      <c r="A5709" t="s">
        <v>878</v>
      </c>
      <c r="B5709" t="s">
        <v>1070</v>
      </c>
      <c r="C5709" t="s">
        <v>2019</v>
      </c>
    </row>
    <row r="5710" spans="1:3">
      <c r="A5710" t="s">
        <v>878</v>
      </c>
      <c r="B5710" t="s">
        <v>1075</v>
      </c>
      <c r="C5710" t="s">
        <v>2100</v>
      </c>
    </row>
    <row r="5711" spans="1:3">
      <c r="A5711" t="s">
        <v>878</v>
      </c>
      <c r="B5711" t="s">
        <v>1075</v>
      </c>
      <c r="C5711" t="s">
        <v>2099</v>
      </c>
    </row>
    <row r="5712" spans="1:3">
      <c r="A5712" t="s">
        <v>878</v>
      </c>
      <c r="B5712" t="s">
        <v>1075</v>
      </c>
      <c r="C5712" t="s">
        <v>2098</v>
      </c>
    </row>
    <row r="5713" spans="1:3">
      <c r="A5713" t="s">
        <v>878</v>
      </c>
      <c r="B5713" t="s">
        <v>1075</v>
      </c>
      <c r="C5713" t="s">
        <v>2097</v>
      </c>
    </row>
    <row r="5714" spans="1:3">
      <c r="A5714" t="s">
        <v>878</v>
      </c>
      <c r="B5714" t="s">
        <v>1075</v>
      </c>
      <c r="C5714" t="s">
        <v>2096</v>
      </c>
    </row>
    <row r="5715" spans="1:3">
      <c r="A5715" t="s">
        <v>878</v>
      </c>
      <c r="B5715" t="s">
        <v>1075</v>
      </c>
      <c r="C5715" t="s">
        <v>2095</v>
      </c>
    </row>
    <row r="5716" spans="1:3">
      <c r="A5716" t="s">
        <v>878</v>
      </c>
      <c r="B5716" t="s">
        <v>1075</v>
      </c>
      <c r="C5716" t="s">
        <v>2094</v>
      </c>
    </row>
    <row r="5717" spans="1:3">
      <c r="A5717" t="s">
        <v>878</v>
      </c>
      <c r="B5717" t="s">
        <v>1075</v>
      </c>
      <c r="C5717" t="s">
        <v>2093</v>
      </c>
    </row>
    <row r="5718" spans="1:3">
      <c r="A5718" t="s">
        <v>878</v>
      </c>
      <c r="B5718" t="s">
        <v>1075</v>
      </c>
      <c r="C5718" t="s">
        <v>2092</v>
      </c>
    </row>
    <row r="5719" spans="1:3">
      <c r="A5719" t="s">
        <v>878</v>
      </c>
      <c r="B5719" t="s">
        <v>1075</v>
      </c>
      <c r="C5719" t="s">
        <v>2091</v>
      </c>
    </row>
    <row r="5720" spans="1:3">
      <c r="A5720" t="s">
        <v>878</v>
      </c>
      <c r="B5720" t="s">
        <v>1075</v>
      </c>
      <c r="C5720" t="s">
        <v>2090</v>
      </c>
    </row>
    <row r="5721" spans="1:3">
      <c r="A5721" t="s">
        <v>878</v>
      </c>
      <c r="B5721" t="s">
        <v>1075</v>
      </c>
      <c r="C5721" t="s">
        <v>2089</v>
      </c>
    </row>
    <row r="5722" spans="1:3">
      <c r="A5722" t="s">
        <v>878</v>
      </c>
      <c r="B5722" t="s">
        <v>1075</v>
      </c>
      <c r="C5722" t="s">
        <v>2088</v>
      </c>
    </row>
    <row r="5723" spans="1:3">
      <c r="A5723" t="s">
        <v>878</v>
      </c>
      <c r="B5723" t="s">
        <v>1075</v>
      </c>
      <c r="C5723" t="s">
        <v>2087</v>
      </c>
    </row>
    <row r="5724" spans="1:3">
      <c r="A5724" t="s">
        <v>878</v>
      </c>
      <c r="B5724" t="s">
        <v>1075</v>
      </c>
      <c r="C5724" t="s">
        <v>2086</v>
      </c>
    </row>
    <row r="5725" spans="1:3">
      <c r="A5725" t="s">
        <v>878</v>
      </c>
      <c r="B5725" t="s">
        <v>1075</v>
      </c>
      <c r="C5725" t="s">
        <v>2085</v>
      </c>
    </row>
    <row r="5726" spans="1:3">
      <c r="A5726" t="s">
        <v>878</v>
      </c>
      <c r="B5726" t="s">
        <v>1075</v>
      </c>
      <c r="C5726" t="s">
        <v>2084</v>
      </c>
    </row>
    <row r="5727" spans="1:3">
      <c r="A5727" t="s">
        <v>878</v>
      </c>
      <c r="B5727" t="s">
        <v>1075</v>
      </c>
      <c r="C5727" t="s">
        <v>2083</v>
      </c>
    </row>
    <row r="5728" spans="1:3">
      <c r="A5728" t="s">
        <v>878</v>
      </c>
      <c r="B5728" t="s">
        <v>1075</v>
      </c>
      <c r="C5728" t="s">
        <v>2082</v>
      </c>
    </row>
    <row r="5729" spans="1:3">
      <c r="A5729" t="s">
        <v>878</v>
      </c>
      <c r="B5729" t="s">
        <v>1075</v>
      </c>
      <c r="C5729" t="s">
        <v>2081</v>
      </c>
    </row>
    <row r="5730" spans="1:3">
      <c r="A5730" t="s">
        <v>878</v>
      </c>
      <c r="B5730" t="s">
        <v>1075</v>
      </c>
      <c r="C5730" t="s">
        <v>2080</v>
      </c>
    </row>
    <row r="5731" spans="1:3">
      <c r="A5731" t="s">
        <v>878</v>
      </c>
      <c r="B5731" t="s">
        <v>1075</v>
      </c>
      <c r="C5731" t="s">
        <v>2079</v>
      </c>
    </row>
    <row r="5732" spans="1:3">
      <c r="A5732" t="s">
        <v>878</v>
      </c>
      <c r="B5732" t="s">
        <v>1075</v>
      </c>
      <c r="C5732" t="s">
        <v>2078</v>
      </c>
    </row>
    <row r="5733" spans="1:3">
      <c r="A5733" t="s">
        <v>878</v>
      </c>
      <c r="B5733" t="s">
        <v>1075</v>
      </c>
      <c r="C5733" t="s">
        <v>2077</v>
      </c>
    </row>
    <row r="5734" spans="1:3">
      <c r="A5734" t="s">
        <v>878</v>
      </c>
      <c r="B5734" t="s">
        <v>1075</v>
      </c>
      <c r="C5734" t="s">
        <v>2076</v>
      </c>
    </row>
    <row r="5735" spans="1:3">
      <c r="A5735" t="s">
        <v>878</v>
      </c>
      <c r="B5735" t="s">
        <v>1075</v>
      </c>
      <c r="C5735" t="s">
        <v>2075</v>
      </c>
    </row>
    <row r="5736" spans="1:3">
      <c r="A5736" t="s">
        <v>878</v>
      </c>
      <c r="B5736" t="s">
        <v>1075</v>
      </c>
      <c r="C5736" t="s">
        <v>2074</v>
      </c>
    </row>
    <row r="5737" spans="1:3">
      <c r="A5737" t="s">
        <v>878</v>
      </c>
      <c r="B5737" t="s">
        <v>1075</v>
      </c>
      <c r="C5737" t="s">
        <v>2073</v>
      </c>
    </row>
    <row r="5738" spans="1:3">
      <c r="A5738" t="s">
        <v>878</v>
      </c>
      <c r="B5738" t="s">
        <v>1075</v>
      </c>
      <c r="C5738" t="s">
        <v>2072</v>
      </c>
    </row>
    <row r="5739" spans="1:3">
      <c r="A5739" t="s">
        <v>878</v>
      </c>
      <c r="B5739" t="s">
        <v>1075</v>
      </c>
      <c r="C5739" t="s">
        <v>2071</v>
      </c>
    </row>
    <row r="5740" spans="1:3">
      <c r="A5740" t="s">
        <v>878</v>
      </c>
      <c r="B5740" t="s">
        <v>1075</v>
      </c>
      <c r="C5740" t="s">
        <v>2070</v>
      </c>
    </row>
    <row r="5741" spans="1:3">
      <c r="A5741" t="s">
        <v>878</v>
      </c>
      <c r="B5741" t="s">
        <v>1075</v>
      </c>
      <c r="C5741" t="s">
        <v>2069</v>
      </c>
    </row>
    <row r="5742" spans="1:3">
      <c r="A5742" t="s">
        <v>878</v>
      </c>
      <c r="B5742" t="s">
        <v>1075</v>
      </c>
      <c r="C5742" t="s">
        <v>2068</v>
      </c>
    </row>
    <row r="5743" spans="1:3">
      <c r="A5743" t="s">
        <v>878</v>
      </c>
      <c r="B5743" t="s">
        <v>1075</v>
      </c>
      <c r="C5743" t="s">
        <v>2067</v>
      </c>
    </row>
    <row r="5744" spans="1:3">
      <c r="A5744" t="s">
        <v>878</v>
      </c>
      <c r="B5744" t="s">
        <v>1075</v>
      </c>
      <c r="C5744" t="s">
        <v>2066</v>
      </c>
    </row>
    <row r="5745" spans="1:3">
      <c r="A5745" t="s">
        <v>878</v>
      </c>
      <c r="B5745" t="s">
        <v>1075</v>
      </c>
      <c r="C5745" t="s">
        <v>2065</v>
      </c>
    </row>
    <row r="5746" spans="1:3">
      <c r="A5746" t="s">
        <v>878</v>
      </c>
      <c r="B5746" t="s">
        <v>1075</v>
      </c>
      <c r="C5746" t="s">
        <v>2064</v>
      </c>
    </row>
    <row r="5747" spans="1:3">
      <c r="A5747" t="s">
        <v>878</v>
      </c>
      <c r="B5747" t="s">
        <v>1075</v>
      </c>
      <c r="C5747" t="s">
        <v>2063</v>
      </c>
    </row>
    <row r="5748" spans="1:3">
      <c r="A5748" t="s">
        <v>878</v>
      </c>
      <c r="B5748" t="s">
        <v>1075</v>
      </c>
      <c r="C5748" t="s">
        <v>2062</v>
      </c>
    </row>
    <row r="5749" spans="1:3">
      <c r="A5749" t="s">
        <v>878</v>
      </c>
      <c r="B5749" t="s">
        <v>1075</v>
      </c>
      <c r="C5749" t="s">
        <v>2061</v>
      </c>
    </row>
    <row r="5750" spans="1:3">
      <c r="A5750" t="s">
        <v>878</v>
      </c>
      <c r="B5750" t="s">
        <v>1075</v>
      </c>
      <c r="C5750" t="s">
        <v>2060</v>
      </c>
    </row>
    <row r="5751" spans="1:3">
      <c r="A5751" t="s">
        <v>878</v>
      </c>
      <c r="B5751" t="s">
        <v>1075</v>
      </c>
      <c r="C5751" t="s">
        <v>2059</v>
      </c>
    </row>
    <row r="5752" spans="1:3">
      <c r="A5752" t="s">
        <v>878</v>
      </c>
      <c r="B5752" t="s">
        <v>1075</v>
      </c>
      <c r="C5752" t="s">
        <v>2058</v>
      </c>
    </row>
    <row r="5753" spans="1:3">
      <c r="A5753" t="s">
        <v>878</v>
      </c>
      <c r="B5753" t="s">
        <v>1075</v>
      </c>
      <c r="C5753" t="s">
        <v>2057</v>
      </c>
    </row>
    <row r="5754" spans="1:3">
      <c r="A5754" t="s">
        <v>878</v>
      </c>
      <c r="B5754" t="s">
        <v>1075</v>
      </c>
      <c r="C5754" t="s">
        <v>2056</v>
      </c>
    </row>
    <row r="5755" spans="1:3">
      <c r="A5755" t="s">
        <v>878</v>
      </c>
      <c r="B5755" t="s">
        <v>1075</v>
      </c>
      <c r="C5755" t="s">
        <v>2055</v>
      </c>
    </row>
    <row r="5756" spans="1:3">
      <c r="A5756" t="s">
        <v>878</v>
      </c>
      <c r="B5756" t="s">
        <v>1075</v>
      </c>
      <c r="C5756" t="s">
        <v>2054</v>
      </c>
    </row>
    <row r="5757" spans="1:3">
      <c r="A5757" t="s">
        <v>878</v>
      </c>
      <c r="B5757" t="s">
        <v>1075</v>
      </c>
      <c r="C5757" t="s">
        <v>2053</v>
      </c>
    </row>
    <row r="5758" spans="1:3">
      <c r="A5758" t="s">
        <v>878</v>
      </c>
      <c r="B5758" t="s">
        <v>1075</v>
      </c>
      <c r="C5758" t="s">
        <v>2052</v>
      </c>
    </row>
    <row r="5759" spans="1:3">
      <c r="A5759" t="s">
        <v>878</v>
      </c>
      <c r="B5759" t="s">
        <v>1075</v>
      </c>
      <c r="C5759" t="s">
        <v>2051</v>
      </c>
    </row>
    <row r="5760" spans="1:3">
      <c r="A5760" t="s">
        <v>878</v>
      </c>
      <c r="B5760" t="s">
        <v>1075</v>
      </c>
      <c r="C5760" t="s">
        <v>2050</v>
      </c>
    </row>
    <row r="5761" spans="1:3">
      <c r="A5761" t="s">
        <v>878</v>
      </c>
      <c r="B5761" t="s">
        <v>1075</v>
      </c>
      <c r="C5761" t="s">
        <v>2049</v>
      </c>
    </row>
    <row r="5762" spans="1:3">
      <c r="A5762" t="s">
        <v>878</v>
      </c>
      <c r="B5762" t="s">
        <v>1075</v>
      </c>
      <c r="C5762" t="s">
        <v>2048</v>
      </c>
    </row>
    <row r="5763" spans="1:3">
      <c r="A5763" t="s">
        <v>878</v>
      </c>
      <c r="B5763" t="s">
        <v>1075</v>
      </c>
      <c r="C5763" t="s">
        <v>2047</v>
      </c>
    </row>
    <row r="5764" spans="1:3">
      <c r="A5764" t="s">
        <v>878</v>
      </c>
      <c r="B5764" t="s">
        <v>1075</v>
      </c>
      <c r="C5764" t="s">
        <v>2046</v>
      </c>
    </row>
    <row r="5765" spans="1:3">
      <c r="A5765" t="s">
        <v>878</v>
      </c>
      <c r="B5765" t="s">
        <v>1075</v>
      </c>
      <c r="C5765" t="s">
        <v>2045</v>
      </c>
    </row>
    <row r="5766" spans="1:3">
      <c r="A5766" t="s">
        <v>878</v>
      </c>
      <c r="B5766" t="s">
        <v>1075</v>
      </c>
      <c r="C5766" t="s">
        <v>2044</v>
      </c>
    </row>
    <row r="5767" spans="1:3">
      <c r="A5767" t="s">
        <v>878</v>
      </c>
      <c r="B5767" t="s">
        <v>1075</v>
      </c>
      <c r="C5767" t="s">
        <v>2043</v>
      </c>
    </row>
    <row r="5768" spans="1:3">
      <c r="A5768" t="s">
        <v>878</v>
      </c>
      <c r="B5768" t="s">
        <v>1075</v>
      </c>
      <c r="C5768" t="s">
        <v>2042</v>
      </c>
    </row>
    <row r="5769" spans="1:3">
      <c r="A5769" t="s">
        <v>878</v>
      </c>
      <c r="B5769" t="s">
        <v>1075</v>
      </c>
      <c r="C5769" t="s">
        <v>2041</v>
      </c>
    </row>
    <row r="5770" spans="1:3">
      <c r="A5770" t="s">
        <v>878</v>
      </c>
      <c r="B5770" t="s">
        <v>1075</v>
      </c>
      <c r="C5770" t="s">
        <v>2040</v>
      </c>
    </row>
    <row r="5771" spans="1:3">
      <c r="A5771" t="s">
        <v>878</v>
      </c>
      <c r="B5771" t="s">
        <v>1075</v>
      </c>
      <c r="C5771" t="s">
        <v>2039</v>
      </c>
    </row>
    <row r="5772" spans="1:3">
      <c r="A5772" t="s">
        <v>878</v>
      </c>
      <c r="B5772" t="s">
        <v>1075</v>
      </c>
      <c r="C5772" t="s">
        <v>2038</v>
      </c>
    </row>
    <row r="5773" spans="1:3">
      <c r="A5773" t="s">
        <v>878</v>
      </c>
      <c r="B5773" t="s">
        <v>1075</v>
      </c>
      <c r="C5773" t="s">
        <v>2037</v>
      </c>
    </row>
    <row r="5774" spans="1:3">
      <c r="A5774" t="s">
        <v>878</v>
      </c>
      <c r="B5774" t="s">
        <v>1075</v>
      </c>
      <c r="C5774" t="s">
        <v>2036</v>
      </c>
    </row>
    <row r="5775" spans="1:3">
      <c r="A5775" t="s">
        <v>878</v>
      </c>
      <c r="B5775" t="s">
        <v>1075</v>
      </c>
      <c r="C5775" t="s">
        <v>2035</v>
      </c>
    </row>
    <row r="5776" spans="1:3">
      <c r="A5776" t="s">
        <v>878</v>
      </c>
      <c r="B5776" t="s">
        <v>1075</v>
      </c>
      <c r="C5776" t="s">
        <v>2034</v>
      </c>
    </row>
    <row r="5777" spans="1:3">
      <c r="A5777" t="s">
        <v>878</v>
      </c>
      <c r="B5777" t="s">
        <v>1075</v>
      </c>
      <c r="C5777" t="s">
        <v>2033</v>
      </c>
    </row>
    <row r="5778" spans="1:3">
      <c r="A5778" t="s">
        <v>878</v>
      </c>
      <c r="B5778" t="s">
        <v>1075</v>
      </c>
      <c r="C5778" t="s">
        <v>2032</v>
      </c>
    </row>
    <row r="5779" spans="1:3">
      <c r="A5779" t="s">
        <v>878</v>
      </c>
      <c r="B5779" t="s">
        <v>1075</v>
      </c>
      <c r="C5779" t="s">
        <v>2031</v>
      </c>
    </row>
    <row r="5780" spans="1:3">
      <c r="A5780" t="s">
        <v>878</v>
      </c>
      <c r="B5780" t="s">
        <v>1075</v>
      </c>
      <c r="C5780" t="s">
        <v>2030</v>
      </c>
    </row>
    <row r="5781" spans="1:3">
      <c r="A5781" t="s">
        <v>878</v>
      </c>
      <c r="B5781" t="s">
        <v>1075</v>
      </c>
      <c r="C5781" t="s">
        <v>2029</v>
      </c>
    </row>
    <row r="5782" spans="1:3">
      <c r="A5782" t="s">
        <v>878</v>
      </c>
      <c r="B5782" t="s">
        <v>1075</v>
      </c>
      <c r="C5782" t="s">
        <v>2028</v>
      </c>
    </row>
    <row r="5783" spans="1:3">
      <c r="A5783" t="s">
        <v>883</v>
      </c>
      <c r="B5783" t="s">
        <v>1070</v>
      </c>
      <c r="C5783" t="s">
        <v>1941</v>
      </c>
    </row>
    <row r="5784" spans="1:3">
      <c r="A5784" t="s">
        <v>883</v>
      </c>
      <c r="B5784" t="s">
        <v>1070</v>
      </c>
      <c r="C5784" t="s">
        <v>1940</v>
      </c>
    </row>
    <row r="5785" spans="1:3">
      <c r="A5785" t="s">
        <v>883</v>
      </c>
      <c r="B5785" t="s">
        <v>1070</v>
      </c>
      <c r="C5785" t="s">
        <v>1939</v>
      </c>
    </row>
    <row r="5786" spans="1:3">
      <c r="A5786" t="s">
        <v>883</v>
      </c>
      <c r="B5786" t="s">
        <v>1070</v>
      </c>
      <c r="C5786" t="s">
        <v>1938</v>
      </c>
    </row>
    <row r="5787" spans="1:3">
      <c r="A5787" t="s">
        <v>883</v>
      </c>
      <c r="B5787" t="s">
        <v>1070</v>
      </c>
      <c r="C5787" t="s">
        <v>1937</v>
      </c>
    </row>
    <row r="5788" spans="1:3">
      <c r="A5788" t="s">
        <v>883</v>
      </c>
      <c r="B5788" t="s">
        <v>1070</v>
      </c>
      <c r="C5788" t="s">
        <v>1936</v>
      </c>
    </row>
    <row r="5789" spans="1:3">
      <c r="A5789" t="s">
        <v>883</v>
      </c>
      <c r="B5789" t="s">
        <v>1070</v>
      </c>
      <c r="C5789" t="s">
        <v>1935</v>
      </c>
    </row>
    <row r="5790" spans="1:3">
      <c r="A5790" t="s">
        <v>883</v>
      </c>
      <c r="B5790" t="s">
        <v>1075</v>
      </c>
      <c r="C5790" t="s">
        <v>2018</v>
      </c>
    </row>
    <row r="5791" spans="1:3">
      <c r="A5791" t="s">
        <v>883</v>
      </c>
      <c r="B5791" t="s">
        <v>1075</v>
      </c>
      <c r="C5791" t="s">
        <v>2017</v>
      </c>
    </row>
    <row r="5792" spans="1:3">
      <c r="A5792" t="s">
        <v>883</v>
      </c>
      <c r="B5792" t="s">
        <v>1075</v>
      </c>
      <c r="C5792" t="s">
        <v>2016</v>
      </c>
    </row>
    <row r="5793" spans="1:3">
      <c r="A5793" t="s">
        <v>883</v>
      </c>
      <c r="B5793" t="s">
        <v>1075</v>
      </c>
      <c r="C5793" t="s">
        <v>2015</v>
      </c>
    </row>
    <row r="5794" spans="1:3">
      <c r="A5794" t="s">
        <v>883</v>
      </c>
      <c r="B5794" t="s">
        <v>1075</v>
      </c>
      <c r="C5794" t="s">
        <v>2014</v>
      </c>
    </row>
    <row r="5795" spans="1:3">
      <c r="A5795" t="s">
        <v>883</v>
      </c>
      <c r="B5795" t="s">
        <v>1075</v>
      </c>
      <c r="C5795" t="s">
        <v>2013</v>
      </c>
    </row>
    <row r="5796" spans="1:3">
      <c r="A5796" t="s">
        <v>883</v>
      </c>
      <c r="B5796" t="s">
        <v>1075</v>
      </c>
      <c r="C5796" t="s">
        <v>2012</v>
      </c>
    </row>
    <row r="5797" spans="1:3">
      <c r="A5797" t="s">
        <v>883</v>
      </c>
      <c r="B5797" t="s">
        <v>1075</v>
      </c>
      <c r="C5797" t="s">
        <v>2011</v>
      </c>
    </row>
    <row r="5798" spans="1:3">
      <c r="A5798" t="s">
        <v>883</v>
      </c>
      <c r="B5798" t="s">
        <v>1075</v>
      </c>
      <c r="C5798" t="s">
        <v>2010</v>
      </c>
    </row>
    <row r="5799" spans="1:3">
      <c r="A5799" t="s">
        <v>883</v>
      </c>
      <c r="B5799" t="s">
        <v>1075</v>
      </c>
      <c r="C5799" t="s">
        <v>2009</v>
      </c>
    </row>
    <row r="5800" spans="1:3">
      <c r="A5800" t="s">
        <v>883</v>
      </c>
      <c r="B5800" t="s">
        <v>1075</v>
      </c>
      <c r="C5800" t="s">
        <v>2008</v>
      </c>
    </row>
    <row r="5801" spans="1:3">
      <c r="A5801" t="s">
        <v>883</v>
      </c>
      <c r="B5801" t="s">
        <v>1075</v>
      </c>
      <c r="C5801" t="s">
        <v>2007</v>
      </c>
    </row>
    <row r="5802" spans="1:3">
      <c r="A5802" t="s">
        <v>883</v>
      </c>
      <c r="B5802" t="s">
        <v>1075</v>
      </c>
      <c r="C5802" t="s">
        <v>2006</v>
      </c>
    </row>
    <row r="5803" spans="1:3">
      <c r="A5803" t="s">
        <v>883</v>
      </c>
      <c r="B5803" t="s">
        <v>1075</v>
      </c>
      <c r="C5803" t="s">
        <v>2005</v>
      </c>
    </row>
    <row r="5804" spans="1:3">
      <c r="A5804" t="s">
        <v>883</v>
      </c>
      <c r="B5804" t="s">
        <v>1075</v>
      </c>
      <c r="C5804" t="s">
        <v>2004</v>
      </c>
    </row>
    <row r="5805" spans="1:3">
      <c r="A5805" t="s">
        <v>883</v>
      </c>
      <c r="B5805" t="s">
        <v>1075</v>
      </c>
      <c r="C5805" t="s">
        <v>2003</v>
      </c>
    </row>
    <row r="5806" spans="1:3">
      <c r="A5806" t="s">
        <v>883</v>
      </c>
      <c r="B5806" t="s">
        <v>1075</v>
      </c>
      <c r="C5806" t="s">
        <v>2002</v>
      </c>
    </row>
    <row r="5807" spans="1:3">
      <c r="A5807" t="s">
        <v>883</v>
      </c>
      <c r="B5807" t="s">
        <v>1075</v>
      </c>
      <c r="C5807" t="s">
        <v>2001</v>
      </c>
    </row>
    <row r="5808" spans="1:3">
      <c r="A5808" t="s">
        <v>883</v>
      </c>
      <c r="B5808" t="s">
        <v>1075</v>
      </c>
      <c r="C5808" t="s">
        <v>2000</v>
      </c>
    </row>
    <row r="5809" spans="1:3">
      <c r="A5809" t="s">
        <v>883</v>
      </c>
      <c r="B5809" t="s">
        <v>1075</v>
      </c>
      <c r="C5809" t="s">
        <v>1999</v>
      </c>
    </row>
    <row r="5810" spans="1:3">
      <c r="A5810" t="s">
        <v>883</v>
      </c>
      <c r="B5810" t="s">
        <v>1075</v>
      </c>
      <c r="C5810" t="s">
        <v>1998</v>
      </c>
    </row>
    <row r="5811" spans="1:3">
      <c r="A5811" t="s">
        <v>883</v>
      </c>
      <c r="B5811" t="s">
        <v>1075</v>
      </c>
      <c r="C5811" t="s">
        <v>1997</v>
      </c>
    </row>
    <row r="5812" spans="1:3">
      <c r="A5812" t="s">
        <v>883</v>
      </c>
      <c r="B5812" t="s">
        <v>1075</v>
      </c>
      <c r="C5812" t="s">
        <v>1996</v>
      </c>
    </row>
    <row r="5813" spans="1:3">
      <c r="A5813" t="s">
        <v>883</v>
      </c>
      <c r="B5813" t="s">
        <v>1075</v>
      </c>
      <c r="C5813" t="s">
        <v>1995</v>
      </c>
    </row>
    <row r="5814" spans="1:3">
      <c r="A5814" t="s">
        <v>883</v>
      </c>
      <c r="B5814" t="s">
        <v>1075</v>
      </c>
      <c r="C5814" t="s">
        <v>1994</v>
      </c>
    </row>
    <row r="5815" spans="1:3">
      <c r="A5815" t="s">
        <v>883</v>
      </c>
      <c r="B5815" t="s">
        <v>1075</v>
      </c>
      <c r="C5815" t="s">
        <v>1993</v>
      </c>
    </row>
    <row r="5816" spans="1:3">
      <c r="A5816" t="s">
        <v>883</v>
      </c>
      <c r="B5816" t="s">
        <v>1075</v>
      </c>
      <c r="C5816" t="s">
        <v>1992</v>
      </c>
    </row>
    <row r="5817" spans="1:3">
      <c r="A5817" t="s">
        <v>883</v>
      </c>
      <c r="B5817" t="s">
        <v>1075</v>
      </c>
      <c r="C5817" t="s">
        <v>1991</v>
      </c>
    </row>
    <row r="5818" spans="1:3">
      <c r="A5818" t="s">
        <v>883</v>
      </c>
      <c r="B5818" t="s">
        <v>1075</v>
      </c>
      <c r="C5818" t="s">
        <v>1990</v>
      </c>
    </row>
    <row r="5819" spans="1:3">
      <c r="A5819" t="s">
        <v>883</v>
      </c>
      <c r="B5819" t="s">
        <v>1075</v>
      </c>
      <c r="C5819" t="s">
        <v>1989</v>
      </c>
    </row>
    <row r="5820" spans="1:3">
      <c r="A5820" t="s">
        <v>883</v>
      </c>
      <c r="B5820" t="s">
        <v>1075</v>
      </c>
      <c r="C5820" t="s">
        <v>1988</v>
      </c>
    </row>
    <row r="5821" spans="1:3">
      <c r="A5821" t="s">
        <v>883</v>
      </c>
      <c r="B5821" t="s">
        <v>1075</v>
      </c>
      <c r="C5821" t="s">
        <v>1987</v>
      </c>
    </row>
    <row r="5822" spans="1:3">
      <c r="A5822" t="s">
        <v>883</v>
      </c>
      <c r="B5822" t="s">
        <v>1075</v>
      </c>
      <c r="C5822" t="s">
        <v>1986</v>
      </c>
    </row>
    <row r="5823" spans="1:3">
      <c r="A5823" t="s">
        <v>883</v>
      </c>
      <c r="B5823" t="s">
        <v>1075</v>
      </c>
      <c r="C5823" t="s">
        <v>1985</v>
      </c>
    </row>
    <row r="5824" spans="1:3">
      <c r="A5824" t="s">
        <v>883</v>
      </c>
      <c r="B5824" t="s">
        <v>1075</v>
      </c>
      <c r="C5824" t="s">
        <v>1984</v>
      </c>
    </row>
    <row r="5825" spans="1:3">
      <c r="A5825" t="s">
        <v>883</v>
      </c>
      <c r="B5825" t="s">
        <v>1075</v>
      </c>
      <c r="C5825" t="s">
        <v>1983</v>
      </c>
    </row>
    <row r="5826" spans="1:3">
      <c r="A5826" t="s">
        <v>883</v>
      </c>
      <c r="B5826" t="s">
        <v>1075</v>
      </c>
      <c r="C5826" t="s">
        <v>1982</v>
      </c>
    </row>
    <row r="5827" spans="1:3">
      <c r="A5827" t="s">
        <v>883</v>
      </c>
      <c r="B5827" t="s">
        <v>1075</v>
      </c>
      <c r="C5827" t="s">
        <v>1981</v>
      </c>
    </row>
    <row r="5828" spans="1:3">
      <c r="A5828" t="s">
        <v>883</v>
      </c>
      <c r="B5828" t="s">
        <v>1075</v>
      </c>
      <c r="C5828" t="s">
        <v>1980</v>
      </c>
    </row>
    <row r="5829" spans="1:3">
      <c r="A5829" t="s">
        <v>883</v>
      </c>
      <c r="B5829" t="s">
        <v>1075</v>
      </c>
      <c r="C5829" t="s">
        <v>1979</v>
      </c>
    </row>
    <row r="5830" spans="1:3">
      <c r="A5830" t="s">
        <v>883</v>
      </c>
      <c r="B5830" t="s">
        <v>1075</v>
      </c>
      <c r="C5830" t="s">
        <v>1978</v>
      </c>
    </row>
    <row r="5831" spans="1:3">
      <c r="A5831" t="s">
        <v>883</v>
      </c>
      <c r="B5831" t="s">
        <v>1075</v>
      </c>
      <c r="C5831" t="s">
        <v>1977</v>
      </c>
    </row>
    <row r="5832" spans="1:3">
      <c r="A5832" t="s">
        <v>883</v>
      </c>
      <c r="B5832" t="s">
        <v>1075</v>
      </c>
      <c r="C5832" t="s">
        <v>1976</v>
      </c>
    </row>
    <row r="5833" spans="1:3">
      <c r="A5833" t="s">
        <v>883</v>
      </c>
      <c r="B5833" t="s">
        <v>1075</v>
      </c>
      <c r="C5833" t="s">
        <v>1975</v>
      </c>
    </row>
    <row r="5834" spans="1:3">
      <c r="A5834" t="s">
        <v>883</v>
      </c>
      <c r="B5834" t="s">
        <v>1075</v>
      </c>
      <c r="C5834" t="s">
        <v>1974</v>
      </c>
    </row>
    <row r="5835" spans="1:3">
      <c r="A5835" t="s">
        <v>883</v>
      </c>
      <c r="B5835" t="s">
        <v>1075</v>
      </c>
      <c r="C5835" t="s">
        <v>1973</v>
      </c>
    </row>
    <row r="5836" spans="1:3">
      <c r="A5836" t="s">
        <v>883</v>
      </c>
      <c r="B5836" t="s">
        <v>1075</v>
      </c>
      <c r="C5836" t="s">
        <v>1972</v>
      </c>
    </row>
    <row r="5837" spans="1:3">
      <c r="A5837" t="s">
        <v>883</v>
      </c>
      <c r="B5837" t="s">
        <v>1075</v>
      </c>
      <c r="C5837" t="s">
        <v>1971</v>
      </c>
    </row>
    <row r="5838" spans="1:3">
      <c r="A5838" t="s">
        <v>883</v>
      </c>
      <c r="B5838" t="s">
        <v>1075</v>
      </c>
      <c r="C5838" t="s">
        <v>1970</v>
      </c>
    </row>
    <row r="5839" spans="1:3">
      <c r="A5839" t="s">
        <v>883</v>
      </c>
      <c r="B5839" t="s">
        <v>1075</v>
      </c>
      <c r="C5839" t="s">
        <v>1969</v>
      </c>
    </row>
    <row r="5840" spans="1:3">
      <c r="A5840" t="s">
        <v>883</v>
      </c>
      <c r="B5840" t="s">
        <v>1075</v>
      </c>
      <c r="C5840" t="s">
        <v>1968</v>
      </c>
    </row>
    <row r="5841" spans="1:3">
      <c r="A5841" t="s">
        <v>883</v>
      </c>
      <c r="B5841" t="s">
        <v>1075</v>
      </c>
      <c r="C5841" t="s">
        <v>1967</v>
      </c>
    </row>
    <row r="5842" spans="1:3">
      <c r="A5842" t="s">
        <v>883</v>
      </c>
      <c r="B5842" t="s">
        <v>1075</v>
      </c>
      <c r="C5842" t="s">
        <v>1966</v>
      </c>
    </row>
    <row r="5843" spans="1:3">
      <c r="A5843" t="s">
        <v>883</v>
      </c>
      <c r="B5843" t="s">
        <v>1075</v>
      </c>
      <c r="C5843" t="s">
        <v>1965</v>
      </c>
    </row>
    <row r="5844" spans="1:3">
      <c r="A5844" t="s">
        <v>883</v>
      </c>
      <c r="B5844" t="s">
        <v>1075</v>
      </c>
      <c r="C5844" t="s">
        <v>1964</v>
      </c>
    </row>
    <row r="5845" spans="1:3">
      <c r="A5845" t="s">
        <v>883</v>
      </c>
      <c r="B5845" t="s">
        <v>1075</v>
      </c>
      <c r="C5845" t="s">
        <v>1963</v>
      </c>
    </row>
    <row r="5846" spans="1:3">
      <c r="A5846" t="s">
        <v>883</v>
      </c>
      <c r="B5846" t="s">
        <v>1075</v>
      </c>
      <c r="C5846" t="s">
        <v>1962</v>
      </c>
    </row>
    <row r="5847" spans="1:3">
      <c r="A5847" t="s">
        <v>883</v>
      </c>
      <c r="B5847" t="s">
        <v>1075</v>
      </c>
      <c r="C5847" t="s">
        <v>1961</v>
      </c>
    </row>
    <row r="5848" spans="1:3">
      <c r="A5848" t="s">
        <v>883</v>
      </c>
      <c r="B5848" t="s">
        <v>1075</v>
      </c>
      <c r="C5848" t="s">
        <v>1960</v>
      </c>
    </row>
    <row r="5849" spans="1:3">
      <c r="A5849" t="s">
        <v>883</v>
      </c>
      <c r="B5849" t="s">
        <v>1075</v>
      </c>
      <c r="C5849" t="s">
        <v>1959</v>
      </c>
    </row>
    <row r="5850" spans="1:3">
      <c r="A5850" t="s">
        <v>883</v>
      </c>
      <c r="B5850" t="s">
        <v>1075</v>
      </c>
      <c r="C5850" t="s">
        <v>1958</v>
      </c>
    </row>
    <row r="5851" spans="1:3">
      <c r="A5851" t="s">
        <v>883</v>
      </c>
      <c r="B5851" t="s">
        <v>1075</v>
      </c>
      <c r="C5851" t="s">
        <v>1957</v>
      </c>
    </row>
    <row r="5852" spans="1:3">
      <c r="A5852" t="s">
        <v>883</v>
      </c>
      <c r="B5852" t="s">
        <v>1075</v>
      </c>
      <c r="C5852" t="s">
        <v>1956</v>
      </c>
    </row>
    <row r="5853" spans="1:3">
      <c r="A5853" t="s">
        <v>883</v>
      </c>
      <c r="B5853" t="s">
        <v>1075</v>
      </c>
      <c r="C5853" t="s">
        <v>1955</v>
      </c>
    </row>
    <row r="5854" spans="1:3">
      <c r="A5854" t="s">
        <v>883</v>
      </c>
      <c r="B5854" t="s">
        <v>1075</v>
      </c>
      <c r="C5854" t="s">
        <v>1954</v>
      </c>
    </row>
    <row r="5855" spans="1:3">
      <c r="A5855" t="s">
        <v>883</v>
      </c>
      <c r="B5855" t="s">
        <v>1075</v>
      </c>
      <c r="C5855" t="s">
        <v>1953</v>
      </c>
    </row>
    <row r="5856" spans="1:3">
      <c r="A5856" t="s">
        <v>883</v>
      </c>
      <c r="B5856" t="s">
        <v>1075</v>
      </c>
      <c r="C5856" t="s">
        <v>1952</v>
      </c>
    </row>
    <row r="5857" spans="1:3">
      <c r="A5857" t="s">
        <v>883</v>
      </c>
      <c r="B5857" t="s">
        <v>1075</v>
      </c>
      <c r="C5857" t="s">
        <v>1951</v>
      </c>
    </row>
    <row r="5858" spans="1:3">
      <c r="A5858" t="s">
        <v>883</v>
      </c>
      <c r="B5858" t="s">
        <v>1075</v>
      </c>
      <c r="C5858" t="s">
        <v>1950</v>
      </c>
    </row>
    <row r="5859" spans="1:3">
      <c r="A5859" t="s">
        <v>883</v>
      </c>
      <c r="B5859" t="s">
        <v>1075</v>
      </c>
      <c r="C5859" t="s">
        <v>1949</v>
      </c>
    </row>
    <row r="5860" spans="1:3">
      <c r="A5860" t="s">
        <v>883</v>
      </c>
      <c r="B5860" t="s">
        <v>1075</v>
      </c>
      <c r="C5860" t="s">
        <v>1948</v>
      </c>
    </row>
    <row r="5861" spans="1:3">
      <c r="A5861" t="s">
        <v>883</v>
      </c>
      <c r="B5861" t="s">
        <v>1075</v>
      </c>
      <c r="C5861" t="s">
        <v>1947</v>
      </c>
    </row>
    <row r="5862" spans="1:3">
      <c r="A5862" t="s">
        <v>883</v>
      </c>
      <c r="B5862" t="s">
        <v>1075</v>
      </c>
      <c r="C5862" t="s">
        <v>1946</v>
      </c>
    </row>
    <row r="5863" spans="1:3">
      <c r="A5863" t="s">
        <v>883</v>
      </c>
      <c r="B5863" t="s">
        <v>1075</v>
      </c>
      <c r="C5863" t="s">
        <v>1945</v>
      </c>
    </row>
    <row r="5864" spans="1:3">
      <c r="A5864" t="s">
        <v>883</v>
      </c>
      <c r="B5864" t="s">
        <v>1075</v>
      </c>
      <c r="C5864" t="s">
        <v>1944</v>
      </c>
    </row>
    <row r="5865" spans="1:3">
      <c r="A5865" t="s">
        <v>883</v>
      </c>
      <c r="B5865" t="s">
        <v>1075</v>
      </c>
      <c r="C5865" t="s">
        <v>1943</v>
      </c>
    </row>
    <row r="5866" spans="1:3">
      <c r="A5866" t="s">
        <v>883</v>
      </c>
      <c r="B5866" t="s">
        <v>1075</v>
      </c>
      <c r="C5866" t="s">
        <v>1942</v>
      </c>
    </row>
    <row r="5867" spans="1:3">
      <c r="A5867" t="s">
        <v>879</v>
      </c>
      <c r="B5867" t="s">
        <v>1070</v>
      </c>
      <c r="C5867" t="s">
        <v>1873</v>
      </c>
    </row>
    <row r="5868" spans="1:3">
      <c r="A5868" t="s">
        <v>879</v>
      </c>
      <c r="B5868" t="s">
        <v>1070</v>
      </c>
      <c r="C5868" t="s">
        <v>1872</v>
      </c>
    </row>
    <row r="5869" spans="1:3">
      <c r="A5869" t="s">
        <v>879</v>
      </c>
      <c r="B5869" t="s">
        <v>1070</v>
      </c>
      <c r="C5869" t="s">
        <v>1871</v>
      </c>
    </row>
    <row r="5870" spans="1:3">
      <c r="A5870" t="s">
        <v>879</v>
      </c>
      <c r="B5870" t="s">
        <v>1070</v>
      </c>
      <c r="C5870" t="s">
        <v>1870</v>
      </c>
    </row>
    <row r="5871" spans="1:3">
      <c r="A5871" t="s">
        <v>879</v>
      </c>
      <c r="B5871" t="s">
        <v>1070</v>
      </c>
      <c r="C5871" t="s">
        <v>1869</v>
      </c>
    </row>
    <row r="5872" spans="1:3">
      <c r="A5872" t="s">
        <v>879</v>
      </c>
      <c r="B5872" t="s">
        <v>1070</v>
      </c>
      <c r="C5872" t="s">
        <v>1868</v>
      </c>
    </row>
    <row r="5873" spans="1:3">
      <c r="A5873" t="s">
        <v>879</v>
      </c>
      <c r="B5873" t="s">
        <v>1070</v>
      </c>
      <c r="C5873" t="s">
        <v>1867</v>
      </c>
    </row>
    <row r="5874" spans="1:3">
      <c r="A5874" t="s">
        <v>879</v>
      </c>
      <c r="B5874" t="s">
        <v>1070</v>
      </c>
      <c r="C5874" t="s">
        <v>1866</v>
      </c>
    </row>
    <row r="5875" spans="1:3">
      <c r="A5875" t="s">
        <v>879</v>
      </c>
      <c r="B5875" t="s">
        <v>1075</v>
      </c>
      <c r="C5875" t="s">
        <v>1934</v>
      </c>
    </row>
    <row r="5876" spans="1:3">
      <c r="A5876" t="s">
        <v>879</v>
      </c>
      <c r="B5876" t="s">
        <v>1075</v>
      </c>
      <c r="C5876" t="s">
        <v>1933</v>
      </c>
    </row>
    <row r="5877" spans="1:3">
      <c r="A5877" t="s">
        <v>879</v>
      </c>
      <c r="B5877" t="s">
        <v>1075</v>
      </c>
      <c r="C5877" t="s">
        <v>1932</v>
      </c>
    </row>
    <row r="5878" spans="1:3">
      <c r="A5878" t="s">
        <v>879</v>
      </c>
      <c r="B5878" t="s">
        <v>1075</v>
      </c>
      <c r="C5878" t="s">
        <v>1931</v>
      </c>
    </row>
    <row r="5879" spans="1:3">
      <c r="A5879" t="s">
        <v>879</v>
      </c>
      <c r="B5879" t="s">
        <v>1075</v>
      </c>
      <c r="C5879" t="s">
        <v>1930</v>
      </c>
    </row>
    <row r="5880" spans="1:3">
      <c r="A5880" t="s">
        <v>879</v>
      </c>
      <c r="B5880" t="s">
        <v>1075</v>
      </c>
      <c r="C5880" t="s">
        <v>1929</v>
      </c>
    </row>
    <row r="5881" spans="1:3">
      <c r="A5881" t="s">
        <v>879</v>
      </c>
      <c r="B5881" t="s">
        <v>1075</v>
      </c>
      <c r="C5881" t="s">
        <v>1928</v>
      </c>
    </row>
    <row r="5882" spans="1:3">
      <c r="A5882" t="s">
        <v>879</v>
      </c>
      <c r="B5882" t="s">
        <v>1075</v>
      </c>
      <c r="C5882" t="s">
        <v>1927</v>
      </c>
    </row>
    <row r="5883" spans="1:3">
      <c r="A5883" t="s">
        <v>879</v>
      </c>
      <c r="B5883" t="s">
        <v>1075</v>
      </c>
      <c r="C5883" t="s">
        <v>1926</v>
      </c>
    </row>
    <row r="5884" spans="1:3">
      <c r="A5884" t="s">
        <v>879</v>
      </c>
      <c r="B5884" t="s">
        <v>1075</v>
      </c>
      <c r="C5884" t="s">
        <v>1925</v>
      </c>
    </row>
    <row r="5885" spans="1:3">
      <c r="A5885" t="s">
        <v>879</v>
      </c>
      <c r="B5885" t="s">
        <v>1075</v>
      </c>
      <c r="C5885" t="s">
        <v>1924</v>
      </c>
    </row>
    <row r="5886" spans="1:3">
      <c r="A5886" t="s">
        <v>879</v>
      </c>
      <c r="B5886" t="s">
        <v>1075</v>
      </c>
      <c r="C5886" t="s">
        <v>1923</v>
      </c>
    </row>
    <row r="5887" spans="1:3">
      <c r="A5887" t="s">
        <v>879</v>
      </c>
      <c r="B5887" t="s">
        <v>1075</v>
      </c>
      <c r="C5887" t="s">
        <v>1922</v>
      </c>
    </row>
    <row r="5888" spans="1:3">
      <c r="A5888" t="s">
        <v>879</v>
      </c>
      <c r="B5888" t="s">
        <v>1075</v>
      </c>
      <c r="C5888" t="s">
        <v>1921</v>
      </c>
    </row>
    <row r="5889" spans="1:3">
      <c r="A5889" t="s">
        <v>879</v>
      </c>
      <c r="B5889" t="s">
        <v>1075</v>
      </c>
      <c r="C5889" t="s">
        <v>1920</v>
      </c>
    </row>
    <row r="5890" spans="1:3">
      <c r="A5890" t="s">
        <v>879</v>
      </c>
      <c r="B5890" t="s">
        <v>1075</v>
      </c>
      <c r="C5890" t="s">
        <v>1919</v>
      </c>
    </row>
    <row r="5891" spans="1:3">
      <c r="A5891" t="s">
        <v>879</v>
      </c>
      <c r="B5891" t="s">
        <v>1075</v>
      </c>
      <c r="C5891" t="s">
        <v>1918</v>
      </c>
    </row>
    <row r="5892" spans="1:3">
      <c r="A5892" t="s">
        <v>879</v>
      </c>
      <c r="B5892" t="s">
        <v>1075</v>
      </c>
      <c r="C5892" t="s">
        <v>1917</v>
      </c>
    </row>
    <row r="5893" spans="1:3">
      <c r="A5893" t="s">
        <v>879</v>
      </c>
      <c r="B5893" t="s">
        <v>1075</v>
      </c>
      <c r="C5893" t="s">
        <v>1916</v>
      </c>
    </row>
    <row r="5894" spans="1:3">
      <c r="A5894" t="s">
        <v>879</v>
      </c>
      <c r="B5894" t="s">
        <v>1075</v>
      </c>
      <c r="C5894" t="s">
        <v>1915</v>
      </c>
    </row>
    <row r="5895" spans="1:3">
      <c r="A5895" t="s">
        <v>879</v>
      </c>
      <c r="B5895" t="s">
        <v>1075</v>
      </c>
      <c r="C5895" t="s">
        <v>1914</v>
      </c>
    </row>
    <row r="5896" spans="1:3">
      <c r="A5896" t="s">
        <v>879</v>
      </c>
      <c r="B5896" t="s">
        <v>1075</v>
      </c>
      <c r="C5896" t="s">
        <v>1913</v>
      </c>
    </row>
    <row r="5897" spans="1:3">
      <c r="A5897" t="s">
        <v>879</v>
      </c>
      <c r="B5897" t="s">
        <v>1075</v>
      </c>
      <c r="C5897" t="s">
        <v>1912</v>
      </c>
    </row>
    <row r="5898" spans="1:3">
      <c r="A5898" t="s">
        <v>879</v>
      </c>
      <c r="B5898" t="s">
        <v>1075</v>
      </c>
      <c r="C5898" t="s">
        <v>1911</v>
      </c>
    </row>
    <row r="5899" spans="1:3">
      <c r="A5899" t="s">
        <v>879</v>
      </c>
      <c r="B5899" t="s">
        <v>1075</v>
      </c>
      <c r="C5899" t="s">
        <v>1910</v>
      </c>
    </row>
    <row r="5900" spans="1:3">
      <c r="A5900" t="s">
        <v>879</v>
      </c>
      <c r="B5900" t="s">
        <v>1075</v>
      </c>
      <c r="C5900" t="s">
        <v>1909</v>
      </c>
    </row>
    <row r="5901" spans="1:3">
      <c r="A5901" t="s">
        <v>879</v>
      </c>
      <c r="B5901" t="s">
        <v>1075</v>
      </c>
      <c r="C5901" t="s">
        <v>1908</v>
      </c>
    </row>
    <row r="5902" spans="1:3">
      <c r="A5902" t="s">
        <v>879</v>
      </c>
      <c r="B5902" t="s">
        <v>1075</v>
      </c>
      <c r="C5902" t="s">
        <v>1907</v>
      </c>
    </row>
    <row r="5903" spans="1:3">
      <c r="A5903" t="s">
        <v>879</v>
      </c>
      <c r="B5903" t="s">
        <v>1075</v>
      </c>
      <c r="C5903" t="s">
        <v>1906</v>
      </c>
    </row>
    <row r="5904" spans="1:3">
      <c r="A5904" t="s">
        <v>879</v>
      </c>
      <c r="B5904" t="s">
        <v>1075</v>
      </c>
      <c r="C5904" t="s">
        <v>1905</v>
      </c>
    </row>
    <row r="5905" spans="1:3">
      <c r="A5905" t="s">
        <v>879</v>
      </c>
      <c r="B5905" t="s">
        <v>1075</v>
      </c>
      <c r="C5905" t="s">
        <v>1904</v>
      </c>
    </row>
    <row r="5906" spans="1:3">
      <c r="A5906" t="s">
        <v>879</v>
      </c>
      <c r="B5906" t="s">
        <v>1075</v>
      </c>
      <c r="C5906" t="s">
        <v>1903</v>
      </c>
    </row>
    <row r="5907" spans="1:3">
      <c r="A5907" t="s">
        <v>879</v>
      </c>
      <c r="B5907" t="s">
        <v>1075</v>
      </c>
      <c r="C5907" t="s">
        <v>1902</v>
      </c>
    </row>
    <row r="5908" spans="1:3">
      <c r="A5908" t="s">
        <v>879</v>
      </c>
      <c r="B5908" t="s">
        <v>1075</v>
      </c>
      <c r="C5908" t="s">
        <v>1901</v>
      </c>
    </row>
    <row r="5909" spans="1:3">
      <c r="A5909" t="s">
        <v>879</v>
      </c>
      <c r="B5909" t="s">
        <v>1075</v>
      </c>
      <c r="C5909" t="s">
        <v>1900</v>
      </c>
    </row>
    <row r="5910" spans="1:3">
      <c r="A5910" t="s">
        <v>879</v>
      </c>
      <c r="B5910" t="s">
        <v>1075</v>
      </c>
      <c r="C5910" t="s">
        <v>1899</v>
      </c>
    </row>
    <row r="5911" spans="1:3">
      <c r="A5911" t="s">
        <v>879</v>
      </c>
      <c r="B5911" t="s">
        <v>1075</v>
      </c>
      <c r="C5911" t="s">
        <v>1898</v>
      </c>
    </row>
    <row r="5912" spans="1:3">
      <c r="A5912" t="s">
        <v>879</v>
      </c>
      <c r="B5912" t="s">
        <v>1075</v>
      </c>
      <c r="C5912" t="s">
        <v>1897</v>
      </c>
    </row>
    <row r="5913" spans="1:3">
      <c r="A5913" t="s">
        <v>879</v>
      </c>
      <c r="B5913" t="s">
        <v>1075</v>
      </c>
      <c r="C5913" t="s">
        <v>1896</v>
      </c>
    </row>
    <row r="5914" spans="1:3">
      <c r="A5914" t="s">
        <v>879</v>
      </c>
      <c r="B5914" t="s">
        <v>1075</v>
      </c>
      <c r="C5914" t="s">
        <v>1895</v>
      </c>
    </row>
    <row r="5915" spans="1:3">
      <c r="A5915" t="s">
        <v>879</v>
      </c>
      <c r="B5915" t="s">
        <v>1075</v>
      </c>
      <c r="C5915" t="s">
        <v>1894</v>
      </c>
    </row>
    <row r="5916" spans="1:3">
      <c r="A5916" t="s">
        <v>879</v>
      </c>
      <c r="B5916" t="s">
        <v>1075</v>
      </c>
      <c r="C5916" t="s">
        <v>1893</v>
      </c>
    </row>
    <row r="5917" spans="1:3">
      <c r="A5917" t="s">
        <v>879</v>
      </c>
      <c r="B5917" t="s">
        <v>1075</v>
      </c>
      <c r="C5917" t="s">
        <v>1892</v>
      </c>
    </row>
    <row r="5918" spans="1:3">
      <c r="A5918" t="s">
        <v>879</v>
      </c>
      <c r="B5918" t="s">
        <v>1075</v>
      </c>
      <c r="C5918" t="s">
        <v>1891</v>
      </c>
    </row>
    <row r="5919" spans="1:3">
      <c r="A5919" t="s">
        <v>879</v>
      </c>
      <c r="B5919" t="s">
        <v>1075</v>
      </c>
      <c r="C5919" t="s">
        <v>1890</v>
      </c>
    </row>
    <row r="5920" spans="1:3">
      <c r="A5920" t="s">
        <v>879</v>
      </c>
      <c r="B5920" t="s">
        <v>1075</v>
      </c>
      <c r="C5920" t="s">
        <v>1889</v>
      </c>
    </row>
    <row r="5921" spans="1:3">
      <c r="A5921" t="s">
        <v>879</v>
      </c>
      <c r="B5921" t="s">
        <v>1075</v>
      </c>
      <c r="C5921" t="s">
        <v>1888</v>
      </c>
    </row>
    <row r="5922" spans="1:3">
      <c r="A5922" t="s">
        <v>879</v>
      </c>
      <c r="B5922" t="s">
        <v>1075</v>
      </c>
      <c r="C5922" t="s">
        <v>1887</v>
      </c>
    </row>
    <row r="5923" spans="1:3">
      <c r="A5923" t="s">
        <v>879</v>
      </c>
      <c r="B5923" t="s">
        <v>1075</v>
      </c>
      <c r="C5923" t="s">
        <v>1886</v>
      </c>
    </row>
    <row r="5924" spans="1:3">
      <c r="A5924" t="s">
        <v>879</v>
      </c>
      <c r="B5924" t="s">
        <v>1075</v>
      </c>
      <c r="C5924" t="s">
        <v>1885</v>
      </c>
    </row>
    <row r="5925" spans="1:3">
      <c r="A5925" t="s">
        <v>879</v>
      </c>
      <c r="B5925" t="s">
        <v>1075</v>
      </c>
      <c r="C5925" t="s">
        <v>1884</v>
      </c>
    </row>
    <row r="5926" spans="1:3">
      <c r="A5926" t="s">
        <v>879</v>
      </c>
      <c r="B5926" t="s">
        <v>1075</v>
      </c>
      <c r="C5926" t="s">
        <v>1883</v>
      </c>
    </row>
    <row r="5927" spans="1:3">
      <c r="A5927" t="s">
        <v>879</v>
      </c>
      <c r="B5927" t="s">
        <v>1075</v>
      </c>
      <c r="C5927" t="s">
        <v>1882</v>
      </c>
    </row>
    <row r="5928" spans="1:3">
      <c r="A5928" t="s">
        <v>879</v>
      </c>
      <c r="B5928" t="s">
        <v>1075</v>
      </c>
      <c r="C5928" t="s">
        <v>1881</v>
      </c>
    </row>
    <row r="5929" spans="1:3">
      <c r="A5929" t="s">
        <v>879</v>
      </c>
      <c r="B5929" t="s">
        <v>1075</v>
      </c>
      <c r="C5929" t="s">
        <v>1880</v>
      </c>
    </row>
    <row r="5930" spans="1:3">
      <c r="A5930" t="s">
        <v>879</v>
      </c>
      <c r="B5930" t="s">
        <v>1075</v>
      </c>
      <c r="C5930" t="s">
        <v>1879</v>
      </c>
    </row>
    <row r="5931" spans="1:3">
      <c r="A5931" t="s">
        <v>879</v>
      </c>
      <c r="B5931" t="s">
        <v>1075</v>
      </c>
      <c r="C5931" t="s">
        <v>1878</v>
      </c>
    </row>
    <row r="5932" spans="1:3">
      <c r="A5932" t="s">
        <v>879</v>
      </c>
      <c r="B5932" t="s">
        <v>1075</v>
      </c>
      <c r="C5932" t="s">
        <v>1877</v>
      </c>
    </row>
    <row r="5933" spans="1:3">
      <c r="A5933" t="s">
        <v>879</v>
      </c>
      <c r="B5933" t="s">
        <v>1075</v>
      </c>
      <c r="C5933" t="s">
        <v>1876</v>
      </c>
    </row>
    <row r="5934" spans="1:3">
      <c r="A5934" t="s">
        <v>879</v>
      </c>
      <c r="B5934" t="s">
        <v>1075</v>
      </c>
      <c r="C5934" t="s">
        <v>1875</v>
      </c>
    </row>
    <row r="5935" spans="1:3">
      <c r="A5935" t="s">
        <v>879</v>
      </c>
      <c r="B5935" t="s">
        <v>1075</v>
      </c>
      <c r="C5935" t="s">
        <v>1874</v>
      </c>
    </row>
    <row r="5936" spans="1:3">
      <c r="A5936" t="s">
        <v>886</v>
      </c>
      <c r="B5936" t="s">
        <v>1070</v>
      </c>
      <c r="C5936" t="s">
        <v>1816</v>
      </c>
    </row>
    <row r="5937" spans="1:3">
      <c r="A5937" t="s">
        <v>886</v>
      </c>
      <c r="B5937" t="s">
        <v>1070</v>
      </c>
      <c r="C5937" t="s">
        <v>1815</v>
      </c>
    </row>
    <row r="5938" spans="1:3">
      <c r="A5938" t="s">
        <v>886</v>
      </c>
      <c r="B5938" t="s">
        <v>1070</v>
      </c>
      <c r="C5938" t="s">
        <v>1814</v>
      </c>
    </row>
    <row r="5939" spans="1:3">
      <c r="A5939" t="s">
        <v>886</v>
      </c>
      <c r="B5939" t="s">
        <v>1070</v>
      </c>
      <c r="C5939" t="s">
        <v>1813</v>
      </c>
    </row>
    <row r="5940" spans="1:3">
      <c r="A5940" t="s">
        <v>886</v>
      </c>
      <c r="B5940" t="s">
        <v>1070</v>
      </c>
      <c r="C5940" t="s">
        <v>1812</v>
      </c>
    </row>
    <row r="5941" spans="1:3">
      <c r="A5941" t="s">
        <v>886</v>
      </c>
      <c r="B5941" t="s">
        <v>1075</v>
      </c>
      <c r="C5941" t="s">
        <v>1865</v>
      </c>
    </row>
    <row r="5942" spans="1:3">
      <c r="A5942" t="s">
        <v>886</v>
      </c>
      <c r="B5942" t="s">
        <v>1075</v>
      </c>
      <c r="C5942" t="s">
        <v>1864</v>
      </c>
    </row>
    <row r="5943" spans="1:3">
      <c r="A5943" t="s">
        <v>886</v>
      </c>
      <c r="B5943" t="s">
        <v>1075</v>
      </c>
      <c r="C5943" t="s">
        <v>1863</v>
      </c>
    </row>
    <row r="5944" spans="1:3">
      <c r="A5944" t="s">
        <v>886</v>
      </c>
      <c r="B5944" t="s">
        <v>1075</v>
      </c>
      <c r="C5944" t="s">
        <v>1862</v>
      </c>
    </row>
    <row r="5945" spans="1:3">
      <c r="A5945" t="s">
        <v>886</v>
      </c>
      <c r="B5945" t="s">
        <v>1075</v>
      </c>
      <c r="C5945" t="s">
        <v>1861</v>
      </c>
    </row>
    <row r="5946" spans="1:3">
      <c r="A5946" t="s">
        <v>886</v>
      </c>
      <c r="B5946" t="s">
        <v>1075</v>
      </c>
      <c r="C5946" t="s">
        <v>1860</v>
      </c>
    </row>
    <row r="5947" spans="1:3">
      <c r="A5947" t="s">
        <v>886</v>
      </c>
      <c r="B5947" t="s">
        <v>1075</v>
      </c>
      <c r="C5947" t="s">
        <v>1859</v>
      </c>
    </row>
    <row r="5948" spans="1:3">
      <c r="A5948" t="s">
        <v>886</v>
      </c>
      <c r="B5948" t="s">
        <v>1075</v>
      </c>
      <c r="C5948" t="s">
        <v>1858</v>
      </c>
    </row>
    <row r="5949" spans="1:3">
      <c r="A5949" t="s">
        <v>886</v>
      </c>
      <c r="B5949" t="s">
        <v>1075</v>
      </c>
      <c r="C5949" t="s">
        <v>1857</v>
      </c>
    </row>
    <row r="5950" spans="1:3">
      <c r="A5950" t="s">
        <v>886</v>
      </c>
      <c r="B5950" t="s">
        <v>1075</v>
      </c>
      <c r="C5950" t="s">
        <v>1856</v>
      </c>
    </row>
    <row r="5951" spans="1:3">
      <c r="A5951" t="s">
        <v>886</v>
      </c>
      <c r="B5951" t="s">
        <v>1075</v>
      </c>
      <c r="C5951" t="s">
        <v>1855</v>
      </c>
    </row>
    <row r="5952" spans="1:3">
      <c r="A5952" t="s">
        <v>886</v>
      </c>
      <c r="B5952" t="s">
        <v>1075</v>
      </c>
      <c r="C5952" t="s">
        <v>1854</v>
      </c>
    </row>
    <row r="5953" spans="1:3">
      <c r="A5953" t="s">
        <v>886</v>
      </c>
      <c r="B5953" t="s">
        <v>1075</v>
      </c>
      <c r="C5953" t="s">
        <v>1853</v>
      </c>
    </row>
    <row r="5954" spans="1:3">
      <c r="A5954" t="s">
        <v>886</v>
      </c>
      <c r="B5954" t="s">
        <v>1075</v>
      </c>
      <c r="C5954" t="s">
        <v>1852</v>
      </c>
    </row>
    <row r="5955" spans="1:3">
      <c r="A5955" t="s">
        <v>886</v>
      </c>
      <c r="B5955" t="s">
        <v>1075</v>
      </c>
      <c r="C5955" t="s">
        <v>1851</v>
      </c>
    </row>
    <row r="5956" spans="1:3">
      <c r="A5956" t="s">
        <v>886</v>
      </c>
      <c r="B5956" t="s">
        <v>1075</v>
      </c>
      <c r="C5956" t="s">
        <v>1850</v>
      </c>
    </row>
    <row r="5957" spans="1:3">
      <c r="A5957" t="s">
        <v>886</v>
      </c>
      <c r="B5957" t="s">
        <v>1075</v>
      </c>
      <c r="C5957" t="s">
        <v>1849</v>
      </c>
    </row>
    <row r="5958" spans="1:3">
      <c r="A5958" t="s">
        <v>886</v>
      </c>
      <c r="B5958" t="s">
        <v>1075</v>
      </c>
      <c r="C5958" t="s">
        <v>1848</v>
      </c>
    </row>
    <row r="5959" spans="1:3">
      <c r="A5959" t="s">
        <v>886</v>
      </c>
      <c r="B5959" t="s">
        <v>1075</v>
      </c>
      <c r="C5959" t="s">
        <v>1847</v>
      </c>
    </row>
    <row r="5960" spans="1:3">
      <c r="A5960" t="s">
        <v>886</v>
      </c>
      <c r="B5960" t="s">
        <v>1075</v>
      </c>
      <c r="C5960" t="s">
        <v>1846</v>
      </c>
    </row>
    <row r="5961" spans="1:3">
      <c r="A5961" t="s">
        <v>886</v>
      </c>
      <c r="B5961" t="s">
        <v>1075</v>
      </c>
      <c r="C5961" t="s">
        <v>1845</v>
      </c>
    </row>
    <row r="5962" spans="1:3">
      <c r="A5962" t="s">
        <v>886</v>
      </c>
      <c r="B5962" t="s">
        <v>1075</v>
      </c>
      <c r="C5962" t="s">
        <v>1844</v>
      </c>
    </row>
    <row r="5963" spans="1:3">
      <c r="A5963" t="s">
        <v>886</v>
      </c>
      <c r="B5963" t="s">
        <v>1075</v>
      </c>
      <c r="C5963" t="s">
        <v>1843</v>
      </c>
    </row>
    <row r="5964" spans="1:3">
      <c r="A5964" t="s">
        <v>886</v>
      </c>
      <c r="B5964" t="s">
        <v>1075</v>
      </c>
      <c r="C5964" t="s">
        <v>1842</v>
      </c>
    </row>
    <row r="5965" spans="1:3">
      <c r="A5965" t="s">
        <v>886</v>
      </c>
      <c r="B5965" t="s">
        <v>1075</v>
      </c>
      <c r="C5965" t="s">
        <v>1841</v>
      </c>
    </row>
    <row r="5966" spans="1:3">
      <c r="A5966" t="s">
        <v>886</v>
      </c>
      <c r="B5966" t="s">
        <v>1075</v>
      </c>
      <c r="C5966" t="s">
        <v>1840</v>
      </c>
    </row>
    <row r="5967" spans="1:3">
      <c r="A5967" t="s">
        <v>886</v>
      </c>
      <c r="B5967" t="s">
        <v>1075</v>
      </c>
      <c r="C5967" t="s">
        <v>1839</v>
      </c>
    </row>
    <row r="5968" spans="1:3">
      <c r="A5968" t="s">
        <v>886</v>
      </c>
      <c r="B5968" t="s">
        <v>1075</v>
      </c>
      <c r="C5968" t="s">
        <v>1838</v>
      </c>
    </row>
    <row r="5969" spans="1:3">
      <c r="A5969" t="s">
        <v>886</v>
      </c>
      <c r="B5969" t="s">
        <v>1075</v>
      </c>
      <c r="C5969" t="s">
        <v>1837</v>
      </c>
    </row>
    <row r="5970" spans="1:3">
      <c r="A5970" t="s">
        <v>886</v>
      </c>
      <c r="B5970" t="s">
        <v>1075</v>
      </c>
      <c r="C5970" t="s">
        <v>1836</v>
      </c>
    </row>
    <row r="5971" spans="1:3">
      <c r="A5971" t="s">
        <v>886</v>
      </c>
      <c r="B5971" t="s">
        <v>1075</v>
      </c>
      <c r="C5971" t="s">
        <v>1835</v>
      </c>
    </row>
    <row r="5972" spans="1:3">
      <c r="A5972" t="s">
        <v>886</v>
      </c>
      <c r="B5972" t="s">
        <v>1075</v>
      </c>
      <c r="C5972" t="s">
        <v>1834</v>
      </c>
    </row>
    <row r="5973" spans="1:3">
      <c r="A5973" t="s">
        <v>886</v>
      </c>
      <c r="B5973" t="s">
        <v>1075</v>
      </c>
      <c r="C5973" t="s">
        <v>1833</v>
      </c>
    </row>
    <row r="5974" spans="1:3">
      <c r="A5974" t="s">
        <v>886</v>
      </c>
      <c r="B5974" t="s">
        <v>1075</v>
      </c>
      <c r="C5974" t="s">
        <v>1832</v>
      </c>
    </row>
    <row r="5975" spans="1:3">
      <c r="A5975" t="s">
        <v>886</v>
      </c>
      <c r="B5975" t="s">
        <v>1075</v>
      </c>
      <c r="C5975" t="s">
        <v>1831</v>
      </c>
    </row>
    <row r="5976" spans="1:3">
      <c r="A5976" t="s">
        <v>886</v>
      </c>
      <c r="B5976" t="s">
        <v>1075</v>
      </c>
      <c r="C5976" t="s">
        <v>1830</v>
      </c>
    </row>
    <row r="5977" spans="1:3">
      <c r="A5977" t="s">
        <v>886</v>
      </c>
      <c r="B5977" t="s">
        <v>1075</v>
      </c>
      <c r="C5977" t="s">
        <v>1829</v>
      </c>
    </row>
    <row r="5978" spans="1:3">
      <c r="A5978" t="s">
        <v>886</v>
      </c>
      <c r="B5978" t="s">
        <v>1075</v>
      </c>
      <c r="C5978" t="s">
        <v>1828</v>
      </c>
    </row>
    <row r="5979" spans="1:3">
      <c r="A5979" t="s">
        <v>886</v>
      </c>
      <c r="B5979" t="s">
        <v>1075</v>
      </c>
      <c r="C5979" t="s">
        <v>1827</v>
      </c>
    </row>
    <row r="5980" spans="1:3">
      <c r="A5980" t="s">
        <v>886</v>
      </c>
      <c r="B5980" t="s">
        <v>1075</v>
      </c>
      <c r="C5980" t="s">
        <v>1826</v>
      </c>
    </row>
    <row r="5981" spans="1:3">
      <c r="A5981" t="s">
        <v>886</v>
      </c>
      <c r="B5981" t="s">
        <v>1075</v>
      </c>
      <c r="C5981" t="s">
        <v>1825</v>
      </c>
    </row>
    <row r="5982" spans="1:3">
      <c r="A5982" t="s">
        <v>886</v>
      </c>
      <c r="B5982" t="s">
        <v>1075</v>
      </c>
      <c r="C5982" t="s">
        <v>1824</v>
      </c>
    </row>
    <row r="5983" spans="1:3">
      <c r="A5983" t="s">
        <v>886</v>
      </c>
      <c r="B5983" t="s">
        <v>1075</v>
      </c>
      <c r="C5983" t="s">
        <v>1823</v>
      </c>
    </row>
    <row r="5984" spans="1:3">
      <c r="A5984" t="s">
        <v>886</v>
      </c>
      <c r="B5984" t="s">
        <v>1075</v>
      </c>
      <c r="C5984" t="s">
        <v>1822</v>
      </c>
    </row>
    <row r="5985" spans="1:3">
      <c r="A5985" t="s">
        <v>886</v>
      </c>
      <c r="B5985" t="s">
        <v>1075</v>
      </c>
      <c r="C5985" t="s">
        <v>1821</v>
      </c>
    </row>
    <row r="5986" spans="1:3">
      <c r="A5986" t="s">
        <v>886</v>
      </c>
      <c r="B5986" t="s">
        <v>1075</v>
      </c>
      <c r="C5986" t="s">
        <v>1820</v>
      </c>
    </row>
    <row r="5987" spans="1:3">
      <c r="A5987" t="s">
        <v>886</v>
      </c>
      <c r="B5987" t="s">
        <v>1075</v>
      </c>
      <c r="C5987" t="s">
        <v>1819</v>
      </c>
    </row>
    <row r="5988" spans="1:3">
      <c r="A5988" t="s">
        <v>886</v>
      </c>
      <c r="B5988" t="s">
        <v>1075</v>
      </c>
      <c r="C5988" t="s">
        <v>1818</v>
      </c>
    </row>
    <row r="5989" spans="1:3">
      <c r="A5989" t="s">
        <v>886</v>
      </c>
      <c r="B5989" t="s">
        <v>1075</v>
      </c>
      <c r="C5989" t="s">
        <v>1817</v>
      </c>
    </row>
    <row r="5990" spans="1:3">
      <c r="A5990" t="s">
        <v>887</v>
      </c>
      <c r="B5990" t="s">
        <v>1070</v>
      </c>
      <c r="C5990" t="s">
        <v>1762</v>
      </c>
    </row>
    <row r="5991" spans="1:3">
      <c r="A5991" t="s">
        <v>887</v>
      </c>
      <c r="B5991" t="s">
        <v>1070</v>
      </c>
      <c r="C5991" t="s">
        <v>1761</v>
      </c>
    </row>
    <row r="5992" spans="1:3">
      <c r="A5992" t="s">
        <v>887</v>
      </c>
      <c r="B5992" t="s">
        <v>1070</v>
      </c>
      <c r="C5992" t="s">
        <v>1760</v>
      </c>
    </row>
    <row r="5993" spans="1:3">
      <c r="A5993" t="s">
        <v>887</v>
      </c>
      <c r="B5993" t="s">
        <v>1070</v>
      </c>
      <c r="C5993" t="s">
        <v>1759</v>
      </c>
    </row>
    <row r="5994" spans="1:3">
      <c r="A5994" t="s">
        <v>887</v>
      </c>
      <c r="B5994" t="s">
        <v>1070</v>
      </c>
      <c r="C5994" t="s">
        <v>1758</v>
      </c>
    </row>
    <row r="5995" spans="1:3">
      <c r="A5995" t="s">
        <v>887</v>
      </c>
      <c r="B5995" t="s">
        <v>1075</v>
      </c>
      <c r="C5995" t="s">
        <v>1811</v>
      </c>
    </row>
    <row r="5996" spans="1:3">
      <c r="A5996" t="s">
        <v>887</v>
      </c>
      <c r="B5996" t="s">
        <v>1075</v>
      </c>
      <c r="C5996" t="s">
        <v>1810</v>
      </c>
    </row>
    <row r="5997" spans="1:3">
      <c r="A5997" t="s">
        <v>887</v>
      </c>
      <c r="B5997" t="s">
        <v>1075</v>
      </c>
      <c r="C5997" t="s">
        <v>1809</v>
      </c>
    </row>
    <row r="5998" spans="1:3">
      <c r="A5998" t="s">
        <v>887</v>
      </c>
      <c r="B5998" t="s">
        <v>1075</v>
      </c>
      <c r="C5998" t="s">
        <v>1808</v>
      </c>
    </row>
    <row r="5999" spans="1:3">
      <c r="A5999" t="s">
        <v>887</v>
      </c>
      <c r="B5999" t="s">
        <v>1075</v>
      </c>
      <c r="C5999" t="s">
        <v>1807</v>
      </c>
    </row>
    <row r="6000" spans="1:3">
      <c r="A6000" t="s">
        <v>887</v>
      </c>
      <c r="B6000" t="s">
        <v>1075</v>
      </c>
      <c r="C6000" t="s">
        <v>1806</v>
      </c>
    </row>
    <row r="6001" spans="1:3">
      <c r="A6001" t="s">
        <v>887</v>
      </c>
      <c r="B6001" t="s">
        <v>1075</v>
      </c>
      <c r="C6001" t="s">
        <v>1805</v>
      </c>
    </row>
    <row r="6002" spans="1:3">
      <c r="A6002" t="s">
        <v>887</v>
      </c>
      <c r="B6002" t="s">
        <v>1075</v>
      </c>
      <c r="C6002" t="s">
        <v>1804</v>
      </c>
    </row>
    <row r="6003" spans="1:3">
      <c r="A6003" t="s">
        <v>887</v>
      </c>
      <c r="B6003" t="s">
        <v>1075</v>
      </c>
      <c r="C6003" t="s">
        <v>1803</v>
      </c>
    </row>
    <row r="6004" spans="1:3">
      <c r="A6004" t="s">
        <v>887</v>
      </c>
      <c r="B6004" t="s">
        <v>1075</v>
      </c>
      <c r="C6004" t="s">
        <v>1802</v>
      </c>
    </row>
    <row r="6005" spans="1:3">
      <c r="A6005" t="s">
        <v>887</v>
      </c>
      <c r="B6005" t="s">
        <v>1075</v>
      </c>
      <c r="C6005" t="s">
        <v>1801</v>
      </c>
    </row>
    <row r="6006" spans="1:3">
      <c r="A6006" t="s">
        <v>887</v>
      </c>
      <c r="B6006" t="s">
        <v>1075</v>
      </c>
      <c r="C6006" t="s">
        <v>1800</v>
      </c>
    </row>
    <row r="6007" spans="1:3">
      <c r="A6007" t="s">
        <v>887</v>
      </c>
      <c r="B6007" t="s">
        <v>1075</v>
      </c>
      <c r="C6007" t="s">
        <v>1799</v>
      </c>
    </row>
    <row r="6008" spans="1:3">
      <c r="A6008" t="s">
        <v>887</v>
      </c>
      <c r="B6008" t="s">
        <v>1075</v>
      </c>
      <c r="C6008" t="s">
        <v>1798</v>
      </c>
    </row>
    <row r="6009" spans="1:3">
      <c r="A6009" t="s">
        <v>887</v>
      </c>
      <c r="B6009" t="s">
        <v>1075</v>
      </c>
      <c r="C6009" t="s">
        <v>1797</v>
      </c>
    </row>
    <row r="6010" spans="1:3">
      <c r="A6010" t="s">
        <v>887</v>
      </c>
      <c r="B6010" t="s">
        <v>1075</v>
      </c>
      <c r="C6010" t="s">
        <v>1796</v>
      </c>
    </row>
    <row r="6011" spans="1:3">
      <c r="A6011" t="s">
        <v>887</v>
      </c>
      <c r="B6011" t="s">
        <v>1075</v>
      </c>
      <c r="C6011" t="s">
        <v>1795</v>
      </c>
    </row>
    <row r="6012" spans="1:3">
      <c r="A6012" t="s">
        <v>887</v>
      </c>
      <c r="B6012" t="s">
        <v>1075</v>
      </c>
      <c r="C6012" t="s">
        <v>1794</v>
      </c>
    </row>
    <row r="6013" spans="1:3">
      <c r="A6013" t="s">
        <v>887</v>
      </c>
      <c r="B6013" t="s">
        <v>1075</v>
      </c>
      <c r="C6013" t="s">
        <v>1793</v>
      </c>
    </row>
    <row r="6014" spans="1:3">
      <c r="A6014" t="s">
        <v>887</v>
      </c>
      <c r="B6014" t="s">
        <v>1075</v>
      </c>
      <c r="C6014" t="s">
        <v>1792</v>
      </c>
    </row>
    <row r="6015" spans="1:3">
      <c r="A6015" t="s">
        <v>887</v>
      </c>
      <c r="B6015" t="s">
        <v>1075</v>
      </c>
      <c r="C6015" t="s">
        <v>1791</v>
      </c>
    </row>
    <row r="6016" spans="1:3">
      <c r="A6016" t="s">
        <v>887</v>
      </c>
      <c r="B6016" t="s">
        <v>1075</v>
      </c>
      <c r="C6016" t="s">
        <v>1790</v>
      </c>
    </row>
    <row r="6017" spans="1:3">
      <c r="A6017" t="s">
        <v>887</v>
      </c>
      <c r="B6017" t="s">
        <v>1075</v>
      </c>
      <c r="C6017" t="s">
        <v>1789</v>
      </c>
    </row>
    <row r="6018" spans="1:3">
      <c r="A6018" t="s">
        <v>887</v>
      </c>
      <c r="B6018" t="s">
        <v>1075</v>
      </c>
      <c r="C6018" t="s">
        <v>1788</v>
      </c>
    </row>
    <row r="6019" spans="1:3">
      <c r="A6019" t="s">
        <v>887</v>
      </c>
      <c r="B6019" t="s">
        <v>1075</v>
      </c>
      <c r="C6019" t="s">
        <v>1787</v>
      </c>
    </row>
    <row r="6020" spans="1:3">
      <c r="A6020" t="s">
        <v>887</v>
      </c>
      <c r="B6020" t="s">
        <v>1075</v>
      </c>
      <c r="C6020" t="s">
        <v>1786</v>
      </c>
    </row>
    <row r="6021" spans="1:3">
      <c r="A6021" t="s">
        <v>887</v>
      </c>
      <c r="B6021" t="s">
        <v>1075</v>
      </c>
      <c r="C6021" t="s">
        <v>1785</v>
      </c>
    </row>
    <row r="6022" spans="1:3">
      <c r="A6022" t="s">
        <v>887</v>
      </c>
      <c r="B6022" t="s">
        <v>1075</v>
      </c>
      <c r="C6022" t="s">
        <v>1784</v>
      </c>
    </row>
    <row r="6023" spans="1:3">
      <c r="A6023" t="s">
        <v>887</v>
      </c>
      <c r="B6023" t="s">
        <v>1075</v>
      </c>
      <c r="C6023" t="s">
        <v>1783</v>
      </c>
    </row>
    <row r="6024" spans="1:3">
      <c r="A6024" t="s">
        <v>887</v>
      </c>
      <c r="B6024" t="s">
        <v>1075</v>
      </c>
      <c r="C6024" t="s">
        <v>1782</v>
      </c>
    </row>
    <row r="6025" spans="1:3">
      <c r="A6025" t="s">
        <v>887</v>
      </c>
      <c r="B6025" t="s">
        <v>1075</v>
      </c>
      <c r="C6025" t="s">
        <v>1781</v>
      </c>
    </row>
    <row r="6026" spans="1:3">
      <c r="A6026" t="s">
        <v>887</v>
      </c>
      <c r="B6026" t="s">
        <v>1075</v>
      </c>
      <c r="C6026" t="s">
        <v>1780</v>
      </c>
    </row>
    <row r="6027" spans="1:3">
      <c r="A6027" t="s">
        <v>887</v>
      </c>
      <c r="B6027" t="s">
        <v>1075</v>
      </c>
      <c r="C6027" t="s">
        <v>1779</v>
      </c>
    </row>
    <row r="6028" spans="1:3">
      <c r="A6028" t="s">
        <v>887</v>
      </c>
      <c r="B6028" t="s">
        <v>1075</v>
      </c>
      <c r="C6028" t="s">
        <v>1778</v>
      </c>
    </row>
    <row r="6029" spans="1:3">
      <c r="A6029" t="s">
        <v>887</v>
      </c>
      <c r="B6029" t="s">
        <v>1075</v>
      </c>
      <c r="C6029" t="s">
        <v>1777</v>
      </c>
    </row>
    <row r="6030" spans="1:3">
      <c r="A6030" t="s">
        <v>887</v>
      </c>
      <c r="B6030" t="s">
        <v>1075</v>
      </c>
      <c r="C6030" t="s">
        <v>1776</v>
      </c>
    </row>
    <row r="6031" spans="1:3">
      <c r="A6031" t="s">
        <v>887</v>
      </c>
      <c r="B6031" t="s">
        <v>1075</v>
      </c>
      <c r="C6031" t="s">
        <v>1775</v>
      </c>
    </row>
    <row r="6032" spans="1:3">
      <c r="A6032" t="s">
        <v>887</v>
      </c>
      <c r="B6032" t="s">
        <v>1075</v>
      </c>
      <c r="C6032" t="s">
        <v>1774</v>
      </c>
    </row>
    <row r="6033" spans="1:3">
      <c r="A6033" t="s">
        <v>887</v>
      </c>
      <c r="B6033" t="s">
        <v>1075</v>
      </c>
      <c r="C6033" t="s">
        <v>1773</v>
      </c>
    </row>
    <row r="6034" spans="1:3">
      <c r="A6034" t="s">
        <v>887</v>
      </c>
      <c r="B6034" t="s">
        <v>1075</v>
      </c>
      <c r="C6034" t="s">
        <v>1772</v>
      </c>
    </row>
    <row r="6035" spans="1:3">
      <c r="A6035" t="s">
        <v>887</v>
      </c>
      <c r="B6035" t="s">
        <v>1075</v>
      </c>
      <c r="C6035" t="s">
        <v>1771</v>
      </c>
    </row>
    <row r="6036" spans="1:3">
      <c r="A6036" t="s">
        <v>887</v>
      </c>
      <c r="B6036" t="s">
        <v>1075</v>
      </c>
      <c r="C6036" t="s">
        <v>1770</v>
      </c>
    </row>
    <row r="6037" spans="1:3">
      <c r="A6037" t="s">
        <v>887</v>
      </c>
      <c r="B6037" t="s">
        <v>1075</v>
      </c>
      <c r="C6037" t="s">
        <v>1769</v>
      </c>
    </row>
    <row r="6038" spans="1:3">
      <c r="A6038" t="s">
        <v>887</v>
      </c>
      <c r="B6038" t="s">
        <v>1075</v>
      </c>
      <c r="C6038" t="s">
        <v>1768</v>
      </c>
    </row>
    <row r="6039" spans="1:3">
      <c r="A6039" t="s">
        <v>887</v>
      </c>
      <c r="B6039" t="s">
        <v>1075</v>
      </c>
      <c r="C6039" t="s">
        <v>1767</v>
      </c>
    </row>
    <row r="6040" spans="1:3">
      <c r="A6040" t="s">
        <v>887</v>
      </c>
      <c r="B6040" t="s">
        <v>1075</v>
      </c>
      <c r="C6040" t="s">
        <v>1766</v>
      </c>
    </row>
    <row r="6041" spans="1:3">
      <c r="A6041" t="s">
        <v>887</v>
      </c>
      <c r="B6041" t="s">
        <v>1075</v>
      </c>
      <c r="C6041" t="s">
        <v>1765</v>
      </c>
    </row>
    <row r="6042" spans="1:3">
      <c r="A6042" t="s">
        <v>887</v>
      </c>
      <c r="B6042" t="s">
        <v>1075</v>
      </c>
      <c r="C6042" t="s">
        <v>1764</v>
      </c>
    </row>
    <row r="6043" spans="1:3">
      <c r="A6043" t="s">
        <v>887</v>
      </c>
      <c r="B6043" t="s">
        <v>1075</v>
      </c>
      <c r="C6043" t="s">
        <v>1763</v>
      </c>
    </row>
    <row r="6044" spans="1:3">
      <c r="A6044" t="s">
        <v>884</v>
      </c>
      <c r="B6044" t="s">
        <v>1070</v>
      </c>
      <c r="C6044" t="s">
        <v>1744</v>
      </c>
    </row>
    <row r="6045" spans="1:3">
      <c r="A6045" t="s">
        <v>884</v>
      </c>
      <c r="B6045" t="s">
        <v>1075</v>
      </c>
      <c r="C6045" t="s">
        <v>1757</v>
      </c>
    </row>
    <row r="6046" spans="1:3">
      <c r="A6046" t="s">
        <v>884</v>
      </c>
      <c r="B6046" t="s">
        <v>1075</v>
      </c>
      <c r="C6046" t="s">
        <v>1756</v>
      </c>
    </row>
    <row r="6047" spans="1:3">
      <c r="A6047" t="s">
        <v>884</v>
      </c>
      <c r="B6047" t="s">
        <v>1075</v>
      </c>
      <c r="C6047" t="s">
        <v>1755</v>
      </c>
    </row>
    <row r="6048" spans="1:3">
      <c r="A6048" t="s">
        <v>884</v>
      </c>
      <c r="B6048" t="s">
        <v>1075</v>
      </c>
      <c r="C6048" t="s">
        <v>1754</v>
      </c>
    </row>
    <row r="6049" spans="1:3">
      <c r="A6049" t="s">
        <v>884</v>
      </c>
      <c r="B6049" t="s">
        <v>1075</v>
      </c>
      <c r="C6049" t="s">
        <v>1753</v>
      </c>
    </row>
    <row r="6050" spans="1:3">
      <c r="A6050" t="s">
        <v>884</v>
      </c>
      <c r="B6050" t="s">
        <v>1075</v>
      </c>
      <c r="C6050" t="s">
        <v>1752</v>
      </c>
    </row>
    <row r="6051" spans="1:3">
      <c r="A6051" t="s">
        <v>884</v>
      </c>
      <c r="B6051" t="s">
        <v>1075</v>
      </c>
      <c r="C6051" t="s">
        <v>1751</v>
      </c>
    </row>
    <row r="6052" spans="1:3">
      <c r="A6052" t="s">
        <v>884</v>
      </c>
      <c r="B6052" t="s">
        <v>1075</v>
      </c>
      <c r="C6052" t="s">
        <v>1750</v>
      </c>
    </row>
    <row r="6053" spans="1:3">
      <c r="A6053" t="s">
        <v>884</v>
      </c>
      <c r="B6053" t="s">
        <v>1075</v>
      </c>
      <c r="C6053" t="s">
        <v>1749</v>
      </c>
    </row>
    <row r="6054" spans="1:3">
      <c r="A6054" t="s">
        <v>884</v>
      </c>
      <c r="B6054" t="s">
        <v>1075</v>
      </c>
      <c r="C6054" t="s">
        <v>1748</v>
      </c>
    </row>
    <row r="6055" spans="1:3">
      <c r="A6055" t="s">
        <v>884</v>
      </c>
      <c r="B6055" t="s">
        <v>1075</v>
      </c>
      <c r="C6055" t="s">
        <v>1747</v>
      </c>
    </row>
    <row r="6056" spans="1:3">
      <c r="A6056" t="s">
        <v>884</v>
      </c>
      <c r="B6056" t="s">
        <v>1075</v>
      </c>
      <c r="C6056" t="s">
        <v>1746</v>
      </c>
    </row>
    <row r="6057" spans="1:3">
      <c r="A6057" t="s">
        <v>884</v>
      </c>
      <c r="B6057" t="s">
        <v>1075</v>
      </c>
      <c r="C6057" t="s">
        <v>1745</v>
      </c>
    </row>
    <row r="6058" spans="1:3">
      <c r="A6058" t="s">
        <v>885</v>
      </c>
      <c r="B6058" t="s">
        <v>1070</v>
      </c>
      <c r="C6058" t="s">
        <v>1730</v>
      </c>
    </row>
    <row r="6059" spans="1:3">
      <c r="A6059" t="s">
        <v>885</v>
      </c>
      <c r="B6059" t="s">
        <v>1075</v>
      </c>
      <c r="C6059" t="s">
        <v>1743</v>
      </c>
    </row>
    <row r="6060" spans="1:3">
      <c r="A6060" t="s">
        <v>885</v>
      </c>
      <c r="B6060" t="s">
        <v>1075</v>
      </c>
      <c r="C6060" t="s">
        <v>1742</v>
      </c>
    </row>
    <row r="6061" spans="1:3">
      <c r="A6061" t="s">
        <v>885</v>
      </c>
      <c r="B6061" t="s">
        <v>1075</v>
      </c>
      <c r="C6061" t="s">
        <v>1741</v>
      </c>
    </row>
    <row r="6062" spans="1:3">
      <c r="A6062" t="s">
        <v>885</v>
      </c>
      <c r="B6062" t="s">
        <v>1075</v>
      </c>
      <c r="C6062" t="s">
        <v>1740</v>
      </c>
    </row>
    <row r="6063" spans="1:3">
      <c r="A6063" t="s">
        <v>885</v>
      </c>
      <c r="B6063" t="s">
        <v>1075</v>
      </c>
      <c r="C6063" t="s">
        <v>1739</v>
      </c>
    </row>
    <row r="6064" spans="1:3">
      <c r="A6064" t="s">
        <v>885</v>
      </c>
      <c r="B6064" t="s">
        <v>1075</v>
      </c>
      <c r="C6064" t="s">
        <v>1738</v>
      </c>
    </row>
    <row r="6065" spans="1:3">
      <c r="A6065" t="s">
        <v>885</v>
      </c>
      <c r="B6065" t="s">
        <v>1075</v>
      </c>
      <c r="C6065" t="s">
        <v>1737</v>
      </c>
    </row>
    <row r="6066" spans="1:3">
      <c r="A6066" t="s">
        <v>885</v>
      </c>
      <c r="B6066" t="s">
        <v>1075</v>
      </c>
      <c r="C6066" t="s">
        <v>1736</v>
      </c>
    </row>
    <row r="6067" spans="1:3">
      <c r="A6067" t="s">
        <v>885</v>
      </c>
      <c r="B6067" t="s">
        <v>1075</v>
      </c>
      <c r="C6067" t="s">
        <v>1735</v>
      </c>
    </row>
    <row r="6068" spans="1:3">
      <c r="A6068" t="s">
        <v>885</v>
      </c>
      <c r="B6068" t="s">
        <v>1075</v>
      </c>
      <c r="C6068" t="s">
        <v>1734</v>
      </c>
    </row>
    <row r="6069" spans="1:3">
      <c r="A6069" t="s">
        <v>885</v>
      </c>
      <c r="B6069" t="s">
        <v>1075</v>
      </c>
      <c r="C6069" t="s">
        <v>1733</v>
      </c>
    </row>
    <row r="6070" spans="1:3">
      <c r="A6070" t="s">
        <v>885</v>
      </c>
      <c r="B6070" t="s">
        <v>1075</v>
      </c>
      <c r="C6070" t="s">
        <v>1732</v>
      </c>
    </row>
    <row r="6071" spans="1:3">
      <c r="A6071" t="s">
        <v>885</v>
      </c>
      <c r="B6071" t="s">
        <v>1075</v>
      </c>
      <c r="C6071" t="s">
        <v>1731</v>
      </c>
    </row>
    <row r="6072" spans="1:3">
      <c r="A6072" t="s">
        <v>892</v>
      </c>
      <c r="B6072" t="s">
        <v>1070</v>
      </c>
      <c r="C6072" t="s">
        <v>1721</v>
      </c>
    </row>
    <row r="6073" spans="1:3">
      <c r="A6073" t="s">
        <v>892</v>
      </c>
      <c r="B6073" t="s">
        <v>1070</v>
      </c>
      <c r="C6073" t="s">
        <v>1720</v>
      </c>
    </row>
    <row r="6074" spans="1:3">
      <c r="A6074" t="s">
        <v>892</v>
      </c>
      <c r="B6074" t="s">
        <v>1070</v>
      </c>
      <c r="C6074" t="s">
        <v>1719</v>
      </c>
    </row>
    <row r="6075" spans="1:3">
      <c r="A6075" t="s">
        <v>892</v>
      </c>
      <c r="B6075" t="s">
        <v>1075</v>
      </c>
      <c r="C6075" t="s">
        <v>1729</v>
      </c>
    </row>
    <row r="6076" spans="1:3">
      <c r="A6076" t="s">
        <v>892</v>
      </c>
      <c r="B6076" t="s">
        <v>1075</v>
      </c>
      <c r="C6076" t="s">
        <v>1728</v>
      </c>
    </row>
    <row r="6077" spans="1:3">
      <c r="A6077" t="s">
        <v>892</v>
      </c>
      <c r="B6077" t="s">
        <v>1075</v>
      </c>
      <c r="C6077" t="s">
        <v>1727</v>
      </c>
    </row>
    <row r="6078" spans="1:3">
      <c r="A6078" t="s">
        <v>892</v>
      </c>
      <c r="B6078" t="s">
        <v>1075</v>
      </c>
      <c r="C6078" t="s">
        <v>1726</v>
      </c>
    </row>
    <row r="6079" spans="1:3">
      <c r="A6079" t="s">
        <v>892</v>
      </c>
      <c r="B6079" t="s">
        <v>1075</v>
      </c>
      <c r="C6079" t="s">
        <v>1725</v>
      </c>
    </row>
    <row r="6080" spans="1:3">
      <c r="A6080" t="s">
        <v>892</v>
      </c>
      <c r="B6080" t="s">
        <v>1075</v>
      </c>
      <c r="C6080" t="s">
        <v>1724</v>
      </c>
    </row>
    <row r="6081" spans="1:3">
      <c r="A6081" t="s">
        <v>892</v>
      </c>
      <c r="B6081" t="s">
        <v>1075</v>
      </c>
      <c r="C6081" t="s">
        <v>1723</v>
      </c>
    </row>
    <row r="6082" spans="1:3">
      <c r="A6082" t="s">
        <v>892</v>
      </c>
      <c r="B6082" t="s">
        <v>1075</v>
      </c>
      <c r="C6082" t="s">
        <v>1722</v>
      </c>
    </row>
    <row r="6083" spans="1:3">
      <c r="A6083" t="s">
        <v>882</v>
      </c>
      <c r="B6083" t="s">
        <v>1070</v>
      </c>
      <c r="C6083" t="s">
        <v>1693</v>
      </c>
    </row>
    <row r="6084" spans="1:3">
      <c r="A6084" t="s">
        <v>882</v>
      </c>
      <c r="B6084" t="s">
        <v>1070</v>
      </c>
      <c r="C6084" t="s">
        <v>1692</v>
      </c>
    </row>
    <row r="6085" spans="1:3">
      <c r="A6085" t="s">
        <v>882</v>
      </c>
      <c r="B6085" t="s">
        <v>1070</v>
      </c>
      <c r="C6085" t="s">
        <v>1691</v>
      </c>
    </row>
    <row r="6086" spans="1:3">
      <c r="A6086" t="s">
        <v>882</v>
      </c>
      <c r="B6086" t="s">
        <v>1070</v>
      </c>
      <c r="C6086" t="s">
        <v>1690</v>
      </c>
    </row>
    <row r="6087" spans="1:3">
      <c r="A6087" t="s">
        <v>882</v>
      </c>
      <c r="B6087" t="s">
        <v>1075</v>
      </c>
      <c r="C6087" t="s">
        <v>1718</v>
      </c>
    </row>
    <row r="6088" spans="1:3">
      <c r="A6088" t="s">
        <v>882</v>
      </c>
      <c r="B6088" t="s">
        <v>1075</v>
      </c>
      <c r="C6088" t="s">
        <v>1717</v>
      </c>
    </row>
    <row r="6089" spans="1:3">
      <c r="A6089" t="s">
        <v>882</v>
      </c>
      <c r="B6089" t="s">
        <v>1075</v>
      </c>
      <c r="C6089" t="s">
        <v>1716</v>
      </c>
    </row>
    <row r="6090" spans="1:3">
      <c r="A6090" t="s">
        <v>882</v>
      </c>
      <c r="B6090" t="s">
        <v>1075</v>
      </c>
      <c r="C6090" t="s">
        <v>1715</v>
      </c>
    </row>
    <row r="6091" spans="1:3">
      <c r="A6091" t="s">
        <v>882</v>
      </c>
      <c r="B6091" t="s">
        <v>1075</v>
      </c>
      <c r="C6091" t="s">
        <v>1714</v>
      </c>
    </row>
    <row r="6092" spans="1:3">
      <c r="A6092" t="s">
        <v>882</v>
      </c>
      <c r="B6092" t="s">
        <v>1075</v>
      </c>
      <c r="C6092" t="s">
        <v>1713</v>
      </c>
    </row>
    <row r="6093" spans="1:3">
      <c r="A6093" t="s">
        <v>882</v>
      </c>
      <c r="B6093" t="s">
        <v>1075</v>
      </c>
      <c r="C6093" t="s">
        <v>1712</v>
      </c>
    </row>
    <row r="6094" spans="1:3">
      <c r="A6094" t="s">
        <v>882</v>
      </c>
      <c r="B6094" t="s">
        <v>1075</v>
      </c>
      <c r="C6094" t="s">
        <v>1711</v>
      </c>
    </row>
    <row r="6095" spans="1:3">
      <c r="A6095" t="s">
        <v>882</v>
      </c>
      <c r="B6095" t="s">
        <v>1075</v>
      </c>
      <c r="C6095" t="s">
        <v>1710</v>
      </c>
    </row>
    <row r="6096" spans="1:3">
      <c r="A6096" t="s">
        <v>882</v>
      </c>
      <c r="B6096" t="s">
        <v>1075</v>
      </c>
      <c r="C6096" t="s">
        <v>1709</v>
      </c>
    </row>
    <row r="6097" spans="1:3">
      <c r="A6097" t="s">
        <v>882</v>
      </c>
      <c r="B6097" t="s">
        <v>1075</v>
      </c>
      <c r="C6097" t="s">
        <v>1708</v>
      </c>
    </row>
    <row r="6098" spans="1:3">
      <c r="A6098" t="s">
        <v>882</v>
      </c>
      <c r="B6098" t="s">
        <v>1075</v>
      </c>
      <c r="C6098" t="s">
        <v>1707</v>
      </c>
    </row>
    <row r="6099" spans="1:3">
      <c r="A6099" t="s">
        <v>882</v>
      </c>
      <c r="B6099" t="s">
        <v>1075</v>
      </c>
      <c r="C6099" t="s">
        <v>1706</v>
      </c>
    </row>
    <row r="6100" spans="1:3">
      <c r="A6100" t="s">
        <v>882</v>
      </c>
      <c r="B6100" t="s">
        <v>1075</v>
      </c>
      <c r="C6100" t="s">
        <v>1705</v>
      </c>
    </row>
    <row r="6101" spans="1:3">
      <c r="A6101" t="s">
        <v>882</v>
      </c>
      <c r="B6101" t="s">
        <v>1075</v>
      </c>
      <c r="C6101" t="s">
        <v>1704</v>
      </c>
    </row>
    <row r="6102" spans="1:3">
      <c r="A6102" t="s">
        <v>882</v>
      </c>
      <c r="B6102" t="s">
        <v>1075</v>
      </c>
      <c r="C6102" t="s">
        <v>1703</v>
      </c>
    </row>
    <row r="6103" spans="1:3">
      <c r="A6103" t="s">
        <v>882</v>
      </c>
      <c r="B6103" t="s">
        <v>1075</v>
      </c>
      <c r="C6103" t="s">
        <v>1702</v>
      </c>
    </row>
    <row r="6104" spans="1:3">
      <c r="A6104" t="s">
        <v>882</v>
      </c>
      <c r="B6104" t="s">
        <v>1075</v>
      </c>
      <c r="C6104" t="s">
        <v>1701</v>
      </c>
    </row>
    <row r="6105" spans="1:3">
      <c r="A6105" t="s">
        <v>882</v>
      </c>
      <c r="B6105" t="s">
        <v>1075</v>
      </c>
      <c r="C6105" t="s">
        <v>1700</v>
      </c>
    </row>
    <row r="6106" spans="1:3">
      <c r="A6106" t="s">
        <v>882</v>
      </c>
      <c r="B6106" t="s">
        <v>1075</v>
      </c>
      <c r="C6106" t="s">
        <v>1699</v>
      </c>
    </row>
    <row r="6107" spans="1:3">
      <c r="A6107" t="s">
        <v>882</v>
      </c>
      <c r="B6107" t="s">
        <v>1075</v>
      </c>
      <c r="C6107" t="s">
        <v>1698</v>
      </c>
    </row>
    <row r="6108" spans="1:3">
      <c r="A6108" t="s">
        <v>882</v>
      </c>
      <c r="B6108" t="s">
        <v>1075</v>
      </c>
      <c r="C6108" t="s">
        <v>1697</v>
      </c>
    </row>
    <row r="6109" spans="1:3">
      <c r="A6109" t="s">
        <v>882</v>
      </c>
      <c r="B6109" t="s">
        <v>1075</v>
      </c>
      <c r="C6109" t="s">
        <v>1696</v>
      </c>
    </row>
    <row r="6110" spans="1:3">
      <c r="A6110" t="s">
        <v>882</v>
      </c>
      <c r="B6110" t="s">
        <v>1075</v>
      </c>
      <c r="C6110" t="s">
        <v>1695</v>
      </c>
    </row>
    <row r="6111" spans="1:3">
      <c r="A6111" t="s">
        <v>882</v>
      </c>
      <c r="B6111" t="s">
        <v>1075</v>
      </c>
      <c r="C6111" t="s">
        <v>1694</v>
      </c>
    </row>
    <row r="6112" spans="1:3">
      <c r="A6112" t="s">
        <v>907</v>
      </c>
      <c r="B6112" t="s">
        <v>1070</v>
      </c>
      <c r="C6112" t="s">
        <v>1684</v>
      </c>
    </row>
    <row r="6113" spans="1:3">
      <c r="A6113" t="s">
        <v>907</v>
      </c>
      <c r="B6113" t="s">
        <v>1075</v>
      </c>
      <c r="C6113" t="s">
        <v>1689</v>
      </c>
    </row>
    <row r="6114" spans="1:3">
      <c r="A6114" t="s">
        <v>907</v>
      </c>
      <c r="B6114" t="s">
        <v>1075</v>
      </c>
      <c r="C6114" t="s">
        <v>1688</v>
      </c>
    </row>
    <row r="6115" spans="1:3">
      <c r="A6115" t="s">
        <v>907</v>
      </c>
      <c r="B6115" t="s">
        <v>1075</v>
      </c>
      <c r="C6115" t="s">
        <v>1687</v>
      </c>
    </row>
    <row r="6116" spans="1:3">
      <c r="A6116" t="s">
        <v>907</v>
      </c>
      <c r="B6116" t="s">
        <v>1075</v>
      </c>
      <c r="C6116" t="s">
        <v>1686</v>
      </c>
    </row>
    <row r="6117" spans="1:3">
      <c r="A6117" t="s">
        <v>907</v>
      </c>
      <c r="B6117" t="s">
        <v>1075</v>
      </c>
      <c r="C6117" t="s">
        <v>1685</v>
      </c>
    </row>
    <row r="6118" spans="1:3">
      <c r="A6118" t="s">
        <v>908</v>
      </c>
      <c r="B6118" t="s">
        <v>1070</v>
      </c>
      <c r="C6118" t="s">
        <v>1678</v>
      </c>
    </row>
    <row r="6119" spans="1:3">
      <c r="A6119" t="s">
        <v>908</v>
      </c>
      <c r="B6119" t="s">
        <v>1075</v>
      </c>
      <c r="C6119" t="s">
        <v>1683</v>
      </c>
    </row>
    <row r="6120" spans="1:3">
      <c r="A6120" t="s">
        <v>908</v>
      </c>
      <c r="B6120" t="s">
        <v>1075</v>
      </c>
      <c r="C6120" t="s">
        <v>1682</v>
      </c>
    </row>
    <row r="6121" spans="1:3">
      <c r="A6121" t="s">
        <v>908</v>
      </c>
      <c r="B6121" t="s">
        <v>1075</v>
      </c>
      <c r="C6121" t="s">
        <v>1681</v>
      </c>
    </row>
    <row r="6122" spans="1:3">
      <c r="A6122" t="s">
        <v>908</v>
      </c>
      <c r="B6122" t="s">
        <v>1075</v>
      </c>
      <c r="C6122" t="s">
        <v>1680</v>
      </c>
    </row>
    <row r="6123" spans="1:3">
      <c r="A6123" t="s">
        <v>908</v>
      </c>
      <c r="B6123" t="s">
        <v>1075</v>
      </c>
      <c r="C6123" t="s">
        <v>1679</v>
      </c>
    </row>
    <row r="6124" spans="1:3">
      <c r="A6124" t="s">
        <v>613</v>
      </c>
      <c r="B6124" t="s">
        <v>1075</v>
      </c>
      <c r="C6124" t="s">
        <v>5588</v>
      </c>
    </row>
    <row r="6125" spans="1:3">
      <c r="A6125" t="s">
        <v>613</v>
      </c>
      <c r="B6125" t="s">
        <v>1075</v>
      </c>
      <c r="C6125" t="s">
        <v>5587</v>
      </c>
    </row>
    <row r="6126" spans="1:3">
      <c r="A6126" t="s">
        <v>63</v>
      </c>
      <c r="B6126" t="s">
        <v>1075</v>
      </c>
      <c r="C6126" t="s">
        <v>5586</v>
      </c>
    </row>
    <row r="6127" spans="1:3">
      <c r="A6127" t="s">
        <v>63</v>
      </c>
      <c r="B6127" t="s">
        <v>1075</v>
      </c>
      <c r="C6127" t="s">
        <v>5585</v>
      </c>
    </row>
    <row r="6128" spans="1:3">
      <c r="A6128" t="s">
        <v>34</v>
      </c>
      <c r="B6128" t="s">
        <v>1075</v>
      </c>
      <c r="C6128" t="s">
        <v>5584</v>
      </c>
    </row>
    <row r="6129" spans="1:3">
      <c r="A6129" t="s">
        <v>34</v>
      </c>
      <c r="B6129" t="s">
        <v>1075</v>
      </c>
      <c r="C6129" t="s">
        <v>5583</v>
      </c>
    </row>
    <row r="6130" spans="1:3">
      <c r="A6130" t="s">
        <v>56</v>
      </c>
      <c r="B6130" t="s">
        <v>1075</v>
      </c>
      <c r="C6130" t="s">
        <v>5582</v>
      </c>
    </row>
    <row r="6131" spans="1:3">
      <c r="A6131" t="s">
        <v>56</v>
      </c>
      <c r="B6131" t="s">
        <v>1075</v>
      </c>
      <c r="C6131" t="s">
        <v>5581</v>
      </c>
    </row>
    <row r="6132" spans="1:3">
      <c r="A6132" t="s">
        <v>51</v>
      </c>
      <c r="B6132" t="s">
        <v>1075</v>
      </c>
      <c r="C6132" t="s">
        <v>5580</v>
      </c>
    </row>
    <row r="6133" spans="1:3">
      <c r="A6133" t="s">
        <v>51</v>
      </c>
      <c r="B6133" t="s">
        <v>1075</v>
      </c>
      <c r="C6133" t="s">
        <v>5579</v>
      </c>
    </row>
    <row r="6134" spans="1:3">
      <c r="A6134" t="s">
        <v>38</v>
      </c>
      <c r="B6134" t="s">
        <v>1075</v>
      </c>
      <c r="C6134" t="s">
        <v>5578</v>
      </c>
    </row>
    <row r="6135" spans="1:3">
      <c r="A6135" t="s">
        <v>38</v>
      </c>
      <c r="B6135" t="s">
        <v>1075</v>
      </c>
      <c r="C6135" t="s">
        <v>5577</v>
      </c>
    </row>
    <row r="6136" spans="1:3">
      <c r="A6136" t="s">
        <v>46</v>
      </c>
      <c r="B6136" t="s">
        <v>1075</v>
      </c>
      <c r="C6136" t="s">
        <v>5576</v>
      </c>
    </row>
    <row r="6137" spans="1:3">
      <c r="A6137" t="s">
        <v>46</v>
      </c>
      <c r="B6137" t="s">
        <v>1075</v>
      </c>
      <c r="C6137" t="s">
        <v>5575</v>
      </c>
    </row>
    <row r="6138" spans="1:3">
      <c r="A6138" t="s">
        <v>65</v>
      </c>
      <c r="B6138" t="s">
        <v>1075</v>
      </c>
      <c r="C6138" t="s">
        <v>5574</v>
      </c>
    </row>
    <row r="6139" spans="1:3">
      <c r="A6139" t="s">
        <v>65</v>
      </c>
      <c r="B6139" t="s">
        <v>1075</v>
      </c>
      <c r="C6139" t="s">
        <v>5573</v>
      </c>
    </row>
    <row r="6140" spans="1:3">
      <c r="A6140" t="s">
        <v>66</v>
      </c>
      <c r="B6140" t="s">
        <v>1075</v>
      </c>
      <c r="C6140" t="s">
        <v>5572</v>
      </c>
    </row>
    <row r="6141" spans="1:3">
      <c r="A6141" t="s">
        <v>66</v>
      </c>
      <c r="B6141" t="s">
        <v>1075</v>
      </c>
      <c r="C6141" t="s">
        <v>5571</v>
      </c>
    </row>
    <row r="6142" spans="1:3">
      <c r="A6142" t="s">
        <v>612</v>
      </c>
      <c r="B6142" t="s">
        <v>1075</v>
      </c>
      <c r="C6142" t="s">
        <v>5570</v>
      </c>
    </row>
    <row r="6143" spans="1:3">
      <c r="A6143" t="s">
        <v>612</v>
      </c>
      <c r="B6143" t="s">
        <v>1075</v>
      </c>
      <c r="C6143" t="s">
        <v>5569</v>
      </c>
    </row>
    <row r="6144" spans="1:3">
      <c r="A6144" t="s">
        <v>48</v>
      </c>
      <c r="B6144" t="s">
        <v>1075</v>
      </c>
      <c r="C6144" t="s">
        <v>5568</v>
      </c>
    </row>
    <row r="6145" spans="1:3">
      <c r="A6145" t="s">
        <v>48</v>
      </c>
      <c r="B6145" t="s">
        <v>1075</v>
      </c>
      <c r="C6145" t="s">
        <v>5567</v>
      </c>
    </row>
    <row r="6146" spans="1:3">
      <c r="A6146" t="s">
        <v>71</v>
      </c>
      <c r="B6146" t="s">
        <v>1075</v>
      </c>
      <c r="C6146" t="s">
        <v>5566</v>
      </c>
    </row>
    <row r="6147" spans="1:3">
      <c r="A6147" t="s">
        <v>71</v>
      </c>
      <c r="B6147" t="s">
        <v>1075</v>
      </c>
      <c r="C6147" t="s">
        <v>5565</v>
      </c>
    </row>
    <row r="6148" spans="1:3">
      <c r="A6148" t="s">
        <v>57</v>
      </c>
      <c r="B6148" t="s">
        <v>1075</v>
      </c>
      <c r="C6148" t="s">
        <v>5564</v>
      </c>
    </row>
    <row r="6149" spans="1:3">
      <c r="A6149" t="s">
        <v>57</v>
      </c>
      <c r="B6149" t="s">
        <v>1075</v>
      </c>
      <c r="C6149" t="s">
        <v>5563</v>
      </c>
    </row>
    <row r="6150" spans="1:3">
      <c r="A6150" t="s">
        <v>61</v>
      </c>
      <c r="B6150" t="s">
        <v>1075</v>
      </c>
      <c r="C6150" t="s">
        <v>5562</v>
      </c>
    </row>
    <row r="6151" spans="1:3">
      <c r="A6151" t="s">
        <v>61</v>
      </c>
      <c r="B6151" t="s">
        <v>1075</v>
      </c>
      <c r="C6151" t="s">
        <v>5561</v>
      </c>
    </row>
    <row r="6152" spans="1:3">
      <c r="A6152" t="s">
        <v>59</v>
      </c>
      <c r="B6152" t="s">
        <v>1075</v>
      </c>
      <c r="C6152" t="s">
        <v>5560</v>
      </c>
    </row>
    <row r="6153" spans="1:3">
      <c r="A6153" t="s">
        <v>59</v>
      </c>
      <c r="B6153" t="s">
        <v>1075</v>
      </c>
      <c r="C6153" t="s">
        <v>5559</v>
      </c>
    </row>
    <row r="6154" spans="1:3">
      <c r="A6154" t="s">
        <v>614</v>
      </c>
      <c r="B6154" t="s">
        <v>1075</v>
      </c>
      <c r="C6154" t="s">
        <v>5558</v>
      </c>
    </row>
    <row r="6155" spans="1:3">
      <c r="A6155" t="s">
        <v>614</v>
      </c>
      <c r="B6155" t="s">
        <v>1075</v>
      </c>
      <c r="C6155" t="s">
        <v>5557</v>
      </c>
    </row>
    <row r="6156" spans="1:3">
      <c r="A6156" t="s">
        <v>70</v>
      </c>
      <c r="B6156" t="s">
        <v>1075</v>
      </c>
      <c r="C6156" t="s">
        <v>5556</v>
      </c>
    </row>
    <row r="6157" spans="1:3">
      <c r="A6157" t="s">
        <v>70</v>
      </c>
      <c r="B6157" t="s">
        <v>1075</v>
      </c>
      <c r="C6157" t="s">
        <v>5555</v>
      </c>
    </row>
    <row r="6158" spans="1:3">
      <c r="A6158" t="s">
        <v>666</v>
      </c>
      <c r="B6158" t="s">
        <v>1075</v>
      </c>
      <c r="C6158" t="s">
        <v>5554</v>
      </c>
    </row>
    <row r="6159" spans="1:3">
      <c r="A6159" t="s">
        <v>666</v>
      </c>
      <c r="B6159" t="s">
        <v>1075</v>
      </c>
      <c r="C6159" t="s">
        <v>5553</v>
      </c>
    </row>
    <row r="6160" spans="1:3">
      <c r="A6160" t="s">
        <v>55</v>
      </c>
      <c r="B6160" t="s">
        <v>1075</v>
      </c>
      <c r="C6160" t="s">
        <v>5552</v>
      </c>
    </row>
    <row r="6161" spans="1:3">
      <c r="A6161" t="s">
        <v>55</v>
      </c>
      <c r="B6161" t="s">
        <v>1075</v>
      </c>
      <c r="C6161" t="s">
        <v>5551</v>
      </c>
    </row>
    <row r="6162" spans="1:3">
      <c r="A6162" t="s">
        <v>49</v>
      </c>
      <c r="B6162" t="s">
        <v>1075</v>
      </c>
      <c r="C6162" t="s">
        <v>5550</v>
      </c>
    </row>
    <row r="6163" spans="1:3">
      <c r="A6163" t="s">
        <v>49</v>
      </c>
      <c r="B6163" t="s">
        <v>1075</v>
      </c>
      <c r="C6163" t="s">
        <v>5549</v>
      </c>
    </row>
    <row r="6164" spans="1:3">
      <c r="A6164" t="s">
        <v>36</v>
      </c>
      <c r="B6164" t="s">
        <v>1075</v>
      </c>
      <c r="C6164" t="s">
        <v>5548</v>
      </c>
    </row>
    <row r="6165" spans="1:3">
      <c r="A6165" t="s">
        <v>36</v>
      </c>
      <c r="B6165" t="s">
        <v>1075</v>
      </c>
      <c r="C6165" t="s">
        <v>5547</v>
      </c>
    </row>
    <row r="6166" spans="1:3">
      <c r="A6166" t="s">
        <v>42</v>
      </c>
      <c r="B6166" t="s">
        <v>1075</v>
      </c>
      <c r="C6166" t="s">
        <v>5546</v>
      </c>
    </row>
    <row r="6167" spans="1:3">
      <c r="A6167" t="s">
        <v>42</v>
      </c>
      <c r="B6167" t="s">
        <v>1075</v>
      </c>
      <c r="C6167" t="s">
        <v>5545</v>
      </c>
    </row>
    <row r="6168" spans="1:3">
      <c r="A6168" t="s">
        <v>43</v>
      </c>
      <c r="B6168" t="s">
        <v>1075</v>
      </c>
      <c r="C6168" t="s">
        <v>5544</v>
      </c>
    </row>
    <row r="6169" spans="1:3">
      <c r="A6169" t="s">
        <v>43</v>
      </c>
      <c r="B6169" t="s">
        <v>1075</v>
      </c>
      <c r="C6169" t="s">
        <v>5543</v>
      </c>
    </row>
    <row r="6170" spans="1:3">
      <c r="A6170" t="s">
        <v>53</v>
      </c>
      <c r="B6170" t="s">
        <v>1075</v>
      </c>
      <c r="C6170" t="s">
        <v>5542</v>
      </c>
    </row>
    <row r="6171" spans="1:3">
      <c r="A6171" t="s">
        <v>53</v>
      </c>
      <c r="B6171" t="s">
        <v>1075</v>
      </c>
      <c r="C6171" t="s">
        <v>5541</v>
      </c>
    </row>
    <row r="6172" spans="1:3">
      <c r="A6172" t="s">
        <v>53</v>
      </c>
      <c r="B6172" t="s">
        <v>1070</v>
      </c>
      <c r="C6172" t="s">
        <v>5540</v>
      </c>
    </row>
    <row r="6173" spans="1:3">
      <c r="A6173" t="s">
        <v>53</v>
      </c>
      <c r="B6173" t="s">
        <v>1070</v>
      </c>
      <c r="C6173" t="s">
        <v>5539</v>
      </c>
    </row>
    <row r="6174" spans="1:3">
      <c r="A6174" t="s">
        <v>53</v>
      </c>
      <c r="B6174" t="s">
        <v>1070</v>
      </c>
      <c r="C6174" t="s">
        <v>5538</v>
      </c>
    </row>
    <row r="6175" spans="1:3">
      <c r="A6175" t="s">
        <v>53</v>
      </c>
      <c r="B6175" t="s">
        <v>1070</v>
      </c>
      <c r="C6175" t="s">
        <v>5537</v>
      </c>
    </row>
    <row r="6176" spans="1:3">
      <c r="A6176" t="s">
        <v>53</v>
      </c>
      <c r="B6176" t="s">
        <v>1070</v>
      </c>
      <c r="C6176" t="s">
        <v>5536</v>
      </c>
    </row>
    <row r="6177" spans="1:3">
      <c r="A6177" t="s">
        <v>58</v>
      </c>
      <c r="B6177" t="s">
        <v>1075</v>
      </c>
      <c r="C6177" t="s">
        <v>5535</v>
      </c>
    </row>
    <row r="6178" spans="1:3">
      <c r="A6178" t="s">
        <v>58</v>
      </c>
      <c r="B6178" t="s">
        <v>1075</v>
      </c>
      <c r="C6178" t="s">
        <v>5534</v>
      </c>
    </row>
    <row r="6179" spans="1:3">
      <c r="A6179" t="s">
        <v>58</v>
      </c>
      <c r="B6179" t="s">
        <v>1075</v>
      </c>
      <c r="C6179" t="s">
        <v>5533</v>
      </c>
    </row>
    <row r="6180" spans="1:3">
      <c r="A6180" t="s">
        <v>58</v>
      </c>
      <c r="B6180" t="s">
        <v>1070</v>
      </c>
      <c r="C6180" t="s">
        <v>5532</v>
      </c>
    </row>
    <row r="6181" spans="1:3">
      <c r="A6181" t="s">
        <v>67</v>
      </c>
      <c r="B6181" t="s">
        <v>1075</v>
      </c>
      <c r="C6181" t="s">
        <v>5531</v>
      </c>
    </row>
    <row r="6182" spans="1:3">
      <c r="A6182" t="s">
        <v>67</v>
      </c>
      <c r="B6182" t="s">
        <v>1075</v>
      </c>
      <c r="C6182" t="s">
        <v>5530</v>
      </c>
    </row>
    <row r="6183" spans="1:3">
      <c r="A6183" t="s">
        <v>72</v>
      </c>
      <c r="B6183" t="s">
        <v>1075</v>
      </c>
      <c r="C6183" t="s">
        <v>5529</v>
      </c>
    </row>
    <row r="6184" spans="1:3">
      <c r="A6184" t="s">
        <v>72</v>
      </c>
      <c r="B6184" t="s">
        <v>1075</v>
      </c>
      <c r="C6184" t="s">
        <v>5528</v>
      </c>
    </row>
    <row r="6185" spans="1:3">
      <c r="A6185" t="s">
        <v>611</v>
      </c>
      <c r="B6185" t="s">
        <v>1075</v>
      </c>
      <c r="C6185" t="s">
        <v>5527</v>
      </c>
    </row>
    <row r="6186" spans="1:3">
      <c r="A6186" t="s">
        <v>611</v>
      </c>
      <c r="B6186" t="s">
        <v>1075</v>
      </c>
      <c r="C6186" t="s">
        <v>5526</v>
      </c>
    </row>
    <row r="6187" spans="1:3">
      <c r="A6187" t="s">
        <v>610</v>
      </c>
      <c r="B6187" t="s">
        <v>1075</v>
      </c>
      <c r="C6187" t="s">
        <v>5525</v>
      </c>
    </row>
    <row r="6188" spans="1:3">
      <c r="A6188" t="s">
        <v>610</v>
      </c>
      <c r="B6188" t="s">
        <v>1075</v>
      </c>
      <c r="C6188" t="s">
        <v>5524</v>
      </c>
    </row>
    <row r="6189" spans="1:3">
      <c r="A6189" t="s">
        <v>50</v>
      </c>
      <c r="B6189" t="s">
        <v>1075</v>
      </c>
      <c r="C6189" t="s">
        <v>5523</v>
      </c>
    </row>
    <row r="6190" spans="1:3">
      <c r="A6190" t="s">
        <v>50</v>
      </c>
      <c r="B6190" t="s">
        <v>1075</v>
      </c>
      <c r="C6190" t="s">
        <v>5522</v>
      </c>
    </row>
    <row r="6191" spans="1:3">
      <c r="A6191" t="s">
        <v>44</v>
      </c>
      <c r="B6191" t="s">
        <v>1075</v>
      </c>
      <c r="C6191" t="s">
        <v>5521</v>
      </c>
    </row>
    <row r="6192" spans="1:3">
      <c r="A6192" t="s">
        <v>44</v>
      </c>
      <c r="B6192" t="s">
        <v>1075</v>
      </c>
      <c r="C6192" t="s">
        <v>5520</v>
      </c>
    </row>
    <row r="6193" spans="1:3">
      <c r="A6193" t="s">
        <v>45</v>
      </c>
      <c r="B6193" t="s">
        <v>1075</v>
      </c>
      <c r="C6193" t="s">
        <v>5519</v>
      </c>
    </row>
    <row r="6194" spans="1:3">
      <c r="A6194" t="s">
        <v>45</v>
      </c>
      <c r="B6194" t="s">
        <v>1075</v>
      </c>
      <c r="C6194" t="s">
        <v>5518</v>
      </c>
    </row>
    <row r="6195" spans="1:3">
      <c r="A6195" t="s">
        <v>62</v>
      </c>
      <c r="B6195" t="s">
        <v>1075</v>
      </c>
      <c r="C6195" t="s">
        <v>5517</v>
      </c>
    </row>
    <row r="6196" spans="1:3">
      <c r="A6196" t="s">
        <v>62</v>
      </c>
      <c r="B6196" t="s">
        <v>1075</v>
      </c>
      <c r="C6196" t="s">
        <v>5516</v>
      </c>
    </row>
    <row r="6197" spans="1:3">
      <c r="A6197" t="s">
        <v>39</v>
      </c>
      <c r="B6197" t="s">
        <v>1075</v>
      </c>
      <c r="C6197" t="s">
        <v>5515</v>
      </c>
    </row>
    <row r="6198" spans="1:3">
      <c r="A6198" t="s">
        <v>39</v>
      </c>
      <c r="B6198" t="s">
        <v>1075</v>
      </c>
      <c r="C6198" t="s">
        <v>5514</v>
      </c>
    </row>
    <row r="6199" spans="1:3">
      <c r="A6199" t="s">
        <v>60</v>
      </c>
      <c r="B6199" t="s">
        <v>1075</v>
      </c>
      <c r="C6199" t="s">
        <v>5513</v>
      </c>
    </row>
    <row r="6200" spans="1:3">
      <c r="A6200" t="s">
        <v>60</v>
      </c>
      <c r="B6200" t="s">
        <v>1075</v>
      </c>
      <c r="C6200" t="s">
        <v>5512</v>
      </c>
    </row>
    <row r="6201" spans="1:3">
      <c r="A6201" t="s">
        <v>40</v>
      </c>
      <c r="B6201" t="s">
        <v>1075</v>
      </c>
      <c r="C6201" t="s">
        <v>5511</v>
      </c>
    </row>
    <row r="6202" spans="1:3">
      <c r="A6202" t="s">
        <v>40</v>
      </c>
      <c r="B6202" t="s">
        <v>1075</v>
      </c>
      <c r="C6202" t="s">
        <v>5510</v>
      </c>
    </row>
    <row r="6203" spans="1:3">
      <c r="A6203" t="s">
        <v>64</v>
      </c>
      <c r="B6203" t="s">
        <v>1075</v>
      </c>
      <c r="C6203" t="s">
        <v>5509</v>
      </c>
    </row>
    <row r="6204" spans="1:3">
      <c r="A6204" t="s">
        <v>64</v>
      </c>
      <c r="B6204" t="s">
        <v>1075</v>
      </c>
      <c r="C6204" t="s">
        <v>5508</v>
      </c>
    </row>
    <row r="6205" spans="1:3">
      <c r="A6205" t="s">
        <v>667</v>
      </c>
      <c r="B6205" t="s">
        <v>1075</v>
      </c>
      <c r="C6205" t="s">
        <v>5507</v>
      </c>
    </row>
    <row r="6206" spans="1:3">
      <c r="A6206" t="s">
        <v>667</v>
      </c>
      <c r="B6206" t="s">
        <v>1075</v>
      </c>
      <c r="C6206" t="s">
        <v>5506</v>
      </c>
    </row>
    <row r="6207" spans="1:3">
      <c r="A6207" t="s">
        <v>68</v>
      </c>
      <c r="B6207" t="s">
        <v>1075</v>
      </c>
      <c r="C6207" t="s">
        <v>5505</v>
      </c>
    </row>
    <row r="6208" spans="1:3">
      <c r="A6208" t="s">
        <v>68</v>
      </c>
      <c r="B6208" t="s">
        <v>1075</v>
      </c>
      <c r="C6208" t="s">
        <v>5504</v>
      </c>
    </row>
    <row r="6209" spans="1:3">
      <c r="A6209" t="s">
        <v>54</v>
      </c>
      <c r="B6209" t="s">
        <v>1075</v>
      </c>
      <c r="C6209" t="s">
        <v>5503</v>
      </c>
    </row>
    <row r="6210" spans="1:3">
      <c r="A6210" t="s">
        <v>54</v>
      </c>
      <c r="B6210" t="s">
        <v>1075</v>
      </c>
      <c r="C6210" t="s">
        <v>5502</v>
      </c>
    </row>
    <row r="6211" spans="1:3">
      <c r="A6211" t="s">
        <v>47</v>
      </c>
      <c r="B6211" t="s">
        <v>1075</v>
      </c>
      <c r="C6211" t="s">
        <v>5501</v>
      </c>
    </row>
    <row r="6212" spans="1:3">
      <c r="A6212" t="s">
        <v>47</v>
      </c>
      <c r="B6212" t="s">
        <v>1075</v>
      </c>
      <c r="C6212" t="s">
        <v>5500</v>
      </c>
    </row>
    <row r="6213" spans="1:3">
      <c r="A6213" t="s">
        <v>37</v>
      </c>
      <c r="B6213" t="s">
        <v>1075</v>
      </c>
      <c r="C6213" t="s">
        <v>5499</v>
      </c>
    </row>
    <row r="6214" spans="1:3">
      <c r="A6214" t="s">
        <v>37</v>
      </c>
      <c r="B6214" t="s">
        <v>1075</v>
      </c>
      <c r="C6214" t="s">
        <v>5498</v>
      </c>
    </row>
    <row r="6215" spans="1:3">
      <c r="A6215" t="s">
        <v>41</v>
      </c>
      <c r="B6215" t="s">
        <v>1075</v>
      </c>
      <c r="C6215" t="s">
        <v>5497</v>
      </c>
    </row>
    <row r="6216" spans="1:3">
      <c r="A6216" t="s">
        <v>41</v>
      </c>
      <c r="B6216" t="s">
        <v>1075</v>
      </c>
      <c r="C6216" t="s">
        <v>5496</v>
      </c>
    </row>
    <row r="6217" spans="1:3">
      <c r="A6217" t="s">
        <v>69</v>
      </c>
      <c r="B6217" t="s">
        <v>1075</v>
      </c>
      <c r="C6217" t="s">
        <v>5495</v>
      </c>
    </row>
    <row r="6218" spans="1:3">
      <c r="A6218" t="s">
        <v>69</v>
      </c>
      <c r="B6218" t="s">
        <v>1075</v>
      </c>
      <c r="C6218" t="s">
        <v>5494</v>
      </c>
    </row>
    <row r="6219" spans="1:3">
      <c r="A6219" t="s">
        <v>52</v>
      </c>
      <c r="B6219" t="s">
        <v>1075</v>
      </c>
      <c r="C6219" t="s">
        <v>5493</v>
      </c>
    </row>
    <row r="6220" spans="1:3">
      <c r="A6220" t="s">
        <v>52</v>
      </c>
      <c r="B6220" t="s">
        <v>1075</v>
      </c>
      <c r="C6220" t="s">
        <v>5492</v>
      </c>
    </row>
    <row r="6221" spans="1:3">
      <c r="A6221" t="s">
        <v>85</v>
      </c>
      <c r="B6221" t="s">
        <v>1075</v>
      </c>
      <c r="C6221" t="s">
        <v>5491</v>
      </c>
    </row>
    <row r="6222" spans="1:3">
      <c r="A6222" t="s">
        <v>85</v>
      </c>
      <c r="B6222" t="s">
        <v>1075</v>
      </c>
      <c r="C6222" t="s">
        <v>5490</v>
      </c>
    </row>
    <row r="6223" spans="1:3">
      <c r="A6223" t="s">
        <v>84</v>
      </c>
      <c r="B6223" t="s">
        <v>1075</v>
      </c>
      <c r="C6223" t="s">
        <v>5489</v>
      </c>
    </row>
    <row r="6224" spans="1:3">
      <c r="A6224" t="s">
        <v>84</v>
      </c>
      <c r="B6224" t="s">
        <v>1075</v>
      </c>
      <c r="C6224" t="s">
        <v>5488</v>
      </c>
    </row>
    <row r="6225" spans="1:3">
      <c r="A6225" t="s">
        <v>73</v>
      </c>
      <c r="B6225" t="s">
        <v>1075</v>
      </c>
      <c r="C6225" t="s">
        <v>5487</v>
      </c>
    </row>
    <row r="6226" spans="1:3">
      <c r="A6226" t="s">
        <v>73</v>
      </c>
      <c r="B6226" t="s">
        <v>1075</v>
      </c>
      <c r="C6226" t="s">
        <v>5486</v>
      </c>
    </row>
    <row r="6227" spans="1:3">
      <c r="A6227" t="s">
        <v>75</v>
      </c>
      <c r="B6227" t="s">
        <v>1075</v>
      </c>
      <c r="C6227" t="s">
        <v>5485</v>
      </c>
    </row>
    <row r="6228" spans="1:3">
      <c r="A6228" t="s">
        <v>75</v>
      </c>
      <c r="B6228" t="s">
        <v>1075</v>
      </c>
      <c r="C6228" t="s">
        <v>5484</v>
      </c>
    </row>
    <row r="6229" spans="1:3">
      <c r="A6229" t="s">
        <v>76</v>
      </c>
      <c r="B6229" t="s">
        <v>1075</v>
      </c>
      <c r="C6229" t="s">
        <v>5483</v>
      </c>
    </row>
    <row r="6230" spans="1:3">
      <c r="A6230" t="s">
        <v>76</v>
      </c>
      <c r="B6230" t="s">
        <v>1075</v>
      </c>
      <c r="C6230" t="s">
        <v>5482</v>
      </c>
    </row>
    <row r="6231" spans="1:3">
      <c r="A6231" t="s">
        <v>77</v>
      </c>
      <c r="B6231" t="s">
        <v>1075</v>
      </c>
      <c r="C6231" t="s">
        <v>5481</v>
      </c>
    </row>
    <row r="6232" spans="1:3">
      <c r="A6232" t="s">
        <v>77</v>
      </c>
      <c r="B6232" t="s">
        <v>1075</v>
      </c>
      <c r="C6232" t="s">
        <v>5480</v>
      </c>
    </row>
    <row r="6233" spans="1:3">
      <c r="A6233" t="s">
        <v>86</v>
      </c>
      <c r="B6233" t="s">
        <v>1075</v>
      </c>
      <c r="C6233" t="s">
        <v>5479</v>
      </c>
    </row>
    <row r="6234" spans="1:3">
      <c r="A6234" t="s">
        <v>86</v>
      </c>
      <c r="B6234" t="s">
        <v>1075</v>
      </c>
      <c r="C6234" t="s">
        <v>5478</v>
      </c>
    </row>
    <row r="6235" spans="1:3">
      <c r="A6235" t="s">
        <v>80</v>
      </c>
      <c r="B6235" t="s">
        <v>1075</v>
      </c>
      <c r="C6235" t="s">
        <v>5477</v>
      </c>
    </row>
    <row r="6236" spans="1:3">
      <c r="A6236" t="s">
        <v>80</v>
      </c>
      <c r="B6236" t="s">
        <v>1075</v>
      </c>
      <c r="C6236" t="s">
        <v>5476</v>
      </c>
    </row>
    <row r="6237" spans="1:3">
      <c r="A6237" t="s">
        <v>79</v>
      </c>
      <c r="B6237" t="s">
        <v>1075</v>
      </c>
      <c r="C6237" t="s">
        <v>5475</v>
      </c>
    </row>
    <row r="6238" spans="1:3">
      <c r="A6238" t="s">
        <v>79</v>
      </c>
      <c r="B6238" t="s">
        <v>1075</v>
      </c>
      <c r="C6238" t="s">
        <v>5474</v>
      </c>
    </row>
    <row r="6239" spans="1:3">
      <c r="A6239" t="s">
        <v>81</v>
      </c>
      <c r="B6239" t="s">
        <v>1075</v>
      </c>
      <c r="C6239" t="s">
        <v>5473</v>
      </c>
    </row>
    <row r="6240" spans="1:3">
      <c r="A6240" t="s">
        <v>81</v>
      </c>
      <c r="B6240" t="s">
        <v>1075</v>
      </c>
      <c r="C6240" t="s">
        <v>5472</v>
      </c>
    </row>
    <row r="6241" spans="1:3">
      <c r="A6241" t="s">
        <v>619</v>
      </c>
      <c r="B6241" t="s">
        <v>1075</v>
      </c>
      <c r="C6241" t="s">
        <v>5471</v>
      </c>
    </row>
    <row r="6242" spans="1:3">
      <c r="A6242" t="s">
        <v>619</v>
      </c>
      <c r="B6242" t="s">
        <v>1075</v>
      </c>
      <c r="C6242" t="s">
        <v>5470</v>
      </c>
    </row>
    <row r="6243" spans="1:3">
      <c r="A6243" t="s">
        <v>82</v>
      </c>
      <c r="B6243" t="s">
        <v>1075</v>
      </c>
      <c r="C6243" t="s">
        <v>5469</v>
      </c>
    </row>
    <row r="6244" spans="1:3">
      <c r="A6244" t="s">
        <v>82</v>
      </c>
      <c r="B6244" t="s">
        <v>1075</v>
      </c>
      <c r="C6244" t="s">
        <v>5468</v>
      </c>
    </row>
    <row r="6245" spans="1:3">
      <c r="A6245" t="s">
        <v>83</v>
      </c>
      <c r="B6245" t="s">
        <v>1075</v>
      </c>
      <c r="C6245" t="s">
        <v>5467</v>
      </c>
    </row>
    <row r="6246" spans="1:3">
      <c r="A6246" t="s">
        <v>83</v>
      </c>
      <c r="B6246" t="s">
        <v>1075</v>
      </c>
      <c r="C6246" t="s">
        <v>5466</v>
      </c>
    </row>
    <row r="6247" spans="1:3">
      <c r="A6247" t="s">
        <v>78</v>
      </c>
      <c r="B6247" t="s">
        <v>1075</v>
      </c>
      <c r="C6247" t="s">
        <v>5465</v>
      </c>
    </row>
    <row r="6248" spans="1:3">
      <c r="A6248" t="s">
        <v>78</v>
      </c>
      <c r="B6248" t="s">
        <v>1075</v>
      </c>
      <c r="C6248" t="s">
        <v>5464</v>
      </c>
    </row>
    <row r="6249" spans="1:3">
      <c r="A6249" t="s">
        <v>618</v>
      </c>
      <c r="B6249" t="s">
        <v>1075</v>
      </c>
      <c r="C6249" t="s">
        <v>5463</v>
      </c>
    </row>
    <row r="6250" spans="1:3">
      <c r="A6250" t="s">
        <v>618</v>
      </c>
      <c r="B6250" t="s">
        <v>1075</v>
      </c>
      <c r="C6250" t="s">
        <v>5462</v>
      </c>
    </row>
    <row r="6251" spans="1:3">
      <c r="A6251" t="s">
        <v>87</v>
      </c>
      <c r="B6251" t="s">
        <v>1075</v>
      </c>
      <c r="C6251" t="s">
        <v>5461</v>
      </c>
    </row>
    <row r="6252" spans="1:3">
      <c r="A6252" t="s">
        <v>87</v>
      </c>
      <c r="B6252" t="s">
        <v>1075</v>
      </c>
      <c r="C6252" t="s">
        <v>5460</v>
      </c>
    </row>
    <row r="6253" spans="1:3">
      <c r="A6253" t="s">
        <v>615</v>
      </c>
      <c r="B6253" t="s">
        <v>1075</v>
      </c>
      <c r="C6253" t="s">
        <v>5459</v>
      </c>
    </row>
    <row r="6254" spans="1:3">
      <c r="A6254" t="s">
        <v>615</v>
      </c>
      <c r="B6254" t="s">
        <v>1075</v>
      </c>
      <c r="C6254" t="s">
        <v>5458</v>
      </c>
    </row>
    <row r="6255" spans="1:3">
      <c r="A6255" t="s">
        <v>617</v>
      </c>
      <c r="B6255" t="s">
        <v>1075</v>
      </c>
      <c r="C6255" t="s">
        <v>5457</v>
      </c>
    </row>
    <row r="6256" spans="1:3">
      <c r="A6256" t="s">
        <v>617</v>
      </c>
      <c r="B6256" t="s">
        <v>1075</v>
      </c>
      <c r="C6256" t="s">
        <v>5456</v>
      </c>
    </row>
    <row r="6257" spans="1:3">
      <c r="A6257" t="s">
        <v>616</v>
      </c>
      <c r="B6257" t="s">
        <v>1075</v>
      </c>
      <c r="C6257" t="s">
        <v>5455</v>
      </c>
    </row>
    <row r="6258" spans="1:3">
      <c r="A6258" t="s">
        <v>616</v>
      </c>
      <c r="B6258" t="s">
        <v>1075</v>
      </c>
      <c r="C6258" t="s">
        <v>5454</v>
      </c>
    </row>
    <row r="6259" spans="1:3">
      <c r="A6259" t="s">
        <v>88</v>
      </c>
      <c r="B6259" t="s">
        <v>1075</v>
      </c>
      <c r="C6259" t="s">
        <v>5453</v>
      </c>
    </row>
    <row r="6260" spans="1:3">
      <c r="A6260" t="s">
        <v>88</v>
      </c>
      <c r="B6260" t="s">
        <v>1075</v>
      </c>
      <c r="C6260" t="s">
        <v>5452</v>
      </c>
    </row>
    <row r="6261" spans="1:3">
      <c r="A6261" t="s">
        <v>89</v>
      </c>
      <c r="B6261" t="s">
        <v>1075</v>
      </c>
      <c r="C6261" t="s">
        <v>5451</v>
      </c>
    </row>
    <row r="6262" spans="1:3">
      <c r="A6262" t="s">
        <v>89</v>
      </c>
      <c r="B6262" t="s">
        <v>1075</v>
      </c>
      <c r="C6262" t="s">
        <v>5450</v>
      </c>
    </row>
    <row r="6263" spans="1:3">
      <c r="A6263" t="s">
        <v>595</v>
      </c>
      <c r="B6263" t="s">
        <v>1075</v>
      </c>
      <c r="C6263" t="s">
        <v>5449</v>
      </c>
    </row>
    <row r="6264" spans="1:3">
      <c r="A6264" t="s">
        <v>595</v>
      </c>
      <c r="B6264" t="s">
        <v>1075</v>
      </c>
      <c r="C6264" t="s">
        <v>5448</v>
      </c>
    </row>
    <row r="6265" spans="1:3">
      <c r="A6265" t="s">
        <v>595</v>
      </c>
      <c r="B6265" t="s">
        <v>1070</v>
      </c>
      <c r="C6265" t="s">
        <v>5447</v>
      </c>
    </row>
    <row r="6266" spans="1:3">
      <c r="A6266" t="s">
        <v>595</v>
      </c>
      <c r="B6266" t="s">
        <v>1070</v>
      </c>
      <c r="C6266" t="s">
        <v>5446</v>
      </c>
    </row>
    <row r="6267" spans="1:3">
      <c r="A6267" t="s">
        <v>595</v>
      </c>
      <c r="B6267" t="s">
        <v>1070</v>
      </c>
      <c r="C6267" t="s">
        <v>5445</v>
      </c>
    </row>
    <row r="6268" spans="1:3">
      <c r="A6268" t="s">
        <v>30</v>
      </c>
      <c r="B6268" t="s">
        <v>1075</v>
      </c>
      <c r="C6268" t="s">
        <v>5444</v>
      </c>
    </row>
    <row r="6269" spans="1:3">
      <c r="A6269" t="s">
        <v>30</v>
      </c>
      <c r="B6269" t="s">
        <v>1075</v>
      </c>
      <c r="C6269" t="s">
        <v>5443</v>
      </c>
    </row>
    <row r="6270" spans="1:3">
      <c r="A6270" t="s">
        <v>30</v>
      </c>
      <c r="B6270" t="s">
        <v>1075</v>
      </c>
      <c r="C6270" t="s">
        <v>5442</v>
      </c>
    </row>
    <row r="6271" spans="1:3">
      <c r="A6271" t="s">
        <v>30</v>
      </c>
      <c r="B6271" t="s">
        <v>1070</v>
      </c>
      <c r="C6271" t="s">
        <v>8240</v>
      </c>
    </row>
    <row r="6272" spans="1:3">
      <c r="A6272" t="s">
        <v>26</v>
      </c>
      <c r="B6272" t="s">
        <v>1075</v>
      </c>
      <c r="C6272" t="s">
        <v>5441</v>
      </c>
    </row>
    <row r="6273" spans="1:3">
      <c r="A6273" t="s">
        <v>26</v>
      </c>
      <c r="B6273" t="s">
        <v>1075</v>
      </c>
      <c r="C6273" t="s">
        <v>5440</v>
      </c>
    </row>
    <row r="6274" spans="1:3">
      <c r="A6274" t="s">
        <v>26</v>
      </c>
      <c r="B6274" t="s">
        <v>1075</v>
      </c>
      <c r="C6274" t="s">
        <v>5439</v>
      </c>
    </row>
    <row r="6275" spans="1:3">
      <c r="A6275" t="s">
        <v>26</v>
      </c>
      <c r="B6275" t="s">
        <v>1070</v>
      </c>
      <c r="C6275" t="s">
        <v>8241</v>
      </c>
    </row>
    <row r="6276" spans="1:3">
      <c r="A6276" t="s">
        <v>31</v>
      </c>
      <c r="B6276" t="s">
        <v>1075</v>
      </c>
      <c r="C6276" t="s">
        <v>5438</v>
      </c>
    </row>
    <row r="6277" spans="1:3">
      <c r="A6277" t="s">
        <v>31</v>
      </c>
      <c r="B6277" t="s">
        <v>1075</v>
      </c>
      <c r="C6277" t="s">
        <v>5437</v>
      </c>
    </row>
    <row r="6278" spans="1:3">
      <c r="A6278" t="s">
        <v>31</v>
      </c>
      <c r="B6278" t="s">
        <v>1075</v>
      </c>
      <c r="C6278" t="s">
        <v>5436</v>
      </c>
    </row>
    <row r="6279" spans="1:3">
      <c r="A6279" t="s">
        <v>31</v>
      </c>
      <c r="B6279" t="s">
        <v>1070</v>
      </c>
      <c r="C6279" t="s">
        <v>5435</v>
      </c>
    </row>
    <row r="6280" spans="1:3">
      <c r="A6280" t="s">
        <v>22</v>
      </c>
      <c r="B6280" t="s">
        <v>1075</v>
      </c>
      <c r="C6280" t="s">
        <v>5434</v>
      </c>
    </row>
    <row r="6281" spans="1:3">
      <c r="A6281" t="s">
        <v>22</v>
      </c>
      <c r="B6281" t="s">
        <v>1075</v>
      </c>
      <c r="C6281" t="s">
        <v>5433</v>
      </c>
    </row>
    <row r="6282" spans="1:3">
      <c r="A6282" t="s">
        <v>28</v>
      </c>
      <c r="B6282" t="s">
        <v>1075</v>
      </c>
      <c r="C6282" t="s">
        <v>5432</v>
      </c>
    </row>
    <row r="6283" spans="1:3">
      <c r="A6283" t="s">
        <v>28</v>
      </c>
      <c r="B6283" t="s">
        <v>1075</v>
      </c>
      <c r="C6283" t="s">
        <v>5431</v>
      </c>
    </row>
    <row r="6284" spans="1:3">
      <c r="A6284" t="s">
        <v>25</v>
      </c>
      <c r="B6284" t="s">
        <v>1075</v>
      </c>
      <c r="C6284" t="s">
        <v>5430</v>
      </c>
    </row>
    <row r="6285" spans="1:3">
      <c r="A6285" t="s">
        <v>25</v>
      </c>
      <c r="B6285" t="s">
        <v>1075</v>
      </c>
      <c r="C6285" t="s">
        <v>5429</v>
      </c>
    </row>
    <row r="6286" spans="1:3">
      <c r="A6286" t="s">
        <v>25</v>
      </c>
      <c r="B6286" t="s">
        <v>1075</v>
      </c>
      <c r="C6286" t="s">
        <v>5428</v>
      </c>
    </row>
    <row r="6287" spans="1:3">
      <c r="A6287" t="s">
        <v>25</v>
      </c>
      <c r="B6287" t="s">
        <v>1070</v>
      </c>
      <c r="C6287" t="s">
        <v>5427</v>
      </c>
    </row>
    <row r="6288" spans="1:3">
      <c r="A6288" t="s">
        <v>29</v>
      </c>
      <c r="B6288" t="s">
        <v>1075</v>
      </c>
      <c r="C6288" t="s">
        <v>5426</v>
      </c>
    </row>
    <row r="6289" spans="1:3">
      <c r="A6289" t="s">
        <v>29</v>
      </c>
      <c r="B6289" t="s">
        <v>1075</v>
      </c>
      <c r="C6289" t="s">
        <v>5425</v>
      </c>
    </row>
    <row r="6290" spans="1:3">
      <c r="A6290" t="s">
        <v>29</v>
      </c>
      <c r="B6290" t="s">
        <v>1075</v>
      </c>
      <c r="C6290" t="s">
        <v>5424</v>
      </c>
    </row>
    <row r="6291" spans="1:3">
      <c r="A6291" t="s">
        <v>29</v>
      </c>
      <c r="B6291" t="s">
        <v>1070</v>
      </c>
      <c r="C6291" t="s">
        <v>5423</v>
      </c>
    </row>
    <row r="6292" spans="1:3">
      <c r="A6292" t="s">
        <v>29</v>
      </c>
      <c r="B6292" t="s">
        <v>1070</v>
      </c>
      <c r="C6292" t="s">
        <v>5422</v>
      </c>
    </row>
    <row r="6293" spans="1:3">
      <c r="A6293" t="s">
        <v>29</v>
      </c>
      <c r="B6293" t="s">
        <v>1070</v>
      </c>
      <c r="C6293" t="s">
        <v>5421</v>
      </c>
    </row>
    <row r="6294" spans="1:3">
      <c r="A6294" t="s">
        <v>29</v>
      </c>
      <c r="B6294" t="s">
        <v>1070</v>
      </c>
      <c r="C6294" t="s">
        <v>5420</v>
      </c>
    </row>
    <row r="6295" spans="1:3">
      <c r="A6295" t="s">
        <v>29</v>
      </c>
      <c r="B6295" t="s">
        <v>1070</v>
      </c>
      <c r="C6295" t="s">
        <v>5419</v>
      </c>
    </row>
    <row r="6296" spans="1:3">
      <c r="A6296" t="s">
        <v>29</v>
      </c>
      <c r="B6296" t="s">
        <v>1070</v>
      </c>
      <c r="C6296" t="s">
        <v>5418</v>
      </c>
    </row>
    <row r="6297" spans="1:3">
      <c r="A6297" t="s">
        <v>27</v>
      </c>
      <c r="B6297" t="s">
        <v>1075</v>
      </c>
      <c r="C6297" t="s">
        <v>5417</v>
      </c>
    </row>
    <row r="6298" spans="1:3">
      <c r="A6298" t="s">
        <v>27</v>
      </c>
      <c r="B6298" t="s">
        <v>1075</v>
      </c>
      <c r="C6298" t="s">
        <v>5416</v>
      </c>
    </row>
    <row r="6299" spans="1:3">
      <c r="A6299" t="s">
        <v>27</v>
      </c>
      <c r="B6299" t="s">
        <v>1075</v>
      </c>
      <c r="C6299" t="s">
        <v>5415</v>
      </c>
    </row>
    <row r="6300" spans="1:3">
      <c r="A6300" t="s">
        <v>27</v>
      </c>
      <c r="B6300" t="s">
        <v>1070</v>
      </c>
      <c r="C6300" t="s">
        <v>5414</v>
      </c>
    </row>
    <row r="6301" spans="1:3">
      <c r="A6301" t="s">
        <v>594</v>
      </c>
      <c r="B6301" t="s">
        <v>1075</v>
      </c>
      <c r="C6301" t="s">
        <v>5413</v>
      </c>
    </row>
    <row r="6302" spans="1:3">
      <c r="A6302" t="s">
        <v>594</v>
      </c>
      <c r="B6302" t="s">
        <v>1075</v>
      </c>
      <c r="C6302" t="s">
        <v>5412</v>
      </c>
    </row>
    <row r="6303" spans="1:3">
      <c r="A6303" t="s">
        <v>592</v>
      </c>
      <c r="B6303" t="s">
        <v>1075</v>
      </c>
      <c r="C6303" t="s">
        <v>5411</v>
      </c>
    </row>
    <row r="6304" spans="1:3">
      <c r="A6304" t="s">
        <v>592</v>
      </c>
      <c r="B6304" t="s">
        <v>1075</v>
      </c>
      <c r="C6304" t="s">
        <v>5410</v>
      </c>
    </row>
    <row r="6305" spans="1:3">
      <c r="A6305" t="s">
        <v>591</v>
      </c>
      <c r="B6305" t="s">
        <v>1075</v>
      </c>
      <c r="C6305" t="s">
        <v>5409</v>
      </c>
    </row>
    <row r="6306" spans="1:3">
      <c r="A6306" t="s">
        <v>591</v>
      </c>
      <c r="B6306" t="s">
        <v>1075</v>
      </c>
      <c r="C6306" t="s">
        <v>5408</v>
      </c>
    </row>
    <row r="6307" spans="1:3">
      <c r="A6307" t="s">
        <v>593</v>
      </c>
      <c r="B6307" t="s">
        <v>1075</v>
      </c>
      <c r="C6307" t="s">
        <v>5407</v>
      </c>
    </row>
    <row r="6308" spans="1:3">
      <c r="A6308" t="s">
        <v>593</v>
      </c>
      <c r="B6308" t="s">
        <v>1075</v>
      </c>
      <c r="C6308" t="s">
        <v>5406</v>
      </c>
    </row>
    <row r="6309" spans="1:3">
      <c r="A6309" t="s">
        <v>179</v>
      </c>
      <c r="B6309" t="s">
        <v>1075</v>
      </c>
      <c r="C6309" t="s">
        <v>5389</v>
      </c>
    </row>
    <row r="6310" spans="1:3">
      <c r="A6310" t="s">
        <v>179</v>
      </c>
      <c r="B6310" t="s">
        <v>1075</v>
      </c>
      <c r="C6310" t="s">
        <v>5388</v>
      </c>
    </row>
    <row r="6311" spans="1:3">
      <c r="A6311" t="s">
        <v>179</v>
      </c>
      <c r="B6311" t="s">
        <v>1075</v>
      </c>
      <c r="C6311" t="s">
        <v>5387</v>
      </c>
    </row>
    <row r="6312" spans="1:3">
      <c r="A6312" t="s">
        <v>179</v>
      </c>
      <c r="B6312" t="s">
        <v>1075</v>
      </c>
      <c r="C6312" t="s">
        <v>5386</v>
      </c>
    </row>
    <row r="6313" spans="1:3">
      <c r="A6313" t="s">
        <v>179</v>
      </c>
      <c r="B6313" t="s">
        <v>1070</v>
      </c>
      <c r="C6313" t="s">
        <v>5385</v>
      </c>
    </row>
    <row r="6314" spans="1:3">
      <c r="A6314" t="s">
        <v>142</v>
      </c>
      <c r="B6314" t="s">
        <v>1075</v>
      </c>
      <c r="C6314" t="s">
        <v>5384</v>
      </c>
    </row>
    <row r="6315" spans="1:3">
      <c r="A6315" t="s">
        <v>142</v>
      </c>
      <c r="B6315" t="s">
        <v>1075</v>
      </c>
      <c r="C6315" t="s">
        <v>5383</v>
      </c>
    </row>
    <row r="6316" spans="1:3">
      <c r="A6316" t="s">
        <v>142</v>
      </c>
      <c r="B6316" t="s">
        <v>1075</v>
      </c>
      <c r="C6316" t="s">
        <v>5382</v>
      </c>
    </row>
    <row r="6317" spans="1:3">
      <c r="A6317" t="s">
        <v>142</v>
      </c>
      <c r="B6317" t="s">
        <v>1075</v>
      </c>
      <c r="C6317" t="s">
        <v>5381</v>
      </c>
    </row>
    <row r="6318" spans="1:3">
      <c r="A6318" t="s">
        <v>142</v>
      </c>
      <c r="B6318" t="s">
        <v>1070</v>
      </c>
      <c r="C6318" t="s">
        <v>5380</v>
      </c>
    </row>
    <row r="6319" spans="1:3">
      <c r="A6319" t="s">
        <v>142</v>
      </c>
      <c r="B6319" t="s">
        <v>1070</v>
      </c>
      <c r="C6319" t="s">
        <v>5379</v>
      </c>
    </row>
    <row r="6320" spans="1:3">
      <c r="A6320" t="s">
        <v>142</v>
      </c>
      <c r="B6320" t="s">
        <v>1070</v>
      </c>
      <c r="C6320" t="s">
        <v>5378</v>
      </c>
    </row>
    <row r="6321" spans="1:3">
      <c r="A6321" t="s">
        <v>142</v>
      </c>
      <c r="B6321" t="s">
        <v>1070</v>
      </c>
      <c r="C6321" t="s">
        <v>5377</v>
      </c>
    </row>
    <row r="6322" spans="1:3">
      <c r="A6322" t="s">
        <v>142</v>
      </c>
      <c r="B6322" t="s">
        <v>1070</v>
      </c>
      <c r="C6322" t="s">
        <v>5376</v>
      </c>
    </row>
    <row r="6323" spans="1:3">
      <c r="A6323" t="s">
        <v>161</v>
      </c>
      <c r="B6323" t="s">
        <v>1075</v>
      </c>
      <c r="C6323" t="s">
        <v>5375</v>
      </c>
    </row>
    <row r="6324" spans="1:3">
      <c r="A6324" t="s">
        <v>161</v>
      </c>
      <c r="B6324" t="s">
        <v>1075</v>
      </c>
      <c r="C6324" t="s">
        <v>5374</v>
      </c>
    </row>
    <row r="6325" spans="1:3">
      <c r="A6325" t="s">
        <v>161</v>
      </c>
      <c r="B6325" t="s">
        <v>1075</v>
      </c>
      <c r="C6325" t="s">
        <v>5373</v>
      </c>
    </row>
    <row r="6326" spans="1:3">
      <c r="A6326" t="s">
        <v>161</v>
      </c>
      <c r="B6326" t="s">
        <v>1075</v>
      </c>
      <c r="C6326" t="s">
        <v>5372</v>
      </c>
    </row>
    <row r="6327" spans="1:3">
      <c r="A6327" t="s">
        <v>161</v>
      </c>
      <c r="B6327" t="s">
        <v>1070</v>
      </c>
      <c r="C6327" t="s">
        <v>5371</v>
      </c>
    </row>
    <row r="6328" spans="1:3">
      <c r="A6328" t="s">
        <v>161</v>
      </c>
      <c r="B6328" t="s">
        <v>1070</v>
      </c>
      <c r="C6328" t="s">
        <v>5370</v>
      </c>
    </row>
    <row r="6329" spans="1:3">
      <c r="A6329" t="s">
        <v>161</v>
      </c>
      <c r="B6329" t="s">
        <v>1070</v>
      </c>
      <c r="C6329" t="s">
        <v>5369</v>
      </c>
    </row>
    <row r="6330" spans="1:3">
      <c r="A6330" t="s">
        <v>161</v>
      </c>
      <c r="B6330" t="s">
        <v>1070</v>
      </c>
      <c r="C6330" t="s">
        <v>5368</v>
      </c>
    </row>
    <row r="6331" spans="1:3">
      <c r="A6331" t="s">
        <v>161</v>
      </c>
      <c r="B6331" t="s">
        <v>1070</v>
      </c>
      <c r="C6331" t="s">
        <v>5367</v>
      </c>
    </row>
    <row r="6332" spans="1:3">
      <c r="A6332" t="s">
        <v>191</v>
      </c>
      <c r="B6332" t="s">
        <v>1075</v>
      </c>
      <c r="C6332" t="s">
        <v>5366</v>
      </c>
    </row>
    <row r="6333" spans="1:3">
      <c r="A6333" t="s">
        <v>191</v>
      </c>
      <c r="B6333" t="s">
        <v>1075</v>
      </c>
      <c r="C6333" t="s">
        <v>5365</v>
      </c>
    </row>
    <row r="6334" spans="1:3">
      <c r="A6334" t="s">
        <v>191</v>
      </c>
      <c r="B6334" t="s">
        <v>1075</v>
      </c>
      <c r="C6334" t="s">
        <v>5364</v>
      </c>
    </row>
    <row r="6335" spans="1:3">
      <c r="A6335" t="s">
        <v>191</v>
      </c>
      <c r="B6335" t="s">
        <v>1070</v>
      </c>
      <c r="C6335" t="s">
        <v>5363</v>
      </c>
    </row>
    <row r="6336" spans="1:3">
      <c r="A6336" t="s">
        <v>104</v>
      </c>
      <c r="B6336" t="s">
        <v>1075</v>
      </c>
      <c r="C6336" t="s">
        <v>5362</v>
      </c>
    </row>
    <row r="6337" spans="1:3">
      <c r="A6337" t="s">
        <v>104</v>
      </c>
      <c r="B6337" t="s">
        <v>1075</v>
      </c>
      <c r="C6337" t="s">
        <v>5361</v>
      </c>
    </row>
    <row r="6338" spans="1:3">
      <c r="A6338" t="s">
        <v>104</v>
      </c>
      <c r="B6338" t="s">
        <v>1075</v>
      </c>
      <c r="C6338" t="s">
        <v>5360</v>
      </c>
    </row>
    <row r="6339" spans="1:3">
      <c r="A6339" t="s">
        <v>104</v>
      </c>
      <c r="B6339" t="s">
        <v>1075</v>
      </c>
      <c r="C6339" t="s">
        <v>5359</v>
      </c>
    </row>
    <row r="6340" spans="1:3">
      <c r="A6340" t="s">
        <v>104</v>
      </c>
      <c r="B6340" t="s">
        <v>1070</v>
      </c>
      <c r="C6340" t="s">
        <v>5358</v>
      </c>
    </row>
    <row r="6341" spans="1:3">
      <c r="A6341" t="s">
        <v>104</v>
      </c>
      <c r="B6341" t="s">
        <v>1070</v>
      </c>
      <c r="C6341" t="s">
        <v>5357</v>
      </c>
    </row>
    <row r="6342" spans="1:3">
      <c r="A6342" t="s">
        <v>104</v>
      </c>
      <c r="B6342" t="s">
        <v>1070</v>
      </c>
      <c r="C6342" t="s">
        <v>5356</v>
      </c>
    </row>
    <row r="6343" spans="1:3">
      <c r="A6343" t="s">
        <v>104</v>
      </c>
      <c r="B6343" t="s">
        <v>1070</v>
      </c>
      <c r="C6343" t="s">
        <v>5355</v>
      </c>
    </row>
    <row r="6344" spans="1:3">
      <c r="A6344" t="s">
        <v>104</v>
      </c>
      <c r="B6344" t="s">
        <v>1070</v>
      </c>
      <c r="C6344" t="s">
        <v>5354</v>
      </c>
    </row>
    <row r="6345" spans="1:3">
      <c r="A6345" t="s">
        <v>159</v>
      </c>
      <c r="B6345" t="s">
        <v>1075</v>
      </c>
      <c r="C6345" t="s">
        <v>5353</v>
      </c>
    </row>
    <row r="6346" spans="1:3">
      <c r="A6346" t="s">
        <v>159</v>
      </c>
      <c r="B6346" t="s">
        <v>1075</v>
      </c>
      <c r="C6346" t="s">
        <v>5352</v>
      </c>
    </row>
    <row r="6347" spans="1:3">
      <c r="A6347" t="s">
        <v>159</v>
      </c>
      <c r="B6347" t="s">
        <v>1075</v>
      </c>
      <c r="C6347" t="s">
        <v>5351</v>
      </c>
    </row>
    <row r="6348" spans="1:3">
      <c r="A6348" t="s">
        <v>159</v>
      </c>
      <c r="B6348" t="s">
        <v>1075</v>
      </c>
      <c r="C6348" t="s">
        <v>5350</v>
      </c>
    </row>
    <row r="6349" spans="1:3">
      <c r="A6349" t="s">
        <v>159</v>
      </c>
      <c r="B6349" t="s">
        <v>1075</v>
      </c>
      <c r="C6349" t="s">
        <v>5349</v>
      </c>
    </row>
    <row r="6350" spans="1:3">
      <c r="A6350" t="s">
        <v>159</v>
      </c>
      <c r="B6350" t="s">
        <v>1075</v>
      </c>
      <c r="C6350" t="s">
        <v>5348</v>
      </c>
    </row>
    <row r="6351" spans="1:3">
      <c r="A6351" t="s">
        <v>159</v>
      </c>
      <c r="B6351" t="s">
        <v>1070</v>
      </c>
      <c r="C6351" t="s">
        <v>5347</v>
      </c>
    </row>
    <row r="6352" spans="1:3">
      <c r="A6352" t="s">
        <v>159</v>
      </c>
      <c r="B6352" t="s">
        <v>1070</v>
      </c>
      <c r="C6352" t="s">
        <v>5346</v>
      </c>
    </row>
    <row r="6353" spans="1:3">
      <c r="A6353" t="s">
        <v>159</v>
      </c>
      <c r="B6353" t="s">
        <v>1070</v>
      </c>
      <c r="C6353" t="s">
        <v>5345</v>
      </c>
    </row>
    <row r="6354" spans="1:3">
      <c r="A6354" t="s">
        <v>159</v>
      </c>
      <c r="B6354" t="s">
        <v>1070</v>
      </c>
      <c r="C6354" t="s">
        <v>5344</v>
      </c>
    </row>
    <row r="6355" spans="1:3">
      <c r="A6355" t="s">
        <v>159</v>
      </c>
      <c r="B6355" t="s">
        <v>1070</v>
      </c>
      <c r="C6355" t="s">
        <v>5343</v>
      </c>
    </row>
    <row r="6356" spans="1:3">
      <c r="A6356" t="s">
        <v>159</v>
      </c>
      <c r="B6356" t="s">
        <v>1070</v>
      </c>
      <c r="C6356" t="s">
        <v>5342</v>
      </c>
    </row>
    <row r="6357" spans="1:3">
      <c r="A6357" t="s">
        <v>192</v>
      </c>
      <c r="B6357" t="s">
        <v>1075</v>
      </c>
      <c r="C6357" t="s">
        <v>5341</v>
      </c>
    </row>
    <row r="6358" spans="1:3">
      <c r="A6358" t="s">
        <v>192</v>
      </c>
      <c r="B6358" t="s">
        <v>1075</v>
      </c>
      <c r="C6358" t="s">
        <v>5340</v>
      </c>
    </row>
    <row r="6359" spans="1:3">
      <c r="A6359" t="s">
        <v>192</v>
      </c>
      <c r="B6359" t="s">
        <v>1075</v>
      </c>
      <c r="C6359" t="s">
        <v>5339</v>
      </c>
    </row>
    <row r="6360" spans="1:3">
      <c r="A6360" t="s">
        <v>192</v>
      </c>
      <c r="B6360" t="s">
        <v>1075</v>
      </c>
      <c r="C6360" t="s">
        <v>5338</v>
      </c>
    </row>
    <row r="6361" spans="1:3">
      <c r="A6361" t="s">
        <v>192</v>
      </c>
      <c r="B6361" t="s">
        <v>1070</v>
      </c>
      <c r="C6361" t="s">
        <v>5337</v>
      </c>
    </row>
    <row r="6362" spans="1:3">
      <c r="A6362" t="s">
        <v>192</v>
      </c>
      <c r="B6362" t="s">
        <v>1070</v>
      </c>
      <c r="C6362" t="s">
        <v>5336</v>
      </c>
    </row>
    <row r="6363" spans="1:3">
      <c r="A6363" t="s">
        <v>192</v>
      </c>
      <c r="B6363" t="s">
        <v>1070</v>
      </c>
      <c r="C6363" t="s">
        <v>5335</v>
      </c>
    </row>
    <row r="6364" spans="1:3">
      <c r="A6364" t="s">
        <v>192</v>
      </c>
      <c r="B6364" t="s">
        <v>1070</v>
      </c>
      <c r="C6364" t="s">
        <v>5334</v>
      </c>
    </row>
    <row r="6365" spans="1:3">
      <c r="A6365" t="s">
        <v>192</v>
      </c>
      <c r="B6365" t="s">
        <v>1070</v>
      </c>
      <c r="C6365" t="s">
        <v>5333</v>
      </c>
    </row>
    <row r="6366" spans="1:3">
      <c r="A6366" t="s">
        <v>157</v>
      </c>
      <c r="B6366" t="s">
        <v>1075</v>
      </c>
      <c r="C6366" t="s">
        <v>5332</v>
      </c>
    </row>
    <row r="6367" spans="1:3">
      <c r="A6367" t="s">
        <v>157</v>
      </c>
      <c r="B6367" t="s">
        <v>1075</v>
      </c>
      <c r="C6367" t="s">
        <v>5331</v>
      </c>
    </row>
    <row r="6368" spans="1:3">
      <c r="A6368" t="s">
        <v>157</v>
      </c>
      <c r="B6368" t="s">
        <v>1075</v>
      </c>
      <c r="C6368" t="s">
        <v>5330</v>
      </c>
    </row>
    <row r="6369" spans="1:3">
      <c r="A6369" t="s">
        <v>157</v>
      </c>
      <c r="B6369" t="s">
        <v>1075</v>
      </c>
      <c r="C6369" t="s">
        <v>5329</v>
      </c>
    </row>
    <row r="6370" spans="1:3">
      <c r="A6370" t="s">
        <v>157</v>
      </c>
      <c r="B6370" t="s">
        <v>1070</v>
      </c>
      <c r="C6370" t="s">
        <v>5328</v>
      </c>
    </row>
    <row r="6371" spans="1:3">
      <c r="A6371" t="s">
        <v>157</v>
      </c>
      <c r="B6371" t="s">
        <v>1070</v>
      </c>
      <c r="C6371" t="s">
        <v>5327</v>
      </c>
    </row>
    <row r="6372" spans="1:3">
      <c r="A6372" t="s">
        <v>157</v>
      </c>
      <c r="B6372" t="s">
        <v>1070</v>
      </c>
      <c r="C6372" t="s">
        <v>5326</v>
      </c>
    </row>
    <row r="6373" spans="1:3">
      <c r="A6373" t="s">
        <v>157</v>
      </c>
      <c r="B6373" t="s">
        <v>1070</v>
      </c>
      <c r="C6373" t="s">
        <v>5325</v>
      </c>
    </row>
    <row r="6374" spans="1:3">
      <c r="A6374" t="s">
        <v>157</v>
      </c>
      <c r="B6374" t="s">
        <v>1070</v>
      </c>
      <c r="C6374" t="s">
        <v>5324</v>
      </c>
    </row>
    <row r="6375" spans="1:3">
      <c r="A6375" t="s">
        <v>132</v>
      </c>
      <c r="B6375" t="s">
        <v>1075</v>
      </c>
      <c r="C6375" t="s">
        <v>5323</v>
      </c>
    </row>
    <row r="6376" spans="1:3">
      <c r="A6376" t="s">
        <v>132</v>
      </c>
      <c r="B6376" t="s">
        <v>1075</v>
      </c>
      <c r="C6376" t="s">
        <v>5322</v>
      </c>
    </row>
    <row r="6377" spans="1:3">
      <c r="A6377" t="s">
        <v>132</v>
      </c>
      <c r="B6377" t="s">
        <v>1075</v>
      </c>
      <c r="C6377" t="s">
        <v>5321</v>
      </c>
    </row>
    <row r="6378" spans="1:3">
      <c r="A6378" t="s">
        <v>132</v>
      </c>
      <c r="B6378" t="s">
        <v>1075</v>
      </c>
      <c r="C6378" t="s">
        <v>5320</v>
      </c>
    </row>
    <row r="6379" spans="1:3">
      <c r="A6379" t="s">
        <v>132</v>
      </c>
      <c r="B6379" t="s">
        <v>1070</v>
      </c>
      <c r="C6379" t="s">
        <v>5319</v>
      </c>
    </row>
    <row r="6380" spans="1:3">
      <c r="A6380" t="s">
        <v>132</v>
      </c>
      <c r="B6380" t="s">
        <v>1070</v>
      </c>
      <c r="C6380" t="s">
        <v>5318</v>
      </c>
    </row>
    <row r="6381" spans="1:3">
      <c r="A6381" t="s">
        <v>132</v>
      </c>
      <c r="B6381" t="s">
        <v>1070</v>
      </c>
      <c r="C6381" t="s">
        <v>5317</v>
      </c>
    </row>
    <row r="6382" spans="1:3">
      <c r="A6382" t="s">
        <v>132</v>
      </c>
      <c r="B6382" t="s">
        <v>1070</v>
      </c>
      <c r="C6382" t="s">
        <v>5316</v>
      </c>
    </row>
    <row r="6383" spans="1:3">
      <c r="A6383" t="s">
        <v>132</v>
      </c>
      <c r="B6383" t="s">
        <v>1070</v>
      </c>
      <c r="C6383" t="s">
        <v>5315</v>
      </c>
    </row>
    <row r="6384" spans="1:3">
      <c r="A6384" t="s">
        <v>128</v>
      </c>
      <c r="B6384" t="s">
        <v>1075</v>
      </c>
      <c r="C6384" t="s">
        <v>5314</v>
      </c>
    </row>
    <row r="6385" spans="1:3">
      <c r="A6385" t="s">
        <v>128</v>
      </c>
      <c r="B6385" t="s">
        <v>1075</v>
      </c>
      <c r="C6385" t="s">
        <v>5313</v>
      </c>
    </row>
    <row r="6386" spans="1:3">
      <c r="A6386" t="s">
        <v>128</v>
      </c>
      <c r="B6386" t="s">
        <v>1075</v>
      </c>
      <c r="C6386" t="s">
        <v>5312</v>
      </c>
    </row>
    <row r="6387" spans="1:3">
      <c r="A6387" t="s">
        <v>128</v>
      </c>
      <c r="B6387" t="s">
        <v>1075</v>
      </c>
      <c r="C6387" t="s">
        <v>5311</v>
      </c>
    </row>
    <row r="6388" spans="1:3">
      <c r="A6388" t="s">
        <v>128</v>
      </c>
      <c r="B6388" t="s">
        <v>1070</v>
      </c>
      <c r="C6388" t="s">
        <v>5310</v>
      </c>
    </row>
    <row r="6389" spans="1:3">
      <c r="A6389" t="s">
        <v>128</v>
      </c>
      <c r="B6389" t="s">
        <v>1070</v>
      </c>
      <c r="C6389" t="s">
        <v>5309</v>
      </c>
    </row>
    <row r="6390" spans="1:3">
      <c r="A6390" t="s">
        <v>128</v>
      </c>
      <c r="B6390" t="s">
        <v>1070</v>
      </c>
      <c r="C6390" t="s">
        <v>5308</v>
      </c>
    </row>
    <row r="6391" spans="1:3">
      <c r="A6391" t="s">
        <v>128</v>
      </c>
      <c r="B6391" t="s">
        <v>1070</v>
      </c>
      <c r="C6391" t="s">
        <v>5307</v>
      </c>
    </row>
    <row r="6392" spans="1:3">
      <c r="A6392" t="s">
        <v>128</v>
      </c>
      <c r="B6392" t="s">
        <v>1070</v>
      </c>
      <c r="C6392" t="s">
        <v>5306</v>
      </c>
    </row>
    <row r="6393" spans="1:3">
      <c r="A6393" t="s">
        <v>158</v>
      </c>
      <c r="B6393" t="s">
        <v>1075</v>
      </c>
      <c r="C6393" t="s">
        <v>5305</v>
      </c>
    </row>
    <row r="6394" spans="1:3">
      <c r="A6394" t="s">
        <v>158</v>
      </c>
      <c r="B6394" t="s">
        <v>1075</v>
      </c>
      <c r="C6394" t="s">
        <v>5304</v>
      </c>
    </row>
    <row r="6395" spans="1:3">
      <c r="A6395" t="s">
        <v>158</v>
      </c>
      <c r="B6395" t="s">
        <v>1075</v>
      </c>
      <c r="C6395" t="s">
        <v>5303</v>
      </c>
    </row>
    <row r="6396" spans="1:3">
      <c r="A6396" t="s">
        <v>158</v>
      </c>
      <c r="B6396" t="s">
        <v>1075</v>
      </c>
      <c r="C6396" t="s">
        <v>5302</v>
      </c>
    </row>
    <row r="6397" spans="1:3">
      <c r="A6397" t="s">
        <v>158</v>
      </c>
      <c r="B6397" t="s">
        <v>1070</v>
      </c>
      <c r="C6397" t="s">
        <v>5301</v>
      </c>
    </row>
    <row r="6398" spans="1:3">
      <c r="A6398" t="s">
        <v>158</v>
      </c>
      <c r="B6398" t="s">
        <v>1070</v>
      </c>
      <c r="C6398" t="s">
        <v>5300</v>
      </c>
    </row>
    <row r="6399" spans="1:3">
      <c r="A6399" t="s">
        <v>158</v>
      </c>
      <c r="B6399" t="s">
        <v>1070</v>
      </c>
      <c r="C6399" t="s">
        <v>5299</v>
      </c>
    </row>
    <row r="6400" spans="1:3">
      <c r="A6400" t="s">
        <v>158</v>
      </c>
      <c r="B6400" t="s">
        <v>1070</v>
      </c>
      <c r="C6400" t="s">
        <v>5298</v>
      </c>
    </row>
    <row r="6401" spans="1:3">
      <c r="A6401" t="s">
        <v>158</v>
      </c>
      <c r="B6401" t="s">
        <v>1070</v>
      </c>
      <c r="C6401" t="s">
        <v>5297</v>
      </c>
    </row>
    <row r="6402" spans="1:3">
      <c r="A6402" t="s">
        <v>153</v>
      </c>
      <c r="B6402" t="s">
        <v>1075</v>
      </c>
      <c r="C6402" t="s">
        <v>5296</v>
      </c>
    </row>
    <row r="6403" spans="1:3">
      <c r="A6403" t="s">
        <v>153</v>
      </c>
      <c r="B6403" t="s">
        <v>1075</v>
      </c>
      <c r="C6403" t="s">
        <v>5295</v>
      </c>
    </row>
    <row r="6404" spans="1:3">
      <c r="A6404" t="s">
        <v>153</v>
      </c>
      <c r="B6404" t="s">
        <v>1075</v>
      </c>
      <c r="C6404" t="s">
        <v>5294</v>
      </c>
    </row>
    <row r="6405" spans="1:3">
      <c r="A6405" t="s">
        <v>153</v>
      </c>
      <c r="B6405" t="s">
        <v>1075</v>
      </c>
      <c r="C6405" t="s">
        <v>5293</v>
      </c>
    </row>
    <row r="6406" spans="1:3">
      <c r="A6406" t="s">
        <v>153</v>
      </c>
      <c r="B6406" t="s">
        <v>1070</v>
      </c>
      <c r="C6406" t="s">
        <v>5292</v>
      </c>
    </row>
    <row r="6407" spans="1:3">
      <c r="A6407" t="s">
        <v>153</v>
      </c>
      <c r="B6407" t="s">
        <v>1070</v>
      </c>
      <c r="C6407" t="s">
        <v>5291</v>
      </c>
    </row>
    <row r="6408" spans="1:3">
      <c r="A6408" t="s">
        <v>153</v>
      </c>
      <c r="B6408" t="s">
        <v>1070</v>
      </c>
      <c r="C6408" t="s">
        <v>5290</v>
      </c>
    </row>
    <row r="6409" spans="1:3">
      <c r="A6409" t="s">
        <v>153</v>
      </c>
      <c r="B6409" t="s">
        <v>1070</v>
      </c>
      <c r="C6409" t="s">
        <v>5289</v>
      </c>
    </row>
    <row r="6410" spans="1:3">
      <c r="A6410" t="s">
        <v>153</v>
      </c>
      <c r="B6410" t="s">
        <v>1070</v>
      </c>
      <c r="C6410" t="s">
        <v>5288</v>
      </c>
    </row>
    <row r="6411" spans="1:3">
      <c r="A6411" t="s">
        <v>100</v>
      </c>
      <c r="B6411" t="s">
        <v>1075</v>
      </c>
      <c r="C6411" t="s">
        <v>5287</v>
      </c>
    </row>
    <row r="6412" spans="1:3">
      <c r="A6412" t="s">
        <v>100</v>
      </c>
      <c r="B6412" t="s">
        <v>1075</v>
      </c>
      <c r="C6412" t="s">
        <v>5286</v>
      </c>
    </row>
    <row r="6413" spans="1:3">
      <c r="A6413" t="s">
        <v>100</v>
      </c>
      <c r="B6413" t="s">
        <v>1075</v>
      </c>
      <c r="C6413" t="s">
        <v>5285</v>
      </c>
    </row>
    <row r="6414" spans="1:3">
      <c r="A6414" t="s">
        <v>100</v>
      </c>
      <c r="B6414" t="s">
        <v>1070</v>
      </c>
      <c r="C6414" t="s">
        <v>5284</v>
      </c>
    </row>
    <row r="6415" spans="1:3">
      <c r="A6415" t="s">
        <v>187</v>
      </c>
      <c r="B6415" t="s">
        <v>1075</v>
      </c>
      <c r="C6415" t="s">
        <v>5283</v>
      </c>
    </row>
    <row r="6416" spans="1:3">
      <c r="A6416" t="s">
        <v>187</v>
      </c>
      <c r="B6416" t="s">
        <v>1075</v>
      </c>
      <c r="C6416" t="s">
        <v>5282</v>
      </c>
    </row>
    <row r="6417" spans="1:3">
      <c r="A6417" t="s">
        <v>187</v>
      </c>
      <c r="B6417" t="s">
        <v>1075</v>
      </c>
      <c r="C6417" t="s">
        <v>5281</v>
      </c>
    </row>
    <row r="6418" spans="1:3">
      <c r="A6418" t="s">
        <v>187</v>
      </c>
      <c r="B6418" t="s">
        <v>1075</v>
      </c>
      <c r="C6418" t="s">
        <v>5280</v>
      </c>
    </row>
    <row r="6419" spans="1:3">
      <c r="A6419" t="s">
        <v>187</v>
      </c>
      <c r="B6419" t="s">
        <v>1070</v>
      </c>
      <c r="C6419" t="s">
        <v>5279</v>
      </c>
    </row>
    <row r="6420" spans="1:3">
      <c r="A6420" t="s">
        <v>187</v>
      </c>
      <c r="B6420" t="s">
        <v>1070</v>
      </c>
      <c r="C6420" t="s">
        <v>5278</v>
      </c>
    </row>
    <row r="6421" spans="1:3">
      <c r="A6421" t="s">
        <v>187</v>
      </c>
      <c r="B6421" t="s">
        <v>1070</v>
      </c>
      <c r="C6421" t="s">
        <v>5277</v>
      </c>
    </row>
    <row r="6422" spans="1:3">
      <c r="A6422" t="s">
        <v>187</v>
      </c>
      <c r="B6422" t="s">
        <v>1070</v>
      </c>
      <c r="C6422" t="s">
        <v>5276</v>
      </c>
    </row>
    <row r="6423" spans="1:3">
      <c r="A6423" t="s">
        <v>187</v>
      </c>
      <c r="B6423" t="s">
        <v>1070</v>
      </c>
      <c r="C6423" t="s">
        <v>5275</v>
      </c>
    </row>
    <row r="6424" spans="1:3">
      <c r="A6424" t="s">
        <v>96</v>
      </c>
      <c r="B6424" t="s">
        <v>1075</v>
      </c>
      <c r="C6424" t="s">
        <v>5274</v>
      </c>
    </row>
    <row r="6425" spans="1:3">
      <c r="A6425" t="s">
        <v>96</v>
      </c>
      <c r="B6425" t="s">
        <v>1075</v>
      </c>
      <c r="C6425" t="s">
        <v>5273</v>
      </c>
    </row>
    <row r="6426" spans="1:3">
      <c r="A6426" t="s">
        <v>96</v>
      </c>
      <c r="B6426" t="s">
        <v>1075</v>
      </c>
      <c r="C6426" t="s">
        <v>5272</v>
      </c>
    </row>
    <row r="6427" spans="1:3">
      <c r="A6427" t="s">
        <v>96</v>
      </c>
      <c r="B6427" t="s">
        <v>1070</v>
      </c>
      <c r="C6427" t="s">
        <v>5271</v>
      </c>
    </row>
    <row r="6428" spans="1:3">
      <c r="A6428" t="s">
        <v>90</v>
      </c>
      <c r="B6428" t="s">
        <v>1075</v>
      </c>
      <c r="C6428" t="s">
        <v>5270</v>
      </c>
    </row>
    <row r="6429" spans="1:3">
      <c r="A6429" t="s">
        <v>90</v>
      </c>
      <c r="B6429" t="s">
        <v>1075</v>
      </c>
      <c r="C6429" t="s">
        <v>5269</v>
      </c>
    </row>
    <row r="6430" spans="1:3">
      <c r="A6430" t="s">
        <v>90</v>
      </c>
      <c r="B6430" t="s">
        <v>1075</v>
      </c>
      <c r="C6430" t="s">
        <v>5268</v>
      </c>
    </row>
    <row r="6431" spans="1:3">
      <c r="A6431" t="s">
        <v>90</v>
      </c>
      <c r="B6431" t="s">
        <v>1070</v>
      </c>
      <c r="C6431" t="s">
        <v>5267</v>
      </c>
    </row>
    <row r="6432" spans="1:3">
      <c r="A6432" t="s">
        <v>193</v>
      </c>
      <c r="B6432" t="s">
        <v>1075</v>
      </c>
      <c r="C6432" t="s">
        <v>5266</v>
      </c>
    </row>
    <row r="6433" spans="1:3">
      <c r="A6433" t="s">
        <v>193</v>
      </c>
      <c r="B6433" t="s">
        <v>1075</v>
      </c>
      <c r="C6433" t="s">
        <v>5265</v>
      </c>
    </row>
    <row r="6434" spans="1:3">
      <c r="A6434" t="s">
        <v>193</v>
      </c>
      <c r="B6434" t="s">
        <v>1075</v>
      </c>
      <c r="C6434" t="s">
        <v>5264</v>
      </c>
    </row>
    <row r="6435" spans="1:3">
      <c r="A6435" t="s">
        <v>193</v>
      </c>
      <c r="B6435" t="s">
        <v>1075</v>
      </c>
      <c r="C6435" t="s">
        <v>5263</v>
      </c>
    </row>
    <row r="6436" spans="1:3">
      <c r="A6436" t="s">
        <v>193</v>
      </c>
      <c r="B6436" t="s">
        <v>1070</v>
      </c>
      <c r="C6436" t="s">
        <v>5262</v>
      </c>
    </row>
    <row r="6437" spans="1:3">
      <c r="A6437" t="s">
        <v>193</v>
      </c>
      <c r="B6437" t="s">
        <v>1070</v>
      </c>
      <c r="C6437" t="s">
        <v>5261</v>
      </c>
    </row>
    <row r="6438" spans="1:3">
      <c r="A6438" t="s">
        <v>193</v>
      </c>
      <c r="B6438" t="s">
        <v>1070</v>
      </c>
      <c r="C6438" t="s">
        <v>5260</v>
      </c>
    </row>
    <row r="6439" spans="1:3">
      <c r="A6439" t="s">
        <v>193</v>
      </c>
      <c r="B6439" t="s">
        <v>1070</v>
      </c>
      <c r="C6439" t="s">
        <v>5259</v>
      </c>
    </row>
    <row r="6440" spans="1:3">
      <c r="A6440" t="s">
        <v>193</v>
      </c>
      <c r="B6440" t="s">
        <v>1070</v>
      </c>
      <c r="C6440" t="s">
        <v>5258</v>
      </c>
    </row>
    <row r="6441" spans="1:3">
      <c r="A6441" t="s">
        <v>145</v>
      </c>
      <c r="B6441" t="s">
        <v>1075</v>
      </c>
      <c r="C6441" t="s">
        <v>5257</v>
      </c>
    </row>
    <row r="6442" spans="1:3">
      <c r="A6442" t="s">
        <v>145</v>
      </c>
      <c r="B6442" t="s">
        <v>1075</v>
      </c>
      <c r="C6442" t="s">
        <v>5256</v>
      </c>
    </row>
    <row r="6443" spans="1:3">
      <c r="A6443" t="s">
        <v>145</v>
      </c>
      <c r="B6443" t="s">
        <v>1075</v>
      </c>
      <c r="C6443" t="s">
        <v>5255</v>
      </c>
    </row>
    <row r="6444" spans="1:3">
      <c r="A6444" t="s">
        <v>145</v>
      </c>
      <c r="B6444" t="s">
        <v>1075</v>
      </c>
      <c r="C6444" t="s">
        <v>5254</v>
      </c>
    </row>
    <row r="6445" spans="1:3">
      <c r="A6445" t="s">
        <v>145</v>
      </c>
      <c r="B6445" t="s">
        <v>1070</v>
      </c>
      <c r="C6445" t="s">
        <v>5253</v>
      </c>
    </row>
    <row r="6446" spans="1:3">
      <c r="A6446" t="s">
        <v>145</v>
      </c>
      <c r="B6446" t="s">
        <v>1070</v>
      </c>
      <c r="C6446" t="s">
        <v>5252</v>
      </c>
    </row>
    <row r="6447" spans="1:3">
      <c r="A6447" t="s">
        <v>145</v>
      </c>
      <c r="B6447" t="s">
        <v>1070</v>
      </c>
      <c r="C6447" t="s">
        <v>5251</v>
      </c>
    </row>
    <row r="6448" spans="1:3">
      <c r="A6448" t="s">
        <v>145</v>
      </c>
      <c r="B6448" t="s">
        <v>1070</v>
      </c>
      <c r="C6448" t="s">
        <v>5250</v>
      </c>
    </row>
    <row r="6449" spans="1:3">
      <c r="A6449" t="s">
        <v>145</v>
      </c>
      <c r="B6449" t="s">
        <v>1070</v>
      </c>
      <c r="C6449" t="s">
        <v>5249</v>
      </c>
    </row>
    <row r="6450" spans="1:3">
      <c r="A6450" t="s">
        <v>133</v>
      </c>
      <c r="B6450" t="s">
        <v>1075</v>
      </c>
      <c r="C6450" t="s">
        <v>5248</v>
      </c>
    </row>
    <row r="6451" spans="1:3">
      <c r="A6451" t="s">
        <v>133</v>
      </c>
      <c r="B6451" t="s">
        <v>1075</v>
      </c>
      <c r="C6451" t="s">
        <v>5247</v>
      </c>
    </row>
    <row r="6452" spans="1:3">
      <c r="A6452" t="s">
        <v>133</v>
      </c>
      <c r="B6452" t="s">
        <v>1075</v>
      </c>
      <c r="C6452" t="s">
        <v>5246</v>
      </c>
    </row>
    <row r="6453" spans="1:3">
      <c r="A6453" t="s">
        <v>133</v>
      </c>
      <c r="B6453" t="s">
        <v>1075</v>
      </c>
      <c r="C6453" t="s">
        <v>5245</v>
      </c>
    </row>
    <row r="6454" spans="1:3">
      <c r="A6454" t="s">
        <v>133</v>
      </c>
      <c r="B6454" t="s">
        <v>1070</v>
      </c>
      <c r="C6454" t="s">
        <v>5244</v>
      </c>
    </row>
    <row r="6455" spans="1:3">
      <c r="A6455" t="s">
        <v>133</v>
      </c>
      <c r="B6455" t="s">
        <v>1070</v>
      </c>
      <c r="C6455" t="s">
        <v>5243</v>
      </c>
    </row>
    <row r="6456" spans="1:3">
      <c r="A6456" t="s">
        <v>133</v>
      </c>
      <c r="B6456" t="s">
        <v>1070</v>
      </c>
      <c r="C6456" t="s">
        <v>5242</v>
      </c>
    </row>
    <row r="6457" spans="1:3">
      <c r="A6457" t="s">
        <v>133</v>
      </c>
      <c r="B6457" t="s">
        <v>1070</v>
      </c>
      <c r="C6457" t="s">
        <v>5241</v>
      </c>
    </row>
    <row r="6458" spans="1:3">
      <c r="A6458" t="s">
        <v>133</v>
      </c>
      <c r="B6458" t="s">
        <v>1070</v>
      </c>
      <c r="C6458" t="s">
        <v>5240</v>
      </c>
    </row>
    <row r="6459" spans="1:3">
      <c r="A6459" t="s">
        <v>148</v>
      </c>
      <c r="B6459" t="s">
        <v>1075</v>
      </c>
      <c r="C6459" t="s">
        <v>5239</v>
      </c>
    </row>
    <row r="6460" spans="1:3">
      <c r="A6460" t="s">
        <v>148</v>
      </c>
      <c r="B6460" t="s">
        <v>1075</v>
      </c>
      <c r="C6460" t="s">
        <v>5238</v>
      </c>
    </row>
    <row r="6461" spans="1:3">
      <c r="A6461" t="s">
        <v>148</v>
      </c>
      <c r="B6461" t="s">
        <v>1075</v>
      </c>
      <c r="C6461" t="s">
        <v>5237</v>
      </c>
    </row>
    <row r="6462" spans="1:3">
      <c r="A6462" t="s">
        <v>148</v>
      </c>
      <c r="B6462" t="s">
        <v>1075</v>
      </c>
      <c r="C6462" t="s">
        <v>5236</v>
      </c>
    </row>
    <row r="6463" spans="1:3">
      <c r="A6463" t="s">
        <v>148</v>
      </c>
      <c r="B6463" t="s">
        <v>1070</v>
      </c>
      <c r="C6463" t="s">
        <v>5235</v>
      </c>
    </row>
    <row r="6464" spans="1:3">
      <c r="A6464" t="s">
        <v>148</v>
      </c>
      <c r="B6464" t="s">
        <v>1070</v>
      </c>
      <c r="C6464" t="s">
        <v>5234</v>
      </c>
    </row>
    <row r="6465" spans="1:3">
      <c r="A6465" t="s">
        <v>148</v>
      </c>
      <c r="B6465" t="s">
        <v>1070</v>
      </c>
      <c r="C6465" t="s">
        <v>5233</v>
      </c>
    </row>
    <row r="6466" spans="1:3">
      <c r="A6466" t="s">
        <v>148</v>
      </c>
      <c r="B6466" t="s">
        <v>1070</v>
      </c>
      <c r="C6466" t="s">
        <v>5232</v>
      </c>
    </row>
    <row r="6467" spans="1:3">
      <c r="A6467" t="s">
        <v>148</v>
      </c>
      <c r="B6467" t="s">
        <v>1070</v>
      </c>
      <c r="C6467" t="s">
        <v>5231</v>
      </c>
    </row>
    <row r="6468" spans="1:3">
      <c r="A6468" t="s">
        <v>115</v>
      </c>
      <c r="B6468" t="s">
        <v>1075</v>
      </c>
      <c r="C6468" t="s">
        <v>5230</v>
      </c>
    </row>
    <row r="6469" spans="1:3">
      <c r="A6469" t="s">
        <v>115</v>
      </c>
      <c r="B6469" t="s">
        <v>1075</v>
      </c>
      <c r="C6469" t="s">
        <v>5229</v>
      </c>
    </row>
    <row r="6470" spans="1:3">
      <c r="A6470" t="s">
        <v>115</v>
      </c>
      <c r="B6470" t="s">
        <v>1075</v>
      </c>
      <c r="C6470" t="s">
        <v>5228</v>
      </c>
    </row>
    <row r="6471" spans="1:3">
      <c r="A6471" t="s">
        <v>115</v>
      </c>
      <c r="B6471" t="s">
        <v>1075</v>
      </c>
      <c r="C6471" t="s">
        <v>5227</v>
      </c>
    </row>
    <row r="6472" spans="1:3">
      <c r="A6472" t="s">
        <v>115</v>
      </c>
      <c r="B6472" t="s">
        <v>1070</v>
      </c>
      <c r="C6472" t="s">
        <v>5226</v>
      </c>
    </row>
    <row r="6473" spans="1:3">
      <c r="A6473" t="s">
        <v>115</v>
      </c>
      <c r="B6473" t="s">
        <v>1070</v>
      </c>
      <c r="C6473" t="s">
        <v>5225</v>
      </c>
    </row>
    <row r="6474" spans="1:3">
      <c r="A6474" t="s">
        <v>115</v>
      </c>
      <c r="B6474" t="s">
        <v>1070</v>
      </c>
      <c r="C6474" t="s">
        <v>5224</v>
      </c>
    </row>
    <row r="6475" spans="1:3">
      <c r="A6475" t="s">
        <v>115</v>
      </c>
      <c r="B6475" t="s">
        <v>1070</v>
      </c>
      <c r="C6475" t="s">
        <v>5223</v>
      </c>
    </row>
    <row r="6476" spans="1:3">
      <c r="A6476" t="s">
        <v>115</v>
      </c>
      <c r="B6476" t="s">
        <v>1070</v>
      </c>
      <c r="C6476" t="s">
        <v>5222</v>
      </c>
    </row>
    <row r="6477" spans="1:3">
      <c r="A6477" t="s">
        <v>194</v>
      </c>
      <c r="B6477" t="s">
        <v>1075</v>
      </c>
      <c r="C6477" t="s">
        <v>5221</v>
      </c>
    </row>
    <row r="6478" spans="1:3">
      <c r="A6478" t="s">
        <v>194</v>
      </c>
      <c r="B6478" t="s">
        <v>1075</v>
      </c>
      <c r="C6478" t="s">
        <v>5220</v>
      </c>
    </row>
    <row r="6479" spans="1:3">
      <c r="A6479" t="s">
        <v>194</v>
      </c>
      <c r="B6479" t="s">
        <v>1075</v>
      </c>
      <c r="C6479" t="s">
        <v>5219</v>
      </c>
    </row>
    <row r="6480" spans="1:3">
      <c r="A6480" t="s">
        <v>194</v>
      </c>
      <c r="B6480" t="s">
        <v>1075</v>
      </c>
      <c r="C6480" t="s">
        <v>5218</v>
      </c>
    </row>
    <row r="6481" spans="1:3">
      <c r="A6481" t="s">
        <v>194</v>
      </c>
      <c r="B6481" t="s">
        <v>1070</v>
      </c>
      <c r="C6481" t="s">
        <v>5217</v>
      </c>
    </row>
    <row r="6482" spans="1:3">
      <c r="A6482" t="s">
        <v>194</v>
      </c>
      <c r="B6482" t="s">
        <v>1070</v>
      </c>
      <c r="C6482" t="s">
        <v>5216</v>
      </c>
    </row>
    <row r="6483" spans="1:3">
      <c r="A6483" t="s">
        <v>194</v>
      </c>
      <c r="B6483" t="s">
        <v>1070</v>
      </c>
      <c r="C6483" t="s">
        <v>5215</v>
      </c>
    </row>
    <row r="6484" spans="1:3">
      <c r="A6484" t="s">
        <v>194</v>
      </c>
      <c r="B6484" t="s">
        <v>1070</v>
      </c>
      <c r="C6484" t="s">
        <v>5214</v>
      </c>
    </row>
    <row r="6485" spans="1:3">
      <c r="A6485" t="s">
        <v>194</v>
      </c>
      <c r="B6485" t="s">
        <v>1070</v>
      </c>
      <c r="C6485" t="s">
        <v>5213</v>
      </c>
    </row>
    <row r="6486" spans="1:3">
      <c r="A6486" t="s">
        <v>172</v>
      </c>
      <c r="B6486" t="s">
        <v>1075</v>
      </c>
      <c r="C6486" t="s">
        <v>5212</v>
      </c>
    </row>
    <row r="6487" spans="1:3">
      <c r="A6487" t="s">
        <v>172</v>
      </c>
      <c r="B6487" t="s">
        <v>1075</v>
      </c>
      <c r="C6487" t="s">
        <v>5211</v>
      </c>
    </row>
    <row r="6488" spans="1:3">
      <c r="A6488" t="s">
        <v>172</v>
      </c>
      <c r="B6488" t="s">
        <v>1075</v>
      </c>
      <c r="C6488" t="s">
        <v>5210</v>
      </c>
    </row>
    <row r="6489" spans="1:3">
      <c r="A6489" t="s">
        <v>172</v>
      </c>
      <c r="B6489" t="s">
        <v>1075</v>
      </c>
      <c r="C6489" t="s">
        <v>5209</v>
      </c>
    </row>
    <row r="6490" spans="1:3">
      <c r="A6490" t="s">
        <v>172</v>
      </c>
      <c r="B6490" t="s">
        <v>1070</v>
      </c>
      <c r="C6490" t="s">
        <v>5208</v>
      </c>
    </row>
    <row r="6491" spans="1:3">
      <c r="A6491" t="s">
        <v>172</v>
      </c>
      <c r="B6491" t="s">
        <v>1070</v>
      </c>
      <c r="C6491" t="s">
        <v>5207</v>
      </c>
    </row>
    <row r="6492" spans="1:3">
      <c r="A6492" t="s">
        <v>172</v>
      </c>
      <c r="B6492" t="s">
        <v>1070</v>
      </c>
      <c r="C6492" t="s">
        <v>5206</v>
      </c>
    </row>
    <row r="6493" spans="1:3">
      <c r="A6493" t="s">
        <v>172</v>
      </c>
      <c r="B6493" t="s">
        <v>1070</v>
      </c>
      <c r="C6493" t="s">
        <v>5205</v>
      </c>
    </row>
    <row r="6494" spans="1:3">
      <c r="A6494" t="s">
        <v>172</v>
      </c>
      <c r="B6494" t="s">
        <v>1070</v>
      </c>
      <c r="C6494" t="s">
        <v>5204</v>
      </c>
    </row>
    <row r="6495" spans="1:3">
      <c r="A6495" t="s">
        <v>195</v>
      </c>
      <c r="B6495" t="s">
        <v>1075</v>
      </c>
      <c r="C6495" t="s">
        <v>5203</v>
      </c>
    </row>
    <row r="6496" spans="1:3">
      <c r="A6496" t="s">
        <v>195</v>
      </c>
      <c r="B6496" t="s">
        <v>1075</v>
      </c>
      <c r="C6496" t="s">
        <v>5202</v>
      </c>
    </row>
    <row r="6497" spans="1:3">
      <c r="A6497" t="s">
        <v>195</v>
      </c>
      <c r="B6497" t="s">
        <v>1075</v>
      </c>
      <c r="C6497" t="s">
        <v>5201</v>
      </c>
    </row>
    <row r="6498" spans="1:3">
      <c r="A6498" t="s">
        <v>195</v>
      </c>
      <c r="B6498" t="s">
        <v>1075</v>
      </c>
      <c r="C6498" t="s">
        <v>5200</v>
      </c>
    </row>
    <row r="6499" spans="1:3">
      <c r="A6499" t="s">
        <v>195</v>
      </c>
      <c r="B6499" t="s">
        <v>1070</v>
      </c>
      <c r="C6499" t="s">
        <v>5199</v>
      </c>
    </row>
    <row r="6500" spans="1:3">
      <c r="A6500" t="s">
        <v>195</v>
      </c>
      <c r="B6500" t="s">
        <v>1070</v>
      </c>
      <c r="C6500" t="s">
        <v>5198</v>
      </c>
    </row>
    <row r="6501" spans="1:3">
      <c r="A6501" t="s">
        <v>195</v>
      </c>
      <c r="B6501" t="s">
        <v>1070</v>
      </c>
      <c r="C6501" t="s">
        <v>5197</v>
      </c>
    </row>
    <row r="6502" spans="1:3">
      <c r="A6502" t="s">
        <v>195</v>
      </c>
      <c r="B6502" t="s">
        <v>1070</v>
      </c>
      <c r="C6502" t="s">
        <v>5196</v>
      </c>
    </row>
    <row r="6503" spans="1:3">
      <c r="A6503" t="s">
        <v>195</v>
      </c>
      <c r="B6503" t="s">
        <v>1070</v>
      </c>
      <c r="C6503" t="s">
        <v>5195</v>
      </c>
    </row>
    <row r="6504" spans="1:3">
      <c r="A6504" t="s">
        <v>183</v>
      </c>
      <c r="B6504" t="s">
        <v>1075</v>
      </c>
      <c r="C6504" t="s">
        <v>5194</v>
      </c>
    </row>
    <row r="6505" spans="1:3">
      <c r="A6505" t="s">
        <v>183</v>
      </c>
      <c r="B6505" t="s">
        <v>1075</v>
      </c>
      <c r="C6505" t="s">
        <v>5193</v>
      </c>
    </row>
    <row r="6506" spans="1:3">
      <c r="A6506" t="s">
        <v>183</v>
      </c>
      <c r="B6506" t="s">
        <v>1075</v>
      </c>
      <c r="C6506" t="s">
        <v>5192</v>
      </c>
    </row>
    <row r="6507" spans="1:3">
      <c r="A6507" t="s">
        <v>183</v>
      </c>
      <c r="B6507" t="s">
        <v>1075</v>
      </c>
      <c r="C6507" t="s">
        <v>5191</v>
      </c>
    </row>
    <row r="6508" spans="1:3">
      <c r="A6508" t="s">
        <v>183</v>
      </c>
      <c r="B6508" t="s">
        <v>1070</v>
      </c>
      <c r="C6508" t="s">
        <v>5190</v>
      </c>
    </row>
    <row r="6509" spans="1:3">
      <c r="A6509" t="s">
        <v>183</v>
      </c>
      <c r="B6509" t="s">
        <v>1070</v>
      </c>
      <c r="C6509" t="s">
        <v>5189</v>
      </c>
    </row>
    <row r="6510" spans="1:3">
      <c r="A6510" t="s">
        <v>183</v>
      </c>
      <c r="B6510" t="s">
        <v>1070</v>
      </c>
      <c r="C6510" t="s">
        <v>5188</v>
      </c>
    </row>
    <row r="6511" spans="1:3">
      <c r="A6511" t="s">
        <v>183</v>
      </c>
      <c r="B6511" t="s">
        <v>1070</v>
      </c>
      <c r="C6511" t="s">
        <v>5187</v>
      </c>
    </row>
    <row r="6512" spans="1:3">
      <c r="A6512" t="s">
        <v>183</v>
      </c>
      <c r="B6512" t="s">
        <v>1070</v>
      </c>
      <c r="C6512" t="s">
        <v>5186</v>
      </c>
    </row>
    <row r="6513" spans="1:3">
      <c r="A6513" t="s">
        <v>102</v>
      </c>
      <c r="B6513" t="s">
        <v>1075</v>
      </c>
      <c r="C6513" t="s">
        <v>5185</v>
      </c>
    </row>
    <row r="6514" spans="1:3">
      <c r="A6514" t="s">
        <v>102</v>
      </c>
      <c r="B6514" t="s">
        <v>1075</v>
      </c>
      <c r="C6514" t="s">
        <v>5184</v>
      </c>
    </row>
    <row r="6515" spans="1:3">
      <c r="A6515" t="s">
        <v>102</v>
      </c>
      <c r="B6515" t="s">
        <v>1075</v>
      </c>
      <c r="C6515" t="s">
        <v>5183</v>
      </c>
    </row>
    <row r="6516" spans="1:3">
      <c r="A6516" t="s">
        <v>102</v>
      </c>
      <c r="B6516" t="s">
        <v>1070</v>
      </c>
      <c r="C6516" t="s">
        <v>5182</v>
      </c>
    </row>
    <row r="6517" spans="1:3">
      <c r="A6517" t="s">
        <v>185</v>
      </c>
      <c r="B6517" t="s">
        <v>1075</v>
      </c>
      <c r="C6517" t="s">
        <v>5181</v>
      </c>
    </row>
    <row r="6518" spans="1:3">
      <c r="A6518" t="s">
        <v>185</v>
      </c>
      <c r="B6518" t="s">
        <v>1075</v>
      </c>
      <c r="C6518" t="s">
        <v>5180</v>
      </c>
    </row>
    <row r="6519" spans="1:3">
      <c r="A6519" t="s">
        <v>185</v>
      </c>
      <c r="B6519" t="s">
        <v>1075</v>
      </c>
      <c r="C6519" t="s">
        <v>5179</v>
      </c>
    </row>
    <row r="6520" spans="1:3">
      <c r="A6520" t="s">
        <v>185</v>
      </c>
      <c r="B6520" t="s">
        <v>1075</v>
      </c>
      <c r="C6520" t="s">
        <v>5178</v>
      </c>
    </row>
    <row r="6521" spans="1:3">
      <c r="A6521" t="s">
        <v>185</v>
      </c>
      <c r="B6521" t="s">
        <v>1070</v>
      </c>
      <c r="C6521" t="s">
        <v>5177</v>
      </c>
    </row>
    <row r="6522" spans="1:3">
      <c r="A6522" t="s">
        <v>185</v>
      </c>
      <c r="B6522" t="s">
        <v>1070</v>
      </c>
      <c r="C6522" t="s">
        <v>5176</v>
      </c>
    </row>
    <row r="6523" spans="1:3">
      <c r="A6523" t="s">
        <v>185</v>
      </c>
      <c r="B6523" t="s">
        <v>1070</v>
      </c>
      <c r="C6523" t="s">
        <v>5175</v>
      </c>
    </row>
    <row r="6524" spans="1:3">
      <c r="A6524" t="s">
        <v>185</v>
      </c>
      <c r="B6524" t="s">
        <v>1070</v>
      </c>
      <c r="C6524" t="s">
        <v>5174</v>
      </c>
    </row>
    <row r="6525" spans="1:3">
      <c r="A6525" t="s">
        <v>185</v>
      </c>
      <c r="B6525" t="s">
        <v>1070</v>
      </c>
      <c r="C6525" t="s">
        <v>5173</v>
      </c>
    </row>
    <row r="6526" spans="1:3">
      <c r="A6526" t="s">
        <v>181</v>
      </c>
      <c r="B6526" t="s">
        <v>1075</v>
      </c>
      <c r="C6526" t="s">
        <v>5172</v>
      </c>
    </row>
    <row r="6527" spans="1:3">
      <c r="A6527" t="s">
        <v>181</v>
      </c>
      <c r="B6527" t="s">
        <v>1075</v>
      </c>
      <c r="C6527" t="s">
        <v>5171</v>
      </c>
    </row>
    <row r="6528" spans="1:3">
      <c r="A6528" t="s">
        <v>181</v>
      </c>
      <c r="B6528" t="s">
        <v>1075</v>
      </c>
      <c r="C6528" t="s">
        <v>5170</v>
      </c>
    </row>
    <row r="6529" spans="1:3">
      <c r="A6529" t="s">
        <v>181</v>
      </c>
      <c r="B6529" t="s">
        <v>1075</v>
      </c>
      <c r="C6529" t="s">
        <v>5169</v>
      </c>
    </row>
    <row r="6530" spans="1:3">
      <c r="A6530" t="s">
        <v>181</v>
      </c>
      <c r="B6530" t="s">
        <v>1070</v>
      </c>
      <c r="C6530" t="s">
        <v>5168</v>
      </c>
    </row>
    <row r="6531" spans="1:3">
      <c r="A6531" t="s">
        <v>181</v>
      </c>
      <c r="B6531" t="s">
        <v>1070</v>
      </c>
      <c r="C6531" t="s">
        <v>5167</v>
      </c>
    </row>
    <row r="6532" spans="1:3">
      <c r="A6532" t="s">
        <v>181</v>
      </c>
      <c r="B6532" t="s">
        <v>1070</v>
      </c>
      <c r="C6532" t="s">
        <v>5166</v>
      </c>
    </row>
    <row r="6533" spans="1:3">
      <c r="A6533" t="s">
        <v>181</v>
      </c>
      <c r="B6533" t="s">
        <v>1070</v>
      </c>
      <c r="C6533" t="s">
        <v>5165</v>
      </c>
    </row>
    <row r="6534" spans="1:3">
      <c r="A6534" t="s">
        <v>181</v>
      </c>
      <c r="B6534" t="s">
        <v>1070</v>
      </c>
      <c r="C6534" t="s">
        <v>5164</v>
      </c>
    </row>
    <row r="6535" spans="1:3">
      <c r="A6535" t="s">
        <v>116</v>
      </c>
      <c r="B6535" t="s">
        <v>1075</v>
      </c>
      <c r="C6535" t="s">
        <v>5163</v>
      </c>
    </row>
    <row r="6536" spans="1:3">
      <c r="A6536" t="s">
        <v>116</v>
      </c>
      <c r="B6536" t="s">
        <v>1075</v>
      </c>
      <c r="C6536" t="s">
        <v>5162</v>
      </c>
    </row>
    <row r="6537" spans="1:3">
      <c r="A6537" t="s">
        <v>116</v>
      </c>
      <c r="B6537" t="s">
        <v>1075</v>
      </c>
      <c r="C6537" t="s">
        <v>5161</v>
      </c>
    </row>
    <row r="6538" spans="1:3">
      <c r="A6538" t="s">
        <v>116</v>
      </c>
      <c r="B6538" t="s">
        <v>1075</v>
      </c>
      <c r="C6538" t="s">
        <v>5160</v>
      </c>
    </row>
    <row r="6539" spans="1:3">
      <c r="A6539" t="s">
        <v>116</v>
      </c>
      <c r="B6539" t="s">
        <v>1070</v>
      </c>
      <c r="C6539" t="s">
        <v>5159</v>
      </c>
    </row>
    <row r="6540" spans="1:3">
      <c r="A6540" t="s">
        <v>116</v>
      </c>
      <c r="B6540" t="s">
        <v>1070</v>
      </c>
      <c r="C6540" t="s">
        <v>5158</v>
      </c>
    </row>
    <row r="6541" spans="1:3">
      <c r="A6541" t="s">
        <v>116</v>
      </c>
      <c r="B6541" t="s">
        <v>1070</v>
      </c>
      <c r="C6541" t="s">
        <v>5157</v>
      </c>
    </row>
    <row r="6542" spans="1:3">
      <c r="A6542" t="s">
        <v>116</v>
      </c>
      <c r="B6542" t="s">
        <v>1070</v>
      </c>
      <c r="C6542" t="s">
        <v>5156</v>
      </c>
    </row>
    <row r="6543" spans="1:3">
      <c r="A6543" t="s">
        <v>116</v>
      </c>
      <c r="B6543" t="s">
        <v>1070</v>
      </c>
      <c r="C6543" t="s">
        <v>5155</v>
      </c>
    </row>
    <row r="6544" spans="1:3">
      <c r="A6544" t="s">
        <v>151</v>
      </c>
      <c r="B6544" t="s">
        <v>1075</v>
      </c>
      <c r="C6544" t="s">
        <v>5154</v>
      </c>
    </row>
    <row r="6545" spans="1:3">
      <c r="A6545" t="s">
        <v>151</v>
      </c>
      <c r="B6545" t="s">
        <v>1075</v>
      </c>
      <c r="C6545" t="s">
        <v>5153</v>
      </c>
    </row>
    <row r="6546" spans="1:3">
      <c r="A6546" t="s">
        <v>151</v>
      </c>
      <c r="B6546" t="s">
        <v>1075</v>
      </c>
      <c r="C6546" t="s">
        <v>5152</v>
      </c>
    </row>
    <row r="6547" spans="1:3">
      <c r="A6547" t="s">
        <v>151</v>
      </c>
      <c r="B6547" t="s">
        <v>1070</v>
      </c>
      <c r="C6547" t="s">
        <v>5151</v>
      </c>
    </row>
    <row r="6548" spans="1:3">
      <c r="A6548" t="s">
        <v>164</v>
      </c>
      <c r="B6548" t="s">
        <v>1075</v>
      </c>
      <c r="C6548" t="s">
        <v>5150</v>
      </c>
    </row>
    <row r="6549" spans="1:3">
      <c r="A6549" t="s">
        <v>164</v>
      </c>
      <c r="B6549" t="s">
        <v>1075</v>
      </c>
      <c r="C6549" t="s">
        <v>5149</v>
      </c>
    </row>
    <row r="6550" spans="1:3">
      <c r="A6550" t="s">
        <v>164</v>
      </c>
      <c r="B6550" t="s">
        <v>1075</v>
      </c>
      <c r="C6550" t="s">
        <v>5148</v>
      </c>
    </row>
    <row r="6551" spans="1:3">
      <c r="A6551" t="s">
        <v>164</v>
      </c>
      <c r="B6551" t="s">
        <v>1075</v>
      </c>
      <c r="C6551" t="s">
        <v>5147</v>
      </c>
    </row>
    <row r="6552" spans="1:3">
      <c r="A6552" t="s">
        <v>164</v>
      </c>
      <c r="B6552" t="s">
        <v>1070</v>
      </c>
      <c r="C6552" t="s">
        <v>5146</v>
      </c>
    </row>
    <row r="6553" spans="1:3">
      <c r="A6553" t="s">
        <v>105</v>
      </c>
      <c r="B6553" t="s">
        <v>1075</v>
      </c>
      <c r="C6553" t="s">
        <v>5145</v>
      </c>
    </row>
    <row r="6554" spans="1:3">
      <c r="A6554" t="s">
        <v>105</v>
      </c>
      <c r="B6554" t="s">
        <v>1075</v>
      </c>
      <c r="C6554" t="s">
        <v>5144</v>
      </c>
    </row>
    <row r="6555" spans="1:3">
      <c r="A6555" t="s">
        <v>105</v>
      </c>
      <c r="B6555" t="s">
        <v>1075</v>
      </c>
      <c r="C6555" t="s">
        <v>5143</v>
      </c>
    </row>
    <row r="6556" spans="1:3">
      <c r="A6556" t="s">
        <v>105</v>
      </c>
      <c r="B6556" t="s">
        <v>1075</v>
      </c>
      <c r="C6556" t="s">
        <v>5142</v>
      </c>
    </row>
    <row r="6557" spans="1:3">
      <c r="A6557" t="s">
        <v>105</v>
      </c>
      <c r="B6557" t="s">
        <v>1070</v>
      </c>
      <c r="C6557" t="s">
        <v>5141</v>
      </c>
    </row>
    <row r="6558" spans="1:3">
      <c r="A6558" t="s">
        <v>105</v>
      </c>
      <c r="B6558" t="s">
        <v>1070</v>
      </c>
      <c r="C6558" t="s">
        <v>5140</v>
      </c>
    </row>
    <row r="6559" spans="1:3">
      <c r="A6559" t="s">
        <v>105</v>
      </c>
      <c r="B6559" t="s">
        <v>1070</v>
      </c>
      <c r="C6559" t="s">
        <v>5139</v>
      </c>
    </row>
    <row r="6560" spans="1:3">
      <c r="A6560" t="s">
        <v>105</v>
      </c>
      <c r="B6560" t="s">
        <v>1070</v>
      </c>
      <c r="C6560" t="s">
        <v>5138</v>
      </c>
    </row>
    <row r="6561" spans="1:3">
      <c r="A6561" t="s">
        <v>105</v>
      </c>
      <c r="B6561" t="s">
        <v>1070</v>
      </c>
      <c r="C6561" t="s">
        <v>5137</v>
      </c>
    </row>
    <row r="6562" spans="1:3">
      <c r="A6562" t="s">
        <v>106</v>
      </c>
      <c r="B6562" t="s">
        <v>1075</v>
      </c>
      <c r="C6562" t="s">
        <v>5136</v>
      </c>
    </row>
    <row r="6563" spans="1:3">
      <c r="A6563" t="s">
        <v>106</v>
      </c>
      <c r="B6563" t="s">
        <v>1075</v>
      </c>
      <c r="C6563" t="s">
        <v>5135</v>
      </c>
    </row>
    <row r="6564" spans="1:3">
      <c r="A6564" t="s">
        <v>106</v>
      </c>
      <c r="B6564" t="s">
        <v>1075</v>
      </c>
      <c r="C6564" t="s">
        <v>5134</v>
      </c>
    </row>
    <row r="6565" spans="1:3">
      <c r="A6565" t="s">
        <v>106</v>
      </c>
      <c r="B6565" t="s">
        <v>1070</v>
      </c>
      <c r="C6565" t="s">
        <v>5133</v>
      </c>
    </row>
    <row r="6566" spans="1:3">
      <c r="A6566" t="s">
        <v>121</v>
      </c>
      <c r="B6566" t="s">
        <v>1075</v>
      </c>
      <c r="C6566" t="s">
        <v>5132</v>
      </c>
    </row>
    <row r="6567" spans="1:3">
      <c r="A6567" t="s">
        <v>121</v>
      </c>
      <c r="B6567" t="s">
        <v>1075</v>
      </c>
      <c r="C6567" t="s">
        <v>5131</v>
      </c>
    </row>
    <row r="6568" spans="1:3">
      <c r="A6568" t="s">
        <v>121</v>
      </c>
      <c r="B6568" t="s">
        <v>1075</v>
      </c>
      <c r="C6568" t="s">
        <v>5130</v>
      </c>
    </row>
    <row r="6569" spans="1:3">
      <c r="A6569" t="s">
        <v>121</v>
      </c>
      <c r="B6569" t="s">
        <v>1075</v>
      </c>
      <c r="C6569" t="s">
        <v>5129</v>
      </c>
    </row>
    <row r="6570" spans="1:3">
      <c r="A6570" t="s">
        <v>121</v>
      </c>
      <c r="B6570" t="s">
        <v>1070</v>
      </c>
      <c r="C6570" t="s">
        <v>5128</v>
      </c>
    </row>
    <row r="6571" spans="1:3">
      <c r="A6571" t="s">
        <v>121</v>
      </c>
      <c r="B6571" t="s">
        <v>1070</v>
      </c>
      <c r="C6571" t="s">
        <v>5127</v>
      </c>
    </row>
    <row r="6572" spans="1:3">
      <c r="A6572" t="s">
        <v>121</v>
      </c>
      <c r="B6572" t="s">
        <v>1070</v>
      </c>
      <c r="C6572" t="s">
        <v>5126</v>
      </c>
    </row>
    <row r="6573" spans="1:3">
      <c r="A6573" t="s">
        <v>121</v>
      </c>
      <c r="B6573" t="s">
        <v>1070</v>
      </c>
      <c r="C6573" t="s">
        <v>5125</v>
      </c>
    </row>
    <row r="6574" spans="1:3">
      <c r="A6574" t="s">
        <v>121</v>
      </c>
      <c r="B6574" t="s">
        <v>1070</v>
      </c>
      <c r="C6574" t="s">
        <v>5124</v>
      </c>
    </row>
    <row r="6575" spans="1:3">
      <c r="A6575" t="s">
        <v>155</v>
      </c>
      <c r="B6575" t="s">
        <v>1075</v>
      </c>
      <c r="C6575" t="s">
        <v>5123</v>
      </c>
    </row>
    <row r="6576" spans="1:3">
      <c r="A6576" t="s">
        <v>155</v>
      </c>
      <c r="B6576" t="s">
        <v>1075</v>
      </c>
      <c r="C6576" t="s">
        <v>5122</v>
      </c>
    </row>
    <row r="6577" spans="1:3">
      <c r="A6577" t="s">
        <v>155</v>
      </c>
      <c r="B6577" t="s">
        <v>1075</v>
      </c>
      <c r="C6577" t="s">
        <v>5121</v>
      </c>
    </row>
    <row r="6578" spans="1:3">
      <c r="A6578" t="s">
        <v>155</v>
      </c>
      <c r="B6578" t="s">
        <v>1075</v>
      </c>
      <c r="C6578" t="s">
        <v>5120</v>
      </c>
    </row>
    <row r="6579" spans="1:3">
      <c r="A6579" t="s">
        <v>155</v>
      </c>
      <c r="B6579" t="s">
        <v>1070</v>
      </c>
      <c r="C6579" t="s">
        <v>5119</v>
      </c>
    </row>
    <row r="6580" spans="1:3">
      <c r="A6580" t="s">
        <v>155</v>
      </c>
      <c r="B6580" t="s">
        <v>1070</v>
      </c>
      <c r="C6580" t="s">
        <v>5118</v>
      </c>
    </row>
    <row r="6581" spans="1:3">
      <c r="A6581" t="s">
        <v>155</v>
      </c>
      <c r="B6581" t="s">
        <v>1070</v>
      </c>
      <c r="C6581" t="s">
        <v>5117</v>
      </c>
    </row>
    <row r="6582" spans="1:3">
      <c r="A6582" t="s">
        <v>155</v>
      </c>
      <c r="B6582" t="s">
        <v>1070</v>
      </c>
      <c r="C6582" t="s">
        <v>5116</v>
      </c>
    </row>
    <row r="6583" spans="1:3">
      <c r="A6583" t="s">
        <v>155</v>
      </c>
      <c r="B6583" t="s">
        <v>1070</v>
      </c>
      <c r="C6583" t="s">
        <v>5115</v>
      </c>
    </row>
    <row r="6584" spans="1:3">
      <c r="A6584" t="s">
        <v>117</v>
      </c>
      <c r="B6584" t="s">
        <v>1075</v>
      </c>
      <c r="C6584" t="s">
        <v>5114</v>
      </c>
    </row>
    <row r="6585" spans="1:3">
      <c r="A6585" t="s">
        <v>117</v>
      </c>
      <c r="B6585" t="s">
        <v>1075</v>
      </c>
      <c r="C6585" t="s">
        <v>5113</v>
      </c>
    </row>
    <row r="6586" spans="1:3">
      <c r="A6586" t="s">
        <v>117</v>
      </c>
      <c r="B6586" t="s">
        <v>1075</v>
      </c>
      <c r="C6586" t="s">
        <v>5112</v>
      </c>
    </row>
    <row r="6587" spans="1:3">
      <c r="A6587" t="s">
        <v>117</v>
      </c>
      <c r="B6587" t="s">
        <v>1075</v>
      </c>
      <c r="C6587" t="s">
        <v>5111</v>
      </c>
    </row>
    <row r="6588" spans="1:3">
      <c r="A6588" t="s">
        <v>117</v>
      </c>
      <c r="B6588" t="s">
        <v>1070</v>
      </c>
      <c r="C6588" t="s">
        <v>5110</v>
      </c>
    </row>
    <row r="6589" spans="1:3">
      <c r="A6589" t="s">
        <v>117</v>
      </c>
      <c r="B6589" t="s">
        <v>1070</v>
      </c>
      <c r="C6589" t="s">
        <v>5109</v>
      </c>
    </row>
    <row r="6590" spans="1:3">
      <c r="A6590" t="s">
        <v>117</v>
      </c>
      <c r="B6590" t="s">
        <v>1070</v>
      </c>
      <c r="C6590" t="s">
        <v>5108</v>
      </c>
    </row>
    <row r="6591" spans="1:3">
      <c r="A6591" t="s">
        <v>117</v>
      </c>
      <c r="B6591" t="s">
        <v>1070</v>
      </c>
      <c r="C6591" t="s">
        <v>5107</v>
      </c>
    </row>
    <row r="6592" spans="1:3">
      <c r="A6592" t="s">
        <v>117</v>
      </c>
      <c r="B6592" t="s">
        <v>1070</v>
      </c>
      <c r="C6592" t="s">
        <v>5106</v>
      </c>
    </row>
    <row r="6593" spans="1:3">
      <c r="A6593" t="s">
        <v>154</v>
      </c>
      <c r="B6593" t="s">
        <v>1075</v>
      </c>
      <c r="C6593" t="s">
        <v>5105</v>
      </c>
    </row>
    <row r="6594" spans="1:3">
      <c r="A6594" t="s">
        <v>154</v>
      </c>
      <c r="B6594" t="s">
        <v>1075</v>
      </c>
      <c r="C6594" t="s">
        <v>5104</v>
      </c>
    </row>
    <row r="6595" spans="1:3">
      <c r="A6595" t="s">
        <v>154</v>
      </c>
      <c r="B6595" t="s">
        <v>1075</v>
      </c>
      <c r="C6595" t="s">
        <v>5103</v>
      </c>
    </row>
    <row r="6596" spans="1:3">
      <c r="A6596" t="s">
        <v>154</v>
      </c>
      <c r="B6596" t="s">
        <v>1070</v>
      </c>
      <c r="C6596" t="s">
        <v>5102</v>
      </c>
    </row>
    <row r="6597" spans="1:3">
      <c r="A6597" t="s">
        <v>137</v>
      </c>
      <c r="B6597" t="s">
        <v>1075</v>
      </c>
      <c r="C6597" t="s">
        <v>5092</v>
      </c>
    </row>
    <row r="6598" spans="1:3">
      <c r="A6598" t="s">
        <v>137</v>
      </c>
      <c r="B6598" t="s">
        <v>1075</v>
      </c>
      <c r="C6598" t="s">
        <v>5091</v>
      </c>
    </row>
    <row r="6599" spans="1:3">
      <c r="A6599" t="s">
        <v>137</v>
      </c>
      <c r="B6599" t="s">
        <v>1075</v>
      </c>
      <c r="C6599" t="s">
        <v>5090</v>
      </c>
    </row>
    <row r="6600" spans="1:3">
      <c r="A6600" t="s">
        <v>137</v>
      </c>
      <c r="B6600" t="s">
        <v>1075</v>
      </c>
      <c r="C6600" t="s">
        <v>5089</v>
      </c>
    </row>
    <row r="6601" spans="1:3">
      <c r="A6601" t="s">
        <v>137</v>
      </c>
      <c r="B6601" t="s">
        <v>1070</v>
      </c>
      <c r="C6601" t="s">
        <v>5088</v>
      </c>
    </row>
    <row r="6602" spans="1:3">
      <c r="A6602" t="s">
        <v>137</v>
      </c>
      <c r="B6602" t="s">
        <v>1070</v>
      </c>
      <c r="C6602" t="s">
        <v>5087</v>
      </c>
    </row>
    <row r="6603" spans="1:3">
      <c r="A6603" t="s">
        <v>137</v>
      </c>
      <c r="B6603" t="s">
        <v>1070</v>
      </c>
      <c r="C6603" t="s">
        <v>5086</v>
      </c>
    </row>
    <row r="6604" spans="1:3">
      <c r="A6604" t="s">
        <v>137</v>
      </c>
      <c r="B6604" t="s">
        <v>1070</v>
      </c>
      <c r="C6604" t="s">
        <v>5085</v>
      </c>
    </row>
    <row r="6605" spans="1:3">
      <c r="A6605" t="s">
        <v>137</v>
      </c>
      <c r="B6605" t="s">
        <v>1070</v>
      </c>
      <c r="C6605" t="s">
        <v>5084</v>
      </c>
    </row>
    <row r="6606" spans="1:3">
      <c r="A6606" t="s">
        <v>111</v>
      </c>
      <c r="B6606" t="s">
        <v>1075</v>
      </c>
      <c r="C6606" t="s">
        <v>5101</v>
      </c>
    </row>
    <row r="6607" spans="1:3">
      <c r="A6607" t="s">
        <v>111</v>
      </c>
      <c r="B6607" t="s">
        <v>1075</v>
      </c>
      <c r="C6607" t="s">
        <v>5100</v>
      </c>
    </row>
    <row r="6608" spans="1:3">
      <c r="A6608" t="s">
        <v>111</v>
      </c>
      <c r="B6608" t="s">
        <v>1075</v>
      </c>
      <c r="C6608" t="s">
        <v>5099</v>
      </c>
    </row>
    <row r="6609" spans="1:3">
      <c r="A6609" t="s">
        <v>111</v>
      </c>
      <c r="B6609" t="s">
        <v>1075</v>
      </c>
      <c r="C6609" t="s">
        <v>5098</v>
      </c>
    </row>
    <row r="6610" spans="1:3">
      <c r="A6610" t="s">
        <v>111</v>
      </c>
      <c r="B6610" t="s">
        <v>1070</v>
      </c>
      <c r="C6610" t="s">
        <v>5097</v>
      </c>
    </row>
    <row r="6611" spans="1:3">
      <c r="A6611" t="s">
        <v>111</v>
      </c>
      <c r="B6611" t="s">
        <v>1070</v>
      </c>
      <c r="C6611" t="s">
        <v>5096</v>
      </c>
    </row>
    <row r="6612" spans="1:3">
      <c r="A6612" t="s">
        <v>111</v>
      </c>
      <c r="B6612" t="s">
        <v>1070</v>
      </c>
      <c r="C6612" t="s">
        <v>5095</v>
      </c>
    </row>
    <row r="6613" spans="1:3">
      <c r="A6613" t="s">
        <v>111</v>
      </c>
      <c r="B6613" t="s">
        <v>1070</v>
      </c>
      <c r="C6613" t="s">
        <v>5094</v>
      </c>
    </row>
    <row r="6614" spans="1:3">
      <c r="A6614" t="s">
        <v>111</v>
      </c>
      <c r="B6614" t="s">
        <v>1070</v>
      </c>
      <c r="C6614" t="s">
        <v>5093</v>
      </c>
    </row>
    <row r="6615" spans="1:3">
      <c r="A6615" t="s">
        <v>136</v>
      </c>
      <c r="B6615" t="s">
        <v>1075</v>
      </c>
      <c r="C6615" t="s">
        <v>5083</v>
      </c>
    </row>
    <row r="6616" spans="1:3">
      <c r="A6616" t="s">
        <v>136</v>
      </c>
      <c r="B6616" t="s">
        <v>1075</v>
      </c>
      <c r="C6616" t="s">
        <v>5082</v>
      </c>
    </row>
    <row r="6617" spans="1:3">
      <c r="A6617" t="s">
        <v>136</v>
      </c>
      <c r="B6617" t="s">
        <v>1075</v>
      </c>
      <c r="C6617" t="s">
        <v>5081</v>
      </c>
    </row>
    <row r="6618" spans="1:3">
      <c r="A6618" t="s">
        <v>136</v>
      </c>
      <c r="B6618" t="s">
        <v>1070</v>
      </c>
      <c r="C6618" t="s">
        <v>5080</v>
      </c>
    </row>
    <row r="6619" spans="1:3">
      <c r="A6619" t="s">
        <v>144</v>
      </c>
      <c r="B6619" t="s">
        <v>1075</v>
      </c>
      <c r="C6619" t="s">
        <v>5079</v>
      </c>
    </row>
    <row r="6620" spans="1:3">
      <c r="A6620" t="s">
        <v>144</v>
      </c>
      <c r="B6620" t="s">
        <v>1075</v>
      </c>
      <c r="C6620" t="s">
        <v>5078</v>
      </c>
    </row>
    <row r="6621" spans="1:3">
      <c r="A6621" t="s">
        <v>144</v>
      </c>
      <c r="B6621" t="s">
        <v>1075</v>
      </c>
      <c r="C6621" t="s">
        <v>5077</v>
      </c>
    </row>
    <row r="6622" spans="1:3">
      <c r="A6622" t="s">
        <v>144</v>
      </c>
      <c r="B6622" t="s">
        <v>1075</v>
      </c>
      <c r="C6622" t="s">
        <v>5076</v>
      </c>
    </row>
    <row r="6623" spans="1:3">
      <c r="A6623" t="s">
        <v>144</v>
      </c>
      <c r="B6623" t="s">
        <v>1070</v>
      </c>
      <c r="C6623" t="s">
        <v>5075</v>
      </c>
    </row>
    <row r="6624" spans="1:3">
      <c r="A6624" t="s">
        <v>144</v>
      </c>
      <c r="B6624" t="s">
        <v>1070</v>
      </c>
      <c r="C6624" t="s">
        <v>5074</v>
      </c>
    </row>
    <row r="6625" spans="1:3">
      <c r="A6625" t="s">
        <v>144</v>
      </c>
      <c r="B6625" t="s">
        <v>1070</v>
      </c>
      <c r="C6625" t="s">
        <v>5073</v>
      </c>
    </row>
    <row r="6626" spans="1:3">
      <c r="A6626" t="s">
        <v>144</v>
      </c>
      <c r="B6626" t="s">
        <v>1070</v>
      </c>
      <c r="C6626" t="s">
        <v>5072</v>
      </c>
    </row>
    <row r="6627" spans="1:3">
      <c r="A6627" t="s">
        <v>144</v>
      </c>
      <c r="B6627" t="s">
        <v>1070</v>
      </c>
      <c r="C6627" t="s">
        <v>5071</v>
      </c>
    </row>
    <row r="6628" spans="1:3">
      <c r="A6628" t="s">
        <v>178</v>
      </c>
      <c r="B6628" t="s">
        <v>1075</v>
      </c>
      <c r="C6628" t="s">
        <v>5070</v>
      </c>
    </row>
    <row r="6629" spans="1:3">
      <c r="A6629" t="s">
        <v>178</v>
      </c>
      <c r="B6629" t="s">
        <v>1075</v>
      </c>
      <c r="C6629" t="s">
        <v>5069</v>
      </c>
    </row>
    <row r="6630" spans="1:3">
      <c r="A6630" t="s">
        <v>178</v>
      </c>
      <c r="B6630" t="s">
        <v>1075</v>
      </c>
      <c r="C6630" t="s">
        <v>5068</v>
      </c>
    </row>
    <row r="6631" spans="1:3">
      <c r="A6631" t="s">
        <v>178</v>
      </c>
      <c r="B6631" t="s">
        <v>1075</v>
      </c>
      <c r="C6631" t="s">
        <v>5067</v>
      </c>
    </row>
    <row r="6632" spans="1:3">
      <c r="A6632" t="s">
        <v>178</v>
      </c>
      <c r="B6632" t="s">
        <v>1070</v>
      </c>
      <c r="C6632" t="s">
        <v>5066</v>
      </c>
    </row>
    <row r="6633" spans="1:3">
      <c r="A6633" t="s">
        <v>178</v>
      </c>
      <c r="B6633" t="s">
        <v>1070</v>
      </c>
      <c r="C6633" t="s">
        <v>5065</v>
      </c>
    </row>
    <row r="6634" spans="1:3">
      <c r="A6634" t="s">
        <v>178</v>
      </c>
      <c r="B6634" t="s">
        <v>1070</v>
      </c>
      <c r="C6634" t="s">
        <v>5064</v>
      </c>
    </row>
    <row r="6635" spans="1:3">
      <c r="A6635" t="s">
        <v>178</v>
      </c>
      <c r="B6635" t="s">
        <v>1070</v>
      </c>
      <c r="C6635" t="s">
        <v>5063</v>
      </c>
    </row>
    <row r="6636" spans="1:3">
      <c r="A6636" t="s">
        <v>178</v>
      </c>
      <c r="B6636" t="s">
        <v>1070</v>
      </c>
      <c r="C6636" t="s">
        <v>5062</v>
      </c>
    </row>
    <row r="6637" spans="1:3">
      <c r="A6637" t="s">
        <v>184</v>
      </c>
      <c r="B6637" t="s">
        <v>1075</v>
      </c>
      <c r="C6637" t="s">
        <v>5061</v>
      </c>
    </row>
    <row r="6638" spans="1:3">
      <c r="A6638" t="s">
        <v>184</v>
      </c>
      <c r="B6638" t="s">
        <v>1075</v>
      </c>
      <c r="C6638" t="s">
        <v>5060</v>
      </c>
    </row>
    <row r="6639" spans="1:3">
      <c r="A6639" t="s">
        <v>184</v>
      </c>
      <c r="B6639" t="s">
        <v>1075</v>
      </c>
      <c r="C6639" t="s">
        <v>5059</v>
      </c>
    </row>
    <row r="6640" spans="1:3">
      <c r="A6640" t="s">
        <v>184</v>
      </c>
      <c r="B6640" t="s">
        <v>1075</v>
      </c>
      <c r="C6640" t="s">
        <v>5058</v>
      </c>
    </row>
    <row r="6641" spans="1:3">
      <c r="A6641" t="s">
        <v>184</v>
      </c>
      <c r="B6641" t="s">
        <v>1070</v>
      </c>
      <c r="C6641" t="s">
        <v>5057</v>
      </c>
    </row>
    <row r="6642" spans="1:3">
      <c r="A6642" t="s">
        <v>95</v>
      </c>
      <c r="B6642" t="s">
        <v>1075</v>
      </c>
      <c r="C6642" t="s">
        <v>5056</v>
      </c>
    </row>
    <row r="6643" spans="1:3">
      <c r="A6643" t="s">
        <v>95</v>
      </c>
      <c r="B6643" t="s">
        <v>1075</v>
      </c>
      <c r="C6643" t="s">
        <v>5055</v>
      </c>
    </row>
    <row r="6644" spans="1:3">
      <c r="A6644" t="s">
        <v>95</v>
      </c>
      <c r="B6644" t="s">
        <v>1075</v>
      </c>
      <c r="C6644" t="s">
        <v>5054</v>
      </c>
    </row>
    <row r="6645" spans="1:3">
      <c r="A6645" t="s">
        <v>95</v>
      </c>
      <c r="B6645" t="s">
        <v>1070</v>
      </c>
      <c r="C6645" t="s">
        <v>5053</v>
      </c>
    </row>
    <row r="6646" spans="1:3">
      <c r="A6646" t="s">
        <v>171</v>
      </c>
      <c r="B6646" t="s">
        <v>1075</v>
      </c>
      <c r="C6646" t="s">
        <v>5052</v>
      </c>
    </row>
    <row r="6647" spans="1:3">
      <c r="A6647" t="s">
        <v>171</v>
      </c>
      <c r="B6647" t="s">
        <v>1075</v>
      </c>
      <c r="C6647" t="s">
        <v>5051</v>
      </c>
    </row>
    <row r="6648" spans="1:3">
      <c r="A6648" t="s">
        <v>171</v>
      </c>
      <c r="B6648" t="s">
        <v>1075</v>
      </c>
      <c r="C6648" t="s">
        <v>5050</v>
      </c>
    </row>
    <row r="6649" spans="1:3">
      <c r="A6649" t="s">
        <v>171</v>
      </c>
      <c r="B6649" t="s">
        <v>1075</v>
      </c>
      <c r="C6649" t="s">
        <v>5049</v>
      </c>
    </row>
    <row r="6650" spans="1:3">
      <c r="A6650" t="s">
        <v>171</v>
      </c>
      <c r="B6650" t="s">
        <v>1070</v>
      </c>
      <c r="C6650" t="s">
        <v>5048</v>
      </c>
    </row>
    <row r="6651" spans="1:3">
      <c r="A6651" t="s">
        <v>171</v>
      </c>
      <c r="B6651" t="s">
        <v>1070</v>
      </c>
      <c r="C6651" t="s">
        <v>5047</v>
      </c>
    </row>
    <row r="6652" spans="1:3">
      <c r="A6652" t="s">
        <v>171</v>
      </c>
      <c r="B6652" t="s">
        <v>1070</v>
      </c>
      <c r="C6652" t="s">
        <v>5046</v>
      </c>
    </row>
    <row r="6653" spans="1:3">
      <c r="A6653" t="s">
        <v>171</v>
      </c>
      <c r="B6653" t="s">
        <v>1070</v>
      </c>
      <c r="C6653" t="s">
        <v>5045</v>
      </c>
    </row>
    <row r="6654" spans="1:3">
      <c r="A6654" t="s">
        <v>171</v>
      </c>
      <c r="B6654" t="s">
        <v>1070</v>
      </c>
      <c r="C6654" t="s">
        <v>5044</v>
      </c>
    </row>
    <row r="6655" spans="1:3">
      <c r="A6655" t="s">
        <v>170</v>
      </c>
      <c r="B6655" t="s">
        <v>1075</v>
      </c>
      <c r="C6655" t="s">
        <v>5043</v>
      </c>
    </row>
    <row r="6656" spans="1:3">
      <c r="A6656" t="s">
        <v>170</v>
      </c>
      <c r="B6656" t="s">
        <v>1075</v>
      </c>
      <c r="C6656" t="s">
        <v>5042</v>
      </c>
    </row>
    <row r="6657" spans="1:3">
      <c r="A6657" t="s">
        <v>170</v>
      </c>
      <c r="B6657" t="s">
        <v>1075</v>
      </c>
      <c r="C6657" t="s">
        <v>5041</v>
      </c>
    </row>
    <row r="6658" spans="1:3">
      <c r="A6658" t="s">
        <v>170</v>
      </c>
      <c r="B6658" t="s">
        <v>1075</v>
      </c>
      <c r="C6658" t="s">
        <v>5040</v>
      </c>
    </row>
    <row r="6659" spans="1:3">
      <c r="A6659" t="s">
        <v>170</v>
      </c>
      <c r="B6659" t="s">
        <v>1070</v>
      </c>
      <c r="C6659" t="s">
        <v>5039</v>
      </c>
    </row>
    <row r="6660" spans="1:3">
      <c r="A6660" t="s">
        <v>149</v>
      </c>
      <c r="B6660" t="s">
        <v>1075</v>
      </c>
      <c r="C6660" t="s">
        <v>5038</v>
      </c>
    </row>
    <row r="6661" spans="1:3">
      <c r="A6661" t="s">
        <v>149</v>
      </c>
      <c r="B6661" t="s">
        <v>1075</v>
      </c>
      <c r="C6661" t="s">
        <v>5037</v>
      </c>
    </row>
    <row r="6662" spans="1:3">
      <c r="A6662" t="s">
        <v>149</v>
      </c>
      <c r="B6662" t="s">
        <v>1075</v>
      </c>
      <c r="C6662" t="s">
        <v>5036</v>
      </c>
    </row>
    <row r="6663" spans="1:3">
      <c r="A6663" t="s">
        <v>149</v>
      </c>
      <c r="B6663" t="s">
        <v>1075</v>
      </c>
      <c r="C6663" t="s">
        <v>5035</v>
      </c>
    </row>
    <row r="6664" spans="1:3">
      <c r="A6664" t="s">
        <v>149</v>
      </c>
      <c r="B6664" t="s">
        <v>1070</v>
      </c>
      <c r="C6664" t="s">
        <v>5034</v>
      </c>
    </row>
    <row r="6665" spans="1:3">
      <c r="A6665" t="s">
        <v>149</v>
      </c>
      <c r="B6665" t="s">
        <v>1070</v>
      </c>
      <c r="C6665" t="s">
        <v>5033</v>
      </c>
    </row>
    <row r="6666" spans="1:3">
      <c r="A6666" t="s">
        <v>149</v>
      </c>
      <c r="B6666" t="s">
        <v>1070</v>
      </c>
      <c r="C6666" t="s">
        <v>5032</v>
      </c>
    </row>
    <row r="6667" spans="1:3">
      <c r="A6667" t="s">
        <v>149</v>
      </c>
      <c r="B6667" t="s">
        <v>1070</v>
      </c>
      <c r="C6667" t="s">
        <v>5031</v>
      </c>
    </row>
    <row r="6668" spans="1:3">
      <c r="A6668" t="s">
        <v>149</v>
      </c>
      <c r="B6668" t="s">
        <v>1070</v>
      </c>
      <c r="C6668" t="s">
        <v>5030</v>
      </c>
    </row>
    <row r="6669" spans="1:3">
      <c r="A6669" t="s">
        <v>150</v>
      </c>
      <c r="B6669" t="s">
        <v>1075</v>
      </c>
      <c r="C6669" t="s">
        <v>5029</v>
      </c>
    </row>
    <row r="6670" spans="1:3">
      <c r="A6670" t="s">
        <v>150</v>
      </c>
      <c r="B6670" t="s">
        <v>1075</v>
      </c>
      <c r="C6670" t="s">
        <v>5028</v>
      </c>
    </row>
    <row r="6671" spans="1:3">
      <c r="A6671" t="s">
        <v>150</v>
      </c>
      <c r="B6671" t="s">
        <v>1075</v>
      </c>
      <c r="C6671" t="s">
        <v>5027</v>
      </c>
    </row>
    <row r="6672" spans="1:3">
      <c r="A6672" t="s">
        <v>150</v>
      </c>
      <c r="B6672" t="s">
        <v>1075</v>
      </c>
      <c r="C6672" t="s">
        <v>5026</v>
      </c>
    </row>
    <row r="6673" spans="1:3">
      <c r="A6673" t="s">
        <v>150</v>
      </c>
      <c r="B6673" t="s">
        <v>1070</v>
      </c>
      <c r="C6673" t="s">
        <v>5025</v>
      </c>
    </row>
    <row r="6674" spans="1:3">
      <c r="A6674" t="s">
        <v>150</v>
      </c>
      <c r="B6674" t="s">
        <v>1070</v>
      </c>
      <c r="C6674" t="s">
        <v>5024</v>
      </c>
    </row>
    <row r="6675" spans="1:3">
      <c r="A6675" t="s">
        <v>150</v>
      </c>
      <c r="B6675" t="s">
        <v>1070</v>
      </c>
      <c r="C6675" t="s">
        <v>5023</v>
      </c>
    </row>
    <row r="6676" spans="1:3">
      <c r="A6676" t="s">
        <v>150</v>
      </c>
      <c r="B6676" t="s">
        <v>1070</v>
      </c>
      <c r="C6676" t="s">
        <v>5022</v>
      </c>
    </row>
    <row r="6677" spans="1:3">
      <c r="A6677" t="s">
        <v>150</v>
      </c>
      <c r="B6677" t="s">
        <v>1070</v>
      </c>
      <c r="C6677" t="s">
        <v>5021</v>
      </c>
    </row>
    <row r="6678" spans="1:3">
      <c r="A6678" t="s">
        <v>146</v>
      </c>
      <c r="B6678" t="s">
        <v>1075</v>
      </c>
      <c r="C6678" t="s">
        <v>5020</v>
      </c>
    </row>
    <row r="6679" spans="1:3">
      <c r="A6679" t="s">
        <v>146</v>
      </c>
      <c r="B6679" t="s">
        <v>1075</v>
      </c>
      <c r="C6679" t="s">
        <v>5019</v>
      </c>
    </row>
    <row r="6680" spans="1:3">
      <c r="A6680" t="s">
        <v>146</v>
      </c>
      <c r="B6680" t="s">
        <v>1075</v>
      </c>
      <c r="C6680" t="s">
        <v>5018</v>
      </c>
    </row>
    <row r="6681" spans="1:3">
      <c r="A6681" t="s">
        <v>146</v>
      </c>
      <c r="B6681" t="s">
        <v>1075</v>
      </c>
      <c r="C6681" t="s">
        <v>5017</v>
      </c>
    </row>
    <row r="6682" spans="1:3">
      <c r="A6682" t="s">
        <v>146</v>
      </c>
      <c r="B6682" t="s">
        <v>1070</v>
      </c>
      <c r="C6682" t="s">
        <v>5016</v>
      </c>
    </row>
    <row r="6683" spans="1:3">
      <c r="A6683" t="s">
        <v>146</v>
      </c>
      <c r="B6683" t="s">
        <v>1070</v>
      </c>
      <c r="C6683" t="s">
        <v>5015</v>
      </c>
    </row>
    <row r="6684" spans="1:3">
      <c r="A6684" t="s">
        <v>146</v>
      </c>
      <c r="B6684" t="s">
        <v>1070</v>
      </c>
      <c r="C6684" t="s">
        <v>5014</v>
      </c>
    </row>
    <row r="6685" spans="1:3">
      <c r="A6685" t="s">
        <v>146</v>
      </c>
      <c r="B6685" t="s">
        <v>1070</v>
      </c>
      <c r="C6685" t="s">
        <v>5013</v>
      </c>
    </row>
    <row r="6686" spans="1:3">
      <c r="A6686" t="s">
        <v>146</v>
      </c>
      <c r="B6686" t="s">
        <v>1070</v>
      </c>
      <c r="C6686" t="s">
        <v>5012</v>
      </c>
    </row>
    <row r="6687" spans="1:3">
      <c r="A6687" t="s">
        <v>189</v>
      </c>
      <c r="B6687" t="s">
        <v>1075</v>
      </c>
      <c r="C6687" t="s">
        <v>5011</v>
      </c>
    </row>
    <row r="6688" spans="1:3">
      <c r="A6688" t="s">
        <v>189</v>
      </c>
      <c r="B6688" t="s">
        <v>1075</v>
      </c>
      <c r="C6688" t="s">
        <v>5010</v>
      </c>
    </row>
    <row r="6689" spans="1:3">
      <c r="A6689" t="s">
        <v>189</v>
      </c>
      <c r="B6689" t="s">
        <v>1075</v>
      </c>
      <c r="C6689" t="s">
        <v>5009</v>
      </c>
    </row>
    <row r="6690" spans="1:3">
      <c r="A6690" t="s">
        <v>189</v>
      </c>
      <c r="B6690" t="s">
        <v>1075</v>
      </c>
      <c r="C6690" t="s">
        <v>5008</v>
      </c>
    </row>
    <row r="6691" spans="1:3">
      <c r="A6691" t="s">
        <v>189</v>
      </c>
      <c r="B6691" t="s">
        <v>1070</v>
      </c>
      <c r="C6691" t="s">
        <v>5007</v>
      </c>
    </row>
    <row r="6692" spans="1:3">
      <c r="A6692" t="s">
        <v>189</v>
      </c>
      <c r="B6692" t="s">
        <v>1070</v>
      </c>
      <c r="C6692" t="s">
        <v>5006</v>
      </c>
    </row>
    <row r="6693" spans="1:3">
      <c r="A6693" t="s">
        <v>189</v>
      </c>
      <c r="B6693" t="s">
        <v>1070</v>
      </c>
      <c r="C6693" t="s">
        <v>5005</v>
      </c>
    </row>
    <row r="6694" spans="1:3">
      <c r="A6694" t="s">
        <v>189</v>
      </c>
      <c r="B6694" t="s">
        <v>1070</v>
      </c>
      <c r="C6694" t="s">
        <v>5004</v>
      </c>
    </row>
    <row r="6695" spans="1:3">
      <c r="A6695" t="s">
        <v>189</v>
      </c>
      <c r="B6695" t="s">
        <v>1070</v>
      </c>
      <c r="C6695" t="s">
        <v>5003</v>
      </c>
    </row>
    <row r="6696" spans="1:3">
      <c r="A6696" t="s">
        <v>175</v>
      </c>
      <c r="B6696" t="s">
        <v>1075</v>
      </c>
      <c r="C6696" t="s">
        <v>5002</v>
      </c>
    </row>
    <row r="6697" spans="1:3">
      <c r="A6697" t="s">
        <v>175</v>
      </c>
      <c r="B6697" t="s">
        <v>1075</v>
      </c>
      <c r="C6697" t="s">
        <v>5001</v>
      </c>
    </row>
    <row r="6698" spans="1:3">
      <c r="A6698" t="s">
        <v>175</v>
      </c>
      <c r="B6698" t="s">
        <v>1075</v>
      </c>
      <c r="C6698" t="s">
        <v>5000</v>
      </c>
    </row>
    <row r="6699" spans="1:3">
      <c r="A6699" t="s">
        <v>175</v>
      </c>
      <c r="B6699" t="s">
        <v>1075</v>
      </c>
      <c r="C6699" t="s">
        <v>4999</v>
      </c>
    </row>
    <row r="6700" spans="1:3">
      <c r="A6700" t="s">
        <v>175</v>
      </c>
      <c r="B6700" t="s">
        <v>1070</v>
      </c>
      <c r="C6700" t="s">
        <v>4998</v>
      </c>
    </row>
    <row r="6701" spans="1:3">
      <c r="A6701" t="s">
        <v>175</v>
      </c>
      <c r="B6701" t="s">
        <v>1070</v>
      </c>
      <c r="C6701" t="s">
        <v>4997</v>
      </c>
    </row>
    <row r="6702" spans="1:3">
      <c r="A6702" t="s">
        <v>175</v>
      </c>
      <c r="B6702" t="s">
        <v>1070</v>
      </c>
      <c r="C6702" t="s">
        <v>4996</v>
      </c>
    </row>
    <row r="6703" spans="1:3">
      <c r="A6703" t="s">
        <v>175</v>
      </c>
      <c r="B6703" t="s">
        <v>1070</v>
      </c>
      <c r="C6703" t="s">
        <v>4995</v>
      </c>
    </row>
    <row r="6704" spans="1:3">
      <c r="A6704" t="s">
        <v>175</v>
      </c>
      <c r="B6704" t="s">
        <v>1070</v>
      </c>
      <c r="C6704" t="s">
        <v>4994</v>
      </c>
    </row>
    <row r="6705" spans="1:3">
      <c r="A6705" t="s">
        <v>176</v>
      </c>
      <c r="B6705" t="s">
        <v>1075</v>
      </c>
      <c r="C6705" t="s">
        <v>4993</v>
      </c>
    </row>
    <row r="6706" spans="1:3">
      <c r="A6706" t="s">
        <v>176</v>
      </c>
      <c r="B6706" t="s">
        <v>1075</v>
      </c>
      <c r="C6706" t="s">
        <v>4992</v>
      </c>
    </row>
    <row r="6707" spans="1:3">
      <c r="A6707" t="s">
        <v>176</v>
      </c>
      <c r="B6707" t="s">
        <v>1075</v>
      </c>
      <c r="C6707" t="s">
        <v>4991</v>
      </c>
    </row>
    <row r="6708" spans="1:3">
      <c r="A6708" t="s">
        <v>176</v>
      </c>
      <c r="B6708" t="s">
        <v>1075</v>
      </c>
      <c r="C6708" t="s">
        <v>4990</v>
      </c>
    </row>
    <row r="6709" spans="1:3">
      <c r="A6709" t="s">
        <v>176</v>
      </c>
      <c r="B6709" t="s">
        <v>1070</v>
      </c>
      <c r="C6709" t="s">
        <v>4989</v>
      </c>
    </row>
    <row r="6710" spans="1:3">
      <c r="A6710" t="s">
        <v>176</v>
      </c>
      <c r="B6710" t="s">
        <v>1070</v>
      </c>
      <c r="C6710" t="s">
        <v>4988</v>
      </c>
    </row>
    <row r="6711" spans="1:3">
      <c r="A6711" t="s">
        <v>176</v>
      </c>
      <c r="B6711" t="s">
        <v>1070</v>
      </c>
      <c r="C6711" t="s">
        <v>4987</v>
      </c>
    </row>
    <row r="6712" spans="1:3">
      <c r="A6712" t="s">
        <v>176</v>
      </c>
      <c r="B6712" t="s">
        <v>1070</v>
      </c>
      <c r="C6712" t="s">
        <v>4986</v>
      </c>
    </row>
    <row r="6713" spans="1:3">
      <c r="A6713" t="s">
        <v>176</v>
      </c>
      <c r="B6713" t="s">
        <v>1070</v>
      </c>
      <c r="C6713" t="s">
        <v>4985</v>
      </c>
    </row>
    <row r="6714" spans="1:3">
      <c r="A6714" t="s">
        <v>177</v>
      </c>
      <c r="B6714" t="s">
        <v>1075</v>
      </c>
      <c r="C6714" t="s">
        <v>4984</v>
      </c>
    </row>
    <row r="6715" spans="1:3">
      <c r="A6715" t="s">
        <v>177</v>
      </c>
      <c r="B6715" t="s">
        <v>1075</v>
      </c>
      <c r="C6715" t="s">
        <v>4983</v>
      </c>
    </row>
    <row r="6716" spans="1:3">
      <c r="A6716" t="s">
        <v>177</v>
      </c>
      <c r="B6716" t="s">
        <v>1075</v>
      </c>
      <c r="C6716" t="s">
        <v>4982</v>
      </c>
    </row>
    <row r="6717" spans="1:3">
      <c r="A6717" t="s">
        <v>177</v>
      </c>
      <c r="B6717" t="s">
        <v>1075</v>
      </c>
      <c r="C6717" t="s">
        <v>4981</v>
      </c>
    </row>
    <row r="6718" spans="1:3">
      <c r="A6718" t="s">
        <v>177</v>
      </c>
      <c r="B6718" t="s">
        <v>1070</v>
      </c>
      <c r="C6718" t="s">
        <v>4980</v>
      </c>
    </row>
    <row r="6719" spans="1:3">
      <c r="A6719" t="s">
        <v>177</v>
      </c>
      <c r="B6719" t="s">
        <v>1070</v>
      </c>
      <c r="C6719" t="s">
        <v>4979</v>
      </c>
    </row>
    <row r="6720" spans="1:3">
      <c r="A6720" t="s">
        <v>177</v>
      </c>
      <c r="B6720" t="s">
        <v>1070</v>
      </c>
      <c r="C6720" t="s">
        <v>4978</v>
      </c>
    </row>
    <row r="6721" spans="1:3">
      <c r="A6721" t="s">
        <v>177</v>
      </c>
      <c r="B6721" t="s">
        <v>1070</v>
      </c>
      <c r="C6721" t="s">
        <v>4977</v>
      </c>
    </row>
    <row r="6722" spans="1:3">
      <c r="A6722" t="s">
        <v>177</v>
      </c>
      <c r="B6722" t="s">
        <v>1070</v>
      </c>
      <c r="C6722" t="s">
        <v>4976</v>
      </c>
    </row>
    <row r="6723" spans="1:3">
      <c r="A6723" t="s">
        <v>103</v>
      </c>
      <c r="B6723" t="s">
        <v>1075</v>
      </c>
      <c r="C6723" t="s">
        <v>4975</v>
      </c>
    </row>
    <row r="6724" spans="1:3">
      <c r="A6724" t="s">
        <v>103</v>
      </c>
      <c r="B6724" t="s">
        <v>1075</v>
      </c>
      <c r="C6724" t="s">
        <v>4974</v>
      </c>
    </row>
    <row r="6725" spans="1:3">
      <c r="A6725" t="s">
        <v>103</v>
      </c>
      <c r="B6725" t="s">
        <v>1075</v>
      </c>
      <c r="C6725" t="s">
        <v>4973</v>
      </c>
    </row>
    <row r="6726" spans="1:3">
      <c r="A6726" t="s">
        <v>103</v>
      </c>
      <c r="B6726" t="s">
        <v>1070</v>
      </c>
      <c r="C6726" t="s">
        <v>4972</v>
      </c>
    </row>
    <row r="6727" spans="1:3">
      <c r="A6727" t="s">
        <v>122</v>
      </c>
      <c r="B6727" t="s">
        <v>1075</v>
      </c>
      <c r="C6727" t="s">
        <v>4971</v>
      </c>
    </row>
    <row r="6728" spans="1:3">
      <c r="A6728" t="s">
        <v>122</v>
      </c>
      <c r="B6728" t="s">
        <v>1075</v>
      </c>
      <c r="C6728" t="s">
        <v>4970</v>
      </c>
    </row>
    <row r="6729" spans="1:3">
      <c r="A6729" t="s">
        <v>122</v>
      </c>
      <c r="B6729" t="s">
        <v>1075</v>
      </c>
      <c r="C6729" t="s">
        <v>4969</v>
      </c>
    </row>
    <row r="6730" spans="1:3">
      <c r="A6730" t="s">
        <v>122</v>
      </c>
      <c r="B6730" t="s">
        <v>1070</v>
      </c>
      <c r="C6730" t="s">
        <v>4968</v>
      </c>
    </row>
    <row r="6731" spans="1:3">
      <c r="A6731" t="s">
        <v>622</v>
      </c>
      <c r="B6731" t="s">
        <v>1075</v>
      </c>
      <c r="C6731" t="s">
        <v>4967</v>
      </c>
    </row>
    <row r="6732" spans="1:3">
      <c r="A6732" t="s">
        <v>622</v>
      </c>
      <c r="B6732" t="s">
        <v>1075</v>
      </c>
      <c r="C6732" t="s">
        <v>4966</v>
      </c>
    </row>
    <row r="6733" spans="1:3">
      <c r="A6733" t="s">
        <v>622</v>
      </c>
      <c r="B6733" t="s">
        <v>1075</v>
      </c>
      <c r="C6733" t="s">
        <v>4965</v>
      </c>
    </row>
    <row r="6734" spans="1:3">
      <c r="A6734" t="s">
        <v>622</v>
      </c>
      <c r="B6734" t="s">
        <v>1075</v>
      </c>
      <c r="C6734" t="s">
        <v>4964</v>
      </c>
    </row>
    <row r="6735" spans="1:3">
      <c r="A6735" t="s">
        <v>622</v>
      </c>
      <c r="B6735" t="s">
        <v>1070</v>
      </c>
      <c r="C6735" t="s">
        <v>4963</v>
      </c>
    </row>
    <row r="6736" spans="1:3">
      <c r="A6736" t="s">
        <v>622</v>
      </c>
      <c r="B6736" t="s">
        <v>1070</v>
      </c>
      <c r="C6736" t="s">
        <v>4962</v>
      </c>
    </row>
    <row r="6737" spans="1:3">
      <c r="A6737" t="s">
        <v>622</v>
      </c>
      <c r="B6737" t="s">
        <v>1070</v>
      </c>
      <c r="C6737" t="s">
        <v>4961</v>
      </c>
    </row>
    <row r="6738" spans="1:3">
      <c r="A6738" t="s">
        <v>622</v>
      </c>
      <c r="B6738" t="s">
        <v>1070</v>
      </c>
      <c r="C6738" t="s">
        <v>4960</v>
      </c>
    </row>
    <row r="6739" spans="1:3">
      <c r="A6739" t="s">
        <v>622</v>
      </c>
      <c r="B6739" t="s">
        <v>1070</v>
      </c>
      <c r="C6739" t="s">
        <v>4959</v>
      </c>
    </row>
    <row r="6740" spans="1:3">
      <c r="A6740" t="s">
        <v>623</v>
      </c>
      <c r="B6740" t="s">
        <v>1075</v>
      </c>
      <c r="C6740" t="s">
        <v>4958</v>
      </c>
    </row>
    <row r="6741" spans="1:3">
      <c r="A6741" t="s">
        <v>623</v>
      </c>
      <c r="B6741" t="s">
        <v>1075</v>
      </c>
      <c r="C6741" t="s">
        <v>4957</v>
      </c>
    </row>
    <row r="6742" spans="1:3">
      <c r="A6742" t="s">
        <v>623</v>
      </c>
      <c r="B6742" t="s">
        <v>1075</v>
      </c>
      <c r="C6742" t="s">
        <v>4956</v>
      </c>
    </row>
    <row r="6743" spans="1:3">
      <c r="A6743" t="s">
        <v>623</v>
      </c>
      <c r="B6743" t="s">
        <v>1075</v>
      </c>
      <c r="C6743" t="s">
        <v>4955</v>
      </c>
    </row>
    <row r="6744" spans="1:3">
      <c r="A6744" t="s">
        <v>623</v>
      </c>
      <c r="B6744" t="s">
        <v>1070</v>
      </c>
      <c r="C6744" t="s">
        <v>4954</v>
      </c>
    </row>
    <row r="6745" spans="1:3">
      <c r="A6745" t="s">
        <v>624</v>
      </c>
      <c r="B6745" t="s">
        <v>1075</v>
      </c>
      <c r="C6745" t="s">
        <v>4953</v>
      </c>
    </row>
    <row r="6746" spans="1:3">
      <c r="A6746" t="s">
        <v>624</v>
      </c>
      <c r="B6746" t="s">
        <v>1075</v>
      </c>
      <c r="C6746" t="s">
        <v>4952</v>
      </c>
    </row>
    <row r="6747" spans="1:3">
      <c r="A6747" t="s">
        <v>624</v>
      </c>
      <c r="B6747" t="s">
        <v>1075</v>
      </c>
      <c r="C6747" t="s">
        <v>4951</v>
      </c>
    </row>
    <row r="6748" spans="1:3">
      <c r="A6748" t="s">
        <v>624</v>
      </c>
      <c r="B6748" t="s">
        <v>1075</v>
      </c>
      <c r="C6748" t="s">
        <v>4950</v>
      </c>
    </row>
    <row r="6749" spans="1:3">
      <c r="A6749" t="s">
        <v>624</v>
      </c>
      <c r="B6749" t="s">
        <v>1070</v>
      </c>
      <c r="C6749" t="s">
        <v>4949</v>
      </c>
    </row>
    <row r="6750" spans="1:3">
      <c r="A6750" t="s">
        <v>624</v>
      </c>
      <c r="B6750" t="s">
        <v>1070</v>
      </c>
      <c r="C6750" t="s">
        <v>4948</v>
      </c>
    </row>
    <row r="6751" spans="1:3">
      <c r="A6751" t="s">
        <v>624</v>
      </c>
      <c r="B6751" t="s">
        <v>1070</v>
      </c>
      <c r="C6751" t="s">
        <v>4947</v>
      </c>
    </row>
    <row r="6752" spans="1:3">
      <c r="A6752" t="s">
        <v>624</v>
      </c>
      <c r="B6752" t="s">
        <v>1070</v>
      </c>
      <c r="C6752" t="s">
        <v>4946</v>
      </c>
    </row>
    <row r="6753" spans="1:3">
      <c r="A6753" t="s">
        <v>624</v>
      </c>
      <c r="B6753" t="s">
        <v>1070</v>
      </c>
      <c r="C6753" t="s">
        <v>4945</v>
      </c>
    </row>
    <row r="6754" spans="1:3">
      <c r="A6754" t="s">
        <v>621</v>
      </c>
      <c r="B6754" t="s">
        <v>1075</v>
      </c>
      <c r="C6754" t="s">
        <v>4944</v>
      </c>
    </row>
    <row r="6755" spans="1:3">
      <c r="A6755" t="s">
        <v>621</v>
      </c>
      <c r="B6755" t="s">
        <v>1075</v>
      </c>
      <c r="C6755" t="s">
        <v>4943</v>
      </c>
    </row>
    <row r="6756" spans="1:3">
      <c r="A6756" t="s">
        <v>621</v>
      </c>
      <c r="B6756" t="s">
        <v>1075</v>
      </c>
      <c r="C6756" t="s">
        <v>4942</v>
      </c>
    </row>
    <row r="6757" spans="1:3">
      <c r="A6757" t="s">
        <v>621</v>
      </c>
      <c r="B6757" t="s">
        <v>1070</v>
      </c>
      <c r="C6757" t="s">
        <v>4941</v>
      </c>
    </row>
    <row r="6758" spans="1:3">
      <c r="A6758" t="s">
        <v>625</v>
      </c>
      <c r="B6758" t="s">
        <v>1075</v>
      </c>
      <c r="C6758" t="s">
        <v>4940</v>
      </c>
    </row>
    <row r="6759" spans="1:3">
      <c r="A6759" t="s">
        <v>625</v>
      </c>
      <c r="B6759" t="s">
        <v>1075</v>
      </c>
      <c r="C6759" t="s">
        <v>4939</v>
      </c>
    </row>
    <row r="6760" spans="1:3">
      <c r="A6760" t="s">
        <v>625</v>
      </c>
      <c r="B6760" t="s">
        <v>1075</v>
      </c>
      <c r="C6760" t="s">
        <v>4938</v>
      </c>
    </row>
    <row r="6761" spans="1:3">
      <c r="A6761" t="s">
        <v>625</v>
      </c>
      <c r="B6761" t="s">
        <v>1075</v>
      </c>
      <c r="C6761" t="s">
        <v>4937</v>
      </c>
    </row>
    <row r="6762" spans="1:3">
      <c r="A6762" t="s">
        <v>625</v>
      </c>
      <c r="B6762" t="s">
        <v>1070</v>
      </c>
      <c r="C6762" t="s">
        <v>4936</v>
      </c>
    </row>
    <row r="6763" spans="1:3">
      <c r="A6763" t="s">
        <v>625</v>
      </c>
      <c r="B6763" t="s">
        <v>1070</v>
      </c>
      <c r="C6763" t="s">
        <v>4935</v>
      </c>
    </row>
    <row r="6764" spans="1:3">
      <c r="A6764" t="s">
        <v>625</v>
      </c>
      <c r="B6764" t="s">
        <v>1070</v>
      </c>
      <c r="C6764" t="s">
        <v>4934</v>
      </c>
    </row>
    <row r="6765" spans="1:3">
      <c r="A6765" t="s">
        <v>625</v>
      </c>
      <c r="B6765" t="s">
        <v>1070</v>
      </c>
      <c r="C6765" t="s">
        <v>4933</v>
      </c>
    </row>
    <row r="6766" spans="1:3">
      <c r="A6766" t="s">
        <v>625</v>
      </c>
      <c r="B6766" t="s">
        <v>1070</v>
      </c>
      <c r="C6766" t="s">
        <v>4932</v>
      </c>
    </row>
    <row r="6767" spans="1:3">
      <c r="A6767" t="s">
        <v>166</v>
      </c>
      <c r="B6767" t="s">
        <v>1075</v>
      </c>
      <c r="C6767" t="s">
        <v>4931</v>
      </c>
    </row>
    <row r="6768" spans="1:3">
      <c r="A6768" t="s">
        <v>166</v>
      </c>
      <c r="B6768" t="s">
        <v>1075</v>
      </c>
      <c r="C6768" t="s">
        <v>4930</v>
      </c>
    </row>
    <row r="6769" spans="1:3">
      <c r="A6769" t="s">
        <v>166</v>
      </c>
      <c r="B6769" t="s">
        <v>1075</v>
      </c>
      <c r="C6769" t="s">
        <v>4929</v>
      </c>
    </row>
    <row r="6770" spans="1:3">
      <c r="A6770" t="s">
        <v>166</v>
      </c>
      <c r="B6770" t="s">
        <v>1075</v>
      </c>
      <c r="C6770" t="s">
        <v>4928</v>
      </c>
    </row>
    <row r="6771" spans="1:3">
      <c r="A6771" t="s">
        <v>166</v>
      </c>
      <c r="B6771" t="s">
        <v>1070</v>
      </c>
      <c r="C6771" t="s">
        <v>4927</v>
      </c>
    </row>
    <row r="6772" spans="1:3">
      <c r="A6772" t="s">
        <v>166</v>
      </c>
      <c r="B6772" t="s">
        <v>1070</v>
      </c>
      <c r="C6772" t="s">
        <v>4926</v>
      </c>
    </row>
    <row r="6773" spans="1:3">
      <c r="A6773" t="s">
        <v>166</v>
      </c>
      <c r="B6773" t="s">
        <v>1070</v>
      </c>
      <c r="C6773" t="s">
        <v>4925</v>
      </c>
    </row>
    <row r="6774" spans="1:3">
      <c r="A6774" t="s">
        <v>166</v>
      </c>
      <c r="B6774" t="s">
        <v>1070</v>
      </c>
      <c r="C6774" t="s">
        <v>4924</v>
      </c>
    </row>
    <row r="6775" spans="1:3">
      <c r="A6775" t="s">
        <v>166</v>
      </c>
      <c r="B6775" t="s">
        <v>1070</v>
      </c>
      <c r="C6775" t="s">
        <v>4923</v>
      </c>
    </row>
    <row r="6776" spans="1:3">
      <c r="A6776" t="s">
        <v>165</v>
      </c>
      <c r="B6776" t="s">
        <v>1075</v>
      </c>
      <c r="C6776" t="s">
        <v>4922</v>
      </c>
    </row>
    <row r="6777" spans="1:3">
      <c r="A6777" t="s">
        <v>165</v>
      </c>
      <c r="B6777" t="s">
        <v>1075</v>
      </c>
      <c r="C6777" t="s">
        <v>4921</v>
      </c>
    </row>
    <row r="6778" spans="1:3">
      <c r="A6778" t="s">
        <v>165</v>
      </c>
      <c r="B6778" t="s">
        <v>1075</v>
      </c>
      <c r="C6778" t="s">
        <v>4920</v>
      </c>
    </row>
    <row r="6779" spans="1:3">
      <c r="A6779" t="s">
        <v>165</v>
      </c>
      <c r="B6779" t="s">
        <v>1075</v>
      </c>
      <c r="C6779" t="s">
        <v>4919</v>
      </c>
    </row>
    <row r="6780" spans="1:3">
      <c r="A6780" t="s">
        <v>165</v>
      </c>
      <c r="B6780" t="s">
        <v>1070</v>
      </c>
      <c r="C6780" t="s">
        <v>4918</v>
      </c>
    </row>
    <row r="6781" spans="1:3">
      <c r="A6781" t="s">
        <v>165</v>
      </c>
      <c r="B6781" t="s">
        <v>1070</v>
      </c>
      <c r="C6781" t="s">
        <v>4917</v>
      </c>
    </row>
    <row r="6782" spans="1:3">
      <c r="A6782" t="s">
        <v>165</v>
      </c>
      <c r="B6782" t="s">
        <v>1070</v>
      </c>
      <c r="C6782" t="s">
        <v>4916</v>
      </c>
    </row>
    <row r="6783" spans="1:3">
      <c r="A6783" t="s">
        <v>165</v>
      </c>
      <c r="B6783" t="s">
        <v>1070</v>
      </c>
      <c r="C6783" t="s">
        <v>4915</v>
      </c>
    </row>
    <row r="6784" spans="1:3">
      <c r="A6784" t="s">
        <v>165</v>
      </c>
      <c r="B6784" t="s">
        <v>1070</v>
      </c>
      <c r="C6784" t="s">
        <v>4914</v>
      </c>
    </row>
    <row r="6785" spans="1:3">
      <c r="A6785" t="s">
        <v>169</v>
      </c>
      <c r="B6785" t="s">
        <v>1075</v>
      </c>
      <c r="C6785" t="s">
        <v>4913</v>
      </c>
    </row>
    <row r="6786" spans="1:3">
      <c r="A6786" t="s">
        <v>169</v>
      </c>
      <c r="B6786" t="s">
        <v>1075</v>
      </c>
      <c r="C6786" t="s">
        <v>4912</v>
      </c>
    </row>
    <row r="6787" spans="1:3">
      <c r="A6787" t="s">
        <v>169</v>
      </c>
      <c r="B6787" t="s">
        <v>1075</v>
      </c>
      <c r="C6787" t="s">
        <v>4911</v>
      </c>
    </row>
    <row r="6788" spans="1:3">
      <c r="A6788" t="s">
        <v>169</v>
      </c>
      <c r="B6788" t="s">
        <v>1075</v>
      </c>
      <c r="C6788" t="s">
        <v>4910</v>
      </c>
    </row>
    <row r="6789" spans="1:3">
      <c r="A6789" t="s">
        <v>169</v>
      </c>
      <c r="B6789" t="s">
        <v>1070</v>
      </c>
      <c r="C6789" t="s">
        <v>4909</v>
      </c>
    </row>
    <row r="6790" spans="1:3">
      <c r="A6790" t="s">
        <v>169</v>
      </c>
      <c r="B6790" t="s">
        <v>1070</v>
      </c>
      <c r="C6790" t="s">
        <v>4908</v>
      </c>
    </row>
    <row r="6791" spans="1:3">
      <c r="A6791" t="s">
        <v>169</v>
      </c>
      <c r="B6791" t="s">
        <v>1070</v>
      </c>
      <c r="C6791" t="s">
        <v>4907</v>
      </c>
    </row>
    <row r="6792" spans="1:3">
      <c r="A6792" t="s">
        <v>169</v>
      </c>
      <c r="B6792" t="s">
        <v>1070</v>
      </c>
      <c r="C6792" t="s">
        <v>4906</v>
      </c>
    </row>
    <row r="6793" spans="1:3">
      <c r="A6793" t="s">
        <v>169</v>
      </c>
      <c r="B6793" t="s">
        <v>1070</v>
      </c>
      <c r="C6793" t="s">
        <v>4905</v>
      </c>
    </row>
    <row r="6794" spans="1:3">
      <c r="A6794" t="s">
        <v>163</v>
      </c>
      <c r="B6794" t="s">
        <v>1075</v>
      </c>
      <c r="C6794" t="s">
        <v>4904</v>
      </c>
    </row>
    <row r="6795" spans="1:3">
      <c r="A6795" t="s">
        <v>163</v>
      </c>
      <c r="B6795" t="s">
        <v>1075</v>
      </c>
      <c r="C6795" t="s">
        <v>4903</v>
      </c>
    </row>
    <row r="6796" spans="1:3">
      <c r="A6796" t="s">
        <v>163</v>
      </c>
      <c r="B6796" t="s">
        <v>1075</v>
      </c>
      <c r="C6796" t="s">
        <v>4902</v>
      </c>
    </row>
    <row r="6797" spans="1:3">
      <c r="A6797" t="s">
        <v>163</v>
      </c>
      <c r="B6797" t="s">
        <v>1075</v>
      </c>
      <c r="C6797" t="s">
        <v>4901</v>
      </c>
    </row>
    <row r="6798" spans="1:3">
      <c r="A6798" t="s">
        <v>163</v>
      </c>
      <c r="B6798" t="s">
        <v>1070</v>
      </c>
      <c r="C6798" t="s">
        <v>4900</v>
      </c>
    </row>
    <row r="6799" spans="1:3">
      <c r="A6799" t="s">
        <v>163</v>
      </c>
      <c r="B6799" t="s">
        <v>1070</v>
      </c>
      <c r="C6799" t="s">
        <v>4899</v>
      </c>
    </row>
    <row r="6800" spans="1:3">
      <c r="A6800" t="s">
        <v>163</v>
      </c>
      <c r="B6800" t="s">
        <v>1070</v>
      </c>
      <c r="C6800" t="s">
        <v>4898</v>
      </c>
    </row>
    <row r="6801" spans="1:3">
      <c r="A6801" t="s">
        <v>163</v>
      </c>
      <c r="B6801" t="s">
        <v>1070</v>
      </c>
      <c r="C6801" t="s">
        <v>4897</v>
      </c>
    </row>
    <row r="6802" spans="1:3">
      <c r="A6802" t="s">
        <v>163</v>
      </c>
      <c r="B6802" t="s">
        <v>1070</v>
      </c>
      <c r="C6802" t="s">
        <v>4896</v>
      </c>
    </row>
    <row r="6803" spans="1:3">
      <c r="A6803" t="s">
        <v>126</v>
      </c>
      <c r="B6803" t="s">
        <v>1075</v>
      </c>
      <c r="C6803" t="s">
        <v>4895</v>
      </c>
    </row>
    <row r="6804" spans="1:3">
      <c r="A6804" t="s">
        <v>126</v>
      </c>
      <c r="B6804" t="s">
        <v>1075</v>
      </c>
      <c r="C6804" t="s">
        <v>4894</v>
      </c>
    </row>
    <row r="6805" spans="1:3">
      <c r="A6805" t="s">
        <v>126</v>
      </c>
      <c r="B6805" t="s">
        <v>1075</v>
      </c>
      <c r="C6805" t="s">
        <v>4893</v>
      </c>
    </row>
    <row r="6806" spans="1:3">
      <c r="A6806" t="s">
        <v>126</v>
      </c>
      <c r="B6806" t="s">
        <v>1075</v>
      </c>
      <c r="C6806" t="s">
        <v>4892</v>
      </c>
    </row>
    <row r="6807" spans="1:3">
      <c r="A6807" t="s">
        <v>126</v>
      </c>
      <c r="B6807" t="s">
        <v>1070</v>
      </c>
      <c r="C6807" t="s">
        <v>4891</v>
      </c>
    </row>
    <row r="6808" spans="1:3">
      <c r="A6808" t="s">
        <v>126</v>
      </c>
      <c r="B6808" t="s">
        <v>1070</v>
      </c>
      <c r="C6808" t="s">
        <v>4890</v>
      </c>
    </row>
    <row r="6809" spans="1:3">
      <c r="A6809" t="s">
        <v>126</v>
      </c>
      <c r="B6809" t="s">
        <v>1070</v>
      </c>
      <c r="C6809" t="s">
        <v>4889</v>
      </c>
    </row>
    <row r="6810" spans="1:3">
      <c r="A6810" t="s">
        <v>126</v>
      </c>
      <c r="B6810" t="s">
        <v>1070</v>
      </c>
      <c r="C6810" t="s">
        <v>4888</v>
      </c>
    </row>
    <row r="6811" spans="1:3">
      <c r="A6811" t="s">
        <v>126</v>
      </c>
      <c r="B6811" t="s">
        <v>1070</v>
      </c>
      <c r="C6811" t="s">
        <v>4887</v>
      </c>
    </row>
    <row r="6812" spans="1:3">
      <c r="A6812" t="s">
        <v>109</v>
      </c>
      <c r="B6812" t="s">
        <v>1075</v>
      </c>
      <c r="C6812" t="s">
        <v>4886</v>
      </c>
    </row>
    <row r="6813" spans="1:3">
      <c r="A6813" t="s">
        <v>109</v>
      </c>
      <c r="B6813" t="s">
        <v>1075</v>
      </c>
      <c r="C6813" t="s">
        <v>4885</v>
      </c>
    </row>
    <row r="6814" spans="1:3">
      <c r="A6814" t="s">
        <v>109</v>
      </c>
      <c r="B6814" t="s">
        <v>1075</v>
      </c>
      <c r="C6814" t="s">
        <v>4884</v>
      </c>
    </row>
    <row r="6815" spans="1:3">
      <c r="A6815" t="s">
        <v>109</v>
      </c>
      <c r="B6815" t="s">
        <v>1070</v>
      </c>
      <c r="C6815" t="s">
        <v>4883</v>
      </c>
    </row>
    <row r="6816" spans="1:3">
      <c r="A6816" t="s">
        <v>130</v>
      </c>
      <c r="B6816" t="s">
        <v>1075</v>
      </c>
      <c r="C6816" t="s">
        <v>4882</v>
      </c>
    </row>
    <row r="6817" spans="1:3">
      <c r="A6817" t="s">
        <v>130</v>
      </c>
      <c r="B6817" t="s">
        <v>1075</v>
      </c>
      <c r="C6817" t="s">
        <v>4881</v>
      </c>
    </row>
    <row r="6818" spans="1:3">
      <c r="A6818" t="s">
        <v>130</v>
      </c>
      <c r="B6818" t="s">
        <v>1075</v>
      </c>
      <c r="C6818" t="s">
        <v>4880</v>
      </c>
    </row>
    <row r="6819" spans="1:3">
      <c r="A6819" t="s">
        <v>130</v>
      </c>
      <c r="B6819" t="s">
        <v>1075</v>
      </c>
      <c r="C6819" t="s">
        <v>4879</v>
      </c>
    </row>
    <row r="6820" spans="1:3">
      <c r="A6820" t="s">
        <v>130</v>
      </c>
      <c r="B6820" t="s">
        <v>1070</v>
      </c>
      <c r="C6820" t="s">
        <v>4878</v>
      </c>
    </row>
    <row r="6821" spans="1:3">
      <c r="A6821" t="s">
        <v>130</v>
      </c>
      <c r="B6821" t="s">
        <v>1070</v>
      </c>
      <c r="C6821" t="s">
        <v>4877</v>
      </c>
    </row>
    <row r="6822" spans="1:3">
      <c r="A6822" t="s">
        <v>130</v>
      </c>
      <c r="B6822" t="s">
        <v>1070</v>
      </c>
      <c r="C6822" t="s">
        <v>4876</v>
      </c>
    </row>
    <row r="6823" spans="1:3">
      <c r="A6823" t="s">
        <v>130</v>
      </c>
      <c r="B6823" t="s">
        <v>1070</v>
      </c>
      <c r="C6823" t="s">
        <v>4875</v>
      </c>
    </row>
    <row r="6824" spans="1:3">
      <c r="A6824" t="s">
        <v>130</v>
      </c>
      <c r="B6824" t="s">
        <v>1070</v>
      </c>
      <c r="C6824" t="s">
        <v>4874</v>
      </c>
    </row>
    <row r="6825" spans="1:3">
      <c r="A6825" t="s">
        <v>140</v>
      </c>
      <c r="B6825" t="s">
        <v>1075</v>
      </c>
      <c r="C6825" t="s">
        <v>4873</v>
      </c>
    </row>
    <row r="6826" spans="1:3">
      <c r="A6826" t="s">
        <v>140</v>
      </c>
      <c r="B6826" t="s">
        <v>1075</v>
      </c>
      <c r="C6826" t="s">
        <v>4872</v>
      </c>
    </row>
    <row r="6827" spans="1:3">
      <c r="A6827" t="s">
        <v>140</v>
      </c>
      <c r="B6827" t="s">
        <v>1075</v>
      </c>
      <c r="C6827" t="s">
        <v>4871</v>
      </c>
    </row>
    <row r="6828" spans="1:3">
      <c r="A6828" t="s">
        <v>140</v>
      </c>
      <c r="B6828" t="s">
        <v>1070</v>
      </c>
      <c r="C6828" t="s">
        <v>4870</v>
      </c>
    </row>
    <row r="6829" spans="1:3">
      <c r="A6829" t="s">
        <v>156</v>
      </c>
      <c r="B6829" t="s">
        <v>1075</v>
      </c>
      <c r="C6829" t="s">
        <v>4869</v>
      </c>
    </row>
    <row r="6830" spans="1:3">
      <c r="A6830" t="s">
        <v>156</v>
      </c>
      <c r="B6830" t="s">
        <v>1075</v>
      </c>
      <c r="C6830" t="s">
        <v>4868</v>
      </c>
    </row>
    <row r="6831" spans="1:3">
      <c r="A6831" t="s">
        <v>156</v>
      </c>
      <c r="B6831" t="s">
        <v>1075</v>
      </c>
      <c r="C6831" t="s">
        <v>4867</v>
      </c>
    </row>
    <row r="6832" spans="1:3">
      <c r="A6832" t="s">
        <v>156</v>
      </c>
      <c r="B6832" t="s">
        <v>1075</v>
      </c>
      <c r="C6832" t="s">
        <v>4866</v>
      </c>
    </row>
    <row r="6833" spans="1:3">
      <c r="A6833" t="s">
        <v>156</v>
      </c>
      <c r="B6833" t="s">
        <v>1070</v>
      </c>
      <c r="C6833" t="s">
        <v>4865</v>
      </c>
    </row>
    <row r="6834" spans="1:3">
      <c r="A6834" t="s">
        <v>101</v>
      </c>
      <c r="B6834" t="s">
        <v>1075</v>
      </c>
      <c r="C6834" t="s">
        <v>4864</v>
      </c>
    </row>
    <row r="6835" spans="1:3">
      <c r="A6835" t="s">
        <v>101</v>
      </c>
      <c r="B6835" t="s">
        <v>1075</v>
      </c>
      <c r="C6835" t="s">
        <v>4863</v>
      </c>
    </row>
    <row r="6836" spans="1:3">
      <c r="A6836" t="s">
        <v>101</v>
      </c>
      <c r="B6836" t="s">
        <v>1075</v>
      </c>
      <c r="C6836" t="s">
        <v>4862</v>
      </c>
    </row>
    <row r="6837" spans="1:3">
      <c r="A6837" t="s">
        <v>101</v>
      </c>
      <c r="B6837" t="s">
        <v>1075</v>
      </c>
      <c r="C6837" t="s">
        <v>4861</v>
      </c>
    </row>
    <row r="6838" spans="1:3">
      <c r="A6838" t="s">
        <v>101</v>
      </c>
      <c r="B6838" t="s">
        <v>1070</v>
      </c>
      <c r="C6838" t="s">
        <v>4860</v>
      </c>
    </row>
    <row r="6839" spans="1:3">
      <c r="A6839" t="s">
        <v>101</v>
      </c>
      <c r="B6839" t="s">
        <v>1070</v>
      </c>
      <c r="C6839" t="s">
        <v>4859</v>
      </c>
    </row>
    <row r="6840" spans="1:3">
      <c r="A6840" t="s">
        <v>101</v>
      </c>
      <c r="B6840" t="s">
        <v>1070</v>
      </c>
      <c r="C6840" t="s">
        <v>4858</v>
      </c>
    </row>
    <row r="6841" spans="1:3">
      <c r="A6841" t="s">
        <v>101</v>
      </c>
      <c r="B6841" t="s">
        <v>1070</v>
      </c>
      <c r="C6841" t="s">
        <v>4857</v>
      </c>
    </row>
    <row r="6842" spans="1:3">
      <c r="A6842" t="s">
        <v>101</v>
      </c>
      <c r="B6842" t="s">
        <v>1070</v>
      </c>
      <c r="C6842" t="s">
        <v>4856</v>
      </c>
    </row>
    <row r="6843" spans="1:3">
      <c r="A6843" t="s">
        <v>138</v>
      </c>
      <c r="B6843" t="s">
        <v>1075</v>
      </c>
      <c r="C6843" t="s">
        <v>4855</v>
      </c>
    </row>
    <row r="6844" spans="1:3">
      <c r="A6844" t="s">
        <v>138</v>
      </c>
      <c r="B6844" t="s">
        <v>1075</v>
      </c>
      <c r="C6844" t="s">
        <v>4854</v>
      </c>
    </row>
    <row r="6845" spans="1:3">
      <c r="A6845" t="s">
        <v>138</v>
      </c>
      <c r="B6845" t="s">
        <v>1075</v>
      </c>
      <c r="C6845" t="s">
        <v>4853</v>
      </c>
    </row>
    <row r="6846" spans="1:3">
      <c r="A6846" t="s">
        <v>138</v>
      </c>
      <c r="B6846" t="s">
        <v>1070</v>
      </c>
      <c r="C6846" t="s">
        <v>4852</v>
      </c>
    </row>
    <row r="6847" spans="1:3">
      <c r="A6847" t="s">
        <v>186</v>
      </c>
      <c r="B6847" t="s">
        <v>1075</v>
      </c>
      <c r="C6847" t="s">
        <v>4851</v>
      </c>
    </row>
    <row r="6848" spans="1:3">
      <c r="A6848" t="s">
        <v>186</v>
      </c>
      <c r="B6848" t="s">
        <v>1075</v>
      </c>
      <c r="C6848" t="s">
        <v>4850</v>
      </c>
    </row>
    <row r="6849" spans="1:3">
      <c r="A6849" t="s">
        <v>186</v>
      </c>
      <c r="B6849" t="s">
        <v>1075</v>
      </c>
      <c r="C6849" t="s">
        <v>4849</v>
      </c>
    </row>
    <row r="6850" spans="1:3">
      <c r="A6850" t="s">
        <v>186</v>
      </c>
      <c r="B6850" t="s">
        <v>1075</v>
      </c>
      <c r="C6850" t="s">
        <v>4848</v>
      </c>
    </row>
    <row r="6851" spans="1:3">
      <c r="A6851" t="s">
        <v>186</v>
      </c>
      <c r="B6851" t="s">
        <v>1070</v>
      </c>
      <c r="C6851" t="s">
        <v>4847</v>
      </c>
    </row>
    <row r="6852" spans="1:3">
      <c r="A6852" t="s">
        <v>186</v>
      </c>
      <c r="B6852" t="s">
        <v>1070</v>
      </c>
      <c r="C6852" t="s">
        <v>4846</v>
      </c>
    </row>
    <row r="6853" spans="1:3">
      <c r="A6853" t="s">
        <v>186</v>
      </c>
      <c r="B6853" t="s">
        <v>1070</v>
      </c>
      <c r="C6853" t="s">
        <v>4845</v>
      </c>
    </row>
    <row r="6854" spans="1:3">
      <c r="A6854" t="s">
        <v>186</v>
      </c>
      <c r="B6854" t="s">
        <v>1070</v>
      </c>
      <c r="C6854" t="s">
        <v>4844</v>
      </c>
    </row>
    <row r="6855" spans="1:3">
      <c r="A6855" t="s">
        <v>186</v>
      </c>
      <c r="B6855" t="s">
        <v>1070</v>
      </c>
      <c r="C6855" t="s">
        <v>4843</v>
      </c>
    </row>
    <row r="6856" spans="1:3">
      <c r="A6856" t="s">
        <v>182</v>
      </c>
      <c r="B6856" t="s">
        <v>1075</v>
      </c>
      <c r="C6856" t="s">
        <v>4842</v>
      </c>
    </row>
    <row r="6857" spans="1:3">
      <c r="A6857" t="s">
        <v>182</v>
      </c>
      <c r="B6857" t="s">
        <v>1075</v>
      </c>
      <c r="C6857" t="s">
        <v>4841</v>
      </c>
    </row>
    <row r="6858" spans="1:3">
      <c r="A6858" t="s">
        <v>182</v>
      </c>
      <c r="B6858" t="s">
        <v>1075</v>
      </c>
      <c r="C6858" t="s">
        <v>4840</v>
      </c>
    </row>
    <row r="6859" spans="1:3">
      <c r="A6859" t="s">
        <v>182</v>
      </c>
      <c r="B6859" t="s">
        <v>1075</v>
      </c>
      <c r="C6859" t="s">
        <v>4839</v>
      </c>
    </row>
    <row r="6860" spans="1:3">
      <c r="A6860" t="s">
        <v>182</v>
      </c>
      <c r="B6860" t="s">
        <v>1070</v>
      </c>
      <c r="C6860" t="s">
        <v>4838</v>
      </c>
    </row>
    <row r="6861" spans="1:3">
      <c r="A6861" t="s">
        <v>182</v>
      </c>
      <c r="B6861" t="s">
        <v>1070</v>
      </c>
      <c r="C6861" t="s">
        <v>4837</v>
      </c>
    </row>
    <row r="6862" spans="1:3">
      <c r="A6862" t="s">
        <v>182</v>
      </c>
      <c r="B6862" t="s">
        <v>1070</v>
      </c>
      <c r="C6862" t="s">
        <v>4836</v>
      </c>
    </row>
    <row r="6863" spans="1:3">
      <c r="A6863" t="s">
        <v>182</v>
      </c>
      <c r="B6863" t="s">
        <v>1070</v>
      </c>
      <c r="C6863" t="s">
        <v>4835</v>
      </c>
    </row>
    <row r="6864" spans="1:3">
      <c r="A6864" t="s">
        <v>182</v>
      </c>
      <c r="B6864" t="s">
        <v>1070</v>
      </c>
      <c r="C6864" t="s">
        <v>4834</v>
      </c>
    </row>
    <row r="6865" spans="1:3">
      <c r="A6865" t="s">
        <v>123</v>
      </c>
      <c r="B6865" t="s">
        <v>1075</v>
      </c>
      <c r="C6865" t="s">
        <v>4833</v>
      </c>
    </row>
    <row r="6866" spans="1:3">
      <c r="A6866" t="s">
        <v>123</v>
      </c>
      <c r="B6866" t="s">
        <v>1075</v>
      </c>
      <c r="C6866" t="s">
        <v>4832</v>
      </c>
    </row>
    <row r="6867" spans="1:3">
      <c r="A6867" t="s">
        <v>123</v>
      </c>
      <c r="B6867" t="s">
        <v>1075</v>
      </c>
      <c r="C6867" t="s">
        <v>4831</v>
      </c>
    </row>
    <row r="6868" spans="1:3">
      <c r="A6868" t="s">
        <v>123</v>
      </c>
      <c r="B6868" t="s">
        <v>1070</v>
      </c>
      <c r="C6868" t="s">
        <v>4830</v>
      </c>
    </row>
    <row r="6869" spans="1:3">
      <c r="A6869" t="s">
        <v>113</v>
      </c>
      <c r="B6869" t="s">
        <v>1075</v>
      </c>
      <c r="C6869" t="s">
        <v>4829</v>
      </c>
    </row>
    <row r="6870" spans="1:3">
      <c r="A6870" t="s">
        <v>113</v>
      </c>
      <c r="B6870" t="s">
        <v>1075</v>
      </c>
      <c r="C6870" t="s">
        <v>4828</v>
      </c>
    </row>
    <row r="6871" spans="1:3">
      <c r="A6871" t="s">
        <v>113</v>
      </c>
      <c r="B6871" t="s">
        <v>1075</v>
      </c>
      <c r="C6871" t="s">
        <v>4827</v>
      </c>
    </row>
    <row r="6872" spans="1:3">
      <c r="A6872" t="s">
        <v>113</v>
      </c>
      <c r="B6872" t="s">
        <v>1070</v>
      </c>
      <c r="C6872" t="s">
        <v>4826</v>
      </c>
    </row>
    <row r="6873" spans="1:3">
      <c r="A6873" t="s">
        <v>174</v>
      </c>
      <c r="B6873" t="s">
        <v>1075</v>
      </c>
      <c r="C6873" t="s">
        <v>4825</v>
      </c>
    </row>
    <row r="6874" spans="1:3">
      <c r="A6874" t="s">
        <v>174</v>
      </c>
      <c r="B6874" t="s">
        <v>1075</v>
      </c>
      <c r="C6874" t="s">
        <v>4824</v>
      </c>
    </row>
    <row r="6875" spans="1:3">
      <c r="A6875" t="s">
        <v>174</v>
      </c>
      <c r="B6875" t="s">
        <v>1075</v>
      </c>
      <c r="C6875" t="s">
        <v>4823</v>
      </c>
    </row>
    <row r="6876" spans="1:3">
      <c r="A6876" t="s">
        <v>174</v>
      </c>
      <c r="B6876" t="s">
        <v>1075</v>
      </c>
      <c r="C6876" t="s">
        <v>4822</v>
      </c>
    </row>
    <row r="6877" spans="1:3">
      <c r="A6877" t="s">
        <v>174</v>
      </c>
      <c r="B6877" t="s">
        <v>1070</v>
      </c>
      <c r="C6877" t="s">
        <v>4821</v>
      </c>
    </row>
    <row r="6878" spans="1:3">
      <c r="A6878" t="s">
        <v>174</v>
      </c>
      <c r="B6878" t="s">
        <v>1070</v>
      </c>
      <c r="C6878" t="s">
        <v>4820</v>
      </c>
    </row>
    <row r="6879" spans="1:3">
      <c r="A6879" t="s">
        <v>174</v>
      </c>
      <c r="B6879" t="s">
        <v>1070</v>
      </c>
      <c r="C6879" t="s">
        <v>4819</v>
      </c>
    </row>
    <row r="6880" spans="1:3">
      <c r="A6880" t="s">
        <v>174</v>
      </c>
      <c r="B6880" t="s">
        <v>1070</v>
      </c>
      <c r="C6880" t="s">
        <v>4818</v>
      </c>
    </row>
    <row r="6881" spans="1:3">
      <c r="A6881" t="s">
        <v>174</v>
      </c>
      <c r="B6881" t="s">
        <v>1070</v>
      </c>
      <c r="C6881" t="s">
        <v>4817</v>
      </c>
    </row>
    <row r="6882" spans="1:3">
      <c r="A6882" t="s">
        <v>120</v>
      </c>
      <c r="B6882" t="s">
        <v>1075</v>
      </c>
      <c r="C6882" t="s">
        <v>4816</v>
      </c>
    </row>
    <row r="6883" spans="1:3">
      <c r="A6883" t="s">
        <v>120</v>
      </c>
      <c r="B6883" t="s">
        <v>1075</v>
      </c>
      <c r="C6883" t="s">
        <v>4815</v>
      </c>
    </row>
    <row r="6884" spans="1:3">
      <c r="A6884" t="s">
        <v>120</v>
      </c>
      <c r="B6884" t="s">
        <v>1075</v>
      </c>
      <c r="C6884" t="s">
        <v>4814</v>
      </c>
    </row>
    <row r="6885" spans="1:3">
      <c r="A6885" t="s">
        <v>120</v>
      </c>
      <c r="B6885" t="s">
        <v>1075</v>
      </c>
      <c r="C6885" t="s">
        <v>4813</v>
      </c>
    </row>
    <row r="6886" spans="1:3">
      <c r="A6886" t="s">
        <v>120</v>
      </c>
      <c r="B6886" t="s">
        <v>1070</v>
      </c>
      <c r="C6886" t="s">
        <v>4812</v>
      </c>
    </row>
    <row r="6887" spans="1:3">
      <c r="A6887" t="s">
        <v>120</v>
      </c>
      <c r="B6887" t="s">
        <v>1070</v>
      </c>
      <c r="C6887" t="s">
        <v>4811</v>
      </c>
    </row>
    <row r="6888" spans="1:3">
      <c r="A6888" t="s">
        <v>120</v>
      </c>
      <c r="B6888" t="s">
        <v>1070</v>
      </c>
      <c r="C6888" t="s">
        <v>4810</v>
      </c>
    </row>
    <row r="6889" spans="1:3">
      <c r="A6889" t="s">
        <v>120</v>
      </c>
      <c r="B6889" t="s">
        <v>1070</v>
      </c>
      <c r="C6889" t="s">
        <v>4809</v>
      </c>
    </row>
    <row r="6890" spans="1:3">
      <c r="A6890" t="s">
        <v>120</v>
      </c>
      <c r="B6890" t="s">
        <v>1070</v>
      </c>
      <c r="C6890" t="s">
        <v>4808</v>
      </c>
    </row>
    <row r="6891" spans="1:3">
      <c r="A6891" t="s">
        <v>173</v>
      </c>
      <c r="B6891" t="s">
        <v>1075</v>
      </c>
      <c r="C6891" t="s">
        <v>4807</v>
      </c>
    </row>
    <row r="6892" spans="1:3">
      <c r="A6892" t="s">
        <v>173</v>
      </c>
      <c r="B6892" t="s">
        <v>1075</v>
      </c>
      <c r="C6892" t="s">
        <v>4806</v>
      </c>
    </row>
    <row r="6893" spans="1:3">
      <c r="A6893" t="s">
        <v>173</v>
      </c>
      <c r="B6893" t="s">
        <v>1075</v>
      </c>
      <c r="C6893" t="s">
        <v>4805</v>
      </c>
    </row>
    <row r="6894" spans="1:3">
      <c r="A6894" t="s">
        <v>173</v>
      </c>
      <c r="B6894" t="s">
        <v>1075</v>
      </c>
      <c r="C6894" t="s">
        <v>4804</v>
      </c>
    </row>
    <row r="6895" spans="1:3">
      <c r="A6895" t="s">
        <v>173</v>
      </c>
      <c r="B6895" t="s">
        <v>1070</v>
      </c>
      <c r="C6895" t="s">
        <v>4803</v>
      </c>
    </row>
    <row r="6896" spans="1:3">
      <c r="A6896" t="s">
        <v>173</v>
      </c>
      <c r="B6896" t="s">
        <v>1070</v>
      </c>
      <c r="C6896" t="s">
        <v>4802</v>
      </c>
    </row>
    <row r="6897" spans="1:3">
      <c r="A6897" t="s">
        <v>173</v>
      </c>
      <c r="B6897" t="s">
        <v>1070</v>
      </c>
      <c r="C6897" t="s">
        <v>4801</v>
      </c>
    </row>
    <row r="6898" spans="1:3">
      <c r="A6898" t="s">
        <v>173</v>
      </c>
      <c r="B6898" t="s">
        <v>1070</v>
      </c>
      <c r="C6898" t="s">
        <v>4800</v>
      </c>
    </row>
    <row r="6899" spans="1:3">
      <c r="A6899" t="s">
        <v>173</v>
      </c>
      <c r="B6899" t="s">
        <v>1070</v>
      </c>
      <c r="C6899" t="s">
        <v>4799</v>
      </c>
    </row>
    <row r="6900" spans="1:3">
      <c r="A6900" t="s">
        <v>162</v>
      </c>
      <c r="B6900" t="s">
        <v>1075</v>
      </c>
      <c r="C6900" t="s">
        <v>4798</v>
      </c>
    </row>
    <row r="6901" spans="1:3">
      <c r="A6901" t="s">
        <v>162</v>
      </c>
      <c r="B6901" t="s">
        <v>1075</v>
      </c>
      <c r="C6901" t="s">
        <v>4797</v>
      </c>
    </row>
    <row r="6902" spans="1:3">
      <c r="A6902" t="s">
        <v>162</v>
      </c>
      <c r="B6902" t="s">
        <v>1075</v>
      </c>
      <c r="C6902" t="s">
        <v>4796</v>
      </c>
    </row>
    <row r="6903" spans="1:3">
      <c r="A6903" t="s">
        <v>162</v>
      </c>
      <c r="B6903" t="s">
        <v>1075</v>
      </c>
      <c r="C6903" t="s">
        <v>4795</v>
      </c>
    </row>
    <row r="6904" spans="1:3">
      <c r="A6904" t="s">
        <v>162</v>
      </c>
      <c r="B6904" t="s">
        <v>1070</v>
      </c>
      <c r="C6904" t="s">
        <v>4794</v>
      </c>
    </row>
    <row r="6905" spans="1:3">
      <c r="A6905" t="s">
        <v>131</v>
      </c>
      <c r="B6905" t="s">
        <v>1075</v>
      </c>
      <c r="C6905" t="s">
        <v>4793</v>
      </c>
    </row>
    <row r="6906" spans="1:3">
      <c r="A6906" t="s">
        <v>131</v>
      </c>
      <c r="B6906" t="s">
        <v>1075</v>
      </c>
      <c r="C6906" t="s">
        <v>4792</v>
      </c>
    </row>
    <row r="6907" spans="1:3">
      <c r="A6907" t="s">
        <v>131</v>
      </c>
      <c r="B6907" t="s">
        <v>1075</v>
      </c>
      <c r="C6907" t="s">
        <v>4791</v>
      </c>
    </row>
    <row r="6908" spans="1:3">
      <c r="A6908" t="s">
        <v>131</v>
      </c>
      <c r="B6908" t="s">
        <v>1070</v>
      </c>
      <c r="C6908" t="s">
        <v>4790</v>
      </c>
    </row>
    <row r="6909" spans="1:3">
      <c r="A6909" t="s">
        <v>134</v>
      </c>
      <c r="B6909" t="s">
        <v>1075</v>
      </c>
      <c r="C6909" t="s">
        <v>4789</v>
      </c>
    </row>
    <row r="6910" spans="1:3">
      <c r="A6910" t="s">
        <v>134</v>
      </c>
      <c r="B6910" t="s">
        <v>1075</v>
      </c>
      <c r="C6910" t="s">
        <v>4788</v>
      </c>
    </row>
    <row r="6911" spans="1:3">
      <c r="A6911" t="s">
        <v>134</v>
      </c>
      <c r="B6911" t="s">
        <v>1075</v>
      </c>
      <c r="C6911" t="s">
        <v>4787</v>
      </c>
    </row>
    <row r="6912" spans="1:3">
      <c r="A6912" t="s">
        <v>134</v>
      </c>
      <c r="B6912" t="s">
        <v>1070</v>
      </c>
      <c r="C6912" t="s">
        <v>4786</v>
      </c>
    </row>
    <row r="6913" spans="1:3">
      <c r="A6913" t="s">
        <v>119</v>
      </c>
      <c r="B6913" t="s">
        <v>1075</v>
      </c>
      <c r="C6913" t="s">
        <v>4785</v>
      </c>
    </row>
    <row r="6914" spans="1:3">
      <c r="A6914" t="s">
        <v>119</v>
      </c>
      <c r="B6914" t="s">
        <v>1075</v>
      </c>
      <c r="C6914" t="s">
        <v>4784</v>
      </c>
    </row>
    <row r="6915" spans="1:3">
      <c r="A6915" t="s">
        <v>119</v>
      </c>
      <c r="B6915" t="s">
        <v>1075</v>
      </c>
      <c r="C6915" t="s">
        <v>4783</v>
      </c>
    </row>
    <row r="6916" spans="1:3">
      <c r="A6916" t="s">
        <v>119</v>
      </c>
      <c r="B6916" t="s">
        <v>1075</v>
      </c>
      <c r="C6916" t="s">
        <v>4782</v>
      </c>
    </row>
    <row r="6917" spans="1:3">
      <c r="A6917" t="s">
        <v>119</v>
      </c>
      <c r="B6917" t="s">
        <v>1070</v>
      </c>
      <c r="C6917" t="s">
        <v>4781</v>
      </c>
    </row>
    <row r="6918" spans="1:3">
      <c r="A6918" t="s">
        <v>119</v>
      </c>
      <c r="B6918" t="s">
        <v>1070</v>
      </c>
      <c r="C6918" t="s">
        <v>4780</v>
      </c>
    </row>
    <row r="6919" spans="1:3">
      <c r="A6919" t="s">
        <v>119</v>
      </c>
      <c r="B6919" t="s">
        <v>1070</v>
      </c>
      <c r="C6919" t="s">
        <v>4779</v>
      </c>
    </row>
    <row r="6920" spans="1:3">
      <c r="A6920" t="s">
        <v>119</v>
      </c>
      <c r="B6920" t="s">
        <v>1070</v>
      </c>
      <c r="C6920" t="s">
        <v>4778</v>
      </c>
    </row>
    <row r="6921" spans="1:3">
      <c r="A6921" t="s">
        <v>119</v>
      </c>
      <c r="B6921" t="s">
        <v>1070</v>
      </c>
      <c r="C6921" t="s">
        <v>4777</v>
      </c>
    </row>
    <row r="6922" spans="1:3">
      <c r="A6922" t="s">
        <v>168</v>
      </c>
      <c r="B6922" t="s">
        <v>1075</v>
      </c>
      <c r="C6922" t="s">
        <v>4776</v>
      </c>
    </row>
    <row r="6923" spans="1:3">
      <c r="A6923" t="s">
        <v>168</v>
      </c>
      <c r="B6923" t="s">
        <v>1075</v>
      </c>
      <c r="C6923" t="s">
        <v>4775</v>
      </c>
    </row>
    <row r="6924" spans="1:3">
      <c r="A6924" t="s">
        <v>168</v>
      </c>
      <c r="B6924" t="s">
        <v>1075</v>
      </c>
      <c r="C6924" t="s">
        <v>4774</v>
      </c>
    </row>
    <row r="6925" spans="1:3">
      <c r="A6925" t="s">
        <v>168</v>
      </c>
      <c r="B6925" t="s">
        <v>1075</v>
      </c>
      <c r="C6925" t="s">
        <v>4773</v>
      </c>
    </row>
    <row r="6926" spans="1:3">
      <c r="A6926" t="s">
        <v>168</v>
      </c>
      <c r="B6926" t="s">
        <v>1075</v>
      </c>
      <c r="C6926" t="s">
        <v>4772</v>
      </c>
    </row>
    <row r="6927" spans="1:3">
      <c r="A6927" t="s">
        <v>168</v>
      </c>
      <c r="B6927" t="s">
        <v>1075</v>
      </c>
      <c r="C6927" t="s">
        <v>4771</v>
      </c>
    </row>
    <row r="6928" spans="1:3">
      <c r="A6928" t="s">
        <v>168</v>
      </c>
      <c r="B6928" t="s">
        <v>1070</v>
      </c>
      <c r="C6928" t="s">
        <v>4770</v>
      </c>
    </row>
    <row r="6929" spans="1:3">
      <c r="A6929" t="s">
        <v>168</v>
      </c>
      <c r="B6929" t="s">
        <v>1070</v>
      </c>
      <c r="C6929" t="s">
        <v>4769</v>
      </c>
    </row>
    <row r="6930" spans="1:3">
      <c r="A6930" t="s">
        <v>168</v>
      </c>
      <c r="B6930" t="s">
        <v>1070</v>
      </c>
      <c r="C6930" t="s">
        <v>4768</v>
      </c>
    </row>
    <row r="6931" spans="1:3">
      <c r="A6931" t="s">
        <v>168</v>
      </c>
      <c r="B6931" t="s">
        <v>1070</v>
      </c>
      <c r="C6931" t="s">
        <v>4767</v>
      </c>
    </row>
    <row r="6932" spans="1:3">
      <c r="A6932" t="s">
        <v>168</v>
      </c>
      <c r="B6932" t="s">
        <v>1070</v>
      </c>
      <c r="C6932" t="s">
        <v>4766</v>
      </c>
    </row>
    <row r="6933" spans="1:3">
      <c r="A6933" t="s">
        <v>168</v>
      </c>
      <c r="B6933" t="s">
        <v>1070</v>
      </c>
      <c r="C6933" t="s">
        <v>4765</v>
      </c>
    </row>
    <row r="6934" spans="1:3">
      <c r="A6934" t="s">
        <v>141</v>
      </c>
      <c r="B6934" t="s">
        <v>1075</v>
      </c>
      <c r="C6934" t="s">
        <v>4764</v>
      </c>
    </row>
    <row r="6935" spans="1:3">
      <c r="A6935" t="s">
        <v>141</v>
      </c>
      <c r="B6935" t="s">
        <v>1075</v>
      </c>
      <c r="C6935" t="s">
        <v>4763</v>
      </c>
    </row>
    <row r="6936" spans="1:3">
      <c r="A6936" t="s">
        <v>141</v>
      </c>
      <c r="B6936" t="s">
        <v>1075</v>
      </c>
      <c r="C6936" t="s">
        <v>4762</v>
      </c>
    </row>
    <row r="6937" spans="1:3">
      <c r="A6937" t="s">
        <v>141</v>
      </c>
      <c r="B6937" t="s">
        <v>1075</v>
      </c>
      <c r="C6937" t="s">
        <v>4761</v>
      </c>
    </row>
    <row r="6938" spans="1:3">
      <c r="A6938" t="s">
        <v>141</v>
      </c>
      <c r="B6938" t="s">
        <v>1070</v>
      </c>
      <c r="C6938" t="s">
        <v>4760</v>
      </c>
    </row>
    <row r="6939" spans="1:3">
      <c r="A6939" t="s">
        <v>141</v>
      </c>
      <c r="B6939" t="s">
        <v>1070</v>
      </c>
      <c r="C6939" t="s">
        <v>4759</v>
      </c>
    </row>
    <row r="6940" spans="1:3">
      <c r="A6940" t="s">
        <v>141</v>
      </c>
      <c r="B6940" t="s">
        <v>1070</v>
      </c>
      <c r="C6940" t="s">
        <v>4758</v>
      </c>
    </row>
    <row r="6941" spans="1:3">
      <c r="A6941" t="s">
        <v>141</v>
      </c>
      <c r="B6941" t="s">
        <v>1070</v>
      </c>
      <c r="C6941" t="s">
        <v>4757</v>
      </c>
    </row>
    <row r="6942" spans="1:3">
      <c r="A6942" t="s">
        <v>141</v>
      </c>
      <c r="B6942" t="s">
        <v>1070</v>
      </c>
      <c r="C6942" t="s">
        <v>4756</v>
      </c>
    </row>
    <row r="6943" spans="1:3">
      <c r="A6943" t="s">
        <v>180</v>
      </c>
      <c r="B6943" t="s">
        <v>1075</v>
      </c>
      <c r="C6943" t="s">
        <v>4755</v>
      </c>
    </row>
    <row r="6944" spans="1:3">
      <c r="A6944" t="s">
        <v>180</v>
      </c>
      <c r="B6944" t="s">
        <v>1075</v>
      </c>
      <c r="C6944" t="s">
        <v>4754</v>
      </c>
    </row>
    <row r="6945" spans="1:3">
      <c r="A6945" t="s">
        <v>180</v>
      </c>
      <c r="B6945" t="s">
        <v>1075</v>
      </c>
      <c r="C6945" t="s">
        <v>4753</v>
      </c>
    </row>
    <row r="6946" spans="1:3">
      <c r="A6946" t="s">
        <v>180</v>
      </c>
      <c r="B6946" t="s">
        <v>1075</v>
      </c>
      <c r="C6946" t="s">
        <v>4752</v>
      </c>
    </row>
    <row r="6947" spans="1:3">
      <c r="A6947" t="s">
        <v>180</v>
      </c>
      <c r="B6947" t="s">
        <v>1070</v>
      </c>
      <c r="C6947" t="s">
        <v>4751</v>
      </c>
    </row>
    <row r="6948" spans="1:3">
      <c r="A6948" t="s">
        <v>180</v>
      </c>
      <c r="B6948" t="s">
        <v>1070</v>
      </c>
      <c r="C6948" t="s">
        <v>4750</v>
      </c>
    </row>
    <row r="6949" spans="1:3">
      <c r="A6949" t="s">
        <v>180</v>
      </c>
      <c r="B6949" t="s">
        <v>1070</v>
      </c>
      <c r="C6949" t="s">
        <v>4749</v>
      </c>
    </row>
    <row r="6950" spans="1:3">
      <c r="A6950" t="s">
        <v>180</v>
      </c>
      <c r="B6950" t="s">
        <v>1070</v>
      </c>
      <c r="C6950" t="s">
        <v>4748</v>
      </c>
    </row>
    <row r="6951" spans="1:3">
      <c r="A6951" t="s">
        <v>180</v>
      </c>
      <c r="B6951" t="s">
        <v>1070</v>
      </c>
      <c r="C6951" t="s">
        <v>4747</v>
      </c>
    </row>
    <row r="6952" spans="1:3">
      <c r="A6952" t="s">
        <v>135</v>
      </c>
      <c r="B6952" t="s">
        <v>1075</v>
      </c>
      <c r="C6952" t="s">
        <v>4746</v>
      </c>
    </row>
    <row r="6953" spans="1:3">
      <c r="A6953" t="s">
        <v>135</v>
      </c>
      <c r="B6953" t="s">
        <v>1075</v>
      </c>
      <c r="C6953" t="s">
        <v>4745</v>
      </c>
    </row>
    <row r="6954" spans="1:3">
      <c r="A6954" t="s">
        <v>135</v>
      </c>
      <c r="B6954" t="s">
        <v>1075</v>
      </c>
      <c r="C6954" t="s">
        <v>4744</v>
      </c>
    </row>
    <row r="6955" spans="1:3">
      <c r="A6955" t="s">
        <v>135</v>
      </c>
      <c r="B6955" t="s">
        <v>1075</v>
      </c>
      <c r="C6955" t="s">
        <v>4743</v>
      </c>
    </row>
    <row r="6956" spans="1:3">
      <c r="A6956" t="s">
        <v>135</v>
      </c>
      <c r="B6956" t="s">
        <v>1070</v>
      </c>
      <c r="C6956" t="s">
        <v>4742</v>
      </c>
    </row>
    <row r="6957" spans="1:3">
      <c r="A6957" t="s">
        <v>135</v>
      </c>
      <c r="B6957" t="s">
        <v>1070</v>
      </c>
      <c r="C6957" t="s">
        <v>4741</v>
      </c>
    </row>
    <row r="6958" spans="1:3">
      <c r="A6958" t="s">
        <v>135</v>
      </c>
      <c r="B6958" t="s">
        <v>1070</v>
      </c>
      <c r="C6958" t="s">
        <v>4740</v>
      </c>
    </row>
    <row r="6959" spans="1:3">
      <c r="A6959" t="s">
        <v>135</v>
      </c>
      <c r="B6959" t="s">
        <v>1070</v>
      </c>
      <c r="C6959" t="s">
        <v>4739</v>
      </c>
    </row>
    <row r="6960" spans="1:3">
      <c r="A6960" t="s">
        <v>135</v>
      </c>
      <c r="B6960" t="s">
        <v>1070</v>
      </c>
      <c r="C6960" t="s">
        <v>4738</v>
      </c>
    </row>
    <row r="6961" spans="1:3">
      <c r="A6961" t="s">
        <v>620</v>
      </c>
      <c r="B6961" t="s">
        <v>1075</v>
      </c>
      <c r="C6961" t="s">
        <v>4737</v>
      </c>
    </row>
    <row r="6962" spans="1:3">
      <c r="A6962" t="s">
        <v>620</v>
      </c>
      <c r="B6962" t="s">
        <v>1075</v>
      </c>
      <c r="C6962" t="s">
        <v>4736</v>
      </c>
    </row>
    <row r="6963" spans="1:3">
      <c r="A6963" t="s">
        <v>620</v>
      </c>
      <c r="B6963" t="s">
        <v>1075</v>
      </c>
      <c r="C6963" t="s">
        <v>4735</v>
      </c>
    </row>
    <row r="6964" spans="1:3">
      <c r="A6964" t="s">
        <v>620</v>
      </c>
      <c r="B6964" t="s">
        <v>1070</v>
      </c>
      <c r="C6964" t="s">
        <v>4734</v>
      </c>
    </row>
    <row r="6965" spans="1:3">
      <c r="A6965" t="s">
        <v>98</v>
      </c>
      <c r="B6965" t="s">
        <v>1075</v>
      </c>
      <c r="C6965" t="s">
        <v>4733</v>
      </c>
    </row>
    <row r="6966" spans="1:3">
      <c r="A6966" t="s">
        <v>98</v>
      </c>
      <c r="B6966" t="s">
        <v>1075</v>
      </c>
      <c r="C6966" t="s">
        <v>4732</v>
      </c>
    </row>
    <row r="6967" spans="1:3">
      <c r="A6967" t="s">
        <v>98</v>
      </c>
      <c r="B6967" t="s">
        <v>1075</v>
      </c>
      <c r="C6967" t="s">
        <v>4731</v>
      </c>
    </row>
    <row r="6968" spans="1:3">
      <c r="A6968" t="s">
        <v>98</v>
      </c>
      <c r="B6968" t="s">
        <v>1075</v>
      </c>
      <c r="C6968" t="s">
        <v>4730</v>
      </c>
    </row>
    <row r="6969" spans="1:3">
      <c r="A6969" t="s">
        <v>98</v>
      </c>
      <c r="B6969" t="s">
        <v>1070</v>
      </c>
      <c r="C6969" t="s">
        <v>4729</v>
      </c>
    </row>
    <row r="6970" spans="1:3">
      <c r="A6970" t="s">
        <v>98</v>
      </c>
      <c r="B6970" t="s">
        <v>1070</v>
      </c>
      <c r="C6970" t="s">
        <v>4728</v>
      </c>
    </row>
    <row r="6971" spans="1:3">
      <c r="A6971" t="s">
        <v>98</v>
      </c>
      <c r="B6971" t="s">
        <v>1070</v>
      </c>
      <c r="C6971" t="s">
        <v>4727</v>
      </c>
    </row>
    <row r="6972" spans="1:3">
      <c r="A6972" t="s">
        <v>98</v>
      </c>
      <c r="B6972" t="s">
        <v>1070</v>
      </c>
      <c r="C6972" t="s">
        <v>4726</v>
      </c>
    </row>
    <row r="6973" spans="1:3">
      <c r="A6973" t="s">
        <v>98</v>
      </c>
      <c r="B6973" t="s">
        <v>1070</v>
      </c>
      <c r="C6973" t="s">
        <v>4725</v>
      </c>
    </row>
    <row r="6974" spans="1:3">
      <c r="A6974" t="s">
        <v>124</v>
      </c>
      <c r="B6974" t="s">
        <v>1075</v>
      </c>
      <c r="C6974" t="s">
        <v>4724</v>
      </c>
    </row>
    <row r="6975" spans="1:3">
      <c r="A6975" t="s">
        <v>124</v>
      </c>
      <c r="B6975" t="s">
        <v>1075</v>
      </c>
      <c r="C6975" t="s">
        <v>4723</v>
      </c>
    </row>
    <row r="6976" spans="1:3">
      <c r="A6976" t="s">
        <v>124</v>
      </c>
      <c r="B6976" t="s">
        <v>1075</v>
      </c>
      <c r="C6976" t="s">
        <v>4722</v>
      </c>
    </row>
    <row r="6977" spans="1:3">
      <c r="A6977" t="s">
        <v>124</v>
      </c>
      <c r="B6977" t="s">
        <v>1075</v>
      </c>
      <c r="C6977" t="s">
        <v>4721</v>
      </c>
    </row>
    <row r="6978" spans="1:3">
      <c r="A6978" t="s">
        <v>124</v>
      </c>
      <c r="B6978" t="s">
        <v>1070</v>
      </c>
      <c r="C6978" t="s">
        <v>4720</v>
      </c>
    </row>
    <row r="6979" spans="1:3">
      <c r="A6979" t="s">
        <v>124</v>
      </c>
      <c r="B6979" t="s">
        <v>1070</v>
      </c>
      <c r="C6979" t="s">
        <v>4719</v>
      </c>
    </row>
    <row r="6980" spans="1:3">
      <c r="A6980" t="s">
        <v>124</v>
      </c>
      <c r="B6980" t="s">
        <v>1070</v>
      </c>
      <c r="C6980" t="s">
        <v>4718</v>
      </c>
    </row>
    <row r="6981" spans="1:3">
      <c r="A6981" t="s">
        <v>124</v>
      </c>
      <c r="B6981" t="s">
        <v>1070</v>
      </c>
      <c r="C6981" t="s">
        <v>4717</v>
      </c>
    </row>
    <row r="6982" spans="1:3">
      <c r="A6982" t="s">
        <v>124</v>
      </c>
      <c r="B6982" t="s">
        <v>1070</v>
      </c>
      <c r="C6982" t="s">
        <v>4716</v>
      </c>
    </row>
    <row r="6983" spans="1:3">
      <c r="A6983" t="s">
        <v>99</v>
      </c>
      <c r="B6983" t="s">
        <v>1075</v>
      </c>
      <c r="C6983" t="s">
        <v>4711</v>
      </c>
    </row>
    <row r="6984" spans="1:3">
      <c r="A6984" t="s">
        <v>99</v>
      </c>
      <c r="B6984" t="s">
        <v>1075</v>
      </c>
      <c r="C6984" t="s">
        <v>4710</v>
      </c>
    </row>
    <row r="6985" spans="1:3">
      <c r="A6985" t="s">
        <v>99</v>
      </c>
      <c r="B6985" t="s">
        <v>1075</v>
      </c>
      <c r="C6985" t="s">
        <v>4709</v>
      </c>
    </row>
    <row r="6986" spans="1:3">
      <c r="A6986" t="s">
        <v>99</v>
      </c>
      <c r="B6986" t="s">
        <v>1070</v>
      </c>
      <c r="C6986" t="s">
        <v>4708</v>
      </c>
    </row>
    <row r="6987" spans="1:3">
      <c r="A6987" t="s">
        <v>92</v>
      </c>
      <c r="B6987" t="s">
        <v>1075</v>
      </c>
      <c r="C6987" t="s">
        <v>4715</v>
      </c>
    </row>
    <row r="6988" spans="1:3">
      <c r="A6988" t="s">
        <v>92</v>
      </c>
      <c r="B6988" t="s">
        <v>1075</v>
      </c>
      <c r="C6988" t="s">
        <v>4714</v>
      </c>
    </row>
    <row r="6989" spans="1:3">
      <c r="A6989" t="s">
        <v>92</v>
      </c>
      <c r="B6989" t="s">
        <v>1075</v>
      </c>
      <c r="C6989" t="s">
        <v>4713</v>
      </c>
    </row>
    <row r="6990" spans="1:3">
      <c r="A6990" t="s">
        <v>92</v>
      </c>
      <c r="B6990" t="s">
        <v>1070</v>
      </c>
      <c r="C6990" t="s">
        <v>4712</v>
      </c>
    </row>
    <row r="6991" spans="1:3">
      <c r="A6991" t="s">
        <v>97</v>
      </c>
      <c r="B6991" t="s">
        <v>1075</v>
      </c>
      <c r="C6991" t="s">
        <v>4707</v>
      </c>
    </row>
    <row r="6992" spans="1:3">
      <c r="A6992" t="s">
        <v>97</v>
      </c>
      <c r="B6992" t="s">
        <v>1075</v>
      </c>
      <c r="C6992" t="s">
        <v>4706</v>
      </c>
    </row>
    <row r="6993" spans="1:3">
      <c r="A6993" t="s">
        <v>97</v>
      </c>
      <c r="B6993" t="s">
        <v>1075</v>
      </c>
      <c r="C6993" t="s">
        <v>4705</v>
      </c>
    </row>
    <row r="6994" spans="1:3">
      <c r="A6994" t="s">
        <v>97</v>
      </c>
      <c r="B6994" t="s">
        <v>1070</v>
      </c>
      <c r="C6994" t="s">
        <v>4704</v>
      </c>
    </row>
    <row r="6995" spans="1:3">
      <c r="A6995" t="s">
        <v>152</v>
      </c>
      <c r="B6995" t="s">
        <v>1075</v>
      </c>
      <c r="C6995" t="s">
        <v>4703</v>
      </c>
    </row>
    <row r="6996" spans="1:3">
      <c r="A6996" t="s">
        <v>152</v>
      </c>
      <c r="B6996" t="s">
        <v>1075</v>
      </c>
      <c r="C6996" t="s">
        <v>4702</v>
      </c>
    </row>
    <row r="6997" spans="1:3">
      <c r="A6997" t="s">
        <v>152</v>
      </c>
      <c r="B6997" t="s">
        <v>1075</v>
      </c>
      <c r="C6997" t="s">
        <v>4701</v>
      </c>
    </row>
    <row r="6998" spans="1:3">
      <c r="A6998" t="s">
        <v>152</v>
      </c>
      <c r="B6998" t="s">
        <v>1070</v>
      </c>
      <c r="C6998" t="s">
        <v>4700</v>
      </c>
    </row>
    <row r="6999" spans="1:3">
      <c r="A6999" t="s">
        <v>107</v>
      </c>
      <c r="B6999" t="s">
        <v>1075</v>
      </c>
      <c r="C6999" t="s">
        <v>4699</v>
      </c>
    </row>
    <row r="7000" spans="1:3">
      <c r="A7000" t="s">
        <v>107</v>
      </c>
      <c r="B7000" t="s">
        <v>1075</v>
      </c>
      <c r="C7000" t="s">
        <v>4698</v>
      </c>
    </row>
    <row r="7001" spans="1:3">
      <c r="A7001" t="s">
        <v>107</v>
      </c>
      <c r="B7001" t="s">
        <v>1075</v>
      </c>
      <c r="C7001" t="s">
        <v>4697</v>
      </c>
    </row>
    <row r="7002" spans="1:3">
      <c r="A7002" t="s">
        <v>107</v>
      </c>
      <c r="B7002" t="s">
        <v>1075</v>
      </c>
      <c r="C7002" t="s">
        <v>4696</v>
      </c>
    </row>
    <row r="7003" spans="1:3">
      <c r="A7003" t="s">
        <v>107</v>
      </c>
      <c r="B7003" t="s">
        <v>1070</v>
      </c>
      <c r="C7003" t="s">
        <v>4695</v>
      </c>
    </row>
    <row r="7004" spans="1:3">
      <c r="A7004" t="s">
        <v>107</v>
      </c>
      <c r="B7004" t="s">
        <v>1070</v>
      </c>
      <c r="C7004" t="s">
        <v>4694</v>
      </c>
    </row>
    <row r="7005" spans="1:3">
      <c r="A7005" t="s">
        <v>107</v>
      </c>
      <c r="B7005" t="s">
        <v>1070</v>
      </c>
      <c r="C7005" t="s">
        <v>4693</v>
      </c>
    </row>
    <row r="7006" spans="1:3">
      <c r="A7006" t="s">
        <v>107</v>
      </c>
      <c r="B7006" t="s">
        <v>1070</v>
      </c>
      <c r="C7006" t="s">
        <v>4692</v>
      </c>
    </row>
    <row r="7007" spans="1:3">
      <c r="A7007" t="s">
        <v>107</v>
      </c>
      <c r="B7007" t="s">
        <v>1070</v>
      </c>
      <c r="C7007" t="s">
        <v>4691</v>
      </c>
    </row>
    <row r="7008" spans="1:3">
      <c r="A7008" t="s">
        <v>108</v>
      </c>
      <c r="B7008" t="s">
        <v>1075</v>
      </c>
      <c r="C7008" t="s">
        <v>4690</v>
      </c>
    </row>
    <row r="7009" spans="1:3">
      <c r="A7009" t="s">
        <v>108</v>
      </c>
      <c r="B7009" t="s">
        <v>1075</v>
      </c>
      <c r="C7009" t="s">
        <v>4689</v>
      </c>
    </row>
    <row r="7010" spans="1:3">
      <c r="A7010" t="s">
        <v>108</v>
      </c>
      <c r="B7010" t="s">
        <v>1075</v>
      </c>
      <c r="C7010" t="s">
        <v>4688</v>
      </c>
    </row>
    <row r="7011" spans="1:3">
      <c r="A7011" t="s">
        <v>108</v>
      </c>
      <c r="B7011" t="s">
        <v>1070</v>
      </c>
      <c r="C7011" t="s">
        <v>4687</v>
      </c>
    </row>
    <row r="7012" spans="1:3">
      <c r="A7012" t="s">
        <v>127</v>
      </c>
      <c r="B7012" t="s">
        <v>1075</v>
      </c>
      <c r="C7012" t="s">
        <v>4686</v>
      </c>
    </row>
    <row r="7013" spans="1:3">
      <c r="A7013" t="s">
        <v>127</v>
      </c>
      <c r="B7013" t="s">
        <v>1075</v>
      </c>
      <c r="C7013" t="s">
        <v>4685</v>
      </c>
    </row>
    <row r="7014" spans="1:3">
      <c r="A7014" t="s">
        <v>127</v>
      </c>
      <c r="B7014" t="s">
        <v>1075</v>
      </c>
      <c r="C7014" t="s">
        <v>4684</v>
      </c>
    </row>
    <row r="7015" spans="1:3">
      <c r="A7015" t="s">
        <v>127</v>
      </c>
      <c r="B7015" t="s">
        <v>1075</v>
      </c>
      <c r="C7015" t="s">
        <v>4683</v>
      </c>
    </row>
    <row r="7016" spans="1:3">
      <c r="A7016" t="s">
        <v>127</v>
      </c>
      <c r="B7016" t="s">
        <v>1070</v>
      </c>
      <c r="C7016" t="s">
        <v>4682</v>
      </c>
    </row>
    <row r="7017" spans="1:3">
      <c r="A7017" t="s">
        <v>127</v>
      </c>
      <c r="B7017" t="s">
        <v>1070</v>
      </c>
      <c r="C7017" t="s">
        <v>4681</v>
      </c>
    </row>
    <row r="7018" spans="1:3">
      <c r="A7018" t="s">
        <v>127</v>
      </c>
      <c r="B7018" t="s">
        <v>1070</v>
      </c>
      <c r="C7018" t="s">
        <v>4680</v>
      </c>
    </row>
    <row r="7019" spans="1:3">
      <c r="A7019" t="s">
        <v>127</v>
      </c>
      <c r="B7019" t="s">
        <v>1070</v>
      </c>
      <c r="C7019" t="s">
        <v>4679</v>
      </c>
    </row>
    <row r="7020" spans="1:3">
      <c r="A7020" t="s">
        <v>127</v>
      </c>
      <c r="B7020" t="s">
        <v>1070</v>
      </c>
      <c r="C7020" t="s">
        <v>4678</v>
      </c>
    </row>
    <row r="7021" spans="1:3">
      <c r="A7021" t="s">
        <v>112</v>
      </c>
      <c r="B7021" t="s">
        <v>1075</v>
      </c>
      <c r="C7021" t="s">
        <v>4677</v>
      </c>
    </row>
    <row r="7022" spans="1:3">
      <c r="A7022" t="s">
        <v>112</v>
      </c>
      <c r="B7022" t="s">
        <v>1075</v>
      </c>
      <c r="C7022" t="s">
        <v>4676</v>
      </c>
    </row>
    <row r="7023" spans="1:3">
      <c r="A7023" t="s">
        <v>112</v>
      </c>
      <c r="B7023" t="s">
        <v>1075</v>
      </c>
      <c r="C7023" t="s">
        <v>4675</v>
      </c>
    </row>
    <row r="7024" spans="1:3">
      <c r="A7024" t="s">
        <v>112</v>
      </c>
      <c r="B7024" t="s">
        <v>1075</v>
      </c>
      <c r="C7024" t="s">
        <v>4674</v>
      </c>
    </row>
    <row r="7025" spans="1:3">
      <c r="A7025" t="s">
        <v>112</v>
      </c>
      <c r="B7025" t="s">
        <v>1070</v>
      </c>
      <c r="C7025" t="s">
        <v>4673</v>
      </c>
    </row>
    <row r="7026" spans="1:3">
      <c r="A7026" t="s">
        <v>112</v>
      </c>
      <c r="B7026" t="s">
        <v>1070</v>
      </c>
      <c r="C7026" t="s">
        <v>4672</v>
      </c>
    </row>
    <row r="7027" spans="1:3">
      <c r="A7027" t="s">
        <v>112</v>
      </c>
      <c r="B7027" t="s">
        <v>1070</v>
      </c>
      <c r="C7027" t="s">
        <v>4671</v>
      </c>
    </row>
    <row r="7028" spans="1:3">
      <c r="A7028" t="s">
        <v>112</v>
      </c>
      <c r="B7028" t="s">
        <v>1070</v>
      </c>
      <c r="C7028" t="s">
        <v>4670</v>
      </c>
    </row>
    <row r="7029" spans="1:3">
      <c r="A7029" t="s">
        <v>112</v>
      </c>
      <c r="B7029" t="s">
        <v>1070</v>
      </c>
      <c r="C7029" t="s">
        <v>4669</v>
      </c>
    </row>
    <row r="7030" spans="1:3">
      <c r="A7030" t="s">
        <v>118</v>
      </c>
      <c r="B7030" t="s">
        <v>1075</v>
      </c>
      <c r="C7030" t="s">
        <v>4668</v>
      </c>
    </row>
    <row r="7031" spans="1:3">
      <c r="A7031" t="s">
        <v>118</v>
      </c>
      <c r="B7031" t="s">
        <v>1075</v>
      </c>
      <c r="C7031" t="s">
        <v>4667</v>
      </c>
    </row>
    <row r="7032" spans="1:3">
      <c r="A7032" t="s">
        <v>118</v>
      </c>
      <c r="B7032" t="s">
        <v>1075</v>
      </c>
      <c r="C7032" t="s">
        <v>4666</v>
      </c>
    </row>
    <row r="7033" spans="1:3">
      <c r="A7033" t="s">
        <v>118</v>
      </c>
      <c r="B7033" t="s">
        <v>1075</v>
      </c>
      <c r="C7033" t="s">
        <v>4665</v>
      </c>
    </row>
    <row r="7034" spans="1:3">
      <c r="A7034" t="s">
        <v>118</v>
      </c>
      <c r="B7034" t="s">
        <v>1070</v>
      </c>
      <c r="C7034" t="s">
        <v>4664</v>
      </c>
    </row>
    <row r="7035" spans="1:3">
      <c r="A7035" t="s">
        <v>118</v>
      </c>
      <c r="B7035" t="s">
        <v>1070</v>
      </c>
      <c r="C7035" t="s">
        <v>4663</v>
      </c>
    </row>
    <row r="7036" spans="1:3">
      <c r="A7036" t="s">
        <v>118</v>
      </c>
      <c r="B7036" t="s">
        <v>1070</v>
      </c>
      <c r="C7036" t="s">
        <v>4662</v>
      </c>
    </row>
    <row r="7037" spans="1:3">
      <c r="A7037" t="s">
        <v>118</v>
      </c>
      <c r="B7037" t="s">
        <v>1070</v>
      </c>
      <c r="C7037" t="s">
        <v>4661</v>
      </c>
    </row>
    <row r="7038" spans="1:3">
      <c r="A7038" t="s">
        <v>118</v>
      </c>
      <c r="B7038" t="s">
        <v>1070</v>
      </c>
      <c r="C7038" t="s">
        <v>4660</v>
      </c>
    </row>
    <row r="7039" spans="1:3">
      <c r="A7039" t="s">
        <v>114</v>
      </c>
      <c r="B7039" t="s">
        <v>1075</v>
      </c>
      <c r="C7039" t="s">
        <v>4659</v>
      </c>
    </row>
    <row r="7040" spans="1:3">
      <c r="A7040" t="s">
        <v>114</v>
      </c>
      <c r="B7040" t="s">
        <v>1075</v>
      </c>
      <c r="C7040" t="s">
        <v>4658</v>
      </c>
    </row>
    <row r="7041" spans="1:3">
      <c r="A7041" t="s">
        <v>114</v>
      </c>
      <c r="B7041" t="s">
        <v>1075</v>
      </c>
      <c r="C7041" t="s">
        <v>4657</v>
      </c>
    </row>
    <row r="7042" spans="1:3">
      <c r="A7042" t="s">
        <v>114</v>
      </c>
      <c r="B7042" t="s">
        <v>1075</v>
      </c>
      <c r="C7042" t="s">
        <v>4656</v>
      </c>
    </row>
    <row r="7043" spans="1:3">
      <c r="A7043" t="s">
        <v>114</v>
      </c>
      <c r="B7043" t="s">
        <v>1070</v>
      </c>
      <c r="C7043" t="s">
        <v>4655</v>
      </c>
    </row>
    <row r="7044" spans="1:3">
      <c r="A7044" t="s">
        <v>114</v>
      </c>
      <c r="B7044" t="s">
        <v>1070</v>
      </c>
      <c r="C7044" t="s">
        <v>4654</v>
      </c>
    </row>
    <row r="7045" spans="1:3">
      <c r="A7045" t="s">
        <v>114</v>
      </c>
      <c r="B7045" t="s">
        <v>1070</v>
      </c>
      <c r="C7045" t="s">
        <v>4653</v>
      </c>
    </row>
    <row r="7046" spans="1:3">
      <c r="A7046" t="s">
        <v>114</v>
      </c>
      <c r="B7046" t="s">
        <v>1070</v>
      </c>
      <c r="C7046" t="s">
        <v>4652</v>
      </c>
    </row>
    <row r="7047" spans="1:3">
      <c r="A7047" t="s">
        <v>114</v>
      </c>
      <c r="B7047" t="s">
        <v>1070</v>
      </c>
      <c r="C7047" t="s">
        <v>4651</v>
      </c>
    </row>
    <row r="7048" spans="1:3">
      <c r="A7048" t="s">
        <v>143</v>
      </c>
      <c r="B7048" t="s">
        <v>1075</v>
      </c>
      <c r="C7048" t="s">
        <v>4650</v>
      </c>
    </row>
    <row r="7049" spans="1:3">
      <c r="A7049" t="s">
        <v>143</v>
      </c>
      <c r="B7049" t="s">
        <v>1075</v>
      </c>
      <c r="C7049" t="s">
        <v>4649</v>
      </c>
    </row>
    <row r="7050" spans="1:3">
      <c r="A7050" t="s">
        <v>143</v>
      </c>
      <c r="B7050" t="s">
        <v>1075</v>
      </c>
      <c r="C7050" t="s">
        <v>4648</v>
      </c>
    </row>
    <row r="7051" spans="1:3">
      <c r="A7051" t="s">
        <v>143</v>
      </c>
      <c r="B7051" t="s">
        <v>1070</v>
      </c>
      <c r="C7051" t="s">
        <v>4647</v>
      </c>
    </row>
    <row r="7052" spans="1:3">
      <c r="A7052" t="s">
        <v>160</v>
      </c>
      <c r="B7052" t="s">
        <v>1075</v>
      </c>
      <c r="C7052" t="s">
        <v>4646</v>
      </c>
    </row>
    <row r="7053" spans="1:3">
      <c r="A7053" t="s">
        <v>160</v>
      </c>
      <c r="B7053" t="s">
        <v>1075</v>
      </c>
      <c r="C7053" t="s">
        <v>4645</v>
      </c>
    </row>
    <row r="7054" spans="1:3">
      <c r="A7054" t="s">
        <v>160</v>
      </c>
      <c r="B7054" t="s">
        <v>1075</v>
      </c>
      <c r="C7054" t="s">
        <v>4644</v>
      </c>
    </row>
    <row r="7055" spans="1:3">
      <c r="A7055" t="s">
        <v>160</v>
      </c>
      <c r="B7055" t="s">
        <v>1075</v>
      </c>
      <c r="C7055" t="s">
        <v>4643</v>
      </c>
    </row>
    <row r="7056" spans="1:3">
      <c r="A7056" t="s">
        <v>160</v>
      </c>
      <c r="B7056" t="s">
        <v>1070</v>
      </c>
      <c r="C7056" t="s">
        <v>4642</v>
      </c>
    </row>
    <row r="7057" spans="1:3">
      <c r="A7057" t="s">
        <v>160</v>
      </c>
      <c r="B7057" t="s">
        <v>1070</v>
      </c>
      <c r="C7057" t="s">
        <v>4641</v>
      </c>
    </row>
    <row r="7058" spans="1:3">
      <c r="A7058" t="s">
        <v>160</v>
      </c>
      <c r="B7058" t="s">
        <v>1070</v>
      </c>
      <c r="C7058" t="s">
        <v>4640</v>
      </c>
    </row>
    <row r="7059" spans="1:3">
      <c r="A7059" t="s">
        <v>160</v>
      </c>
      <c r="B7059" t="s">
        <v>1070</v>
      </c>
      <c r="C7059" t="s">
        <v>4639</v>
      </c>
    </row>
    <row r="7060" spans="1:3">
      <c r="A7060" t="s">
        <v>160</v>
      </c>
      <c r="B7060" t="s">
        <v>1070</v>
      </c>
      <c r="C7060" t="s">
        <v>4638</v>
      </c>
    </row>
    <row r="7061" spans="1:3">
      <c r="A7061" t="s">
        <v>94</v>
      </c>
      <c r="B7061" t="s">
        <v>1075</v>
      </c>
      <c r="C7061" t="s">
        <v>4637</v>
      </c>
    </row>
    <row r="7062" spans="1:3">
      <c r="A7062" t="s">
        <v>94</v>
      </c>
      <c r="B7062" t="s">
        <v>1075</v>
      </c>
      <c r="C7062" t="s">
        <v>4636</v>
      </c>
    </row>
    <row r="7063" spans="1:3">
      <c r="A7063" t="s">
        <v>94</v>
      </c>
      <c r="B7063" t="s">
        <v>1075</v>
      </c>
      <c r="C7063" t="s">
        <v>4635</v>
      </c>
    </row>
    <row r="7064" spans="1:3">
      <c r="A7064" t="s">
        <v>94</v>
      </c>
      <c r="B7064" t="s">
        <v>1075</v>
      </c>
      <c r="C7064" t="s">
        <v>4634</v>
      </c>
    </row>
    <row r="7065" spans="1:3">
      <c r="A7065" t="s">
        <v>94</v>
      </c>
      <c r="B7065" t="s">
        <v>1070</v>
      </c>
      <c r="C7065" t="s">
        <v>4633</v>
      </c>
    </row>
    <row r="7066" spans="1:3">
      <c r="A7066" t="s">
        <v>94</v>
      </c>
      <c r="B7066" t="s">
        <v>1070</v>
      </c>
      <c r="C7066" t="s">
        <v>4632</v>
      </c>
    </row>
    <row r="7067" spans="1:3">
      <c r="A7067" t="s">
        <v>94</v>
      </c>
      <c r="B7067" t="s">
        <v>1070</v>
      </c>
      <c r="C7067" t="s">
        <v>4631</v>
      </c>
    </row>
    <row r="7068" spans="1:3">
      <c r="A7068" t="s">
        <v>94</v>
      </c>
      <c r="B7068" t="s">
        <v>1070</v>
      </c>
      <c r="C7068" t="s">
        <v>4630</v>
      </c>
    </row>
    <row r="7069" spans="1:3">
      <c r="A7069" t="s">
        <v>94</v>
      </c>
      <c r="B7069" t="s">
        <v>1070</v>
      </c>
      <c r="C7069" t="s">
        <v>4629</v>
      </c>
    </row>
    <row r="7070" spans="1:3">
      <c r="A7070" t="s">
        <v>91</v>
      </c>
      <c r="B7070" t="s">
        <v>1075</v>
      </c>
      <c r="C7070" t="s">
        <v>4628</v>
      </c>
    </row>
    <row r="7071" spans="1:3">
      <c r="A7071" t="s">
        <v>91</v>
      </c>
      <c r="B7071" t="s">
        <v>1075</v>
      </c>
      <c r="C7071" t="s">
        <v>4627</v>
      </c>
    </row>
    <row r="7072" spans="1:3">
      <c r="A7072" t="s">
        <v>91</v>
      </c>
      <c r="B7072" t="s">
        <v>1075</v>
      </c>
      <c r="C7072" t="s">
        <v>4626</v>
      </c>
    </row>
    <row r="7073" spans="1:3">
      <c r="A7073" t="s">
        <v>91</v>
      </c>
      <c r="B7073" t="s">
        <v>1075</v>
      </c>
      <c r="C7073" t="s">
        <v>4625</v>
      </c>
    </row>
    <row r="7074" spans="1:3">
      <c r="A7074" t="s">
        <v>91</v>
      </c>
      <c r="B7074" t="s">
        <v>1070</v>
      </c>
      <c r="C7074" t="s">
        <v>4624</v>
      </c>
    </row>
    <row r="7075" spans="1:3">
      <c r="A7075" t="s">
        <v>91</v>
      </c>
      <c r="B7075" t="s">
        <v>1070</v>
      </c>
      <c r="C7075" t="s">
        <v>4623</v>
      </c>
    </row>
    <row r="7076" spans="1:3">
      <c r="A7076" t="s">
        <v>91</v>
      </c>
      <c r="B7076" t="s">
        <v>1070</v>
      </c>
      <c r="C7076" t="s">
        <v>4622</v>
      </c>
    </row>
    <row r="7077" spans="1:3">
      <c r="A7077" t="s">
        <v>91</v>
      </c>
      <c r="B7077" t="s">
        <v>1070</v>
      </c>
      <c r="C7077" t="s">
        <v>4621</v>
      </c>
    </row>
    <row r="7078" spans="1:3">
      <c r="A7078" t="s">
        <v>91</v>
      </c>
      <c r="B7078" t="s">
        <v>1070</v>
      </c>
      <c r="C7078" t="s">
        <v>4620</v>
      </c>
    </row>
    <row r="7079" spans="1:3">
      <c r="A7079" t="s">
        <v>93</v>
      </c>
      <c r="B7079" t="s">
        <v>1075</v>
      </c>
      <c r="C7079" t="s">
        <v>4619</v>
      </c>
    </row>
    <row r="7080" spans="1:3">
      <c r="A7080" t="s">
        <v>93</v>
      </c>
      <c r="B7080" t="s">
        <v>1075</v>
      </c>
      <c r="C7080" t="s">
        <v>4618</v>
      </c>
    </row>
    <row r="7081" spans="1:3">
      <c r="A7081" t="s">
        <v>93</v>
      </c>
      <c r="B7081" t="s">
        <v>1075</v>
      </c>
      <c r="C7081" t="s">
        <v>4617</v>
      </c>
    </row>
    <row r="7082" spans="1:3">
      <c r="A7082" t="s">
        <v>93</v>
      </c>
      <c r="B7082" t="s">
        <v>1075</v>
      </c>
      <c r="C7082" t="s">
        <v>4616</v>
      </c>
    </row>
    <row r="7083" spans="1:3">
      <c r="A7083" t="s">
        <v>93</v>
      </c>
      <c r="B7083" t="s">
        <v>1070</v>
      </c>
      <c r="C7083" t="s">
        <v>4615</v>
      </c>
    </row>
    <row r="7084" spans="1:3">
      <c r="A7084" t="s">
        <v>93</v>
      </c>
      <c r="B7084" t="s">
        <v>1070</v>
      </c>
      <c r="C7084" t="s">
        <v>4614</v>
      </c>
    </row>
    <row r="7085" spans="1:3">
      <c r="A7085" t="s">
        <v>93</v>
      </c>
      <c r="B7085" t="s">
        <v>1070</v>
      </c>
      <c r="C7085" t="s">
        <v>4613</v>
      </c>
    </row>
    <row r="7086" spans="1:3">
      <c r="A7086" t="s">
        <v>93</v>
      </c>
      <c r="B7086" t="s">
        <v>1070</v>
      </c>
      <c r="C7086" t="s">
        <v>4612</v>
      </c>
    </row>
    <row r="7087" spans="1:3">
      <c r="A7087" t="s">
        <v>93</v>
      </c>
      <c r="B7087" t="s">
        <v>1070</v>
      </c>
      <c r="C7087" t="s">
        <v>4611</v>
      </c>
    </row>
    <row r="7088" spans="1:3">
      <c r="A7088" t="s">
        <v>110</v>
      </c>
      <c r="B7088" t="s">
        <v>1075</v>
      </c>
      <c r="C7088" t="s">
        <v>4610</v>
      </c>
    </row>
    <row r="7089" spans="1:3">
      <c r="A7089" t="s">
        <v>110</v>
      </c>
      <c r="B7089" t="s">
        <v>1075</v>
      </c>
      <c r="C7089" t="s">
        <v>4609</v>
      </c>
    </row>
    <row r="7090" spans="1:3">
      <c r="A7090" t="s">
        <v>110</v>
      </c>
      <c r="B7090" t="s">
        <v>1075</v>
      </c>
      <c r="C7090" t="s">
        <v>4608</v>
      </c>
    </row>
    <row r="7091" spans="1:3">
      <c r="A7091" t="s">
        <v>110</v>
      </c>
      <c r="B7091" t="s">
        <v>1075</v>
      </c>
      <c r="C7091" t="s">
        <v>4607</v>
      </c>
    </row>
    <row r="7092" spans="1:3">
      <c r="A7092" t="s">
        <v>110</v>
      </c>
      <c r="B7092" t="s">
        <v>1070</v>
      </c>
      <c r="C7092" t="s">
        <v>4606</v>
      </c>
    </row>
    <row r="7093" spans="1:3">
      <c r="A7093" t="s">
        <v>110</v>
      </c>
      <c r="B7093" t="s">
        <v>1070</v>
      </c>
      <c r="C7093" t="s">
        <v>4605</v>
      </c>
    </row>
    <row r="7094" spans="1:3">
      <c r="A7094" t="s">
        <v>110</v>
      </c>
      <c r="B7094" t="s">
        <v>1070</v>
      </c>
      <c r="C7094" t="s">
        <v>4604</v>
      </c>
    </row>
    <row r="7095" spans="1:3">
      <c r="A7095" t="s">
        <v>110</v>
      </c>
      <c r="B7095" t="s">
        <v>1070</v>
      </c>
      <c r="C7095" t="s">
        <v>4603</v>
      </c>
    </row>
    <row r="7096" spans="1:3">
      <c r="A7096" t="s">
        <v>110</v>
      </c>
      <c r="B7096" t="s">
        <v>1070</v>
      </c>
      <c r="C7096" t="s">
        <v>4602</v>
      </c>
    </row>
    <row r="7097" spans="1:3">
      <c r="A7097" t="s">
        <v>129</v>
      </c>
      <c r="B7097" t="s">
        <v>1075</v>
      </c>
      <c r="C7097" t="s">
        <v>4601</v>
      </c>
    </row>
    <row r="7098" spans="1:3">
      <c r="A7098" t="s">
        <v>129</v>
      </c>
      <c r="B7098" t="s">
        <v>1075</v>
      </c>
      <c r="C7098" t="s">
        <v>4600</v>
      </c>
    </row>
    <row r="7099" spans="1:3">
      <c r="A7099" t="s">
        <v>129</v>
      </c>
      <c r="B7099" t="s">
        <v>1075</v>
      </c>
      <c r="C7099" t="s">
        <v>4599</v>
      </c>
    </row>
    <row r="7100" spans="1:3">
      <c r="A7100" t="s">
        <v>129</v>
      </c>
      <c r="B7100" t="s">
        <v>1075</v>
      </c>
      <c r="C7100" t="s">
        <v>4598</v>
      </c>
    </row>
    <row r="7101" spans="1:3">
      <c r="A7101" t="s">
        <v>129</v>
      </c>
      <c r="B7101" t="s">
        <v>1070</v>
      </c>
      <c r="C7101" t="s">
        <v>4597</v>
      </c>
    </row>
    <row r="7102" spans="1:3">
      <c r="A7102" t="s">
        <v>129</v>
      </c>
      <c r="B7102" t="s">
        <v>1070</v>
      </c>
      <c r="C7102" t="s">
        <v>4596</v>
      </c>
    </row>
    <row r="7103" spans="1:3">
      <c r="A7103" t="s">
        <v>129</v>
      </c>
      <c r="B7103" t="s">
        <v>1070</v>
      </c>
      <c r="C7103" t="s">
        <v>4595</v>
      </c>
    </row>
    <row r="7104" spans="1:3">
      <c r="A7104" t="s">
        <v>129</v>
      </c>
      <c r="B7104" t="s">
        <v>1070</v>
      </c>
      <c r="C7104" t="s">
        <v>4594</v>
      </c>
    </row>
    <row r="7105" spans="1:3">
      <c r="A7105" t="s">
        <v>129</v>
      </c>
      <c r="B7105" t="s">
        <v>1070</v>
      </c>
      <c r="C7105" t="s">
        <v>4593</v>
      </c>
    </row>
    <row r="7106" spans="1:3">
      <c r="A7106" t="s">
        <v>190</v>
      </c>
      <c r="B7106" t="s">
        <v>1075</v>
      </c>
      <c r="C7106" t="s">
        <v>4592</v>
      </c>
    </row>
    <row r="7107" spans="1:3">
      <c r="A7107" t="s">
        <v>190</v>
      </c>
      <c r="B7107" t="s">
        <v>1075</v>
      </c>
      <c r="C7107" t="s">
        <v>4591</v>
      </c>
    </row>
    <row r="7108" spans="1:3">
      <c r="A7108" t="s">
        <v>190</v>
      </c>
      <c r="B7108" t="s">
        <v>1075</v>
      </c>
      <c r="C7108" t="s">
        <v>4590</v>
      </c>
    </row>
    <row r="7109" spans="1:3">
      <c r="A7109" t="s">
        <v>190</v>
      </c>
      <c r="B7109" t="s">
        <v>1075</v>
      </c>
      <c r="C7109" t="s">
        <v>4589</v>
      </c>
    </row>
    <row r="7110" spans="1:3">
      <c r="A7110" t="s">
        <v>190</v>
      </c>
      <c r="B7110" t="s">
        <v>1070</v>
      </c>
      <c r="C7110" t="s">
        <v>4588</v>
      </c>
    </row>
    <row r="7111" spans="1:3">
      <c r="A7111" t="s">
        <v>190</v>
      </c>
      <c r="B7111" t="s">
        <v>1070</v>
      </c>
      <c r="C7111" t="s">
        <v>4587</v>
      </c>
    </row>
    <row r="7112" spans="1:3">
      <c r="A7112" t="s">
        <v>190</v>
      </c>
      <c r="B7112" t="s">
        <v>1070</v>
      </c>
      <c r="C7112" t="s">
        <v>4586</v>
      </c>
    </row>
    <row r="7113" spans="1:3">
      <c r="A7113" t="s">
        <v>190</v>
      </c>
      <c r="B7113" t="s">
        <v>1070</v>
      </c>
      <c r="C7113" t="s">
        <v>4585</v>
      </c>
    </row>
    <row r="7114" spans="1:3">
      <c r="A7114" t="s">
        <v>190</v>
      </c>
      <c r="B7114" t="s">
        <v>1070</v>
      </c>
      <c r="C7114" t="s">
        <v>4584</v>
      </c>
    </row>
    <row r="7115" spans="1:3">
      <c r="A7115" t="s">
        <v>139</v>
      </c>
      <c r="B7115" t="s">
        <v>1075</v>
      </c>
      <c r="C7115" t="s">
        <v>4583</v>
      </c>
    </row>
    <row r="7116" spans="1:3">
      <c r="A7116" t="s">
        <v>139</v>
      </c>
      <c r="B7116" t="s">
        <v>1075</v>
      </c>
      <c r="C7116" t="s">
        <v>4582</v>
      </c>
    </row>
    <row r="7117" spans="1:3">
      <c r="A7117" t="s">
        <v>139</v>
      </c>
      <c r="B7117" t="s">
        <v>1075</v>
      </c>
      <c r="C7117" t="s">
        <v>4581</v>
      </c>
    </row>
    <row r="7118" spans="1:3">
      <c r="A7118" t="s">
        <v>139</v>
      </c>
      <c r="B7118" t="s">
        <v>1075</v>
      </c>
      <c r="C7118" t="s">
        <v>4580</v>
      </c>
    </row>
    <row r="7119" spans="1:3">
      <c r="A7119" t="s">
        <v>139</v>
      </c>
      <c r="B7119" t="s">
        <v>1070</v>
      </c>
      <c r="C7119" t="s">
        <v>4579</v>
      </c>
    </row>
    <row r="7120" spans="1:3">
      <c r="A7120" t="s">
        <v>139</v>
      </c>
      <c r="B7120" t="s">
        <v>1070</v>
      </c>
      <c r="C7120" t="s">
        <v>4578</v>
      </c>
    </row>
    <row r="7121" spans="1:3">
      <c r="A7121" t="s">
        <v>139</v>
      </c>
      <c r="B7121" t="s">
        <v>1070</v>
      </c>
      <c r="C7121" t="s">
        <v>4577</v>
      </c>
    </row>
    <row r="7122" spans="1:3">
      <c r="A7122" t="s">
        <v>139</v>
      </c>
      <c r="B7122" t="s">
        <v>1070</v>
      </c>
      <c r="C7122" t="s">
        <v>4576</v>
      </c>
    </row>
    <row r="7123" spans="1:3">
      <c r="A7123" t="s">
        <v>139</v>
      </c>
      <c r="B7123" t="s">
        <v>1070</v>
      </c>
      <c r="C7123" t="s">
        <v>4575</v>
      </c>
    </row>
    <row r="7124" spans="1:3">
      <c r="A7124" t="s">
        <v>147</v>
      </c>
      <c r="B7124" t="s">
        <v>1075</v>
      </c>
      <c r="C7124" t="s">
        <v>4574</v>
      </c>
    </row>
    <row r="7125" spans="1:3">
      <c r="A7125" t="s">
        <v>147</v>
      </c>
      <c r="B7125" t="s">
        <v>1075</v>
      </c>
      <c r="C7125" t="s">
        <v>4573</v>
      </c>
    </row>
    <row r="7126" spans="1:3">
      <c r="A7126" t="s">
        <v>147</v>
      </c>
      <c r="B7126" t="s">
        <v>1075</v>
      </c>
      <c r="C7126" t="s">
        <v>4572</v>
      </c>
    </row>
    <row r="7127" spans="1:3">
      <c r="A7127" t="s">
        <v>147</v>
      </c>
      <c r="B7127" t="s">
        <v>1075</v>
      </c>
      <c r="C7127" t="s">
        <v>4571</v>
      </c>
    </row>
    <row r="7128" spans="1:3">
      <c r="A7128" t="s">
        <v>147</v>
      </c>
      <c r="B7128" t="s">
        <v>1070</v>
      </c>
      <c r="C7128" t="s">
        <v>4570</v>
      </c>
    </row>
    <row r="7129" spans="1:3">
      <c r="A7129" t="s">
        <v>147</v>
      </c>
      <c r="B7129" t="s">
        <v>1070</v>
      </c>
      <c r="C7129" t="s">
        <v>4569</v>
      </c>
    </row>
    <row r="7130" spans="1:3">
      <c r="A7130" t="s">
        <v>147</v>
      </c>
      <c r="B7130" t="s">
        <v>1070</v>
      </c>
      <c r="C7130" t="s">
        <v>4568</v>
      </c>
    </row>
    <row r="7131" spans="1:3">
      <c r="A7131" t="s">
        <v>147</v>
      </c>
      <c r="B7131" t="s">
        <v>1070</v>
      </c>
      <c r="C7131" t="s">
        <v>4567</v>
      </c>
    </row>
    <row r="7132" spans="1:3">
      <c r="A7132" t="s">
        <v>147</v>
      </c>
      <c r="B7132" t="s">
        <v>1070</v>
      </c>
      <c r="C7132" t="s">
        <v>4566</v>
      </c>
    </row>
    <row r="7133" spans="1:3">
      <c r="A7133" t="s">
        <v>188</v>
      </c>
      <c r="B7133" t="s">
        <v>1075</v>
      </c>
      <c r="C7133" t="s">
        <v>4565</v>
      </c>
    </row>
    <row r="7134" spans="1:3">
      <c r="A7134" t="s">
        <v>188</v>
      </c>
      <c r="B7134" t="s">
        <v>1075</v>
      </c>
      <c r="C7134" t="s">
        <v>4564</v>
      </c>
    </row>
    <row r="7135" spans="1:3">
      <c r="A7135" t="s">
        <v>188</v>
      </c>
      <c r="B7135" t="s">
        <v>1075</v>
      </c>
      <c r="C7135" t="s">
        <v>4563</v>
      </c>
    </row>
    <row r="7136" spans="1:3">
      <c r="A7136" t="s">
        <v>188</v>
      </c>
      <c r="B7136" t="s">
        <v>1075</v>
      </c>
      <c r="C7136" t="s">
        <v>4562</v>
      </c>
    </row>
    <row r="7137" spans="1:3">
      <c r="A7137" t="s">
        <v>188</v>
      </c>
      <c r="B7137" t="s">
        <v>1070</v>
      </c>
      <c r="C7137" t="s">
        <v>4561</v>
      </c>
    </row>
    <row r="7138" spans="1:3">
      <c r="A7138" t="s">
        <v>188</v>
      </c>
      <c r="B7138" t="s">
        <v>1070</v>
      </c>
      <c r="C7138" t="s">
        <v>4560</v>
      </c>
    </row>
    <row r="7139" spans="1:3">
      <c r="A7139" t="s">
        <v>188</v>
      </c>
      <c r="B7139" t="s">
        <v>1070</v>
      </c>
      <c r="C7139" t="s">
        <v>4559</v>
      </c>
    </row>
    <row r="7140" spans="1:3">
      <c r="A7140" t="s">
        <v>188</v>
      </c>
      <c r="B7140" t="s">
        <v>1070</v>
      </c>
      <c r="C7140" t="s">
        <v>4558</v>
      </c>
    </row>
    <row r="7141" spans="1:3">
      <c r="A7141" t="s">
        <v>188</v>
      </c>
      <c r="B7141" t="s">
        <v>1070</v>
      </c>
      <c r="C7141" t="s">
        <v>4557</v>
      </c>
    </row>
    <row r="7142" spans="1:3">
      <c r="A7142" t="s">
        <v>125</v>
      </c>
      <c r="B7142" t="s">
        <v>1075</v>
      </c>
      <c r="C7142" t="s">
        <v>4556</v>
      </c>
    </row>
    <row r="7143" spans="1:3">
      <c r="A7143" t="s">
        <v>125</v>
      </c>
      <c r="B7143" t="s">
        <v>1075</v>
      </c>
      <c r="C7143" t="s">
        <v>4555</v>
      </c>
    </row>
    <row r="7144" spans="1:3">
      <c r="A7144" t="s">
        <v>125</v>
      </c>
      <c r="B7144" t="s">
        <v>1075</v>
      </c>
      <c r="C7144" t="s">
        <v>4554</v>
      </c>
    </row>
    <row r="7145" spans="1:3">
      <c r="A7145" t="s">
        <v>125</v>
      </c>
      <c r="B7145" t="s">
        <v>1075</v>
      </c>
      <c r="C7145" t="s">
        <v>4553</v>
      </c>
    </row>
    <row r="7146" spans="1:3">
      <c r="A7146" t="s">
        <v>125</v>
      </c>
      <c r="B7146" t="s">
        <v>1070</v>
      </c>
      <c r="C7146" t="s">
        <v>4552</v>
      </c>
    </row>
    <row r="7147" spans="1:3">
      <c r="A7147" t="s">
        <v>125</v>
      </c>
      <c r="B7147" t="s">
        <v>1070</v>
      </c>
      <c r="C7147" t="s">
        <v>4551</v>
      </c>
    </row>
    <row r="7148" spans="1:3">
      <c r="A7148" t="s">
        <v>125</v>
      </c>
      <c r="B7148" t="s">
        <v>1070</v>
      </c>
      <c r="C7148" t="s">
        <v>4550</v>
      </c>
    </row>
    <row r="7149" spans="1:3">
      <c r="A7149" t="s">
        <v>125</v>
      </c>
      <c r="B7149" t="s">
        <v>1070</v>
      </c>
      <c r="C7149" t="s">
        <v>4549</v>
      </c>
    </row>
    <row r="7150" spans="1:3">
      <c r="A7150" t="s">
        <v>125</v>
      </c>
      <c r="B7150" t="s">
        <v>1070</v>
      </c>
      <c r="C7150" t="s">
        <v>4548</v>
      </c>
    </row>
    <row r="7151" spans="1:3">
      <c r="A7151" t="s">
        <v>167</v>
      </c>
      <c r="B7151" t="s">
        <v>1075</v>
      </c>
      <c r="C7151" t="s">
        <v>4547</v>
      </c>
    </row>
    <row r="7152" spans="1:3">
      <c r="A7152" t="s">
        <v>167</v>
      </c>
      <c r="B7152" t="s">
        <v>1075</v>
      </c>
      <c r="C7152" t="s">
        <v>4546</v>
      </c>
    </row>
    <row r="7153" spans="1:3">
      <c r="A7153" t="s">
        <v>167</v>
      </c>
      <c r="B7153" t="s">
        <v>1075</v>
      </c>
      <c r="C7153" t="s">
        <v>4545</v>
      </c>
    </row>
    <row r="7154" spans="1:3">
      <c r="A7154" t="s">
        <v>167</v>
      </c>
      <c r="B7154" t="s">
        <v>1075</v>
      </c>
      <c r="C7154" t="s">
        <v>4544</v>
      </c>
    </row>
    <row r="7155" spans="1:3">
      <c r="A7155" t="s">
        <v>167</v>
      </c>
      <c r="B7155" t="s">
        <v>1075</v>
      </c>
      <c r="C7155" t="s">
        <v>4543</v>
      </c>
    </row>
    <row r="7156" spans="1:3">
      <c r="A7156" t="s">
        <v>167</v>
      </c>
      <c r="B7156" t="s">
        <v>1075</v>
      </c>
      <c r="C7156" t="s">
        <v>4542</v>
      </c>
    </row>
    <row r="7157" spans="1:3">
      <c r="A7157" t="s">
        <v>167</v>
      </c>
      <c r="B7157" t="s">
        <v>1070</v>
      </c>
      <c r="C7157" t="s">
        <v>4541</v>
      </c>
    </row>
    <row r="7158" spans="1:3">
      <c r="A7158" t="s">
        <v>167</v>
      </c>
      <c r="B7158" t="s">
        <v>1070</v>
      </c>
      <c r="C7158" t="s">
        <v>4540</v>
      </c>
    </row>
    <row r="7159" spans="1:3">
      <c r="A7159" t="s">
        <v>167</v>
      </c>
      <c r="B7159" t="s">
        <v>1070</v>
      </c>
      <c r="C7159" t="s">
        <v>4539</v>
      </c>
    </row>
    <row r="7160" spans="1:3">
      <c r="A7160" t="s">
        <v>167</v>
      </c>
      <c r="B7160" t="s">
        <v>1070</v>
      </c>
      <c r="C7160" t="s">
        <v>4538</v>
      </c>
    </row>
    <row r="7161" spans="1:3">
      <c r="A7161" t="s">
        <v>167</v>
      </c>
      <c r="B7161" t="s">
        <v>1070</v>
      </c>
      <c r="C7161" t="s">
        <v>4537</v>
      </c>
    </row>
    <row r="7162" spans="1:3">
      <c r="A7162" t="s">
        <v>167</v>
      </c>
      <c r="B7162" t="s">
        <v>1070</v>
      </c>
      <c r="C7162" t="s">
        <v>4536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6652F-C571-4440-A203-0F5636E3EFC8}">
  <dimension ref="A1:B1032"/>
  <sheetViews>
    <sheetView topLeftCell="A358" workbookViewId="0">
      <selection activeCell="A3" sqref="A3"/>
    </sheetView>
  </sheetViews>
  <sheetFormatPr defaultRowHeight="14.6"/>
  <cols>
    <col min="1" max="1" width="6.53515625" bestFit="1" customWidth="1"/>
    <col min="2" max="2" width="37.3828125" bestFit="1" customWidth="1"/>
    <col min="3" max="3" width="50.765625" bestFit="1" customWidth="1"/>
  </cols>
  <sheetData>
    <row r="1" spans="1:2">
      <c r="A1" t="s">
        <v>9430</v>
      </c>
      <c r="B1" t="s">
        <v>9014</v>
      </c>
    </row>
    <row r="2" spans="1:2">
      <c r="A2" t="s">
        <v>9432</v>
      </c>
      <c r="B2" t="s">
        <v>9015</v>
      </c>
    </row>
    <row r="3" spans="1:2">
      <c r="A3" t="s">
        <v>9432</v>
      </c>
      <c r="B3" t="s">
        <v>9039</v>
      </c>
    </row>
    <row r="4" spans="1:2">
      <c r="A4" t="s">
        <v>9440</v>
      </c>
      <c r="B4" t="s">
        <v>9037</v>
      </c>
    </row>
    <row r="5" spans="1:2">
      <c r="A5" t="s">
        <v>9440</v>
      </c>
      <c r="B5" t="s">
        <v>9038</v>
      </c>
    </row>
    <row r="6" spans="1:2">
      <c r="A6" t="s">
        <v>9440</v>
      </c>
      <c r="B6" t="s">
        <v>9056</v>
      </c>
    </row>
    <row r="7" spans="1:2">
      <c r="A7" t="s">
        <v>9440</v>
      </c>
      <c r="B7" t="s">
        <v>9015</v>
      </c>
    </row>
    <row r="8" spans="1:2">
      <c r="A8" t="s">
        <v>9440</v>
      </c>
      <c r="B8" t="s">
        <v>9050</v>
      </c>
    </row>
    <row r="9" spans="1:2">
      <c r="A9" t="s">
        <v>9440</v>
      </c>
      <c r="B9" t="s">
        <v>9051</v>
      </c>
    </row>
    <row r="10" spans="1:2">
      <c r="A10" t="s">
        <v>9440</v>
      </c>
      <c r="B10" t="s">
        <v>9057</v>
      </c>
    </row>
    <row r="11" spans="1:2">
      <c r="A11" t="s">
        <v>9440</v>
      </c>
      <c r="B11" t="s">
        <v>9058</v>
      </c>
    </row>
    <row r="12" spans="1:2">
      <c r="A12" t="s">
        <v>9471</v>
      </c>
      <c r="B12" t="s">
        <v>9015</v>
      </c>
    </row>
    <row r="13" spans="1:2">
      <c r="A13" t="s">
        <v>9471</v>
      </c>
      <c r="B13" t="s">
        <v>9047</v>
      </c>
    </row>
    <row r="14" spans="1:2">
      <c r="A14" t="s">
        <v>9471</v>
      </c>
      <c r="B14" t="s">
        <v>9048</v>
      </c>
    </row>
    <row r="15" spans="1:2">
      <c r="A15" t="s">
        <v>9471</v>
      </c>
      <c r="B15" t="s">
        <v>9055</v>
      </c>
    </row>
    <row r="16" spans="1:2">
      <c r="A16" t="s">
        <v>9471</v>
      </c>
      <c r="B16" t="s">
        <v>9046</v>
      </c>
    </row>
    <row r="17" spans="1:2">
      <c r="A17" t="s">
        <v>9471</v>
      </c>
      <c r="B17" t="s">
        <v>9040</v>
      </c>
    </row>
    <row r="18" spans="1:2">
      <c r="A18" t="s">
        <v>9471</v>
      </c>
      <c r="B18" t="s">
        <v>9041</v>
      </c>
    </row>
    <row r="19" spans="1:2">
      <c r="A19" t="s">
        <v>9471</v>
      </c>
      <c r="B19" t="s">
        <v>9054</v>
      </c>
    </row>
    <row r="20" spans="1:2">
      <c r="A20" t="s">
        <v>9471</v>
      </c>
      <c r="B20" t="s">
        <v>9049</v>
      </c>
    </row>
    <row r="21" spans="1:2">
      <c r="A21" t="s">
        <v>9462</v>
      </c>
      <c r="B21" t="s">
        <v>9015</v>
      </c>
    </row>
    <row r="22" spans="1:2">
      <c r="A22" t="s">
        <v>9462</v>
      </c>
      <c r="B22" t="s">
        <v>9383</v>
      </c>
    </row>
    <row r="23" spans="1:2">
      <c r="A23" t="s">
        <v>9462</v>
      </c>
      <c r="B23" t="s">
        <v>9384</v>
      </c>
    </row>
    <row r="24" spans="1:2">
      <c r="A24" t="s">
        <v>9462</v>
      </c>
      <c r="B24" t="s">
        <v>9385</v>
      </c>
    </row>
    <row r="25" spans="1:2">
      <c r="A25" t="s">
        <v>9462</v>
      </c>
      <c r="B25" t="s">
        <v>9386</v>
      </c>
    </row>
    <row r="26" spans="1:2">
      <c r="A26" t="s">
        <v>9462</v>
      </c>
      <c r="B26" t="s">
        <v>9081</v>
      </c>
    </row>
    <row r="27" spans="1:2">
      <c r="A27" t="s">
        <v>9461</v>
      </c>
      <c r="B27" t="s">
        <v>9015</v>
      </c>
    </row>
    <row r="28" spans="1:2">
      <c r="A28" t="s">
        <v>9461</v>
      </c>
      <c r="B28" t="s">
        <v>9050</v>
      </c>
    </row>
    <row r="29" spans="1:2">
      <c r="A29" t="s">
        <v>9461</v>
      </c>
      <c r="B29" t="s">
        <v>9051</v>
      </c>
    </row>
    <row r="30" spans="1:2">
      <c r="A30" t="s">
        <v>9461</v>
      </c>
      <c r="B30" t="s">
        <v>9382</v>
      </c>
    </row>
    <row r="31" spans="1:2">
      <c r="A31" t="s">
        <v>9461</v>
      </c>
      <c r="B31" t="s">
        <v>9037</v>
      </c>
    </row>
    <row r="32" spans="1:2">
      <c r="A32" t="s">
        <v>9434</v>
      </c>
      <c r="B32" t="s">
        <v>9046</v>
      </c>
    </row>
    <row r="33" spans="1:2">
      <c r="A33" t="s">
        <v>9434</v>
      </c>
      <c r="B33" t="s">
        <v>9015</v>
      </c>
    </row>
    <row r="34" spans="1:2">
      <c r="A34" t="s">
        <v>9434</v>
      </c>
      <c r="B34" t="s">
        <v>9047</v>
      </c>
    </row>
    <row r="35" spans="1:2">
      <c r="A35" t="s">
        <v>9434</v>
      </c>
      <c r="B35" t="s">
        <v>9048</v>
      </c>
    </row>
    <row r="36" spans="1:2">
      <c r="A36" t="s">
        <v>9444</v>
      </c>
      <c r="B36" t="s">
        <v>9037</v>
      </c>
    </row>
    <row r="37" spans="1:2">
      <c r="A37" t="s">
        <v>9444</v>
      </c>
      <c r="B37" t="s">
        <v>9038</v>
      </c>
    </row>
    <row r="38" spans="1:2">
      <c r="A38" t="s">
        <v>9444</v>
      </c>
      <c r="B38" t="s">
        <v>9072</v>
      </c>
    </row>
    <row r="39" spans="1:2">
      <c r="A39" t="s">
        <v>9444</v>
      </c>
      <c r="B39" t="s">
        <v>9073</v>
      </c>
    </row>
    <row r="40" spans="1:2">
      <c r="A40" t="s">
        <v>9444</v>
      </c>
      <c r="B40" t="s">
        <v>9074</v>
      </c>
    </row>
    <row r="41" spans="1:2">
      <c r="A41" t="s">
        <v>9444</v>
      </c>
      <c r="B41" t="s">
        <v>9075</v>
      </c>
    </row>
    <row r="42" spans="1:2">
      <c r="A42" t="s">
        <v>9444</v>
      </c>
      <c r="B42" t="s">
        <v>9076</v>
      </c>
    </row>
    <row r="43" spans="1:2">
      <c r="A43" t="s">
        <v>9444</v>
      </c>
      <c r="B43" t="s">
        <v>9056</v>
      </c>
    </row>
    <row r="44" spans="1:2">
      <c r="A44" t="s">
        <v>9444</v>
      </c>
      <c r="B44" t="s">
        <v>9015</v>
      </c>
    </row>
    <row r="45" spans="1:2">
      <c r="A45" t="s">
        <v>9444</v>
      </c>
      <c r="B45" t="s">
        <v>9050</v>
      </c>
    </row>
    <row r="46" spans="1:2">
      <c r="A46" t="s">
        <v>9444</v>
      </c>
      <c r="B46" t="s">
        <v>9051</v>
      </c>
    </row>
    <row r="47" spans="1:2">
      <c r="A47" t="s">
        <v>9444</v>
      </c>
      <c r="B47" t="s">
        <v>9077</v>
      </c>
    </row>
    <row r="48" spans="1:2">
      <c r="A48" t="s">
        <v>9444</v>
      </c>
      <c r="B48" t="s">
        <v>9078</v>
      </c>
    </row>
    <row r="49" spans="1:2">
      <c r="A49" t="s">
        <v>9444</v>
      </c>
      <c r="B49" t="s">
        <v>9079</v>
      </c>
    </row>
    <row r="50" spans="1:2">
      <c r="A50" t="s">
        <v>9444</v>
      </c>
      <c r="B50" t="s">
        <v>9080</v>
      </c>
    </row>
    <row r="51" spans="1:2">
      <c r="A51" t="s">
        <v>9451</v>
      </c>
      <c r="B51" t="s">
        <v>9081</v>
      </c>
    </row>
    <row r="52" spans="1:2">
      <c r="A52" t="s">
        <v>9451</v>
      </c>
      <c r="B52" t="s">
        <v>9015</v>
      </c>
    </row>
    <row r="53" spans="1:2">
      <c r="A53" t="s">
        <v>9451</v>
      </c>
      <c r="B53" t="s">
        <v>9149</v>
      </c>
    </row>
    <row r="54" spans="1:2">
      <c r="A54" t="s">
        <v>9451</v>
      </c>
      <c r="B54" t="s">
        <v>9150</v>
      </c>
    </row>
    <row r="55" spans="1:2">
      <c r="A55" t="s">
        <v>9451</v>
      </c>
      <c r="B55" t="s">
        <v>9151</v>
      </c>
    </row>
    <row r="56" spans="1:2">
      <c r="A56" t="s">
        <v>9451</v>
      </c>
      <c r="B56" t="s">
        <v>9152</v>
      </c>
    </row>
    <row r="57" spans="1:2">
      <c r="A57" t="s">
        <v>9451</v>
      </c>
      <c r="B57" t="s">
        <v>9153</v>
      </c>
    </row>
    <row r="58" spans="1:2">
      <c r="A58" t="s">
        <v>9451</v>
      </c>
      <c r="B58" t="s">
        <v>9154</v>
      </c>
    </row>
    <row r="59" spans="1:2">
      <c r="A59" t="s">
        <v>9451</v>
      </c>
      <c r="B59" t="s">
        <v>9155</v>
      </c>
    </row>
    <row r="60" spans="1:2">
      <c r="A60" t="s">
        <v>9451</v>
      </c>
      <c r="B60" t="s">
        <v>9156</v>
      </c>
    </row>
    <row r="61" spans="1:2">
      <c r="A61" t="s">
        <v>9451</v>
      </c>
      <c r="B61" t="s">
        <v>9157</v>
      </c>
    </row>
    <row r="62" spans="1:2">
      <c r="A62" t="s">
        <v>9451</v>
      </c>
      <c r="B62" t="s">
        <v>9158</v>
      </c>
    </row>
    <row r="63" spans="1:2">
      <c r="A63" t="s">
        <v>9451</v>
      </c>
      <c r="B63" t="s">
        <v>9159</v>
      </c>
    </row>
    <row r="64" spans="1:2">
      <c r="A64" t="s">
        <v>9451</v>
      </c>
      <c r="B64" t="s">
        <v>9160</v>
      </c>
    </row>
    <row r="65" spans="1:2">
      <c r="A65" t="s">
        <v>9437</v>
      </c>
      <c r="B65" t="s">
        <v>9040</v>
      </c>
    </row>
    <row r="66" spans="1:2">
      <c r="A66" t="s">
        <v>9437</v>
      </c>
      <c r="B66" t="s">
        <v>9041</v>
      </c>
    </row>
    <row r="67" spans="1:2">
      <c r="A67" t="s">
        <v>9437</v>
      </c>
      <c r="B67" t="s">
        <v>9054</v>
      </c>
    </row>
    <row r="68" spans="1:2">
      <c r="A68" t="s">
        <v>9437</v>
      </c>
      <c r="B68" t="s">
        <v>9049</v>
      </c>
    </row>
    <row r="69" spans="1:2">
      <c r="A69" t="s">
        <v>9437</v>
      </c>
      <c r="B69" t="s">
        <v>9015</v>
      </c>
    </row>
    <row r="70" spans="1:2">
      <c r="A70" t="s">
        <v>9437</v>
      </c>
      <c r="B70" t="s">
        <v>9052</v>
      </c>
    </row>
    <row r="71" spans="1:2">
      <c r="A71" t="s">
        <v>9437</v>
      </c>
      <c r="B71" t="s">
        <v>9055</v>
      </c>
    </row>
    <row r="72" spans="1:2">
      <c r="A72" t="s">
        <v>9458</v>
      </c>
      <c r="B72" t="s">
        <v>9280</v>
      </c>
    </row>
    <row r="73" spans="1:2">
      <c r="A73" t="s">
        <v>9458</v>
      </c>
      <c r="B73" t="s">
        <v>9282</v>
      </c>
    </row>
    <row r="74" spans="1:2">
      <c r="A74" t="s">
        <v>9458</v>
      </c>
      <c r="B74" t="s">
        <v>9283</v>
      </c>
    </row>
    <row r="75" spans="1:2">
      <c r="A75" t="s">
        <v>9458</v>
      </c>
      <c r="B75" t="s">
        <v>9284</v>
      </c>
    </row>
    <row r="76" spans="1:2">
      <c r="A76" t="s">
        <v>9458</v>
      </c>
      <c r="B76" t="s">
        <v>9056</v>
      </c>
    </row>
    <row r="77" spans="1:2">
      <c r="A77" t="s">
        <v>9458</v>
      </c>
      <c r="B77" t="s">
        <v>9015</v>
      </c>
    </row>
    <row r="78" spans="1:2">
      <c r="A78" t="s">
        <v>9458</v>
      </c>
      <c r="B78" t="s">
        <v>9285</v>
      </c>
    </row>
    <row r="79" spans="1:2">
      <c r="A79" t="s">
        <v>9458</v>
      </c>
      <c r="B79" t="s">
        <v>9286</v>
      </c>
    </row>
    <row r="80" spans="1:2">
      <c r="A80" t="s">
        <v>9458</v>
      </c>
      <c r="B80" t="s">
        <v>9287</v>
      </c>
    </row>
    <row r="81" spans="1:2">
      <c r="A81" t="s">
        <v>9458</v>
      </c>
      <c r="B81" t="s">
        <v>9288</v>
      </c>
    </row>
    <row r="82" spans="1:2">
      <c r="A82" t="s">
        <v>9458</v>
      </c>
      <c r="B82" t="s">
        <v>9289</v>
      </c>
    </row>
    <row r="83" spans="1:2">
      <c r="A83" t="s">
        <v>9458</v>
      </c>
      <c r="B83" t="s">
        <v>9290</v>
      </c>
    </row>
    <row r="84" spans="1:2">
      <c r="A84" t="s">
        <v>9458</v>
      </c>
      <c r="B84" t="s">
        <v>9291</v>
      </c>
    </row>
    <row r="85" spans="1:2">
      <c r="A85" t="s">
        <v>9458</v>
      </c>
      <c r="B85" t="s">
        <v>9292</v>
      </c>
    </row>
    <row r="86" spans="1:2">
      <c r="A86" t="s">
        <v>9458</v>
      </c>
      <c r="B86" t="s">
        <v>9293</v>
      </c>
    </row>
    <row r="87" spans="1:2">
      <c r="A87" t="s">
        <v>9458</v>
      </c>
      <c r="B87" t="s">
        <v>9294</v>
      </c>
    </row>
    <row r="88" spans="1:2">
      <c r="A88" t="s">
        <v>9458</v>
      </c>
      <c r="B88" t="s">
        <v>9295</v>
      </c>
    </row>
    <row r="89" spans="1:2">
      <c r="A89" t="s">
        <v>9458</v>
      </c>
      <c r="B89" t="s">
        <v>9296</v>
      </c>
    </row>
    <row r="90" spans="1:2">
      <c r="A90" t="s">
        <v>9458</v>
      </c>
      <c r="B90" t="s">
        <v>9313</v>
      </c>
    </row>
    <row r="91" spans="1:2">
      <c r="A91" t="s">
        <v>9458</v>
      </c>
      <c r="B91" t="s">
        <v>9314</v>
      </c>
    </row>
    <row r="92" spans="1:2">
      <c r="A92" t="s">
        <v>9458</v>
      </c>
      <c r="B92" t="s">
        <v>9315</v>
      </c>
    </row>
    <row r="93" spans="1:2">
      <c r="A93" t="s">
        <v>9458</v>
      </c>
      <c r="B93" t="s">
        <v>9316</v>
      </c>
    </row>
    <row r="94" spans="1:2">
      <c r="A94" t="s">
        <v>9458</v>
      </c>
      <c r="B94" t="s">
        <v>9317</v>
      </c>
    </row>
    <row r="95" spans="1:2">
      <c r="A95" t="s">
        <v>9458</v>
      </c>
      <c r="B95" t="s">
        <v>9318</v>
      </c>
    </row>
    <row r="96" spans="1:2">
      <c r="A96" t="s">
        <v>9458</v>
      </c>
      <c r="B96" t="s">
        <v>9319</v>
      </c>
    </row>
    <row r="97" spans="1:2">
      <c r="A97" t="s">
        <v>9458</v>
      </c>
      <c r="B97" t="s">
        <v>9320</v>
      </c>
    </row>
    <row r="98" spans="1:2">
      <c r="A98" t="s">
        <v>9458</v>
      </c>
      <c r="B98" t="s">
        <v>9321</v>
      </c>
    </row>
    <row r="99" spans="1:2">
      <c r="A99" t="s">
        <v>9458</v>
      </c>
      <c r="B99" t="s">
        <v>9322</v>
      </c>
    </row>
    <row r="100" spans="1:2">
      <c r="A100" t="s">
        <v>9458</v>
      </c>
      <c r="B100" t="s">
        <v>9323</v>
      </c>
    </row>
    <row r="101" spans="1:2">
      <c r="A101" t="s">
        <v>9458</v>
      </c>
      <c r="B101" t="s">
        <v>9324</v>
      </c>
    </row>
    <row r="102" spans="1:2">
      <c r="A102" t="s">
        <v>9458</v>
      </c>
      <c r="B102" t="s">
        <v>9325</v>
      </c>
    </row>
    <row r="103" spans="1:2">
      <c r="A103" t="s">
        <v>9458</v>
      </c>
      <c r="B103" t="s">
        <v>9326</v>
      </c>
    </row>
    <row r="104" spans="1:2">
      <c r="A104" t="s">
        <v>9458</v>
      </c>
      <c r="B104" t="s">
        <v>9327</v>
      </c>
    </row>
    <row r="105" spans="1:2">
      <c r="A105" t="s">
        <v>9458</v>
      </c>
      <c r="B105" t="s">
        <v>9328</v>
      </c>
    </row>
    <row r="106" spans="1:2">
      <c r="A106" t="s">
        <v>9458</v>
      </c>
      <c r="B106" t="s">
        <v>9329</v>
      </c>
    </row>
    <row r="107" spans="1:2">
      <c r="A107" t="s">
        <v>9458</v>
      </c>
      <c r="B107" t="s">
        <v>9330</v>
      </c>
    </row>
    <row r="108" spans="1:2">
      <c r="A108" t="s">
        <v>9458</v>
      </c>
      <c r="B108" t="s">
        <v>9331</v>
      </c>
    </row>
    <row r="109" spans="1:2">
      <c r="A109" t="s">
        <v>9458</v>
      </c>
      <c r="B109" t="s">
        <v>9332</v>
      </c>
    </row>
    <row r="110" spans="1:2">
      <c r="A110" t="s">
        <v>9458</v>
      </c>
      <c r="B110" t="s">
        <v>9333</v>
      </c>
    </row>
    <row r="111" spans="1:2">
      <c r="A111" t="s">
        <v>9458</v>
      </c>
      <c r="B111" t="s">
        <v>9334</v>
      </c>
    </row>
    <row r="112" spans="1:2">
      <c r="A112" t="s">
        <v>9458</v>
      </c>
      <c r="B112" t="s">
        <v>9335</v>
      </c>
    </row>
    <row r="113" spans="1:2">
      <c r="A113" t="s">
        <v>9458</v>
      </c>
      <c r="B113" t="s">
        <v>9336</v>
      </c>
    </row>
    <row r="114" spans="1:2">
      <c r="A114" t="s">
        <v>9458</v>
      </c>
      <c r="B114" t="s">
        <v>9337</v>
      </c>
    </row>
    <row r="115" spans="1:2">
      <c r="A115" t="s">
        <v>9458</v>
      </c>
      <c r="B115" t="s">
        <v>9338</v>
      </c>
    </row>
    <row r="116" spans="1:2">
      <c r="A116" t="s">
        <v>9458</v>
      </c>
      <c r="B116" t="s">
        <v>9339</v>
      </c>
    </row>
    <row r="117" spans="1:2">
      <c r="A117" t="s">
        <v>9458</v>
      </c>
      <c r="B117" t="s">
        <v>9340</v>
      </c>
    </row>
    <row r="118" spans="1:2">
      <c r="A118" t="s">
        <v>9458</v>
      </c>
      <c r="B118" t="s">
        <v>9341</v>
      </c>
    </row>
    <row r="119" spans="1:2">
      <c r="A119" t="s">
        <v>9458</v>
      </c>
      <c r="B119" t="s">
        <v>9342</v>
      </c>
    </row>
    <row r="120" spans="1:2">
      <c r="A120" t="s">
        <v>9458</v>
      </c>
      <c r="B120" t="s">
        <v>9343</v>
      </c>
    </row>
    <row r="121" spans="1:2">
      <c r="A121" t="s">
        <v>9458</v>
      </c>
      <c r="B121" t="s">
        <v>9344</v>
      </c>
    </row>
    <row r="122" spans="1:2">
      <c r="A122" t="s">
        <v>9458</v>
      </c>
      <c r="B122" t="s">
        <v>9345</v>
      </c>
    </row>
    <row r="123" spans="1:2">
      <c r="A123" t="s">
        <v>9458</v>
      </c>
      <c r="B123" t="s">
        <v>9346</v>
      </c>
    </row>
    <row r="124" spans="1:2">
      <c r="A124" t="s">
        <v>9458</v>
      </c>
      <c r="B124" t="s">
        <v>9347</v>
      </c>
    </row>
    <row r="125" spans="1:2">
      <c r="A125" t="s">
        <v>9458</v>
      </c>
      <c r="B125" t="s">
        <v>9348</v>
      </c>
    </row>
    <row r="126" spans="1:2">
      <c r="A126" t="s">
        <v>9470</v>
      </c>
      <c r="B126" t="s">
        <v>9015</v>
      </c>
    </row>
    <row r="127" spans="1:2">
      <c r="A127" t="s">
        <v>9470</v>
      </c>
      <c r="B127" t="s">
        <v>9047</v>
      </c>
    </row>
    <row r="128" spans="1:2">
      <c r="A128" t="s">
        <v>9470</v>
      </c>
      <c r="B128" t="s">
        <v>9048</v>
      </c>
    </row>
    <row r="129" spans="1:2">
      <c r="A129" t="s">
        <v>9470</v>
      </c>
      <c r="B129" t="s">
        <v>9055</v>
      </c>
    </row>
    <row r="130" spans="1:2">
      <c r="A130" t="s">
        <v>9470</v>
      </c>
      <c r="B130" t="s">
        <v>9046</v>
      </c>
    </row>
    <row r="131" spans="1:2">
      <c r="A131" t="s">
        <v>9455</v>
      </c>
      <c r="B131" t="s">
        <v>9161</v>
      </c>
    </row>
    <row r="132" spans="1:2">
      <c r="A132" t="s">
        <v>9455</v>
      </c>
      <c r="B132" t="s">
        <v>9162</v>
      </c>
    </row>
    <row r="133" spans="1:2">
      <c r="A133" t="s">
        <v>9455</v>
      </c>
      <c r="B133" t="s">
        <v>9163</v>
      </c>
    </row>
    <row r="134" spans="1:2">
      <c r="A134" t="s">
        <v>9455</v>
      </c>
      <c r="B134" t="s">
        <v>9240</v>
      </c>
    </row>
    <row r="135" spans="1:2">
      <c r="A135" t="s">
        <v>9455</v>
      </c>
      <c r="B135" t="s">
        <v>9241</v>
      </c>
    </row>
    <row r="136" spans="1:2">
      <c r="A136" t="s">
        <v>9455</v>
      </c>
      <c r="B136" t="s">
        <v>9242</v>
      </c>
    </row>
    <row r="137" spans="1:2">
      <c r="A137" t="s">
        <v>9455</v>
      </c>
      <c r="B137" t="s">
        <v>9100</v>
      </c>
    </row>
    <row r="138" spans="1:2">
      <c r="A138" t="s">
        <v>9455</v>
      </c>
      <c r="B138" t="s">
        <v>9243</v>
      </c>
    </row>
    <row r="139" spans="1:2">
      <c r="A139" t="s">
        <v>9455</v>
      </c>
      <c r="B139" t="s">
        <v>9056</v>
      </c>
    </row>
    <row r="140" spans="1:2">
      <c r="A140" t="s">
        <v>9455</v>
      </c>
      <c r="B140" t="s">
        <v>9015</v>
      </c>
    </row>
    <row r="141" spans="1:2">
      <c r="A141" t="s">
        <v>9455</v>
      </c>
      <c r="B141" t="s">
        <v>9165</v>
      </c>
    </row>
    <row r="142" spans="1:2">
      <c r="A142" t="s">
        <v>9455</v>
      </c>
      <c r="B142" t="s">
        <v>9166</v>
      </c>
    </row>
    <row r="143" spans="1:2">
      <c r="A143" t="s">
        <v>9455</v>
      </c>
      <c r="B143" t="s">
        <v>9167</v>
      </c>
    </row>
    <row r="144" spans="1:2">
      <c r="A144" t="s">
        <v>9455</v>
      </c>
      <c r="B144" t="s">
        <v>9168</v>
      </c>
    </row>
    <row r="145" spans="1:2">
      <c r="A145" t="s">
        <v>9455</v>
      </c>
      <c r="B145" t="s">
        <v>9169</v>
      </c>
    </row>
    <row r="146" spans="1:2">
      <c r="A146" t="s">
        <v>9455</v>
      </c>
      <c r="B146" t="s">
        <v>9170</v>
      </c>
    </row>
    <row r="147" spans="1:2">
      <c r="A147" t="s">
        <v>9455</v>
      </c>
      <c r="B147" t="s">
        <v>9171</v>
      </c>
    </row>
    <row r="148" spans="1:2">
      <c r="A148" t="s">
        <v>9455</v>
      </c>
      <c r="B148" t="s">
        <v>9172</v>
      </c>
    </row>
    <row r="149" spans="1:2">
      <c r="A149" t="s">
        <v>9455</v>
      </c>
      <c r="B149" t="s">
        <v>9173</v>
      </c>
    </row>
    <row r="150" spans="1:2">
      <c r="A150" t="s">
        <v>9455</v>
      </c>
      <c r="B150" t="s">
        <v>9174</v>
      </c>
    </row>
    <row r="151" spans="1:2">
      <c r="A151" t="s">
        <v>9455</v>
      </c>
      <c r="B151" t="s">
        <v>9175</v>
      </c>
    </row>
    <row r="152" spans="1:2">
      <c r="A152" t="s">
        <v>9455</v>
      </c>
      <c r="B152" t="s">
        <v>9176</v>
      </c>
    </row>
    <row r="153" spans="1:2">
      <c r="A153" t="s">
        <v>9455</v>
      </c>
      <c r="B153" t="s">
        <v>9177</v>
      </c>
    </row>
    <row r="154" spans="1:2">
      <c r="A154" t="s">
        <v>9455</v>
      </c>
      <c r="B154" t="s">
        <v>9178</v>
      </c>
    </row>
    <row r="155" spans="1:2">
      <c r="A155" t="s">
        <v>9455</v>
      </c>
      <c r="B155" t="s">
        <v>9179</v>
      </c>
    </row>
    <row r="156" spans="1:2">
      <c r="A156" t="s">
        <v>9455</v>
      </c>
      <c r="B156" t="s">
        <v>9180</v>
      </c>
    </row>
    <row r="157" spans="1:2">
      <c r="A157" t="s">
        <v>9455</v>
      </c>
      <c r="B157" t="s">
        <v>9181</v>
      </c>
    </row>
    <row r="158" spans="1:2">
      <c r="A158" t="s">
        <v>9455</v>
      </c>
      <c r="B158" t="s">
        <v>9182</v>
      </c>
    </row>
    <row r="159" spans="1:2">
      <c r="A159" t="s">
        <v>9455</v>
      </c>
      <c r="B159" t="s">
        <v>9183</v>
      </c>
    </row>
    <row r="160" spans="1:2">
      <c r="A160" t="s">
        <v>9455</v>
      </c>
      <c r="B160" t="s">
        <v>9184</v>
      </c>
    </row>
    <row r="161" spans="1:2">
      <c r="A161" t="s">
        <v>9455</v>
      </c>
      <c r="B161" t="s">
        <v>9185</v>
      </c>
    </row>
    <row r="162" spans="1:2">
      <c r="A162" t="s">
        <v>9455</v>
      </c>
      <c r="B162" t="s">
        <v>9186</v>
      </c>
    </row>
    <row r="163" spans="1:2">
      <c r="A163" t="s">
        <v>9455</v>
      </c>
      <c r="B163" t="s">
        <v>9187</v>
      </c>
    </row>
    <row r="164" spans="1:2">
      <c r="A164" t="s">
        <v>9455</v>
      </c>
      <c r="B164" t="s">
        <v>9188</v>
      </c>
    </row>
    <row r="165" spans="1:2">
      <c r="A165" t="s">
        <v>9455</v>
      </c>
      <c r="B165" t="s">
        <v>9189</v>
      </c>
    </row>
    <row r="166" spans="1:2">
      <c r="A166" t="s">
        <v>9455</v>
      </c>
      <c r="B166" t="s">
        <v>9190</v>
      </c>
    </row>
    <row r="167" spans="1:2">
      <c r="A167" t="s">
        <v>9455</v>
      </c>
      <c r="B167" t="s">
        <v>9191</v>
      </c>
    </row>
    <row r="168" spans="1:2">
      <c r="A168" t="s">
        <v>9455</v>
      </c>
      <c r="B168" t="s">
        <v>9192</v>
      </c>
    </row>
    <row r="169" spans="1:2">
      <c r="A169" t="s">
        <v>9455</v>
      </c>
      <c r="B169" t="s">
        <v>9193</v>
      </c>
    </row>
    <row r="170" spans="1:2">
      <c r="A170" t="s">
        <v>9455</v>
      </c>
      <c r="B170" t="s">
        <v>9194</v>
      </c>
    </row>
    <row r="171" spans="1:2">
      <c r="A171" t="s">
        <v>9455</v>
      </c>
      <c r="B171" t="s">
        <v>9195</v>
      </c>
    </row>
    <row r="172" spans="1:2">
      <c r="A172" t="s">
        <v>9455</v>
      </c>
      <c r="B172" t="s">
        <v>9196</v>
      </c>
    </row>
    <row r="173" spans="1:2">
      <c r="A173" t="s">
        <v>9455</v>
      </c>
      <c r="B173" t="s">
        <v>9197</v>
      </c>
    </row>
    <row r="174" spans="1:2">
      <c r="A174" t="s">
        <v>9455</v>
      </c>
      <c r="B174" t="s">
        <v>9198</v>
      </c>
    </row>
    <row r="175" spans="1:2">
      <c r="A175" t="s">
        <v>9455</v>
      </c>
      <c r="B175" t="s">
        <v>9199</v>
      </c>
    </row>
    <row r="176" spans="1:2">
      <c r="A176" t="s">
        <v>9455</v>
      </c>
      <c r="B176" t="s">
        <v>9200</v>
      </c>
    </row>
    <row r="177" spans="1:2">
      <c r="A177" t="s">
        <v>9455</v>
      </c>
      <c r="B177" t="s">
        <v>9244</v>
      </c>
    </row>
    <row r="178" spans="1:2">
      <c r="A178" t="s">
        <v>9455</v>
      </c>
      <c r="B178" t="s">
        <v>9245</v>
      </c>
    </row>
    <row r="179" spans="1:2">
      <c r="A179" t="s">
        <v>9455</v>
      </c>
      <c r="B179" t="s">
        <v>9246</v>
      </c>
    </row>
    <row r="180" spans="1:2">
      <c r="A180" t="s">
        <v>9455</v>
      </c>
      <c r="B180" t="s">
        <v>9247</v>
      </c>
    </row>
    <row r="181" spans="1:2">
      <c r="A181" t="s">
        <v>9455</v>
      </c>
      <c r="B181" t="s">
        <v>9248</v>
      </c>
    </row>
    <row r="182" spans="1:2">
      <c r="A182" t="s">
        <v>9455</v>
      </c>
      <c r="B182" t="s">
        <v>9249</v>
      </c>
    </row>
    <row r="183" spans="1:2">
      <c r="A183" t="s">
        <v>9455</v>
      </c>
      <c r="B183" t="s">
        <v>9250</v>
      </c>
    </row>
    <row r="184" spans="1:2">
      <c r="A184" t="s">
        <v>9455</v>
      </c>
      <c r="B184" t="s">
        <v>9251</v>
      </c>
    </row>
    <row r="185" spans="1:2">
      <c r="A185" t="s">
        <v>9455</v>
      </c>
      <c r="B185" t="s">
        <v>9252</v>
      </c>
    </row>
    <row r="186" spans="1:2">
      <c r="A186" t="s">
        <v>9455</v>
      </c>
      <c r="B186" t="s">
        <v>9253</v>
      </c>
    </row>
    <row r="187" spans="1:2">
      <c r="A187" t="s">
        <v>9455</v>
      </c>
      <c r="B187" t="s">
        <v>9254</v>
      </c>
    </row>
    <row r="188" spans="1:2">
      <c r="A188" t="s">
        <v>9455</v>
      </c>
      <c r="B188" t="s">
        <v>9255</v>
      </c>
    </row>
    <row r="189" spans="1:2">
      <c r="A189" t="s">
        <v>9455</v>
      </c>
      <c r="B189" t="s">
        <v>9256</v>
      </c>
    </row>
    <row r="190" spans="1:2">
      <c r="A190" t="s">
        <v>9455</v>
      </c>
      <c r="B190" t="s">
        <v>9257</v>
      </c>
    </row>
    <row r="191" spans="1:2">
      <c r="A191" t="s">
        <v>9455</v>
      </c>
      <c r="B191" t="s">
        <v>9258</v>
      </c>
    </row>
    <row r="192" spans="1:2">
      <c r="A192" t="s">
        <v>9455</v>
      </c>
      <c r="B192" t="s">
        <v>9259</v>
      </c>
    </row>
    <row r="193" spans="1:2">
      <c r="A193" t="s">
        <v>9455</v>
      </c>
      <c r="B193" t="s">
        <v>9260</v>
      </c>
    </row>
    <row r="194" spans="1:2">
      <c r="A194" t="s">
        <v>9455</v>
      </c>
      <c r="B194" t="s">
        <v>9261</v>
      </c>
    </row>
    <row r="195" spans="1:2">
      <c r="A195" t="s">
        <v>9455</v>
      </c>
      <c r="B195" t="s">
        <v>9262</v>
      </c>
    </row>
    <row r="196" spans="1:2">
      <c r="A196" t="s">
        <v>9455</v>
      </c>
      <c r="B196" t="s">
        <v>9263</v>
      </c>
    </row>
    <row r="197" spans="1:2">
      <c r="A197" t="s">
        <v>9455</v>
      </c>
      <c r="B197" t="s">
        <v>9264</v>
      </c>
    </row>
    <row r="198" spans="1:2">
      <c r="A198" t="s">
        <v>9455</v>
      </c>
      <c r="B198" t="s">
        <v>9265</v>
      </c>
    </row>
    <row r="199" spans="1:2">
      <c r="A199" t="s">
        <v>9455</v>
      </c>
      <c r="B199" t="s">
        <v>9266</v>
      </c>
    </row>
    <row r="200" spans="1:2">
      <c r="A200" t="s">
        <v>9455</v>
      </c>
      <c r="B200" t="s">
        <v>9267</v>
      </c>
    </row>
    <row r="201" spans="1:2">
      <c r="A201" t="s">
        <v>9455</v>
      </c>
      <c r="B201" t="s">
        <v>9268</v>
      </c>
    </row>
    <row r="202" spans="1:2">
      <c r="A202" t="s">
        <v>9455</v>
      </c>
      <c r="B202" t="s">
        <v>9269</v>
      </c>
    </row>
    <row r="203" spans="1:2">
      <c r="A203" t="s">
        <v>9455</v>
      </c>
      <c r="B203" t="s">
        <v>9270</v>
      </c>
    </row>
    <row r="204" spans="1:2">
      <c r="A204" t="s">
        <v>9455</v>
      </c>
      <c r="B204" t="s">
        <v>9271</v>
      </c>
    </row>
    <row r="205" spans="1:2">
      <c r="A205" t="s">
        <v>9455</v>
      </c>
      <c r="B205" t="s">
        <v>9272</v>
      </c>
    </row>
    <row r="206" spans="1:2">
      <c r="A206" t="s">
        <v>9455</v>
      </c>
      <c r="B206" t="s">
        <v>9273</v>
      </c>
    </row>
    <row r="207" spans="1:2">
      <c r="A207" t="s">
        <v>9455</v>
      </c>
      <c r="B207" t="s">
        <v>9274</v>
      </c>
    </row>
    <row r="208" spans="1:2">
      <c r="A208" t="s">
        <v>9455</v>
      </c>
      <c r="B208" t="s">
        <v>9275</v>
      </c>
    </row>
    <row r="209" spans="1:2">
      <c r="A209" t="s">
        <v>9455</v>
      </c>
      <c r="B209" t="s">
        <v>9276</v>
      </c>
    </row>
    <row r="210" spans="1:2">
      <c r="A210" t="s">
        <v>9455</v>
      </c>
      <c r="B210" t="s">
        <v>9277</v>
      </c>
    </row>
    <row r="211" spans="1:2">
      <c r="A211" t="s">
        <v>9455</v>
      </c>
      <c r="B211" t="s">
        <v>9278</v>
      </c>
    </row>
    <row r="212" spans="1:2">
      <c r="A212" t="s">
        <v>9455</v>
      </c>
      <c r="B212" t="s">
        <v>9279</v>
      </c>
    </row>
    <row r="213" spans="1:2">
      <c r="A213" t="s">
        <v>9449</v>
      </c>
      <c r="B213" t="s">
        <v>9096</v>
      </c>
    </row>
    <row r="214" spans="1:2">
      <c r="A214" t="s">
        <v>9449</v>
      </c>
      <c r="B214" t="s">
        <v>9097</v>
      </c>
    </row>
    <row r="215" spans="1:2">
      <c r="A215" t="s">
        <v>9449</v>
      </c>
      <c r="B215" t="s">
        <v>9098</v>
      </c>
    </row>
    <row r="216" spans="1:2">
      <c r="A216" t="s">
        <v>9449</v>
      </c>
      <c r="B216" t="s">
        <v>9099</v>
      </c>
    </row>
    <row r="217" spans="1:2">
      <c r="A217" t="s">
        <v>9449</v>
      </c>
      <c r="B217" t="s">
        <v>9100</v>
      </c>
    </row>
    <row r="218" spans="1:2">
      <c r="A218" t="s">
        <v>9449</v>
      </c>
      <c r="B218" t="s">
        <v>9056</v>
      </c>
    </row>
    <row r="219" spans="1:2">
      <c r="A219" t="s">
        <v>9449</v>
      </c>
      <c r="B219" t="s">
        <v>9015</v>
      </c>
    </row>
    <row r="220" spans="1:2">
      <c r="A220" t="s">
        <v>9449</v>
      </c>
      <c r="B220" t="s">
        <v>9101</v>
      </c>
    </row>
    <row r="221" spans="1:2">
      <c r="A221" t="s">
        <v>9449</v>
      </c>
      <c r="B221" t="s">
        <v>9102</v>
      </c>
    </row>
    <row r="222" spans="1:2">
      <c r="A222" t="s">
        <v>9449</v>
      </c>
      <c r="B222" t="s">
        <v>9103</v>
      </c>
    </row>
    <row r="223" spans="1:2">
      <c r="A223" t="s">
        <v>9449</v>
      </c>
      <c r="B223" t="s">
        <v>9104</v>
      </c>
    </row>
    <row r="224" spans="1:2">
      <c r="A224" t="s">
        <v>9449</v>
      </c>
      <c r="B224" t="s">
        <v>9105</v>
      </c>
    </row>
    <row r="225" spans="1:2">
      <c r="A225" t="s">
        <v>9449</v>
      </c>
      <c r="B225" t="s">
        <v>9106</v>
      </c>
    </row>
    <row r="226" spans="1:2">
      <c r="A226" t="s">
        <v>9449</v>
      </c>
      <c r="B226" t="s">
        <v>9107</v>
      </c>
    </row>
    <row r="227" spans="1:2">
      <c r="A227" t="s">
        <v>9449</v>
      </c>
      <c r="B227" t="s">
        <v>9108</v>
      </c>
    </row>
    <row r="228" spans="1:2">
      <c r="A228" t="s">
        <v>9449</v>
      </c>
      <c r="B228" t="s">
        <v>9109</v>
      </c>
    </row>
    <row r="229" spans="1:2">
      <c r="A229" t="s">
        <v>9449</v>
      </c>
      <c r="B229" t="s">
        <v>9110</v>
      </c>
    </row>
    <row r="230" spans="1:2">
      <c r="A230" t="s">
        <v>9449</v>
      </c>
      <c r="B230" t="s">
        <v>9111</v>
      </c>
    </row>
    <row r="231" spans="1:2">
      <c r="A231" t="s">
        <v>9449</v>
      </c>
      <c r="B231" t="s">
        <v>9112</v>
      </c>
    </row>
    <row r="232" spans="1:2">
      <c r="A232" t="s">
        <v>9449</v>
      </c>
      <c r="B232" t="s">
        <v>9113</v>
      </c>
    </row>
    <row r="233" spans="1:2">
      <c r="A233" t="s">
        <v>9449</v>
      </c>
      <c r="B233" t="s">
        <v>9114</v>
      </c>
    </row>
    <row r="234" spans="1:2">
      <c r="A234" t="s">
        <v>9449</v>
      </c>
      <c r="B234" t="s">
        <v>9115</v>
      </c>
    </row>
    <row r="235" spans="1:2">
      <c r="A235" t="s">
        <v>9449</v>
      </c>
      <c r="B235" t="s">
        <v>9116</v>
      </c>
    </row>
    <row r="236" spans="1:2">
      <c r="A236" t="s">
        <v>9449</v>
      </c>
      <c r="B236" t="s">
        <v>9117</v>
      </c>
    </row>
    <row r="237" spans="1:2">
      <c r="A237" t="s">
        <v>9449</v>
      </c>
      <c r="B237" t="s">
        <v>9118</v>
      </c>
    </row>
    <row r="238" spans="1:2">
      <c r="A238" t="s">
        <v>9449</v>
      </c>
      <c r="B238" t="s">
        <v>9119</v>
      </c>
    </row>
    <row r="239" spans="1:2">
      <c r="A239" t="s">
        <v>9449</v>
      </c>
      <c r="B239" t="s">
        <v>9120</v>
      </c>
    </row>
    <row r="240" spans="1:2">
      <c r="A240" t="s">
        <v>9449</v>
      </c>
      <c r="B240" t="s">
        <v>9121</v>
      </c>
    </row>
    <row r="241" spans="1:2">
      <c r="A241" t="s">
        <v>9449</v>
      </c>
      <c r="B241" t="s">
        <v>9122</v>
      </c>
    </row>
    <row r="242" spans="1:2">
      <c r="A242" t="s">
        <v>9449</v>
      </c>
      <c r="B242" t="s">
        <v>9123</v>
      </c>
    </row>
    <row r="243" spans="1:2">
      <c r="A243" t="s">
        <v>9449</v>
      </c>
      <c r="B243" t="s">
        <v>9124</v>
      </c>
    </row>
    <row r="244" spans="1:2">
      <c r="A244" t="s">
        <v>9449</v>
      </c>
      <c r="B244" t="s">
        <v>9125</v>
      </c>
    </row>
    <row r="245" spans="1:2">
      <c r="A245" t="s">
        <v>9449</v>
      </c>
      <c r="B245" t="s">
        <v>9126</v>
      </c>
    </row>
    <row r="246" spans="1:2">
      <c r="A246" t="s">
        <v>9449</v>
      </c>
      <c r="B246" t="s">
        <v>9127</v>
      </c>
    </row>
    <row r="247" spans="1:2">
      <c r="A247" t="s">
        <v>9449</v>
      </c>
      <c r="B247" t="s">
        <v>9128</v>
      </c>
    </row>
    <row r="248" spans="1:2">
      <c r="A248" t="s">
        <v>9449</v>
      </c>
      <c r="B248" t="s">
        <v>9129</v>
      </c>
    </row>
    <row r="249" spans="1:2">
      <c r="A249" t="s">
        <v>9449</v>
      </c>
      <c r="B249" t="s">
        <v>9130</v>
      </c>
    </row>
    <row r="250" spans="1:2">
      <c r="A250" t="s">
        <v>9449</v>
      </c>
      <c r="B250" t="s">
        <v>9131</v>
      </c>
    </row>
    <row r="251" spans="1:2">
      <c r="A251" t="s">
        <v>9449</v>
      </c>
      <c r="B251" t="s">
        <v>9132</v>
      </c>
    </row>
    <row r="252" spans="1:2">
      <c r="A252" t="s">
        <v>9449</v>
      </c>
      <c r="B252" t="s">
        <v>9133</v>
      </c>
    </row>
    <row r="253" spans="1:2">
      <c r="A253" t="s">
        <v>9449</v>
      </c>
      <c r="B253" t="s">
        <v>9134</v>
      </c>
    </row>
    <row r="254" spans="1:2">
      <c r="A254" t="s">
        <v>9449</v>
      </c>
      <c r="B254" t="s">
        <v>9135</v>
      </c>
    </row>
    <row r="255" spans="1:2">
      <c r="A255" t="s">
        <v>9449</v>
      </c>
      <c r="B255" t="s">
        <v>9136</v>
      </c>
    </row>
    <row r="256" spans="1:2">
      <c r="A256" t="s">
        <v>9449</v>
      </c>
      <c r="B256" t="s">
        <v>9137</v>
      </c>
    </row>
    <row r="257" spans="1:2">
      <c r="A257" t="s">
        <v>9449</v>
      </c>
      <c r="B257" t="s">
        <v>9138</v>
      </c>
    </row>
    <row r="258" spans="1:2">
      <c r="A258" t="s">
        <v>9449</v>
      </c>
      <c r="B258" t="s">
        <v>9139</v>
      </c>
    </row>
    <row r="259" spans="1:2">
      <c r="A259" t="s">
        <v>9449</v>
      </c>
      <c r="B259" t="s">
        <v>9140</v>
      </c>
    </row>
    <row r="260" spans="1:2">
      <c r="A260" t="s">
        <v>9449</v>
      </c>
      <c r="B260" t="s">
        <v>9141</v>
      </c>
    </row>
    <row r="261" spans="1:2">
      <c r="A261" t="s">
        <v>9449</v>
      </c>
      <c r="B261" t="s">
        <v>9142</v>
      </c>
    </row>
    <row r="262" spans="1:2">
      <c r="A262" t="s">
        <v>9449</v>
      </c>
      <c r="B262" t="s">
        <v>9143</v>
      </c>
    </row>
    <row r="263" spans="1:2">
      <c r="A263" t="s">
        <v>9449</v>
      </c>
      <c r="B263" t="s">
        <v>9144</v>
      </c>
    </row>
    <row r="264" spans="1:2">
      <c r="A264" t="s">
        <v>9449</v>
      </c>
      <c r="B264" t="s">
        <v>9145</v>
      </c>
    </row>
    <row r="265" spans="1:2">
      <c r="A265" t="s">
        <v>9449</v>
      </c>
      <c r="B265" t="s">
        <v>9146</v>
      </c>
    </row>
    <row r="266" spans="1:2">
      <c r="A266" t="s">
        <v>9449</v>
      </c>
      <c r="B266" t="s">
        <v>9147</v>
      </c>
    </row>
    <row r="267" spans="1:2">
      <c r="A267" t="s">
        <v>9449</v>
      </c>
      <c r="B267" t="s">
        <v>9148</v>
      </c>
    </row>
    <row r="268" spans="1:2">
      <c r="A268" t="s">
        <v>9460</v>
      </c>
      <c r="B268" t="s">
        <v>9368</v>
      </c>
    </row>
    <row r="269" spans="1:2">
      <c r="A269" t="s">
        <v>9460</v>
      </c>
      <c r="B269" t="s">
        <v>9099</v>
      </c>
    </row>
    <row r="270" spans="1:2">
      <c r="A270" t="s">
        <v>9460</v>
      </c>
      <c r="B270" t="s">
        <v>9369</v>
      </c>
    </row>
    <row r="271" spans="1:2">
      <c r="A271" t="s">
        <v>9460</v>
      </c>
      <c r="B271" t="s">
        <v>9056</v>
      </c>
    </row>
    <row r="272" spans="1:2">
      <c r="A272" t="s">
        <v>9460</v>
      </c>
      <c r="B272" t="s">
        <v>9015</v>
      </c>
    </row>
    <row r="273" spans="1:2">
      <c r="A273" t="s">
        <v>9460</v>
      </c>
      <c r="B273" t="s">
        <v>9370</v>
      </c>
    </row>
    <row r="274" spans="1:2">
      <c r="A274" t="s">
        <v>9460</v>
      </c>
      <c r="B274" t="s">
        <v>9371</v>
      </c>
    </row>
    <row r="275" spans="1:2">
      <c r="A275" t="s">
        <v>9460</v>
      </c>
      <c r="B275" t="s">
        <v>9372</v>
      </c>
    </row>
    <row r="276" spans="1:2">
      <c r="A276" t="s">
        <v>9460</v>
      </c>
      <c r="B276" t="s">
        <v>9373</v>
      </c>
    </row>
    <row r="277" spans="1:2">
      <c r="A277" t="s">
        <v>9460</v>
      </c>
      <c r="B277" t="s">
        <v>9374</v>
      </c>
    </row>
    <row r="278" spans="1:2">
      <c r="A278" t="s">
        <v>9460</v>
      </c>
      <c r="B278" t="s">
        <v>9375</v>
      </c>
    </row>
    <row r="279" spans="1:2">
      <c r="A279" t="s">
        <v>9460</v>
      </c>
      <c r="B279" t="s">
        <v>9376</v>
      </c>
    </row>
    <row r="280" spans="1:2">
      <c r="A280" t="s">
        <v>9460</v>
      </c>
      <c r="B280" t="s">
        <v>9377</v>
      </c>
    </row>
    <row r="281" spans="1:2">
      <c r="A281" t="s">
        <v>9460</v>
      </c>
      <c r="B281" t="s">
        <v>9378</v>
      </c>
    </row>
    <row r="282" spans="1:2">
      <c r="A282" t="s">
        <v>9460</v>
      </c>
      <c r="B282" t="s">
        <v>9379</v>
      </c>
    </row>
    <row r="283" spans="1:2">
      <c r="A283" t="s">
        <v>9460</v>
      </c>
      <c r="B283" t="s">
        <v>9380</v>
      </c>
    </row>
    <row r="284" spans="1:2">
      <c r="A284" t="s">
        <v>9460</v>
      </c>
      <c r="B284" t="s">
        <v>9381</v>
      </c>
    </row>
    <row r="285" spans="1:2">
      <c r="A285" t="s">
        <v>9460</v>
      </c>
      <c r="B285" t="s">
        <v>9137</v>
      </c>
    </row>
    <row r="286" spans="1:2">
      <c r="A286" t="s">
        <v>9460</v>
      </c>
      <c r="B286" t="s">
        <v>9138</v>
      </c>
    </row>
    <row r="287" spans="1:2">
      <c r="A287" t="s">
        <v>9460</v>
      </c>
      <c r="B287" t="s">
        <v>9139</v>
      </c>
    </row>
    <row r="288" spans="1:2">
      <c r="A288" t="s">
        <v>9460</v>
      </c>
      <c r="B288" t="s">
        <v>9140</v>
      </c>
    </row>
    <row r="289" spans="1:2">
      <c r="A289" t="s">
        <v>9460</v>
      </c>
      <c r="B289" t="s">
        <v>9141</v>
      </c>
    </row>
    <row r="290" spans="1:2">
      <c r="A290" t="s">
        <v>9460</v>
      </c>
      <c r="B290" t="s">
        <v>9142</v>
      </c>
    </row>
    <row r="291" spans="1:2">
      <c r="A291" t="s">
        <v>9460</v>
      </c>
      <c r="B291" t="s">
        <v>9143</v>
      </c>
    </row>
    <row r="292" spans="1:2">
      <c r="A292" t="s">
        <v>9460</v>
      </c>
      <c r="B292" t="s">
        <v>9144</v>
      </c>
    </row>
    <row r="293" spans="1:2">
      <c r="A293" t="s">
        <v>9460</v>
      </c>
      <c r="B293" t="s">
        <v>9145</v>
      </c>
    </row>
    <row r="294" spans="1:2">
      <c r="A294" t="s">
        <v>9460</v>
      </c>
      <c r="B294" t="s">
        <v>9146</v>
      </c>
    </row>
    <row r="295" spans="1:2">
      <c r="A295" t="s">
        <v>9460</v>
      </c>
      <c r="B295" t="s">
        <v>9147</v>
      </c>
    </row>
    <row r="296" spans="1:2">
      <c r="A296" t="s">
        <v>9460</v>
      </c>
      <c r="B296" t="s">
        <v>9148</v>
      </c>
    </row>
    <row r="297" spans="1:2">
      <c r="A297" t="s">
        <v>9448</v>
      </c>
      <c r="B297" t="s">
        <v>9082</v>
      </c>
    </row>
    <row r="298" spans="1:2">
      <c r="A298" t="s">
        <v>9448</v>
      </c>
      <c r="B298" t="s">
        <v>9083</v>
      </c>
    </row>
    <row r="299" spans="1:2">
      <c r="A299" t="s">
        <v>9448</v>
      </c>
      <c r="B299" t="s">
        <v>9084</v>
      </c>
    </row>
    <row r="300" spans="1:2">
      <c r="A300" t="s">
        <v>9448</v>
      </c>
      <c r="B300" t="s">
        <v>9085</v>
      </c>
    </row>
    <row r="301" spans="1:2">
      <c r="A301" t="s">
        <v>9448</v>
      </c>
      <c r="B301" t="s">
        <v>9086</v>
      </c>
    </row>
    <row r="302" spans="1:2">
      <c r="A302" t="s">
        <v>9448</v>
      </c>
      <c r="B302" t="s">
        <v>9087</v>
      </c>
    </row>
    <row r="303" spans="1:2">
      <c r="A303" t="s">
        <v>9448</v>
      </c>
      <c r="B303" t="s">
        <v>9037</v>
      </c>
    </row>
    <row r="304" spans="1:2">
      <c r="A304" t="s">
        <v>9448</v>
      </c>
      <c r="B304" t="s">
        <v>9038</v>
      </c>
    </row>
    <row r="305" spans="1:2">
      <c r="A305" t="s">
        <v>9448</v>
      </c>
      <c r="B305" t="s">
        <v>9056</v>
      </c>
    </row>
    <row r="306" spans="1:2">
      <c r="A306" t="s">
        <v>9448</v>
      </c>
      <c r="B306" t="s">
        <v>9015</v>
      </c>
    </row>
    <row r="307" spans="1:2">
      <c r="A307" t="s">
        <v>9448</v>
      </c>
      <c r="B307" t="s">
        <v>9050</v>
      </c>
    </row>
    <row r="308" spans="1:2">
      <c r="A308" t="s">
        <v>9448</v>
      </c>
      <c r="B308" t="s">
        <v>9051</v>
      </c>
    </row>
    <row r="309" spans="1:2">
      <c r="A309" t="s">
        <v>9448</v>
      </c>
      <c r="B309" t="s">
        <v>9088</v>
      </c>
    </row>
    <row r="310" spans="1:2">
      <c r="A310" t="s">
        <v>9448</v>
      </c>
      <c r="B310" t="s">
        <v>9089</v>
      </c>
    </row>
    <row r="311" spans="1:2">
      <c r="A311" t="s">
        <v>9448</v>
      </c>
      <c r="B311" t="s">
        <v>9090</v>
      </c>
    </row>
    <row r="312" spans="1:2">
      <c r="A312" t="s">
        <v>9448</v>
      </c>
      <c r="B312" t="s">
        <v>9091</v>
      </c>
    </row>
    <row r="313" spans="1:2">
      <c r="A313" t="s">
        <v>9448</v>
      </c>
      <c r="B313" t="s">
        <v>9092</v>
      </c>
    </row>
    <row r="314" spans="1:2">
      <c r="A314" t="s">
        <v>9448</v>
      </c>
      <c r="B314" t="s">
        <v>9093</v>
      </c>
    </row>
    <row r="315" spans="1:2">
      <c r="A315" t="s">
        <v>9448</v>
      </c>
      <c r="B315" t="s">
        <v>9094</v>
      </c>
    </row>
    <row r="316" spans="1:2">
      <c r="A316" t="s">
        <v>9448</v>
      </c>
      <c r="B316" t="s">
        <v>9095</v>
      </c>
    </row>
    <row r="317" spans="1:2">
      <c r="A317" t="s">
        <v>9439</v>
      </c>
      <c r="B317" t="s">
        <v>9040</v>
      </c>
    </row>
    <row r="318" spans="1:2">
      <c r="A318" t="s">
        <v>9439</v>
      </c>
      <c r="B318" t="s">
        <v>9041</v>
      </c>
    </row>
    <row r="319" spans="1:2">
      <c r="A319" t="s">
        <v>9439</v>
      </c>
      <c r="B319" t="s">
        <v>9054</v>
      </c>
    </row>
    <row r="320" spans="1:2">
      <c r="A320" t="s">
        <v>9439</v>
      </c>
      <c r="B320" t="s">
        <v>9049</v>
      </c>
    </row>
    <row r="321" spans="1:2">
      <c r="A321" t="s">
        <v>9439</v>
      </c>
      <c r="B321" t="s">
        <v>9015</v>
      </c>
    </row>
    <row r="322" spans="1:2">
      <c r="A322" t="s">
        <v>9439</v>
      </c>
      <c r="B322" t="s">
        <v>9052</v>
      </c>
    </row>
    <row r="323" spans="1:2">
      <c r="A323" t="s">
        <v>9435</v>
      </c>
      <c r="B323" t="s">
        <v>9040</v>
      </c>
    </row>
    <row r="324" spans="1:2">
      <c r="A324" t="s">
        <v>9435</v>
      </c>
      <c r="B324" t="s">
        <v>9041</v>
      </c>
    </row>
    <row r="325" spans="1:2">
      <c r="A325" t="s">
        <v>9435</v>
      </c>
      <c r="B325" t="s">
        <v>9049</v>
      </c>
    </row>
    <row r="326" spans="1:2">
      <c r="A326" t="s">
        <v>9435</v>
      </c>
      <c r="B326" t="s">
        <v>9015</v>
      </c>
    </row>
    <row r="327" spans="1:2">
      <c r="A327" t="s">
        <v>9435</v>
      </c>
      <c r="B327" t="s">
        <v>9050</v>
      </c>
    </row>
    <row r="328" spans="1:2">
      <c r="A328" t="s">
        <v>9435</v>
      </c>
      <c r="B328" t="s">
        <v>9051</v>
      </c>
    </row>
    <row r="329" spans="1:2">
      <c r="A329" t="s">
        <v>9433</v>
      </c>
      <c r="B329" t="s">
        <v>9040</v>
      </c>
    </row>
    <row r="330" spans="1:2">
      <c r="A330" t="s">
        <v>9433</v>
      </c>
      <c r="B330" t="s">
        <v>9041</v>
      </c>
    </row>
    <row r="331" spans="1:2">
      <c r="A331" t="s">
        <v>9433</v>
      </c>
      <c r="B331" t="s">
        <v>9015</v>
      </c>
    </row>
    <row r="332" spans="1:2">
      <c r="A332" t="s">
        <v>9433</v>
      </c>
      <c r="B332" t="s">
        <v>9042</v>
      </c>
    </row>
    <row r="333" spans="1:2">
      <c r="A333" t="s">
        <v>9433</v>
      </c>
      <c r="B333" t="s">
        <v>9043</v>
      </c>
    </row>
    <row r="334" spans="1:2">
      <c r="A334" t="s">
        <v>9433</v>
      </c>
      <c r="B334" t="s">
        <v>9044</v>
      </c>
    </row>
    <row r="335" spans="1:2">
      <c r="A335" t="s">
        <v>9433</v>
      </c>
      <c r="B335" t="s">
        <v>9045</v>
      </c>
    </row>
    <row r="336" spans="1:2">
      <c r="A336" t="s">
        <v>9453</v>
      </c>
      <c r="B336" t="s">
        <v>9201</v>
      </c>
    </row>
    <row r="337" spans="1:2">
      <c r="A337" t="s">
        <v>9453</v>
      </c>
      <c r="B337" t="s">
        <v>9202</v>
      </c>
    </row>
    <row r="338" spans="1:2">
      <c r="A338" t="s">
        <v>9453</v>
      </c>
      <c r="B338" t="s">
        <v>9203</v>
      </c>
    </row>
    <row r="339" spans="1:2">
      <c r="A339" t="s">
        <v>9453</v>
      </c>
      <c r="B339" t="s">
        <v>9100</v>
      </c>
    </row>
    <row r="340" spans="1:2">
      <c r="A340" t="s">
        <v>9453</v>
      </c>
      <c r="B340" t="s">
        <v>9056</v>
      </c>
    </row>
    <row r="341" spans="1:2">
      <c r="A341" t="s">
        <v>9453</v>
      </c>
      <c r="B341" t="s">
        <v>9015</v>
      </c>
    </row>
    <row r="342" spans="1:2">
      <c r="A342" t="s">
        <v>9453</v>
      </c>
      <c r="B342" t="s">
        <v>9204</v>
      </c>
    </row>
    <row r="343" spans="1:2">
      <c r="A343" t="s">
        <v>9453</v>
      </c>
      <c r="B343" t="s">
        <v>9205</v>
      </c>
    </row>
    <row r="344" spans="1:2">
      <c r="A344" t="s">
        <v>9453</v>
      </c>
      <c r="B344" t="s">
        <v>9206</v>
      </c>
    </row>
    <row r="345" spans="1:2">
      <c r="A345" t="s">
        <v>9453</v>
      </c>
      <c r="B345" t="s">
        <v>9207</v>
      </c>
    </row>
    <row r="346" spans="1:2">
      <c r="A346" t="s">
        <v>9453</v>
      </c>
      <c r="B346" t="s">
        <v>9208</v>
      </c>
    </row>
    <row r="347" spans="1:2">
      <c r="A347" t="s">
        <v>9453</v>
      </c>
      <c r="B347" t="s">
        <v>9209</v>
      </c>
    </row>
    <row r="348" spans="1:2">
      <c r="A348" t="s">
        <v>9453</v>
      </c>
      <c r="B348" t="s">
        <v>9210</v>
      </c>
    </row>
    <row r="349" spans="1:2">
      <c r="A349" t="s">
        <v>9453</v>
      </c>
      <c r="B349" t="s">
        <v>9211</v>
      </c>
    </row>
    <row r="350" spans="1:2">
      <c r="A350" t="s">
        <v>9453</v>
      </c>
      <c r="B350" t="s">
        <v>9212</v>
      </c>
    </row>
    <row r="351" spans="1:2">
      <c r="A351" t="s">
        <v>9453</v>
      </c>
      <c r="B351" t="s">
        <v>9213</v>
      </c>
    </row>
    <row r="352" spans="1:2">
      <c r="A352" t="s">
        <v>9453</v>
      </c>
      <c r="B352" t="s">
        <v>9214</v>
      </c>
    </row>
    <row r="353" spans="1:2">
      <c r="A353" t="s">
        <v>9453</v>
      </c>
      <c r="B353" t="s">
        <v>9215</v>
      </c>
    </row>
    <row r="354" spans="1:2">
      <c r="A354" t="s">
        <v>9453</v>
      </c>
      <c r="B354" t="s">
        <v>9216</v>
      </c>
    </row>
    <row r="355" spans="1:2">
      <c r="A355" t="s">
        <v>9453</v>
      </c>
      <c r="B355" t="s">
        <v>9217</v>
      </c>
    </row>
    <row r="356" spans="1:2">
      <c r="A356" t="s">
        <v>9453</v>
      </c>
      <c r="B356" t="s">
        <v>9218</v>
      </c>
    </row>
    <row r="357" spans="1:2">
      <c r="A357" t="s">
        <v>9453</v>
      </c>
      <c r="B357" t="s">
        <v>9219</v>
      </c>
    </row>
    <row r="358" spans="1:2">
      <c r="A358" t="s">
        <v>9453</v>
      </c>
      <c r="B358" t="s">
        <v>9220</v>
      </c>
    </row>
    <row r="359" spans="1:2">
      <c r="A359" t="s">
        <v>9453</v>
      </c>
      <c r="B359" t="s">
        <v>9221</v>
      </c>
    </row>
    <row r="360" spans="1:2">
      <c r="A360" t="s">
        <v>9453</v>
      </c>
      <c r="B360" t="s">
        <v>9222</v>
      </c>
    </row>
    <row r="361" spans="1:2">
      <c r="A361" t="s">
        <v>9453</v>
      </c>
      <c r="B361" t="s">
        <v>9223</v>
      </c>
    </row>
    <row r="362" spans="1:2">
      <c r="A362" t="s">
        <v>9453</v>
      </c>
      <c r="B362" t="s">
        <v>9224</v>
      </c>
    </row>
    <row r="363" spans="1:2">
      <c r="A363" t="s">
        <v>9453</v>
      </c>
      <c r="B363" t="s">
        <v>9225</v>
      </c>
    </row>
    <row r="364" spans="1:2">
      <c r="A364" t="s">
        <v>9453</v>
      </c>
      <c r="B364" t="s">
        <v>9226</v>
      </c>
    </row>
    <row r="365" spans="1:2">
      <c r="A365" t="s">
        <v>9453</v>
      </c>
      <c r="B365" t="s">
        <v>9227</v>
      </c>
    </row>
    <row r="366" spans="1:2">
      <c r="A366" t="s">
        <v>9453</v>
      </c>
      <c r="B366" t="s">
        <v>9228</v>
      </c>
    </row>
    <row r="367" spans="1:2">
      <c r="A367" t="s">
        <v>9453</v>
      </c>
      <c r="B367" t="s">
        <v>9229</v>
      </c>
    </row>
    <row r="368" spans="1:2">
      <c r="A368" t="s">
        <v>9453</v>
      </c>
      <c r="B368" t="s">
        <v>9230</v>
      </c>
    </row>
    <row r="369" spans="1:2">
      <c r="A369" t="s">
        <v>9453</v>
      </c>
      <c r="B369" t="s">
        <v>9231</v>
      </c>
    </row>
    <row r="370" spans="1:2">
      <c r="A370" t="s">
        <v>9453</v>
      </c>
      <c r="B370" t="s">
        <v>9232</v>
      </c>
    </row>
    <row r="371" spans="1:2">
      <c r="A371" t="s">
        <v>9453</v>
      </c>
      <c r="B371" t="s">
        <v>9233</v>
      </c>
    </row>
    <row r="372" spans="1:2">
      <c r="A372" t="s">
        <v>9453</v>
      </c>
      <c r="B372" t="s">
        <v>9234</v>
      </c>
    </row>
    <row r="373" spans="1:2">
      <c r="A373" t="s">
        <v>9453</v>
      </c>
      <c r="B373" t="s">
        <v>9235</v>
      </c>
    </row>
    <row r="374" spans="1:2">
      <c r="A374" t="s">
        <v>9453</v>
      </c>
      <c r="B374" t="s">
        <v>9236</v>
      </c>
    </row>
    <row r="375" spans="1:2">
      <c r="A375" t="s">
        <v>9453</v>
      </c>
      <c r="B375" t="s">
        <v>9237</v>
      </c>
    </row>
    <row r="376" spans="1:2">
      <c r="A376" t="s">
        <v>9453</v>
      </c>
      <c r="B376" t="s">
        <v>9238</v>
      </c>
    </row>
    <row r="377" spans="1:2">
      <c r="A377" t="s">
        <v>9453</v>
      </c>
      <c r="B377" t="s">
        <v>9239</v>
      </c>
    </row>
    <row r="378" spans="1:2">
      <c r="A378" t="s">
        <v>9452</v>
      </c>
      <c r="B378" t="s">
        <v>9161</v>
      </c>
    </row>
    <row r="379" spans="1:2">
      <c r="A379" t="s">
        <v>9452</v>
      </c>
      <c r="B379" t="s">
        <v>9162</v>
      </c>
    </row>
    <row r="380" spans="1:2">
      <c r="A380" t="s">
        <v>9452</v>
      </c>
      <c r="B380" t="s">
        <v>9163</v>
      </c>
    </row>
    <row r="381" spans="1:2">
      <c r="A381" t="s">
        <v>9452</v>
      </c>
      <c r="B381" t="s">
        <v>9164</v>
      </c>
    </row>
    <row r="382" spans="1:2">
      <c r="A382" t="s">
        <v>9452</v>
      </c>
      <c r="B382" t="s">
        <v>9056</v>
      </c>
    </row>
    <row r="383" spans="1:2">
      <c r="A383" t="s">
        <v>9452</v>
      </c>
      <c r="B383" t="s">
        <v>9015</v>
      </c>
    </row>
    <row r="384" spans="1:2">
      <c r="A384" t="s">
        <v>9452</v>
      </c>
      <c r="B384" t="s">
        <v>9165</v>
      </c>
    </row>
    <row r="385" spans="1:2">
      <c r="A385" t="s">
        <v>9452</v>
      </c>
      <c r="B385" t="s">
        <v>9166</v>
      </c>
    </row>
    <row r="386" spans="1:2">
      <c r="A386" t="s">
        <v>9452</v>
      </c>
      <c r="B386" t="s">
        <v>9167</v>
      </c>
    </row>
    <row r="387" spans="1:2">
      <c r="A387" t="s">
        <v>9452</v>
      </c>
      <c r="B387" t="s">
        <v>9168</v>
      </c>
    </row>
    <row r="388" spans="1:2">
      <c r="A388" t="s">
        <v>9452</v>
      </c>
      <c r="B388" t="s">
        <v>9169</v>
      </c>
    </row>
    <row r="389" spans="1:2">
      <c r="A389" t="s">
        <v>9452</v>
      </c>
      <c r="B389" t="s">
        <v>9170</v>
      </c>
    </row>
    <row r="390" spans="1:2">
      <c r="A390" t="s">
        <v>9452</v>
      </c>
      <c r="B390" t="s">
        <v>9171</v>
      </c>
    </row>
    <row r="391" spans="1:2">
      <c r="A391" t="s">
        <v>9452</v>
      </c>
      <c r="B391" t="s">
        <v>9172</v>
      </c>
    </row>
    <row r="392" spans="1:2">
      <c r="A392" t="s">
        <v>9452</v>
      </c>
      <c r="B392" t="s">
        <v>9173</v>
      </c>
    </row>
    <row r="393" spans="1:2">
      <c r="A393" t="s">
        <v>9452</v>
      </c>
      <c r="B393" t="s">
        <v>9174</v>
      </c>
    </row>
    <row r="394" spans="1:2">
      <c r="A394" t="s">
        <v>9452</v>
      </c>
      <c r="B394" t="s">
        <v>9175</v>
      </c>
    </row>
    <row r="395" spans="1:2">
      <c r="A395" t="s">
        <v>9452</v>
      </c>
      <c r="B395" t="s">
        <v>9176</v>
      </c>
    </row>
    <row r="396" spans="1:2">
      <c r="A396" t="s">
        <v>9452</v>
      </c>
      <c r="B396" t="s">
        <v>9177</v>
      </c>
    </row>
    <row r="397" spans="1:2">
      <c r="A397" t="s">
        <v>9452</v>
      </c>
      <c r="B397" t="s">
        <v>9178</v>
      </c>
    </row>
    <row r="398" spans="1:2">
      <c r="A398" t="s">
        <v>9452</v>
      </c>
      <c r="B398" t="s">
        <v>9179</v>
      </c>
    </row>
    <row r="399" spans="1:2">
      <c r="A399" t="s">
        <v>9452</v>
      </c>
      <c r="B399" t="s">
        <v>9180</v>
      </c>
    </row>
    <row r="400" spans="1:2">
      <c r="A400" t="s">
        <v>9452</v>
      </c>
      <c r="B400" t="s">
        <v>9181</v>
      </c>
    </row>
    <row r="401" spans="1:2">
      <c r="A401" t="s">
        <v>9452</v>
      </c>
      <c r="B401" t="s">
        <v>9182</v>
      </c>
    </row>
    <row r="402" spans="1:2">
      <c r="A402" t="s">
        <v>9452</v>
      </c>
      <c r="B402" t="s">
        <v>9183</v>
      </c>
    </row>
    <row r="403" spans="1:2">
      <c r="A403" t="s">
        <v>9452</v>
      </c>
      <c r="B403" t="s">
        <v>9184</v>
      </c>
    </row>
    <row r="404" spans="1:2">
      <c r="A404" t="s">
        <v>9452</v>
      </c>
      <c r="B404" t="s">
        <v>9185</v>
      </c>
    </row>
    <row r="405" spans="1:2">
      <c r="A405" t="s">
        <v>9452</v>
      </c>
      <c r="B405" t="s">
        <v>9186</v>
      </c>
    </row>
    <row r="406" spans="1:2">
      <c r="A406" t="s">
        <v>9452</v>
      </c>
      <c r="B406" t="s">
        <v>9187</v>
      </c>
    </row>
    <row r="407" spans="1:2">
      <c r="A407" t="s">
        <v>9452</v>
      </c>
      <c r="B407" t="s">
        <v>9188</v>
      </c>
    </row>
    <row r="408" spans="1:2">
      <c r="A408" t="s">
        <v>9452</v>
      </c>
      <c r="B408" t="s">
        <v>9189</v>
      </c>
    </row>
    <row r="409" spans="1:2">
      <c r="A409" t="s">
        <v>9452</v>
      </c>
      <c r="B409" t="s">
        <v>9190</v>
      </c>
    </row>
    <row r="410" spans="1:2">
      <c r="A410" t="s">
        <v>9452</v>
      </c>
      <c r="B410" t="s">
        <v>9191</v>
      </c>
    </row>
    <row r="411" spans="1:2">
      <c r="A411" t="s">
        <v>9452</v>
      </c>
      <c r="B411" t="s">
        <v>9192</v>
      </c>
    </row>
    <row r="412" spans="1:2">
      <c r="A412" t="s">
        <v>9452</v>
      </c>
      <c r="B412" t="s">
        <v>9193</v>
      </c>
    </row>
    <row r="413" spans="1:2">
      <c r="A413" t="s">
        <v>9452</v>
      </c>
      <c r="B413" t="s">
        <v>9194</v>
      </c>
    </row>
    <row r="414" spans="1:2">
      <c r="A414" t="s">
        <v>9452</v>
      </c>
      <c r="B414" t="s">
        <v>9195</v>
      </c>
    </row>
    <row r="415" spans="1:2">
      <c r="A415" t="s">
        <v>9452</v>
      </c>
      <c r="B415" t="s">
        <v>9196</v>
      </c>
    </row>
    <row r="416" spans="1:2">
      <c r="A416" t="s">
        <v>9452</v>
      </c>
      <c r="B416" t="s">
        <v>9197</v>
      </c>
    </row>
    <row r="417" spans="1:2">
      <c r="A417" t="s">
        <v>9452</v>
      </c>
      <c r="B417" t="s">
        <v>9198</v>
      </c>
    </row>
    <row r="418" spans="1:2">
      <c r="A418" t="s">
        <v>9452</v>
      </c>
      <c r="B418" t="s">
        <v>9199</v>
      </c>
    </row>
    <row r="419" spans="1:2">
      <c r="A419" t="s">
        <v>9452</v>
      </c>
      <c r="B419" t="s">
        <v>9200</v>
      </c>
    </row>
    <row r="420" spans="1:2">
      <c r="A420" t="s">
        <v>9457</v>
      </c>
      <c r="B420" t="s">
        <v>9161</v>
      </c>
    </row>
    <row r="421" spans="1:2">
      <c r="A421" t="s">
        <v>9457</v>
      </c>
      <c r="B421" t="s">
        <v>9349</v>
      </c>
    </row>
    <row r="422" spans="1:2">
      <c r="A422" t="s">
        <v>9457</v>
      </c>
      <c r="B422" t="s">
        <v>9241</v>
      </c>
    </row>
    <row r="423" spans="1:2">
      <c r="A423" t="s">
        <v>9457</v>
      </c>
      <c r="B423" t="s">
        <v>9163</v>
      </c>
    </row>
    <row r="424" spans="1:2">
      <c r="A424" t="s">
        <v>9457</v>
      </c>
      <c r="B424" t="s">
        <v>9242</v>
      </c>
    </row>
    <row r="425" spans="1:2">
      <c r="A425" t="s">
        <v>9457</v>
      </c>
      <c r="B425" t="s">
        <v>9100</v>
      </c>
    </row>
    <row r="426" spans="1:2">
      <c r="A426" t="s">
        <v>9457</v>
      </c>
      <c r="B426" t="s">
        <v>9164</v>
      </c>
    </row>
    <row r="427" spans="1:2">
      <c r="A427" t="s">
        <v>9457</v>
      </c>
      <c r="B427" t="s">
        <v>9056</v>
      </c>
    </row>
    <row r="428" spans="1:2">
      <c r="A428" t="s">
        <v>9457</v>
      </c>
      <c r="B428" t="s">
        <v>9015</v>
      </c>
    </row>
    <row r="429" spans="1:2">
      <c r="A429" t="s">
        <v>9457</v>
      </c>
      <c r="B429" t="s">
        <v>9165</v>
      </c>
    </row>
    <row r="430" spans="1:2">
      <c r="A430" t="s">
        <v>9457</v>
      </c>
      <c r="B430" t="s">
        <v>9166</v>
      </c>
    </row>
    <row r="431" spans="1:2">
      <c r="A431" t="s">
        <v>9457</v>
      </c>
      <c r="B431" t="s">
        <v>9167</v>
      </c>
    </row>
    <row r="432" spans="1:2">
      <c r="A432" t="s">
        <v>9457</v>
      </c>
      <c r="B432" t="s">
        <v>9168</v>
      </c>
    </row>
    <row r="433" spans="1:2">
      <c r="A433" t="s">
        <v>9457</v>
      </c>
      <c r="B433" t="s">
        <v>9169</v>
      </c>
    </row>
    <row r="434" spans="1:2">
      <c r="A434" t="s">
        <v>9457</v>
      </c>
      <c r="B434" t="s">
        <v>9170</v>
      </c>
    </row>
    <row r="435" spans="1:2">
      <c r="A435" t="s">
        <v>9457</v>
      </c>
      <c r="B435" t="s">
        <v>9171</v>
      </c>
    </row>
    <row r="436" spans="1:2">
      <c r="A436" t="s">
        <v>9457</v>
      </c>
      <c r="B436" t="s">
        <v>9172</v>
      </c>
    </row>
    <row r="437" spans="1:2">
      <c r="A437" t="s">
        <v>9457</v>
      </c>
      <c r="B437" t="s">
        <v>9173</v>
      </c>
    </row>
    <row r="438" spans="1:2">
      <c r="A438" t="s">
        <v>9457</v>
      </c>
      <c r="B438" t="s">
        <v>9174</v>
      </c>
    </row>
    <row r="439" spans="1:2">
      <c r="A439" t="s">
        <v>9457</v>
      </c>
      <c r="B439" t="s">
        <v>9175</v>
      </c>
    </row>
    <row r="440" spans="1:2">
      <c r="A440" t="s">
        <v>9457</v>
      </c>
      <c r="B440" t="s">
        <v>9176</v>
      </c>
    </row>
    <row r="441" spans="1:2">
      <c r="A441" t="s">
        <v>9457</v>
      </c>
      <c r="B441" t="s">
        <v>9350</v>
      </c>
    </row>
    <row r="442" spans="1:2">
      <c r="A442" t="s">
        <v>9457</v>
      </c>
      <c r="B442" t="s">
        <v>9351</v>
      </c>
    </row>
    <row r="443" spans="1:2">
      <c r="A443" t="s">
        <v>9457</v>
      </c>
      <c r="B443" t="s">
        <v>9352</v>
      </c>
    </row>
    <row r="444" spans="1:2">
      <c r="A444" t="s">
        <v>9457</v>
      </c>
      <c r="B444" t="s">
        <v>9353</v>
      </c>
    </row>
    <row r="445" spans="1:2">
      <c r="A445" t="s">
        <v>9457</v>
      </c>
      <c r="B445" t="s">
        <v>9354</v>
      </c>
    </row>
    <row r="446" spans="1:2">
      <c r="A446" t="s">
        <v>9457</v>
      </c>
      <c r="B446" t="s">
        <v>9355</v>
      </c>
    </row>
    <row r="447" spans="1:2">
      <c r="A447" t="s">
        <v>9457</v>
      </c>
      <c r="B447" t="s">
        <v>9356</v>
      </c>
    </row>
    <row r="448" spans="1:2">
      <c r="A448" t="s">
        <v>9457</v>
      </c>
      <c r="B448" t="s">
        <v>9357</v>
      </c>
    </row>
    <row r="449" spans="1:2">
      <c r="A449" t="s">
        <v>9457</v>
      </c>
      <c r="B449" t="s">
        <v>9358</v>
      </c>
    </row>
    <row r="450" spans="1:2">
      <c r="A450" t="s">
        <v>9457</v>
      </c>
      <c r="B450" t="s">
        <v>9359</v>
      </c>
    </row>
    <row r="451" spans="1:2">
      <c r="A451" t="s">
        <v>9457</v>
      </c>
      <c r="B451" t="s">
        <v>9360</v>
      </c>
    </row>
    <row r="452" spans="1:2">
      <c r="A452" t="s">
        <v>9457</v>
      </c>
      <c r="B452" t="s">
        <v>9361</v>
      </c>
    </row>
    <row r="453" spans="1:2">
      <c r="A453" t="s">
        <v>9457</v>
      </c>
      <c r="B453" t="s">
        <v>9256</v>
      </c>
    </row>
    <row r="454" spans="1:2">
      <c r="A454" t="s">
        <v>9457</v>
      </c>
      <c r="B454" t="s">
        <v>9257</v>
      </c>
    </row>
    <row r="455" spans="1:2">
      <c r="A455" t="s">
        <v>9457</v>
      </c>
      <c r="B455" t="s">
        <v>9258</v>
      </c>
    </row>
    <row r="456" spans="1:2">
      <c r="A456" t="s">
        <v>9457</v>
      </c>
      <c r="B456" t="s">
        <v>9259</v>
      </c>
    </row>
    <row r="457" spans="1:2">
      <c r="A457" t="s">
        <v>9457</v>
      </c>
      <c r="B457" t="s">
        <v>9260</v>
      </c>
    </row>
    <row r="458" spans="1:2">
      <c r="A458" t="s">
        <v>9457</v>
      </c>
      <c r="B458" t="s">
        <v>9261</v>
      </c>
    </row>
    <row r="459" spans="1:2">
      <c r="A459" t="s">
        <v>9457</v>
      </c>
      <c r="B459" t="s">
        <v>9262</v>
      </c>
    </row>
    <row r="460" spans="1:2">
      <c r="A460" t="s">
        <v>9457</v>
      </c>
      <c r="B460" t="s">
        <v>9263</v>
      </c>
    </row>
    <row r="461" spans="1:2">
      <c r="A461" t="s">
        <v>9457</v>
      </c>
      <c r="B461" t="s">
        <v>9264</v>
      </c>
    </row>
    <row r="462" spans="1:2">
      <c r="A462" t="s">
        <v>9457</v>
      </c>
      <c r="B462" t="s">
        <v>9265</v>
      </c>
    </row>
    <row r="463" spans="1:2">
      <c r="A463" t="s">
        <v>9457</v>
      </c>
      <c r="B463" t="s">
        <v>9266</v>
      </c>
    </row>
    <row r="464" spans="1:2">
      <c r="A464" t="s">
        <v>9457</v>
      </c>
      <c r="B464" t="s">
        <v>9267</v>
      </c>
    </row>
    <row r="465" spans="1:2">
      <c r="A465" t="s">
        <v>9457</v>
      </c>
      <c r="B465" t="s">
        <v>9189</v>
      </c>
    </row>
    <row r="466" spans="1:2">
      <c r="A466" t="s">
        <v>9457</v>
      </c>
      <c r="B466" t="s">
        <v>9190</v>
      </c>
    </row>
    <row r="467" spans="1:2">
      <c r="A467" t="s">
        <v>9457</v>
      </c>
      <c r="B467" t="s">
        <v>9191</v>
      </c>
    </row>
    <row r="468" spans="1:2">
      <c r="A468" t="s">
        <v>9457</v>
      </c>
      <c r="B468" t="s">
        <v>9192</v>
      </c>
    </row>
    <row r="469" spans="1:2">
      <c r="A469" t="s">
        <v>9457</v>
      </c>
      <c r="B469" t="s">
        <v>9193</v>
      </c>
    </row>
    <row r="470" spans="1:2">
      <c r="A470" t="s">
        <v>9457</v>
      </c>
      <c r="B470" t="s">
        <v>9194</v>
      </c>
    </row>
    <row r="471" spans="1:2">
      <c r="A471" t="s">
        <v>9457</v>
      </c>
      <c r="B471" t="s">
        <v>9195</v>
      </c>
    </row>
    <row r="472" spans="1:2">
      <c r="A472" t="s">
        <v>9457</v>
      </c>
      <c r="B472" t="s">
        <v>9196</v>
      </c>
    </row>
    <row r="473" spans="1:2">
      <c r="A473" t="s">
        <v>9457</v>
      </c>
      <c r="B473" t="s">
        <v>9197</v>
      </c>
    </row>
    <row r="474" spans="1:2">
      <c r="A474" t="s">
        <v>9457</v>
      </c>
      <c r="B474" t="s">
        <v>9198</v>
      </c>
    </row>
    <row r="475" spans="1:2">
      <c r="A475" t="s">
        <v>9457</v>
      </c>
      <c r="B475" t="s">
        <v>9199</v>
      </c>
    </row>
    <row r="476" spans="1:2">
      <c r="A476" t="s">
        <v>9457</v>
      </c>
      <c r="B476" t="s">
        <v>9200</v>
      </c>
    </row>
    <row r="477" spans="1:2">
      <c r="A477" t="s">
        <v>9457</v>
      </c>
      <c r="B477" t="s">
        <v>9268</v>
      </c>
    </row>
    <row r="478" spans="1:2">
      <c r="A478" t="s">
        <v>9457</v>
      </c>
      <c r="B478" t="s">
        <v>9269</v>
      </c>
    </row>
    <row r="479" spans="1:2">
      <c r="A479" t="s">
        <v>9457</v>
      </c>
      <c r="B479" t="s">
        <v>9270</v>
      </c>
    </row>
    <row r="480" spans="1:2">
      <c r="A480" t="s">
        <v>9457</v>
      </c>
      <c r="B480" t="s">
        <v>9271</v>
      </c>
    </row>
    <row r="481" spans="1:2">
      <c r="A481" t="s">
        <v>9457</v>
      </c>
      <c r="B481" t="s">
        <v>9272</v>
      </c>
    </row>
    <row r="482" spans="1:2">
      <c r="A482" t="s">
        <v>9457</v>
      </c>
      <c r="B482" t="s">
        <v>9273</v>
      </c>
    </row>
    <row r="483" spans="1:2">
      <c r="A483" t="s">
        <v>9457</v>
      </c>
      <c r="B483" t="s">
        <v>9274</v>
      </c>
    </row>
    <row r="484" spans="1:2">
      <c r="A484" t="s">
        <v>9457</v>
      </c>
      <c r="B484" t="s">
        <v>9275</v>
      </c>
    </row>
    <row r="485" spans="1:2">
      <c r="A485" t="s">
        <v>9457</v>
      </c>
      <c r="B485" t="s">
        <v>9276</v>
      </c>
    </row>
    <row r="486" spans="1:2">
      <c r="A486" t="s">
        <v>9457</v>
      </c>
      <c r="B486" t="s">
        <v>9277</v>
      </c>
    </row>
    <row r="487" spans="1:2">
      <c r="A487" t="s">
        <v>9457</v>
      </c>
      <c r="B487" t="s">
        <v>9278</v>
      </c>
    </row>
    <row r="488" spans="1:2">
      <c r="A488" t="s">
        <v>9457</v>
      </c>
      <c r="B488" t="s">
        <v>9279</v>
      </c>
    </row>
    <row r="489" spans="1:2">
      <c r="A489" t="s">
        <v>9436</v>
      </c>
      <c r="B489" t="s">
        <v>9040</v>
      </c>
    </row>
    <row r="490" spans="1:2">
      <c r="A490" t="s">
        <v>9436</v>
      </c>
      <c r="B490" t="s">
        <v>9015</v>
      </c>
    </row>
    <row r="491" spans="1:2">
      <c r="A491" t="s">
        <v>9436</v>
      </c>
      <c r="B491" t="s">
        <v>9052</v>
      </c>
    </row>
    <row r="492" spans="1:2">
      <c r="A492" t="s">
        <v>9436</v>
      </c>
      <c r="B492" t="s">
        <v>9053</v>
      </c>
    </row>
    <row r="493" spans="1:2">
      <c r="A493" t="s">
        <v>9456</v>
      </c>
      <c r="B493" t="s">
        <v>9280</v>
      </c>
    </row>
    <row r="494" spans="1:2">
      <c r="A494" t="s">
        <v>9456</v>
      </c>
      <c r="B494" t="s">
        <v>9281</v>
      </c>
    </row>
    <row r="495" spans="1:2">
      <c r="A495" t="s">
        <v>9456</v>
      </c>
      <c r="B495" t="s">
        <v>9282</v>
      </c>
    </row>
    <row r="496" spans="1:2">
      <c r="A496" t="s">
        <v>9456</v>
      </c>
      <c r="B496" t="s">
        <v>9240</v>
      </c>
    </row>
    <row r="497" spans="1:2">
      <c r="A497" t="s">
        <v>9456</v>
      </c>
      <c r="B497" t="s">
        <v>9283</v>
      </c>
    </row>
    <row r="498" spans="1:2">
      <c r="A498" t="s">
        <v>9456</v>
      </c>
      <c r="B498" t="s">
        <v>9284</v>
      </c>
    </row>
    <row r="499" spans="1:2">
      <c r="A499" t="s">
        <v>9456</v>
      </c>
      <c r="B499" t="s">
        <v>9056</v>
      </c>
    </row>
    <row r="500" spans="1:2">
      <c r="A500" t="s">
        <v>9456</v>
      </c>
      <c r="B500" t="s">
        <v>9015</v>
      </c>
    </row>
    <row r="501" spans="1:2">
      <c r="A501" t="s">
        <v>9456</v>
      </c>
      <c r="B501" t="s">
        <v>9285</v>
      </c>
    </row>
    <row r="502" spans="1:2">
      <c r="A502" t="s">
        <v>9456</v>
      </c>
      <c r="B502" t="s">
        <v>9286</v>
      </c>
    </row>
    <row r="503" spans="1:2">
      <c r="A503" t="s">
        <v>9456</v>
      </c>
      <c r="B503" t="s">
        <v>9287</v>
      </c>
    </row>
    <row r="504" spans="1:2">
      <c r="A504" t="s">
        <v>9456</v>
      </c>
      <c r="B504" t="s">
        <v>9288</v>
      </c>
    </row>
    <row r="505" spans="1:2">
      <c r="A505" t="s">
        <v>9456</v>
      </c>
      <c r="B505" t="s">
        <v>9289</v>
      </c>
    </row>
    <row r="506" spans="1:2">
      <c r="A506" t="s">
        <v>9456</v>
      </c>
      <c r="B506" t="s">
        <v>9290</v>
      </c>
    </row>
    <row r="507" spans="1:2">
      <c r="A507" t="s">
        <v>9456</v>
      </c>
      <c r="B507" t="s">
        <v>9291</v>
      </c>
    </row>
    <row r="508" spans="1:2">
      <c r="A508" t="s">
        <v>9456</v>
      </c>
      <c r="B508" t="s">
        <v>9292</v>
      </c>
    </row>
    <row r="509" spans="1:2">
      <c r="A509" t="s">
        <v>9456</v>
      </c>
      <c r="B509" t="s">
        <v>9293</v>
      </c>
    </row>
    <row r="510" spans="1:2">
      <c r="A510" t="s">
        <v>9456</v>
      </c>
      <c r="B510" t="s">
        <v>9294</v>
      </c>
    </row>
    <row r="511" spans="1:2">
      <c r="A511" t="s">
        <v>9456</v>
      </c>
      <c r="B511" t="s">
        <v>9295</v>
      </c>
    </row>
    <row r="512" spans="1:2">
      <c r="A512" t="s">
        <v>9456</v>
      </c>
      <c r="B512" t="s">
        <v>9296</v>
      </c>
    </row>
    <row r="513" spans="1:2">
      <c r="A513" t="s">
        <v>9456</v>
      </c>
      <c r="B513" t="s">
        <v>9297</v>
      </c>
    </row>
    <row r="514" spans="1:2">
      <c r="A514" t="s">
        <v>9456</v>
      </c>
      <c r="B514" t="s">
        <v>9298</v>
      </c>
    </row>
    <row r="515" spans="1:2">
      <c r="A515" t="s">
        <v>9456</v>
      </c>
      <c r="B515" t="s">
        <v>9299</v>
      </c>
    </row>
    <row r="516" spans="1:2">
      <c r="A516" t="s">
        <v>9456</v>
      </c>
      <c r="B516" t="s">
        <v>9300</v>
      </c>
    </row>
    <row r="517" spans="1:2">
      <c r="A517" t="s">
        <v>9456</v>
      </c>
      <c r="B517" t="s">
        <v>9301</v>
      </c>
    </row>
    <row r="518" spans="1:2">
      <c r="A518" t="s">
        <v>9456</v>
      </c>
      <c r="B518" t="s">
        <v>9302</v>
      </c>
    </row>
    <row r="519" spans="1:2">
      <c r="A519" t="s">
        <v>9456</v>
      </c>
      <c r="B519" t="s">
        <v>9303</v>
      </c>
    </row>
    <row r="520" spans="1:2">
      <c r="A520" t="s">
        <v>9456</v>
      </c>
      <c r="B520" t="s">
        <v>9304</v>
      </c>
    </row>
    <row r="521" spans="1:2">
      <c r="A521" t="s">
        <v>9456</v>
      </c>
      <c r="B521" t="s">
        <v>9305</v>
      </c>
    </row>
    <row r="522" spans="1:2">
      <c r="A522" t="s">
        <v>9456</v>
      </c>
      <c r="B522" t="s">
        <v>9306</v>
      </c>
    </row>
    <row r="523" spans="1:2">
      <c r="A523" t="s">
        <v>9456</v>
      </c>
      <c r="B523" t="s">
        <v>9307</v>
      </c>
    </row>
    <row r="524" spans="1:2">
      <c r="A524" t="s">
        <v>9456</v>
      </c>
      <c r="B524" t="s">
        <v>9308</v>
      </c>
    </row>
    <row r="525" spans="1:2">
      <c r="A525" t="s">
        <v>9456</v>
      </c>
      <c r="B525" t="s">
        <v>9309</v>
      </c>
    </row>
    <row r="526" spans="1:2">
      <c r="A526" t="s">
        <v>9456</v>
      </c>
      <c r="B526" t="s">
        <v>9310</v>
      </c>
    </row>
    <row r="527" spans="1:2">
      <c r="A527" t="s">
        <v>9456</v>
      </c>
      <c r="B527" t="s">
        <v>9311</v>
      </c>
    </row>
    <row r="528" spans="1:2">
      <c r="A528" t="s">
        <v>9456</v>
      </c>
      <c r="B528" t="s">
        <v>9312</v>
      </c>
    </row>
    <row r="529" spans="1:2">
      <c r="A529" t="s">
        <v>9456</v>
      </c>
      <c r="B529" t="s">
        <v>9313</v>
      </c>
    </row>
    <row r="530" spans="1:2">
      <c r="A530" t="s">
        <v>9456</v>
      </c>
      <c r="B530" t="s">
        <v>9314</v>
      </c>
    </row>
    <row r="531" spans="1:2">
      <c r="A531" t="s">
        <v>9456</v>
      </c>
      <c r="B531" t="s">
        <v>9315</v>
      </c>
    </row>
    <row r="532" spans="1:2">
      <c r="A532" t="s">
        <v>9456</v>
      </c>
      <c r="B532" t="s">
        <v>9316</v>
      </c>
    </row>
    <row r="533" spans="1:2">
      <c r="A533" t="s">
        <v>9456</v>
      </c>
      <c r="B533" t="s">
        <v>9317</v>
      </c>
    </row>
    <row r="534" spans="1:2">
      <c r="A534" t="s">
        <v>9456</v>
      </c>
      <c r="B534" t="s">
        <v>9318</v>
      </c>
    </row>
    <row r="535" spans="1:2">
      <c r="A535" t="s">
        <v>9456</v>
      </c>
      <c r="B535" t="s">
        <v>9319</v>
      </c>
    </row>
    <row r="536" spans="1:2">
      <c r="A536" t="s">
        <v>9456</v>
      </c>
      <c r="B536" t="s">
        <v>9320</v>
      </c>
    </row>
    <row r="537" spans="1:2">
      <c r="A537" t="s">
        <v>9456</v>
      </c>
      <c r="B537" t="s">
        <v>9321</v>
      </c>
    </row>
    <row r="538" spans="1:2">
      <c r="A538" t="s">
        <v>9456</v>
      </c>
      <c r="B538" t="s">
        <v>9322</v>
      </c>
    </row>
    <row r="539" spans="1:2">
      <c r="A539" t="s">
        <v>9456</v>
      </c>
      <c r="B539" t="s">
        <v>9323</v>
      </c>
    </row>
    <row r="540" spans="1:2">
      <c r="A540" t="s">
        <v>9456</v>
      </c>
      <c r="B540" t="s">
        <v>9324</v>
      </c>
    </row>
    <row r="541" spans="1:2">
      <c r="A541" t="s">
        <v>9456</v>
      </c>
      <c r="B541" t="s">
        <v>9244</v>
      </c>
    </row>
    <row r="542" spans="1:2">
      <c r="A542" t="s">
        <v>9456</v>
      </c>
      <c r="B542" t="s">
        <v>9245</v>
      </c>
    </row>
    <row r="543" spans="1:2">
      <c r="A543" t="s">
        <v>9456</v>
      </c>
      <c r="B543" t="s">
        <v>9246</v>
      </c>
    </row>
    <row r="544" spans="1:2">
      <c r="A544" t="s">
        <v>9456</v>
      </c>
      <c r="B544" t="s">
        <v>9247</v>
      </c>
    </row>
    <row r="545" spans="1:2">
      <c r="A545" t="s">
        <v>9456</v>
      </c>
      <c r="B545" t="s">
        <v>9248</v>
      </c>
    </row>
    <row r="546" spans="1:2">
      <c r="A546" t="s">
        <v>9456</v>
      </c>
      <c r="B546" t="s">
        <v>9249</v>
      </c>
    </row>
    <row r="547" spans="1:2">
      <c r="A547" t="s">
        <v>9456</v>
      </c>
      <c r="B547" t="s">
        <v>9250</v>
      </c>
    </row>
    <row r="548" spans="1:2">
      <c r="A548" t="s">
        <v>9456</v>
      </c>
      <c r="B548" t="s">
        <v>9251</v>
      </c>
    </row>
    <row r="549" spans="1:2">
      <c r="A549" t="s">
        <v>9456</v>
      </c>
      <c r="B549" t="s">
        <v>9252</v>
      </c>
    </row>
    <row r="550" spans="1:2">
      <c r="A550" t="s">
        <v>9456</v>
      </c>
      <c r="B550" t="s">
        <v>9253</v>
      </c>
    </row>
    <row r="551" spans="1:2">
      <c r="A551" t="s">
        <v>9456</v>
      </c>
      <c r="B551" t="s">
        <v>9254</v>
      </c>
    </row>
    <row r="552" spans="1:2">
      <c r="A552" t="s">
        <v>9456</v>
      </c>
      <c r="B552" t="s">
        <v>9255</v>
      </c>
    </row>
    <row r="553" spans="1:2">
      <c r="A553" t="s">
        <v>9456</v>
      </c>
      <c r="B553" t="s">
        <v>9325</v>
      </c>
    </row>
    <row r="554" spans="1:2">
      <c r="A554" t="s">
        <v>9456</v>
      </c>
      <c r="B554" t="s">
        <v>9326</v>
      </c>
    </row>
    <row r="555" spans="1:2">
      <c r="A555" t="s">
        <v>9456</v>
      </c>
      <c r="B555" t="s">
        <v>9327</v>
      </c>
    </row>
    <row r="556" spans="1:2">
      <c r="A556" t="s">
        <v>9456</v>
      </c>
      <c r="B556" t="s">
        <v>9328</v>
      </c>
    </row>
    <row r="557" spans="1:2">
      <c r="A557" t="s">
        <v>9456</v>
      </c>
      <c r="B557" t="s">
        <v>9329</v>
      </c>
    </row>
    <row r="558" spans="1:2">
      <c r="A558" t="s">
        <v>9456</v>
      </c>
      <c r="B558" t="s">
        <v>9330</v>
      </c>
    </row>
    <row r="559" spans="1:2">
      <c r="A559" t="s">
        <v>9456</v>
      </c>
      <c r="B559" t="s">
        <v>9331</v>
      </c>
    </row>
    <row r="560" spans="1:2">
      <c r="A560" t="s">
        <v>9456</v>
      </c>
      <c r="B560" t="s">
        <v>9332</v>
      </c>
    </row>
    <row r="561" spans="1:2">
      <c r="A561" t="s">
        <v>9456</v>
      </c>
      <c r="B561" t="s">
        <v>9333</v>
      </c>
    </row>
    <row r="562" spans="1:2">
      <c r="A562" t="s">
        <v>9456</v>
      </c>
      <c r="B562" t="s">
        <v>9334</v>
      </c>
    </row>
    <row r="563" spans="1:2">
      <c r="A563" t="s">
        <v>9456</v>
      </c>
      <c r="B563" t="s">
        <v>9335</v>
      </c>
    </row>
    <row r="564" spans="1:2">
      <c r="A564" t="s">
        <v>9456</v>
      </c>
      <c r="B564" t="s">
        <v>9336</v>
      </c>
    </row>
    <row r="565" spans="1:2">
      <c r="A565" t="s">
        <v>9456</v>
      </c>
      <c r="B565" t="s">
        <v>9337</v>
      </c>
    </row>
    <row r="566" spans="1:2">
      <c r="A566" t="s">
        <v>9456</v>
      </c>
      <c r="B566" t="s">
        <v>9338</v>
      </c>
    </row>
    <row r="567" spans="1:2">
      <c r="A567" t="s">
        <v>9456</v>
      </c>
      <c r="B567" t="s">
        <v>9339</v>
      </c>
    </row>
    <row r="568" spans="1:2">
      <c r="A568" t="s">
        <v>9456</v>
      </c>
      <c r="B568" t="s">
        <v>9340</v>
      </c>
    </row>
    <row r="569" spans="1:2">
      <c r="A569" t="s">
        <v>9456</v>
      </c>
      <c r="B569" t="s">
        <v>9341</v>
      </c>
    </row>
    <row r="570" spans="1:2">
      <c r="A570" t="s">
        <v>9456</v>
      </c>
      <c r="B570" t="s">
        <v>9342</v>
      </c>
    </row>
    <row r="571" spans="1:2">
      <c r="A571" t="s">
        <v>9456</v>
      </c>
      <c r="B571" t="s">
        <v>9343</v>
      </c>
    </row>
    <row r="572" spans="1:2">
      <c r="A572" t="s">
        <v>9456</v>
      </c>
      <c r="B572" t="s">
        <v>9344</v>
      </c>
    </row>
    <row r="573" spans="1:2">
      <c r="A573" t="s">
        <v>9456</v>
      </c>
      <c r="B573" t="s">
        <v>9345</v>
      </c>
    </row>
    <row r="574" spans="1:2">
      <c r="A574" t="s">
        <v>9456</v>
      </c>
      <c r="B574" t="s">
        <v>9346</v>
      </c>
    </row>
    <row r="575" spans="1:2">
      <c r="A575" t="s">
        <v>9456</v>
      </c>
      <c r="B575" t="s">
        <v>9347</v>
      </c>
    </row>
    <row r="576" spans="1:2">
      <c r="A576" t="s">
        <v>9456</v>
      </c>
      <c r="B576" t="s">
        <v>9348</v>
      </c>
    </row>
    <row r="577" spans="1:2">
      <c r="A577" t="s">
        <v>9464</v>
      </c>
      <c r="B577" t="s">
        <v>9097</v>
      </c>
    </row>
    <row r="578" spans="1:2">
      <c r="A578" t="s">
        <v>9464</v>
      </c>
      <c r="B578" t="s">
        <v>9098</v>
      </c>
    </row>
    <row r="579" spans="1:2">
      <c r="A579" t="s">
        <v>9464</v>
      </c>
      <c r="B579" t="s">
        <v>9099</v>
      </c>
    </row>
    <row r="580" spans="1:2">
      <c r="A580" t="s">
        <v>9464</v>
      </c>
      <c r="B580" t="s">
        <v>9100</v>
      </c>
    </row>
    <row r="581" spans="1:2">
      <c r="A581" t="s">
        <v>9464</v>
      </c>
      <c r="B581" t="s">
        <v>9056</v>
      </c>
    </row>
    <row r="582" spans="1:2">
      <c r="A582" t="s">
        <v>9464</v>
      </c>
      <c r="B582" t="s">
        <v>9015</v>
      </c>
    </row>
    <row r="583" spans="1:2">
      <c r="A583" t="s">
        <v>9464</v>
      </c>
      <c r="B583" t="s">
        <v>9113</v>
      </c>
    </row>
    <row r="584" spans="1:2">
      <c r="A584" t="s">
        <v>9464</v>
      </c>
      <c r="B584" t="s">
        <v>9114</v>
      </c>
    </row>
    <row r="585" spans="1:2">
      <c r="A585" t="s">
        <v>9464</v>
      </c>
      <c r="B585" t="s">
        <v>9115</v>
      </c>
    </row>
    <row r="586" spans="1:2">
      <c r="A586" t="s">
        <v>9464</v>
      </c>
      <c r="B586" t="s">
        <v>9116</v>
      </c>
    </row>
    <row r="587" spans="1:2">
      <c r="A587" t="s">
        <v>9464</v>
      </c>
      <c r="B587" t="s">
        <v>9117</v>
      </c>
    </row>
    <row r="588" spans="1:2">
      <c r="A588" t="s">
        <v>9464</v>
      </c>
      <c r="B588" t="s">
        <v>9118</v>
      </c>
    </row>
    <row r="589" spans="1:2">
      <c r="A589" t="s">
        <v>9464</v>
      </c>
      <c r="B589" t="s">
        <v>9119</v>
      </c>
    </row>
    <row r="590" spans="1:2">
      <c r="A590" t="s">
        <v>9464</v>
      </c>
      <c r="B590" t="s">
        <v>9120</v>
      </c>
    </row>
    <row r="591" spans="1:2">
      <c r="A591" t="s">
        <v>9464</v>
      </c>
      <c r="B591" t="s">
        <v>9121</v>
      </c>
    </row>
    <row r="592" spans="1:2">
      <c r="A592" t="s">
        <v>9464</v>
      </c>
      <c r="B592" t="s">
        <v>9122</v>
      </c>
    </row>
    <row r="593" spans="1:2">
      <c r="A593" t="s">
        <v>9464</v>
      </c>
      <c r="B593" t="s">
        <v>9123</v>
      </c>
    </row>
    <row r="594" spans="1:2">
      <c r="A594" t="s">
        <v>9464</v>
      </c>
      <c r="B594" t="s">
        <v>9124</v>
      </c>
    </row>
    <row r="595" spans="1:2">
      <c r="A595" t="s">
        <v>9464</v>
      </c>
      <c r="B595" t="s">
        <v>9125</v>
      </c>
    </row>
    <row r="596" spans="1:2">
      <c r="A596" t="s">
        <v>9464</v>
      </c>
      <c r="B596" t="s">
        <v>9126</v>
      </c>
    </row>
    <row r="597" spans="1:2">
      <c r="A597" t="s">
        <v>9464</v>
      </c>
      <c r="B597" t="s">
        <v>9127</v>
      </c>
    </row>
    <row r="598" spans="1:2">
      <c r="A598" t="s">
        <v>9464</v>
      </c>
      <c r="B598" t="s">
        <v>9128</v>
      </c>
    </row>
    <row r="599" spans="1:2">
      <c r="A599" t="s">
        <v>9464</v>
      </c>
      <c r="B599" t="s">
        <v>9129</v>
      </c>
    </row>
    <row r="600" spans="1:2">
      <c r="A600" t="s">
        <v>9464</v>
      </c>
      <c r="B600" t="s">
        <v>9130</v>
      </c>
    </row>
    <row r="601" spans="1:2">
      <c r="A601" t="s">
        <v>9464</v>
      </c>
      <c r="B601" t="s">
        <v>9131</v>
      </c>
    </row>
    <row r="602" spans="1:2">
      <c r="A602" t="s">
        <v>9464</v>
      </c>
      <c r="B602" t="s">
        <v>9132</v>
      </c>
    </row>
    <row r="603" spans="1:2">
      <c r="A603" t="s">
        <v>9464</v>
      </c>
      <c r="B603" t="s">
        <v>9133</v>
      </c>
    </row>
    <row r="604" spans="1:2">
      <c r="A604" t="s">
        <v>9464</v>
      </c>
      <c r="B604" t="s">
        <v>9134</v>
      </c>
    </row>
    <row r="605" spans="1:2">
      <c r="A605" t="s">
        <v>9464</v>
      </c>
      <c r="B605" t="s">
        <v>9135</v>
      </c>
    </row>
    <row r="606" spans="1:2">
      <c r="A606" t="s">
        <v>9464</v>
      </c>
      <c r="B606" t="s">
        <v>9136</v>
      </c>
    </row>
    <row r="607" spans="1:2">
      <c r="A607" t="s">
        <v>9464</v>
      </c>
      <c r="B607" t="s">
        <v>9137</v>
      </c>
    </row>
    <row r="608" spans="1:2">
      <c r="A608" t="s">
        <v>9464</v>
      </c>
      <c r="B608" t="s">
        <v>9138</v>
      </c>
    </row>
    <row r="609" spans="1:2">
      <c r="A609" t="s">
        <v>9464</v>
      </c>
      <c r="B609" t="s">
        <v>9139</v>
      </c>
    </row>
    <row r="610" spans="1:2">
      <c r="A610" t="s">
        <v>9464</v>
      </c>
      <c r="B610" t="s">
        <v>9140</v>
      </c>
    </row>
    <row r="611" spans="1:2">
      <c r="A611" t="s">
        <v>9464</v>
      </c>
      <c r="B611" t="s">
        <v>9141</v>
      </c>
    </row>
    <row r="612" spans="1:2">
      <c r="A612" t="s">
        <v>9464</v>
      </c>
      <c r="B612" t="s">
        <v>9142</v>
      </c>
    </row>
    <row r="613" spans="1:2">
      <c r="A613" t="s">
        <v>9464</v>
      </c>
      <c r="B613" t="s">
        <v>9143</v>
      </c>
    </row>
    <row r="614" spans="1:2">
      <c r="A614" t="s">
        <v>9464</v>
      </c>
      <c r="B614" t="s">
        <v>9144</v>
      </c>
    </row>
    <row r="615" spans="1:2">
      <c r="A615" t="s">
        <v>9464</v>
      </c>
      <c r="B615" t="s">
        <v>9145</v>
      </c>
    </row>
    <row r="616" spans="1:2">
      <c r="A616" t="s">
        <v>9464</v>
      </c>
      <c r="B616" t="s">
        <v>9146</v>
      </c>
    </row>
    <row r="617" spans="1:2">
      <c r="A617" t="s">
        <v>9464</v>
      </c>
      <c r="B617" t="s">
        <v>9147</v>
      </c>
    </row>
    <row r="618" spans="1:2">
      <c r="A618" t="s">
        <v>9464</v>
      </c>
      <c r="B618" t="s">
        <v>9148</v>
      </c>
    </row>
    <row r="619" spans="1:2">
      <c r="A619" t="s">
        <v>9459</v>
      </c>
      <c r="B619" t="s">
        <v>9036</v>
      </c>
    </row>
    <row r="620" spans="1:2">
      <c r="A620" t="s">
        <v>9459</v>
      </c>
      <c r="B620" t="s">
        <v>9362</v>
      </c>
    </row>
    <row r="621" spans="1:2">
      <c r="A621" t="s">
        <v>9459</v>
      </c>
      <c r="B621" t="s">
        <v>9049</v>
      </c>
    </row>
    <row r="622" spans="1:2">
      <c r="A622" t="s">
        <v>9459</v>
      </c>
      <c r="B622" t="s">
        <v>9015</v>
      </c>
    </row>
    <row r="623" spans="1:2">
      <c r="A623" t="s">
        <v>9459</v>
      </c>
      <c r="B623" t="s">
        <v>9050</v>
      </c>
    </row>
    <row r="624" spans="1:2">
      <c r="A624" t="s">
        <v>9459</v>
      </c>
      <c r="B624" t="s">
        <v>9051</v>
      </c>
    </row>
    <row r="625" spans="1:2">
      <c r="A625" t="s">
        <v>9459</v>
      </c>
      <c r="B625" t="s">
        <v>9363</v>
      </c>
    </row>
    <row r="626" spans="1:2">
      <c r="A626" t="s">
        <v>9459</v>
      </c>
      <c r="B626" t="s">
        <v>9364</v>
      </c>
    </row>
    <row r="627" spans="1:2">
      <c r="A627" t="s">
        <v>9459</v>
      </c>
      <c r="B627" t="s">
        <v>9365</v>
      </c>
    </row>
    <row r="628" spans="1:2">
      <c r="A628" t="s">
        <v>9459</v>
      </c>
      <c r="B628" t="s">
        <v>9366</v>
      </c>
    </row>
    <row r="629" spans="1:2">
      <c r="A629" t="s">
        <v>9459</v>
      </c>
      <c r="B629" t="s">
        <v>9367</v>
      </c>
    </row>
    <row r="630" spans="1:2">
      <c r="A630" t="s">
        <v>9472</v>
      </c>
      <c r="B630" t="s">
        <v>9015</v>
      </c>
    </row>
    <row r="631" spans="1:2">
      <c r="A631" t="s">
        <v>9472</v>
      </c>
      <c r="B631" t="s">
        <v>9062</v>
      </c>
    </row>
    <row r="632" spans="1:2">
      <c r="A632" t="s">
        <v>9472</v>
      </c>
      <c r="B632" t="s">
        <v>9063</v>
      </c>
    </row>
    <row r="633" spans="1:2">
      <c r="A633" t="s">
        <v>9472</v>
      </c>
      <c r="B633" t="s">
        <v>9382</v>
      </c>
    </row>
    <row r="634" spans="1:2">
      <c r="A634" t="s">
        <v>9472</v>
      </c>
      <c r="B634" t="s">
        <v>9066</v>
      </c>
    </row>
    <row r="635" spans="1:2">
      <c r="A635" t="s">
        <v>9472</v>
      </c>
      <c r="B635" t="s">
        <v>9067</v>
      </c>
    </row>
    <row r="636" spans="1:2">
      <c r="A636" t="s">
        <v>9472</v>
      </c>
      <c r="B636" t="s">
        <v>9428</v>
      </c>
    </row>
    <row r="637" spans="1:2">
      <c r="A637" t="s">
        <v>9472</v>
      </c>
      <c r="B637" t="s">
        <v>9429</v>
      </c>
    </row>
    <row r="638" spans="1:2">
      <c r="A638" t="s">
        <v>9472</v>
      </c>
      <c r="B638" t="s">
        <v>9040</v>
      </c>
    </row>
    <row r="639" spans="1:2">
      <c r="A639" t="s">
        <v>9472</v>
      </c>
      <c r="B639" t="s">
        <v>9041</v>
      </c>
    </row>
    <row r="640" spans="1:2">
      <c r="A640" t="s">
        <v>9472</v>
      </c>
      <c r="B640" t="s">
        <v>9054</v>
      </c>
    </row>
    <row r="641" spans="1:2">
      <c r="A641" t="s">
        <v>9472</v>
      </c>
      <c r="B641" t="s">
        <v>9049</v>
      </c>
    </row>
    <row r="642" spans="1:2">
      <c r="A642" t="s">
        <v>9454</v>
      </c>
      <c r="B642" t="s">
        <v>9201</v>
      </c>
    </row>
    <row r="643" spans="1:2">
      <c r="A643" t="s">
        <v>9454</v>
      </c>
      <c r="B643" t="s">
        <v>9202</v>
      </c>
    </row>
    <row r="644" spans="1:2">
      <c r="A644" t="s">
        <v>9454</v>
      </c>
      <c r="B644" t="s">
        <v>9100</v>
      </c>
    </row>
    <row r="645" spans="1:2">
      <c r="A645" t="s">
        <v>9454</v>
      </c>
      <c r="B645" t="s">
        <v>9056</v>
      </c>
    </row>
    <row r="646" spans="1:2">
      <c r="A646" t="s">
        <v>9454</v>
      </c>
      <c r="B646" t="s">
        <v>9015</v>
      </c>
    </row>
    <row r="647" spans="1:2">
      <c r="A647" t="s">
        <v>9454</v>
      </c>
      <c r="B647" t="s">
        <v>9204</v>
      </c>
    </row>
    <row r="648" spans="1:2">
      <c r="A648" t="s">
        <v>9454</v>
      </c>
      <c r="B648" t="s">
        <v>9205</v>
      </c>
    </row>
    <row r="649" spans="1:2">
      <c r="A649" t="s">
        <v>9454</v>
      </c>
      <c r="B649" t="s">
        <v>9206</v>
      </c>
    </row>
    <row r="650" spans="1:2">
      <c r="A650" t="s">
        <v>9454</v>
      </c>
      <c r="B650" t="s">
        <v>9207</v>
      </c>
    </row>
    <row r="651" spans="1:2">
      <c r="A651" t="s">
        <v>9454</v>
      </c>
      <c r="B651" t="s">
        <v>9208</v>
      </c>
    </row>
    <row r="652" spans="1:2">
      <c r="A652" t="s">
        <v>9454</v>
      </c>
      <c r="B652" t="s">
        <v>9209</v>
      </c>
    </row>
    <row r="653" spans="1:2">
      <c r="A653" t="s">
        <v>9454</v>
      </c>
      <c r="B653" t="s">
        <v>9210</v>
      </c>
    </row>
    <row r="654" spans="1:2">
      <c r="A654" t="s">
        <v>9454</v>
      </c>
      <c r="B654" t="s">
        <v>9211</v>
      </c>
    </row>
    <row r="655" spans="1:2">
      <c r="A655" t="s">
        <v>9454</v>
      </c>
      <c r="B655" t="s">
        <v>9212</v>
      </c>
    </row>
    <row r="656" spans="1:2">
      <c r="A656" t="s">
        <v>9454</v>
      </c>
      <c r="B656" t="s">
        <v>9213</v>
      </c>
    </row>
    <row r="657" spans="1:2">
      <c r="A657" t="s">
        <v>9454</v>
      </c>
      <c r="B657" t="s">
        <v>9214</v>
      </c>
    </row>
    <row r="658" spans="1:2">
      <c r="A658" t="s">
        <v>9454</v>
      </c>
      <c r="B658" t="s">
        <v>9215</v>
      </c>
    </row>
    <row r="659" spans="1:2">
      <c r="A659" t="s">
        <v>9454</v>
      </c>
      <c r="B659" t="s">
        <v>9216</v>
      </c>
    </row>
    <row r="660" spans="1:2">
      <c r="A660" t="s">
        <v>9454</v>
      </c>
      <c r="B660" t="s">
        <v>9217</v>
      </c>
    </row>
    <row r="661" spans="1:2">
      <c r="A661" t="s">
        <v>9454</v>
      </c>
      <c r="B661" t="s">
        <v>9218</v>
      </c>
    </row>
    <row r="662" spans="1:2">
      <c r="A662" t="s">
        <v>9454</v>
      </c>
      <c r="B662" t="s">
        <v>9219</v>
      </c>
    </row>
    <row r="663" spans="1:2">
      <c r="A663" t="s">
        <v>9454</v>
      </c>
      <c r="B663" t="s">
        <v>9220</v>
      </c>
    </row>
    <row r="664" spans="1:2">
      <c r="A664" t="s">
        <v>9454</v>
      </c>
      <c r="B664" t="s">
        <v>9221</v>
      </c>
    </row>
    <row r="665" spans="1:2">
      <c r="A665" t="s">
        <v>9454</v>
      </c>
      <c r="B665" t="s">
        <v>9222</v>
      </c>
    </row>
    <row r="666" spans="1:2">
      <c r="A666" t="s">
        <v>9454</v>
      </c>
      <c r="B666" t="s">
        <v>9223</v>
      </c>
    </row>
    <row r="667" spans="1:2">
      <c r="A667" t="s">
        <v>9454</v>
      </c>
      <c r="B667" t="s">
        <v>9224</v>
      </c>
    </row>
    <row r="668" spans="1:2">
      <c r="A668" t="s">
        <v>9454</v>
      </c>
      <c r="B668" t="s">
        <v>9225</v>
      </c>
    </row>
    <row r="669" spans="1:2">
      <c r="A669" t="s">
        <v>9454</v>
      </c>
      <c r="B669" t="s">
        <v>9226</v>
      </c>
    </row>
    <row r="670" spans="1:2">
      <c r="A670" t="s">
        <v>9454</v>
      </c>
      <c r="B670" t="s">
        <v>9227</v>
      </c>
    </row>
    <row r="671" spans="1:2">
      <c r="A671" t="s">
        <v>9450</v>
      </c>
      <c r="B671" t="s">
        <v>9099</v>
      </c>
    </row>
    <row r="672" spans="1:2">
      <c r="A672" t="s">
        <v>9450</v>
      </c>
      <c r="B672" t="s">
        <v>9015</v>
      </c>
    </row>
    <row r="673" spans="1:2">
      <c r="A673" t="s">
        <v>9450</v>
      </c>
      <c r="B673" t="s">
        <v>9137</v>
      </c>
    </row>
    <row r="674" spans="1:2">
      <c r="A674" t="s">
        <v>9450</v>
      </c>
      <c r="B674" t="s">
        <v>9138</v>
      </c>
    </row>
    <row r="675" spans="1:2">
      <c r="A675" t="s">
        <v>9450</v>
      </c>
      <c r="B675" t="s">
        <v>9139</v>
      </c>
    </row>
    <row r="676" spans="1:2">
      <c r="A676" t="s">
        <v>9450</v>
      </c>
      <c r="B676" t="s">
        <v>9140</v>
      </c>
    </row>
    <row r="677" spans="1:2">
      <c r="A677" t="s">
        <v>9450</v>
      </c>
      <c r="B677" t="s">
        <v>9141</v>
      </c>
    </row>
    <row r="678" spans="1:2">
      <c r="A678" t="s">
        <v>9450</v>
      </c>
      <c r="B678" t="s">
        <v>9142</v>
      </c>
    </row>
    <row r="679" spans="1:2">
      <c r="A679" t="s">
        <v>9450</v>
      </c>
      <c r="B679" t="s">
        <v>9143</v>
      </c>
    </row>
    <row r="680" spans="1:2">
      <c r="A680" t="s">
        <v>9450</v>
      </c>
      <c r="B680" t="s">
        <v>9144</v>
      </c>
    </row>
    <row r="681" spans="1:2">
      <c r="A681" t="s">
        <v>9450</v>
      </c>
      <c r="B681" t="s">
        <v>9145</v>
      </c>
    </row>
    <row r="682" spans="1:2">
      <c r="A682" t="s">
        <v>9450</v>
      </c>
      <c r="B682" t="s">
        <v>9146</v>
      </c>
    </row>
    <row r="683" spans="1:2">
      <c r="A683" t="s">
        <v>9450</v>
      </c>
      <c r="B683" t="s">
        <v>9147</v>
      </c>
    </row>
    <row r="684" spans="1:2">
      <c r="A684" t="s">
        <v>9450</v>
      </c>
      <c r="B684" t="s">
        <v>9148</v>
      </c>
    </row>
    <row r="685" spans="1:2">
      <c r="A685" t="s">
        <v>9445</v>
      </c>
      <c r="B685" t="s">
        <v>9037</v>
      </c>
    </row>
    <row r="686" spans="1:2">
      <c r="A686" t="s">
        <v>9445</v>
      </c>
      <c r="B686" t="s">
        <v>9056</v>
      </c>
    </row>
    <row r="687" spans="1:2">
      <c r="A687" t="s">
        <v>9445</v>
      </c>
      <c r="B687" t="s">
        <v>9015</v>
      </c>
    </row>
    <row r="688" spans="1:2">
      <c r="A688" t="s">
        <v>9445</v>
      </c>
      <c r="B688" t="s">
        <v>9050</v>
      </c>
    </row>
    <row r="689" spans="1:2">
      <c r="A689" t="s">
        <v>9445</v>
      </c>
      <c r="B689" t="s">
        <v>9051</v>
      </c>
    </row>
    <row r="690" spans="1:2">
      <c r="A690" t="s">
        <v>9445</v>
      </c>
      <c r="B690" t="s">
        <v>9057</v>
      </c>
    </row>
    <row r="691" spans="1:2">
      <c r="A691" t="s">
        <v>9445</v>
      </c>
      <c r="B691" t="s">
        <v>9058</v>
      </c>
    </row>
    <row r="692" spans="1:2">
      <c r="A692" t="s">
        <v>9465</v>
      </c>
      <c r="B692" t="s">
        <v>9280</v>
      </c>
    </row>
    <row r="693" spans="1:2">
      <c r="A693" t="s">
        <v>9465</v>
      </c>
      <c r="B693" t="s">
        <v>9281</v>
      </c>
    </row>
    <row r="694" spans="1:2">
      <c r="A694" t="s">
        <v>9465</v>
      </c>
      <c r="B694" t="s">
        <v>9282</v>
      </c>
    </row>
    <row r="695" spans="1:2">
      <c r="A695" t="s">
        <v>9465</v>
      </c>
      <c r="B695" t="s">
        <v>9240</v>
      </c>
    </row>
    <row r="696" spans="1:2">
      <c r="A696" t="s">
        <v>9465</v>
      </c>
      <c r="B696" t="s">
        <v>9284</v>
      </c>
    </row>
    <row r="697" spans="1:2">
      <c r="A697" t="s">
        <v>9465</v>
      </c>
      <c r="B697" t="s">
        <v>9283</v>
      </c>
    </row>
    <row r="698" spans="1:2">
      <c r="A698" t="s">
        <v>9465</v>
      </c>
      <c r="B698" t="s">
        <v>9161</v>
      </c>
    </row>
    <row r="699" spans="1:2">
      <c r="A699" t="s">
        <v>9465</v>
      </c>
      <c r="B699" t="s">
        <v>9056</v>
      </c>
    </row>
    <row r="700" spans="1:2">
      <c r="A700" t="s">
        <v>9465</v>
      </c>
      <c r="B700" t="s">
        <v>9015</v>
      </c>
    </row>
    <row r="701" spans="1:2">
      <c r="A701" t="s">
        <v>9465</v>
      </c>
      <c r="B701" t="s">
        <v>9285</v>
      </c>
    </row>
    <row r="702" spans="1:2">
      <c r="A702" t="s">
        <v>9465</v>
      </c>
      <c r="B702" t="s">
        <v>9286</v>
      </c>
    </row>
    <row r="703" spans="1:2">
      <c r="A703" t="s">
        <v>9465</v>
      </c>
      <c r="B703" t="s">
        <v>9287</v>
      </c>
    </row>
    <row r="704" spans="1:2">
      <c r="A704" t="s">
        <v>9465</v>
      </c>
      <c r="B704" t="s">
        <v>9288</v>
      </c>
    </row>
    <row r="705" spans="1:2">
      <c r="A705" t="s">
        <v>9465</v>
      </c>
      <c r="B705" t="s">
        <v>9289</v>
      </c>
    </row>
    <row r="706" spans="1:2">
      <c r="A706" t="s">
        <v>9465</v>
      </c>
      <c r="B706" t="s">
        <v>9290</v>
      </c>
    </row>
    <row r="707" spans="1:2">
      <c r="A707" t="s">
        <v>9465</v>
      </c>
      <c r="B707" t="s">
        <v>9291</v>
      </c>
    </row>
    <row r="708" spans="1:2">
      <c r="A708" t="s">
        <v>9465</v>
      </c>
      <c r="B708" t="s">
        <v>9292</v>
      </c>
    </row>
    <row r="709" spans="1:2">
      <c r="A709" t="s">
        <v>9465</v>
      </c>
      <c r="B709" t="s">
        <v>9293</v>
      </c>
    </row>
    <row r="710" spans="1:2">
      <c r="A710" t="s">
        <v>9465</v>
      </c>
      <c r="B710" t="s">
        <v>9294</v>
      </c>
    </row>
    <row r="711" spans="1:2">
      <c r="A711" t="s">
        <v>9465</v>
      </c>
      <c r="B711" t="s">
        <v>9295</v>
      </c>
    </row>
    <row r="712" spans="1:2">
      <c r="A712" t="s">
        <v>9465</v>
      </c>
      <c r="B712" t="s">
        <v>9296</v>
      </c>
    </row>
    <row r="713" spans="1:2">
      <c r="A713" t="s">
        <v>9465</v>
      </c>
      <c r="B713" t="s">
        <v>9297</v>
      </c>
    </row>
    <row r="714" spans="1:2">
      <c r="A714" t="s">
        <v>9465</v>
      </c>
      <c r="B714" t="s">
        <v>9298</v>
      </c>
    </row>
    <row r="715" spans="1:2">
      <c r="A715" t="s">
        <v>9465</v>
      </c>
      <c r="B715" t="s">
        <v>9299</v>
      </c>
    </row>
    <row r="716" spans="1:2">
      <c r="A716" t="s">
        <v>9465</v>
      </c>
      <c r="B716" t="s">
        <v>9300</v>
      </c>
    </row>
    <row r="717" spans="1:2">
      <c r="A717" t="s">
        <v>9465</v>
      </c>
      <c r="B717" t="s">
        <v>9301</v>
      </c>
    </row>
    <row r="718" spans="1:2">
      <c r="A718" t="s">
        <v>9465</v>
      </c>
      <c r="B718" t="s">
        <v>9302</v>
      </c>
    </row>
    <row r="719" spans="1:2">
      <c r="A719" t="s">
        <v>9465</v>
      </c>
      <c r="B719" t="s">
        <v>9303</v>
      </c>
    </row>
    <row r="720" spans="1:2">
      <c r="A720" t="s">
        <v>9465</v>
      </c>
      <c r="B720" t="s">
        <v>9304</v>
      </c>
    </row>
    <row r="721" spans="1:2">
      <c r="A721" t="s">
        <v>9465</v>
      </c>
      <c r="B721" t="s">
        <v>9305</v>
      </c>
    </row>
    <row r="722" spans="1:2">
      <c r="A722" t="s">
        <v>9465</v>
      </c>
      <c r="B722" t="s">
        <v>9306</v>
      </c>
    </row>
    <row r="723" spans="1:2">
      <c r="A723" t="s">
        <v>9465</v>
      </c>
      <c r="B723" t="s">
        <v>9307</v>
      </c>
    </row>
    <row r="724" spans="1:2">
      <c r="A724" t="s">
        <v>9465</v>
      </c>
      <c r="B724" t="s">
        <v>9308</v>
      </c>
    </row>
    <row r="725" spans="1:2">
      <c r="A725" t="s">
        <v>9465</v>
      </c>
      <c r="B725" t="s">
        <v>9309</v>
      </c>
    </row>
    <row r="726" spans="1:2">
      <c r="A726" t="s">
        <v>9465</v>
      </c>
      <c r="B726" t="s">
        <v>9310</v>
      </c>
    </row>
    <row r="727" spans="1:2">
      <c r="A727" t="s">
        <v>9465</v>
      </c>
      <c r="B727" t="s">
        <v>9311</v>
      </c>
    </row>
    <row r="728" spans="1:2">
      <c r="A728" t="s">
        <v>9465</v>
      </c>
      <c r="B728" t="s">
        <v>9312</v>
      </c>
    </row>
    <row r="729" spans="1:2">
      <c r="A729" t="s">
        <v>9465</v>
      </c>
      <c r="B729" t="s">
        <v>9313</v>
      </c>
    </row>
    <row r="730" spans="1:2">
      <c r="A730" t="s">
        <v>9465</v>
      </c>
      <c r="B730" t="s">
        <v>9314</v>
      </c>
    </row>
    <row r="731" spans="1:2">
      <c r="A731" t="s">
        <v>9465</v>
      </c>
      <c r="B731" t="s">
        <v>9315</v>
      </c>
    </row>
    <row r="732" spans="1:2">
      <c r="A732" t="s">
        <v>9465</v>
      </c>
      <c r="B732" t="s">
        <v>9316</v>
      </c>
    </row>
    <row r="733" spans="1:2">
      <c r="A733" t="s">
        <v>9465</v>
      </c>
      <c r="B733" t="s">
        <v>9317</v>
      </c>
    </row>
    <row r="734" spans="1:2">
      <c r="A734" t="s">
        <v>9465</v>
      </c>
      <c r="B734" t="s">
        <v>9318</v>
      </c>
    </row>
    <row r="735" spans="1:2">
      <c r="A735" t="s">
        <v>9465</v>
      </c>
      <c r="B735" t="s">
        <v>9319</v>
      </c>
    </row>
    <row r="736" spans="1:2">
      <c r="A736" t="s">
        <v>9465</v>
      </c>
      <c r="B736" t="s">
        <v>9320</v>
      </c>
    </row>
    <row r="737" spans="1:2">
      <c r="A737" t="s">
        <v>9465</v>
      </c>
      <c r="B737" t="s">
        <v>9321</v>
      </c>
    </row>
    <row r="738" spans="1:2">
      <c r="A738" t="s">
        <v>9465</v>
      </c>
      <c r="B738" t="s">
        <v>9322</v>
      </c>
    </row>
    <row r="739" spans="1:2">
      <c r="A739" t="s">
        <v>9465</v>
      </c>
      <c r="B739" t="s">
        <v>9323</v>
      </c>
    </row>
    <row r="740" spans="1:2">
      <c r="A740" t="s">
        <v>9465</v>
      </c>
      <c r="B740" t="s">
        <v>9324</v>
      </c>
    </row>
    <row r="741" spans="1:2">
      <c r="A741" t="s">
        <v>9465</v>
      </c>
      <c r="B741" t="s">
        <v>9244</v>
      </c>
    </row>
    <row r="742" spans="1:2">
      <c r="A742" t="s">
        <v>9465</v>
      </c>
      <c r="B742" t="s">
        <v>9245</v>
      </c>
    </row>
    <row r="743" spans="1:2">
      <c r="A743" t="s">
        <v>9465</v>
      </c>
      <c r="B743" t="s">
        <v>9246</v>
      </c>
    </row>
    <row r="744" spans="1:2">
      <c r="A744" t="s">
        <v>9465</v>
      </c>
      <c r="B744" t="s">
        <v>9247</v>
      </c>
    </row>
    <row r="745" spans="1:2">
      <c r="A745" t="s">
        <v>9465</v>
      </c>
      <c r="B745" t="s">
        <v>9248</v>
      </c>
    </row>
    <row r="746" spans="1:2">
      <c r="A746" t="s">
        <v>9465</v>
      </c>
      <c r="B746" t="s">
        <v>9249</v>
      </c>
    </row>
    <row r="747" spans="1:2">
      <c r="A747" t="s">
        <v>9465</v>
      </c>
      <c r="B747" t="s">
        <v>9250</v>
      </c>
    </row>
    <row r="748" spans="1:2">
      <c r="A748" t="s">
        <v>9465</v>
      </c>
      <c r="B748" t="s">
        <v>9251</v>
      </c>
    </row>
    <row r="749" spans="1:2">
      <c r="A749" t="s">
        <v>9465</v>
      </c>
      <c r="B749" t="s">
        <v>9252</v>
      </c>
    </row>
    <row r="750" spans="1:2">
      <c r="A750" t="s">
        <v>9465</v>
      </c>
      <c r="B750" t="s">
        <v>9253</v>
      </c>
    </row>
    <row r="751" spans="1:2">
      <c r="A751" t="s">
        <v>9465</v>
      </c>
      <c r="B751" t="s">
        <v>9254</v>
      </c>
    </row>
    <row r="752" spans="1:2">
      <c r="A752" t="s">
        <v>9465</v>
      </c>
      <c r="B752" t="s">
        <v>9255</v>
      </c>
    </row>
    <row r="753" spans="1:2">
      <c r="A753" t="s">
        <v>9465</v>
      </c>
      <c r="B753" t="s">
        <v>9337</v>
      </c>
    </row>
    <row r="754" spans="1:2">
      <c r="A754" t="s">
        <v>9465</v>
      </c>
      <c r="B754" t="s">
        <v>9338</v>
      </c>
    </row>
    <row r="755" spans="1:2">
      <c r="A755" t="s">
        <v>9465</v>
      </c>
      <c r="B755" t="s">
        <v>9339</v>
      </c>
    </row>
    <row r="756" spans="1:2">
      <c r="A756" t="s">
        <v>9465</v>
      </c>
      <c r="B756" t="s">
        <v>9340</v>
      </c>
    </row>
    <row r="757" spans="1:2">
      <c r="A757" t="s">
        <v>9465</v>
      </c>
      <c r="B757" t="s">
        <v>9341</v>
      </c>
    </row>
    <row r="758" spans="1:2">
      <c r="A758" t="s">
        <v>9465</v>
      </c>
      <c r="B758" t="s">
        <v>9342</v>
      </c>
    </row>
    <row r="759" spans="1:2">
      <c r="A759" t="s">
        <v>9465</v>
      </c>
      <c r="B759" t="s">
        <v>9343</v>
      </c>
    </row>
    <row r="760" spans="1:2">
      <c r="A760" t="s">
        <v>9465</v>
      </c>
      <c r="B760" t="s">
        <v>9344</v>
      </c>
    </row>
    <row r="761" spans="1:2">
      <c r="A761" t="s">
        <v>9465</v>
      </c>
      <c r="B761" t="s">
        <v>9345</v>
      </c>
    </row>
    <row r="762" spans="1:2">
      <c r="A762" t="s">
        <v>9465</v>
      </c>
      <c r="B762" t="s">
        <v>9346</v>
      </c>
    </row>
    <row r="763" spans="1:2">
      <c r="A763" t="s">
        <v>9465</v>
      </c>
      <c r="B763" t="s">
        <v>9347</v>
      </c>
    </row>
    <row r="764" spans="1:2">
      <c r="A764" t="s">
        <v>9465</v>
      </c>
      <c r="B764" t="s">
        <v>9348</v>
      </c>
    </row>
    <row r="765" spans="1:2">
      <c r="A765" t="s">
        <v>9465</v>
      </c>
      <c r="B765" t="s">
        <v>9325</v>
      </c>
    </row>
    <row r="766" spans="1:2">
      <c r="A766" t="s">
        <v>9465</v>
      </c>
      <c r="B766" t="s">
        <v>9326</v>
      </c>
    </row>
    <row r="767" spans="1:2">
      <c r="A767" t="s">
        <v>9465</v>
      </c>
      <c r="B767" t="s">
        <v>9327</v>
      </c>
    </row>
    <row r="768" spans="1:2">
      <c r="A768" t="s">
        <v>9465</v>
      </c>
      <c r="B768" t="s">
        <v>9328</v>
      </c>
    </row>
    <row r="769" spans="1:2">
      <c r="A769" t="s">
        <v>9465</v>
      </c>
      <c r="B769" t="s">
        <v>9329</v>
      </c>
    </row>
    <row r="770" spans="1:2">
      <c r="A770" t="s">
        <v>9465</v>
      </c>
      <c r="B770" t="s">
        <v>9330</v>
      </c>
    </row>
    <row r="771" spans="1:2">
      <c r="A771" t="s">
        <v>9465</v>
      </c>
      <c r="B771" t="s">
        <v>9331</v>
      </c>
    </row>
    <row r="772" spans="1:2">
      <c r="A772" t="s">
        <v>9465</v>
      </c>
      <c r="B772" t="s">
        <v>9332</v>
      </c>
    </row>
    <row r="773" spans="1:2">
      <c r="A773" t="s">
        <v>9465</v>
      </c>
      <c r="B773" t="s">
        <v>9333</v>
      </c>
    </row>
    <row r="774" spans="1:2">
      <c r="A774" t="s">
        <v>9465</v>
      </c>
      <c r="B774" t="s">
        <v>9334</v>
      </c>
    </row>
    <row r="775" spans="1:2">
      <c r="A775" t="s">
        <v>9465</v>
      </c>
      <c r="B775" t="s">
        <v>9335</v>
      </c>
    </row>
    <row r="776" spans="1:2">
      <c r="A776" t="s">
        <v>9465</v>
      </c>
      <c r="B776" t="s">
        <v>9336</v>
      </c>
    </row>
    <row r="777" spans="1:2">
      <c r="A777" t="s">
        <v>9465</v>
      </c>
      <c r="B777" t="s">
        <v>9165</v>
      </c>
    </row>
    <row r="778" spans="1:2">
      <c r="A778" t="s">
        <v>9465</v>
      </c>
      <c r="B778" t="s">
        <v>9166</v>
      </c>
    </row>
    <row r="779" spans="1:2">
      <c r="A779" t="s">
        <v>9465</v>
      </c>
      <c r="B779" t="s">
        <v>9167</v>
      </c>
    </row>
    <row r="780" spans="1:2">
      <c r="A780" t="s">
        <v>9465</v>
      </c>
      <c r="B780" t="s">
        <v>9168</v>
      </c>
    </row>
    <row r="781" spans="1:2">
      <c r="A781" t="s">
        <v>9465</v>
      </c>
      <c r="B781" t="s">
        <v>9169</v>
      </c>
    </row>
    <row r="782" spans="1:2">
      <c r="A782" t="s">
        <v>9465</v>
      </c>
      <c r="B782" t="s">
        <v>9170</v>
      </c>
    </row>
    <row r="783" spans="1:2">
      <c r="A783" t="s">
        <v>9465</v>
      </c>
      <c r="B783" t="s">
        <v>9171</v>
      </c>
    </row>
    <row r="784" spans="1:2">
      <c r="A784" t="s">
        <v>9465</v>
      </c>
      <c r="B784" t="s">
        <v>9172</v>
      </c>
    </row>
    <row r="785" spans="1:2">
      <c r="A785" t="s">
        <v>9465</v>
      </c>
      <c r="B785" t="s">
        <v>9173</v>
      </c>
    </row>
    <row r="786" spans="1:2">
      <c r="A786" t="s">
        <v>9465</v>
      </c>
      <c r="B786" t="s">
        <v>9174</v>
      </c>
    </row>
    <row r="787" spans="1:2">
      <c r="A787" t="s">
        <v>9465</v>
      </c>
      <c r="B787" t="s">
        <v>9175</v>
      </c>
    </row>
    <row r="788" spans="1:2">
      <c r="A788" t="s">
        <v>9465</v>
      </c>
      <c r="B788" t="s">
        <v>9176</v>
      </c>
    </row>
    <row r="789" spans="1:2">
      <c r="A789" t="s">
        <v>9467</v>
      </c>
      <c r="B789" t="s">
        <v>9015</v>
      </c>
    </row>
    <row r="790" spans="1:2">
      <c r="A790" t="s">
        <v>9467</v>
      </c>
      <c r="B790" t="s">
        <v>9039</v>
      </c>
    </row>
    <row r="791" spans="1:2">
      <c r="A791" t="s">
        <v>9467</v>
      </c>
      <c r="B791" t="s">
        <v>9040</v>
      </c>
    </row>
    <row r="792" spans="1:2">
      <c r="A792" t="s">
        <v>9467</v>
      </c>
      <c r="B792" t="s">
        <v>9041</v>
      </c>
    </row>
    <row r="793" spans="1:2">
      <c r="A793" t="s">
        <v>9467</v>
      </c>
      <c r="B793" t="s">
        <v>9054</v>
      </c>
    </row>
    <row r="794" spans="1:2">
      <c r="A794" t="s">
        <v>9467</v>
      </c>
      <c r="B794" t="s">
        <v>9427</v>
      </c>
    </row>
    <row r="795" spans="1:2">
      <c r="A795" t="s">
        <v>9467</v>
      </c>
      <c r="B795" t="s">
        <v>9049</v>
      </c>
    </row>
    <row r="796" spans="1:2">
      <c r="A796" t="s">
        <v>9438</v>
      </c>
      <c r="B796" t="s">
        <v>9040</v>
      </c>
    </row>
    <row r="797" spans="1:2">
      <c r="A797" t="s">
        <v>9438</v>
      </c>
      <c r="B797" t="s">
        <v>9041</v>
      </c>
    </row>
    <row r="798" spans="1:2">
      <c r="A798" t="s">
        <v>9438</v>
      </c>
      <c r="B798" t="s">
        <v>9054</v>
      </c>
    </row>
    <row r="799" spans="1:2">
      <c r="A799" t="s">
        <v>9438</v>
      </c>
      <c r="B799" t="s">
        <v>9049</v>
      </c>
    </row>
    <row r="800" spans="1:2">
      <c r="A800" t="s">
        <v>9438</v>
      </c>
      <c r="B800" t="s">
        <v>9015</v>
      </c>
    </row>
    <row r="801" spans="1:2">
      <c r="A801" t="s">
        <v>9438</v>
      </c>
      <c r="B801" t="s">
        <v>9047</v>
      </c>
    </row>
    <row r="802" spans="1:2">
      <c r="A802" t="s">
        <v>9438</v>
      </c>
      <c r="B802" t="s">
        <v>9048</v>
      </c>
    </row>
    <row r="803" spans="1:2">
      <c r="A803" t="s">
        <v>9441</v>
      </c>
      <c r="B803" t="s">
        <v>9059</v>
      </c>
    </row>
    <row r="804" spans="1:2">
      <c r="A804" t="s">
        <v>9441</v>
      </c>
      <c r="B804" t="s">
        <v>9060</v>
      </c>
    </row>
    <row r="805" spans="1:2">
      <c r="A805" t="s">
        <v>9441</v>
      </c>
      <c r="B805" t="s">
        <v>9061</v>
      </c>
    </row>
    <row r="806" spans="1:2">
      <c r="A806" t="s">
        <v>9441</v>
      </c>
      <c r="B806" t="s">
        <v>9040</v>
      </c>
    </row>
    <row r="807" spans="1:2">
      <c r="A807" t="s">
        <v>9441</v>
      </c>
      <c r="B807" t="s">
        <v>9041</v>
      </c>
    </row>
    <row r="808" spans="1:2">
      <c r="A808" t="s">
        <v>9441</v>
      </c>
      <c r="B808" t="s">
        <v>9054</v>
      </c>
    </row>
    <row r="809" spans="1:2">
      <c r="A809" t="s">
        <v>9441</v>
      </c>
      <c r="B809" t="s">
        <v>9049</v>
      </c>
    </row>
    <row r="810" spans="1:2">
      <c r="A810" t="s">
        <v>9441</v>
      </c>
      <c r="B810" t="s">
        <v>9015</v>
      </c>
    </row>
    <row r="811" spans="1:2">
      <c r="A811" t="s">
        <v>9441</v>
      </c>
      <c r="B811" t="s">
        <v>9062</v>
      </c>
    </row>
    <row r="812" spans="1:2">
      <c r="A812" t="s">
        <v>9441</v>
      </c>
      <c r="B812" t="s">
        <v>9063</v>
      </c>
    </row>
    <row r="813" spans="1:2">
      <c r="A813" t="s">
        <v>9441</v>
      </c>
      <c r="B813" t="s">
        <v>9064</v>
      </c>
    </row>
    <row r="814" spans="1:2">
      <c r="A814" t="s">
        <v>9441</v>
      </c>
      <c r="B814" t="s">
        <v>9065</v>
      </c>
    </row>
    <row r="815" spans="1:2">
      <c r="A815" t="s">
        <v>9441</v>
      </c>
      <c r="B815" t="s">
        <v>9066</v>
      </c>
    </row>
    <row r="816" spans="1:2">
      <c r="A816" t="s">
        <v>9441</v>
      </c>
      <c r="B816" t="s">
        <v>9067</v>
      </c>
    </row>
    <row r="817" spans="1:2">
      <c r="A817" t="s">
        <v>9469</v>
      </c>
      <c r="B817" t="s">
        <v>9015</v>
      </c>
    </row>
    <row r="818" spans="1:2">
      <c r="A818" t="s">
        <v>9469</v>
      </c>
      <c r="B818" t="s">
        <v>9047</v>
      </c>
    </row>
    <row r="819" spans="1:2">
      <c r="A819" t="s">
        <v>9469</v>
      </c>
      <c r="B819" t="s">
        <v>9048</v>
      </c>
    </row>
    <row r="820" spans="1:2">
      <c r="A820" t="s">
        <v>9469</v>
      </c>
      <c r="B820" t="s">
        <v>9046</v>
      </c>
    </row>
    <row r="821" spans="1:2">
      <c r="A821" t="s">
        <v>9469</v>
      </c>
      <c r="B821" t="s">
        <v>9040</v>
      </c>
    </row>
    <row r="822" spans="1:2">
      <c r="A822" t="s">
        <v>9469</v>
      </c>
      <c r="B822" t="s">
        <v>9041</v>
      </c>
    </row>
    <row r="823" spans="1:2">
      <c r="A823" t="s">
        <v>9469</v>
      </c>
      <c r="B823" t="s">
        <v>9054</v>
      </c>
    </row>
    <row r="824" spans="1:2">
      <c r="A824" t="s">
        <v>9469</v>
      </c>
      <c r="B824" t="s">
        <v>9427</v>
      </c>
    </row>
    <row r="825" spans="1:2">
      <c r="A825" t="s">
        <v>9469</v>
      </c>
      <c r="B825" t="s">
        <v>9049</v>
      </c>
    </row>
    <row r="826" spans="1:2">
      <c r="A826" t="s">
        <v>9468</v>
      </c>
      <c r="B826" t="s">
        <v>9015</v>
      </c>
    </row>
    <row r="827" spans="1:2">
      <c r="A827" t="s">
        <v>9468</v>
      </c>
      <c r="B827" t="s">
        <v>9039</v>
      </c>
    </row>
    <row r="828" spans="1:2">
      <c r="A828" t="s">
        <v>9468</v>
      </c>
      <c r="B828" t="s">
        <v>9040</v>
      </c>
    </row>
    <row r="829" spans="1:2">
      <c r="A829" t="s">
        <v>9468</v>
      </c>
      <c r="B829" t="s">
        <v>9054</v>
      </c>
    </row>
    <row r="830" spans="1:2">
      <c r="A830" t="s">
        <v>9468</v>
      </c>
      <c r="B830" t="s">
        <v>9049</v>
      </c>
    </row>
    <row r="831" spans="1:2">
      <c r="A831" t="s">
        <v>9446</v>
      </c>
      <c r="B831" t="s">
        <v>9073</v>
      </c>
    </row>
    <row r="832" spans="1:2">
      <c r="A832" t="s">
        <v>9446</v>
      </c>
      <c r="B832" t="s">
        <v>9037</v>
      </c>
    </row>
    <row r="833" spans="1:2">
      <c r="A833" t="s">
        <v>9446</v>
      </c>
      <c r="B833" t="s">
        <v>9038</v>
      </c>
    </row>
    <row r="834" spans="1:2">
      <c r="A834" t="s">
        <v>9446</v>
      </c>
      <c r="B834" t="s">
        <v>9056</v>
      </c>
    </row>
    <row r="835" spans="1:2">
      <c r="A835" t="s">
        <v>9446</v>
      </c>
      <c r="B835" t="s">
        <v>9015</v>
      </c>
    </row>
    <row r="836" spans="1:2">
      <c r="A836" t="s">
        <v>9446</v>
      </c>
      <c r="B836" t="s">
        <v>9050</v>
      </c>
    </row>
    <row r="837" spans="1:2">
      <c r="A837" t="s">
        <v>9446</v>
      </c>
      <c r="B837" t="s">
        <v>9051</v>
      </c>
    </row>
    <row r="838" spans="1:2">
      <c r="A838" t="s">
        <v>9446</v>
      </c>
      <c r="B838" t="s">
        <v>9077</v>
      </c>
    </row>
    <row r="839" spans="1:2">
      <c r="A839" t="s">
        <v>9446</v>
      </c>
      <c r="B839" t="s">
        <v>9078</v>
      </c>
    </row>
    <row r="840" spans="1:2">
      <c r="A840" t="s">
        <v>9446</v>
      </c>
      <c r="B840" t="s">
        <v>9058</v>
      </c>
    </row>
    <row r="841" spans="1:2">
      <c r="A841" t="s">
        <v>9466</v>
      </c>
      <c r="B841" t="s">
        <v>9368</v>
      </c>
    </row>
    <row r="842" spans="1:2">
      <c r="A842" t="s">
        <v>9466</v>
      </c>
      <c r="B842" t="s">
        <v>9400</v>
      </c>
    </row>
    <row r="843" spans="1:2">
      <c r="A843" t="s">
        <v>9466</v>
      </c>
      <c r="B843" t="s">
        <v>9401</v>
      </c>
    </row>
    <row r="844" spans="1:2">
      <c r="A844" t="s">
        <v>9466</v>
      </c>
      <c r="B844" t="s">
        <v>9100</v>
      </c>
    </row>
    <row r="845" spans="1:2">
      <c r="A845" t="s">
        <v>9466</v>
      </c>
      <c r="B845" t="s">
        <v>9402</v>
      </c>
    </row>
    <row r="846" spans="1:2">
      <c r="A846" t="s">
        <v>9466</v>
      </c>
      <c r="B846" t="s">
        <v>9056</v>
      </c>
    </row>
    <row r="847" spans="1:2">
      <c r="A847" t="s">
        <v>9466</v>
      </c>
      <c r="B847" t="s">
        <v>9015</v>
      </c>
    </row>
    <row r="848" spans="1:2">
      <c r="A848" t="s">
        <v>9466</v>
      </c>
      <c r="B848" t="s">
        <v>9370</v>
      </c>
    </row>
    <row r="849" spans="1:2">
      <c r="A849" t="s">
        <v>9466</v>
      </c>
      <c r="B849" t="s">
        <v>9371</v>
      </c>
    </row>
    <row r="850" spans="1:2">
      <c r="A850" t="s">
        <v>9466</v>
      </c>
      <c r="B850" t="s">
        <v>9372</v>
      </c>
    </row>
    <row r="851" spans="1:2">
      <c r="A851" t="s">
        <v>9466</v>
      </c>
      <c r="B851" t="s">
        <v>9373</v>
      </c>
    </row>
    <row r="852" spans="1:2">
      <c r="A852" t="s">
        <v>9466</v>
      </c>
      <c r="B852" t="s">
        <v>9374</v>
      </c>
    </row>
    <row r="853" spans="1:2">
      <c r="A853" t="s">
        <v>9466</v>
      </c>
      <c r="B853" t="s">
        <v>9375</v>
      </c>
    </row>
    <row r="854" spans="1:2">
      <c r="A854" t="s">
        <v>9466</v>
      </c>
      <c r="B854" t="s">
        <v>9376</v>
      </c>
    </row>
    <row r="855" spans="1:2">
      <c r="A855" t="s">
        <v>9466</v>
      </c>
      <c r="B855" t="s">
        <v>9377</v>
      </c>
    </row>
    <row r="856" spans="1:2">
      <c r="A856" t="s">
        <v>9466</v>
      </c>
      <c r="B856" t="s">
        <v>9378</v>
      </c>
    </row>
    <row r="857" spans="1:2">
      <c r="A857" t="s">
        <v>9466</v>
      </c>
      <c r="B857" t="s">
        <v>9379</v>
      </c>
    </row>
    <row r="858" spans="1:2">
      <c r="A858" t="s">
        <v>9466</v>
      </c>
      <c r="B858" t="s">
        <v>9380</v>
      </c>
    </row>
    <row r="859" spans="1:2">
      <c r="A859" t="s">
        <v>9466</v>
      </c>
      <c r="B859" t="s">
        <v>9381</v>
      </c>
    </row>
    <row r="860" spans="1:2">
      <c r="A860" t="s">
        <v>9466</v>
      </c>
      <c r="B860" t="s">
        <v>9403</v>
      </c>
    </row>
    <row r="861" spans="1:2">
      <c r="A861" t="s">
        <v>9466</v>
      </c>
      <c r="B861" t="s">
        <v>9404</v>
      </c>
    </row>
    <row r="862" spans="1:2">
      <c r="A862" t="s">
        <v>9466</v>
      </c>
      <c r="B862" t="s">
        <v>9405</v>
      </c>
    </row>
    <row r="863" spans="1:2">
      <c r="A863" t="s">
        <v>9466</v>
      </c>
      <c r="B863" t="s">
        <v>9406</v>
      </c>
    </row>
    <row r="864" spans="1:2">
      <c r="A864" t="s">
        <v>9466</v>
      </c>
      <c r="B864" t="s">
        <v>9407</v>
      </c>
    </row>
    <row r="865" spans="1:2">
      <c r="A865" t="s">
        <v>9466</v>
      </c>
      <c r="B865" t="s">
        <v>9408</v>
      </c>
    </row>
    <row r="866" spans="1:2">
      <c r="A866" t="s">
        <v>9466</v>
      </c>
      <c r="B866" t="s">
        <v>9409</v>
      </c>
    </row>
    <row r="867" spans="1:2">
      <c r="A867" t="s">
        <v>9466</v>
      </c>
      <c r="B867" t="s">
        <v>9410</v>
      </c>
    </row>
    <row r="868" spans="1:2">
      <c r="A868" t="s">
        <v>9466</v>
      </c>
      <c r="B868" t="s">
        <v>9411</v>
      </c>
    </row>
    <row r="869" spans="1:2">
      <c r="A869" t="s">
        <v>9466</v>
      </c>
      <c r="B869" t="s">
        <v>9412</v>
      </c>
    </row>
    <row r="870" spans="1:2">
      <c r="A870" t="s">
        <v>9466</v>
      </c>
      <c r="B870" t="s">
        <v>9413</v>
      </c>
    </row>
    <row r="871" spans="1:2">
      <c r="A871" t="s">
        <v>9466</v>
      </c>
      <c r="B871" t="s">
        <v>9414</v>
      </c>
    </row>
    <row r="872" spans="1:2">
      <c r="A872" t="s">
        <v>9466</v>
      </c>
      <c r="B872" t="s">
        <v>9415</v>
      </c>
    </row>
    <row r="873" spans="1:2">
      <c r="A873" t="s">
        <v>9466</v>
      </c>
      <c r="B873" t="s">
        <v>9416</v>
      </c>
    </row>
    <row r="874" spans="1:2">
      <c r="A874" t="s">
        <v>9466</v>
      </c>
      <c r="B874" t="s">
        <v>9417</v>
      </c>
    </row>
    <row r="875" spans="1:2">
      <c r="A875" t="s">
        <v>9466</v>
      </c>
      <c r="B875" t="s">
        <v>9418</v>
      </c>
    </row>
    <row r="876" spans="1:2">
      <c r="A876" t="s">
        <v>9466</v>
      </c>
      <c r="B876" t="s">
        <v>9419</v>
      </c>
    </row>
    <row r="877" spans="1:2">
      <c r="A877" t="s">
        <v>9466</v>
      </c>
      <c r="B877" t="s">
        <v>9420</v>
      </c>
    </row>
    <row r="878" spans="1:2">
      <c r="A878" t="s">
        <v>9466</v>
      </c>
      <c r="B878" t="s">
        <v>9421</v>
      </c>
    </row>
    <row r="879" spans="1:2">
      <c r="A879" t="s">
        <v>9466</v>
      </c>
      <c r="B879" t="s">
        <v>9422</v>
      </c>
    </row>
    <row r="880" spans="1:2">
      <c r="A880" t="s">
        <v>9466</v>
      </c>
      <c r="B880" t="s">
        <v>9423</v>
      </c>
    </row>
    <row r="881" spans="1:2">
      <c r="A881" t="s">
        <v>9466</v>
      </c>
      <c r="B881" t="s">
        <v>9424</v>
      </c>
    </row>
    <row r="882" spans="1:2">
      <c r="A882" t="s">
        <v>9466</v>
      </c>
      <c r="B882" t="s">
        <v>9425</v>
      </c>
    </row>
    <row r="883" spans="1:2">
      <c r="A883" t="s">
        <v>9466</v>
      </c>
      <c r="B883" t="s">
        <v>9426</v>
      </c>
    </row>
    <row r="884" spans="1:2">
      <c r="A884" t="s">
        <v>9442</v>
      </c>
      <c r="B884" t="s">
        <v>9059</v>
      </c>
    </row>
    <row r="885" spans="1:2">
      <c r="A885" t="s">
        <v>9442</v>
      </c>
      <c r="B885" t="s">
        <v>9061</v>
      </c>
    </row>
    <row r="886" spans="1:2">
      <c r="A886" t="s">
        <v>9442</v>
      </c>
      <c r="B886" t="s">
        <v>9040</v>
      </c>
    </row>
    <row r="887" spans="1:2">
      <c r="A887" t="s">
        <v>9442</v>
      </c>
      <c r="B887" t="s">
        <v>9041</v>
      </c>
    </row>
    <row r="888" spans="1:2">
      <c r="A888" t="s">
        <v>9442</v>
      </c>
      <c r="B888" t="s">
        <v>9054</v>
      </c>
    </row>
    <row r="889" spans="1:2">
      <c r="A889" t="s">
        <v>9442</v>
      </c>
      <c r="B889" t="s">
        <v>9049</v>
      </c>
    </row>
    <row r="890" spans="1:2">
      <c r="A890" t="s">
        <v>9442</v>
      </c>
      <c r="B890" t="s">
        <v>9015</v>
      </c>
    </row>
    <row r="891" spans="1:2">
      <c r="A891" t="s">
        <v>9442</v>
      </c>
      <c r="B891" t="s">
        <v>9068</v>
      </c>
    </row>
    <row r="892" spans="1:2">
      <c r="A892" t="s">
        <v>9442</v>
      </c>
      <c r="B892" t="s">
        <v>9069</v>
      </c>
    </row>
    <row r="893" spans="1:2">
      <c r="A893" t="s">
        <v>9442</v>
      </c>
      <c r="B893" t="s">
        <v>9070</v>
      </c>
    </row>
    <row r="894" spans="1:2">
      <c r="A894" t="s">
        <v>9442</v>
      </c>
      <c r="B894" t="s">
        <v>9071</v>
      </c>
    </row>
    <row r="895" spans="1:2">
      <c r="A895" t="s">
        <v>9463</v>
      </c>
      <c r="B895" t="s">
        <v>9280</v>
      </c>
    </row>
    <row r="896" spans="1:2">
      <c r="A896" t="s">
        <v>9463</v>
      </c>
      <c r="B896" t="s">
        <v>9281</v>
      </c>
    </row>
    <row r="897" spans="1:2">
      <c r="A897" t="s">
        <v>9463</v>
      </c>
      <c r="B897" t="s">
        <v>9282</v>
      </c>
    </row>
    <row r="898" spans="1:2">
      <c r="A898" t="s">
        <v>9463</v>
      </c>
      <c r="B898" t="s">
        <v>9240</v>
      </c>
    </row>
    <row r="899" spans="1:2">
      <c r="A899" t="s">
        <v>9463</v>
      </c>
      <c r="B899" t="s">
        <v>9284</v>
      </c>
    </row>
    <row r="900" spans="1:2">
      <c r="A900" t="s">
        <v>9463</v>
      </c>
      <c r="B900" t="s">
        <v>9283</v>
      </c>
    </row>
    <row r="901" spans="1:2">
      <c r="A901" t="s">
        <v>9463</v>
      </c>
      <c r="B901" t="s">
        <v>9387</v>
      </c>
    </row>
    <row r="902" spans="1:2">
      <c r="A902" t="s">
        <v>9463</v>
      </c>
      <c r="B902" t="s">
        <v>9056</v>
      </c>
    </row>
    <row r="903" spans="1:2">
      <c r="A903" t="s">
        <v>9463</v>
      </c>
      <c r="B903" t="s">
        <v>9015</v>
      </c>
    </row>
    <row r="904" spans="1:2">
      <c r="A904" t="s">
        <v>9463</v>
      </c>
      <c r="B904" t="s">
        <v>9285</v>
      </c>
    </row>
    <row r="905" spans="1:2">
      <c r="A905" t="s">
        <v>9463</v>
      </c>
      <c r="B905" t="s">
        <v>9286</v>
      </c>
    </row>
    <row r="906" spans="1:2">
      <c r="A906" t="s">
        <v>9463</v>
      </c>
      <c r="B906" t="s">
        <v>9287</v>
      </c>
    </row>
    <row r="907" spans="1:2">
      <c r="A907" t="s">
        <v>9463</v>
      </c>
      <c r="B907" t="s">
        <v>9288</v>
      </c>
    </row>
    <row r="908" spans="1:2">
      <c r="A908" t="s">
        <v>9463</v>
      </c>
      <c r="B908" t="s">
        <v>9289</v>
      </c>
    </row>
    <row r="909" spans="1:2">
      <c r="A909" t="s">
        <v>9463</v>
      </c>
      <c r="B909" t="s">
        <v>9290</v>
      </c>
    </row>
    <row r="910" spans="1:2">
      <c r="A910" t="s">
        <v>9463</v>
      </c>
      <c r="B910" t="s">
        <v>9291</v>
      </c>
    </row>
    <row r="911" spans="1:2">
      <c r="A911" t="s">
        <v>9463</v>
      </c>
      <c r="B911" t="s">
        <v>9292</v>
      </c>
    </row>
    <row r="912" spans="1:2">
      <c r="A912" t="s">
        <v>9463</v>
      </c>
      <c r="B912" t="s">
        <v>9293</v>
      </c>
    </row>
    <row r="913" spans="1:2">
      <c r="A913" t="s">
        <v>9463</v>
      </c>
      <c r="B913" t="s">
        <v>9294</v>
      </c>
    </row>
    <row r="914" spans="1:2">
      <c r="A914" t="s">
        <v>9463</v>
      </c>
      <c r="B914" t="s">
        <v>9295</v>
      </c>
    </row>
    <row r="915" spans="1:2">
      <c r="A915" t="s">
        <v>9463</v>
      </c>
      <c r="B915" t="s">
        <v>9296</v>
      </c>
    </row>
    <row r="916" spans="1:2">
      <c r="A916" t="s">
        <v>9463</v>
      </c>
      <c r="B916" t="s">
        <v>9297</v>
      </c>
    </row>
    <row r="917" spans="1:2">
      <c r="A917" t="s">
        <v>9463</v>
      </c>
      <c r="B917" t="s">
        <v>9298</v>
      </c>
    </row>
    <row r="918" spans="1:2">
      <c r="A918" t="s">
        <v>9463</v>
      </c>
      <c r="B918" t="s">
        <v>9299</v>
      </c>
    </row>
    <row r="919" spans="1:2">
      <c r="A919" t="s">
        <v>9463</v>
      </c>
      <c r="B919" t="s">
        <v>9300</v>
      </c>
    </row>
    <row r="920" spans="1:2">
      <c r="A920" t="s">
        <v>9463</v>
      </c>
      <c r="B920" t="s">
        <v>9301</v>
      </c>
    </row>
    <row r="921" spans="1:2">
      <c r="A921" t="s">
        <v>9463</v>
      </c>
      <c r="B921" t="s">
        <v>9302</v>
      </c>
    </row>
    <row r="922" spans="1:2">
      <c r="A922" t="s">
        <v>9463</v>
      </c>
      <c r="B922" t="s">
        <v>9303</v>
      </c>
    </row>
    <row r="923" spans="1:2">
      <c r="A923" t="s">
        <v>9463</v>
      </c>
      <c r="B923" t="s">
        <v>9304</v>
      </c>
    </row>
    <row r="924" spans="1:2">
      <c r="A924" t="s">
        <v>9463</v>
      </c>
      <c r="B924" t="s">
        <v>9305</v>
      </c>
    </row>
    <row r="925" spans="1:2">
      <c r="A925" t="s">
        <v>9463</v>
      </c>
      <c r="B925" t="s">
        <v>9306</v>
      </c>
    </row>
    <row r="926" spans="1:2">
      <c r="A926" t="s">
        <v>9463</v>
      </c>
      <c r="B926" t="s">
        <v>9307</v>
      </c>
    </row>
    <row r="927" spans="1:2">
      <c r="A927" t="s">
        <v>9463</v>
      </c>
      <c r="B927" t="s">
        <v>9308</v>
      </c>
    </row>
    <row r="928" spans="1:2">
      <c r="A928" t="s">
        <v>9463</v>
      </c>
      <c r="B928" t="s">
        <v>9309</v>
      </c>
    </row>
    <row r="929" spans="1:2">
      <c r="A929" t="s">
        <v>9463</v>
      </c>
      <c r="B929" t="s">
        <v>9310</v>
      </c>
    </row>
    <row r="930" spans="1:2">
      <c r="A930" t="s">
        <v>9463</v>
      </c>
      <c r="B930" t="s">
        <v>9311</v>
      </c>
    </row>
    <row r="931" spans="1:2">
      <c r="A931" t="s">
        <v>9463</v>
      </c>
      <c r="B931" t="s">
        <v>9312</v>
      </c>
    </row>
    <row r="932" spans="1:2">
      <c r="A932" t="s">
        <v>9463</v>
      </c>
      <c r="B932" t="s">
        <v>9313</v>
      </c>
    </row>
    <row r="933" spans="1:2">
      <c r="A933" t="s">
        <v>9463</v>
      </c>
      <c r="B933" t="s">
        <v>9314</v>
      </c>
    </row>
    <row r="934" spans="1:2">
      <c r="A934" t="s">
        <v>9463</v>
      </c>
      <c r="B934" t="s">
        <v>9315</v>
      </c>
    </row>
    <row r="935" spans="1:2">
      <c r="A935" t="s">
        <v>9463</v>
      </c>
      <c r="B935" t="s">
        <v>9316</v>
      </c>
    </row>
    <row r="936" spans="1:2">
      <c r="A936" t="s">
        <v>9463</v>
      </c>
      <c r="B936" t="s">
        <v>9317</v>
      </c>
    </row>
    <row r="937" spans="1:2">
      <c r="A937" t="s">
        <v>9463</v>
      </c>
      <c r="B937" t="s">
        <v>9318</v>
      </c>
    </row>
    <row r="938" spans="1:2">
      <c r="A938" t="s">
        <v>9463</v>
      </c>
      <c r="B938" t="s">
        <v>9319</v>
      </c>
    </row>
    <row r="939" spans="1:2">
      <c r="A939" t="s">
        <v>9463</v>
      </c>
      <c r="B939" t="s">
        <v>9320</v>
      </c>
    </row>
    <row r="940" spans="1:2">
      <c r="A940" t="s">
        <v>9463</v>
      </c>
      <c r="B940" t="s">
        <v>9321</v>
      </c>
    </row>
    <row r="941" spans="1:2">
      <c r="A941" t="s">
        <v>9463</v>
      </c>
      <c r="B941" t="s">
        <v>9322</v>
      </c>
    </row>
    <row r="942" spans="1:2">
      <c r="A942" t="s">
        <v>9463</v>
      </c>
      <c r="B942" t="s">
        <v>9323</v>
      </c>
    </row>
    <row r="943" spans="1:2">
      <c r="A943" t="s">
        <v>9463</v>
      </c>
      <c r="B943" t="s">
        <v>9324</v>
      </c>
    </row>
    <row r="944" spans="1:2">
      <c r="A944" t="s">
        <v>9463</v>
      </c>
      <c r="B944" t="s">
        <v>9244</v>
      </c>
    </row>
    <row r="945" spans="1:2">
      <c r="A945" t="s">
        <v>9463</v>
      </c>
      <c r="B945" t="s">
        <v>9245</v>
      </c>
    </row>
    <row r="946" spans="1:2">
      <c r="A946" t="s">
        <v>9463</v>
      </c>
      <c r="B946" t="s">
        <v>9246</v>
      </c>
    </row>
    <row r="947" spans="1:2">
      <c r="A947" t="s">
        <v>9463</v>
      </c>
      <c r="B947" t="s">
        <v>9247</v>
      </c>
    </row>
    <row r="948" spans="1:2">
      <c r="A948" t="s">
        <v>9463</v>
      </c>
      <c r="B948" t="s">
        <v>9248</v>
      </c>
    </row>
    <row r="949" spans="1:2">
      <c r="A949" t="s">
        <v>9463</v>
      </c>
      <c r="B949" t="s">
        <v>9249</v>
      </c>
    </row>
    <row r="950" spans="1:2">
      <c r="A950" t="s">
        <v>9463</v>
      </c>
      <c r="B950" t="s">
        <v>9250</v>
      </c>
    </row>
    <row r="951" spans="1:2">
      <c r="A951" t="s">
        <v>9463</v>
      </c>
      <c r="B951" t="s">
        <v>9251</v>
      </c>
    </row>
    <row r="952" spans="1:2">
      <c r="A952" t="s">
        <v>9463</v>
      </c>
      <c r="B952" t="s">
        <v>9252</v>
      </c>
    </row>
    <row r="953" spans="1:2">
      <c r="A953" t="s">
        <v>9463</v>
      </c>
      <c r="B953" t="s">
        <v>9253</v>
      </c>
    </row>
    <row r="954" spans="1:2">
      <c r="A954" t="s">
        <v>9463</v>
      </c>
      <c r="B954" t="s">
        <v>9254</v>
      </c>
    </row>
    <row r="955" spans="1:2">
      <c r="A955" t="s">
        <v>9463</v>
      </c>
      <c r="B955" t="s">
        <v>9255</v>
      </c>
    </row>
    <row r="956" spans="1:2">
      <c r="A956" t="s">
        <v>9463</v>
      </c>
      <c r="B956" t="s">
        <v>9337</v>
      </c>
    </row>
    <row r="957" spans="1:2">
      <c r="A957" t="s">
        <v>9463</v>
      </c>
      <c r="B957" t="s">
        <v>9338</v>
      </c>
    </row>
    <row r="958" spans="1:2">
      <c r="A958" t="s">
        <v>9463</v>
      </c>
      <c r="B958" t="s">
        <v>9339</v>
      </c>
    </row>
    <row r="959" spans="1:2">
      <c r="A959" t="s">
        <v>9463</v>
      </c>
      <c r="B959" t="s">
        <v>9340</v>
      </c>
    </row>
    <row r="960" spans="1:2">
      <c r="A960" t="s">
        <v>9463</v>
      </c>
      <c r="B960" t="s">
        <v>9341</v>
      </c>
    </row>
    <row r="961" spans="1:2">
      <c r="A961" t="s">
        <v>9463</v>
      </c>
      <c r="B961" t="s">
        <v>9342</v>
      </c>
    </row>
    <row r="962" spans="1:2">
      <c r="A962" t="s">
        <v>9463</v>
      </c>
      <c r="B962" t="s">
        <v>9343</v>
      </c>
    </row>
    <row r="963" spans="1:2">
      <c r="A963" t="s">
        <v>9463</v>
      </c>
      <c r="B963" t="s">
        <v>9344</v>
      </c>
    </row>
    <row r="964" spans="1:2">
      <c r="A964" t="s">
        <v>9463</v>
      </c>
      <c r="B964" t="s">
        <v>9345</v>
      </c>
    </row>
    <row r="965" spans="1:2">
      <c r="A965" t="s">
        <v>9463</v>
      </c>
      <c r="B965" t="s">
        <v>9346</v>
      </c>
    </row>
    <row r="966" spans="1:2">
      <c r="A966" t="s">
        <v>9463</v>
      </c>
      <c r="B966" t="s">
        <v>9347</v>
      </c>
    </row>
    <row r="967" spans="1:2">
      <c r="A967" t="s">
        <v>9463</v>
      </c>
      <c r="B967" t="s">
        <v>9348</v>
      </c>
    </row>
    <row r="968" spans="1:2">
      <c r="A968" t="s">
        <v>9463</v>
      </c>
      <c r="B968" t="s">
        <v>9325</v>
      </c>
    </row>
    <row r="969" spans="1:2">
      <c r="A969" t="s">
        <v>9463</v>
      </c>
      <c r="B969" t="s">
        <v>9326</v>
      </c>
    </row>
    <row r="970" spans="1:2">
      <c r="A970" t="s">
        <v>9463</v>
      </c>
      <c r="B970" t="s">
        <v>9327</v>
      </c>
    </row>
    <row r="971" spans="1:2">
      <c r="A971" t="s">
        <v>9463</v>
      </c>
      <c r="B971" t="s">
        <v>9328</v>
      </c>
    </row>
    <row r="972" spans="1:2">
      <c r="A972" t="s">
        <v>9463</v>
      </c>
      <c r="B972" t="s">
        <v>9329</v>
      </c>
    </row>
    <row r="973" spans="1:2">
      <c r="A973" t="s">
        <v>9463</v>
      </c>
      <c r="B973" t="s">
        <v>9330</v>
      </c>
    </row>
    <row r="974" spans="1:2">
      <c r="A974" t="s">
        <v>9463</v>
      </c>
      <c r="B974" t="s">
        <v>9331</v>
      </c>
    </row>
    <row r="975" spans="1:2">
      <c r="A975" t="s">
        <v>9463</v>
      </c>
      <c r="B975" t="s">
        <v>9332</v>
      </c>
    </row>
    <row r="976" spans="1:2">
      <c r="A976" t="s">
        <v>9463</v>
      </c>
      <c r="B976" t="s">
        <v>9333</v>
      </c>
    </row>
    <row r="977" spans="1:2">
      <c r="A977" t="s">
        <v>9463</v>
      </c>
      <c r="B977" t="s">
        <v>9334</v>
      </c>
    </row>
    <row r="978" spans="1:2">
      <c r="A978" t="s">
        <v>9463</v>
      </c>
      <c r="B978" t="s">
        <v>9335</v>
      </c>
    </row>
    <row r="979" spans="1:2">
      <c r="A979" t="s">
        <v>9463</v>
      </c>
      <c r="B979" t="s">
        <v>9336</v>
      </c>
    </row>
    <row r="980" spans="1:2">
      <c r="A980" t="s">
        <v>9463</v>
      </c>
      <c r="B980" t="s">
        <v>9388</v>
      </c>
    </row>
    <row r="981" spans="1:2">
      <c r="A981" t="s">
        <v>9463</v>
      </c>
      <c r="B981" t="s">
        <v>9389</v>
      </c>
    </row>
    <row r="982" spans="1:2">
      <c r="A982" t="s">
        <v>9463</v>
      </c>
      <c r="B982" t="s">
        <v>9390</v>
      </c>
    </row>
    <row r="983" spans="1:2">
      <c r="A983" t="s">
        <v>9463</v>
      </c>
      <c r="B983" t="s">
        <v>9391</v>
      </c>
    </row>
    <row r="984" spans="1:2">
      <c r="A984" t="s">
        <v>9463</v>
      </c>
      <c r="B984" t="s">
        <v>9392</v>
      </c>
    </row>
    <row r="985" spans="1:2">
      <c r="A985" t="s">
        <v>9463</v>
      </c>
      <c r="B985" t="s">
        <v>9393</v>
      </c>
    </row>
    <row r="986" spans="1:2">
      <c r="A986" t="s">
        <v>9463</v>
      </c>
      <c r="B986" t="s">
        <v>9394</v>
      </c>
    </row>
    <row r="987" spans="1:2">
      <c r="A987" t="s">
        <v>9463</v>
      </c>
      <c r="B987" t="s">
        <v>9395</v>
      </c>
    </row>
    <row r="988" spans="1:2">
      <c r="A988" t="s">
        <v>9463</v>
      </c>
      <c r="B988" t="s">
        <v>9396</v>
      </c>
    </row>
    <row r="989" spans="1:2">
      <c r="A989" t="s">
        <v>9463</v>
      </c>
      <c r="B989" t="s">
        <v>9397</v>
      </c>
    </row>
    <row r="990" spans="1:2">
      <c r="A990" t="s">
        <v>9463</v>
      </c>
      <c r="B990" t="s">
        <v>9398</v>
      </c>
    </row>
    <row r="991" spans="1:2">
      <c r="A991" t="s">
        <v>9463</v>
      </c>
      <c r="B991" t="s">
        <v>9399</v>
      </c>
    </row>
    <row r="992" spans="1:2">
      <c r="A992" t="s">
        <v>9443</v>
      </c>
      <c r="B992" t="s">
        <v>9046</v>
      </c>
    </row>
    <row r="993" spans="1:2">
      <c r="A993" t="s">
        <v>9443</v>
      </c>
      <c r="B993" t="s">
        <v>9040</v>
      </c>
    </row>
    <row r="994" spans="1:2">
      <c r="A994" t="s">
        <v>9443</v>
      </c>
      <c r="B994" t="s">
        <v>9041</v>
      </c>
    </row>
    <row r="995" spans="1:2">
      <c r="A995" t="s">
        <v>9443</v>
      </c>
      <c r="B995" t="s">
        <v>9054</v>
      </c>
    </row>
    <row r="996" spans="1:2">
      <c r="A996" t="s">
        <v>9443</v>
      </c>
      <c r="B996" t="s">
        <v>9049</v>
      </c>
    </row>
    <row r="997" spans="1:2">
      <c r="A997" t="s">
        <v>9443</v>
      </c>
      <c r="B997" t="s">
        <v>9015</v>
      </c>
    </row>
    <row r="998" spans="1:2">
      <c r="A998" t="s">
        <v>9443</v>
      </c>
      <c r="B998" t="s">
        <v>9047</v>
      </c>
    </row>
    <row r="999" spans="1:2">
      <c r="A999" t="s">
        <v>9443</v>
      </c>
      <c r="B999" t="s">
        <v>9048</v>
      </c>
    </row>
    <row r="1000" spans="1:2">
      <c r="A1000" t="s">
        <v>9447</v>
      </c>
      <c r="B1000" t="s">
        <v>9081</v>
      </c>
    </row>
    <row r="1001" spans="1:2">
      <c r="A1001" t="s">
        <v>9447</v>
      </c>
      <c r="B1001" t="s">
        <v>9037</v>
      </c>
    </row>
    <row r="1002" spans="1:2">
      <c r="A1002" t="s">
        <v>9447</v>
      </c>
      <c r="B1002" t="s">
        <v>9056</v>
      </c>
    </row>
    <row r="1003" spans="1:2">
      <c r="A1003" t="s">
        <v>9447</v>
      </c>
      <c r="B1003" t="s">
        <v>9015</v>
      </c>
    </row>
    <row r="1004" spans="1:2">
      <c r="A1004" t="s">
        <v>9447</v>
      </c>
      <c r="B1004" t="s">
        <v>9050</v>
      </c>
    </row>
    <row r="1005" spans="1:2">
      <c r="A1005" t="s">
        <v>9447</v>
      </c>
      <c r="B1005" t="s">
        <v>9051</v>
      </c>
    </row>
    <row r="1006" spans="1:2">
      <c r="A1006" t="s">
        <v>9447</v>
      </c>
      <c r="B1006" t="s">
        <v>9077</v>
      </c>
    </row>
    <row r="1007" spans="1:2">
      <c r="A1007" t="s">
        <v>9447</v>
      </c>
      <c r="B1007" t="s">
        <v>9078</v>
      </c>
    </row>
    <row r="1008" spans="1:2">
      <c r="A1008" t="s">
        <v>9447</v>
      </c>
      <c r="B1008" t="s">
        <v>9058</v>
      </c>
    </row>
    <row r="1009" spans="1:2">
      <c r="A1009" t="s">
        <v>9431</v>
      </c>
      <c r="B1009" t="s">
        <v>9015</v>
      </c>
    </row>
    <row r="1010" spans="1:2">
      <c r="A1010" t="s">
        <v>9431</v>
      </c>
      <c r="B1010" t="s">
        <v>9016</v>
      </c>
    </row>
    <row r="1011" spans="1:2">
      <c r="A1011" t="s">
        <v>9431</v>
      </c>
      <c r="B1011" t="s">
        <v>9017</v>
      </c>
    </row>
    <row r="1012" spans="1:2">
      <c r="A1012" t="s">
        <v>9431</v>
      </c>
      <c r="B1012" t="s">
        <v>9018</v>
      </c>
    </row>
    <row r="1013" spans="1:2">
      <c r="A1013" t="s">
        <v>9431</v>
      </c>
      <c r="B1013" t="s">
        <v>9019</v>
      </c>
    </row>
    <row r="1014" spans="1:2">
      <c r="A1014" t="s">
        <v>9431</v>
      </c>
      <c r="B1014" t="s">
        <v>9020</v>
      </c>
    </row>
    <row r="1015" spans="1:2">
      <c r="A1015" t="s">
        <v>9431</v>
      </c>
      <c r="B1015" t="s">
        <v>9021</v>
      </c>
    </row>
    <row r="1016" spans="1:2">
      <c r="A1016" t="s">
        <v>9431</v>
      </c>
      <c r="B1016" t="s">
        <v>9022</v>
      </c>
    </row>
    <row r="1017" spans="1:2">
      <c r="A1017" t="s">
        <v>9431</v>
      </c>
      <c r="B1017" t="s">
        <v>9023</v>
      </c>
    </row>
    <row r="1018" spans="1:2">
      <c r="A1018" t="s">
        <v>9431</v>
      </c>
      <c r="B1018" t="s">
        <v>9024</v>
      </c>
    </row>
    <row r="1019" spans="1:2">
      <c r="A1019" t="s">
        <v>9431</v>
      </c>
      <c r="B1019" t="s">
        <v>9025</v>
      </c>
    </row>
    <row r="1020" spans="1:2">
      <c r="A1020" t="s">
        <v>9431</v>
      </c>
      <c r="B1020" t="s">
        <v>9026</v>
      </c>
    </row>
    <row r="1021" spans="1:2">
      <c r="A1021" t="s">
        <v>9431</v>
      </c>
      <c r="B1021" t="s">
        <v>9027</v>
      </c>
    </row>
    <row r="1022" spans="1:2">
      <c r="A1022" t="s">
        <v>9431</v>
      </c>
      <c r="B1022" t="s">
        <v>9028</v>
      </c>
    </row>
    <row r="1023" spans="1:2">
      <c r="A1023" t="s">
        <v>9431</v>
      </c>
      <c r="B1023" t="s">
        <v>9029</v>
      </c>
    </row>
    <row r="1024" spans="1:2">
      <c r="A1024" t="s">
        <v>9431</v>
      </c>
      <c r="B1024" t="s">
        <v>9030</v>
      </c>
    </row>
    <row r="1025" spans="1:2">
      <c r="A1025" t="s">
        <v>9431</v>
      </c>
      <c r="B1025" t="s">
        <v>9031</v>
      </c>
    </row>
    <row r="1026" spans="1:2">
      <c r="A1026" t="s">
        <v>9431</v>
      </c>
      <c r="B1026" t="s">
        <v>9032</v>
      </c>
    </row>
    <row r="1027" spans="1:2">
      <c r="A1027" t="s">
        <v>9431</v>
      </c>
      <c r="B1027" t="s">
        <v>9033</v>
      </c>
    </row>
    <row r="1028" spans="1:2">
      <c r="A1028" t="s">
        <v>9431</v>
      </c>
      <c r="B1028" t="s">
        <v>9034</v>
      </c>
    </row>
    <row r="1029" spans="1:2">
      <c r="A1029" t="s">
        <v>9431</v>
      </c>
      <c r="B1029" t="s">
        <v>9035</v>
      </c>
    </row>
    <row r="1030" spans="1:2">
      <c r="A1030" t="s">
        <v>9431</v>
      </c>
      <c r="B1030" t="s">
        <v>9036</v>
      </c>
    </row>
    <row r="1031" spans="1:2">
      <c r="A1031" t="s">
        <v>9431</v>
      </c>
      <c r="B1031" t="s">
        <v>9037</v>
      </c>
    </row>
    <row r="1032" spans="1:2">
      <c r="A1032" t="s">
        <v>9431</v>
      </c>
      <c r="B1032" t="s">
        <v>9038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I17"/>
  <sheetViews>
    <sheetView workbookViewId="0">
      <selection activeCell="I1" sqref="I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</cols>
  <sheetData>
    <row r="1" spans="1:9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</row>
    <row r="2" spans="1:9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</row>
    <row r="3" spans="1:9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</row>
    <row r="4" spans="1:9">
      <c r="A4" s="17" t="s">
        <v>922</v>
      </c>
      <c r="E4" t="s">
        <v>994</v>
      </c>
      <c r="G4" t="s">
        <v>995</v>
      </c>
      <c r="I4" t="s">
        <v>74</v>
      </c>
    </row>
    <row r="5" spans="1:9">
      <c r="A5" s="18" t="s">
        <v>926</v>
      </c>
      <c r="E5" t="s">
        <v>1006</v>
      </c>
      <c r="G5" t="s">
        <v>1007</v>
      </c>
      <c r="I5" t="s">
        <v>19</v>
      </c>
    </row>
    <row r="6" spans="1:9">
      <c r="A6" s="17" t="s">
        <v>921</v>
      </c>
      <c r="E6" t="s">
        <v>1004</v>
      </c>
      <c r="G6" t="s">
        <v>1005</v>
      </c>
    </row>
    <row r="7" spans="1:9">
      <c r="A7" s="18" t="s">
        <v>919</v>
      </c>
      <c r="E7" t="s">
        <v>996</v>
      </c>
      <c r="G7" t="s">
        <v>997</v>
      </c>
    </row>
    <row r="8" spans="1:9">
      <c r="A8" s="17" t="s">
        <v>912</v>
      </c>
      <c r="E8" t="s">
        <v>1008</v>
      </c>
      <c r="G8" t="s">
        <v>1009</v>
      </c>
    </row>
    <row r="9" spans="1:9">
      <c r="A9" s="18" t="s">
        <v>918</v>
      </c>
      <c r="E9" t="s">
        <v>990</v>
      </c>
      <c r="G9" t="s">
        <v>991</v>
      </c>
    </row>
    <row r="10" spans="1:9">
      <c r="A10" s="17" t="s">
        <v>917</v>
      </c>
      <c r="E10" t="s">
        <v>1012</v>
      </c>
      <c r="G10" t="s">
        <v>1013</v>
      </c>
    </row>
    <row r="11" spans="1:9">
      <c r="A11" s="18" t="s">
        <v>915</v>
      </c>
      <c r="E11" t="s">
        <v>1014</v>
      </c>
      <c r="G11" t="s">
        <v>1015</v>
      </c>
    </row>
    <row r="12" spans="1:9">
      <c r="A12" s="17" t="s">
        <v>923</v>
      </c>
      <c r="E12" t="s">
        <v>1002</v>
      </c>
      <c r="G12" t="s">
        <v>1003</v>
      </c>
    </row>
    <row r="13" spans="1:9">
      <c r="A13" s="18" t="s">
        <v>924</v>
      </c>
      <c r="E13" t="s">
        <v>1010</v>
      </c>
      <c r="G13" t="s">
        <v>1011</v>
      </c>
    </row>
    <row r="14" spans="1:9">
      <c r="A14" s="17" t="s">
        <v>927</v>
      </c>
      <c r="E14" t="s">
        <v>998</v>
      </c>
      <c r="G14" t="s">
        <v>999</v>
      </c>
    </row>
    <row r="15" spans="1:9">
      <c r="A15" s="18" t="s">
        <v>920</v>
      </c>
      <c r="E15" t="s">
        <v>992</v>
      </c>
      <c r="G15" t="s">
        <v>993</v>
      </c>
    </row>
    <row r="16" spans="1:9">
      <c r="A16" s="17" t="s">
        <v>914</v>
      </c>
      <c r="E16" t="s">
        <v>1016</v>
      </c>
      <c r="G16" t="s">
        <v>1017</v>
      </c>
    </row>
    <row r="17" spans="1:1">
      <c r="A17" s="18" t="s">
        <v>913</v>
      </c>
    </row>
  </sheetData>
  <sortState xmlns:xlrd2="http://schemas.microsoft.com/office/spreadsheetml/2017/richdata2" ref="A2:A17">
    <sortCondition ref="A2:A17"/>
  </sortState>
  <dataValidations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/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english_items</vt:lpstr>
      <vt:lpstr>graphics_lookup_dump</vt:lpstr>
      <vt:lpstr>graphics_template_components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2026-04-01T13:26:52Z</dcterms:modified>
</cp:coreProperties>
</file>