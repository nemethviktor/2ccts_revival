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8FC37EF-8736-4CFF-857E-4F3FE3C141E2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0" i="19" l="1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E800" i="17" a="1"/>
  <c r="AE800" i="17" s="1"/>
  <c r="AD800" i="17"/>
  <c r="R800" i="17"/>
  <c r="T800" i="17" s="1"/>
  <c r="E800" i="17"/>
  <c r="B800" i="14"/>
  <c r="I800" i="14"/>
  <c r="H800" i="14" s="1"/>
  <c r="J800" i="14"/>
  <c r="K800" i="14"/>
  <c r="L800" i="14"/>
  <c r="M800" i="14"/>
  <c r="N800" i="14"/>
  <c r="O800" i="14"/>
  <c r="AF799" i="1"/>
  <c r="AD799" i="17"/>
  <c r="R799" i="17"/>
  <c r="T799" i="17"/>
  <c r="E799" i="17"/>
  <c r="E799" i="14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AE797" i="17" s="1" a="1"/>
  <c r="AE797" i="17" s="1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AE729" i="17" s="1" a="1"/>
  <c r="AE729" i="17" s="1"/>
  <c r="I728" i="14"/>
  <c r="AE728" i="17" s="1" a="1"/>
  <c r="AE728" i="17" s="1"/>
  <c r="I727" i="14"/>
  <c r="AE727" i="17" s="1" a="1"/>
  <c r="AE727" i="17" s="1"/>
  <c r="I726" i="14"/>
  <c r="AE726" i="17" s="1" a="1"/>
  <c r="AE726" i="17" s="1"/>
  <c r="I725" i="14"/>
  <c r="AE725" i="17" s="1" a="1"/>
  <c r="AE725" i="17" s="1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791" i="17" l="1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E800" i="14" s="1"/>
  <c r="AE792" i="17" a="1"/>
  <c r="AE792" i="17" s="1"/>
  <c r="C792" i="24" s="1"/>
  <c r="AE695" i="17" a="1"/>
  <c r="AE695" i="17" s="1"/>
  <c r="C695" i="24" s="1"/>
  <c r="AE696" i="17" a="1"/>
  <c r="AE696" i="17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C728" i="24"/>
  <c r="B728" i="24"/>
  <c r="C727" i="24"/>
  <c r="B727" i="24"/>
  <c r="C726" i="24"/>
  <c r="B726" i="24"/>
  <c r="C725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C696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F484" i="24" l="1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J484" i="24" l="1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<sst xmlns="http://schemas.openxmlformats.org/spreadsheetml/2006/main" count="18672" uniqueCount="3054">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</sst>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1">
    <dxf>
      <numFmt numFmtId="0" formatCode="General"/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0" totalsRowShown="0" headerRowDxfId="58">
  <autoFilter ref="A1:O800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57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56"/>
    <tableColumn id="17" xr3:uid="{52550B53-5A6E-4D0B-A358-FCA22B56CC77}" name="WEB"/>
    <tableColumn id="15" xr3:uid="{C9DBDDFF-A526-4383-A426-8408C4B17785}" name="IS_POWERED_UNPOWERED_SUNDRY" dataDxfId="5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54">
      <calculatedColumnFormula>ISNUMBER(_xlfn.XMATCH(CONTROL[[#This Row],[VEHIDCODE]],TRACK_TYPES[VEHIDCODE],0))</calculatedColumnFormula>
    </tableColumn>
    <tableColumn id="14" xr3:uid="{222C2DB1-CA5D-4369-995A-6A316AC5C947}" name="PROPERTIES" dataDxfId="53">
      <calculatedColumnFormula>ISNUMBER(_xlfn.XMATCH(CONTROL[[#This Row],[VEHIDCODE]],PROPERTIES[VEHIDCODE],0))</calculatedColumnFormula>
    </tableColumn>
    <tableColumn id="13" xr3:uid="{473FD571-A166-4EC8-8B7B-F1D30044570B}" name="FLAGS" dataDxfId="52">
      <calculatedColumnFormula>ISNUMBER(_xlfn.XMATCH(CONTROL[[#This Row],[VEHIDCODE]],FLAGS[VEHIDCODE],0))</calculatedColumnFormula>
    </tableColumn>
    <tableColumn id="10" xr3:uid="{7783F713-60B4-45CF-AEB3-EE02271B3D6F}" name="GRAPHICS_PROPERTIES" dataDxfId="51">
      <calculatedColumnFormula>ISNUMBER(_xlfn.XMATCH(CONTROL[[#This Row],[VEHIDCODE]],GRAPHICS_PROPERTIES[VEHIDCODE],0))</calculatedColumnFormula>
    </tableColumn>
    <tableColumn id="9" xr3:uid="{7B229E25-CF6B-4C5F-B4A4-FEC34CB93E9B}" name="ITEM" dataDxfId="50">
      <calculatedColumnFormula>"item_"&amp;CONTROL[[#This Row],[VEHIDCODE]]</calculatedColumnFormula>
    </tableColumn>
    <tableColumn id="8" xr3:uid="{327E5CDA-51AE-4721-ACBD-5E8C3D890998}" name="NAME" dataDxfId="4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0" totalsRowShown="0" headerRowDxfId="48">
  <autoFilter ref="A1:AF800" xr:uid="{6DCCB998-B5D1-4B0D-8701-BC0E171A94CA}"/>
  <tableColumns count="32">
    <tableColumn id="1" xr3:uid="{173D09BF-30BA-4FF2-B4FE-F09962415DA2}" name="VEHIDCODE" dataDxfId="47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46"/>
    <tableColumn id="19" xr3:uid="{FD65B400-35DE-464D-97AA-B59BB7DAE7DB}" name="COUNTRY_CODE" dataDxfId="4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44"/>
    <tableColumn id="58" xr3:uid="{37DCFD33-B11D-4E3C-9899-EA36DBD4DBC0}" name="LOADINGSPEED_VALUE" dataDxfId="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4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42"/>
    <tableColumn id="24" xr3:uid="{FFD5C22B-7B16-440D-91CC-48C8761050DA}" name="TE_COEFFICIENT_CALC" dataDxfId="4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40"/>
    <tableColumn id="14" xr3:uid="{123AAB87-6D4C-406A-A5E1-A61DC2DDFFEE}" name="TE_COEFFICIENT" dataDxfId="3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38"/>
    <tableColumn id="18" xr3:uid="{EB0CE86B-9E06-4ADD-85C1-EA622DE32153}" name="WAGON_CAPACITY" dataDxfId="37"/>
    <tableColumn id="15" xr3:uid="{3558C882-A912-4F84-BDE6-BC0A2A676C4B}" name="WAGON_LENGTH" dataDxfId="36"/>
    <tableColumn id="71" xr3:uid="{3D8AA890-C1F2-4EBD-90E3-21F948960989}" name="PURCHASE_CARGO_CAPACITY" dataDxfId="35"/>
    <tableColumn id="30" xr3:uid="{235283C1-F061-434B-8C4A-AD474FB16FE8}" name="REGION1" dataDxfId="34"/>
    <tableColumn id="29" xr3:uid="{19EC58E3-4FB9-44BC-BFFA-4C7DCCC53DA8}" name="REGION2" dataDxfId="33"/>
    <tableColumn id="27" xr3:uid="{C00DC499-0060-4E48-A71D-AE565097985F}" name="REGION3" dataDxfId="32"/>
    <tableColumn id="56" xr3:uid="{188F57E8-1157-47DF-9E8F-B5F737649F6C}" name="PURCHASECOST_VALUE" dataDxfId="31"/>
    <tableColumn id="28" xr3:uid="{B24767B4-97D7-4814-9BBD-1231E1A0A0A7}" name="RUNNINGCOST_VALUE" dataDxfId="30"/>
    <tableColumn id="22" xr3:uid="{68BAA036-8189-4A5A-B0EF-3F284C15672C}" name="COST_CAT" dataDxfId="29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8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0" totalsRowShown="0" headerRowDxfId="140">
  <autoFilter ref="A1:AF800" xr:uid="{6DCCB998-B5D1-4B0D-8701-BC0E171A94CA}"/>
  <tableColumns count="32">
    <tableColumn id="1" xr3:uid="{CDEAF13A-A986-4600-A992-A08C1CA6142C}" name="VEHIDCODE" dataDxfId="139"/>
    <tableColumn id="55" xr3:uid="{839D134C-3027-42F4-BA04-3BA8BFF71A3B}" name="TRACK_TYPE_STANDARD_GAUGE_RAILTYPE_OHLE" dataDxfId="138"/>
    <tableColumn id="54" xr3:uid="{5D83FD10-ABCB-4FE7-A7DB-4A857A58D719}" name="TRACK_TYPE_STANDARD_GAUGE_RAILTYPE_25KV" dataDxfId="137"/>
    <tableColumn id="53" xr3:uid="{56183170-0B7F-45FB-91B4-356C62C246AD}" name="TRACK_TYPE_STANDARD_GAUGE_RAILTYPE_15KV" dataDxfId="136"/>
    <tableColumn id="52" xr3:uid="{5B71BE07-0EB9-4DEB-A8E8-252C9D979AC2}" name="TRACK_TYPE_STANDARD_GAUGE_RAILTYPE_3KV" dataDxfId="135"/>
    <tableColumn id="51" xr3:uid="{5A6435EB-111E-4AED-A8E1-AEFF82C34393}" name="TRACK_TYPE_STANDARD_GAUGE_RAILTYPE_1500V" dataDxfId="134"/>
    <tableColumn id="50" xr3:uid="{14CA70EA-0EE7-44BA-9D77-FC902C0596DD}" name="TRACK_TYPE_STANDARD_GAUGE_RAILTYPE_3RD" dataDxfId="133"/>
    <tableColumn id="49" xr3:uid="{3A15447A-9663-43FB-8EFF-8F8034548FB0}" name="TRACK_TYPE_STANDARD_GAUGE_RAILTYPE_4TH" dataDxfId="132"/>
    <tableColumn id="48" xr3:uid="{E44E324A-492F-4566-8DC9-0A6F58F40EA9}" name="TRACK_TYPE_STANDARD_GAUGE_RAILTYPE_DUAL" dataDxfId="131"/>
    <tableColumn id="47" xr3:uid="{FE3223C6-E685-4456-91E9-10AEB3B699E7}" name="TRACK_TYPE_STANDARD_GAUGE_RAILTYPE_NONE" dataDxfId="130"/>
    <tableColumn id="46" xr3:uid="{D39969E8-C0CA-4A59-A556-D29019991069}" name="TRACK_TYPE_NARROW_GAUGE_RAILTYPE_OHLE" dataDxfId="129"/>
    <tableColumn id="45" xr3:uid="{5266A9E9-D840-4460-AB81-A081897372F3}" name="TRACK_TYPE_NARROW_GAUGE_RAILTYPE_25KV" dataDxfId="128"/>
    <tableColumn id="44" xr3:uid="{7B4C44D1-C745-4291-86A0-777579742A84}" name="TRACK_TYPE_NARROW_GAUGE_RAILTYPE_15KV" dataDxfId="127"/>
    <tableColumn id="43" xr3:uid="{8736D285-A163-4DBE-84E1-870118B47F14}" name="TRACK_TYPE_NARROW_GAUGE_RAILTYPE_3KV" dataDxfId="126"/>
    <tableColumn id="42" xr3:uid="{6FBBA2FB-4743-4072-B4E0-C42BBDA1CC47}" name="TRACK_TYPE_NARROW_GAUGE_RAILTYPE_1500V" dataDxfId="125"/>
    <tableColumn id="41" xr3:uid="{D3ED2E70-19BF-4D92-A76B-0F0F03D31947}" name="TRACK_TYPE_NARROW_GAUGE_RAILTYPE_3RD" dataDxfId="124"/>
    <tableColumn id="40" xr3:uid="{F38AE7AF-B798-40A5-992A-13685296E710}" name="TRACK_TYPE_NARROW_GAUGE_RAILTYPE_4TH" dataDxfId="123"/>
    <tableColumn id="39" xr3:uid="{16463F64-2239-4E7F-8257-47F324BF8959}" name="TRACK_TYPE_NARROW_GAUGE_RAILTYPE_DUAL" dataDxfId="122"/>
    <tableColumn id="38" xr3:uid="{97037A15-9172-4057-863E-582804353817}" name="TRACK_TYPE_NARROW_GAUGE_RAILTYPE_NONE" dataDxfId="121"/>
    <tableColumn id="37" xr3:uid="{24999D59-5A4F-4A21-B8B4-EBDBF9F8BF1E}" name="TRACK_TYPE_BROAD_GAUGE_RAILTYPE_OHLE" dataDxfId="120"/>
    <tableColumn id="36" xr3:uid="{31AB3927-D18B-49AD-8EF5-C7E9FF4CEDF3}" name="TRACK_TYPE_BROAD_GAUGE_RAILTYPE_25KV" dataDxfId="119"/>
    <tableColumn id="35" xr3:uid="{CB3432E7-4DAE-4807-9CE5-4CB1ACECD395}" name="TRACK_TYPE_BROAD_GAUGE_RAILTYPE_15KV" dataDxfId="118"/>
    <tableColumn id="34" xr3:uid="{E3936FE4-2B46-4DC0-84C0-44C7892A0927}" name="TRACK_TYPE_BROAD_GAUGE_RAILTYPE_3KV" dataDxfId="117"/>
    <tableColumn id="33" xr3:uid="{A5FAA105-CF81-4A75-8967-5721104454E8}" name="TRACK_TYPE_BROAD_GAUGE_RAILTYPE_1500V" dataDxfId="116"/>
    <tableColumn id="32" xr3:uid="{439CDFDE-6BFC-446C-87CF-28C8FF65FCE0}" name="TRACK_TYPE_BROAD_GAUGE_RAILTYPE_3RD" dataDxfId="115"/>
    <tableColumn id="31" xr3:uid="{219AB5E3-CDFF-41B3-BD58-F7427606D15F}" name="TRACK_TYPE_BROAD_GAUGE_RAILTYPE_4TH" dataDxfId="114"/>
    <tableColumn id="30" xr3:uid="{01529768-EA0D-4662-B835-74641896CE3F}" name="TRACK_TYPE_BROAD_GAUGE_RAILTYPE_DUAL" dataDxfId="113"/>
    <tableColumn id="29" xr3:uid="{32C384AB-18DB-4161-B29B-A363A2547BB2}" name="TRACK_TYPE_BROAD_GAUGE_RAILTYPE_NONE" dataDxfId="112"/>
    <tableColumn id="26" xr3:uid="{1CFC6F26-22A8-42EE-972B-0F7ED6623B5A}" name="TRACK_TYPE_MONO" dataDxfId="111"/>
    <tableColumn id="25" xr3:uid="{62939270-15C1-494E-9C53-6EA9E8209C3B}" name="TRACK_TYPE_MGLV" dataDxfId="110"/>
    <tableColumn id="24" xr3:uid="{9DA86EDA-F2AB-4C2D-918E-5260313FD8B3}" name="TRACK_TYPE_MTRO" dataDxfId="109"/>
    <tableColumn id="21" xr3:uid="{E6F11214-E912-4D1C-980D-A111C93B0BED}" name="CHECK_ANY_TT" dataDxfId="108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0" totalsRowShown="0" headerRowDxfId="107">
  <autoFilter ref="A1:G800" xr:uid="{6DCCB998-B5D1-4B0D-8701-BC0E171A94CA}"/>
  <tableColumns count="7">
    <tableColumn id="1" xr3:uid="{327CDBB6-E1D6-4B9F-9625-C81419775134}" name="VEHIDCODE" dataDxfId="106"/>
    <tableColumn id="101" xr3:uid="{78690AEB-EA8F-4FC7-9651-C84D8F318EE9}" name="MISC_FLAGS_TRAIN_FLAG_2CC" dataDxfId="105"/>
    <tableColumn id="100" xr3:uid="{90DBB1A2-A86F-42C6-B2B8-64A2FD6690AB}" name="MISC_FLAGS_TRAIN_FLAG_MU" dataDxfId="104"/>
    <tableColumn id="99" xr3:uid="{DA6644B2-20CC-47E2-B1B5-10210B43738A}" name="MISC_FLAGS_TRAIN_FLAG_AUTOREFIT" dataDxfId="103"/>
    <tableColumn id="108" xr3:uid="{980A5687-92C0-42A0-811D-C3D4EA0876D1}" name="VISUAL_EFFECT_1" dataDxfId="10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0" totalsRowShown="0" headerRowDxfId="100">
  <autoFilter ref="A1:D800" xr:uid="{6DCCB998-B5D1-4B0D-8701-BC0E171A94CA}"/>
  <tableColumns count="4">
    <tableColumn id="1" xr3:uid="{0B6094CF-6CA6-410A-A041-C85FACC0820E}" name="VEHIDCODE" dataDxfId="99"/>
    <tableColumn id="7" xr3:uid="{3D8CAD9A-C0D1-459B-8D7C-DFC931F5B279}" name="PANTOGRAPH_POSITION" dataDxfId="98"/>
    <tableColumn id="6" xr3:uid="{E0637D36-B3FC-4486-87F9-603EB2076188}" name="TEMPLATE_ID" dataDxfId="97"/>
    <tableColumn id="9" xr3:uid="{FEF2BF9C-74F1-405C-9871-E4301805E364}" name="TEMPLATE_AMENDMENT_CODE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5" headerRowBorderDxfId="94" tableBorderDxfId="9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2" headerRowBorderDxfId="91" tableBorderDxfId="9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9" dataDxfId="88" tableBorderDxfId="87">
  <autoFilter ref="A1:A17" xr:uid="{0B243503-43AD-403A-90CE-B69D05B25C30}"/>
  <tableColumns count="1">
    <tableColumn id="1" xr3:uid="{3709FB1B-DE08-4A3E-8CA6-F5322D2A3261}" name="VALID_REGIONS" dataDxfId="8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5" dataDxfId="84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3"/>
    <tableColumn id="2" xr3:uid="{CCC9A744-4F42-4023-A516-9395213016EB}" name="COUNTRY_DESCRIPTION" dataDxfId="8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80" headerRowBorderDxfId="81" tableBorderDxfId="79" totalsRowBorderDxfId="78">
  <autoFilter ref="K1:K25" xr:uid="{686D0694-AFBC-4B91-A3D3-72E1CCF00B7D}"/>
  <tableColumns count="1">
    <tableColumn id="1" xr3:uid="{7F0999BD-E0C9-463F-A054-2DA49D41A9EE}" name="VEHID_ID_CATEGORY" dataDxfId="7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6"/>
    <tableColumn id="4" xr3:uid="{3DDC8685-BA3D-40E8-A910-1E59013A762D}" name="Range End" dataDxfId="7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4" dataDxfId="73">
  <autoFilter ref="A1:N16" xr:uid="{863AE95D-BE34-47D8-B01B-1170BF25FDF2}"/>
  <tableColumns count="14">
    <tableColumn id="1" xr3:uid="{5F487593-655E-41B5-B155-86F88B53946D}" name="COST_CAT" dataDxfId="72"/>
    <tableColumn id="2" xr3:uid="{33F9C454-EDB2-4DA7-BF7A-64CBC12EBC9B}" name="P1" dataDxfId="71"/>
    <tableColumn id="3" xr3:uid="{25FB11D0-082D-4DE3-9821-1367939D8742}" name="P2" dataDxfId="70"/>
    <tableColumn id="4" xr3:uid="{19CDF402-C641-4217-A953-2A851DF85ADB}" name="P3" dataDxfId="69"/>
    <tableColumn id="5" xr3:uid="{1EF59E2C-32FF-4712-AD89-CBF77E507832}" name="P4" dataDxfId="68"/>
    <tableColumn id="6" xr3:uid="{04250F90-183D-4392-BE27-C420F795E1DC}" name="P5" dataDxfId="67"/>
    <tableColumn id="7" xr3:uid="{F7062C4F-5B57-4110-A21E-BDC8820130D9}" name="P6" dataDxfId="66"/>
    <tableColumn id="8" xr3:uid="{B47621AA-9D6F-4396-B3D9-BD8CF656F30E}" name="P7" dataDxfId="65"/>
    <tableColumn id="9" xr3:uid="{7055539E-C4C8-407D-91F5-6CB021EDE84F}" name="R1" dataDxfId="64"/>
    <tableColumn id="10" xr3:uid="{D17981EB-EB8A-4630-958C-3792D72CD53F}" name="R2" dataDxfId="63"/>
    <tableColumn id="11" xr3:uid="{85EDD15A-812B-4C42-B03A-D558B807622E}" name="R3" dataDxfId="62"/>
    <tableColumn id="12" xr3:uid="{61A73E38-33EC-41D1-B899-56F15EDBDD59}" name="R4" dataDxfId="61"/>
    <tableColumn id="13" xr3:uid="{7A83ADCF-C18F-402F-81A8-0F935E928ED9}" name="R5" dataDxfId="60"/>
    <tableColumn id="14" xr3:uid="{1140F6C7-9C3D-4800-9F3B-DC6E6EBE9541}" name="R6" dataDxfId="5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0"/>
  <sheetViews>
    <sheetView tabSelected="1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00" sqref="A800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  <row r="800" spans="1:15">
      <c r="A800" t="s">
        <v>3051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39" t="s">
        <v>3053</v>
      </c>
      <c r="G800" t="s">
        <v>3052</v>
      </c>
      <c r="H800" s="40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s="39" t="b">
        <f>ISNUMBER(_xlfn.XMATCH(CONTROL[[#This Row],[VEHIDCODE]],TRACK_TYPES[VEHIDCODE],0))</f>
        <v>1</v>
      </c>
      <c r="K800" s="39" t="b">
        <f>ISNUMBER(_xlfn.XMATCH(CONTROL[[#This Row],[VEHIDCODE]],PROPERTIES[VEHIDCODE],0))</f>
        <v>1</v>
      </c>
      <c r="L800" s="39" t="b">
        <f>ISNUMBER(_xlfn.XMATCH(CONTROL[[#This Row],[VEHIDCODE]],FLAGS[VEHIDCODE],0))</f>
        <v>1</v>
      </c>
      <c r="M800" s="39" t="b">
        <f>ISNUMBER(_xlfn.XMATCH(CONTROL[[#This Row],[VEHIDCODE]],GRAPHICS_PROPERTIES[VEHIDCODE],0))</f>
        <v>1</v>
      </c>
      <c r="N800" s="41" t="str">
        <f>"item_"&amp;CONTROL[[#This Row],[VEHIDCODE]]</f>
        <v>item_diesel_Congo_Alstom_BB_BB</v>
      </c>
      <c r="O800" s="41" t="str">
        <f>"str_"&amp;CONTROL[[#This Row],[VEHIDCODE]]</f>
        <v>str_diesel_Congo_Alstom_BB_BB</v>
      </c>
    </row>
  </sheetData>
  <conditionalFormatting sqref="H2:H800">
    <cfRule type="containsText" dxfId="21" priority="1" operator="containsText" text="FALSE">
      <formula>NOT(ISERROR(SEARCH("FALSE",H2)))</formula>
    </cfRule>
  </conditionalFormatting>
  <conditionalFormatting sqref="I1:I800">
    <cfRule type="containsText" dxfId="20" priority="5" operator="containsText" text="FALSE">
      <formula>NOT(ISERROR(SEARCH("FALSE",I1)))</formula>
    </cfRule>
  </conditionalFormatting>
  <conditionalFormatting sqref="J1:O795 K796:O1048576">
    <cfRule type="cellIs" dxfId="19" priority="3" operator="equal">
      <formula>FALSE</formula>
    </cfRule>
  </conditionalFormatting>
  <dataValidations count="1">
    <dataValidation type="list" allowBlank="1" showInputMessage="1" showErrorMessage="1" sqref="D2:D800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0"/>
  <sheetViews>
    <sheetView zoomScaleNormal="100" workbookViewId="0">
      <pane xSplit="1" ySplit="1" topLeftCell="Y780" activePane="bottomRight" state="frozen"/>
      <selection pane="topRight" activeCell="B1" sqref="B1"/>
      <selection pane="bottomLeft" activeCell="A2" sqref="A2"/>
      <selection pane="bottomRight" activeCell="A800" sqref="A80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 s="39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 s="39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 s="39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 s="39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 s="39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 s="39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 s="39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 s="3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 s="39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 s="39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 s="39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 s="39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 s="39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 s="39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 s="39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 s="39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 s="39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1834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 s="3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1834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 s="39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 s="39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 s="39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 s="39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 s="39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 s="39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 s="39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 s="39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 s="39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 s="3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 s="39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 s="39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 s="39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 s="39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 s="39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 s="39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 s="39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 s="39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 s="39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 s="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 s="39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 s="39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 s="39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 s="39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 s="39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 s="39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 s="39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 s="39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 s="39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 s="3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 s="39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 s="39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 s="39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1834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 s="39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 s="39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 s="39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 s="39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 s="39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 s="39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 s="3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 s="39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 s="39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 s="39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 s="39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 s="39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 s="39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 s="39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 s="39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 s="39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 s="3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 s="39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 s="39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 s="39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 s="39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 s="39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 s="39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 s="39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 s="39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 s="39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 s="3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 s="39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 s="39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 s="39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 s="39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 s="39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 s="39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 s="39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 s="39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 s="39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1967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 s="3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 s="39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 s="39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 s="39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 s="39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 s="39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 s="39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1967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 s="39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 s="39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 s="39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 s="3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 s="39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 s="39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 s="39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 s="39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 s="39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 s="39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 s="39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 s="39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 s="39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 s="3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 s="39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 s="39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 s="39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 s="39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 s="39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 s="39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 s="39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 s="39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 s="39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 s="3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 s="39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 s="39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 s="39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 s="39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 s="39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 s="39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 s="39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 s="39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 s="39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 s="3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1834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 s="39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1834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 s="39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 s="39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 s="39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 s="39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 s="39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 s="39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 s="39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 s="39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 s="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 s="39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 s="39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 s="39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 s="39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 s="39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 s="39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 s="39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 s="39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 s="39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 s="3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 s="39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 s="39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 s="39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 s="39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 s="39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1783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 s="39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 s="39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 s="39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 s="39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 s="3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 s="39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 s="39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 s="39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 s="39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 s="39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 s="39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 s="39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 s="39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 s="39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 s="3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 s="39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 s="39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 s="39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 s="39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 s="39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 s="39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 s="39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 s="39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 s="39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 s="3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 s="39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 s="39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 s="39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 s="39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 s="39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 s="39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 s="39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 s="39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 s="39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 s="3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 s="39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 s="39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 s="39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1834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 s="39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 s="39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 s="39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 s="39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 s="39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 s="39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 s="3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1967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 s="39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 s="39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 s="39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 s="39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 s="39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1967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 s="39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 s="39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1967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 s="39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 s="39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 s="3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 s="39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 s="39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1874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 s="39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 s="39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 s="39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 s="39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 s="39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 s="39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 s="39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 s="3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1967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 s="39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 s="39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 s="39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 s="39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 s="39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 s="39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 s="39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 s="39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 s="39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 s="3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 s="39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 s="39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 s="39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 s="39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 s="39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1967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 s="39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 s="39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 s="39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 s="39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 s="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 s="39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 s="39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 s="39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 s="39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 s="39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 s="39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 s="39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 s="39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 s="39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 s="3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 s="39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 s="39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 s="39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 s="39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 s="39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 s="39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 s="39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 s="39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 s="39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 s="3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 s="39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 s="39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 s="39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 s="39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 s="39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 s="39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 s="39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 s="39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 s="39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 s="3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 s="39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 s="39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 s="39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 s="39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 s="39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 s="39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 s="39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 s="39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 s="39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 s="3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 s="39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 s="39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 s="39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1967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 s="39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 s="39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 s="39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 s="39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1966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 s="39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 s="39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1967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 s="3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 s="39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 s="39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 s="39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 s="39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 s="39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 s="39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 s="39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 s="39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 s="39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 s="3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 s="39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 s="39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 s="39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 s="39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 s="39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 s="39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 s="39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 s="39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 s="39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1834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 s="3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 s="39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 s="39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 s="39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 s="39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 s="39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 s="39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1967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 s="39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 s="39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 s="39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 s="3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 s="39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 s="39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 s="39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 s="39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 s="39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 s="39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 s="39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 s="39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 s="39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 s="3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 s="39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 s="39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 s="39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 s="39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 s="39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 s="39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1967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 s="39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 s="39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 s="39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1967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 s="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 s="39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 s="39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 s="39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 s="39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 s="39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 s="39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 s="39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 s="39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 s="39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 s="3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 s="39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 s="39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 s="39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 s="39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 s="39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 s="39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 s="39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 s="39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 s="39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 s="3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 s="39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 s="39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 s="39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 s="39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 s="39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 s="39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 s="39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 s="39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 s="39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 s="3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 s="39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 s="39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 s="39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 s="39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 s="39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 s="39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 s="39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 s="39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 s="39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 s="3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 s="39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 s="39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 s="39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 s="39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 s="39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 s="39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 s="39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 s="39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 s="39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 s="3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 s="39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 s="39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 s="39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 s="39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 s="39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 s="39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 s="39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1834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 s="39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 s="39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 s="3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 s="39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 s="39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 s="39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 s="39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 s="39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 s="39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 s="39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 s="39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 s="39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 s="3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 s="39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 s="39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 s="39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 s="39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 s="39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 s="39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 s="39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 s="39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 s="39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 s="3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 s="39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1874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 s="39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 s="39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 s="39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 s="39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 s="39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 s="39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 s="39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 s="39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 s="3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 s="39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 s="39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 s="39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 s="39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 s="39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 s="39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 s="39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 s="39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 s="39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 s="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 s="39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 s="39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 s="39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 s="39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 s="39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 s="39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 s="39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 s="39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 s="39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 s="3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 s="39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 s="39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 s="39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 s="39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 s="39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 s="39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1834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 s="39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 s="39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1834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 s="39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 s="3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 s="39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1966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 s="39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 s="39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 s="39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 s="39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 s="39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 s="39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 s="39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 s="39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 s="3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 s="39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 s="39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 s="39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 s="39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 s="39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 s="39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 s="39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 s="39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 s="39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 s="3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 s="39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 s="39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 s="39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 s="39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 s="39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 s="39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 s="39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 s="39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 s="39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 s="3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 s="39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 s="39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 s="39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 s="39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1834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 s="39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 s="39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 s="39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 s="39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 s="39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 s="3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 s="39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 s="39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 s="39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 s="39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 s="39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 s="39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 s="39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 s="39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 s="39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 s="3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 s="39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 s="39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 s="39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 s="39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 s="39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 s="39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 s="39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 s="39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 s="39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 s="3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 s="39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 s="39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 s="39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 s="39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 s="39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 s="39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 s="39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 s="39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1834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 s="39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 s="3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 s="39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 s="39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 s="39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 s="39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 s="39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 s="39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 s="39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 s="39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 s="39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 s="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 s="39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 s="39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 s="39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 s="39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 s="39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 s="39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 s="39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 s="39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 s="39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 s="3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 s="39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 s="39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 s="39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 s="39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 s="39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 s="39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 s="39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 s="39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 s="39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 s="3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 s="39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 s="39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 s="39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 s="39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 s="39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 s="39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 s="39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 s="39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 s="39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 s="3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 s="39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 s="39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 s="39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 s="39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 s="39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 s="39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 s="39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 s="39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 s="39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 s="3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 s="39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 s="39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 s="39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 s="39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 s="39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 s="39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 s="39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 s="39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 s="39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 s="3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 s="39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 s="39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 s="39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 s="39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 s="39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 s="39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 s="39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 s="39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 s="39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 s="3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 s="39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 s="39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 s="39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 s="39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 s="39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 s="39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 s="39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 s="39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 s="39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 s="3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 s="39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 s="39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 s="39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 s="39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 s="39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 s="39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 s="39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 s="39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 s="39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 s="3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 s="39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 s="39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 s="39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 s="39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 s="39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 s="39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 s="39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 s="39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 s="39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1967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 s="3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1967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 s="39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1967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 s="39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 s="39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1967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 s="39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 s="39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 s="39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1967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 s="39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1967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 s="39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 s="39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 s="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 s="39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 s="39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 s="39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 s="39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1967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 s="39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1967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 s="39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1967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 s="39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 s="39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 s="39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 s="3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 s="39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 s="39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 s="39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 s="39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 s="39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 s="39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 s="39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 s="39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 s="39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 s="3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 s="39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 s="39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 s="39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 s="39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 s="39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 s="39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 s="39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 s="39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 s="39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 s="3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 s="39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 s="39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 s="39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 s="39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 s="39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 s="39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 s="39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 s="39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 s="39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 s="3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 s="39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 s="39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 s="39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 s="39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 s="39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 s="39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 s="39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 s="39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 s="39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 s="3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 s="39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 s="39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 s="39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 s="39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 s="39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 s="39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 s="39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 s="39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 s="39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 s="3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 s="39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 s="39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 s="39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 s="39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 s="39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 s="39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 s="39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 s="39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 s="39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 s="3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 s="39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 s="39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 s="39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 s="39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 s="39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 s="39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 s="39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 s="39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 s="39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 s="3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 s="39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 s="39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 s="39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 s="39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 s="39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 s="39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 s="39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 s="39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 s="39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 s="3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 s="39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 s="39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 s="39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 s="39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 s="39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 s="39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 s="39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 s="39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 s="39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 s="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 s="39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 s="39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 s="39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 s="39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 s="39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 s="39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 s="39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 s="39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 s="39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 s="3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 s="39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 s="39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 s="39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 s="39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 s="39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 s="39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 s="39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 s="39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 s="39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 s="3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 s="39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 s="39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 s="39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 s="39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 s="39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 s="39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 s="39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 s="39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 s="39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 s="3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 s="39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 s="39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 s="39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 s="39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 s="39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 s="39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 s="39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 s="39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 s="39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 s="3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 s="39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 s="39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 s="39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 s="39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 s="39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 s="39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 s="39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 s="39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 s="39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 s="3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 s="39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1817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 s="39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 s="39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 s="39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 s="39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 s="39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  <row r="800" spans="1:52">
      <c r="A800" s="2" t="s">
        <v>3051</v>
      </c>
      <c r="B800">
        <v>1970</v>
      </c>
      <c r="C800">
        <v>0</v>
      </c>
      <c r="D800" s="39" t="s">
        <v>1817</v>
      </c>
      <c r="E800" s="39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 s="39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</sheetData>
  <phoneticPr fontId="18" type="noConversion"/>
  <conditionalFormatting sqref="R796:T799 R801:T1048576 Q1:S800">
    <cfRule type="cellIs" dxfId="18" priority="12" operator="equal">
      <formula>0</formula>
    </cfRule>
  </conditionalFormatting>
  <conditionalFormatting sqref="Y1:AA796 AN792:AP1048576">
    <cfRule type="cellIs" dxfId="17" priority="8" operator="equal">
      <formula>FALSE</formula>
    </cfRule>
  </conditionalFormatting>
  <conditionalFormatting sqref="AF2:AF796">
    <cfRule type="containsText" dxfId="16" priority="11" operator="containsText" text="FALSE">
      <formula>NOT(ISERROR(SEARCH("FALSE",AF2)))</formula>
    </cfRule>
  </conditionalFormatting>
  <conditionalFormatting sqref="AM790:AO791">
    <cfRule type="cellIs" dxfId="15" priority="13" operator="equal">
      <formula>FALSE</formula>
    </cfRule>
  </conditionalFormatting>
  <conditionalFormatting sqref="Y797:AA797">
    <cfRule type="cellIs" dxfId="14" priority="4" operator="equal">
      <formula>FALSE</formula>
    </cfRule>
  </conditionalFormatting>
  <conditionalFormatting sqref="AF797:AF799">
    <cfRule type="containsText" dxfId="13" priority="5" operator="containsText" text="FALSE">
      <formula>NOT(ISERROR(SEARCH("FALSE",AF797)))</formula>
    </cfRule>
  </conditionalFormatting>
  <conditionalFormatting sqref="Y798:AA798">
    <cfRule type="cellIs" dxfId="12" priority="3" operator="equal">
      <formula>FALSE</formula>
    </cfRule>
  </conditionalFormatting>
  <conditionalFormatting sqref="Y800:AA800">
    <cfRule type="cellIs" dxfId="2" priority="1" operator="equal">
      <formula>FALSE</formula>
    </cfRule>
  </conditionalFormatting>
  <conditionalFormatting sqref="AF800">
    <cfRule type="containsText" dxfId="1" priority="2" operator="containsText" text="FALSE">
      <formula>NOT(ISERROR(SEARCH("FALSE",AF800)))</formula>
    </cfRule>
  </conditionalFormatting>
  <dataValidations count="16">
    <dataValidation type="whole" allowBlank="1" showInputMessage="1" showErrorMessage="1" sqref="C2:C800" xr:uid="{C9FB6BB5-B3CF-40B9-A6CD-3E0B48B95DF5}">
      <formula1>0</formula1>
      <formula2>1</formula2>
    </dataValidation>
    <dataValidation type="whole" operator="greaterThanOrEqual" allowBlank="1" showInputMessage="1" showErrorMessage="1" sqref="M784:M795 H2:H800 M2:M725 V2:X800 O2:P800 M800" xr:uid="{699258F9-37E8-437E-9547-ACEA0AFD7DA4}">
      <formula1>0</formula1>
    </dataValidation>
    <dataValidation type="whole" allowBlank="1" showInputMessage="1" showErrorMessage="1" sqref="I792:I795 I2:I789" xr:uid="{0976A28D-137D-4542-827E-3A73EFE0615E}">
      <formula1>1</formula1>
      <formula2>20</formula2>
    </dataValidation>
    <dataValidation type="decimal" operator="greaterThanOrEqual" allowBlank="1" showInputMessage="1" showErrorMessage="1" sqref="Q2:T800 N2:N800" xr:uid="{F342F512-E760-4CD3-801B-E5B9CF70B7FD}">
      <formula1>0</formula1>
    </dataValidation>
    <dataValidation type="whole" allowBlank="1" showInputMessage="1" showErrorMessage="1" sqref="U2:U795 U797:U798 U800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1:U1048576" xr:uid="{2D963A9D-C2E3-4020-ABFA-FD04EDA25119}"/>
    <dataValidation type="list" allowBlank="1" showInputMessage="1" showErrorMessage="1" sqref="AC2:AC800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" xr:uid="{DEF10C41-55B4-45CA-9782-0B79331628F3}">
      <formula1>1660</formula1>
      <formula2>3000</formula2>
    </dataValidation>
    <dataValidation type="list" allowBlank="1" showInputMessage="1" showErrorMessage="1" sqref="F2:F800" xr:uid="{EB4398F4-10E4-463B-A52E-1F5C116A99EF}">
      <formula1>INDIRECT("VALID_ENGINE_CLASS[ENGINE_CLASS]")</formula1>
    </dataValidation>
    <dataValidation type="list" operator="greaterThanOrEqual" allowBlank="1" showInputMessage="1" showErrorMessage="1" sqref="AB2:AB800" xr:uid="{D83E915C-A301-4BE3-9E12-6790BD0E2284}">
      <formula1>INDIRECT("VALID_PURCHASECOSTVALUE[PURCHASECOSTVALUE]")</formula1>
    </dataValidation>
    <dataValidation type="list" allowBlank="1" showInputMessage="1" showErrorMessage="1" sqref="D2:D800" xr:uid="{33652263-03A3-437A-966A-BE8C0F8BE076}">
      <formula1>INDIRECT("COUNTRIES[COUNTRY_DESCRIPTION]")</formula1>
    </dataValidation>
    <dataValidation type="list" allowBlank="1" showInputMessage="1" showErrorMessage="1" sqref="E2:E800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0" xr:uid="{F2DE25A7-EAF4-4DA6-85FD-9F7B7EE18717}">
      <formula1>"TRUE,FALSE"</formula1>
    </dataValidation>
    <dataValidation type="list" allowBlank="1" showInputMessage="1" showErrorMessage="1" sqref="Y2:Z795 Y797:Z798 Y800:Z800" xr:uid="{A6AEDF15-D52E-4DEA-AD86-7127D84AEEAD}">
      <formula1>INDIRECT("VALID_REGIONS[VALID_REGIONS]")</formula1>
    </dataValidation>
    <dataValidation type="list" allowBlank="1" showInputMessage="1" showErrorMessage="1" sqref="AA2:AA795 AA797:AA798 AA800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 AA800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0"/>
  <sheetViews>
    <sheetView zoomScaleNormal="100" workbookViewId="0">
      <pane xSplit="1" ySplit="1" topLeftCell="Q778" activePane="bottomRight" state="frozen"/>
      <selection pane="topRight" activeCell="B1" sqref="B1"/>
      <selection pane="bottomLeft" activeCell="A2" sqref="A2"/>
      <selection pane="bottomRight" activeCell="A800" sqref="A80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  <row r="800" spans="1:46">
      <c r="A800" s="2" t="s">
        <v>3051</v>
      </c>
      <c r="B800" s="39"/>
      <c r="C800" s="39"/>
      <c r="D800" s="39"/>
      <c r="E800" s="39"/>
      <c r="F800" s="39"/>
      <c r="G800" s="39"/>
      <c r="H800" s="39"/>
      <c r="I800" s="39"/>
      <c r="J800" s="40"/>
      <c r="K800" s="39"/>
      <c r="L800" s="39"/>
      <c r="M800" s="39"/>
      <c r="N800" s="39"/>
      <c r="O800" s="39"/>
      <c r="P800" s="39"/>
      <c r="Q800" s="39"/>
      <c r="R800" s="39"/>
      <c r="S800" s="40" t="b">
        <v>1</v>
      </c>
      <c r="T800" s="39"/>
      <c r="U800" s="39"/>
      <c r="V800" s="39"/>
      <c r="W800" s="39"/>
      <c r="X800" s="39"/>
      <c r="Y800" s="39"/>
      <c r="Z800" s="39"/>
      <c r="AA800" s="39"/>
      <c r="AB800" s="40"/>
      <c r="AC800" s="39"/>
      <c r="AD800" s="39"/>
      <c r="AE800" s="40"/>
      <c r="AF800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1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800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0"/>
  <sheetViews>
    <sheetView zoomScaleNormal="100" workbookViewId="0">
      <pane xSplit="1" ySplit="1" topLeftCell="B777" activePane="bottomRight" state="frozen"/>
      <selection pane="topRight" activeCell="B1" sqref="B1"/>
      <selection pane="bottomLeft" activeCell="A2" sqref="A2"/>
      <selection pane="bottomRight" activeCell="A800" sqref="A80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D793" s="2"/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D794" s="2"/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D795" s="2"/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D796" s="2"/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D797" s="2"/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D798" s="2"/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D799" s="2"/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3051</v>
      </c>
      <c r="B800" t="b">
        <v>1</v>
      </c>
      <c r="D800" s="2"/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</sheetData>
  <conditionalFormatting sqref="I790:K1048576">
    <cfRule type="cellIs" dxfId="10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0"/>
  <sheetViews>
    <sheetView zoomScaleNormal="100" workbookViewId="0">
      <pane xSplit="1" ySplit="1" topLeftCell="B784" activePane="bottomRight" state="frozen"/>
      <selection activeCell="Q19" sqref="Q19"/>
      <selection pane="topRight" activeCell="Q19" sqref="Q19"/>
      <selection pane="bottomLeft" activeCell="Q19" sqref="Q19"/>
      <selection pane="bottomRight" activeCell="B800" sqref="B800:D800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  <row r="800" spans="1:13">
      <c r="A800" s="2" t="s">
        <v>3051</v>
      </c>
      <c r="B800" t="s">
        <v>1766</v>
      </c>
      <c r="C800" t="s">
        <v>1739</v>
      </c>
      <c r="D800" t="s">
        <v>1748</v>
      </c>
    </row>
  </sheetData>
  <conditionalFormatting sqref="B1:C1048576">
    <cfRule type="containsText" dxfId="9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0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0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</sheetData>
  <autoFilter ref="A1:O793" xr:uid="{94AF2F1A-9287-4526-9497-B34C300AF4DB}"/>
  <conditionalFormatting sqref="G1:G1048576">
    <cfRule type="containsText" dxfId="8" priority="17" operator="containsText" text="FALSE">
      <formula>NOT(ISERROR(SEARCH("FALSE",G1)))</formula>
    </cfRule>
  </conditionalFormatting>
  <conditionalFormatting sqref="H1:I792 H795:I1048576">
    <cfRule type="containsText" dxfId="7" priority="16" operator="containsText" text="FALSE">
      <formula>NOT(ISERROR(SEARCH("FALSE",H1)))</formula>
    </cfRule>
  </conditionalFormatting>
  <conditionalFormatting sqref="H2:O794">
    <cfRule type="containsText" dxfId="6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2026-04-15T09:51:55Z</dcterms:modified>
</cp:coreProperties>
</file>