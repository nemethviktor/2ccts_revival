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1A07909F-A1E4-4452-B3A3-EA3BA1C4D3F2}" xr6:coauthVersionLast="47" xr6:coauthVersionMax="47" xr10:uidLastSave="{00000000-0000-0000-0000-000000000000}"/>
  <bookViews>
    <workbookView xWindow="-103" yWindow="-103" windowWidth="22149" windowHeight="13320" tabRatio="787" firstSheet="9" activeTab="13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4" i="24" l="1"/>
  <c r="D804" i="24"/>
  <c r="C804" i="24"/>
  <c r="B804" i="24"/>
  <c r="E803" i="24"/>
  <c r="D803" i="24"/>
  <c r="C803" i="24"/>
  <c r="B803" i="24"/>
  <c r="E802" i="24"/>
  <c r="D802" i="24"/>
  <c r="C802" i="24"/>
  <c r="B802" i="24"/>
  <c r="E801" i="24"/>
  <c r="D801" i="24"/>
  <c r="C801" i="24"/>
  <c r="B801" i="24"/>
  <c r="E800" i="24"/>
  <c r="D800" i="24"/>
  <c r="C800" i="24"/>
  <c r="B800" i="24"/>
  <c r="E799" i="24"/>
  <c r="D799" i="24"/>
  <c r="C799" i="24"/>
  <c r="B799" i="24"/>
  <c r="E798" i="24"/>
  <c r="D798" i="24"/>
  <c r="C798" i="24"/>
  <c r="B798" i="24"/>
  <c r="E797" i="24"/>
  <c r="D797" i="24"/>
  <c r="C797" i="24"/>
  <c r="B797" i="24"/>
  <c r="E796" i="24"/>
  <c r="D796" i="24"/>
  <c r="C796" i="24"/>
  <c r="B796" i="24"/>
  <c r="E795" i="24"/>
  <c r="D795" i="24"/>
  <c r="C795" i="24"/>
  <c r="B795" i="2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O804" i="14"/>
  <c r="N804" i="14"/>
  <c r="M804" i="14"/>
  <c r="L804" i="14"/>
  <c r="K804" i="14"/>
  <c r="J804" i="14"/>
  <c r="I804" i="14"/>
  <c r="H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I768" i="14"/>
  <c r="I767" i="14"/>
  <c r="I766" i="14"/>
  <c r="I765" i="14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800" i="24" l="1"/>
  <c r="F795" i="24"/>
  <c r="F796" i="24"/>
  <c r="F801" i="24"/>
  <c r="F804" i="24"/>
  <c r="F803" i="24"/>
  <c r="F802" i="24"/>
  <c r="F799" i="24"/>
  <c r="F798" i="24"/>
  <c r="F797" i="24"/>
  <c r="E804" i="19"/>
  <c r="E564" i="19"/>
  <c r="AE564" i="17" a="1"/>
  <c r="AE564" i="17" s="1"/>
  <c r="AE769" i="17" a="1"/>
  <c r="AE769" i="17" s="1"/>
  <c r="AE768" i="17" a="1"/>
  <c r="AE768" i="17" s="1"/>
  <c r="AE767" i="17" a="1"/>
  <c r="AE767" i="17" s="1"/>
  <c r="AE766" i="17" a="1"/>
  <c r="AE766" i="17" s="1"/>
  <c r="AE765" i="17" a="1"/>
  <c r="AE765" i="17" s="1"/>
  <c r="T802" i="17"/>
  <c r="AE804" i="17" a="1"/>
  <c r="AE804" i="17" s="1"/>
  <c r="H803" i="14"/>
  <c r="E803" i="19"/>
  <c r="AE803" i="17" a="1"/>
  <c r="AE803" i="17" s="1"/>
  <c r="H802" i="14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C564" i="24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G800" i="24" l="1"/>
  <c r="H800" i="24"/>
  <c r="I800" i="24"/>
  <c r="J800" i="24"/>
  <c r="K800" i="24"/>
  <c r="L800" i="24"/>
  <c r="M800" i="24"/>
  <c r="N800" i="24"/>
  <c r="O800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<sst xmlns="http://schemas.openxmlformats.org/spreadsheetml/2006/main" count="18760" uniqueCount="3086">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</sst>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4" totalsRowShown="0" headerRowDxfId="142">
  <autoFilter ref="A1:O804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41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0"/>
    <tableColumn id="17" xr3:uid="{52550B53-5A6E-4D0B-A358-FCA22B56CC77}" name="WEB"/>
    <tableColumn id="15" xr3:uid="{C9DBDDFF-A526-4383-A426-8408C4B17785}" name="IS_POWERED_UNPOWERED_SUNDRY" dataDxfId="13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8">
      <calculatedColumnFormula>ISNUMBER(_xlfn.XMATCH(CONTROL[[#This Row],[VEHIDCODE]],TRACK_TYPES[VEHIDCODE],0))</calculatedColumnFormula>
    </tableColumn>
    <tableColumn id="14" xr3:uid="{222C2DB1-CA5D-4369-995A-6A316AC5C947}" name="PROPERTIES" dataDxfId="137">
      <calculatedColumnFormula>ISNUMBER(_xlfn.XMATCH(CONTROL[[#This Row],[VEHIDCODE]],PROPERTIES[VEHIDCODE],0))</calculatedColumnFormula>
    </tableColumn>
    <tableColumn id="13" xr3:uid="{473FD571-A166-4EC8-8B7B-F1D30044570B}" name="FLAGS" dataDxfId="136">
      <calculatedColumnFormula>ISNUMBER(_xlfn.XMATCH(CONTROL[[#This Row],[VEHIDCODE]],FLAGS[VEHIDCODE],0))</calculatedColumnFormula>
    </tableColumn>
    <tableColumn id="10" xr3:uid="{7783F713-60B4-45CF-AEB3-EE02271B3D6F}" name="GRAPHICS_PROPERTIES" dataDxfId="135">
      <calculatedColumnFormula>ISNUMBER(_xlfn.XMATCH(CONTROL[[#This Row],[VEHIDCODE]],GRAPHICS_PROPERTIES[VEHIDCODE],0))</calculatedColumnFormula>
    </tableColumn>
    <tableColumn id="9" xr3:uid="{7B229E25-CF6B-4C5F-B4A4-FEC34CB93E9B}" name="ITEM" dataDxfId="134">
      <calculatedColumnFormula>"item_"&amp;CONTROL[[#This Row],[VEHIDCODE]]</calculatedColumnFormula>
    </tableColumn>
    <tableColumn id="8" xr3:uid="{327E5CDA-51AE-4721-ACBD-5E8C3D890998}" name="NAME" dataDxfId="13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4" totalsRowShown="0" headerRowDxfId="132">
  <autoFilter ref="A1:AF804" xr:uid="{6DCCB998-B5D1-4B0D-8701-BC0E171A94CA}"/>
  <tableColumns count="32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8"/>
    <tableColumn id="58" xr3:uid="{37DCFD33-B11D-4E3C-9899-EA36DBD4DBC0}" name="LOADINGSPEED_VALUE" dataDxfId="12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5"/>
    <tableColumn id="24" xr3:uid="{FFD5C22B-7B16-440D-91CC-48C8761050DA}" name="TE_COEFFICIENT_CALC" dataDxfId="12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3"/>
    <tableColumn id="14" xr3:uid="{123AAB87-6D4C-406A-A5E1-A61DC2DDFFEE}" name="TE_COEFFICIENT" dataDxfId="12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1"/>
    <tableColumn id="18" xr3:uid="{EB0CE86B-9E06-4ADD-85C1-EA622DE32153}" name="WAGON_CAPACITY" dataDxfId="120"/>
    <tableColumn id="15" xr3:uid="{3558C882-A912-4F84-BDE6-BC0A2A676C4B}" name="WAGON_LENGTH" dataDxfId="119"/>
    <tableColumn id="71" xr3:uid="{3D8AA890-C1F2-4EBD-90E3-21F948960989}" name="PURCHASE_CARGO_CAPACITY" dataDxfId="118"/>
    <tableColumn id="30" xr3:uid="{235283C1-F061-434B-8C4A-AD474FB16FE8}" name="REGION1" dataDxfId="117"/>
    <tableColumn id="29" xr3:uid="{19EC58E3-4FB9-44BC-BFFA-4C7DCCC53DA8}" name="REGION2" dataDxfId="116"/>
    <tableColumn id="27" xr3:uid="{C00DC499-0060-4E48-A71D-AE565097985F}" name="REGION3" dataDxfId="115"/>
    <tableColumn id="56" xr3:uid="{188F57E8-1157-47DF-9E8F-B5F737649F6C}" name="PURCHASECOST_VALUE" dataDxfId="114"/>
    <tableColumn id="28" xr3:uid="{B24767B4-97D7-4814-9BBD-1231E1A0A0A7}" name="RUNNINGCOST_VALUE" dataDxfId="113"/>
    <tableColumn id="22" xr3:uid="{68BAA036-8189-4A5A-B0EF-3F284C15672C}" name="COST_CAT" dataDxfId="11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4" totalsRowShown="0" headerRowDxfId="109">
  <autoFilter ref="A1:AF804" xr:uid="{6DCCB998-B5D1-4B0D-8701-BC0E171A94CA}"/>
  <tableColumns count="32">
    <tableColumn id="1" xr3:uid="{CDEAF13A-A986-4600-A992-A08C1CA6142C}" name="VEHIDCODE" dataDxfId="108"/>
    <tableColumn id="55" xr3:uid="{839D134C-3027-42F4-BA04-3BA8BFF71A3B}" name="TRACK_TYPE_STANDARD_GAUGE_RAILTYPE_OHLE" dataDxfId="107"/>
    <tableColumn id="54" xr3:uid="{5D83FD10-ABCB-4FE7-A7DB-4A857A58D719}" name="TRACK_TYPE_STANDARD_GAUGE_RAILTYPE_25KV" dataDxfId="106"/>
    <tableColumn id="53" xr3:uid="{56183170-0B7F-45FB-91B4-356C62C246AD}" name="TRACK_TYPE_STANDARD_GAUGE_RAILTYPE_15KV" dataDxfId="105"/>
    <tableColumn id="52" xr3:uid="{5B71BE07-0EB9-4DEB-A8E8-252C9D979AC2}" name="TRACK_TYPE_STANDARD_GAUGE_RAILTYPE_3KV" dataDxfId="104"/>
    <tableColumn id="51" xr3:uid="{5A6435EB-111E-4AED-A8E1-AEFF82C34393}" name="TRACK_TYPE_STANDARD_GAUGE_RAILTYPE_1500V" dataDxfId="103"/>
    <tableColumn id="50" xr3:uid="{14CA70EA-0EE7-44BA-9D77-FC902C0596DD}" name="TRACK_TYPE_STANDARD_GAUGE_RAILTYPE_3RD" dataDxfId="102"/>
    <tableColumn id="49" xr3:uid="{3A15447A-9663-43FB-8EFF-8F8034548FB0}" name="TRACK_TYPE_STANDARD_GAUGE_RAILTYPE_4TH" dataDxfId="101"/>
    <tableColumn id="48" xr3:uid="{E44E324A-492F-4566-8DC9-0A6F58F40EA9}" name="TRACK_TYPE_STANDARD_GAUGE_RAILTYPE_DUAL" dataDxfId="100"/>
    <tableColumn id="47" xr3:uid="{FE3223C6-E685-4456-91E9-10AEB3B699E7}" name="TRACK_TYPE_STANDARD_GAUGE_RAILTYPE_NONE" dataDxfId="99"/>
    <tableColumn id="46" xr3:uid="{D39969E8-C0CA-4A59-A556-D29019991069}" name="TRACK_TYPE_NARROW_GAUGE_RAILTYPE_OHLE" dataDxfId="98"/>
    <tableColumn id="45" xr3:uid="{5266A9E9-D840-4460-AB81-A081897372F3}" name="TRACK_TYPE_NARROW_GAUGE_RAILTYPE_25KV" dataDxfId="97"/>
    <tableColumn id="44" xr3:uid="{7B4C44D1-C745-4291-86A0-777579742A84}" name="TRACK_TYPE_NARROW_GAUGE_RAILTYPE_15KV" dataDxfId="96"/>
    <tableColumn id="43" xr3:uid="{8736D285-A163-4DBE-84E1-870118B47F14}" name="TRACK_TYPE_NARROW_GAUGE_RAILTYPE_3KV" dataDxfId="95"/>
    <tableColumn id="42" xr3:uid="{6FBBA2FB-4743-4072-B4E0-C42BBDA1CC47}" name="TRACK_TYPE_NARROW_GAUGE_RAILTYPE_1500V" dataDxfId="94"/>
    <tableColumn id="41" xr3:uid="{D3ED2E70-19BF-4D92-A76B-0F0F03D31947}" name="TRACK_TYPE_NARROW_GAUGE_RAILTYPE_3RD" dataDxfId="93"/>
    <tableColumn id="40" xr3:uid="{F38AE7AF-B798-40A5-992A-13685296E710}" name="TRACK_TYPE_NARROW_GAUGE_RAILTYPE_4TH" dataDxfId="92"/>
    <tableColumn id="39" xr3:uid="{16463F64-2239-4E7F-8257-47F324BF8959}" name="TRACK_TYPE_NARROW_GAUGE_RAILTYPE_DUAL" dataDxfId="91"/>
    <tableColumn id="38" xr3:uid="{97037A15-9172-4057-863E-582804353817}" name="TRACK_TYPE_NARROW_GAUGE_RAILTYPE_NONE" dataDxfId="90"/>
    <tableColumn id="37" xr3:uid="{24999D59-5A4F-4A21-B8B4-EBDBF9F8BF1E}" name="TRACK_TYPE_BROAD_GAUGE_RAILTYPE_OHLE" dataDxfId="89"/>
    <tableColumn id="36" xr3:uid="{31AB3927-D18B-49AD-8EF5-C7E9FF4CEDF3}" name="TRACK_TYPE_BROAD_GAUGE_RAILTYPE_25KV" dataDxfId="88"/>
    <tableColumn id="35" xr3:uid="{CB3432E7-4DAE-4807-9CE5-4CB1ACECD395}" name="TRACK_TYPE_BROAD_GAUGE_RAILTYPE_15KV" dataDxfId="87"/>
    <tableColumn id="34" xr3:uid="{E3936FE4-2B46-4DC0-84C0-44C7892A0927}" name="TRACK_TYPE_BROAD_GAUGE_RAILTYPE_3KV" dataDxfId="86"/>
    <tableColumn id="33" xr3:uid="{A5FAA105-CF81-4A75-8967-5721104454E8}" name="TRACK_TYPE_BROAD_GAUGE_RAILTYPE_1500V" dataDxfId="85"/>
    <tableColumn id="32" xr3:uid="{439CDFDE-6BFC-446C-87CF-28C8FF65FCE0}" name="TRACK_TYPE_BROAD_GAUGE_RAILTYPE_3RD" dataDxfId="84"/>
    <tableColumn id="31" xr3:uid="{219AB5E3-CDFF-41B3-BD58-F7427606D15F}" name="TRACK_TYPE_BROAD_GAUGE_RAILTYPE_4TH" dataDxfId="83"/>
    <tableColumn id="30" xr3:uid="{01529768-EA0D-4662-B835-74641896CE3F}" name="TRACK_TYPE_BROAD_GAUGE_RAILTYPE_DUAL" dataDxfId="82"/>
    <tableColumn id="29" xr3:uid="{32C384AB-18DB-4161-B29B-A363A2547BB2}" name="TRACK_TYPE_BROAD_GAUGE_RAILTYPE_NONE" dataDxfId="81"/>
    <tableColumn id="26" xr3:uid="{1CFC6F26-22A8-42EE-972B-0F7ED6623B5A}" name="TRACK_TYPE_MONO" dataDxfId="80"/>
    <tableColumn id="25" xr3:uid="{62939270-15C1-494E-9C53-6EA9E8209C3B}" name="TRACK_TYPE_MGLV" dataDxfId="79"/>
    <tableColumn id="24" xr3:uid="{9DA86EDA-F2AB-4C2D-918E-5260313FD8B3}" name="TRACK_TYPE_MTRO" dataDxfId="78"/>
    <tableColumn id="21" xr3:uid="{E6F11214-E912-4D1C-980D-A111C93B0BED}" name="CHECK_ANY_TT" dataDxfId="77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4" totalsRowShown="0" headerRowDxfId="76">
  <autoFilter ref="A1:G804" xr:uid="{6DCCB998-B5D1-4B0D-8701-BC0E171A94CA}"/>
  <tableColumns count="7">
    <tableColumn id="1" xr3:uid="{327CDBB6-E1D6-4B9F-9625-C81419775134}" name="VEHIDCODE" dataDxfId="75"/>
    <tableColumn id="101" xr3:uid="{78690AEB-EA8F-4FC7-9651-C84D8F318EE9}" name="MISC_FLAGS_TRAIN_FLAG_2CC" dataDxfId="74"/>
    <tableColumn id="100" xr3:uid="{90DBB1A2-A86F-42C6-B2B8-64A2FD6690AB}" name="MISC_FLAGS_TRAIN_FLAG_MU" dataDxfId="73"/>
    <tableColumn id="99" xr3:uid="{DA6644B2-20CC-47E2-B1B5-10210B43738A}" name="MISC_FLAGS_TRAIN_FLAG_AUTOREFIT" dataDxfId="72"/>
    <tableColumn id="108" xr3:uid="{980A5687-92C0-42A0-811D-C3D4EA0876D1}" name="VISUAL_EFFECT_1" dataDxfId="7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4" totalsRowShown="0" headerRowDxfId="69">
  <autoFilter ref="A1:D804" xr:uid="{6DCCB998-B5D1-4B0D-8701-BC0E171A94CA}"/>
  <tableColumns count="4">
    <tableColumn id="1" xr3:uid="{0B6094CF-6CA6-410A-A041-C85FACC0820E}" name="VEHIDCODE" dataDxfId="68"/>
    <tableColumn id="7" xr3:uid="{3D8CAD9A-C0D1-459B-8D7C-DFC931F5B279}" name="PANTOGRAPH_POSITION" dataDxfId="67"/>
    <tableColumn id="6" xr3:uid="{E0637D36-B3FC-4486-87F9-603EB2076188}" name="TEMPLATE_ID" dataDxfId="66"/>
    <tableColumn id="9" xr3:uid="{FEF2BF9C-74F1-405C-9871-E4301805E364}" name="TEMPLATE_AMENDMENT_COD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4" headerRowBorderDxfId="63" tableBorderDxfId="6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1" headerRowBorderDxfId="60" tableBorderDxfId="5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8" dataDxfId="57" tableBorderDxfId="56">
  <autoFilter ref="A1:A17" xr:uid="{0B243503-43AD-403A-90CE-B69D05B25C30}"/>
  <tableColumns count="1">
    <tableColumn id="1" xr3:uid="{3709FB1B-DE08-4A3E-8CA6-F5322D2A3261}" name="VALID_REGIONS" dataDxfId="5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4" dataDxfId="5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2"/>
    <tableColumn id="2" xr3:uid="{CCC9A744-4F42-4023-A516-9395213016EB}" name="COUNTRY_DESCRIPTION" dataDxfId="51"/>
    <tableColumn id="3" xr3:uid="{01E32DA0-BF93-49AA-BE03-33EF914A0BCC}" name="COUNTS" dataDxfId="2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9" headerRowBorderDxfId="50" tableBorderDxfId="48" totalsRowBorderDxfId="47">
  <autoFilter ref="K1:K25" xr:uid="{686D0694-AFBC-4B91-A3D3-72E1CCF00B7D}"/>
  <tableColumns count="1">
    <tableColumn id="1" xr3:uid="{7F0999BD-E0C9-463F-A054-2DA49D41A9EE}" name="VEHID_ID_CATEGORY" dataDxfId="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5"/>
    <tableColumn id="4" xr3:uid="{3DDC8685-BA3D-40E8-A910-1E59013A762D}" name="Range End" dataDxfId="4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3" dataDxfId="42">
  <autoFilter ref="A1:N16" xr:uid="{863AE95D-BE34-47D8-B01B-1170BF25FDF2}"/>
  <tableColumns count="14">
    <tableColumn id="1" xr3:uid="{5F487593-655E-41B5-B155-86F88B53946D}" name="COST_CAT" dataDxfId="41"/>
    <tableColumn id="2" xr3:uid="{33F9C454-EDB2-4DA7-BF7A-64CBC12EBC9B}" name="P1" dataDxfId="40"/>
    <tableColumn id="3" xr3:uid="{25FB11D0-082D-4DE3-9821-1367939D8742}" name="P2" dataDxfId="39"/>
    <tableColumn id="4" xr3:uid="{19CDF402-C641-4217-A953-2A851DF85ADB}" name="P3" dataDxfId="38"/>
    <tableColumn id="5" xr3:uid="{1EF59E2C-32FF-4712-AD89-CBF77E507832}" name="P4" dataDxfId="37"/>
    <tableColumn id="6" xr3:uid="{04250F90-183D-4392-BE27-C420F795E1DC}" name="P5" dataDxfId="36"/>
    <tableColumn id="7" xr3:uid="{F7062C4F-5B57-4110-A21E-BDC8820130D9}" name="P6" dataDxfId="35"/>
    <tableColumn id="8" xr3:uid="{B47621AA-9D6F-4396-B3D9-BD8CF656F30E}" name="P7" dataDxfId="34"/>
    <tableColumn id="9" xr3:uid="{7055539E-C4C8-407D-91F5-6CB021EDE84F}" name="R1" dataDxfId="33"/>
    <tableColumn id="10" xr3:uid="{D17981EB-EB8A-4630-958C-3792D72CD53F}" name="R2" dataDxfId="32"/>
    <tableColumn id="11" xr3:uid="{85EDD15A-812B-4C42-B03A-D558B807622E}" name="R3" dataDxfId="31"/>
    <tableColumn id="12" xr3:uid="{61A73E38-33EC-41D1-B899-56F15EDBDD59}" name="R4" dataDxfId="30"/>
    <tableColumn id="13" xr3:uid="{7A83ADCF-C18F-402F-81A8-0F935E928ED9}" name="R5" dataDxfId="29"/>
    <tableColumn id="14" xr3:uid="{1140F6C7-9C3D-4800-9F3B-DC6E6EBE9541}" name="R6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4"/>
  <sheetViews>
    <sheetView workbookViewId="0">
      <pane xSplit="1" ySplit="1" topLeftCell="B777" activePane="bottomRight" state="frozen"/>
      <selection pane="topRight" activeCell="B1" sqref="B1"/>
      <selection pane="bottomLeft" activeCell="A2" sqref="A2"/>
      <selection pane="bottomRight" activeCell="F794" sqref="F794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2995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3078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3079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3080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3081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3003</v>
      </c>
      <c r="G93" t="s">
        <v>3004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3001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3011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3082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3006</v>
      </c>
      <c r="G131" t="s">
        <v>3005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3002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3010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3083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3084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3018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3039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3048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3063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3049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3064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3050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3065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3085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3051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3066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3052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3067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3053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3068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3054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3069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3055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3070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3056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3071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3057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3072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3058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3073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3059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3074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3060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3075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3061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3076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3062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3077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3036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3037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2992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3014</v>
      </c>
      <c r="G793" t="s">
        <v>2993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2994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2996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2998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3013</v>
      </c>
      <c r="G795" t="s">
        <v>2997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3000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3012</v>
      </c>
      <c r="G796" t="s">
        <v>2999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ISNUMBER(_xlfn.XMATCH(CONTROL[[#This Row],[VEHIDCODE]],GRAPHICS_PROPERTIES[VEHIDCODE],0))</f>
        <v>1</v>
      </c>
      <c r="N796" s="31" t="str">
        <f>"item_"&amp;CONTROL[[#This Row],[VEHIDCODE]]</f>
        <v>item_steam_Ivory_Coast_Golwe_2_6_0_0_6_2T</v>
      </c>
      <c r="O796" s="31" t="str">
        <f>"str_"&amp;CONTROL[[#This Row],[VEHIDCODE]]</f>
        <v>str_steam_Ivory_Coast_Golwe_2_6_0_0_6_2T</v>
      </c>
    </row>
    <row r="797" spans="1:15">
      <c r="A797" t="s">
        <v>3017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3015</v>
      </c>
      <c r="G797" t="s">
        <v>3016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ISNUMBER(_xlfn.XMATCH(CONTROL[[#This Row],[VEHIDCODE]],GRAPHICS_PROPERTIES[VEHIDCODE],0))</f>
        <v>1</v>
      </c>
      <c r="N797" s="31" t="str">
        <f>"item_"&amp;CONTROL[[#This Row],[VEHIDCODE]]</f>
        <v>item_diesel_Ghana_Railway_Corporation_Class_TT12</v>
      </c>
      <c r="O797" s="31" t="str">
        <f>"str_"&amp;CONTROL[[#This Row],[VEHIDCODE]]</f>
        <v>str_diesel_Ghana_Railway_Corporation_Class_TT12</v>
      </c>
    </row>
    <row r="798" spans="1:15">
      <c r="A798" t="s">
        <v>3019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3020</v>
      </c>
      <c r="G798" t="s">
        <v>3021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ISNUMBER(_xlfn.XMATCH(CONTROL[[#This Row],[VEHIDCODE]],GRAPHICS_PROPERTIES[VEHIDCODE],0))</f>
        <v>1</v>
      </c>
      <c r="N798" s="31" t="str">
        <f>"item_"&amp;CONTROL[[#This Row],[VEHIDCODE]]</f>
        <v>item_diesel_Sierra_Leone_LAMCO_301_Series</v>
      </c>
      <c r="O798" s="31" t="str">
        <f>"str_"&amp;CONTROL[[#This Row],[VEHIDCODE]]</f>
        <v>str_diesel_Sierra_Leone_LAMCO_301_Series</v>
      </c>
    </row>
    <row r="799" spans="1:15">
      <c r="A799" t="s">
        <v>3022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3024</v>
      </c>
      <c r="G799" t="s">
        <v>3023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ISNUMBER(_xlfn.XMATCH(CONTROL[[#This Row],[VEHIDCODE]],GRAPHICS_PROPERTIES[VEHIDCODE],0))</f>
        <v>1</v>
      </c>
      <c r="N799" s="31" t="str">
        <f>"item_"&amp;CONTROL[[#This Row],[VEHIDCODE]]</f>
        <v>item_electric_Congo_Type_2450_Acec_Charleroi_Zaire_Electric</v>
      </c>
      <c r="O799" s="31" t="str">
        <f>"str_"&amp;CONTROL[[#This Row],[VEHIDCODE]]</f>
        <v>str_electric_Congo_Type_2450_Acec_Charleroi_Zaire_Electric</v>
      </c>
    </row>
    <row r="800" spans="1:15">
      <c r="A800" t="s">
        <v>3025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3027</v>
      </c>
      <c r="G800" t="s">
        <v>3026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ISNUMBER(_xlfn.XMATCH(CONTROL[[#This Row],[VEHIDCODE]],GRAPHICS_PROPERTIES[VEHIDCODE],0))</f>
        <v>1</v>
      </c>
      <c r="N800" s="31" t="str">
        <f>"item_"&amp;CONTROL[[#This Row],[VEHIDCODE]]</f>
        <v>item_diesel_Congo_Alstom_BB_BB</v>
      </c>
      <c r="O800" s="31" t="str">
        <f>"str_"&amp;CONTROL[[#This Row],[VEHIDCODE]]</f>
        <v>str_diesel_Congo_Alstom_BB_BB</v>
      </c>
    </row>
    <row r="801" spans="1:15">
      <c r="A801" t="s">
        <v>3028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3029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ISNUMBER(_xlfn.XMATCH(CONTROL[[#This Row],[VEHIDCODE]],GRAPHICS_PROPERTIES[VEHIDCODE],0))</f>
        <v>1</v>
      </c>
      <c r="N801" s="31" t="str">
        <f>"item_"&amp;CONTROL[[#This Row],[VEHIDCODE]]</f>
        <v>item_diesel_Zimbabwe_Sorefame_DE8</v>
      </c>
      <c r="O801" s="31" t="str">
        <f>"str_"&amp;CONTROL[[#This Row],[VEHIDCODE]]</f>
        <v>str_diesel_Zimbabwe_Sorefame_DE8</v>
      </c>
    </row>
    <row r="802" spans="1:15">
      <c r="A802" t="s">
        <v>3030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3031</v>
      </c>
      <c r="G802" t="s">
        <v>3032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ISNUMBER(_xlfn.XMATCH(CONTROL[[#This Row],[VEHIDCODE]],GRAPHICS_PROPERTIES[VEHIDCODE],0))</f>
        <v>1</v>
      </c>
      <c r="N802" s="31" t="str">
        <f>"item_"&amp;CONTROL[[#This Row],[VEHIDCODE]]</f>
        <v>item_diesel_Ivory_Coast_GMD_GT22LC2</v>
      </c>
      <c r="O802" s="31" t="str">
        <f>"str_"&amp;CONTROL[[#This Row],[VEHIDCODE]]</f>
        <v>str_diesel_Ivory_Coast_GMD_GT22LC2</v>
      </c>
    </row>
    <row r="803" spans="1:15">
      <c r="A803" t="s">
        <v>3033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3035</v>
      </c>
      <c r="G803" t="s">
        <v>3034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ISNUMBER(_xlfn.XMATCH(CONTROL[[#This Row],[VEHIDCODE]],GRAPHICS_PROPERTIES[VEHIDCODE],0))</f>
        <v>1</v>
      </c>
      <c r="N803" s="31" t="str">
        <f>"item_"&amp;CONTROL[[#This Row],[VEHIDCODE]]</f>
        <v>item_electric_Tanzania_TRC_E6800</v>
      </c>
      <c r="O803" s="31" t="str">
        <f>"str_"&amp;CONTROL[[#This Row],[VEHIDCODE]]</f>
        <v>str_electric_Tanzania_TRC_E6800</v>
      </c>
    </row>
    <row r="804" spans="1:15">
      <c r="A804" s="2" t="s">
        <v>3038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3040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ISNUMBER(_xlfn.XMATCH(CONTROL[[#This Row],[VEHIDCODE]],GRAPHICS_PROPERTIES[VEHIDCODE],0))</f>
        <v>1</v>
      </c>
      <c r="N804" s="31" t="str">
        <f>"item_"&amp;CONTROL[[#This Row],[VEHIDCODE]]</f>
        <v>item_mtro_USA_Brooklyn_Union_Gate_Car</v>
      </c>
      <c r="O804" s="31" t="str">
        <f>"str_"&amp;CONTROL[[#This Row],[VEHIDCODE]]</f>
        <v>str_mtro_USA_Brooklyn_Union_Gate_Car</v>
      </c>
    </row>
  </sheetData>
  <conditionalFormatting sqref="H2:H804">
    <cfRule type="containsText" dxfId="8" priority="3" operator="containsText" text="FALSE">
      <formula>NOT(ISERROR(SEARCH("FALSE",H2)))</formula>
    </cfRule>
  </conditionalFormatting>
  <conditionalFormatting sqref="I1:I804">
    <cfRule type="containsText" dxfId="7" priority="7" operator="containsText" text="FALSE">
      <formula>NOT(ISERROR(SEARCH("FALSE",I1)))</formula>
    </cfRule>
  </conditionalFormatting>
  <conditionalFormatting sqref="J1:O795 K796:O803 J804:O804 K805:O1048576">
    <cfRule type="cellIs" dxfId="6" priority="5" operator="equal">
      <formula>FALSE</formula>
    </cfRule>
  </conditionalFormatting>
  <conditionalFormatting sqref="F1:F1048576">
    <cfRule type="containsText" dxfId="0" priority="2" operator="containsText" text="(">
      <formula>NOT(ISERROR(SEARCH("(",F1)))</formula>
    </cfRule>
    <cfRule type="containsText" dxfId="1" priority="1" operator="containsText" text=")">
      <formula>NOT(ISERROR(SEARCH(")",F1)))</formula>
    </cfRule>
  </conditionalFormatting>
  <dataValidations count="1">
    <dataValidation type="list" allowBlank="1" showInputMessage="1" showErrorMessage="1" sqref="D2:D80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C794" sqref="C79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3042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3045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3043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3046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3044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3047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3042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3045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3042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3045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3044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3047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3042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3045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3044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3047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3043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3046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3042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3045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3044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3047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3043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3046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3042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3045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3044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3047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3043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3046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2992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2994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2998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3000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3017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3019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3022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3025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3028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3030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3033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3038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</sheetData>
  <phoneticPr fontId="18" type="noConversion"/>
  <conditionalFormatting sqref="Q1:S804 R796:T799 R802:T803 R805:T1048576">
    <cfRule type="cellIs" dxfId="26" priority="17" operator="equal">
      <formula>0</formula>
    </cfRule>
  </conditionalFormatting>
  <conditionalFormatting sqref="Y1:AA798">
    <cfRule type="cellIs" dxfId="25" priority="8" operator="equal">
      <formula>FALSE</formula>
    </cfRule>
  </conditionalFormatting>
  <conditionalFormatting sqref="Y800:AA802">
    <cfRule type="cellIs" dxfId="24" priority="4" operator="equal">
      <formula>FALSE</formula>
    </cfRule>
  </conditionalFormatting>
  <conditionalFormatting sqref="Y804:AA804">
    <cfRule type="cellIs" dxfId="23" priority="1" operator="equal">
      <formula>FALSE</formula>
    </cfRule>
  </conditionalFormatting>
  <conditionalFormatting sqref="Z803:AA803">
    <cfRule type="cellIs" dxfId="22" priority="3" operator="equal">
      <formula>FALSE</formula>
    </cfRule>
  </conditionalFormatting>
  <conditionalFormatting sqref="AF2:AF804">
    <cfRule type="containsText" dxfId="21" priority="2" operator="containsText" text="FALSE">
      <formula>NOT(ISERROR(SEARCH("FALSE",AF2)))</formula>
    </cfRule>
  </conditionalFormatting>
  <conditionalFormatting sqref="AM790:AO791">
    <cfRule type="cellIs" dxfId="20" priority="18" operator="equal">
      <formula>FALSE</formula>
    </cfRule>
  </conditionalFormatting>
  <conditionalFormatting sqref="AN792:AP1048576">
    <cfRule type="cellIs" dxfId="19" priority="13" operator="equal">
      <formula>FALSE</formula>
    </cfRule>
  </conditionalFormatting>
  <dataValidations count="16">
    <dataValidation type="whole" allowBlank="1" showInputMessage="1" showErrorMessage="1" sqref="C2:C804" xr:uid="{C9FB6BB5-B3CF-40B9-A6CD-3E0B48B95DF5}">
      <formula1>0</formula1>
      <formula2>1</formula2>
    </dataValidation>
    <dataValidation type="whole" operator="greaterThanOrEqual" allowBlank="1" showInputMessage="1" showErrorMessage="1" sqref="M784:M795 H2:H804 M2:M725 O2:P804 M800:M801 V2:X804 M804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4 Q2:T804" xr:uid="{F342F512-E760-4CD3-801B-E5B9CF70B7FD}">
      <formula1>0</formula1>
    </dataValidation>
    <dataValidation type="whole" allowBlank="1" showInputMessage="1" showErrorMessage="1" sqref="U2:U795 U797:U798 U800:U802 U804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5:U1048576" xr:uid="{2D963A9D-C2E3-4020-ABFA-FD04EDA25119}"/>
    <dataValidation type="list" allowBlank="1" showInputMessage="1" showErrorMessage="1" sqref="AC2:AC804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4" xr:uid="{EB4398F4-10E4-463B-A52E-1F5C116A99EF}">
      <formula1>INDIRECT("VALID_ENGINE_CLASS[ENGINE_CLASS]")</formula1>
    </dataValidation>
    <dataValidation type="list" operator="greaterThanOrEqual" allowBlank="1" showInputMessage="1" showErrorMessage="1" sqref="AB2:AB804" xr:uid="{D83E915C-A301-4BE3-9E12-6790BD0E2284}">
      <formula1>INDIRECT("VALID_PURCHASECOSTVALUE[PURCHASECOSTVALUE]")</formula1>
    </dataValidation>
    <dataValidation type="list" allowBlank="1" showInputMessage="1" showErrorMessage="1" sqref="D2:D804" xr:uid="{33652263-03A3-437A-966A-BE8C0F8BE076}">
      <formula1>INDIRECT("COUNTRIES[COUNTRY_DESCRIPTION]")</formula1>
    </dataValidation>
    <dataValidation type="list" allowBlank="1" showInputMessage="1" showErrorMessage="1" sqref="E2:E804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4" xr:uid="{F2DE25A7-EAF4-4DA6-85FD-9F7B7EE18717}">
      <formula1>"TRUE,FALSE"</formula1>
    </dataValidation>
    <dataValidation type="list" allowBlank="1" showInputMessage="1" showErrorMessage="1" sqref="Y2:Z795 Y797:Z798 Y800:Z802 Z803 Y804:Z804" xr:uid="{A6AEDF15-D52E-4DEA-AD86-7127D84AEEAD}">
      <formula1>INDIRECT("VALID_REGIONS[VALID_REGIONS]")</formula1>
    </dataValidation>
    <dataValidation type="list" allowBlank="1" showInputMessage="1" showErrorMessage="1" sqref="AA800:AA804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AA800:AA804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2992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2994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3000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3017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3019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3022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3025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3028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3030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3033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3038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8" priority="5" operator="equal">
      <formula>FALSE</formula>
    </cfRule>
  </conditionalFormatting>
  <dataValidations count="1">
    <dataValidation type="list" allowBlank="1" showInputMessage="1" showErrorMessage="1" sqref="AO790:AS1048576 AH790:AK1048576 S2:AF1048576 B2:R804 K805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4"/>
  <sheetViews>
    <sheetView zoomScaleNormal="100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E564" sqref="E5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2842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2992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2994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2998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3000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3017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3019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3022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3025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3028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3030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3033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3038</v>
      </c>
      <c r="B804" t="b">
        <v>1</v>
      </c>
      <c r="C804" t="b">
        <v>1</v>
      </c>
      <c r="D804" s="2" t="b">
        <v>0</v>
      </c>
      <c r="E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>
        <v>0</v>
      </c>
      <c r="G804" t="s">
        <v>715</v>
      </c>
    </row>
  </sheetData>
  <conditionalFormatting sqref="B1:D1048576">
    <cfRule type="cellIs" dxfId="17" priority="1" operator="equal">
      <formula>FALSE</formula>
    </cfRule>
  </conditionalFormatting>
  <conditionalFormatting sqref="I790:K1048576">
    <cfRule type="cellIs" dxfId="16" priority="2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4"/>
  <sheetViews>
    <sheetView zoomScaleNormal="100" workbookViewId="0">
      <pane xSplit="1" ySplit="1" topLeftCell="B663" activePane="bottomRight" state="frozen"/>
      <selection activeCell="Q19" sqref="Q19"/>
      <selection pane="topRight" activeCell="Q19" sqref="Q19"/>
      <selection pane="bottomLeft" activeCell="Q19" sqref="Q19"/>
      <selection pane="bottomRight" activeCell="C676" sqref="C676:D6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2992</v>
      </c>
      <c r="B793" t="s">
        <v>1749</v>
      </c>
      <c r="C793" t="s">
        <v>1729</v>
      </c>
      <c r="D793" t="s">
        <v>1732</v>
      </c>
    </row>
    <row r="794" spans="1:13">
      <c r="A794" s="2" t="s">
        <v>2994</v>
      </c>
      <c r="B794" t="s">
        <v>1749</v>
      </c>
      <c r="C794" t="s">
        <v>1722</v>
      </c>
      <c r="D794" t="s">
        <v>1732</v>
      </c>
    </row>
    <row r="795" spans="1:13">
      <c r="A795" t="s">
        <v>2998</v>
      </c>
      <c r="B795" t="s">
        <v>1749</v>
      </c>
      <c r="C795" t="s">
        <v>1729</v>
      </c>
      <c r="D795" t="s">
        <v>1731</v>
      </c>
    </row>
    <row r="796" spans="1:13">
      <c r="A796" t="s">
        <v>3000</v>
      </c>
      <c r="B796" t="s">
        <v>1749</v>
      </c>
      <c r="C796" t="s">
        <v>1729</v>
      </c>
      <c r="D796" t="s">
        <v>1731</v>
      </c>
    </row>
    <row r="797" spans="1:13">
      <c r="A797" s="2" t="s">
        <v>3017</v>
      </c>
      <c r="B797" t="s">
        <v>1749</v>
      </c>
      <c r="C797" t="s">
        <v>1722</v>
      </c>
      <c r="D797" t="s">
        <v>1731</v>
      </c>
    </row>
    <row r="798" spans="1:13">
      <c r="A798" s="2" t="s">
        <v>3019</v>
      </c>
      <c r="B798" t="s">
        <v>1749</v>
      </c>
      <c r="C798" t="s">
        <v>1725</v>
      </c>
      <c r="D798" t="s">
        <v>1731</v>
      </c>
    </row>
    <row r="799" spans="1:13">
      <c r="A799" s="2" t="s">
        <v>3022</v>
      </c>
      <c r="B799" t="s">
        <v>1750</v>
      </c>
      <c r="C799" t="s">
        <v>1722</v>
      </c>
      <c r="D799" t="s">
        <v>1731</v>
      </c>
    </row>
    <row r="800" spans="1:13">
      <c r="A800" s="2" t="s">
        <v>3025</v>
      </c>
      <c r="B800" t="s">
        <v>1749</v>
      </c>
      <c r="C800" t="s">
        <v>1722</v>
      </c>
      <c r="D800" t="s">
        <v>1731</v>
      </c>
    </row>
    <row r="801" spans="1:4">
      <c r="A801" s="2" t="s">
        <v>3028</v>
      </c>
      <c r="B801" t="s">
        <v>1749</v>
      </c>
      <c r="C801" t="s">
        <v>1722</v>
      </c>
      <c r="D801" t="s">
        <v>1731</v>
      </c>
    </row>
    <row r="802" spans="1:4">
      <c r="A802" s="2" t="s">
        <v>3030</v>
      </c>
      <c r="B802" t="s">
        <v>1749</v>
      </c>
      <c r="C802" t="s">
        <v>1722</v>
      </c>
      <c r="D802" t="s">
        <v>1731</v>
      </c>
    </row>
    <row r="803" spans="1:4">
      <c r="A803" s="2" t="s">
        <v>3033</v>
      </c>
      <c r="B803" t="s">
        <v>1750</v>
      </c>
      <c r="C803" t="s">
        <v>1722</v>
      </c>
      <c r="D803" t="s">
        <v>1731</v>
      </c>
    </row>
    <row r="804" spans="1:4">
      <c r="A804" s="2" t="s">
        <v>3038</v>
      </c>
      <c r="B804" t="s">
        <v>1749</v>
      </c>
      <c r="C804" t="s">
        <v>1726</v>
      </c>
      <c r="D804" t="s">
        <v>1733</v>
      </c>
    </row>
  </sheetData>
  <conditionalFormatting sqref="B1:C1048576">
    <cfRule type="containsText" dxfId="1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907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2973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2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1860</v>
      </c>
      <c r="B8" t="s">
        <v>2985</v>
      </c>
      <c r="K8">
        <v>2</v>
      </c>
    </row>
    <row r="9" spans="1:18">
      <c r="A9">
        <v>1880</v>
      </c>
      <c r="B9" t="s">
        <v>2985</v>
      </c>
      <c r="K9">
        <v>2</v>
      </c>
      <c r="M9">
        <v>4</v>
      </c>
    </row>
    <row r="10" spans="1:18">
      <c r="A10">
        <v>1900</v>
      </c>
      <c r="B10" t="s">
        <v>2985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2985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2985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2985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2985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2985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2985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2985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909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2971</v>
      </c>
      <c r="I4" t="s">
        <v>2981</v>
      </c>
      <c r="J4" t="s">
        <v>2972</v>
      </c>
      <c r="K4" t="s">
        <v>2973</v>
      </c>
      <c r="L4" t="s">
        <v>2982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O6">
        <v>1</v>
      </c>
      <c r="P6">
        <v>1</v>
      </c>
    </row>
    <row r="7" spans="1:18">
      <c r="A7">
        <v>1840</v>
      </c>
      <c r="B7" t="s">
        <v>2985</v>
      </c>
      <c r="F7">
        <v>1</v>
      </c>
      <c r="O7">
        <v>1</v>
      </c>
      <c r="P7">
        <v>1</v>
      </c>
    </row>
    <row r="8" spans="1:18">
      <c r="A8">
        <v>1860</v>
      </c>
      <c r="B8" t="s">
        <v>2985</v>
      </c>
      <c r="F8">
        <v>3</v>
      </c>
    </row>
    <row r="9" spans="1:18">
      <c r="A9">
        <v>1880</v>
      </c>
      <c r="B9" t="s">
        <v>2985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2985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2985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2985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2985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2985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2985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2985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2985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2974</v>
      </c>
      <c r="C3" s="34" t="s">
        <v>2278</v>
      </c>
    </row>
    <row r="4" spans="1:17">
      <c r="A4" s="34" t="s">
        <v>2983</v>
      </c>
      <c r="B4" s="34" t="s">
        <v>911</v>
      </c>
      <c r="C4" t="s">
        <v>2975</v>
      </c>
      <c r="D4" t="s">
        <v>2980</v>
      </c>
      <c r="E4" t="s">
        <v>2977</v>
      </c>
      <c r="F4" t="s">
        <v>2970</v>
      </c>
      <c r="G4" t="s">
        <v>2976</v>
      </c>
      <c r="H4" t="s">
        <v>2971</v>
      </c>
      <c r="I4" t="s">
        <v>2981</v>
      </c>
      <c r="J4" t="s">
        <v>2972</v>
      </c>
      <c r="K4" t="s">
        <v>2973</v>
      </c>
      <c r="L4" t="s">
        <v>2986</v>
      </c>
      <c r="M4" t="s">
        <v>2987</v>
      </c>
      <c r="N4" t="s">
        <v>2988</v>
      </c>
      <c r="O4" t="s">
        <v>2989</v>
      </c>
      <c r="P4" t="s">
        <v>2990</v>
      </c>
      <c r="Q4" t="s">
        <v>2991</v>
      </c>
    </row>
    <row r="5" spans="1:17">
      <c r="A5">
        <v>1660</v>
      </c>
      <c r="B5" t="s">
        <v>2985</v>
      </c>
      <c r="L5">
        <v>1</v>
      </c>
    </row>
    <row r="6" spans="1:17">
      <c r="A6">
        <v>1820</v>
      </c>
      <c r="B6" t="s">
        <v>2985</v>
      </c>
      <c r="L6">
        <v>4</v>
      </c>
      <c r="N6">
        <v>1</v>
      </c>
      <c r="O6">
        <v>1</v>
      </c>
    </row>
    <row r="7" spans="1:17">
      <c r="A7">
        <v>1840</v>
      </c>
      <c r="B7" t="s">
        <v>2985</v>
      </c>
      <c r="N7">
        <v>1</v>
      </c>
      <c r="O7">
        <v>1</v>
      </c>
    </row>
    <row r="8" spans="1:17">
      <c r="A8">
        <v>1860</v>
      </c>
      <c r="B8" t="s">
        <v>2985</v>
      </c>
      <c r="J8">
        <v>1</v>
      </c>
    </row>
    <row r="9" spans="1:17">
      <c r="A9">
        <v>1880</v>
      </c>
      <c r="B9" t="s">
        <v>2985</v>
      </c>
      <c r="L9">
        <v>3</v>
      </c>
    </row>
    <row r="10" spans="1:17">
      <c r="A10">
        <v>1900</v>
      </c>
      <c r="B10" t="s">
        <v>2985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2985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2985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2985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2985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2985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2985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2985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2974</v>
      </c>
      <c r="C3" s="34" t="s">
        <v>2278</v>
      </c>
    </row>
    <row r="4" spans="1:19">
      <c r="A4" s="34" t="s">
        <v>2983</v>
      </c>
      <c r="B4" s="34" t="s">
        <v>912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2979</v>
      </c>
      <c r="M4" t="s">
        <v>2973</v>
      </c>
      <c r="N4" t="s">
        <v>2986</v>
      </c>
      <c r="O4" t="s">
        <v>2987</v>
      </c>
      <c r="P4" t="s">
        <v>2988</v>
      </c>
      <c r="Q4" t="s">
        <v>2989</v>
      </c>
      <c r="R4" t="s">
        <v>2990</v>
      </c>
      <c r="S4" t="s">
        <v>2991</v>
      </c>
    </row>
    <row r="5" spans="1:19">
      <c r="A5">
        <v>1660</v>
      </c>
      <c r="B5" t="s">
        <v>2985</v>
      </c>
      <c r="N5">
        <v>2</v>
      </c>
    </row>
    <row r="6" spans="1:19">
      <c r="A6">
        <v>1820</v>
      </c>
      <c r="B6" t="s">
        <v>2985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2985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2985</v>
      </c>
      <c r="H8">
        <v>1</v>
      </c>
      <c r="K8">
        <v>3</v>
      </c>
      <c r="N8">
        <v>4</v>
      </c>
    </row>
    <row r="9" spans="1:19">
      <c r="A9">
        <v>1900</v>
      </c>
      <c r="B9" t="s">
        <v>2985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2985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2985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2985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2985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2985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2985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2985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2974</v>
      </c>
      <c r="C3" s="34" t="s">
        <v>2278</v>
      </c>
    </row>
    <row r="4" spans="1:17">
      <c r="A4" s="34" t="s">
        <v>2983</v>
      </c>
      <c r="B4" s="34" t="s">
        <v>906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2981</v>
      </c>
      <c r="J4" t="s">
        <v>2972</v>
      </c>
      <c r="K4" t="s">
        <v>2973</v>
      </c>
      <c r="L4" t="s">
        <v>2986</v>
      </c>
      <c r="M4" t="s">
        <v>2987</v>
      </c>
      <c r="N4" t="s">
        <v>2988</v>
      </c>
      <c r="O4" t="s">
        <v>2989</v>
      </c>
      <c r="P4" t="s">
        <v>2990</v>
      </c>
      <c r="Q4" t="s">
        <v>2991</v>
      </c>
    </row>
    <row r="5" spans="1:17">
      <c r="A5">
        <v>1820</v>
      </c>
      <c r="B5" t="s">
        <v>2985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2985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2985</v>
      </c>
      <c r="C7">
        <v>1</v>
      </c>
      <c r="F7">
        <v>1</v>
      </c>
      <c r="L7">
        <v>2</v>
      </c>
    </row>
    <row r="8" spans="1:17">
      <c r="A8">
        <v>1900</v>
      </c>
      <c r="B8" t="s">
        <v>2985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2985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2985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2985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2985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2985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2985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2985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2974</v>
      </c>
      <c r="C3" s="34" t="s">
        <v>2278</v>
      </c>
    </row>
    <row r="4" spans="1:21">
      <c r="A4" s="34" t="s">
        <v>2983</v>
      </c>
      <c r="B4" s="34" t="s">
        <v>904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2978</v>
      </c>
      <c r="L4" t="s">
        <v>2972</v>
      </c>
      <c r="M4" t="s">
        <v>2979</v>
      </c>
      <c r="N4" t="s">
        <v>2973</v>
      </c>
      <c r="O4" t="s">
        <v>2982</v>
      </c>
      <c r="P4" t="s">
        <v>2986</v>
      </c>
      <c r="Q4" t="s">
        <v>2987</v>
      </c>
      <c r="R4" t="s">
        <v>2988</v>
      </c>
      <c r="S4" t="s">
        <v>2989</v>
      </c>
      <c r="T4" t="s">
        <v>2990</v>
      </c>
      <c r="U4" t="s">
        <v>2991</v>
      </c>
    </row>
    <row r="5" spans="1:21">
      <c r="A5">
        <v>1660</v>
      </c>
      <c r="B5" t="s">
        <v>2985</v>
      </c>
      <c r="P5">
        <v>1</v>
      </c>
    </row>
    <row r="6" spans="1:21">
      <c r="A6">
        <v>1820</v>
      </c>
      <c r="B6" t="s">
        <v>2985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2985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2985</v>
      </c>
      <c r="F8">
        <v>1</v>
      </c>
    </row>
    <row r="9" spans="1:21">
      <c r="A9">
        <v>1880</v>
      </c>
      <c r="B9" t="s">
        <v>2985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2985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2985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2985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2985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2985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2985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2985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2985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910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2973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1880</v>
      </c>
      <c r="B8" t="s">
        <v>2985</v>
      </c>
      <c r="I8">
        <v>1</v>
      </c>
      <c r="K8">
        <v>1</v>
      </c>
      <c r="M8">
        <v>3</v>
      </c>
    </row>
    <row r="9" spans="1:18">
      <c r="A9">
        <v>1900</v>
      </c>
      <c r="B9" t="s">
        <v>2985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2985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2985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2985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2985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2985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2985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2985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905</v>
      </c>
      <c r="C4" t="s">
        <v>2975</v>
      </c>
      <c r="D4" t="s">
        <v>2969</v>
      </c>
      <c r="E4" t="s">
        <v>2980</v>
      </c>
      <c r="F4" t="s">
        <v>2977</v>
      </c>
      <c r="G4" t="s">
        <v>2976</v>
      </c>
      <c r="H4" t="s">
        <v>2971</v>
      </c>
      <c r="I4" t="s">
        <v>2981</v>
      </c>
      <c r="J4" t="s">
        <v>2972</v>
      </c>
      <c r="K4" t="s">
        <v>2973</v>
      </c>
      <c r="L4" t="s">
        <v>2982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1880</v>
      </c>
      <c r="B8" t="s">
        <v>2985</v>
      </c>
      <c r="J8">
        <v>1</v>
      </c>
      <c r="M8">
        <v>3</v>
      </c>
    </row>
    <row r="9" spans="1:18">
      <c r="A9">
        <v>1900</v>
      </c>
      <c r="B9" t="s">
        <v>2985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2985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2985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2985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2985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2985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2985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2985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4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1" sqref="G1:O1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2983</v>
      </c>
      <c r="C1" t="s">
        <v>2278</v>
      </c>
      <c r="D1" s="36" t="s">
        <v>684</v>
      </c>
      <c r="E1" s="36" t="s">
        <v>685</v>
      </c>
      <c r="F1" s="36" t="s">
        <v>2984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4" si="81">_xlfn.CONCAT($D771,"_",$E771)</f>
        <v>ALL_AMERICA_OCEANIA</v>
      </c>
      <c r="G771" t="b">
        <f t="shared" ref="G771:G804" si="82">OR(ISNUMBER(SEARCH("ALL_REGION",$F771)),
ISNUMBER(SEARCH("AFRICA",$F771)),
ISNUMBER(SEARCH("REGIONTYPE1",$F771)),
ISNUMBER(SEARCH("REGIONTYPE2",$F771)))</f>
        <v>0</v>
      </c>
      <c r="H771" t="b">
        <f t="shared" ref="H771:H80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 (Freight)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4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4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</sheetData>
  <autoFilter ref="A1:O793" xr:uid="{94AF2F1A-9287-4526-9497-B34C300AF4DB}"/>
  <conditionalFormatting sqref="G1:G1048576">
    <cfRule type="containsText" dxfId="14" priority="17" operator="containsText" text="FALSE">
      <formula>NOT(ISERROR(SEARCH("FALSE",G1)))</formula>
    </cfRule>
  </conditionalFormatting>
  <conditionalFormatting sqref="H1:I792 H795:I1048576">
    <cfRule type="containsText" dxfId="13" priority="16" operator="containsText" text="FALSE">
      <formula>NOT(ISERROR(SEARCH("FALSE",H1)))</formula>
    </cfRule>
  </conditionalFormatting>
  <conditionalFormatting sqref="H2:O804">
    <cfRule type="containsText" dxfId="12" priority="1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N232" sqref="N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3041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2026-04-18T06:02:19Z</dcterms:modified>
</cp:coreProperties>
</file>