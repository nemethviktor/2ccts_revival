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4C8B1AB-8264-478A-A476-826C0F7A3110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7" i="24" l="1"/>
  <c r="D827" i="24"/>
  <c r="C827" i="24"/>
  <c r="B827" i="24"/>
  <c r="F827" i="19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G827" i="1"/>
  <c r="AH827" i="1" a="1"/>
  <c r="AH827" i="1"/>
  <c r="AI827" i="1" a="1"/>
  <c r="AI827" i="1"/>
  <c r="AJ827" i="1"/>
  <c r="AF826" i="1"/>
  <c r="AG826" i="1" a="1"/>
  <c r="AG826" i="1"/>
  <c r="AH826" i="1" a="1"/>
  <c r="AH826" i="1"/>
  <c r="AI826" i="1" a="1"/>
  <c r="AI826" i="1"/>
  <c r="AJ826" i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7" i="24" l="1"/>
  <c r="AF827" i="17" a="1"/>
  <c r="U827" i="17"/>
  <c r="U826" i="17"/>
  <c r="E827" i="14"/>
  <c r="H827" i="14"/>
  <c r="E826" i="24"/>
  <c r="D826" i="24"/>
  <c r="B826" i="24"/>
  <c r="F826" i="19"/>
  <c r="F826" i="24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F825" i="24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03" i="17" a="1"/>
  <c r="AF406" i="17" a="1"/>
  <c r="AF419" i="17" a="1"/>
  <c r="AF421" i="17" a="1"/>
  <c r="AF426" i="17" a="1"/>
  <c r="AF429" i="17" a="1"/>
  <c r="AF432" i="17" a="1"/>
  <c r="AF433" i="17" a="1"/>
  <c r="AF434" i="17" a="1"/>
  <c r="AF436" i="17" a="1"/>
  <c r="AF437" i="17" a="1"/>
  <c r="AF449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7" i="17" a="1"/>
  <c r="AF318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80" i="17" a="1"/>
  <c r="AF181" i="17" a="1"/>
  <c r="AF182" i="17" a="1"/>
  <c r="AF183" i="17" a="1"/>
  <c r="AF184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200" i="17" a="1"/>
  <c r="AF201" i="17" a="1"/>
  <c r="AF202" i="17" a="1"/>
  <c r="AF208" i="17" a="1"/>
  <c r="AF209" i="17" a="1"/>
  <c r="AF210" i="17" a="1"/>
  <c r="AF212" i="17" a="1"/>
  <c r="AF213" i="17" a="1"/>
  <c r="AF214" i="17" a="1"/>
  <c r="AF215" i="17" a="1"/>
  <c r="AF216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40" i="17" a="1"/>
  <c r="AF541" i="17" a="1"/>
  <c r="AF547" i="17" a="1"/>
  <c r="AF547" i="17" s="1"/>
  <c r="AF548" i="17" a="1"/>
  <c r="AF548" i="17" s="1"/>
  <c r="AF653" i="17" a="1"/>
  <c r="AF657" i="17" a="1"/>
  <c r="AF658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27" i="24" l="1"/>
  <c r="J827" i="24"/>
  <c r="L827" i="24"/>
  <c r="N827" i="24"/>
  <c r="G827" i="24"/>
  <c r="I827" i="24"/>
  <c r="K827" i="24"/>
  <c r="M827" i="24"/>
  <c r="O827" i="24"/>
  <c r="AF827" i="17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G826" i="24"/>
  <c r="H826" i="24"/>
  <c r="I826" i="24"/>
  <c r="J826" i="24"/>
  <c r="K826" i="24"/>
  <c r="L826" i="24"/>
  <c r="M826" i="24"/>
  <c r="N826" i="24"/>
  <c r="O826" i="24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G825" i="24"/>
  <c r="H825" i="24"/>
  <c r="I825" i="24"/>
  <c r="J825" i="24"/>
  <c r="K825" i="24"/>
  <c r="L825" i="24"/>
  <c r="M825" i="24"/>
  <c r="N825" i="24"/>
  <c r="O825" i="24"/>
  <c r="AF179" i="17" a="1"/>
  <c r="AF335" i="17" a="1"/>
  <c r="AF332" i="17" a="1"/>
  <c r="AF197" i="17" a="1"/>
  <c r="AF425" i="17" a="1"/>
  <c r="AF663" i="17" a="1"/>
  <c r="AF185" i="17" a="1"/>
  <c r="AF327" i="17" a="1"/>
  <c r="AF326" i="17" a="1"/>
  <c r="AF204" i="17" a="1"/>
  <c r="AF554" i="17" a="1"/>
  <c r="AF824" i="17"/>
  <c r="M825" i="14"/>
  <c r="M824" i="14"/>
  <c r="G824" i="24"/>
  <c r="H824" i="24"/>
  <c r="I824" i="24"/>
  <c r="J824" i="24"/>
  <c r="K824" i="24"/>
  <c r="L824" i="24"/>
  <c r="M824" i="24"/>
  <c r="N824" i="24"/>
  <c r="O824" i="24"/>
  <c r="AF594" i="17" a="1"/>
  <c r="AF603" i="17" a="1"/>
  <c r="AF607" i="17" a="1"/>
  <c r="AF226" i="17" a="1"/>
  <c r="AF227" i="17" a="1"/>
  <c r="AF228" i="17" a="1"/>
  <c r="AF230" i="17" a="1"/>
  <c r="AF568" i="17" a="1"/>
  <c r="AF221" i="17" a="1"/>
  <c r="AF223" i="17" a="1"/>
  <c r="AF555" i="17" a="1"/>
  <c r="AF556" i="17" a="1"/>
  <c r="AF563" i="17" a="1"/>
  <c r="AF564" i="17" a="1"/>
  <c r="AF567" i="17" a="1"/>
  <c r="AF590" i="17" a="1"/>
  <c r="M823" i="14"/>
  <c r="G823" i="24"/>
  <c r="H823" i="24"/>
  <c r="I823" i="24"/>
  <c r="J823" i="24"/>
  <c r="K823" i="24"/>
  <c r="L823" i="24"/>
  <c r="M823" i="24"/>
  <c r="N823" i="24"/>
  <c r="O823" i="2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G822" i="24"/>
  <c r="H822" i="24"/>
  <c r="I822" i="24"/>
  <c r="J822" i="24"/>
  <c r="K822" i="24"/>
  <c r="L822" i="24"/>
  <c r="M822" i="24"/>
  <c r="N822" i="24"/>
  <c r="O822" i="24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98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598" i="17" a="1"/>
  <c r="AF764" i="17" a="1"/>
  <c r="AF764" i="17" s="1"/>
  <c r="AF758" i="17" a="1"/>
  <c r="AF758" i="17" s="1"/>
  <c r="AF761" i="17" a="1"/>
  <c r="AF761" i="17" s="1"/>
  <c r="AF760" i="17" a="1"/>
  <c r="AF760" i="17" s="1"/>
  <c r="AF757" i="17" a="1"/>
  <c r="AF757" i="17" s="1"/>
  <c r="AF317" i="17"/>
  <c r="AF428" i="17"/>
  <c r="AF537" i="17"/>
  <c r="AF132" i="17"/>
  <c r="AF178" i="17"/>
  <c r="AF198" i="17"/>
  <c r="AF245" i="17"/>
  <c r="AF297" i="17"/>
  <c r="AF436" i="17"/>
  <c r="AF191" i="17"/>
  <c r="AF233" i="17"/>
  <c r="AF314" i="17"/>
  <c r="AF335" i="17"/>
  <c r="AF421" i="17"/>
  <c r="AF322" i="17"/>
  <c r="AF349" i="17"/>
  <c r="AF291" i="17"/>
  <c r="AF338" i="17"/>
  <c r="AF419" i="17"/>
  <c r="AF328" i="17"/>
  <c r="AF189" i="17"/>
  <c r="AF273" i="17"/>
  <c r="AF298" i="17"/>
  <c r="AF323" i="17"/>
  <c r="AF351" i="17"/>
  <c r="AF437" i="17"/>
  <c r="AF193" i="17"/>
  <c r="AF239" i="17"/>
  <c r="AF303" i="17"/>
  <c r="AF325" i="17"/>
  <c r="AF310" i="17"/>
  <c r="AF337" i="17"/>
  <c r="AF183" i="17"/>
  <c r="AF406" i="17"/>
  <c r="AF434" i="17"/>
  <c r="AF462" i="17"/>
  <c r="AF451" i="17"/>
  <c r="AF452" i="17"/>
  <c r="AF449" i="17"/>
  <c r="AF453" i="17"/>
  <c r="AF403" i="17"/>
  <c r="AF429" i="17"/>
  <c r="AF458" i="17"/>
  <c r="AF450" i="17"/>
  <c r="AF433" i="17"/>
  <c r="AF426" i="17"/>
  <c r="AF454" i="17"/>
  <c r="AF455" i="17"/>
  <c r="AF456" i="17"/>
  <c r="AF432" i="17"/>
  <c r="AF284" i="17"/>
  <c r="AF313" i="17"/>
  <c r="AF190" i="17"/>
  <c r="AF302" i="17"/>
  <c r="AF324" i="17"/>
  <c r="AF352" i="17"/>
  <c r="AF194" i="17"/>
  <c r="AF281" i="17"/>
  <c r="AF308" i="17"/>
  <c r="AF181" i="17"/>
  <c r="AF200" i="17"/>
  <c r="AF242" i="17"/>
  <c r="AF287" i="17"/>
  <c r="AF311" i="17"/>
  <c r="AF331" i="17"/>
  <c r="AF234" i="17"/>
  <c r="AF307" i="17"/>
  <c r="AF186" i="17"/>
  <c r="AF312" i="17"/>
  <c r="AF340" i="17"/>
  <c r="AF208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16" i="17"/>
  <c r="AF257" i="17"/>
  <c r="AF253" i="17"/>
  <c r="AF209" i="17"/>
  <c r="AF261" i="17"/>
  <c r="AF210" i="17"/>
  <c r="AF262" i="17"/>
  <c r="AF8" i="17"/>
  <c r="AF258" i="17"/>
  <c r="AF187" i="17"/>
  <c r="AF212" i="17"/>
  <c r="AF263" i="17"/>
  <c r="AF201" i="17"/>
  <c r="AF250" i="17"/>
  <c r="AF192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540" i="17"/>
  <c r="AF737" i="17"/>
  <c r="AF102" i="17"/>
  <c r="AF168" i="17"/>
  <c r="AF533" i="17"/>
  <c r="AF701" i="17"/>
  <c r="AF718" i="17"/>
  <c r="AF528" i="17"/>
  <c r="AF658" i="17"/>
  <c r="AF729" i="17"/>
  <c r="AF138" i="17"/>
  <c r="AF172" i="17"/>
  <c r="AF677" i="17"/>
  <c r="AF692" i="17"/>
  <c r="AF708" i="17"/>
  <c r="AF726" i="17"/>
  <c r="AF29" i="17"/>
  <c r="AF30" i="17"/>
  <c r="AF36" i="17"/>
  <c r="AF48" i="17"/>
  <c r="AF59" i="17"/>
  <c r="AF156" i="17"/>
  <c r="AF657" i="17"/>
  <c r="AF724" i="17"/>
  <c r="AF80" i="17"/>
  <c r="AF157" i="17"/>
  <c r="AF475" i="17"/>
  <c r="AF63" i="17"/>
  <c r="AF163" i="17"/>
  <c r="AF65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534" i="17"/>
  <c r="AF693" i="17"/>
  <c r="AF711" i="17"/>
  <c r="AF728" i="17"/>
  <c r="AF93" i="17"/>
  <c r="AF174" i="17"/>
  <c r="AF471" i="17"/>
  <c r="AF501" i="17"/>
  <c r="AF536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54" i="17"/>
  <c r="AF661" i="17"/>
  <c r="AF720" i="17"/>
  <c r="AF732" i="17"/>
  <c r="AF65" i="17"/>
  <c r="AF88" i="17"/>
  <c r="AF541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55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821" i="17" l="1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607" i="17"/>
  <c r="AF568" i="17"/>
  <c r="AF594" i="17"/>
  <c r="AF603" i="17"/>
  <c r="AF221" i="17"/>
  <c r="AF223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612" i="24"/>
  <c r="C500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150" i="24"/>
  <c r="C219" i="24"/>
  <c r="C256" i="24"/>
  <c r="C707" i="24"/>
  <c r="C69" i="24"/>
  <c r="C83" i="24"/>
  <c r="C124" i="24"/>
  <c r="C238" i="24"/>
  <c r="C264" i="24"/>
  <c r="C711" i="24"/>
  <c r="C217" i="24"/>
  <c r="C214" i="24"/>
  <c r="C212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254" i="24"/>
  <c r="C30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16" i="24"/>
  <c r="C263" i="24"/>
  <c r="AF494" i="17"/>
  <c r="C494" i="24" s="1"/>
  <c r="C251" i="24"/>
  <c r="C206" i="24"/>
  <c r="C257" i="24"/>
  <c r="C152" i="24"/>
  <c r="C253" i="24"/>
  <c r="C201" i="24"/>
  <c r="C192" i="24"/>
  <c r="AF96" i="17" a="1"/>
  <c r="AF496" i="17"/>
  <c r="AF498" i="17"/>
  <c r="AF495" i="17"/>
  <c r="C495" i="24" s="1"/>
  <c r="C489" i="24"/>
  <c r="C621" i="24"/>
  <c r="C505" i="24"/>
  <c r="C534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535" i="24"/>
  <c r="C533" i="24"/>
  <c r="C246" i="24"/>
  <c r="C221" i="24"/>
  <c r="C451" i="24"/>
  <c r="C301" i="24"/>
  <c r="C403" i="24"/>
  <c r="C454" i="24"/>
  <c r="C237" i="24"/>
  <c r="C287" i="24"/>
  <c r="C284" i="24"/>
  <c r="C462" i="24"/>
  <c r="C45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46" i="24"/>
  <c r="C168" i="24"/>
  <c r="C406" i="24"/>
  <c r="C456" i="24"/>
  <c r="C208" i="24"/>
  <c r="C101" i="24"/>
  <c r="C187" i="24"/>
  <c r="C188" i="24"/>
  <c r="C236" i="24"/>
  <c r="C262" i="24"/>
  <c r="C288" i="24"/>
  <c r="C393" i="24"/>
  <c r="C177" i="24"/>
  <c r="C209" i="24"/>
  <c r="C255" i="24"/>
  <c r="C455" i="24"/>
  <c r="C136" i="24"/>
  <c r="C133" i="24"/>
  <c r="C134" i="24"/>
  <c r="C156" i="24"/>
  <c r="C182" i="24"/>
  <c r="C466" i="24"/>
  <c r="C467" i="24"/>
  <c r="C701" i="24"/>
  <c r="C713" i="24"/>
  <c r="C162" i="24"/>
  <c r="C426" i="24"/>
  <c r="C88" i="24"/>
  <c r="C392" i="24"/>
  <c r="C396" i="24"/>
  <c r="C448" i="24"/>
  <c r="C404" i="24"/>
  <c r="C452" i="24"/>
  <c r="C434" i="24"/>
  <c r="C433" i="24"/>
  <c r="C432" i="24"/>
  <c r="AF767" i="17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428" i="24"/>
  <c r="C676" i="24"/>
  <c r="C325" i="24"/>
  <c r="C204" i="24"/>
  <c r="C421" i="24"/>
  <c r="C193" i="24"/>
  <c r="C436" i="24"/>
  <c r="C291" i="24"/>
  <c r="C178" i="24"/>
  <c r="C408" i="24"/>
  <c r="C180" i="24"/>
  <c r="C205" i="24"/>
  <c r="C183" i="24"/>
  <c r="C226" i="24"/>
  <c r="C402" i="24"/>
  <c r="C449" i="24"/>
  <c r="C185" i="24"/>
  <c r="C532" i="24"/>
  <c r="C617" i="24"/>
  <c r="C131" i="24"/>
  <c r="C144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427" i="24"/>
  <c r="C233" i="24"/>
  <c r="C196" i="24"/>
  <c r="C197" i="24"/>
  <c r="C429" i="24"/>
  <c r="C425" i="24"/>
  <c r="C437" i="24"/>
  <c r="C198" i="24"/>
  <c r="C306" i="24"/>
  <c r="C344" i="24"/>
  <c r="C313" i="24"/>
  <c r="C319" i="24"/>
  <c r="C179" i="24"/>
  <c r="C343" i="24"/>
  <c r="C258" i="24"/>
  <c r="C243" i="24"/>
  <c r="C308" i="24"/>
  <c r="C348" i="24"/>
  <c r="C311" i="24"/>
  <c r="C321" i="24"/>
  <c r="C342" i="24"/>
  <c r="C620" i="24"/>
  <c r="C499" i="24"/>
  <c r="C245" i="24"/>
  <c r="C703" i="24"/>
  <c r="C220" i="24"/>
  <c r="C699" i="24"/>
  <c r="C234" i="24"/>
  <c r="C261" i="24"/>
  <c r="C708" i="24"/>
  <c r="C250" i="24"/>
  <c r="C816" i="24"/>
  <c r="C517" i="24"/>
  <c r="C502" i="24"/>
  <c r="C479" i="24"/>
  <c r="C514" i="24"/>
  <c r="C531" i="24"/>
  <c r="C607" i="24"/>
  <c r="C590" i="24"/>
  <c r="C582" i="24"/>
  <c r="C340" i="24"/>
  <c r="C472" i="24"/>
  <c r="C603" i="24"/>
  <c r="C583" i="24"/>
  <c r="C594" i="24"/>
  <c r="C341" i="24"/>
  <c r="E817" i="14"/>
  <c r="C478" i="24"/>
  <c r="C506" i="24"/>
  <c r="C184" i="24"/>
  <c r="C228" i="24"/>
  <c r="C303" i="24"/>
  <c r="C24" i="24"/>
  <c r="C11" i="24"/>
  <c r="C13" i="24"/>
  <c r="C18" i="24"/>
  <c r="C21" i="24"/>
  <c r="C300" i="24"/>
  <c r="C458" i="24"/>
  <c r="C430" i="24"/>
  <c r="C195" i="24"/>
  <c r="C399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28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60" i="24"/>
  <c r="C729" i="24"/>
  <c r="C546" i="24"/>
  <c r="C556" i="24"/>
  <c r="C715" i="24"/>
  <c r="C654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59" i="24"/>
  <c r="C678" i="24"/>
  <c r="C543" i="24"/>
  <c r="C486" i="24"/>
  <c r="C520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673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591" i="24"/>
  <c r="C481" i="24"/>
  <c r="C541" i="24"/>
  <c r="C540" i="24"/>
  <c r="C586" i="24"/>
  <c r="C318" i="24"/>
  <c r="C309" i="24"/>
  <c r="C509" i="24"/>
  <c r="C327" i="24"/>
  <c r="C482" i="24"/>
  <c r="C480" i="24"/>
  <c r="C518" i="24"/>
  <c r="C508" i="24"/>
  <c r="C537" i="24"/>
  <c r="C536" i="24"/>
  <c r="C781" i="24"/>
  <c r="C39" i="24"/>
  <c r="C349" i="24"/>
  <c r="C483" i="24"/>
  <c r="C322" i="24"/>
  <c r="C652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627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211" i="24" l="1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496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24" i="14" l="1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s="1"/>
  <c r="E82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<sst xmlns="http://schemas.openxmlformats.org/spreadsheetml/2006/main" count="19267" uniqueCount="3151">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</sst>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7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7" totalsRowShown="0" headerRowDxfId="166">
  <autoFilter ref="A1:P827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6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4"/>
    <tableColumn id="17" xr3:uid="{52550B53-5A6E-4D0B-A358-FCA22B56CC77}" name="WEB"/>
    <tableColumn id="15" xr3:uid="{C9DBDDFF-A526-4383-A426-8408C4B17785}" name="IS_POWERED_UNPOWERED_SUNDRY" dataDxfId="16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2">
      <calculatedColumnFormula>ISNUMBER(_xlfn.XMATCH(CONTROL[[#This Row],[VEHIDCODE]],TRACK_TYPES[VEHIDCODE],0))</calculatedColumnFormula>
    </tableColumn>
    <tableColumn id="14" xr3:uid="{222C2DB1-CA5D-4369-995A-6A316AC5C947}" name="PROPERTIES" dataDxfId="161">
      <calculatedColumnFormula>ISNUMBER(_xlfn.XMATCH(CONTROL[[#This Row],[VEHIDCODE]],PROPERTIES[VEHIDCODE],0))</calculatedColumnFormula>
    </tableColumn>
    <tableColumn id="13" xr3:uid="{473FD571-A166-4EC8-8B7B-F1D30044570B}" name="FLAGS" dataDxfId="160">
      <calculatedColumnFormula>ISNUMBER(_xlfn.XMATCH(CONTROL[[#This Row],[VEHIDCODE]],FLAGS[VEHIDCODE],0))</calculatedColumnFormula>
    </tableColumn>
    <tableColumn id="11" xr3:uid="{B1BAE31E-1DA6-4159-9020-DBAE19ECF7C3}" name="ROSTER" dataDxfId="159">
      <calculatedColumnFormula>ISNUMBER(_xlfn.XLOOKUP(CONTROL[[#This Row],[VEHIDCODE]],roster!A:A,roster!B:B))</calculatedColumnFormula>
    </tableColumn>
    <tableColumn id="10" xr3:uid="{7783F713-60B4-45CF-AEB3-EE02271B3D6F}" name="GRAPHICS_PROPERTIES" dataDxfId="158">
      <calculatedColumnFormula>ISNUMBER(_xlfn.XMATCH(CONTROL[[#This Row],[VEHIDCODE]],GRAPHICS_PROPERTIES[VEHIDCODE],0))</calculatedColumnFormula>
    </tableColumn>
    <tableColumn id="9" xr3:uid="{7B229E25-CF6B-4C5F-B4A4-FEC34CB93E9B}" name="ITEM" dataDxfId="157">
      <calculatedColumnFormula>"item_"&amp;CONTROL[[#This Row],[VEHIDCODE]]</calculatedColumnFormula>
    </tableColumn>
    <tableColumn id="8" xr3:uid="{327E5CDA-51AE-4721-ACBD-5E8C3D890998}" name="NAME" dataDxfId="15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7" totalsRowShown="0" headerRowDxfId="82">
  <autoFilter ref="A1:AG827" xr:uid="{6DCCB998-B5D1-4B0D-8701-BC0E171A94CA}"/>
  <tableColumns count="33">
    <tableColumn id="1" xr3:uid="{173D09BF-30BA-4FF2-B4FE-F09962415DA2}" name="VEHIDCODE" dataDxfId="8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80"/>
    <tableColumn id="19" xr3:uid="{FD65B400-35DE-464D-97AA-B59BB7DAE7DB}" name="COUNTRY_CODE" dataDxfId="7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78"/>
    <tableColumn id="9" xr3:uid="{0BFBDA13-AA0B-4A8D-94FE-11C403AB0DE8}" name="LOADINGSPEED" dataDxfId="77"/>
    <tableColumn id="58" xr3:uid="{37DCFD33-B11D-4E3C-9899-EA36DBD4DBC0}" name="LOADINGSPEED_VALUE" dataDxfId="7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7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74"/>
    <tableColumn id="24" xr3:uid="{FFD5C22B-7B16-440D-91CC-48C8761050DA}" name="TE_COEFFICIENT_CALC" dataDxfId="7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2"/>
    <tableColumn id="14" xr3:uid="{123AAB87-6D4C-406A-A5E1-A61DC2DDFFEE}" name="TE_COEFFICIENT" dataDxfId="7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70"/>
    <tableColumn id="18" xr3:uid="{EB0CE86B-9E06-4ADD-85C1-EA622DE32153}" name="WAGON_CAPACITY" dataDxfId="69"/>
    <tableColumn id="15" xr3:uid="{3558C882-A912-4F84-BDE6-BC0A2A676C4B}" name="WAGON_LENGTH" dataDxfId="68"/>
    <tableColumn id="71" xr3:uid="{3D8AA890-C1F2-4EBD-90E3-21F948960989}" name="PURCHASE_CARGO_CAPACITY" dataDxfId="67"/>
    <tableColumn id="30" xr3:uid="{235283C1-F061-434B-8C4A-AD474FB16FE8}" name="REGION1" dataDxfId="66"/>
    <tableColumn id="29" xr3:uid="{19EC58E3-4FB9-44BC-BFFA-4C7DCCC53DA8}" name="REGION2" dataDxfId="65"/>
    <tableColumn id="27" xr3:uid="{C00DC499-0060-4E48-A71D-AE565097985F}" name="REGION3" dataDxfId="64"/>
    <tableColumn id="56" xr3:uid="{188F57E8-1157-47DF-9E8F-B5F737649F6C}" name="PURCHASECOST_VALUE" dataDxfId="63"/>
    <tableColumn id="28" xr3:uid="{B24767B4-97D7-4814-9BBD-1231E1A0A0A7}" name="RUNNINGCOST_VALUE" dataDxfId="62"/>
    <tableColumn id="22" xr3:uid="{68BAA036-8189-4A5A-B0EF-3F284C15672C}" name="COST_CAT" dataDxfId="6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7" totalsRowShown="0" headerRowDxfId="41">
  <autoFilter ref="A1:AJ827" xr:uid="{6DCCB998-B5D1-4B0D-8701-BC0E171A94CA}"/>
  <tableColumns count="36">
    <tableColumn id="1" xr3:uid="{CDEAF13A-A986-4600-A992-A08C1CA6142C}" name="VEHIDCODE" dataDxfId="40"/>
    <tableColumn id="55" xr3:uid="{839D134C-3027-42F4-BA04-3BA8BFF71A3B}" name="TRACK_TYPE_STANDARD_GAUGE_RAILTYPE_OHLE" dataDxfId="39"/>
    <tableColumn id="54" xr3:uid="{5D83FD10-ABCB-4FE7-A7DB-4A857A58D719}" name="TRACK_TYPE_STANDARD_GAUGE_RAILTYPE_25KV" dataDxfId="38"/>
    <tableColumn id="53" xr3:uid="{56183170-0B7F-45FB-91B4-356C62C246AD}" name="TRACK_TYPE_STANDARD_GAUGE_RAILTYPE_15KV" dataDxfId="37"/>
    <tableColumn id="52" xr3:uid="{5B71BE07-0EB9-4DEB-A8E8-252C9D979AC2}" name="TRACK_TYPE_STANDARD_GAUGE_RAILTYPE_3KV" dataDxfId="36"/>
    <tableColumn id="51" xr3:uid="{5A6435EB-111E-4AED-A8E1-AEFF82C34393}" name="TRACK_TYPE_STANDARD_GAUGE_RAILTYPE_1500V" dataDxfId="35"/>
    <tableColumn id="50" xr3:uid="{14CA70EA-0EE7-44BA-9D77-FC902C0596DD}" name="TRACK_TYPE_STANDARD_GAUGE_RAILTYPE_3RD" dataDxfId="34"/>
    <tableColumn id="49" xr3:uid="{3A15447A-9663-43FB-8EFF-8F8034548FB0}" name="TRACK_TYPE_STANDARD_GAUGE_RAILTYPE_4TH" dataDxfId="33"/>
    <tableColumn id="48" xr3:uid="{E44E324A-492F-4566-8DC9-0A6F58F40EA9}" name="TRACK_TYPE_STANDARD_GAUGE_RAILTYPE_DUAL" dataDxfId="32"/>
    <tableColumn id="47" xr3:uid="{FE3223C6-E685-4456-91E9-10AEB3B699E7}" name="TRACK_TYPE_STANDARD_GAUGE_RAILTYPE_NONE" dataDxfId="31"/>
    <tableColumn id="46" xr3:uid="{D39969E8-C0CA-4A59-A556-D29019991069}" name="TRACK_TYPE_NARROW_GAUGE_RAILTYPE_OHLE" dataDxfId="30"/>
    <tableColumn id="45" xr3:uid="{5266A9E9-D840-4460-AB81-A081897372F3}" name="TRACK_TYPE_NARROW_GAUGE_RAILTYPE_25KV" dataDxfId="29"/>
    <tableColumn id="44" xr3:uid="{7B4C44D1-C745-4291-86A0-777579742A84}" name="TRACK_TYPE_NARROW_GAUGE_RAILTYPE_15KV" dataDxfId="28"/>
    <tableColumn id="43" xr3:uid="{8736D285-A163-4DBE-84E1-870118B47F14}" name="TRACK_TYPE_NARROW_GAUGE_RAILTYPE_3KV" dataDxfId="27"/>
    <tableColumn id="42" xr3:uid="{6FBBA2FB-4743-4072-B4E0-C42BBDA1CC47}" name="TRACK_TYPE_NARROW_GAUGE_RAILTYPE_1500V" dataDxfId="26"/>
    <tableColumn id="41" xr3:uid="{D3ED2E70-19BF-4D92-A76B-0F0F03D31947}" name="TRACK_TYPE_NARROW_GAUGE_RAILTYPE_3RD" dataDxfId="25"/>
    <tableColumn id="40" xr3:uid="{F38AE7AF-B798-40A5-992A-13685296E710}" name="TRACK_TYPE_NARROW_GAUGE_RAILTYPE_4TH" dataDxfId="24"/>
    <tableColumn id="39" xr3:uid="{16463F64-2239-4E7F-8257-47F324BF8959}" name="TRACK_TYPE_NARROW_GAUGE_RAILTYPE_DUAL" dataDxfId="23"/>
    <tableColumn id="38" xr3:uid="{97037A15-9172-4057-863E-582804353817}" name="TRACK_TYPE_NARROW_GAUGE_RAILTYPE_NONE" dataDxfId="22"/>
    <tableColumn id="37" xr3:uid="{24999D59-5A4F-4A21-B8B4-EBDBF9F8BF1E}" name="TRACK_TYPE_BROAD_GAUGE_RAILTYPE_OHLE" dataDxfId="21"/>
    <tableColumn id="36" xr3:uid="{31AB3927-D18B-49AD-8EF5-C7E9FF4CEDF3}" name="TRACK_TYPE_BROAD_GAUGE_RAILTYPE_25KV" dataDxfId="20"/>
    <tableColumn id="35" xr3:uid="{CB3432E7-4DAE-4807-9CE5-4CB1ACECD395}" name="TRACK_TYPE_BROAD_GAUGE_RAILTYPE_15KV" dataDxfId="19"/>
    <tableColumn id="34" xr3:uid="{E3936FE4-2B46-4DC0-84C0-44C7892A0927}" name="TRACK_TYPE_BROAD_GAUGE_RAILTYPE_3KV" dataDxfId="18"/>
    <tableColumn id="33" xr3:uid="{A5FAA105-CF81-4A75-8967-5721104454E8}" name="TRACK_TYPE_BROAD_GAUGE_RAILTYPE_1500V" dataDxfId="17"/>
    <tableColumn id="32" xr3:uid="{439CDFDE-6BFC-446C-87CF-28C8FF65FCE0}" name="TRACK_TYPE_BROAD_GAUGE_RAILTYPE_3RD" dataDxfId="16"/>
    <tableColumn id="31" xr3:uid="{219AB5E3-CDFF-41B3-BD58-F7427606D15F}" name="TRACK_TYPE_BROAD_GAUGE_RAILTYPE_4TH" dataDxfId="15"/>
    <tableColumn id="30" xr3:uid="{01529768-EA0D-4662-B835-74641896CE3F}" name="TRACK_TYPE_BROAD_GAUGE_RAILTYPE_DUAL" dataDxfId="14"/>
    <tableColumn id="29" xr3:uid="{32C384AB-18DB-4161-B29B-A363A2547BB2}" name="TRACK_TYPE_BROAD_GAUGE_RAILTYPE_NONE" dataDxfId="13"/>
    <tableColumn id="26" xr3:uid="{1CFC6F26-22A8-42EE-972B-0F7ED6623B5A}" name="TRACK_TYPE_MONO" dataDxfId="12"/>
    <tableColumn id="25" xr3:uid="{62939270-15C1-494E-9C53-6EA9E8209C3B}" name="TRACK_TYPE_MGLV" dataDxfId="11"/>
    <tableColumn id="24" xr3:uid="{9DA86EDA-F2AB-4C2D-918E-5260313FD8B3}" name="TRACK_TYPE_MTRO" dataDxfId="10"/>
    <tableColumn id="21" xr3:uid="{E6F11214-E912-4D1C-980D-A111C93B0BED}" name="CHECK_ANY_TT" dataDxfId="9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5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7" totalsRowShown="0" headerRowDxfId="155">
  <autoFilter ref="A1:H827" xr:uid="{6DCCB998-B5D1-4B0D-8701-BC0E171A94CA}"/>
  <tableColumns count="8">
    <tableColumn id="1" xr3:uid="{327CDBB6-E1D6-4B9F-9625-C81419775134}" name="VEHIDCODE" dataDxfId="154"/>
    <tableColumn id="101" xr3:uid="{78690AEB-EA8F-4FC7-9651-C84D8F318EE9}" name="MISC_FLAGS_TRAIN_FLAG_2CC" dataDxfId="153"/>
    <tableColumn id="100" xr3:uid="{90DBB1A2-A86F-42C6-B2B8-64A2FD6690AB}" name="MISC_FLAGS_TRAIN_FLAG_MU" dataDxfId="152"/>
    <tableColumn id="99" xr3:uid="{DA6644B2-20CC-47E2-B1B5-10210B43738A}" name="MISC_FLAGS_TRAIN_FLAG_AUTOREFIT" dataDxfId="151"/>
    <tableColumn id="2" xr3:uid="{A8915D24-2B2E-4529-B3DE-30BEE23C370F}" name="VEHICLE_FLAG_TRAIN_HAS_CAB" dataDxfId="150"/>
    <tableColumn id="108" xr3:uid="{980A5687-92C0-42A0-811D-C3D4EA0876D1}" name="VISUAL_EFFECT_1" dataDxfId="4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4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7" totalsRowShown="0" headerRowDxfId="149">
  <autoFilter ref="A1:D827" xr:uid="{6DCCB998-B5D1-4B0D-8701-BC0E171A94CA}"/>
  <tableColumns count="4">
    <tableColumn id="1" xr3:uid="{0B6094CF-6CA6-410A-A041-C85FACC0820E}" name="VEHIDCODE" dataDxfId="148"/>
    <tableColumn id="7" xr3:uid="{3D8CAD9A-C0D1-459B-8D7C-DFC931F5B279}" name="PANTOGRAPH_POSITION" dataDxfId="147"/>
    <tableColumn id="6" xr3:uid="{E0637D36-B3FC-4486-87F9-603EB2076188}" name="TEMPLATE_ID" dataDxfId="146"/>
    <tableColumn id="9" xr3:uid="{FEF2BF9C-74F1-405C-9871-E4301805E364}" name="TEMPLATE_AMENDMENT_CODE" dataDxfId="1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4" headerRowBorderDxfId="143" tableBorderDxfId="14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1" headerRowBorderDxfId="140" tableBorderDxfId="13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38" dataDxfId="137" tableBorderDxfId="136">
  <autoFilter ref="A1:A17" xr:uid="{0B243503-43AD-403A-90CE-B69D05B25C30}"/>
  <tableColumns count="1">
    <tableColumn id="1" xr3:uid="{3709FB1B-DE08-4A3E-8CA6-F5322D2A3261}" name="VALID_REGIONS" dataDxfId="13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4" dataDxfId="13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2"/>
    <tableColumn id="2" xr3:uid="{CCC9A744-4F42-4023-A516-9395213016EB}" name="COUNTRY_DESCRIPTION" dataDxfId="131"/>
    <tableColumn id="3" xr3:uid="{01E32DA0-BF93-49AA-BE03-33EF914A0BCC}" name="COUNTS" dataDxfId="13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8" headerRowBorderDxfId="129" tableBorderDxfId="127" totalsRowBorderDxfId="126">
  <autoFilter ref="K1:K24" xr:uid="{686D0694-AFBC-4B91-A3D3-72E1CCF00B7D}"/>
  <tableColumns count="1">
    <tableColumn id="1" xr3:uid="{7F0999BD-E0C9-463F-A054-2DA49D41A9EE}" name="VEHID_ID_CATEGORY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4"/>
    <tableColumn id="4" xr3:uid="{3DDC8685-BA3D-40E8-A910-1E59013A762D}" name="Range End" dataDxfId="12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2" dataDxfId="121">
  <autoFilter ref="A1:N16" xr:uid="{863AE95D-BE34-47D8-B01B-1170BF25FDF2}"/>
  <tableColumns count="14">
    <tableColumn id="1" xr3:uid="{5F487593-655E-41B5-B155-86F88B53946D}" name="COST_CAT" dataDxfId="120"/>
    <tableColumn id="2" xr3:uid="{33F9C454-EDB2-4DA7-BF7A-64CBC12EBC9B}" name="P1" dataDxfId="119"/>
    <tableColumn id="3" xr3:uid="{25FB11D0-082D-4DE3-9821-1367939D8742}" name="P2" dataDxfId="118"/>
    <tableColumn id="4" xr3:uid="{19CDF402-C641-4217-A953-2A851DF85ADB}" name="P3" dataDxfId="117"/>
    <tableColumn id="5" xr3:uid="{1EF59E2C-32FF-4712-AD89-CBF77E507832}" name="P4" dataDxfId="116"/>
    <tableColumn id="6" xr3:uid="{04250F90-183D-4392-BE27-C420F795E1DC}" name="P5" dataDxfId="115"/>
    <tableColumn id="7" xr3:uid="{F7062C4F-5B57-4110-A21E-BDC8820130D9}" name="P6" dataDxfId="114"/>
    <tableColumn id="8" xr3:uid="{B47621AA-9D6F-4396-B3D9-BD8CF656F30E}" name="P7" dataDxfId="113"/>
    <tableColumn id="9" xr3:uid="{7055539E-C4C8-407D-91F5-6CB021EDE84F}" name="R1" dataDxfId="112"/>
    <tableColumn id="10" xr3:uid="{D17981EB-EB8A-4630-958C-3792D72CD53F}" name="R2" dataDxfId="111"/>
    <tableColumn id="11" xr3:uid="{85EDD15A-812B-4C42-B03A-D558B807622E}" name="R3" dataDxfId="110"/>
    <tableColumn id="12" xr3:uid="{61A73E38-33EC-41D1-B899-56F15EDBDD59}" name="R4" dataDxfId="109"/>
    <tableColumn id="13" xr3:uid="{7A83ADCF-C18F-402F-81A8-0F935E928ED9}" name="R5" dataDxfId="108"/>
    <tableColumn id="14" xr3:uid="{1140F6C7-9C3D-4800-9F3B-DC6E6EBE9541}" name="R6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7"/>
  <sheetViews>
    <sheetView tabSelected="1" workbookViewId="0">
      <pane xSplit="1" ySplit="1" topLeftCell="B804" activePane="bottomRight" state="frozen"/>
      <selection pane="topRight" activeCell="B1" sqref="B1"/>
      <selection pane="bottomLeft" activeCell="A2" sqref="A2"/>
      <selection pane="bottomRight" activeCell="B827" sqref="B82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  <row r="824" spans="1:16">
      <c r="A824" t="s">
        <v>3141</v>
      </c>
      <c r="B824" s="31" t="str">
        <f>_xlfn.TEXTAFTER(CONTROL[[#This Row],[VEHIDCODE]],"_")</f>
        <v>Germany_DR_130_DBAG_230</v>
      </c>
      <c r="C824" t="s">
        <v>720</v>
      </c>
      <c r="D824" t="s">
        <v>939</v>
      </c>
      <c r="E824">
        <f ca="1">_xlfn.MAXIFS(INDIRECT("E2:E"&amp;ROW()-1,TRUE),INDIRECT("D2:D"&amp;ROW()-1,TRUE),CONTROL[[#This Row],[VEHID_ID_CATEGORY]])+1</f>
        <v>5140</v>
      </c>
      <c r="F824" s="45" t="s">
        <v>3142</v>
      </c>
      <c r="G824" t="s">
        <v>3143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3145</v>
      </c>
      <c r="B825" s="31" t="str">
        <f>_xlfn.TEXTAFTER(CONTROL[[#This Row],[VEHIDCODE]],"_")</f>
        <v>USA_UP_7000_GE_AC6000CW</v>
      </c>
      <c r="C825" t="s">
        <v>720</v>
      </c>
      <c r="D825" t="s">
        <v>939</v>
      </c>
      <c r="E825">
        <f ca="1">_xlfn.MAXIFS(INDIRECT("E2:E"&amp;ROW()-1,TRUE),INDIRECT("D2:D"&amp;ROW()-1,TRUE),CONTROL[[#This Row],[VEHID_ID_CATEGORY]])+1</f>
        <v>5141</v>
      </c>
      <c r="F825" s="45" t="s">
        <v>3146</v>
      </c>
      <c r="G825" t="s">
        <v>3144</v>
      </c>
      <c r="H825" s="47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8" t="b">
        <f>ISNUMBER(_xlfn.XMATCH(CONTROL[[#This Row],[VEHIDCODE]],TRACK_TYPES[VEHIDCODE],0))</f>
        <v>1</v>
      </c>
      <c r="K825" s="48" t="b">
        <f>ISNUMBER(_xlfn.XMATCH(CONTROL[[#This Row],[VEHIDCODE]],PROPERTIES[VEHIDCODE],0))</f>
        <v>1</v>
      </c>
      <c r="L825" s="48" t="b">
        <f>ISNUMBER(_xlfn.XMATCH(CONTROL[[#This Row],[VEHIDCODE]],FLAGS[VEHIDCODE],0))</f>
        <v>1</v>
      </c>
      <c r="M825" s="48" t="b">
        <f>ISNUMBER(_xlfn.XLOOKUP(CONTROL[[#This Row],[VEHIDCODE]],roster!A:A,roster!B:B))</f>
        <v>1</v>
      </c>
      <c r="N825" s="48" t="b">
        <f>ISNUMBER(_xlfn.XMATCH(CONTROL[[#This Row],[VEHIDCODE]],GRAPHICS_PROPERTIES[VEHIDCODE],0))</f>
        <v>1</v>
      </c>
      <c r="O825" s="49" t="str">
        <f>"item_"&amp;CONTROL[[#This Row],[VEHIDCODE]]</f>
        <v>item_diesel_USA_UP_7000_GE_AC6000CW</v>
      </c>
      <c r="P825" s="49" t="str">
        <f>"str_"&amp;CONTROL[[#This Row],[VEHIDCODE]]</f>
        <v>str_diesel_USA_UP_7000_GE_AC6000CW</v>
      </c>
    </row>
    <row r="826" spans="1:16">
      <c r="A826" t="s">
        <v>3147</v>
      </c>
      <c r="B826" s="31" t="str">
        <f>_xlfn.TEXTAFTER(CONTROL[[#This Row],[VEHIDCODE]],"_")</f>
        <v>Australia_BHP_6071_GE_AC6000CW</v>
      </c>
      <c r="C826" t="s">
        <v>720</v>
      </c>
      <c r="D826" t="s">
        <v>939</v>
      </c>
      <c r="E826">
        <f ca="1">_xlfn.MAXIFS(INDIRECT("E2:E"&amp;ROW()-1,TRUE),INDIRECT("D2:D"&amp;ROW()-1,TRUE),CONTROL[[#This Row],[VEHID_ID_CATEGORY]])+1</f>
        <v>5142</v>
      </c>
      <c r="F826" s="45" t="s">
        <v>3148</v>
      </c>
      <c r="G826" t="s">
        <v>3144</v>
      </c>
      <c r="H826" s="47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8" t="b">
        <f>ISNUMBER(_xlfn.XMATCH(CONTROL[[#This Row],[VEHIDCODE]],TRACK_TYPES[VEHIDCODE],0))</f>
        <v>1</v>
      </c>
      <c r="K826" s="48" t="b">
        <f>ISNUMBER(_xlfn.XMATCH(CONTROL[[#This Row],[VEHIDCODE]],PROPERTIES[VEHIDCODE],0))</f>
        <v>1</v>
      </c>
      <c r="L826" s="48" t="b">
        <f>ISNUMBER(_xlfn.XMATCH(CONTROL[[#This Row],[VEHIDCODE]],FLAGS[VEHIDCODE],0))</f>
        <v>1</v>
      </c>
      <c r="M826" s="48" t="b">
        <f>ISNUMBER(_xlfn.XLOOKUP(CONTROL[[#This Row],[VEHIDCODE]],roster!A:A,roster!B:B))</f>
        <v>1</v>
      </c>
      <c r="N826" s="48" t="b">
        <f>ISNUMBER(_xlfn.XMATCH(CONTROL[[#This Row],[VEHIDCODE]],GRAPHICS_PROPERTIES[VEHIDCODE],0))</f>
        <v>1</v>
      </c>
      <c r="O826" s="49" t="str">
        <f>"item_"&amp;CONTROL[[#This Row],[VEHIDCODE]]</f>
        <v>item_diesel_Australia_BHP_6071_GE_AC6000CW</v>
      </c>
      <c r="P826" s="49" t="str">
        <f>"str_"&amp;CONTROL[[#This Row],[VEHIDCODE]]</f>
        <v>str_diesel_Australia_BHP_6071_GE_AC6000CW</v>
      </c>
    </row>
    <row r="827" spans="1:16">
      <c r="A827" t="s">
        <v>3149</v>
      </c>
      <c r="B827" s="31" t="str">
        <f>_xlfn.TEXTAFTER(CONTROL[[#This Row],[VEHIDCODE]],"_")</f>
        <v>Egypt_Stephenson_Class_192</v>
      </c>
      <c r="C827" t="s">
        <v>719</v>
      </c>
      <c r="D827" t="s">
        <v>937</v>
      </c>
      <c r="E827">
        <f ca="1">_xlfn.MAXIFS(INDIRECT("E2:E"&amp;ROW()-1,TRUE),INDIRECT("D2:D"&amp;ROW()-1,TRUE),CONTROL[[#This Row],[VEHID_ID_CATEGORY]])+1</f>
        <v>4120</v>
      </c>
      <c r="F827" s="45" t="s">
        <v>3150</v>
      </c>
      <c r="G827" t="s">
        <v>1738</v>
      </c>
      <c r="H827" s="47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8" t="b">
        <f>ISNUMBER(_xlfn.XMATCH(CONTROL[[#This Row],[VEHIDCODE]],TRACK_TYPES[VEHIDCODE],0))</f>
        <v>1</v>
      </c>
      <c r="K827" s="48" t="b">
        <f>ISNUMBER(_xlfn.XMATCH(CONTROL[[#This Row],[VEHIDCODE]],PROPERTIES[VEHIDCODE],0))</f>
        <v>1</v>
      </c>
      <c r="L827" s="48" t="b">
        <f>ISNUMBER(_xlfn.XMATCH(CONTROL[[#This Row],[VEHIDCODE]],FLAGS[VEHIDCODE],0))</f>
        <v>1</v>
      </c>
      <c r="M827" s="48" t="b">
        <f>ISNUMBER(_xlfn.XLOOKUP(CONTROL[[#This Row],[VEHIDCODE]],roster!A:A,roster!B:B))</f>
        <v>1</v>
      </c>
      <c r="N827" s="48" t="b">
        <f>ISNUMBER(_xlfn.XMATCH(CONTROL[[#This Row],[VEHIDCODE]],GRAPHICS_PROPERTIES[VEHIDCODE],0))</f>
        <v>1</v>
      </c>
      <c r="O827" s="49" t="str">
        <f>"item_"&amp;CONTROL[[#This Row],[VEHIDCODE]]</f>
        <v>item_steam_Egypt_Stephenson_Class_192</v>
      </c>
      <c r="P827" s="49" t="str">
        <f>"str_"&amp;CONTROL[[#This Row],[VEHIDCODE]]</f>
        <v>str_steam_Egypt_Stephenson_Class_192</v>
      </c>
    </row>
  </sheetData>
  <conditionalFormatting sqref="F1:F1048576">
    <cfRule type="containsText" dxfId="106" priority="1" operator="containsText" text=")">
      <formula>NOT(ISERROR(SEARCH(")",F1)))</formula>
    </cfRule>
    <cfRule type="containsText" dxfId="105" priority="2" operator="containsText" text="(">
      <formula>NOT(ISERROR(SEARCH("(",F1)))</formula>
    </cfRule>
  </conditionalFormatting>
  <conditionalFormatting sqref="H2:H827">
    <cfRule type="containsText" dxfId="104" priority="3" operator="containsText" text="FALSE">
      <formula>NOT(ISERROR(SEARCH("FALSE",H2)))</formula>
    </cfRule>
  </conditionalFormatting>
  <conditionalFormatting sqref="I1:I827">
    <cfRule type="containsText" dxfId="103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102" priority="5" operator="equal">
      <formula>FALSE</formula>
    </cfRule>
  </conditionalFormatting>
  <dataValidations count="1">
    <dataValidation type="list" allowBlank="1" showInputMessage="1" showErrorMessage="1" sqref="D2:D827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7"/>
  <sheetViews>
    <sheetView zoomScaleNormal="100" workbookViewId="0">
      <pane xSplit="1" ySplit="1" topLeftCell="Z804" activePane="bottomRight" state="frozen"/>
      <selection pane="topRight" activeCell="B1" sqref="B1"/>
      <selection pane="bottomLeft" activeCell="A2" sqref="A2"/>
      <selection pane="bottomRight" activeCell="A827" sqref="A82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3141</v>
      </c>
      <c r="B824">
        <v>1973</v>
      </c>
      <c r="C824">
        <v>0</v>
      </c>
      <c r="D824" s="48" t="s">
        <v>1805</v>
      </c>
      <c r="E824" s="48" t="str">
        <f>_xlfn.XLOOKUP(PROPERTIES[[#This Row],[COUNTRY]],COUNTRIES[COUNTRY_DESCRIPTION],COUNTRIES[COUNTRY_LABEL],"")</f>
        <v>DE</v>
      </c>
      <c r="F824" t="s">
        <v>34</v>
      </c>
      <c r="G824" t="s">
        <v>19</v>
      </c>
      <c r="H824">
        <v>0</v>
      </c>
      <c r="I824">
        <v>8</v>
      </c>
      <c r="J824" s="48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>
        <v>40</v>
      </c>
      <c r="W824" s="9">
        <v>0</v>
      </c>
      <c r="X824" s="9">
        <v>0</v>
      </c>
      <c r="Y824" s="10">
        <v>0</v>
      </c>
      <c r="Z824" t="s">
        <v>903</v>
      </c>
      <c r="AA824" t="s">
        <v>902</v>
      </c>
      <c r="AB824" s="2" t="s">
        <v>920</v>
      </c>
      <c r="AC824" s="9" t="s">
        <v>986</v>
      </c>
      <c r="AD824" s="9" t="s">
        <v>987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3145</v>
      </c>
      <c r="B825">
        <v>1995</v>
      </c>
      <c r="C825">
        <v>0</v>
      </c>
      <c r="D825" s="48" t="s">
        <v>1979</v>
      </c>
      <c r="E825" s="48" t="str">
        <f>_xlfn.XLOOKUP(PROPERTIES[[#This Row],[COUNTRY]],COUNTRIES[COUNTRY_DESCRIPTION],COUNTRIES[COUNTRY_LABEL],"")</f>
        <v>US</v>
      </c>
      <c r="F825" t="s">
        <v>34</v>
      </c>
      <c r="G825" t="s">
        <v>19</v>
      </c>
      <c r="H825">
        <v>0</v>
      </c>
      <c r="I825">
        <v>8</v>
      </c>
      <c r="J825" s="48">
        <v>10</v>
      </c>
      <c r="K825" s="2" t="s">
        <v>19</v>
      </c>
      <c r="L825" s="48">
        <f>_xlfn.XLOOKUP("LOADINGSPEEDDEF_"&amp;PROPERTIES[[#This Row],[LOADINGSPEED]],LOADINGSPEEDDEF[TYPE],LOADINGSPEEDDEF[SPEED])</f>
        <v>0</v>
      </c>
      <c r="M825">
        <v>45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38">
        <v>40</v>
      </c>
      <c r="W825" s="11">
        <v>0</v>
      </c>
      <c r="X825" s="9">
        <v>2</v>
      </c>
      <c r="Y825" s="10">
        <v>0</v>
      </c>
      <c r="Z825" t="s">
        <v>908</v>
      </c>
      <c r="AA825" t="s">
        <v>902</v>
      </c>
      <c r="AB825" s="2" t="s">
        <v>920</v>
      </c>
      <c r="AC825" s="9" t="s">
        <v>986</v>
      </c>
      <c r="AD825" s="9" t="s">
        <v>987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3147</v>
      </c>
      <c r="B826">
        <v>1995</v>
      </c>
      <c r="C826">
        <v>0</v>
      </c>
      <c r="D826" s="48" t="s">
        <v>1761</v>
      </c>
      <c r="E826" s="48" t="str">
        <f>_xlfn.XLOOKUP(PROPERTIES[[#This Row],[COUNTRY]],COUNTRIES[COUNTRY_DESCRIPTION],COUNTRIES[COUNTRY_LABEL],"")</f>
        <v>AU</v>
      </c>
      <c r="F826" t="s">
        <v>34</v>
      </c>
      <c r="G826" t="s">
        <v>19</v>
      </c>
      <c r="H826">
        <v>0</v>
      </c>
      <c r="I826">
        <v>8</v>
      </c>
      <c r="J826" s="48">
        <v>10</v>
      </c>
      <c r="K826" s="2" t="s">
        <v>19</v>
      </c>
      <c r="L826" s="48">
        <f>_xlfn.XLOOKUP("LOADINGSPEEDDEF_"&amp;PROPERTIES[[#This Row],[LOADINGSPEED]],LOADINGSPEEDDEF[TYPE],LOADINGSPEEDDEF[SPEED])</f>
        <v>0</v>
      </c>
      <c r="M826">
        <v>45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38">
        <v>40</v>
      </c>
      <c r="W826" s="11">
        <v>0</v>
      </c>
      <c r="X826" s="9">
        <v>2</v>
      </c>
      <c r="Y826" s="10">
        <v>0</v>
      </c>
      <c r="Z826" t="s">
        <v>905</v>
      </c>
      <c r="AA826" t="s">
        <v>902</v>
      </c>
      <c r="AB826" s="2" t="s">
        <v>920</v>
      </c>
      <c r="AC826" s="9" t="s">
        <v>986</v>
      </c>
      <c r="AD826" s="9" t="s">
        <v>987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3149</v>
      </c>
      <c r="B827">
        <v>1867</v>
      </c>
      <c r="C827">
        <v>0</v>
      </c>
      <c r="D827" s="48" t="s">
        <v>1813</v>
      </c>
      <c r="E827" s="48" t="str">
        <f>_xlfn.XLOOKUP(PROPERTIES[[#This Row],[COUNTRY]],COUNTRIES[COUNTRY_DESCRIPTION],COUNTRIES[COUNTRY_LABEL],"")</f>
        <v>EG</v>
      </c>
      <c r="F827" t="s">
        <v>22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>
        <v>40</v>
      </c>
      <c r="W827" s="9">
        <v>0</v>
      </c>
      <c r="X827" s="9">
        <v>0</v>
      </c>
      <c r="Y827" s="10">
        <v>0</v>
      </c>
      <c r="Z827" t="s">
        <v>906</v>
      </c>
      <c r="AA827" t="s">
        <v>902</v>
      </c>
      <c r="AB827" s="2" t="s">
        <v>920</v>
      </c>
      <c r="AC827" s="9" t="s">
        <v>984</v>
      </c>
      <c r="AD827" s="9" t="s">
        <v>985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</sheetData>
  <phoneticPr fontId="18" type="noConversion"/>
  <conditionalFormatting sqref="S796:U799 S802:U803 S805:U806 S822:U823 S825:U825 R1:T825 S828:U1048576 R826:U826 R827:T827">
    <cfRule type="cellIs" dxfId="58" priority="45" operator="equal">
      <formula>0</formula>
    </cfRule>
  </conditionalFormatting>
  <conditionalFormatting sqref="Z572:Z586">
    <cfRule type="cellIs" dxfId="101" priority="12" operator="equal">
      <formula>FALSE</formula>
    </cfRule>
  </conditionalFormatting>
  <conditionalFormatting sqref="Z653:Z718">
    <cfRule type="cellIs" dxfId="100" priority="13" operator="equal">
      <formula>FALSE</formula>
    </cfRule>
  </conditionalFormatting>
  <conditionalFormatting sqref="Z1:AB571 AA572:AB586 Z587:AB652 AA653:AB718 Z719:AB798 AO792:AQ1048576">
    <cfRule type="cellIs" dxfId="99" priority="36" operator="equal">
      <formula>FALSE</formula>
    </cfRule>
  </conditionalFormatting>
  <conditionalFormatting sqref="Z800:AB802">
    <cfRule type="cellIs" dxfId="98" priority="32" operator="equal">
      <formula>FALSE</formula>
    </cfRule>
  </conditionalFormatting>
  <conditionalFormatting sqref="Z804:AB820">
    <cfRule type="cellIs" dxfId="97" priority="8" operator="equal">
      <formula>FALSE</formula>
    </cfRule>
  </conditionalFormatting>
  <conditionalFormatting sqref="AA803:AB803">
    <cfRule type="cellIs" dxfId="96" priority="31" operator="equal">
      <formula>FALSE</formula>
    </cfRule>
  </conditionalFormatting>
  <conditionalFormatting sqref="AG2:AG827">
    <cfRule type="containsText" dxfId="57" priority="30" operator="containsText" text="FALSE">
      <formula>NOT(ISERROR(SEARCH("FALSE",AG2)))</formula>
    </cfRule>
  </conditionalFormatting>
  <conditionalFormatting sqref="AN790:AP791">
    <cfRule type="cellIs" dxfId="95" priority="46" operator="equal">
      <formula>FALSE</formula>
    </cfRule>
  </conditionalFormatting>
  <conditionalFormatting sqref="Z821:AB821">
    <cfRule type="cellIs" dxfId="85" priority="7" operator="equal">
      <formula>FALSE</formula>
    </cfRule>
  </conditionalFormatting>
  <conditionalFormatting sqref="AA822:AA823">
    <cfRule type="cellIs" dxfId="83" priority="6" operator="equal">
      <formula>FALSE</formula>
    </cfRule>
  </conditionalFormatting>
  <conditionalFormatting sqref="Z824:AB824">
    <cfRule type="cellIs" dxfId="54" priority="5" operator="equal">
      <formula>FALSE</formula>
    </cfRule>
  </conditionalFormatting>
  <conditionalFormatting sqref="Z825:Z826">
    <cfRule type="cellIs" dxfId="51" priority="4" operator="equal">
      <formula>FALSE</formula>
    </cfRule>
  </conditionalFormatting>
  <conditionalFormatting sqref="AB825:AB826">
    <cfRule type="cellIs" dxfId="50" priority="3" operator="equal">
      <formula>FALSE</formula>
    </cfRule>
  </conditionalFormatting>
  <conditionalFormatting sqref="AA825:AA826">
    <cfRule type="cellIs" dxfId="49" priority="2" operator="equal">
      <formula>FALSE</formula>
    </cfRule>
  </conditionalFormatting>
  <conditionalFormatting sqref="Z827:AB827">
    <cfRule type="cellIs" dxfId="1" priority="1" operator="equal">
      <formula>FALSE</formula>
    </cfRule>
  </conditionalFormatting>
  <dataValidations count="17">
    <dataValidation type="whole" allowBlank="1" showInputMessage="1" showErrorMessage="1" sqref="C2:C827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H2:H827 W2:Y827 P2:Q827 N827" xr:uid="{699258F9-37E8-437E-9547-ACEA0AFD7DA4}">
      <formula1>0</formula1>
    </dataValidation>
    <dataValidation type="decimal" operator="greaterThanOrEqual" allowBlank="1" showInputMessage="1" showErrorMessage="1" sqref="O2:O827 R2:U827" xr:uid="{F342F512-E760-4CD3-801B-E5B9CF70B7FD}">
      <formula1>0</formula1>
    </dataValidation>
    <dataValidation type="whole" allowBlank="1" showInputMessage="1" showErrorMessage="1" sqref="V2:V795 V797:V798 V800:V802 V804:V821 V824 V827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823 V825:V826 V828:V1048576" xr:uid="{2D963A9D-C2E3-4020-ABFA-FD04EDA25119}"/>
    <dataValidation type="list" allowBlank="1" showInputMessage="1" showErrorMessage="1" sqref="AD2:AD827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7" xr:uid="{EB4398F4-10E4-463B-A52E-1F5C116A99EF}">
      <formula1>INDIRECT("VALID_ENGINE_CLASS[ENGINE_CLASS]")</formula1>
    </dataValidation>
    <dataValidation type="list" operator="greaterThanOrEqual" allowBlank="1" showInputMessage="1" showErrorMessage="1" sqref="AC2:AC827" xr:uid="{D83E915C-A301-4BE3-9E12-6790BD0E2284}">
      <formula1>INDIRECT("VALID_PURCHASECOSTVALUE[PURCHASECOSTVALUE]")</formula1>
    </dataValidation>
    <dataValidation type="list" allowBlank="1" showInputMessage="1" showErrorMessage="1" sqref="D2:D827" xr:uid="{33652263-03A3-437A-966A-BE8C0F8BE076}">
      <formula1>INDIRECT("COUNTRIES[COUNTRY_DESCRIPTION]")</formula1>
    </dataValidation>
    <dataValidation type="list" allowBlank="1" showInputMessage="1" showErrorMessage="1" sqref="E2:E827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7" xr:uid="{F2DE25A7-EAF4-4DA6-85FD-9F7B7EE18717}">
      <formula1>"TRUE,FALSE"</formula1>
    </dataValidation>
    <dataValidation type="list" allowBlank="1" showInputMessage="1" showErrorMessage="1" sqref="Z2:AA795 Z797:AA798 Z800:AA802 AA803 Z804:AA821 AA822:AA823 Z824:AA827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" xr:uid="{B551DD41-9C48-4DAD-97B1-4A99C17182E4}">
      <formula1>INDIRECT("VALID_CONCEPTS[VALID_CONCEPTS]")</formula1>
    </dataValidation>
    <dataValidation type="whole" operator="greaterThan" allowBlank="1" showInputMessage="1" showErrorMessage="1" sqref="J2:J827" xr:uid="{870AF9CD-1FF5-4186-831D-7CE6637E02C8}">
      <formula1>1</formula1>
    </dataValidation>
    <dataValidation type="whole" allowBlank="1" showInputMessage="1" showErrorMessage="1" sqref="I2:I827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7"/>
  <sheetViews>
    <sheetView zoomScaleNormal="100" workbookViewId="0">
      <pane xSplit="1" ySplit="1" topLeftCell="G826" activePane="bottomRight" state="frozen"/>
      <selection pane="topRight" activeCell="B1" sqref="B1"/>
      <selection pane="bottomLeft" activeCell="A2" sqref="A2"/>
      <selection pane="bottomRight" activeCell="J827" sqref="J82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3141</v>
      </c>
      <c r="B824" s="48"/>
      <c r="C824" s="48"/>
      <c r="D824" s="48"/>
      <c r="E824" s="48"/>
      <c r="F824" s="48"/>
      <c r="G824" s="48"/>
      <c r="H824" s="48"/>
      <c r="I824" s="48"/>
      <c r="J824" s="47" t="b">
        <v>1</v>
      </c>
      <c r="K824" s="48"/>
      <c r="L824" s="48"/>
      <c r="M824" s="48"/>
      <c r="N824" s="48"/>
      <c r="O824" s="48"/>
      <c r="P824" s="48"/>
      <c r="Q824" s="48"/>
      <c r="R824" s="48"/>
      <c r="S824" s="47"/>
      <c r="T824" s="48"/>
      <c r="U824" s="48"/>
      <c r="V824" s="48"/>
      <c r="W824" s="48"/>
      <c r="X824" s="48"/>
      <c r="Y824" s="48"/>
      <c r="Z824" s="48"/>
      <c r="AA824" s="48"/>
      <c r="AB824" s="47"/>
      <c r="AC824" s="48"/>
      <c r="AD824" s="48"/>
      <c r="AE824" s="47"/>
      <c r="AF824" s="47" t="b">
        <f>LEN(_xlfn.CONCAT(TRACK_TYPES[[#This Row],[TRACK_TYPE_STANDARD_GAUGE_RAILTYPE_OHLE]:[TRACK_TYPE_MTRO]]))&gt;0</f>
        <v>1</v>
      </c>
      <c r="AG824" s="47" t="b" cm="1">
        <f t="array" ref="AG824">IFERROR(_xlfn.BYROW(TRACK_TYPES[[#This Row],[TRACK_TYPE_STANDARD_GAUGE_RAILTYPE_OHLE]:[TRACK_TYPE_STANDARD_GAUGE_RAILTYPE_NONE]],_xlfn.LAMBDA(_xlpm.r,OR(_xlpm.r))),FALSE)</f>
        <v>1</v>
      </c>
      <c r="AH824" s="47" t="b" cm="1">
        <f t="array" ref="AH824">IFERROR(_xlfn.BYROW(TRACK_TYPES[[#This Row],[TRACK_TYPE_NARROW_GAUGE_RAILTYPE_OHLE]:[TRACK_TYPE_NARROW_GAUGE_RAILTYPE_NONE]],_xlfn.LAMBDA(_xlpm.r,OR(_xlpm.r))),FALSE)</f>
        <v>0</v>
      </c>
      <c r="AI824" s="47" t="b" cm="1">
        <f t="array" ref="AI824">IFERROR(_xlfn.BYROW(TRACK_TYPES[[#This Row],[TRACK_TYPE_BROAD_GAUGE_RAILTYPE_OHLE]:[TRACK_TYPE_BROAD_GAUGE_RAILTYPE_NONE]],_xlfn.LAMBDA(_xlpm.r,OR(_xlpm.r))),FALSE)</f>
        <v>0</v>
      </c>
      <c r="AJ8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3145</v>
      </c>
      <c r="B825" s="48"/>
      <c r="C825" s="48"/>
      <c r="D825" s="48"/>
      <c r="E825" s="48"/>
      <c r="F825" s="48"/>
      <c r="G825" s="48"/>
      <c r="H825" s="48"/>
      <c r="I825" s="48"/>
      <c r="J825" s="47" t="b">
        <v>1</v>
      </c>
      <c r="K825" s="48"/>
      <c r="L825" s="48"/>
      <c r="M825" s="48"/>
      <c r="N825" s="48"/>
      <c r="O825" s="48"/>
      <c r="P825" s="48"/>
      <c r="Q825" s="48"/>
      <c r="R825" s="48"/>
      <c r="S825" s="47"/>
      <c r="T825" s="48"/>
      <c r="U825" s="48"/>
      <c r="V825" s="48"/>
      <c r="W825" s="48"/>
      <c r="X825" s="48"/>
      <c r="Y825" s="48"/>
      <c r="Z825" s="48"/>
      <c r="AA825" s="48"/>
      <c r="AB825" s="47"/>
      <c r="AC825" s="48"/>
      <c r="AD825" s="48"/>
      <c r="AE825" s="47"/>
      <c r="AF825" s="47" t="b">
        <f>LEN(_xlfn.CONCAT(TRACK_TYPES[[#This Row],[TRACK_TYPE_STANDARD_GAUGE_RAILTYPE_OHLE]:[TRACK_TYPE_MTRO]]))&gt;0</f>
        <v>1</v>
      </c>
      <c r="AG825" s="47" t="b" cm="1">
        <f t="array" ref="AG825">IFERROR(_xlfn.BYROW(TRACK_TYPES[[#This Row],[TRACK_TYPE_STANDARD_GAUGE_RAILTYPE_OHLE]:[TRACK_TYPE_STANDARD_GAUGE_RAILTYPE_NONE]],_xlfn.LAMBDA(_xlpm.r,OR(_xlpm.r))),FALSE)</f>
        <v>1</v>
      </c>
      <c r="AH825" s="47" t="b" cm="1">
        <f t="array" ref="AH825">IFERROR(_xlfn.BYROW(TRACK_TYPES[[#This Row],[TRACK_TYPE_NARROW_GAUGE_RAILTYPE_OHLE]:[TRACK_TYPE_NARROW_GAUGE_RAILTYPE_NONE]],_xlfn.LAMBDA(_xlpm.r,OR(_xlpm.r))),FALSE)</f>
        <v>0</v>
      </c>
      <c r="AI825" s="47" t="b" cm="1">
        <f t="array" ref="AI825">IFERROR(_xlfn.BYROW(TRACK_TYPES[[#This Row],[TRACK_TYPE_BROAD_GAUGE_RAILTYPE_OHLE]:[TRACK_TYPE_BROAD_GAUGE_RAILTYPE_NONE]],_xlfn.LAMBDA(_xlpm.r,OR(_xlpm.r))),FALSE)</f>
        <v>0</v>
      </c>
      <c r="AJ8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3147</v>
      </c>
      <c r="B826" s="48"/>
      <c r="C826" s="48"/>
      <c r="D826" s="48"/>
      <c r="E826" s="48"/>
      <c r="F826" s="48"/>
      <c r="G826" s="48"/>
      <c r="H826" s="48"/>
      <c r="I826" s="48"/>
      <c r="J826" s="47" t="b">
        <v>1</v>
      </c>
      <c r="K826" s="48"/>
      <c r="L826" s="48"/>
      <c r="M826" s="48"/>
      <c r="N826" s="48"/>
      <c r="O826" s="48"/>
      <c r="P826" s="48"/>
      <c r="Q826" s="48"/>
      <c r="R826" s="48"/>
      <c r="S826" s="47"/>
      <c r="T826" s="48"/>
      <c r="U826" s="48"/>
      <c r="V826" s="48"/>
      <c r="W826" s="48"/>
      <c r="X826" s="48"/>
      <c r="Y826" s="48"/>
      <c r="Z826" s="48"/>
      <c r="AA826" s="48"/>
      <c r="AB826" s="47"/>
      <c r="AC826" s="48"/>
      <c r="AD826" s="48"/>
      <c r="AE826" s="47"/>
      <c r="AF826" s="47" t="b">
        <f>LEN(_xlfn.CONCAT(TRACK_TYPES[[#This Row],[TRACK_TYPE_STANDARD_GAUGE_RAILTYPE_OHLE]:[TRACK_TYPE_MTRO]]))&gt;0</f>
        <v>1</v>
      </c>
      <c r="AG826" s="47" t="b" cm="1">
        <f t="array" ref="AG826">IFERROR(_xlfn.BYROW(TRACK_TYPES[[#This Row],[TRACK_TYPE_STANDARD_GAUGE_RAILTYPE_OHLE]:[TRACK_TYPE_STANDARD_GAUGE_RAILTYPE_NONE]],_xlfn.LAMBDA(_xlpm.r,OR(_xlpm.r))),FALSE)</f>
        <v>1</v>
      </c>
      <c r="AH826" s="47" t="b" cm="1">
        <f t="array" ref="AH826">IFERROR(_xlfn.BYROW(TRACK_TYPES[[#This Row],[TRACK_TYPE_NARROW_GAUGE_RAILTYPE_OHLE]:[TRACK_TYPE_NARROW_GAUGE_RAILTYPE_NONE]],_xlfn.LAMBDA(_xlpm.r,OR(_xlpm.r))),FALSE)</f>
        <v>0</v>
      </c>
      <c r="AI826" s="47" t="b" cm="1">
        <f t="array" ref="AI826">IFERROR(_xlfn.BYROW(TRACK_TYPES[[#This Row],[TRACK_TYPE_BROAD_GAUGE_RAILTYPE_OHLE]:[TRACK_TYPE_BROAD_GAUGE_RAILTYPE_NONE]],_xlfn.LAMBDA(_xlpm.r,OR(_xlpm.r))),FALSE)</f>
        <v>0</v>
      </c>
      <c r="AJ8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3149</v>
      </c>
      <c r="B827" s="48"/>
      <c r="C827" s="48"/>
      <c r="D827" s="48"/>
      <c r="E827" s="48"/>
      <c r="F827" s="48"/>
      <c r="G827" s="48"/>
      <c r="H827" s="48"/>
      <c r="I827" s="48"/>
      <c r="J827" s="47" t="b">
        <v>1</v>
      </c>
      <c r="K827" s="48"/>
      <c r="L827" s="48"/>
      <c r="M827" s="48"/>
      <c r="N827" s="48"/>
      <c r="O827" s="48"/>
      <c r="P827" s="48"/>
      <c r="Q827" s="48"/>
      <c r="R827" s="48"/>
      <c r="S827" s="47"/>
      <c r="T827" s="48"/>
      <c r="U827" s="48"/>
      <c r="V827" s="48"/>
      <c r="W827" s="48"/>
      <c r="X827" s="48"/>
      <c r="Y827" s="48"/>
      <c r="Z827" s="48"/>
      <c r="AA827" s="48"/>
      <c r="AB827" s="47"/>
      <c r="AC827" s="48"/>
      <c r="AD827" s="48"/>
      <c r="AE827" s="47"/>
      <c r="AF827" s="47" t="b">
        <f>LEN(_xlfn.CONCAT(TRACK_TYPES[[#This Row],[TRACK_TYPE_STANDARD_GAUGE_RAILTYPE_OHLE]:[TRACK_TYPE_MTRO]]))&gt;0</f>
        <v>1</v>
      </c>
      <c r="AG827" s="47" t="b" cm="1">
        <f t="array" ref="AG827">IFERROR(_xlfn.BYROW(TRACK_TYPES[[#This Row],[TRACK_TYPE_STANDARD_GAUGE_RAILTYPE_OHLE]:[TRACK_TYPE_STANDARD_GAUGE_RAILTYPE_NONE]],_xlfn.LAMBDA(_xlpm.r,OR(_xlpm.r))),FALSE)</f>
        <v>1</v>
      </c>
      <c r="AH827" s="47" t="b" cm="1">
        <f t="array" ref="AH827">IFERROR(_xlfn.BYROW(TRACK_TYPES[[#This Row],[TRACK_TYPE_NARROW_GAUGE_RAILTYPE_OHLE]:[TRACK_TYPE_NARROW_GAUGE_RAILTYPE_NONE]],_xlfn.LAMBDA(_xlpm.r,OR(_xlpm.r))),FALSE)</f>
        <v>0</v>
      </c>
      <c r="AI827" s="47" t="b" cm="1">
        <f t="array" ref="AI827">IFERROR(_xlfn.BYROW(TRACK_TYPES[[#This Row],[TRACK_TYPE_BROAD_GAUGE_RAILTYPE_OHLE]:[TRACK_TYPE_BROAD_GAUGE_RAILTYPE_NONE]],_xlfn.LAMBDA(_xlpm.r,OR(_xlpm.r))),FALSE)</f>
        <v>0</v>
      </c>
      <c r="AJ8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94" priority="7" operator="equal">
      <formula>FALSE</formula>
    </cfRule>
  </conditionalFormatting>
  <conditionalFormatting sqref="AG1:AI1">
    <cfRule type="cellIs" dxfId="93" priority="2" operator="equal">
      <formula>FALSE</formula>
    </cfRule>
  </conditionalFormatting>
  <conditionalFormatting sqref="AJ1">
    <cfRule type="cellIs" dxfId="92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27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7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27" sqref="A827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8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714</v>
      </c>
    </row>
    <row r="824" spans="1:8">
      <c r="A824" s="2" t="s">
        <v>3141</v>
      </c>
      <c r="B824" s="48" t="b">
        <v>1</v>
      </c>
      <c r="C824" s="48" t="b">
        <v>0</v>
      </c>
      <c r="D824" s="47" t="b">
        <v>0</v>
      </c>
      <c r="E824" s="2" t="b">
        <v>0</v>
      </c>
      <c r="F824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714</v>
      </c>
    </row>
    <row r="825" spans="1:8">
      <c r="A825" s="2" t="s">
        <v>3145</v>
      </c>
      <c r="B825" s="48" t="b">
        <v>1</v>
      </c>
      <c r="C825" s="48" t="b">
        <v>0</v>
      </c>
      <c r="D825" s="47" t="b">
        <v>0</v>
      </c>
      <c r="E825" s="2" t="b">
        <v>0</v>
      </c>
      <c r="F825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714</v>
      </c>
    </row>
    <row r="826" spans="1:8">
      <c r="A826" s="2" t="s">
        <v>3147</v>
      </c>
      <c r="B826" s="48" t="b">
        <v>1</v>
      </c>
      <c r="C826" s="48" t="b">
        <v>0</v>
      </c>
      <c r="D826" s="47" t="b">
        <v>0</v>
      </c>
      <c r="E826" s="2" t="b">
        <v>0</v>
      </c>
      <c r="F826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714</v>
      </c>
    </row>
    <row r="827" spans="1:8">
      <c r="A827" s="2" t="s">
        <v>3149</v>
      </c>
      <c r="B827" s="48" t="b">
        <v>1</v>
      </c>
      <c r="C827" s="48" t="b">
        <v>0</v>
      </c>
      <c r="D827" s="47" t="b">
        <v>0</v>
      </c>
      <c r="E827" s="2" t="b">
        <v>0</v>
      </c>
      <c r="F827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714</v>
      </c>
    </row>
  </sheetData>
  <conditionalFormatting sqref="B1:E1048576">
    <cfRule type="cellIs" dxfId="91" priority="1" operator="equal">
      <formula>FALSE</formula>
    </cfRule>
  </conditionalFormatting>
  <conditionalFormatting sqref="J790:L1048576">
    <cfRule type="cellIs" dxfId="90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7"/>
  <sheetViews>
    <sheetView zoomScaleNormal="100" workbookViewId="0">
      <pane xSplit="1" ySplit="1" topLeftCell="B803" activePane="bottomRight" state="frozen"/>
      <selection activeCell="Q19" sqref="Q19"/>
      <selection pane="topRight" activeCell="Q19" sqref="Q19"/>
      <selection pane="bottomLeft" activeCell="Q19" sqref="Q19"/>
      <selection pane="bottomRight" activeCell="A827" sqref="A82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  <row r="824" spans="1:4">
      <c r="A824" s="2" t="s">
        <v>3141</v>
      </c>
      <c r="B824" s="48" t="s">
        <v>1738</v>
      </c>
      <c r="C824" t="s">
        <v>1711</v>
      </c>
      <c r="D824" t="s">
        <v>1720</v>
      </c>
    </row>
    <row r="825" spans="1:4">
      <c r="A825" s="2" t="s">
        <v>3145</v>
      </c>
      <c r="B825" s="48" t="s">
        <v>1738</v>
      </c>
      <c r="C825" t="s">
        <v>1714</v>
      </c>
      <c r="D825" t="s">
        <v>1720</v>
      </c>
    </row>
    <row r="826" spans="1:4">
      <c r="A826" s="2" t="s">
        <v>3147</v>
      </c>
      <c r="B826" s="48" t="s">
        <v>1738</v>
      </c>
      <c r="C826" t="s">
        <v>1714</v>
      </c>
      <c r="D826" t="s">
        <v>1720</v>
      </c>
    </row>
    <row r="827" spans="1:4">
      <c r="A827" s="2" t="s">
        <v>3149</v>
      </c>
      <c r="B827" t="s">
        <v>1738</v>
      </c>
      <c r="C827" t="s">
        <v>1718</v>
      </c>
      <c r="D827" t="s">
        <v>1722</v>
      </c>
    </row>
  </sheetData>
  <conditionalFormatting sqref="B1:C1048576">
    <cfRule type="containsText" dxfId="8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7"/>
  <sheetViews>
    <sheetView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A827" sqref="A827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7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7" si="81">_xlfn.CONCAT($D771,"_",$E771)</f>
        <v>ALL_AMERICA_OCEANIA</v>
      </c>
      <c r="G771" t="b">
        <f t="shared" ref="G771:G827" si="82">OR(ISNUMBER(SEARCH("ALL_REGION",$F771)),
ISNUMBER(SEARCH("AFRICA",$F771)),
ISNUMBER(SEARCH("REGIONTYPE1",$F771)),
ISNUMBER(SEARCH("REGIONTYPE2",$F771)))</f>
        <v>0</v>
      </c>
      <c r="H771" t="b">
        <f t="shared" ref="H771:H827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7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7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7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</sheetData>
  <autoFilter ref="A1:O793" xr:uid="{94AF2F1A-9287-4526-9497-B34C300AF4DB}"/>
  <conditionalFormatting sqref="G1:G813 H795:I813 G814:I1048576">
    <cfRule type="containsText" dxfId="88" priority="34" operator="containsText" text="FALSE">
      <formula>NOT(ISERROR(SEARCH("FALSE",G1)))</formula>
    </cfRule>
  </conditionalFormatting>
  <conditionalFormatting sqref="H1:I792">
    <cfRule type="containsText" dxfId="87" priority="33" operator="containsText" text="FALSE">
      <formula>NOT(ISERROR(SEARCH("FALSE",H1)))</formula>
    </cfRule>
  </conditionalFormatting>
  <conditionalFormatting sqref="H2:O820">
    <cfRule type="containsText" dxfId="86" priority="8" operator="containsText" text="FALSE">
      <formula>NOT(ISERROR(SEARCH("FALSE",H2)))</formula>
    </cfRule>
  </conditionalFormatting>
  <conditionalFormatting sqref="H821:O821">
    <cfRule type="containsText" dxfId="84" priority="7" operator="containsText" text="FALSE">
      <formula>NOT(ISERROR(SEARCH("FALSE",H821)))</formula>
    </cfRule>
  </conditionalFormatting>
  <conditionalFormatting sqref="H822:O822">
    <cfRule type="containsText" dxfId="56" priority="6" operator="containsText" text="FALSE">
      <formula>NOT(ISERROR(SEARCH("FALSE",H822)))</formula>
    </cfRule>
  </conditionalFormatting>
  <conditionalFormatting sqref="H823:O823">
    <cfRule type="containsText" dxfId="55" priority="5" operator="containsText" text="FALSE">
      <formula>NOT(ISERROR(SEARCH("FALSE",H823)))</formula>
    </cfRule>
  </conditionalFormatting>
  <conditionalFormatting sqref="H824:O824">
    <cfRule type="containsText" dxfId="53" priority="4" operator="containsText" text="FALSE">
      <formula>NOT(ISERROR(SEARCH("FALSE",H824)))</formula>
    </cfRule>
  </conditionalFormatting>
  <conditionalFormatting sqref="H825:O825">
    <cfRule type="containsText" dxfId="52" priority="3" operator="containsText" text="FALSE">
      <formula>NOT(ISERROR(SEARCH("FALSE",H825)))</formula>
    </cfRule>
  </conditionalFormatting>
  <conditionalFormatting sqref="H826:O826">
    <cfRule type="containsText" dxfId="42" priority="2" operator="containsText" text="FALSE">
      <formula>NOT(ISERROR(SEARCH("FALSE",H826)))</formula>
    </cfRule>
  </conditionalFormatting>
  <conditionalFormatting sqref="H827:O827">
    <cfRule type="containsText" dxfId="0" priority="1" operator="containsText" text="FALSE">
      <formula>NOT(ISERROR(SEARCH("FALSE",H827)))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2026-05-02T07:04:15Z</dcterms:modified>
</cp:coreProperties>
</file>