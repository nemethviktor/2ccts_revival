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D86208D-13BE-4372-8B37-AE8046B7FA91}" xr6:coauthVersionLast="47" xr6:coauthVersionMax="47" xr10:uidLastSave="{00000000-0000-0000-0000-000000000000}"/>
  <bookViews>
    <workbookView xWindow="-103" yWindow="-103" windowWidth="22149" windowHeight="13320" tabRatio="787" activeTab="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3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06" i="1" l="1"/>
  <c r="AF805" i="1"/>
  <c r="AD806" i="17"/>
  <c r="AD805" i="17"/>
  <c r="E805" i="17"/>
  <c r="E806" i="17"/>
  <c r="K805" i="17"/>
  <c r="K806" i="17"/>
  <c r="R805" i="17"/>
  <c r="R806" i="17"/>
  <c r="T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F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00" i="17" l="1" a="1"/>
  <c r="AE795" i="17" a="1"/>
  <c r="AE799" i="17" a="1"/>
  <c r="AE798" i="17" a="1"/>
  <c r="AE794" i="17" a="1"/>
  <c r="H804" i="14"/>
  <c r="AE792" i="17" a="1"/>
  <c r="AE515" i="17" a="1"/>
  <c r="AE522" i="17" a="1"/>
  <c r="AE791" i="17" a="1"/>
  <c r="AE797" i="17" a="1"/>
  <c r="E806" i="24"/>
  <c r="D806" i="24"/>
  <c r="B806" i="24"/>
  <c r="E805" i="24"/>
  <c r="D805" i="24"/>
  <c r="B805" i="24"/>
  <c r="F806" i="19"/>
  <c r="F805" i="19"/>
  <c r="AE806" i="17" a="1"/>
  <c r="AE805" i="17" a="1"/>
  <c r="AE523" i="17" a="1"/>
  <c r="AE524" i="17" a="1"/>
  <c r="AE525" i="17" a="1"/>
  <c r="AE526" i="17" a="1"/>
  <c r="AE527" i="17" a="1"/>
  <c r="AE544" i="17" a="1"/>
  <c r="AE545" i="17" a="1"/>
  <c r="AE547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528" i="17" a="1"/>
  <c r="AE546" i="17" a="1"/>
  <c r="AE549" i="17" a="1"/>
  <c r="AE552" i="17" a="1"/>
  <c r="AE554" i="17" a="1"/>
  <c r="AE556" i="17" a="1"/>
  <c r="AE558" i="17" a="1"/>
  <c r="AE560" i="17" a="1"/>
  <c r="AE562" i="17" a="1"/>
  <c r="AE564" i="17" a="1"/>
  <c r="AE566" i="17" a="1"/>
  <c r="AE568" i="17" a="1"/>
  <c r="AE570" i="17" a="1"/>
  <c r="AE572" i="17" a="1"/>
  <c r="AE574" i="17" a="1"/>
  <c r="AE576" i="17" a="1"/>
  <c r="AE543" i="17" a="1"/>
  <c r="AE548" i="17" a="1"/>
  <c r="AE550" i="17" a="1"/>
  <c r="AE551" i="17" a="1"/>
  <c r="AE553" i="17" a="1"/>
  <c r="AE555" i="17" a="1"/>
  <c r="AE557" i="17" a="1"/>
  <c r="AE559" i="17" a="1"/>
  <c r="AE561" i="17" a="1"/>
  <c r="AE563" i="17" a="1"/>
  <c r="AE565" i="17" a="1"/>
  <c r="AE567" i="17" a="1"/>
  <c r="AE569" i="17" a="1"/>
  <c r="AE571" i="17" a="1"/>
  <c r="AE573" i="17" a="1"/>
  <c r="AE575" i="17" a="1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798" i="17"/>
  <c r="C798" i="24" s="1"/>
  <c r="AE799" i="17"/>
  <c r="C799" i="24" s="1"/>
  <c r="AE797" i="17"/>
  <c r="C797" i="24" s="1"/>
  <c r="AE522" i="17"/>
  <c r="AE800" i="17"/>
  <c r="C800" i="24" s="1"/>
  <c r="AE794" i="17"/>
  <c r="AE791" i="17"/>
  <c r="AE792" i="17"/>
  <c r="AE795" i="17"/>
  <c r="C795" i="24" s="1"/>
  <c r="F804" i="19"/>
  <c r="F564" i="19"/>
  <c r="T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M791" i="14" s="1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M774" i="14" s="1"/>
  <c r="B773" i="24"/>
  <c r="M773" i="14" s="1"/>
  <c r="B772" i="24"/>
  <c r="M772" i="14" s="1"/>
  <c r="B771" i="24"/>
  <c r="M771" i="14" s="1"/>
  <c r="B770" i="24"/>
  <c r="M770" i="14" s="1"/>
  <c r="B769" i="24"/>
  <c r="M769" i="14" s="1"/>
  <c r="B768" i="24"/>
  <c r="M768" i="14" s="1"/>
  <c r="B767" i="24"/>
  <c r="M767" i="14" s="1"/>
  <c r="B766" i="24"/>
  <c r="M766" i="14" s="1"/>
  <c r="B765" i="24"/>
  <c r="M765" i="14" s="1"/>
  <c r="B764" i="24"/>
  <c r="M764" i="14" s="1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M735" i="14" s="1"/>
  <c r="B734" i="24"/>
  <c r="M734" i="14" s="1"/>
  <c r="B733" i="24"/>
  <c r="M733" i="14" s="1"/>
  <c r="B732" i="24"/>
  <c r="M732" i="14" s="1"/>
  <c r="B731" i="24"/>
  <c r="M731" i="14" s="1"/>
  <c r="B730" i="24"/>
  <c r="M730" i="14" s="1"/>
  <c r="B729" i="24"/>
  <c r="M729" i="14" s="1"/>
  <c r="B728" i="24"/>
  <c r="M728" i="14" s="1"/>
  <c r="B727" i="24"/>
  <c r="M727" i="14" s="1"/>
  <c r="B726" i="24"/>
  <c r="M726" i="14" s="1"/>
  <c r="B725" i="24"/>
  <c r="M725" i="14" s="1"/>
  <c r="B724" i="24"/>
  <c r="M724" i="14" s="1"/>
  <c r="B723" i="24"/>
  <c r="M723" i="14" s="1"/>
  <c r="B722" i="24"/>
  <c r="M722" i="14" s="1"/>
  <c r="B721" i="24"/>
  <c r="M721" i="14" s="1"/>
  <c r="B720" i="24"/>
  <c r="M720" i="14" s="1"/>
  <c r="B719" i="24"/>
  <c r="M719" i="14" s="1"/>
  <c r="B718" i="24"/>
  <c r="M718" i="14" s="1"/>
  <c r="B717" i="24"/>
  <c r="M717" i="14" s="1"/>
  <c r="B716" i="24"/>
  <c r="M716" i="14" s="1"/>
  <c r="B715" i="24"/>
  <c r="M715" i="14" s="1"/>
  <c r="B714" i="24"/>
  <c r="M714" i="14" s="1"/>
  <c r="B713" i="24"/>
  <c r="M713" i="14" s="1"/>
  <c r="B712" i="24"/>
  <c r="M712" i="14" s="1"/>
  <c r="B711" i="24"/>
  <c r="M711" i="14" s="1"/>
  <c r="B710" i="24"/>
  <c r="M710" i="14" s="1"/>
  <c r="B709" i="24"/>
  <c r="M709" i="14" s="1"/>
  <c r="B708" i="24"/>
  <c r="M708" i="14" s="1"/>
  <c r="B707" i="24"/>
  <c r="M707" i="14" s="1"/>
  <c r="B706" i="24"/>
  <c r="M706" i="14" s="1"/>
  <c r="B705" i="24"/>
  <c r="M705" i="14" s="1"/>
  <c r="B704" i="24"/>
  <c r="M704" i="14" s="1"/>
  <c r="B703" i="24"/>
  <c r="M703" i="14" s="1"/>
  <c r="B702" i="24"/>
  <c r="M702" i="14" s="1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M677" i="14" s="1"/>
  <c r="B676" i="24"/>
  <c r="M676" i="14" s="1"/>
  <c r="B675" i="24"/>
  <c r="M675" i="14" s="1"/>
  <c r="B674" i="24"/>
  <c r="M674" i="14" s="1"/>
  <c r="B673" i="24"/>
  <c r="M673" i="14" s="1"/>
  <c r="B672" i="24"/>
  <c r="M672" i="14" s="1"/>
  <c r="B671" i="24"/>
  <c r="M671" i="14" s="1"/>
  <c r="B670" i="24"/>
  <c r="M670" i="14" s="1"/>
  <c r="B669" i="24"/>
  <c r="M669" i="14" s="1"/>
  <c r="B668" i="24"/>
  <c r="M668" i="14" s="1"/>
  <c r="B667" i="24"/>
  <c r="M667" i="14" s="1"/>
  <c r="B666" i="24"/>
  <c r="M666" i="14" s="1"/>
  <c r="B665" i="24"/>
  <c r="M665" i="14" s="1"/>
  <c r="B664" i="24"/>
  <c r="M664" i="14" s="1"/>
  <c r="B663" i="24"/>
  <c r="M663" i="14" s="1"/>
  <c r="B662" i="24"/>
  <c r="M662" i="14" s="1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M643" i="14" s="1"/>
  <c r="B642" i="24"/>
  <c r="M642" i="14" s="1"/>
  <c r="B641" i="24"/>
  <c r="M641" i="14" s="1"/>
  <c r="B640" i="24"/>
  <c r="M640" i="14" s="1"/>
  <c r="B639" i="24"/>
  <c r="M639" i="14" s="1"/>
  <c r="B638" i="24"/>
  <c r="M638" i="14" s="1"/>
  <c r="B637" i="24"/>
  <c r="M637" i="14" s="1"/>
  <c r="B636" i="24"/>
  <c r="M636" i="14" s="1"/>
  <c r="B635" i="24"/>
  <c r="M635" i="14" s="1"/>
  <c r="B634" i="24"/>
  <c r="M634" i="14" s="1"/>
  <c r="B633" i="24"/>
  <c r="M633" i="14" s="1"/>
  <c r="B632" i="24"/>
  <c r="M632" i="14" s="1"/>
  <c r="B631" i="24"/>
  <c r="M631" i="14" s="1"/>
  <c r="B630" i="24"/>
  <c r="M630" i="14" s="1"/>
  <c r="B629" i="24"/>
  <c r="M629" i="14" s="1"/>
  <c r="B628" i="24"/>
  <c r="M628" i="14" s="1"/>
  <c r="B627" i="24"/>
  <c r="M627" i="14" s="1"/>
  <c r="B626" i="24"/>
  <c r="M626" i="14" s="1"/>
  <c r="B625" i="24"/>
  <c r="M625" i="14" s="1"/>
  <c r="B624" i="24"/>
  <c r="M624" i="14" s="1"/>
  <c r="B623" i="24"/>
  <c r="M623" i="14" s="1"/>
  <c r="B622" i="24"/>
  <c r="M622" i="14" s="1"/>
  <c r="B621" i="24"/>
  <c r="M621" i="14" s="1"/>
  <c r="B620" i="24"/>
  <c r="M620" i="14" s="1"/>
  <c r="B619" i="24"/>
  <c r="M619" i="14" s="1"/>
  <c r="B618" i="24"/>
  <c r="M618" i="14" s="1"/>
  <c r="B617" i="24"/>
  <c r="M617" i="14" s="1"/>
  <c r="B616" i="24"/>
  <c r="M616" i="14" s="1"/>
  <c r="B615" i="24"/>
  <c r="M615" i="14" s="1"/>
  <c r="B614" i="24"/>
  <c r="M614" i="14" s="1"/>
  <c r="B613" i="24"/>
  <c r="M613" i="14" s="1"/>
  <c r="B612" i="24"/>
  <c r="M612" i="14" s="1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M596" i="14" s="1"/>
  <c r="B595" i="24"/>
  <c r="M595" i="14" s="1"/>
  <c r="B594" i="24"/>
  <c r="M594" i="14" s="1"/>
  <c r="B593" i="24"/>
  <c r="M593" i="14" s="1"/>
  <c r="B592" i="24"/>
  <c r="M592" i="14" s="1"/>
  <c r="B591" i="24"/>
  <c r="M591" i="14" s="1"/>
  <c r="B590" i="24"/>
  <c r="M590" i="14" s="1"/>
  <c r="B589" i="24"/>
  <c r="M589" i="14" s="1"/>
  <c r="B588" i="24"/>
  <c r="M588" i="14" s="1"/>
  <c r="B587" i="24"/>
  <c r="M587" i="14" s="1"/>
  <c r="B586" i="24"/>
  <c r="M586" i="14" s="1"/>
  <c r="B585" i="24"/>
  <c r="M585" i="14" s="1"/>
  <c r="B584" i="24"/>
  <c r="M584" i="14" s="1"/>
  <c r="B583" i="24"/>
  <c r="M583" i="14" s="1"/>
  <c r="B582" i="24"/>
  <c r="M582" i="14" s="1"/>
  <c r="B581" i="24"/>
  <c r="M581" i="14" s="1"/>
  <c r="B580" i="24"/>
  <c r="M580" i="14" s="1"/>
  <c r="B579" i="24"/>
  <c r="M579" i="14" s="1"/>
  <c r="B578" i="24"/>
  <c r="M578" i="14" s="1"/>
  <c r="B577" i="24"/>
  <c r="M577" i="14" s="1"/>
  <c r="B576" i="24"/>
  <c r="M576" i="14" s="1"/>
  <c r="B575" i="24"/>
  <c r="M575" i="14" s="1"/>
  <c r="B574" i="24"/>
  <c r="M574" i="14" s="1"/>
  <c r="B573" i="24"/>
  <c r="M573" i="14" s="1"/>
  <c r="B572" i="24"/>
  <c r="M572" i="14" s="1"/>
  <c r="B571" i="24"/>
  <c r="M571" i="14" s="1"/>
  <c r="B570" i="24"/>
  <c r="M570" i="14" s="1"/>
  <c r="B569" i="24"/>
  <c r="M569" i="14" s="1"/>
  <c r="B568" i="24"/>
  <c r="M568" i="14" s="1"/>
  <c r="B567" i="24"/>
  <c r="M567" i="14" s="1"/>
  <c r="B566" i="24"/>
  <c r="M566" i="14" s="1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M548" i="14" s="1"/>
  <c r="B547" i="24"/>
  <c r="M547" i="14" s="1"/>
  <c r="B546" i="24"/>
  <c r="M546" i="14" s="1"/>
  <c r="B545" i="24"/>
  <c r="M545" i="14" s="1"/>
  <c r="B544" i="24"/>
  <c r="M544" i="14" s="1"/>
  <c r="B543" i="24"/>
  <c r="M543" i="14" s="1"/>
  <c r="B542" i="24"/>
  <c r="M542" i="14" s="1"/>
  <c r="B541" i="24"/>
  <c r="M541" i="14" s="1"/>
  <c r="B540" i="24"/>
  <c r="M540" i="14" s="1"/>
  <c r="B539" i="24"/>
  <c r="M539" i="14" s="1"/>
  <c r="B538" i="24"/>
  <c r="M538" i="14" s="1"/>
  <c r="B537" i="24"/>
  <c r="M537" i="14" s="1"/>
  <c r="B536" i="24"/>
  <c r="M536" i="14" s="1"/>
  <c r="B535" i="24"/>
  <c r="M535" i="14" s="1"/>
  <c r="B534" i="24"/>
  <c r="M534" i="14" s="1"/>
  <c r="B533" i="24"/>
  <c r="M533" i="14" s="1"/>
  <c r="B532" i="24"/>
  <c r="M532" i="14" s="1"/>
  <c r="B531" i="24"/>
  <c r="M531" i="14" s="1"/>
  <c r="B530" i="24"/>
  <c r="M530" i="14" s="1"/>
  <c r="B529" i="24"/>
  <c r="M529" i="14" s="1"/>
  <c r="B528" i="24"/>
  <c r="M528" i="14" s="1"/>
  <c r="B527" i="24"/>
  <c r="M527" i="14" s="1"/>
  <c r="B526" i="24"/>
  <c r="M526" i="14" s="1"/>
  <c r="B525" i="24"/>
  <c r="M525" i="14" s="1"/>
  <c r="B524" i="24"/>
  <c r="M524" i="14" s="1"/>
  <c r="B523" i="24"/>
  <c r="M523" i="14" s="1"/>
  <c r="B522" i="24"/>
  <c r="M522" i="14" s="1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M495" i="14" s="1"/>
  <c r="B494" i="24"/>
  <c r="M494" i="14" s="1"/>
  <c r="B493" i="24"/>
  <c r="M493" i="14" s="1"/>
  <c r="B492" i="24"/>
  <c r="M492" i="14" s="1"/>
  <c r="B491" i="24"/>
  <c r="M491" i="14" s="1"/>
  <c r="B490" i="24"/>
  <c r="M490" i="14" s="1"/>
  <c r="B489" i="24"/>
  <c r="M489" i="14" s="1"/>
  <c r="B488" i="24"/>
  <c r="M488" i="14" s="1"/>
  <c r="B487" i="24"/>
  <c r="M487" i="14" s="1"/>
  <c r="B486" i="24"/>
  <c r="M486" i="14" s="1"/>
  <c r="B485" i="24"/>
  <c r="M485" i="14" s="1"/>
  <c r="B484" i="24"/>
  <c r="M484" i="14" s="1"/>
  <c r="B483" i="24"/>
  <c r="M483" i="14" s="1"/>
  <c r="B482" i="24"/>
  <c r="M482" i="14" s="1"/>
  <c r="B481" i="24"/>
  <c r="M481" i="14" s="1"/>
  <c r="B480" i="24"/>
  <c r="M480" i="14" s="1"/>
  <c r="B479" i="24"/>
  <c r="M479" i="14" s="1"/>
  <c r="B478" i="24"/>
  <c r="M478" i="14" s="1"/>
  <c r="B477" i="24"/>
  <c r="M477" i="14" s="1"/>
  <c r="B476" i="24"/>
  <c r="M476" i="14" s="1"/>
  <c r="B475" i="24"/>
  <c r="M475" i="14" s="1"/>
  <c r="B474" i="24"/>
  <c r="M474" i="14" s="1"/>
  <c r="B473" i="24"/>
  <c r="M473" i="14" s="1"/>
  <c r="B472" i="24"/>
  <c r="M472" i="14" s="1"/>
  <c r="B471" i="24"/>
  <c r="M471" i="14" s="1"/>
  <c r="B470" i="24"/>
  <c r="M470" i="14" s="1"/>
  <c r="B469" i="24"/>
  <c r="M469" i="14" s="1"/>
  <c r="B468" i="24"/>
  <c r="M468" i="14" s="1"/>
  <c r="B467" i="24"/>
  <c r="M467" i="14" s="1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M442" i="14" s="1"/>
  <c r="B441" i="24"/>
  <c r="M441" i="14" s="1"/>
  <c r="B440" i="24"/>
  <c r="M440" i="14" s="1"/>
  <c r="B439" i="24"/>
  <c r="M439" i="14" s="1"/>
  <c r="B438" i="24"/>
  <c r="M438" i="14" s="1"/>
  <c r="B437" i="24"/>
  <c r="M437" i="14" s="1"/>
  <c r="B436" i="24"/>
  <c r="M436" i="14" s="1"/>
  <c r="B435" i="24"/>
  <c r="M435" i="14" s="1"/>
  <c r="B434" i="24"/>
  <c r="M434" i="14" s="1"/>
  <c r="B433" i="24"/>
  <c r="M433" i="14" s="1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M384" i="14" s="1"/>
  <c r="B383" i="24"/>
  <c r="M383" i="14" s="1"/>
  <c r="B382" i="24"/>
  <c r="M382" i="14" s="1"/>
  <c r="B381" i="24"/>
  <c r="M381" i="14" s="1"/>
  <c r="B380" i="24"/>
  <c r="M380" i="14" s="1"/>
  <c r="B379" i="24"/>
  <c r="M379" i="14" s="1"/>
  <c r="B378" i="24"/>
  <c r="M378" i="14" s="1"/>
  <c r="B377" i="24"/>
  <c r="M377" i="14" s="1"/>
  <c r="B376" i="24"/>
  <c r="M376" i="14" s="1"/>
  <c r="B375" i="24"/>
  <c r="M375" i="14" s="1"/>
  <c r="B374" i="24"/>
  <c r="M374" i="14" s="1"/>
  <c r="B373" i="24"/>
  <c r="M373" i="14" s="1"/>
  <c r="B372" i="24"/>
  <c r="M372" i="14" s="1"/>
  <c r="B371" i="24"/>
  <c r="M371" i="14" s="1"/>
  <c r="B370" i="24"/>
  <c r="M370" i="14" s="1"/>
  <c r="B369" i="24"/>
  <c r="M369" i="14" s="1"/>
  <c r="B368" i="24"/>
  <c r="M368" i="14" s="1"/>
  <c r="B367" i="24"/>
  <c r="M367" i="14" s="1"/>
  <c r="B361" i="24"/>
  <c r="M361" i="14" s="1"/>
  <c r="B359" i="24"/>
  <c r="M359" i="14" s="1"/>
  <c r="B358" i="24"/>
  <c r="M358" i="14" s="1"/>
  <c r="B357" i="24"/>
  <c r="M357" i="14" s="1"/>
  <c r="B355" i="24"/>
  <c r="M355" i="14" s="1"/>
  <c r="B354" i="24"/>
  <c r="M354" i="14" s="1"/>
  <c r="B348" i="24"/>
  <c r="M348" i="14" s="1"/>
  <c r="B343" i="24"/>
  <c r="M343" i="14" s="1"/>
  <c r="B342" i="24"/>
  <c r="B338" i="24"/>
  <c r="B335" i="24"/>
  <c r="B334" i="24"/>
  <c r="B331" i="24"/>
  <c r="M331" i="14" s="1"/>
  <c r="B329" i="24"/>
  <c r="M329" i="14" s="1"/>
  <c r="B328" i="24"/>
  <c r="M328" i="14" s="1"/>
  <c r="B326" i="24"/>
  <c r="M326" i="14" s="1"/>
  <c r="B322" i="24"/>
  <c r="M322" i="14" s="1"/>
  <c r="B320" i="24"/>
  <c r="M320" i="14" s="1"/>
  <c r="B316" i="24"/>
  <c r="M316" i="14" s="1"/>
  <c r="B310" i="24"/>
  <c r="M310" i="14" s="1"/>
  <c r="B307" i="24"/>
  <c r="M307" i="14" s="1"/>
  <c r="B306" i="24"/>
  <c r="M306" i="14" s="1"/>
  <c r="B305" i="24"/>
  <c r="M305" i="14" s="1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M207" i="14" s="1"/>
  <c r="B206" i="24"/>
  <c r="M206" i="14" s="1"/>
  <c r="B205" i="24"/>
  <c r="M205" i="14" s="1"/>
  <c r="B204" i="24"/>
  <c r="M204" i="14" s="1"/>
  <c r="B203" i="24"/>
  <c r="M203" i="14" s="1"/>
  <c r="B202" i="24"/>
  <c r="M202" i="14" s="1"/>
  <c r="B201" i="24"/>
  <c r="M201" i="14" s="1"/>
  <c r="B200" i="24"/>
  <c r="M200" i="14" s="1"/>
  <c r="B199" i="24"/>
  <c r="M199" i="14" s="1"/>
  <c r="B198" i="24"/>
  <c r="M198" i="14" s="1"/>
  <c r="B197" i="24"/>
  <c r="M197" i="14" s="1"/>
  <c r="B196" i="24"/>
  <c r="M196" i="14" s="1"/>
  <c r="B195" i="24"/>
  <c r="M195" i="14" s="1"/>
  <c r="B194" i="24"/>
  <c r="M194" i="14" s="1"/>
  <c r="B193" i="24"/>
  <c r="M193" i="14" s="1"/>
  <c r="B192" i="24"/>
  <c r="M192" i="14" s="1"/>
  <c r="B191" i="24"/>
  <c r="M191" i="14" s="1"/>
  <c r="B190" i="24"/>
  <c r="M190" i="14" s="1"/>
  <c r="B189" i="24"/>
  <c r="M189" i="14" s="1"/>
  <c r="B188" i="24"/>
  <c r="M188" i="14" s="1"/>
  <c r="B187" i="24"/>
  <c r="M187" i="14" s="1"/>
  <c r="B186" i="24"/>
  <c r="M186" i="14" s="1"/>
  <c r="B185" i="24"/>
  <c r="M185" i="14" s="1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M119" i="14" s="1"/>
  <c r="B118" i="24"/>
  <c r="M118" i="14" s="1"/>
  <c r="B117" i="24"/>
  <c r="M117" i="14" s="1"/>
  <c r="B116" i="24"/>
  <c r="M116" i="14" s="1"/>
  <c r="B115" i="24"/>
  <c r="M115" i="14" s="1"/>
  <c r="B114" i="24"/>
  <c r="M114" i="14" s="1"/>
  <c r="B113" i="24"/>
  <c r="M113" i="14" s="1"/>
  <c r="B112" i="24"/>
  <c r="M112" i="14" s="1"/>
  <c r="B111" i="24"/>
  <c r="M111" i="14" s="1"/>
  <c r="B110" i="24"/>
  <c r="M110" i="14" s="1"/>
  <c r="B109" i="24"/>
  <c r="B108" i="24"/>
  <c r="B107" i="24"/>
  <c r="B106" i="24"/>
  <c r="B105" i="24"/>
  <c r="B104" i="24"/>
  <c r="B103" i="24"/>
  <c r="M103" i="14" s="1"/>
  <c r="B102" i="24"/>
  <c r="M102" i="14" s="1"/>
  <c r="B101" i="24"/>
  <c r="M101" i="14" s="1"/>
  <c r="B100" i="24"/>
  <c r="M100" i="14" s="1"/>
  <c r="B99" i="24"/>
  <c r="M99" i="14" s="1"/>
  <c r="B98" i="24"/>
  <c r="M98" i="14" s="1"/>
  <c r="B97" i="24"/>
  <c r="M97" i="14" s="1"/>
  <c r="B96" i="24"/>
  <c r="M96" i="14" s="1"/>
  <c r="B95" i="24"/>
  <c r="M95" i="14" s="1"/>
  <c r="B94" i="24"/>
  <c r="M94" i="14" s="1"/>
  <c r="B93" i="24"/>
  <c r="M93" i="14" s="1"/>
  <c r="B92" i="24"/>
  <c r="M92" i="14" s="1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F792" i="19"/>
  <c r="R458" i="17"/>
  <c r="T458" i="17" s="1"/>
  <c r="R461" i="17"/>
  <c r="T461" i="17" s="1"/>
  <c r="R456" i="17"/>
  <c r="T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R791" i="17"/>
  <c r="T791" i="17" s="1"/>
  <c r="M803" i="14" l="1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E806" i="17"/>
  <c r="AE805" i="17"/>
  <c r="AE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E669" i="17"/>
  <c r="AE654" i="17"/>
  <c r="AE666" i="17"/>
  <c r="AE659" i="17"/>
  <c r="AE647" i="17"/>
  <c r="AE668" i="17"/>
  <c r="AE667" i="17"/>
  <c r="AE670" i="17"/>
  <c r="AE560" i="17"/>
  <c r="AE720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C806" i="24"/>
  <c r="C805" i="24"/>
  <c r="AE663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76" i="17"/>
  <c r="AE739" i="17"/>
  <c r="AE775" i="17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741" i="17"/>
  <c r="AE687" i="17"/>
  <c r="AE733" i="17"/>
  <c r="AE749" i="17"/>
  <c r="AE750" i="17"/>
  <c r="AE771" i="17"/>
  <c r="AE567" i="17"/>
  <c r="AE691" i="17"/>
  <c r="AE717" i="17"/>
  <c r="AE768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572" i="17"/>
  <c r="AE682" i="17"/>
  <c r="AE725" i="17"/>
  <c r="AE745" i="17"/>
  <c r="AE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E764" i="17"/>
  <c r="M805" i="14"/>
  <c r="M806" i="14"/>
  <c r="G806" i="24"/>
  <c r="H806" i="24"/>
  <c r="AE354" i="17"/>
  <c r="C794" i="24"/>
  <c r="C716" i="24"/>
  <c r="C714" i="24"/>
  <c r="C698" i="24"/>
  <c r="C672" i="24"/>
  <c r="C671" i="24"/>
  <c r="C530" i="24"/>
  <c r="C529" i="24"/>
  <c r="C528" i="24"/>
  <c r="C527" i="24"/>
  <c r="C524" i="24"/>
  <c r="C523" i="24"/>
  <c r="C522" i="24"/>
  <c r="C567" i="24"/>
  <c r="C566" i="24"/>
  <c r="C565" i="24"/>
  <c r="C564" i="24"/>
  <c r="C563" i="24"/>
  <c r="C562" i="24"/>
  <c r="C561" i="24"/>
  <c r="C559" i="24"/>
  <c r="C553" i="24"/>
  <c r="C549" i="24"/>
  <c r="C548" i="24"/>
  <c r="C544" i="24"/>
  <c r="C725" i="24"/>
  <c r="C689" i="24"/>
  <c r="C682" i="24"/>
  <c r="C674" i="2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C743" i="24"/>
  <c r="C769" i="24"/>
  <c r="C730" i="24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61" i="24"/>
  <c r="C758" i="24"/>
  <c r="C749" i="24"/>
  <c r="C732" i="24"/>
  <c r="C745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AE796" i="17"/>
  <c r="C796" i="24" s="1"/>
  <c r="AE322" i="17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C683" i="24"/>
  <c r="C767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550" i="24"/>
  <c r="C547" i="24"/>
  <c r="C545" i="24"/>
  <c r="C37" i="24"/>
  <c r="C670" i="24"/>
  <c r="C719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728" i="24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221" i="24"/>
  <c r="C219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729" i="24"/>
  <c r="C654" i="24"/>
  <c r="C667" i="24"/>
  <c r="C666" i="24"/>
  <c r="C632" i="24"/>
  <c r="C217" i="24"/>
  <c r="C214" i="24"/>
  <c r="C212" i="24"/>
  <c r="C429" i="24"/>
  <c r="C425" i="24"/>
  <c r="C577" i="24"/>
  <c r="C560" i="24"/>
  <c r="C556" i="24"/>
  <c r="C546" i="24"/>
  <c r="C542" i="24"/>
  <c r="C437" i="24"/>
  <c r="C357" i="24"/>
  <c r="C715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E22" i="17"/>
  <c r="C22" i="24" s="1"/>
  <c r="AE300" i="17"/>
  <c r="C300" i="24" s="1"/>
  <c r="AE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I806" i="24" l="1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<sst xmlns="http://schemas.openxmlformats.org/spreadsheetml/2006/main" count="18805" uniqueCount="3093">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</sst>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</dxf>
    <dxf>
      <numFmt numFmtId="1" formatCode="0"/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06" totalsRowShown="0" headerRowDxfId="143">
  <autoFilter ref="A1:P80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1"/>
    <tableColumn id="17" xr3:uid="{52550B53-5A6E-4D0B-A358-FCA22B56CC77}" name="WEB"/>
    <tableColumn id="15" xr3:uid="{C9DBDDFF-A526-4383-A426-8408C4B17785}" name="IS_POWERED_UNPOWERED_SUNDRY" dataDxfId="14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9">
      <calculatedColumnFormula>ISNUMBER(_xlfn.XMATCH(CONTROL[[#This Row],[VEHIDCODE]],TRACK_TYPES[VEHIDCODE],0))</calculatedColumnFormula>
    </tableColumn>
    <tableColumn id="14" xr3:uid="{222C2DB1-CA5D-4369-995A-6A316AC5C947}" name="PROPERTIES" dataDxfId="138">
      <calculatedColumnFormula>ISNUMBER(_xlfn.XMATCH(CONTROL[[#This Row],[VEHIDCODE]],PROPERTIES[VEHIDCODE],0))</calculatedColumnFormula>
    </tableColumn>
    <tableColumn id="13" xr3:uid="{473FD571-A166-4EC8-8B7B-F1D30044570B}" name="FLAGS" dataDxfId="137">
      <calculatedColumnFormula>ISNUMBER(_xlfn.XMATCH(CONTROL[[#This Row],[VEHIDCODE]],FLAGS[VEHIDCODE],0))</calculatedColumnFormula>
    </tableColumn>
    <tableColumn id="11" xr3:uid="{B1BAE31E-1DA6-4159-9020-DBAE19ECF7C3}" name="ROSTER" dataDxfId="27">
      <calculatedColumnFormula>ISNUMBER(_xlfn.XLOOKUP(CONTROL[[#This Row],[VEHIDCODE]],roster!A:A,roster!B:B))</calculatedColumnFormula>
    </tableColumn>
    <tableColumn id="10" xr3:uid="{7783F713-60B4-45CF-AEB3-EE02271B3D6F}" name="GRAPHICS_PROPERTIES" dataDxfId="136">
      <calculatedColumnFormula>ISNUMBER(_xlfn.XMATCH(CONTROL[[#This Row],[VEHIDCODE]],GRAPHICS_PROPERTIES[VEHIDCODE],0))</calculatedColumnFormula>
    </tableColumn>
    <tableColumn id="9" xr3:uid="{7B229E25-CF6B-4C5F-B4A4-FEC34CB93E9B}" name="ITEM" dataDxfId="135">
      <calculatedColumnFormula>"item_"&amp;CONTROL[[#This Row],[VEHIDCODE]]</calculatedColumnFormula>
    </tableColumn>
    <tableColumn id="8" xr3:uid="{327E5CDA-51AE-4721-ACBD-5E8C3D890998}" name="NAME" dataDxfId="134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6" totalsRowShown="0" headerRowDxfId="133">
  <autoFilter ref="A1:AF806" xr:uid="{6DCCB998-B5D1-4B0D-8701-BC0E171A94CA}"/>
  <tableColumns count="32">
    <tableColumn id="1" xr3:uid="{173D09BF-30BA-4FF2-B4FE-F09962415DA2}" name="VEHIDCODE" dataDxfId="132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1"/>
    <tableColumn id="19" xr3:uid="{FD65B400-35DE-464D-97AA-B59BB7DAE7DB}" name="COUNTRY_CODE" dataDxfId="13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29"/>
    <tableColumn id="58" xr3:uid="{37DCFD33-B11D-4E3C-9899-EA36DBD4DBC0}" name="LOADINGSPEED_VALUE" dataDxfId="12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6"/>
    <tableColumn id="24" xr3:uid="{FFD5C22B-7B16-440D-91CC-48C8761050DA}" name="TE_COEFFICIENT_CALC" dataDxfId="12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4"/>
    <tableColumn id="14" xr3:uid="{123AAB87-6D4C-406A-A5E1-A61DC2DDFFEE}" name="TE_COEFFICIENT" dataDxfId="12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2"/>
    <tableColumn id="18" xr3:uid="{EB0CE86B-9E06-4ADD-85C1-EA622DE32153}" name="WAGON_CAPACITY" dataDxfId="121"/>
    <tableColumn id="15" xr3:uid="{3558C882-A912-4F84-BDE6-BC0A2A676C4B}" name="WAGON_LENGTH" dataDxfId="120"/>
    <tableColumn id="71" xr3:uid="{3D8AA890-C1F2-4EBD-90E3-21F948960989}" name="PURCHASE_CARGO_CAPACITY" dataDxfId="119"/>
    <tableColumn id="30" xr3:uid="{235283C1-F061-434B-8C4A-AD474FB16FE8}" name="REGION1" dataDxfId="118"/>
    <tableColumn id="29" xr3:uid="{19EC58E3-4FB9-44BC-BFFA-4C7DCCC53DA8}" name="REGION2" dataDxfId="117"/>
    <tableColumn id="27" xr3:uid="{C00DC499-0060-4E48-A71D-AE565097985F}" name="REGION3" dataDxfId="116"/>
    <tableColumn id="56" xr3:uid="{188F57E8-1157-47DF-9E8F-B5F737649F6C}" name="PURCHASECOST_VALUE" dataDxfId="115"/>
    <tableColumn id="28" xr3:uid="{B24767B4-97D7-4814-9BBD-1231E1A0A0A7}" name="RUNNINGCOST_VALUE" dataDxfId="114"/>
    <tableColumn id="22" xr3:uid="{68BAA036-8189-4A5A-B0EF-3F284C15672C}" name="COST_CAT" dataDxfId="11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8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6" totalsRowShown="0" headerRowDxfId="111">
  <autoFilter ref="A1:AF806" xr:uid="{6DCCB998-B5D1-4B0D-8701-BC0E171A94CA}"/>
  <tableColumns count="32">
    <tableColumn id="1" xr3:uid="{CDEAF13A-A986-4600-A992-A08C1CA6142C}" name="VEHIDCODE" dataDxfId="110"/>
    <tableColumn id="55" xr3:uid="{839D134C-3027-42F4-BA04-3BA8BFF71A3B}" name="TRACK_TYPE_STANDARD_GAUGE_RAILTYPE_OHLE" dataDxfId="109"/>
    <tableColumn id="54" xr3:uid="{5D83FD10-ABCB-4FE7-A7DB-4A857A58D719}" name="TRACK_TYPE_STANDARD_GAUGE_RAILTYPE_25KV" dataDxfId="108"/>
    <tableColumn id="53" xr3:uid="{56183170-0B7F-45FB-91B4-356C62C246AD}" name="TRACK_TYPE_STANDARD_GAUGE_RAILTYPE_15KV" dataDxfId="107"/>
    <tableColumn id="52" xr3:uid="{5B71BE07-0EB9-4DEB-A8E8-252C9D979AC2}" name="TRACK_TYPE_STANDARD_GAUGE_RAILTYPE_3KV" dataDxfId="106"/>
    <tableColumn id="51" xr3:uid="{5A6435EB-111E-4AED-A8E1-AEFF82C34393}" name="TRACK_TYPE_STANDARD_GAUGE_RAILTYPE_1500V" dataDxfId="105"/>
    <tableColumn id="50" xr3:uid="{14CA70EA-0EE7-44BA-9D77-FC902C0596DD}" name="TRACK_TYPE_STANDARD_GAUGE_RAILTYPE_3RD" dataDxfId="104"/>
    <tableColumn id="49" xr3:uid="{3A15447A-9663-43FB-8EFF-8F8034548FB0}" name="TRACK_TYPE_STANDARD_GAUGE_RAILTYPE_4TH" dataDxfId="103"/>
    <tableColumn id="48" xr3:uid="{E44E324A-492F-4566-8DC9-0A6F58F40EA9}" name="TRACK_TYPE_STANDARD_GAUGE_RAILTYPE_DUAL" dataDxfId="102"/>
    <tableColumn id="47" xr3:uid="{FE3223C6-E685-4456-91E9-10AEB3B699E7}" name="TRACK_TYPE_STANDARD_GAUGE_RAILTYPE_NONE" dataDxfId="101"/>
    <tableColumn id="46" xr3:uid="{D39969E8-C0CA-4A59-A556-D29019991069}" name="TRACK_TYPE_NARROW_GAUGE_RAILTYPE_OHLE" dataDxfId="100"/>
    <tableColumn id="45" xr3:uid="{5266A9E9-D840-4460-AB81-A081897372F3}" name="TRACK_TYPE_NARROW_GAUGE_RAILTYPE_25KV" dataDxfId="99"/>
    <tableColumn id="44" xr3:uid="{7B4C44D1-C745-4291-86A0-777579742A84}" name="TRACK_TYPE_NARROW_GAUGE_RAILTYPE_15KV" dataDxfId="98"/>
    <tableColumn id="43" xr3:uid="{8736D285-A163-4DBE-84E1-870118B47F14}" name="TRACK_TYPE_NARROW_GAUGE_RAILTYPE_3KV" dataDxfId="97"/>
    <tableColumn id="42" xr3:uid="{6FBBA2FB-4743-4072-B4E0-C42BBDA1CC47}" name="TRACK_TYPE_NARROW_GAUGE_RAILTYPE_1500V" dataDxfId="96"/>
    <tableColumn id="41" xr3:uid="{D3ED2E70-19BF-4D92-A76B-0F0F03D31947}" name="TRACK_TYPE_NARROW_GAUGE_RAILTYPE_3RD" dataDxfId="95"/>
    <tableColumn id="40" xr3:uid="{F38AE7AF-B798-40A5-992A-13685296E710}" name="TRACK_TYPE_NARROW_GAUGE_RAILTYPE_4TH" dataDxfId="94"/>
    <tableColumn id="39" xr3:uid="{16463F64-2239-4E7F-8257-47F324BF8959}" name="TRACK_TYPE_NARROW_GAUGE_RAILTYPE_DUAL" dataDxfId="93"/>
    <tableColumn id="38" xr3:uid="{97037A15-9172-4057-863E-582804353817}" name="TRACK_TYPE_NARROW_GAUGE_RAILTYPE_NONE" dataDxfId="92"/>
    <tableColumn id="37" xr3:uid="{24999D59-5A4F-4A21-B8B4-EBDBF9F8BF1E}" name="TRACK_TYPE_BROAD_GAUGE_RAILTYPE_OHLE" dataDxfId="91"/>
    <tableColumn id="36" xr3:uid="{31AB3927-D18B-49AD-8EF5-C7E9FF4CEDF3}" name="TRACK_TYPE_BROAD_GAUGE_RAILTYPE_25KV" dataDxfId="90"/>
    <tableColumn id="35" xr3:uid="{CB3432E7-4DAE-4807-9CE5-4CB1ACECD395}" name="TRACK_TYPE_BROAD_GAUGE_RAILTYPE_15KV" dataDxfId="89"/>
    <tableColumn id="34" xr3:uid="{E3936FE4-2B46-4DC0-84C0-44C7892A0927}" name="TRACK_TYPE_BROAD_GAUGE_RAILTYPE_3KV" dataDxfId="88"/>
    <tableColumn id="33" xr3:uid="{A5FAA105-CF81-4A75-8967-5721104454E8}" name="TRACK_TYPE_BROAD_GAUGE_RAILTYPE_1500V" dataDxfId="87"/>
    <tableColumn id="32" xr3:uid="{439CDFDE-6BFC-446C-87CF-28C8FF65FCE0}" name="TRACK_TYPE_BROAD_GAUGE_RAILTYPE_3RD" dataDxfId="86"/>
    <tableColumn id="31" xr3:uid="{219AB5E3-CDFF-41B3-BD58-F7427606D15F}" name="TRACK_TYPE_BROAD_GAUGE_RAILTYPE_4TH" dataDxfId="85"/>
    <tableColumn id="30" xr3:uid="{01529768-EA0D-4662-B835-74641896CE3F}" name="TRACK_TYPE_BROAD_GAUGE_RAILTYPE_DUAL" dataDxfId="84"/>
    <tableColumn id="29" xr3:uid="{32C384AB-18DB-4161-B29B-A363A2547BB2}" name="TRACK_TYPE_BROAD_GAUGE_RAILTYPE_NONE" dataDxfId="83"/>
    <tableColumn id="26" xr3:uid="{1CFC6F26-22A8-42EE-972B-0F7ED6623B5A}" name="TRACK_TYPE_MONO" dataDxfId="82"/>
    <tableColumn id="25" xr3:uid="{62939270-15C1-494E-9C53-6EA9E8209C3B}" name="TRACK_TYPE_MGLV" dataDxfId="81"/>
    <tableColumn id="24" xr3:uid="{9DA86EDA-F2AB-4C2D-918E-5260313FD8B3}" name="TRACK_TYPE_MTRO" dataDxfId="80"/>
    <tableColumn id="21" xr3:uid="{E6F11214-E912-4D1C-980D-A111C93B0BED}" name="CHECK_ANY_TT" dataDxfId="79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06" totalsRowShown="0" headerRowDxfId="78">
  <autoFilter ref="A1:H806" xr:uid="{6DCCB998-B5D1-4B0D-8701-BC0E171A94CA}"/>
  <tableColumns count="8">
    <tableColumn id="1" xr3:uid="{327CDBB6-E1D6-4B9F-9625-C81419775134}" name="VEHIDCODE" dataDxfId="77"/>
    <tableColumn id="101" xr3:uid="{78690AEB-EA8F-4FC7-9651-C84D8F318EE9}" name="MISC_FLAGS_TRAIN_FLAG_2CC" dataDxfId="76"/>
    <tableColumn id="100" xr3:uid="{90DBB1A2-A86F-42C6-B2B8-64A2FD6690AB}" name="MISC_FLAGS_TRAIN_FLAG_MU" dataDxfId="75"/>
    <tableColumn id="99" xr3:uid="{DA6644B2-20CC-47E2-B1B5-10210B43738A}" name="MISC_FLAGS_TRAIN_FLAG_AUTOREFIT" dataDxfId="74"/>
    <tableColumn id="2" xr3:uid="{A8915D24-2B2E-4529-B3DE-30BEE23C370F}" name="VEHICLE_FLAG_TRAIN_HAS_CAB" dataDxfId="24"/>
    <tableColumn id="108" xr3:uid="{980A5687-92C0-42A0-811D-C3D4EA0876D1}" name="VISUAL_EFFECT_1" dataDxfId="7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6" totalsRowShown="0" headerRowDxfId="71">
  <autoFilter ref="A1:D806" xr:uid="{6DCCB998-B5D1-4B0D-8701-BC0E171A94CA}"/>
  <tableColumns count="4">
    <tableColumn id="1" xr3:uid="{0B6094CF-6CA6-410A-A041-C85FACC0820E}" name="VEHIDCODE" dataDxfId="70"/>
    <tableColumn id="7" xr3:uid="{3D8CAD9A-C0D1-459B-8D7C-DFC931F5B279}" name="PANTOGRAPH_POSITION" dataDxfId="69"/>
    <tableColumn id="6" xr3:uid="{E0637D36-B3FC-4486-87F9-603EB2076188}" name="TEMPLATE_ID" dataDxfId="68"/>
    <tableColumn id="9" xr3:uid="{FEF2BF9C-74F1-405C-9871-E4301805E364}" name="TEMPLATE_AMENDMENT_CODE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6" headerRowBorderDxfId="65" tableBorderDxfId="6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3" headerRowBorderDxfId="62" tableBorderDxfId="6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0" dataDxfId="59" tableBorderDxfId="58">
  <autoFilter ref="A1:A17" xr:uid="{0B243503-43AD-403A-90CE-B69D05B25C30}"/>
  <tableColumns count="1">
    <tableColumn id="1" xr3:uid="{3709FB1B-DE08-4A3E-8CA6-F5322D2A3261}" name="VALID_REGIONS" dataDxfId="5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6" dataDxfId="5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4"/>
    <tableColumn id="2" xr3:uid="{CCC9A744-4F42-4023-A516-9395213016EB}" name="COUNTRY_DESCRIPTION" dataDxfId="53"/>
    <tableColumn id="3" xr3:uid="{01E32DA0-BF93-49AA-BE03-33EF914A0BCC}" name="COUNTS" dataDxfId="2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51" headerRowBorderDxfId="52" tableBorderDxfId="50" totalsRowBorderDxfId="49">
  <autoFilter ref="K1:K25" xr:uid="{686D0694-AFBC-4B91-A3D3-72E1CCF00B7D}"/>
  <tableColumns count="1">
    <tableColumn id="1" xr3:uid="{7F0999BD-E0C9-463F-A054-2DA49D41A9EE}" name="VEHID_ID_CATEGORY" dataDxfId="4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7"/>
    <tableColumn id="4" xr3:uid="{3DDC8685-BA3D-40E8-A910-1E59013A762D}" name="Range End" dataDxfId="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5" dataDxfId="44">
  <autoFilter ref="A1:N16" xr:uid="{863AE95D-BE34-47D8-B01B-1170BF25FDF2}"/>
  <tableColumns count="14">
    <tableColumn id="1" xr3:uid="{5F487593-655E-41B5-B155-86F88B53946D}" name="COST_CAT" dataDxfId="43"/>
    <tableColumn id="2" xr3:uid="{33F9C454-EDB2-4DA7-BF7A-64CBC12EBC9B}" name="P1" dataDxfId="42"/>
    <tableColumn id="3" xr3:uid="{25FB11D0-082D-4DE3-9821-1367939D8742}" name="P2" dataDxfId="41"/>
    <tableColumn id="4" xr3:uid="{19CDF402-C641-4217-A953-2A851DF85ADB}" name="P3" dataDxfId="40"/>
    <tableColumn id="5" xr3:uid="{1EF59E2C-32FF-4712-AD89-CBF77E507832}" name="P4" dataDxfId="39"/>
    <tableColumn id="6" xr3:uid="{04250F90-183D-4392-BE27-C420F795E1DC}" name="P5" dataDxfId="38"/>
    <tableColumn id="7" xr3:uid="{F7062C4F-5B57-4110-A21E-BDC8820130D9}" name="P6" dataDxfId="37"/>
    <tableColumn id="8" xr3:uid="{B47621AA-9D6F-4396-B3D9-BD8CF656F30E}" name="P7" dataDxfId="36"/>
    <tableColumn id="9" xr3:uid="{7055539E-C4C8-407D-91F5-6CB021EDE84F}" name="R1" dataDxfId="35"/>
    <tableColumn id="10" xr3:uid="{D17981EB-EB8A-4630-958C-3792D72CD53F}" name="R2" dataDxfId="34"/>
    <tableColumn id="11" xr3:uid="{85EDD15A-812B-4C42-B03A-D558B807622E}" name="R3" dataDxfId="33"/>
    <tableColumn id="12" xr3:uid="{61A73E38-33EC-41D1-B899-56F15EDBDD59}" name="R4" dataDxfId="32"/>
    <tableColumn id="13" xr3:uid="{7A83ADCF-C18F-402F-81A8-0F935E928ED9}" name="R5" dataDxfId="31"/>
    <tableColumn id="14" xr3:uid="{1140F6C7-9C3D-4800-9F3B-DC6E6EBE9541}" name="R6" dataDxfId="3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06"/>
  <sheetViews>
    <sheetView workbookViewId="0">
      <pane xSplit="1" ySplit="1" topLeftCell="L782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3090</v>
      </c>
      <c r="N1" s="6" t="s">
        <v>1060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2989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3072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3073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3074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3075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2997</v>
      </c>
      <c r="G93" t="s">
        <v>2998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2995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3005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3076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3000</v>
      </c>
      <c r="G131" t="s">
        <v>2999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2996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3004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3077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3078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3033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3042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3057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3043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3058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3044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3059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3079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3045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3060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3046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3061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3047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3062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3048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3063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3049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3064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3050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3065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3051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3066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3052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3067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3053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3068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3054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3069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3055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3070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3056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3071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3030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3031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2986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3008</v>
      </c>
      <c r="G793" t="s">
        <v>2987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2988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2990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2992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3007</v>
      </c>
      <c r="G795" t="s">
        <v>2991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2994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3006</v>
      </c>
      <c r="G796" t="s">
        <v>2993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3011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3009</v>
      </c>
      <c r="G797" t="s">
        <v>3010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3013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3014</v>
      </c>
      <c r="G798" t="s">
        <v>3015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3016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3018</v>
      </c>
      <c r="G799" t="s">
        <v>3017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3019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3021</v>
      </c>
      <c r="G800" t="s">
        <v>3020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3022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3023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3024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3025</v>
      </c>
      <c r="G802" t="s">
        <v>3026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3027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3029</v>
      </c>
      <c r="G803" t="s">
        <v>3028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3032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3034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3086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4" t="s">
        <v>3088</v>
      </c>
      <c r="G805" t="s">
        <v>1749</v>
      </c>
      <c r="H805" s="45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s="44" t="b">
        <f>ISNUMBER(_xlfn.XMATCH(CONTROL[[#This Row],[VEHIDCODE]],TRACK_TYPES[VEHIDCODE],0))</f>
        <v>1</v>
      </c>
      <c r="K805" s="44" t="b">
        <f>ISNUMBER(_xlfn.XMATCH(CONTROL[[#This Row],[VEHIDCODE]],PROPERTIES[VEHIDCODE],0))</f>
        <v>1</v>
      </c>
      <c r="L805" s="44" t="b">
        <f>ISNUMBER(_xlfn.XMATCH(CONTROL[[#This Row],[VEHIDCODE]],FLAGS[VEHIDCODE],0))</f>
        <v>1</v>
      </c>
      <c r="M805" s="44" t="b">
        <f>ISNUMBER(_xlfn.XLOOKUP(CONTROL[[#This Row],[VEHIDCODE]],roster!A:A,roster!B:B))</f>
        <v>1</v>
      </c>
      <c r="N805" s="44" t="b">
        <f>ISNUMBER(_xlfn.XMATCH(CONTROL[[#This Row],[VEHIDCODE]],GRAPHICS_PROPERTIES[VEHIDCODE],0))</f>
        <v>1</v>
      </c>
      <c r="O805" s="46" t="str">
        <f>"item_"&amp;CONTROL[[#This Row],[VEHIDCODE]]</f>
        <v>item_mu_Coach_Gen6_CityNightLine_Sleeper</v>
      </c>
      <c r="P805" s="46" t="str">
        <f>"str_"&amp;CONTROL[[#This Row],[VEHIDCODE]]</f>
        <v>str_mu_Coach_Gen6_CityNightLine_Sleeper</v>
      </c>
    </row>
    <row r="806" spans="1:16">
      <c r="A806" t="s">
        <v>3087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4" t="s">
        <v>3089</v>
      </c>
      <c r="G806" t="s">
        <v>1749</v>
      </c>
      <c r="H806" s="45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s="44" t="b">
        <f>ISNUMBER(_xlfn.XMATCH(CONTROL[[#This Row],[VEHIDCODE]],TRACK_TYPES[VEHIDCODE],0))</f>
        <v>1</v>
      </c>
      <c r="K806" s="44" t="b">
        <f>ISNUMBER(_xlfn.XMATCH(CONTROL[[#This Row],[VEHIDCODE]],PROPERTIES[VEHIDCODE],0))</f>
        <v>1</v>
      </c>
      <c r="L806" s="44" t="b">
        <f>ISNUMBER(_xlfn.XMATCH(CONTROL[[#This Row],[VEHIDCODE]],FLAGS[VEHIDCODE],0))</f>
        <v>1</v>
      </c>
      <c r="M806" s="44" t="b">
        <f>ISNUMBER(_xlfn.XLOOKUP(CONTROL[[#This Row],[VEHIDCODE]],roster!A:A,roster!B:B))</f>
        <v>1</v>
      </c>
      <c r="N806" s="44" t="b">
        <f>ISNUMBER(_xlfn.XMATCH(CONTROL[[#This Row],[VEHIDCODE]],GRAPHICS_PROPERTIES[VEHIDCODE],0))</f>
        <v>1</v>
      </c>
      <c r="O806" s="46" t="str">
        <f>"item_"&amp;CONTROL[[#This Row],[VEHIDCODE]]</f>
        <v>item_mu_Coach_Gen6_Trans_Euro_Night_Sleeper</v>
      </c>
      <c r="P806" s="46" t="str">
        <f>"str_"&amp;CONTROL[[#This Row],[VEHIDCODE]]</f>
        <v>str_mu_Coach_Gen6_Trans_Euro_Night_Sleeper</v>
      </c>
    </row>
  </sheetData>
  <conditionalFormatting sqref="H2:H806">
    <cfRule type="containsText" dxfId="21" priority="3" operator="containsText" text="FALSE">
      <formula>NOT(ISERROR(SEARCH("FALSE",H2)))</formula>
    </cfRule>
  </conditionalFormatting>
  <conditionalFormatting sqref="I1:I806">
    <cfRule type="containsText" dxfId="20" priority="7" operator="containsText" text="FALSE">
      <formula>NOT(ISERROR(SEARCH("FALSE",I1)))</formula>
    </cfRule>
  </conditionalFormatting>
  <conditionalFormatting sqref="J1:P795 K796:P803 J804:P804 K805:P1048576">
    <cfRule type="cellIs" dxfId="19" priority="5" operator="equal">
      <formula>FALSE</formula>
    </cfRule>
  </conditionalFormatting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dataValidations count="1">
    <dataValidation type="list" allowBlank="1" showInputMessage="1" showErrorMessage="1" sqref="D2:D80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6"/>
  <sheetViews>
    <sheetView zoomScaleNormal="100"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3036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3039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3037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3040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3038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3041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3036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3039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3036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3039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3038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3041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3036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3039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3038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3041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3037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3040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3036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3039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3038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3041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3037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3040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3036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3039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3038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3041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3037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3040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2986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2988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2992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2994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3011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3013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3016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3019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3022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3024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3027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3032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3086</v>
      </c>
      <c r="B805">
        <v>1995</v>
      </c>
      <c r="C805">
        <v>0</v>
      </c>
      <c r="D805" s="44"/>
      <c r="E805" s="44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 s="44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1009</v>
      </c>
      <c r="AC805" s="9" t="s">
        <v>1010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3087</v>
      </c>
      <c r="B806">
        <v>1970</v>
      </c>
      <c r="C806">
        <v>0</v>
      </c>
      <c r="D806" s="44"/>
      <c r="E806" s="44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 s="44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1009</v>
      </c>
      <c r="AC806" s="9" t="s">
        <v>1010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</sheetData>
  <phoneticPr fontId="18" type="noConversion"/>
  <conditionalFormatting sqref="R796:T799 R802:T803 R805:T1048576 Q1:S806">
    <cfRule type="cellIs" dxfId="16" priority="19" operator="equal">
      <formula>0</formula>
    </cfRule>
  </conditionalFormatting>
  <conditionalFormatting sqref="Y1:AA798 AN792:AP1048576">
    <cfRule type="cellIs" dxfId="15" priority="10" operator="equal">
      <formula>FALSE</formula>
    </cfRule>
  </conditionalFormatting>
  <conditionalFormatting sqref="Y800:AA802">
    <cfRule type="cellIs" dxfId="14" priority="6" operator="equal">
      <formula>FALSE</formula>
    </cfRule>
  </conditionalFormatting>
  <conditionalFormatting sqref="Y804:AA804">
    <cfRule type="cellIs" dxfId="13" priority="3" operator="equal">
      <formula>FALSE</formula>
    </cfRule>
  </conditionalFormatting>
  <conditionalFormatting sqref="Z803:AA803">
    <cfRule type="cellIs" dxfId="12" priority="5" operator="equal">
      <formula>FALSE</formula>
    </cfRule>
  </conditionalFormatting>
  <conditionalFormatting sqref="AF2:AF806">
    <cfRule type="containsText" dxfId="11" priority="4" operator="containsText" text="FALSE">
      <formula>NOT(ISERROR(SEARCH("FALSE",AF2)))</formula>
    </cfRule>
  </conditionalFormatting>
  <conditionalFormatting sqref="AM790:AO791">
    <cfRule type="cellIs" dxfId="10" priority="20" operator="equal">
      <formula>FALSE</formula>
    </cfRule>
  </conditionalFormatting>
  <conditionalFormatting sqref="Y805:AA806">
    <cfRule type="cellIs" dxfId="9" priority="2" operator="equal">
      <formula>FALSE</formula>
    </cfRule>
  </conditionalFormatting>
  <dataValidations count="16">
    <dataValidation type="whole" allowBlank="1" showInputMessage="1" showErrorMessage="1" sqref="C2:C806" xr:uid="{C9FB6BB5-B3CF-40B9-A6CD-3E0B48B95DF5}">
      <formula1>0</formula1>
      <formula2>1</formula2>
    </dataValidation>
    <dataValidation type="whole" operator="greaterThanOrEqual" allowBlank="1" showInputMessage="1" showErrorMessage="1" sqref="M784:M795 H2:H806 M2:M725 O2:P806 M800:M801 M806 M804 V2:X806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6 Q2:T806" xr:uid="{F342F512-E760-4CD3-801B-E5B9CF70B7FD}">
      <formula1>0</formula1>
    </dataValidation>
    <dataValidation type="whole" allowBlank="1" showInputMessage="1" showErrorMessage="1" sqref="U2:U795 U797:U798 U800:U802 U804:U806" xr:uid="{7D4429EE-1046-4DE2-A6D7-76E6899E9B8A}">
      <formula1>5</formula1>
      <formula2>100</formula2>
    </dataValidation>
    <dataValidation operator="greaterThanOrEqual" allowBlank="1" showInputMessage="1" showErrorMessage="1" sqref="AI790:AJ791 U796 U799 U803 U807:U1048576 AJ792:AK1048576" xr:uid="{2D963A9D-C2E3-4020-ABFA-FD04EDA25119}"/>
    <dataValidation type="list" allowBlank="1" showInputMessage="1" showErrorMessage="1" sqref="AC2:AC806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6" xr:uid="{EB4398F4-10E4-463B-A52E-1F5C116A99EF}">
      <formula1>INDIRECT("VALID_ENGINE_CLASS[ENGINE_CLASS]")</formula1>
    </dataValidation>
    <dataValidation type="list" operator="greaterThanOrEqual" allowBlank="1" showInputMessage="1" showErrorMessage="1" sqref="AB2:AB806" xr:uid="{D83E915C-A301-4BE3-9E12-6790BD0E2284}">
      <formula1>INDIRECT("VALID_PURCHASECOSTVALUE[PURCHASECOSTVALUE]")</formula1>
    </dataValidation>
    <dataValidation type="list" allowBlank="1" showInputMessage="1" showErrorMessage="1" sqref="D2:D806" xr:uid="{33652263-03A3-437A-966A-BE8C0F8BE076}">
      <formula1>INDIRECT("COUNTRIES[COUNTRY_DESCRIPTION]")</formula1>
    </dataValidation>
    <dataValidation type="list" allowBlank="1" showInputMessage="1" showErrorMessage="1" sqref="E2:E806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F806" xr:uid="{F2DE25A7-EAF4-4DA6-85FD-9F7B7EE18717}">
      <formula1>"TRUE,FALSE"</formula1>
    </dataValidation>
    <dataValidation type="list" allowBlank="1" showInputMessage="1" showErrorMessage="1" sqref="Y2:Z795 Y797:Z798 Y800:Z802 Z803 Y804:Z806" xr:uid="{A6AEDF15-D52E-4DEA-AD86-7127D84AEEAD}">
      <formula1>INDIRECT("VALID_REGIONS[VALID_REGIONS]")</formula1>
    </dataValidation>
    <dataValidation type="list" allowBlank="1" showInputMessage="1" showErrorMessage="1" sqref="AA800:AA806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AA800:AA806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6"/>
  <sheetViews>
    <sheetView zoomScaleNormal="100" workbookViewId="0">
      <pane xSplit="1" ySplit="1" topLeftCell="AF789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2992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2994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3016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3019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3024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3027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3086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3087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</sheetData>
  <phoneticPr fontId="18" type="noConversion"/>
  <conditionalFormatting sqref="AH790:AJ1048576 AF1:AF1048576">
    <cfRule type="cellIs" dxfId="8" priority="5" operator="equal">
      <formula>FALSE</formula>
    </cfRule>
  </conditionalFormatting>
  <dataValidations count="1">
    <dataValidation type="list" allowBlank="1" showInputMessage="1" showErrorMessage="1" sqref="AH807:AK1048576 K807:AF1048576 B2:AF806 AH790:AK806 AO790:AS806 AO807:A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06"/>
  <sheetViews>
    <sheetView tabSelected="1" zoomScale="85" zoomScaleNormal="85" workbookViewId="0">
      <pane xSplit="1" ySplit="1" topLeftCell="B761" activePane="bottomRight" state="frozen"/>
      <selection pane="topRight" activeCell="B1" sqref="B1"/>
      <selection pane="bottomLeft" activeCell="A2" sqref="A2"/>
      <selection pane="bottomRight" activeCell="E764" sqref="E7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3091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0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1753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1756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2842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2986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2988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2992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2994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3011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3013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3016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3019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3022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3024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3027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3032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3086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3087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</sheetData>
  <conditionalFormatting sqref="B1:E1048576">
    <cfRule type="cellIs" dxfId="7" priority="1" operator="equal">
      <formula>FALSE</formula>
    </cfRule>
  </conditionalFormatting>
  <conditionalFormatting sqref="J790:L1048576">
    <cfRule type="cellIs" dxfId="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6"/>
  <sheetViews>
    <sheetView zoomScaleNormal="100" workbookViewId="0">
      <pane xSplit="1" ySplit="1" topLeftCell="B492" activePane="bottomRight" state="frozen"/>
      <selection activeCell="Q19" sqref="Q19"/>
      <selection pane="topRight" activeCell="Q19" sqref="Q19"/>
      <selection pane="bottomLeft" activeCell="Q19" sqref="Q19"/>
      <selection pane="bottomRight" activeCell="C505" sqref="C505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3092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3092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3092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3092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3092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3092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3092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3092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3092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3092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3092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3092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3092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3092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2986</v>
      </c>
      <c r="B793" t="s">
        <v>1749</v>
      </c>
      <c r="C793" t="s">
        <v>1729</v>
      </c>
      <c r="D793" t="s">
        <v>1732</v>
      </c>
    </row>
    <row r="794" spans="1:13">
      <c r="A794" s="2" t="s">
        <v>2988</v>
      </c>
      <c r="B794" t="s">
        <v>1749</v>
      </c>
      <c r="C794" t="s">
        <v>1722</v>
      </c>
      <c r="D794" t="s">
        <v>1732</v>
      </c>
    </row>
    <row r="795" spans="1:13">
      <c r="A795" t="s">
        <v>2992</v>
      </c>
      <c r="B795" t="s">
        <v>1749</v>
      </c>
      <c r="C795" t="s">
        <v>1729</v>
      </c>
      <c r="D795" t="s">
        <v>1731</v>
      </c>
    </row>
    <row r="796" spans="1:13">
      <c r="A796" t="s">
        <v>2994</v>
      </c>
      <c r="B796" t="s">
        <v>1749</v>
      </c>
      <c r="C796" t="s">
        <v>1729</v>
      </c>
      <c r="D796" t="s">
        <v>1731</v>
      </c>
    </row>
    <row r="797" spans="1:13">
      <c r="A797" s="2" t="s">
        <v>3011</v>
      </c>
      <c r="B797" t="s">
        <v>1749</v>
      </c>
      <c r="C797" t="s">
        <v>1722</v>
      </c>
      <c r="D797" t="s">
        <v>1731</v>
      </c>
    </row>
    <row r="798" spans="1:13">
      <c r="A798" s="2" t="s">
        <v>3013</v>
      </c>
      <c r="B798" t="s">
        <v>1749</v>
      </c>
      <c r="C798" t="s">
        <v>1725</v>
      </c>
      <c r="D798" t="s">
        <v>1731</v>
      </c>
    </row>
    <row r="799" spans="1:13">
      <c r="A799" s="2" t="s">
        <v>3016</v>
      </c>
      <c r="B799" t="s">
        <v>1750</v>
      </c>
      <c r="C799" t="s">
        <v>1722</v>
      </c>
      <c r="D799" t="s">
        <v>1731</v>
      </c>
    </row>
    <row r="800" spans="1:13">
      <c r="A800" s="2" t="s">
        <v>3019</v>
      </c>
      <c r="B800" t="s">
        <v>1749</v>
      </c>
      <c r="C800" t="s">
        <v>1722</v>
      </c>
      <c r="D800" t="s">
        <v>1731</v>
      </c>
    </row>
    <row r="801" spans="1:4">
      <c r="A801" s="2" t="s">
        <v>3022</v>
      </c>
      <c r="B801" t="s">
        <v>1749</v>
      </c>
      <c r="C801" t="s">
        <v>1722</v>
      </c>
      <c r="D801" t="s">
        <v>1731</v>
      </c>
    </row>
    <row r="802" spans="1:4">
      <c r="A802" s="2" t="s">
        <v>3024</v>
      </c>
      <c r="B802" t="s">
        <v>1749</v>
      </c>
      <c r="C802" t="s">
        <v>1722</v>
      </c>
      <c r="D802" t="s">
        <v>1731</v>
      </c>
    </row>
    <row r="803" spans="1:4">
      <c r="A803" s="2" t="s">
        <v>3027</v>
      </c>
      <c r="B803" t="s">
        <v>1750</v>
      </c>
      <c r="C803" t="s">
        <v>1722</v>
      </c>
      <c r="D803" t="s">
        <v>1731</v>
      </c>
    </row>
    <row r="804" spans="1:4">
      <c r="A804" s="2" t="s">
        <v>3032</v>
      </c>
      <c r="B804" t="s">
        <v>1749</v>
      </c>
      <c r="C804" t="s">
        <v>1726</v>
      </c>
      <c r="D804" t="s">
        <v>1733</v>
      </c>
    </row>
    <row r="805" spans="1:4">
      <c r="A805" s="2" t="s">
        <v>3086</v>
      </c>
      <c r="B805" t="s">
        <v>1749</v>
      </c>
      <c r="C805" t="s">
        <v>1728</v>
      </c>
      <c r="D805" t="s">
        <v>1731</v>
      </c>
    </row>
    <row r="806" spans="1:4">
      <c r="A806" s="2" t="s">
        <v>3087</v>
      </c>
      <c r="B806" t="s">
        <v>1749</v>
      </c>
      <c r="C806" t="s">
        <v>1728</v>
      </c>
      <c r="D806" t="s">
        <v>1731</v>
      </c>
    </row>
  </sheetData>
  <conditionalFormatting sqref="B1:C1048576">
    <cfRule type="containsText" dxfId="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6"/>
  <sheetViews>
    <sheetView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B805" sqref="B80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2982</v>
      </c>
      <c r="C1" t="s">
        <v>2278</v>
      </c>
      <c r="D1" s="36" t="s">
        <v>684</v>
      </c>
      <c r="E1" s="36" t="s">
        <v>685</v>
      </c>
      <c r="F1" s="36" t="s">
        <v>2983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6" si="81">_xlfn.CONCAT($D771,"_",$E771)</f>
        <v>ALL_AMERICA_OCEANIA</v>
      </c>
      <c r="G771" t="b">
        <f t="shared" ref="G771:G806" si="82">OR(ISNUMBER(SEARCH("ALL_REGION",$F771)),
ISNUMBER(SEARCH("AFRICA",$F771)),
ISNUMBER(SEARCH("REGIONTYPE1",$F771)),
ISNUMBER(SEARCH("REGIONTYPE2",$F771)))</f>
        <v>0</v>
      </c>
      <c r="H771" t="b">
        <f t="shared" ref="H771:H80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6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6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</sheetData>
  <autoFilter ref="A1:O793" xr:uid="{94AF2F1A-9287-4526-9497-B34C300AF4DB}"/>
  <conditionalFormatting sqref="G1:G1048576 H795:I1048576">
    <cfRule type="containsText" dxfId="4" priority="20" operator="containsText" text="FALSE">
      <formula>NOT(ISERROR(SEARCH("FALSE",G1)))</formula>
    </cfRule>
  </conditionalFormatting>
  <conditionalFormatting sqref="H1:I792">
    <cfRule type="containsText" dxfId="3" priority="19" operator="containsText" text="FALSE">
      <formula>NOT(ISERROR(SEARCH("FALSE",H1)))</formula>
    </cfRule>
  </conditionalFormatting>
  <conditionalFormatting sqref="H2:O804">
    <cfRule type="containsText" dxfId="2" priority="4" operator="containsText" text="FALSE">
      <formula>NOT(ISERROR(SEARCH("FALSE",H2)))</formula>
    </cfRule>
  </conditionalFormatting>
  <conditionalFormatting sqref="H805:O805">
    <cfRule type="containsText" dxfId="1" priority="3" operator="containsText" text="FALSE">
      <formula>NOT(ISERROR(SEARCH("FALSE",H805)))</formula>
    </cfRule>
  </conditionalFormatting>
  <conditionalFormatting sqref="H806:O806">
    <cfRule type="containsText" dxfId="0" priority="2" operator="containsText" text="FALSE">
      <formula>NOT(ISERROR(SEARCH("FALSE",H806)))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907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2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>
        <v>2</v>
      </c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/>
      <c r="L9" s="44">
        <v>4</v>
      </c>
      <c r="M9" s="44">
        <v>2</v>
      </c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1</v>
      </c>
      <c r="D10" s="44"/>
      <c r="E10" s="44"/>
      <c r="F10" s="44"/>
      <c r="G10" s="44">
        <v>1</v>
      </c>
      <c r="H10" s="44"/>
      <c r="I10" s="44"/>
      <c r="J10" s="44">
        <v>4</v>
      </c>
      <c r="K10" s="44"/>
      <c r="L10" s="44">
        <v>3</v>
      </c>
      <c r="M10" s="44">
        <v>3</v>
      </c>
      <c r="N10" s="44">
        <v>1</v>
      </c>
      <c r="O10" s="44">
        <v>2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2</v>
      </c>
      <c r="D11" s="44"/>
      <c r="E11" s="44"/>
      <c r="F11" s="44">
        <v>2</v>
      </c>
      <c r="G11" s="44"/>
      <c r="H11" s="44">
        <v>3</v>
      </c>
      <c r="I11" s="44"/>
      <c r="J11" s="44"/>
      <c r="K11" s="44"/>
      <c r="L11" s="44">
        <v>8</v>
      </c>
      <c r="M11" s="44">
        <v>2</v>
      </c>
      <c r="N11" s="44">
        <v>2</v>
      </c>
      <c r="O11" s="44">
        <v>2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/>
      <c r="F12" s="44">
        <v>6</v>
      </c>
      <c r="G12" s="44">
        <v>4</v>
      </c>
      <c r="H12" s="44">
        <v>1</v>
      </c>
      <c r="I12" s="44"/>
      <c r="J12" s="44"/>
      <c r="K12" s="44"/>
      <c r="L12" s="44">
        <v>7</v>
      </c>
      <c r="M12" s="44">
        <v>1</v>
      </c>
      <c r="N12" s="44">
        <v>2</v>
      </c>
      <c r="O12" s="44">
        <v>3</v>
      </c>
      <c r="P12" s="44">
        <v>2</v>
      </c>
      <c r="Q12" s="44">
        <v>2</v>
      </c>
      <c r="R12" s="44"/>
    </row>
    <row r="13" spans="1:18">
      <c r="A13">
        <v>1960</v>
      </c>
      <c r="B13" t="s">
        <v>2984</v>
      </c>
      <c r="C13" s="44">
        <v>2</v>
      </c>
      <c r="D13" s="44"/>
      <c r="E13" s="44"/>
      <c r="F13" s="44">
        <v>10</v>
      </c>
      <c r="G13" s="44">
        <v>1</v>
      </c>
      <c r="H13" s="44">
        <v>1</v>
      </c>
      <c r="I13" s="44"/>
      <c r="J13" s="44"/>
      <c r="K13" s="44"/>
      <c r="L13" s="44">
        <v>6</v>
      </c>
      <c r="M13" s="44"/>
      <c r="N13" s="44">
        <v>1</v>
      </c>
      <c r="O13" s="44"/>
      <c r="P13" s="44">
        <v>1</v>
      </c>
      <c r="Q13" s="44">
        <v>2</v>
      </c>
      <c r="R13" s="44"/>
    </row>
    <row r="14" spans="1:18">
      <c r="A14">
        <v>1980</v>
      </c>
      <c r="B14" t="s">
        <v>2984</v>
      </c>
      <c r="C14" s="44">
        <v>1</v>
      </c>
      <c r="D14" s="44">
        <v>1</v>
      </c>
      <c r="E14" s="44"/>
      <c r="F14" s="44">
        <v>2</v>
      </c>
      <c r="G14" s="44">
        <v>1</v>
      </c>
      <c r="H14" s="44">
        <v>1</v>
      </c>
      <c r="I14" s="44">
        <v>1</v>
      </c>
      <c r="J14" s="44">
        <v>2</v>
      </c>
      <c r="K14" s="44"/>
      <c r="L14" s="44">
        <v>8</v>
      </c>
      <c r="M14" s="44"/>
      <c r="N14" s="44"/>
      <c r="O14" s="44"/>
      <c r="P14" s="44">
        <v>1</v>
      </c>
      <c r="Q14" s="44">
        <v>1</v>
      </c>
      <c r="R14" s="44"/>
    </row>
    <row r="15" spans="1:18">
      <c r="A15">
        <v>2000</v>
      </c>
      <c r="B15" t="s">
        <v>2984</v>
      </c>
      <c r="C15" s="44">
        <v>2</v>
      </c>
      <c r="D15" s="44">
        <v>2</v>
      </c>
      <c r="E15" s="44">
        <v>1</v>
      </c>
      <c r="F15" s="44">
        <v>3</v>
      </c>
      <c r="G15" s="44"/>
      <c r="H15" s="44"/>
      <c r="I15" s="44">
        <v>1</v>
      </c>
      <c r="J15" s="44">
        <v>2</v>
      </c>
      <c r="K15" s="44"/>
      <c r="L15" s="44">
        <v>23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>
        <v>1</v>
      </c>
      <c r="F16" s="44"/>
      <c r="G16" s="44"/>
      <c r="H16" s="44"/>
      <c r="I16" s="44"/>
      <c r="J16" s="44"/>
      <c r="K16" s="44"/>
      <c r="L16" s="44">
        <v>14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>
        <v>1</v>
      </c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909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/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>
        <v>1</v>
      </c>
      <c r="P7" s="44">
        <v>1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>
        <v>3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>
        <v>1</v>
      </c>
      <c r="F9" s="44">
        <v>1</v>
      </c>
      <c r="G9" s="44"/>
      <c r="H9" s="44">
        <v>2</v>
      </c>
      <c r="I9" s="44"/>
      <c r="J9" s="44"/>
      <c r="K9" s="44"/>
      <c r="L9" s="44">
        <v>3</v>
      </c>
      <c r="M9" s="44"/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2</v>
      </c>
      <c r="D10" s="44"/>
      <c r="E10" s="44"/>
      <c r="F10" s="44">
        <v>2</v>
      </c>
      <c r="G10" s="44">
        <v>3</v>
      </c>
      <c r="H10" s="44">
        <v>2</v>
      </c>
      <c r="I10" s="44">
        <v>4</v>
      </c>
      <c r="J10" s="44"/>
      <c r="K10" s="44"/>
      <c r="L10" s="44">
        <v>3</v>
      </c>
      <c r="M10" s="44"/>
      <c r="N10" s="44"/>
      <c r="O10" s="44">
        <v>1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1</v>
      </c>
      <c r="D11" s="44"/>
      <c r="E11" s="44">
        <v>4</v>
      </c>
      <c r="F11" s="44">
        <v>2</v>
      </c>
      <c r="G11" s="44">
        <v>2</v>
      </c>
      <c r="H11" s="44">
        <v>1</v>
      </c>
      <c r="I11" s="44"/>
      <c r="J11" s="44"/>
      <c r="K11" s="44"/>
      <c r="L11" s="44">
        <v>6</v>
      </c>
      <c r="M11" s="44">
        <v>2</v>
      </c>
      <c r="N11" s="44"/>
      <c r="O11" s="44">
        <v>3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>
        <v>4</v>
      </c>
      <c r="F12" s="44">
        <v>7</v>
      </c>
      <c r="G12" s="44">
        <v>3</v>
      </c>
      <c r="H12" s="44">
        <v>2</v>
      </c>
      <c r="I12" s="44"/>
      <c r="J12" s="44"/>
      <c r="K12" s="44"/>
      <c r="L12" s="44">
        <v>5</v>
      </c>
      <c r="M12" s="44"/>
      <c r="N12" s="44"/>
      <c r="O12" s="44">
        <v>2</v>
      </c>
      <c r="P12" s="44">
        <v>1</v>
      </c>
      <c r="Q12" s="44"/>
      <c r="R12" s="44"/>
    </row>
    <row r="13" spans="1:18">
      <c r="A13">
        <v>1960</v>
      </c>
      <c r="B13" t="s">
        <v>2984</v>
      </c>
      <c r="C13" s="44">
        <v>2</v>
      </c>
      <c r="D13" s="44">
        <v>2</v>
      </c>
      <c r="E13" s="44">
        <v>1</v>
      </c>
      <c r="F13" s="44">
        <v>3</v>
      </c>
      <c r="G13" s="44">
        <v>1</v>
      </c>
      <c r="H13" s="44">
        <v>2</v>
      </c>
      <c r="I13" s="44"/>
      <c r="J13" s="44"/>
      <c r="K13" s="44"/>
      <c r="L13" s="44">
        <v>5</v>
      </c>
      <c r="M13" s="44"/>
      <c r="N13" s="44"/>
      <c r="O13" s="44"/>
      <c r="P13" s="44">
        <v>1</v>
      </c>
      <c r="Q13" s="44">
        <v>5</v>
      </c>
      <c r="R13" s="44"/>
    </row>
    <row r="14" spans="1:18">
      <c r="A14">
        <v>1980</v>
      </c>
      <c r="B14" t="s">
        <v>2984</v>
      </c>
      <c r="C14" s="44"/>
      <c r="D14" s="44"/>
      <c r="E14" s="44">
        <v>3</v>
      </c>
      <c r="F14" s="44">
        <v>1</v>
      </c>
      <c r="G14" s="44">
        <v>2</v>
      </c>
      <c r="H14" s="44">
        <v>2</v>
      </c>
      <c r="I14" s="44">
        <v>2</v>
      </c>
      <c r="J14" s="44"/>
      <c r="K14" s="44">
        <v>1</v>
      </c>
      <c r="L14" s="44">
        <v>7</v>
      </c>
      <c r="M14" s="44"/>
      <c r="N14" s="44"/>
      <c r="O14" s="44"/>
      <c r="P14" s="44">
        <v>1</v>
      </c>
      <c r="Q14" s="44">
        <v>3</v>
      </c>
      <c r="R14" s="44"/>
    </row>
    <row r="15" spans="1:18">
      <c r="A15">
        <v>2000</v>
      </c>
      <c r="B15" t="s">
        <v>2984</v>
      </c>
      <c r="C15" s="44">
        <v>1</v>
      </c>
      <c r="D15" s="44">
        <v>1</v>
      </c>
      <c r="E15" s="44">
        <v>3</v>
      </c>
      <c r="F15" s="44">
        <v>1</v>
      </c>
      <c r="G15" s="44"/>
      <c r="H15" s="44">
        <v>1</v>
      </c>
      <c r="I15" s="44">
        <v>2</v>
      </c>
      <c r="J15" s="44"/>
      <c r="K15" s="44"/>
      <c r="L15" s="44">
        <v>19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10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911</v>
      </c>
      <c r="C4" t="s">
        <v>2974</v>
      </c>
      <c r="D4" t="s">
        <v>2979</v>
      </c>
      <c r="E4" t="s">
        <v>2976</v>
      </c>
      <c r="F4" t="s">
        <v>2970</v>
      </c>
      <c r="G4" t="s">
        <v>2975</v>
      </c>
      <c r="H4" t="s">
        <v>2971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1</v>
      </c>
      <c r="L5" s="44"/>
      <c r="M5" s="44"/>
      <c r="N5" s="44"/>
      <c r="O5" s="44"/>
      <c r="P5" s="44"/>
      <c r="Q5" s="44"/>
    </row>
    <row r="6" spans="1:17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>
        <v>4</v>
      </c>
      <c r="L6" s="44"/>
      <c r="M6" s="44"/>
      <c r="N6" s="44">
        <v>1</v>
      </c>
      <c r="O6" s="44">
        <v>1</v>
      </c>
      <c r="P6" s="44"/>
      <c r="Q6" s="44"/>
    </row>
    <row r="7" spans="1:17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1</v>
      </c>
      <c r="P7" s="44"/>
      <c r="Q7" s="44"/>
    </row>
    <row r="8" spans="1:17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1</v>
      </c>
      <c r="M8" s="44"/>
      <c r="N8" s="44"/>
      <c r="O8" s="44"/>
      <c r="P8" s="44"/>
      <c r="Q8" s="44"/>
    </row>
    <row r="9" spans="1:17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>
        <v>3</v>
      </c>
      <c r="L9" s="44"/>
      <c r="M9" s="44"/>
      <c r="N9" s="44"/>
      <c r="O9" s="44"/>
      <c r="P9" s="44"/>
      <c r="Q9" s="44"/>
    </row>
    <row r="10" spans="1:17">
      <c r="A10">
        <v>1900</v>
      </c>
      <c r="B10" t="s">
        <v>2984</v>
      </c>
      <c r="C10" s="44"/>
      <c r="D10" s="44"/>
      <c r="E10" s="44">
        <v>1</v>
      </c>
      <c r="F10" s="44"/>
      <c r="G10" s="44">
        <v>1</v>
      </c>
      <c r="H10" s="44">
        <v>1</v>
      </c>
      <c r="I10" s="44">
        <v>4</v>
      </c>
      <c r="J10" s="44"/>
      <c r="K10" s="44">
        <v>3</v>
      </c>
      <c r="L10" s="44"/>
      <c r="M10" s="44"/>
      <c r="N10" s="44">
        <v>1</v>
      </c>
      <c r="O10" s="44">
        <v>1</v>
      </c>
      <c r="P10" s="44"/>
      <c r="Q10" s="44"/>
    </row>
    <row r="11" spans="1:17">
      <c r="A11">
        <v>1920</v>
      </c>
      <c r="B11" t="s">
        <v>2984</v>
      </c>
      <c r="C11" s="44">
        <v>1</v>
      </c>
      <c r="D11" s="44">
        <v>1</v>
      </c>
      <c r="E11" s="44">
        <v>2</v>
      </c>
      <c r="F11" s="44">
        <v>1</v>
      </c>
      <c r="G11" s="44"/>
      <c r="H11" s="44"/>
      <c r="I11" s="44"/>
      <c r="J11" s="44"/>
      <c r="K11" s="44">
        <v>6</v>
      </c>
      <c r="L11" s="44"/>
      <c r="M11" s="44"/>
      <c r="N11" s="44">
        <v>3</v>
      </c>
      <c r="O11" s="44">
        <v>2</v>
      </c>
      <c r="P11" s="44"/>
      <c r="Q11" s="44"/>
    </row>
    <row r="12" spans="1:17">
      <c r="A12">
        <v>1940</v>
      </c>
      <c r="B12" t="s">
        <v>2984</v>
      </c>
      <c r="C12" s="44"/>
      <c r="D12" s="44"/>
      <c r="E12" s="44">
        <v>3</v>
      </c>
      <c r="F12" s="44">
        <v>2</v>
      </c>
      <c r="G12" s="44"/>
      <c r="H12" s="44"/>
      <c r="I12" s="44"/>
      <c r="J12" s="44"/>
      <c r="K12" s="44">
        <v>5</v>
      </c>
      <c r="L12" s="44"/>
      <c r="M12" s="44"/>
      <c r="N12" s="44">
        <v>2</v>
      </c>
      <c r="O12" s="44">
        <v>1</v>
      </c>
      <c r="P12" s="44"/>
      <c r="Q12" s="44"/>
    </row>
    <row r="13" spans="1:17">
      <c r="A13">
        <v>1960</v>
      </c>
      <c r="B13" t="s">
        <v>2984</v>
      </c>
      <c r="C13" s="44">
        <v>2</v>
      </c>
      <c r="D13" s="44"/>
      <c r="E13" s="44">
        <v>4</v>
      </c>
      <c r="F13" s="44">
        <v>2</v>
      </c>
      <c r="G13" s="44">
        <v>2</v>
      </c>
      <c r="H13" s="44">
        <v>1</v>
      </c>
      <c r="I13" s="44"/>
      <c r="J13" s="44"/>
      <c r="K13" s="44">
        <v>5</v>
      </c>
      <c r="L13" s="44"/>
      <c r="M13" s="44"/>
      <c r="N13" s="44"/>
      <c r="O13" s="44">
        <v>1</v>
      </c>
      <c r="P13" s="44">
        <v>5</v>
      </c>
      <c r="Q13" s="44"/>
    </row>
    <row r="14" spans="1:17">
      <c r="A14">
        <v>1980</v>
      </c>
      <c r="B14" t="s">
        <v>2984</v>
      </c>
      <c r="C14" s="44">
        <v>1</v>
      </c>
      <c r="D14" s="44">
        <v>1</v>
      </c>
      <c r="E14" s="44">
        <v>2</v>
      </c>
      <c r="F14" s="44">
        <v>1</v>
      </c>
      <c r="G14" s="44"/>
      <c r="H14" s="44">
        <v>2</v>
      </c>
      <c r="I14" s="44">
        <v>2</v>
      </c>
      <c r="J14" s="44"/>
      <c r="K14" s="44">
        <v>7</v>
      </c>
      <c r="L14" s="44"/>
      <c r="M14" s="44"/>
      <c r="N14" s="44"/>
      <c r="O14" s="44">
        <v>1</v>
      </c>
      <c r="P14" s="44">
        <v>3</v>
      </c>
      <c r="Q14" s="44"/>
    </row>
    <row r="15" spans="1:17">
      <c r="A15">
        <v>2000</v>
      </c>
      <c r="B15" t="s">
        <v>2984</v>
      </c>
      <c r="C15" s="44">
        <v>2</v>
      </c>
      <c r="D15" s="44"/>
      <c r="E15" s="44">
        <v>1</v>
      </c>
      <c r="F15" s="44"/>
      <c r="G15" s="44">
        <v>1</v>
      </c>
      <c r="H15" s="44">
        <v>2</v>
      </c>
      <c r="I15" s="44">
        <v>2</v>
      </c>
      <c r="J15" s="44"/>
      <c r="K15" s="44">
        <v>19</v>
      </c>
      <c r="L15" s="44"/>
      <c r="M15" s="44"/>
      <c r="N15" s="44"/>
      <c r="O15" s="44">
        <v>1</v>
      </c>
      <c r="P15" s="44">
        <v>4</v>
      </c>
      <c r="Q15" s="44">
        <v>1</v>
      </c>
    </row>
    <row r="16" spans="1:17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10</v>
      </c>
      <c r="L16" s="44"/>
      <c r="M16" s="44">
        <v>1</v>
      </c>
      <c r="N16" s="44"/>
      <c r="O16" s="44">
        <v>1</v>
      </c>
      <c r="P16" s="44">
        <v>1</v>
      </c>
      <c r="Q16" s="44">
        <v>3</v>
      </c>
    </row>
    <row r="17" spans="1:17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2973</v>
      </c>
      <c r="C3" s="34" t="s">
        <v>2278</v>
      </c>
    </row>
    <row r="4" spans="1:19">
      <c r="A4" s="34" t="s">
        <v>2982</v>
      </c>
      <c r="B4" s="34" t="s">
        <v>912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2978</v>
      </c>
      <c r="L4" t="s">
        <v>2972</v>
      </c>
      <c r="M4" t="s">
        <v>2985</v>
      </c>
      <c r="N4" t="s">
        <v>3080</v>
      </c>
      <c r="O4" t="s">
        <v>3081</v>
      </c>
      <c r="P4" t="s">
        <v>3082</v>
      </c>
      <c r="Q4" t="s">
        <v>3083</v>
      </c>
      <c r="R4" t="s">
        <v>3084</v>
      </c>
      <c r="S4" t="s">
        <v>3085</v>
      </c>
    </row>
    <row r="5" spans="1:19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>
        <v>2</v>
      </c>
      <c r="N5" s="44"/>
      <c r="O5" s="44"/>
      <c r="P5" s="44"/>
      <c r="Q5" s="44"/>
      <c r="R5" s="44"/>
      <c r="S5" s="44"/>
    </row>
    <row r="6" spans="1:19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>
        <v>4</v>
      </c>
      <c r="N6" s="44"/>
      <c r="O6" s="44">
        <v>1</v>
      </c>
      <c r="P6" s="44">
        <v>1</v>
      </c>
      <c r="Q6" s="44">
        <v>1</v>
      </c>
      <c r="R6" s="44"/>
      <c r="S6" s="44"/>
    </row>
    <row r="7" spans="1:19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2</v>
      </c>
      <c r="P7" s="44">
        <v>2</v>
      </c>
      <c r="Q7" s="44">
        <v>2</v>
      </c>
      <c r="R7" s="44"/>
      <c r="S7" s="44"/>
    </row>
    <row r="8" spans="1:19">
      <c r="A8">
        <v>1880</v>
      </c>
      <c r="B8" t="s">
        <v>2984</v>
      </c>
      <c r="C8" s="44"/>
      <c r="D8" s="44"/>
      <c r="E8" s="44"/>
      <c r="F8" s="44"/>
      <c r="G8" s="44"/>
      <c r="H8" s="44">
        <v>1</v>
      </c>
      <c r="I8" s="44"/>
      <c r="J8" s="44"/>
      <c r="K8" s="44"/>
      <c r="L8" s="44"/>
      <c r="M8" s="44">
        <v>4</v>
      </c>
      <c r="N8" s="44">
        <v>3</v>
      </c>
      <c r="O8" s="44"/>
      <c r="P8" s="44"/>
      <c r="Q8" s="44"/>
      <c r="R8" s="44"/>
      <c r="S8" s="44"/>
    </row>
    <row r="9" spans="1:19">
      <c r="A9">
        <v>1900</v>
      </c>
      <c r="B9" t="s">
        <v>2984</v>
      </c>
      <c r="C9" s="44"/>
      <c r="D9" s="44"/>
      <c r="E9" s="44"/>
      <c r="F9" s="44"/>
      <c r="G9" s="44">
        <v>1</v>
      </c>
      <c r="H9" s="44">
        <v>3</v>
      </c>
      <c r="I9" s="44"/>
      <c r="J9" s="44">
        <v>4</v>
      </c>
      <c r="K9" s="44"/>
      <c r="L9" s="44"/>
      <c r="M9" s="44">
        <v>3</v>
      </c>
      <c r="N9" s="44"/>
      <c r="O9" s="44">
        <v>1</v>
      </c>
      <c r="P9" s="44">
        <v>2</v>
      </c>
      <c r="Q9" s="44">
        <v>1</v>
      </c>
      <c r="R9" s="44"/>
      <c r="S9" s="44"/>
    </row>
    <row r="10" spans="1:19">
      <c r="A10">
        <v>1920</v>
      </c>
      <c r="B10" t="s">
        <v>2984</v>
      </c>
      <c r="C10" s="44">
        <v>1</v>
      </c>
      <c r="D10" s="44"/>
      <c r="E10" s="44"/>
      <c r="F10" s="44">
        <v>3</v>
      </c>
      <c r="G10" s="44">
        <v>1</v>
      </c>
      <c r="H10" s="44"/>
      <c r="I10" s="44">
        <v>2</v>
      </c>
      <c r="J10" s="44"/>
      <c r="K10" s="44"/>
      <c r="L10" s="44"/>
      <c r="M10" s="44">
        <v>8</v>
      </c>
      <c r="N10" s="44">
        <v>3</v>
      </c>
      <c r="O10" s="44">
        <v>2</v>
      </c>
      <c r="P10" s="44">
        <v>4</v>
      </c>
      <c r="Q10" s="44">
        <v>3</v>
      </c>
      <c r="R10" s="44"/>
      <c r="S10" s="44"/>
    </row>
    <row r="11" spans="1:19">
      <c r="A11">
        <v>1940</v>
      </c>
      <c r="B11" t="s">
        <v>2984</v>
      </c>
      <c r="C11" s="44">
        <v>1</v>
      </c>
      <c r="D11" s="44"/>
      <c r="E11" s="44">
        <v>1</v>
      </c>
      <c r="F11" s="44">
        <v>7</v>
      </c>
      <c r="G11" s="44">
        <v>2</v>
      </c>
      <c r="H11" s="44"/>
      <c r="I11" s="44">
        <v>1</v>
      </c>
      <c r="J11" s="44"/>
      <c r="K11" s="44"/>
      <c r="L11" s="44"/>
      <c r="M11" s="44">
        <v>7</v>
      </c>
      <c r="N11" s="44"/>
      <c r="O11" s="44">
        <v>3</v>
      </c>
      <c r="P11" s="44">
        <v>5</v>
      </c>
      <c r="Q11" s="44">
        <v>3</v>
      </c>
      <c r="R11" s="44">
        <v>2</v>
      </c>
      <c r="S11" s="44"/>
    </row>
    <row r="12" spans="1:19">
      <c r="A12">
        <v>1960</v>
      </c>
      <c r="B12" t="s">
        <v>2984</v>
      </c>
      <c r="C12" s="44">
        <v>4</v>
      </c>
      <c r="D12" s="44">
        <v>2</v>
      </c>
      <c r="E12" s="44">
        <v>1</v>
      </c>
      <c r="F12" s="44">
        <v>8</v>
      </c>
      <c r="G12" s="44">
        <v>2</v>
      </c>
      <c r="H12" s="44">
        <v>2</v>
      </c>
      <c r="I12" s="44"/>
      <c r="J12" s="44"/>
      <c r="K12" s="44"/>
      <c r="L12" s="44"/>
      <c r="M12" s="44">
        <v>6</v>
      </c>
      <c r="N12" s="44"/>
      <c r="O12" s="44">
        <v>1</v>
      </c>
      <c r="P12" s="44">
        <v>3</v>
      </c>
      <c r="Q12" s="44">
        <v>2</v>
      </c>
      <c r="R12" s="44">
        <v>2</v>
      </c>
      <c r="S12" s="44"/>
    </row>
    <row r="13" spans="1:19">
      <c r="A13">
        <v>1980</v>
      </c>
      <c r="B13" t="s">
        <v>2984</v>
      </c>
      <c r="C13" s="44">
        <v>4</v>
      </c>
      <c r="D13" s="44">
        <v>1</v>
      </c>
      <c r="E13" s="44">
        <v>1</v>
      </c>
      <c r="F13" s="44">
        <v>4</v>
      </c>
      <c r="G13" s="44">
        <v>4</v>
      </c>
      <c r="H13" s="44"/>
      <c r="I13" s="44">
        <v>5</v>
      </c>
      <c r="J13" s="44">
        <v>2</v>
      </c>
      <c r="K13" s="44"/>
      <c r="L13" s="44">
        <v>2</v>
      </c>
      <c r="M13" s="44">
        <v>8</v>
      </c>
      <c r="N13" s="44">
        <v>1</v>
      </c>
      <c r="O13" s="44"/>
      <c r="P13" s="44"/>
      <c r="Q13" s="44">
        <v>1</v>
      </c>
      <c r="R13" s="44">
        <v>1</v>
      </c>
      <c r="S13" s="44"/>
    </row>
    <row r="14" spans="1:19">
      <c r="A14">
        <v>2000</v>
      </c>
      <c r="B14" t="s">
        <v>2984</v>
      </c>
      <c r="C14" s="44">
        <v>4</v>
      </c>
      <c r="D14" s="44">
        <v>1</v>
      </c>
      <c r="E14" s="44">
        <v>4</v>
      </c>
      <c r="F14" s="44">
        <v>2</v>
      </c>
      <c r="G14" s="44">
        <v>4</v>
      </c>
      <c r="H14" s="44"/>
      <c r="I14" s="44">
        <v>4</v>
      </c>
      <c r="J14" s="44">
        <v>2</v>
      </c>
      <c r="K14" s="44">
        <v>1</v>
      </c>
      <c r="L14" s="44">
        <v>2</v>
      </c>
      <c r="M14" s="44">
        <v>23</v>
      </c>
      <c r="N14" s="44"/>
      <c r="O14" s="44"/>
      <c r="P14" s="44"/>
      <c r="Q14" s="44">
        <v>1</v>
      </c>
      <c r="R14" s="44">
        <v>4</v>
      </c>
      <c r="S14" s="44">
        <v>1</v>
      </c>
    </row>
    <row r="15" spans="1:19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/>
      <c r="L15" s="44">
        <v>1</v>
      </c>
      <c r="M15" s="44">
        <v>14</v>
      </c>
      <c r="N15" s="44"/>
      <c r="O15" s="44">
        <v>1</v>
      </c>
      <c r="P15" s="44"/>
      <c r="Q15" s="44">
        <v>1</v>
      </c>
      <c r="R15" s="44">
        <v>1</v>
      </c>
      <c r="S15" s="44">
        <v>3</v>
      </c>
    </row>
    <row r="16" spans="1:19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</v>
      </c>
      <c r="M16" s="44"/>
      <c r="N16" s="44"/>
      <c r="O16" s="44"/>
      <c r="P16" s="44"/>
      <c r="Q16" s="44"/>
      <c r="R16" s="44"/>
      <c r="S16" s="4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906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1820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4</v>
      </c>
      <c r="L5" s="44"/>
      <c r="M5" s="44">
        <v>1</v>
      </c>
      <c r="N5" s="44">
        <v>1</v>
      </c>
      <c r="O5" s="44">
        <v>1</v>
      </c>
      <c r="P5" s="44"/>
      <c r="Q5" s="44"/>
    </row>
    <row r="6" spans="1:17">
      <c r="A6">
        <v>1840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1</v>
      </c>
      <c r="M6" s="44">
        <v>2</v>
      </c>
      <c r="N6" s="44">
        <v>2</v>
      </c>
      <c r="O6" s="44">
        <v>2</v>
      </c>
      <c r="P6" s="44"/>
      <c r="Q6" s="44"/>
    </row>
    <row r="7" spans="1:17">
      <c r="A7">
        <v>1880</v>
      </c>
      <c r="B7" t="s">
        <v>2984</v>
      </c>
      <c r="C7" s="44">
        <v>1</v>
      </c>
      <c r="D7" s="44"/>
      <c r="E7" s="44"/>
      <c r="F7" s="44">
        <v>1</v>
      </c>
      <c r="G7" s="44"/>
      <c r="H7" s="44"/>
      <c r="I7" s="44"/>
      <c r="J7" s="44"/>
      <c r="K7" s="44">
        <v>2</v>
      </c>
      <c r="L7" s="44"/>
      <c r="M7" s="44"/>
      <c r="N7" s="44"/>
      <c r="O7" s="44"/>
      <c r="P7" s="44"/>
      <c r="Q7" s="44"/>
    </row>
    <row r="8" spans="1:17">
      <c r="A8">
        <v>1900</v>
      </c>
      <c r="B8" t="s">
        <v>2984</v>
      </c>
      <c r="C8" s="44">
        <v>2</v>
      </c>
      <c r="D8" s="44"/>
      <c r="E8" s="44"/>
      <c r="F8" s="44">
        <v>1</v>
      </c>
      <c r="G8" s="44"/>
      <c r="H8" s="44"/>
      <c r="I8" s="44">
        <v>4</v>
      </c>
      <c r="J8" s="44"/>
      <c r="K8" s="44">
        <v>3</v>
      </c>
      <c r="L8" s="44">
        <v>1</v>
      </c>
      <c r="M8" s="44">
        <v>1</v>
      </c>
      <c r="N8" s="44">
        <v>3</v>
      </c>
      <c r="O8" s="44">
        <v>2</v>
      </c>
      <c r="P8" s="44"/>
      <c r="Q8" s="44"/>
    </row>
    <row r="9" spans="1:17">
      <c r="A9">
        <v>1920</v>
      </c>
      <c r="B9" t="s">
        <v>2984</v>
      </c>
      <c r="C9" s="44">
        <v>3</v>
      </c>
      <c r="D9" s="44"/>
      <c r="E9" s="44">
        <v>1</v>
      </c>
      <c r="F9" s="44">
        <v>3</v>
      </c>
      <c r="G9" s="44">
        <v>1</v>
      </c>
      <c r="H9" s="44">
        <v>1</v>
      </c>
      <c r="I9" s="44"/>
      <c r="J9" s="44"/>
      <c r="K9" s="44">
        <v>4</v>
      </c>
      <c r="L9" s="44">
        <v>1</v>
      </c>
      <c r="M9" s="44">
        <v>2</v>
      </c>
      <c r="N9" s="44">
        <v>4</v>
      </c>
      <c r="O9" s="44">
        <v>3</v>
      </c>
      <c r="P9" s="44"/>
      <c r="Q9" s="44"/>
    </row>
    <row r="10" spans="1:17">
      <c r="A10">
        <v>1940</v>
      </c>
      <c r="B10" t="s">
        <v>2984</v>
      </c>
      <c r="C10" s="44">
        <v>2</v>
      </c>
      <c r="D10" s="44"/>
      <c r="E10" s="44">
        <v>1</v>
      </c>
      <c r="F10" s="44">
        <v>3</v>
      </c>
      <c r="G10" s="44">
        <v>2</v>
      </c>
      <c r="H10" s="44"/>
      <c r="I10" s="44"/>
      <c r="J10" s="44"/>
      <c r="K10" s="44">
        <v>3</v>
      </c>
      <c r="L10" s="44">
        <v>1</v>
      </c>
      <c r="M10" s="44"/>
      <c r="N10" s="44">
        <v>2</v>
      </c>
      <c r="O10" s="44">
        <v>1</v>
      </c>
      <c r="P10" s="44">
        <v>1</v>
      </c>
      <c r="Q10" s="44"/>
    </row>
    <row r="11" spans="1:17">
      <c r="A11">
        <v>1960</v>
      </c>
      <c r="B11" t="s">
        <v>2984</v>
      </c>
      <c r="C11" s="44">
        <v>3</v>
      </c>
      <c r="D11" s="44"/>
      <c r="E11" s="44"/>
      <c r="F11" s="44">
        <v>3</v>
      </c>
      <c r="G11" s="44"/>
      <c r="H11" s="44"/>
      <c r="I11" s="44"/>
      <c r="J11" s="44"/>
      <c r="K11" s="44">
        <v>4</v>
      </c>
      <c r="L11" s="44"/>
      <c r="M11" s="44"/>
      <c r="N11" s="44"/>
      <c r="O11" s="44">
        <v>1</v>
      </c>
      <c r="P11" s="44">
        <v>5</v>
      </c>
      <c r="Q11" s="44"/>
    </row>
    <row r="12" spans="1:17">
      <c r="A12">
        <v>1980</v>
      </c>
      <c r="B12" t="s">
        <v>2984</v>
      </c>
      <c r="C12" s="44">
        <v>2</v>
      </c>
      <c r="D12" s="44">
        <v>1</v>
      </c>
      <c r="E12" s="44"/>
      <c r="F12" s="44">
        <v>4</v>
      </c>
      <c r="G12" s="44"/>
      <c r="H12" s="44"/>
      <c r="I12" s="44">
        <v>2</v>
      </c>
      <c r="J12" s="44"/>
      <c r="K12" s="44">
        <v>6</v>
      </c>
      <c r="L12" s="44"/>
      <c r="M12" s="44"/>
      <c r="N12" s="44"/>
      <c r="O12" s="44">
        <v>1</v>
      </c>
      <c r="P12" s="44">
        <v>3</v>
      </c>
      <c r="Q12" s="44"/>
    </row>
    <row r="13" spans="1:17">
      <c r="A13">
        <v>2000</v>
      </c>
      <c r="B13" t="s">
        <v>2984</v>
      </c>
      <c r="C13" s="44">
        <v>2</v>
      </c>
      <c r="D13" s="44">
        <v>2</v>
      </c>
      <c r="E13" s="44">
        <v>1</v>
      </c>
      <c r="F13" s="44">
        <v>2</v>
      </c>
      <c r="G13" s="44"/>
      <c r="H13" s="44">
        <v>2</v>
      </c>
      <c r="I13" s="44">
        <v>2</v>
      </c>
      <c r="J13" s="44"/>
      <c r="K13" s="44">
        <v>16</v>
      </c>
      <c r="L13" s="44"/>
      <c r="M13" s="44"/>
      <c r="N13" s="44"/>
      <c r="O13" s="44">
        <v>1</v>
      </c>
      <c r="P13" s="44">
        <v>4</v>
      </c>
      <c r="Q13" s="44">
        <v>1</v>
      </c>
    </row>
    <row r="14" spans="1:17">
      <c r="A14">
        <v>2020</v>
      </c>
      <c r="B14" t="s">
        <v>2984</v>
      </c>
      <c r="C14" s="44"/>
      <c r="D14" s="44"/>
      <c r="E14" s="44"/>
      <c r="F14" s="44"/>
      <c r="G14" s="44"/>
      <c r="H14" s="44"/>
      <c r="I14" s="44"/>
      <c r="J14" s="44"/>
      <c r="K14" s="44">
        <v>8</v>
      </c>
      <c r="L14" s="44"/>
      <c r="M14" s="44">
        <v>1</v>
      </c>
      <c r="N14" s="44"/>
      <c r="O14" s="44">
        <v>1</v>
      </c>
      <c r="P14" s="44">
        <v>1</v>
      </c>
      <c r="Q14" s="44">
        <v>3</v>
      </c>
    </row>
    <row r="15" spans="1:17">
      <c r="A15">
        <v>2040</v>
      </c>
      <c r="B15" t="s">
        <v>2984</v>
      </c>
      <c r="C15" s="44"/>
      <c r="D15" s="44"/>
      <c r="E15" s="44"/>
      <c r="F15" s="44"/>
      <c r="G15" s="44"/>
      <c r="H15" s="44"/>
      <c r="I15" s="44"/>
      <c r="J15" s="44">
        <v>1</v>
      </c>
      <c r="K15" s="44"/>
      <c r="L15" s="44"/>
      <c r="M15" s="44"/>
      <c r="N15" s="44"/>
      <c r="O15" s="44"/>
      <c r="P15" s="44"/>
      <c r="Q15" s="4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2973</v>
      </c>
      <c r="C3" s="34" t="s">
        <v>2278</v>
      </c>
    </row>
    <row r="4" spans="1:21">
      <c r="A4" s="34" t="s">
        <v>2982</v>
      </c>
      <c r="B4" s="34" t="s">
        <v>904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2977</v>
      </c>
      <c r="L4" t="s">
        <v>2978</v>
      </c>
      <c r="M4" t="s">
        <v>2972</v>
      </c>
      <c r="N4" t="s">
        <v>2981</v>
      </c>
      <c r="O4" t="s">
        <v>2985</v>
      </c>
      <c r="P4" t="s">
        <v>3080</v>
      </c>
      <c r="Q4" t="s">
        <v>3081</v>
      </c>
      <c r="R4" t="s">
        <v>3082</v>
      </c>
      <c r="S4" t="s">
        <v>3083</v>
      </c>
      <c r="T4" t="s">
        <v>3084</v>
      </c>
      <c r="U4" t="s">
        <v>3085</v>
      </c>
    </row>
    <row r="5" spans="1:21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>
        <v>1</v>
      </c>
      <c r="P5" s="44"/>
      <c r="Q5" s="44"/>
      <c r="R5" s="44"/>
      <c r="S5" s="44"/>
      <c r="T5" s="44"/>
      <c r="U5" s="44"/>
    </row>
    <row r="6" spans="1:21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>
        <v>4</v>
      </c>
      <c r="P6" s="44">
        <v>1</v>
      </c>
      <c r="Q6" s="44">
        <v>1</v>
      </c>
      <c r="R6" s="44">
        <v>1</v>
      </c>
      <c r="S6" s="44">
        <v>1</v>
      </c>
      <c r="T6" s="44"/>
      <c r="U6" s="44"/>
    </row>
    <row r="7" spans="1:21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/>
      <c r="P7" s="44">
        <v>1</v>
      </c>
      <c r="Q7" s="44">
        <v>2</v>
      </c>
      <c r="R7" s="44">
        <v>2</v>
      </c>
      <c r="S7" s="44">
        <v>2</v>
      </c>
      <c r="T7" s="44"/>
      <c r="U7" s="44"/>
    </row>
    <row r="8" spans="1:21">
      <c r="A8">
        <v>1860</v>
      </c>
      <c r="B8" t="s">
        <v>2984</v>
      </c>
      <c r="C8" s="44"/>
      <c r="D8" s="44"/>
      <c r="E8" s="44"/>
      <c r="F8" s="44">
        <v>1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spans="1:21">
      <c r="A9">
        <v>1880</v>
      </c>
      <c r="B9" t="s">
        <v>2984</v>
      </c>
      <c r="C9" s="44">
        <v>1</v>
      </c>
      <c r="D9" s="44"/>
      <c r="E9" s="44"/>
      <c r="F9" s="44">
        <v>1</v>
      </c>
      <c r="G9" s="44"/>
      <c r="H9" s="44">
        <v>1</v>
      </c>
      <c r="I9" s="44"/>
      <c r="J9" s="44"/>
      <c r="K9" s="44"/>
      <c r="L9" s="44"/>
      <c r="M9" s="44"/>
      <c r="N9" s="44"/>
      <c r="O9" s="44">
        <v>3</v>
      </c>
      <c r="P9" s="44">
        <v>3</v>
      </c>
      <c r="Q9" s="44"/>
      <c r="R9" s="44"/>
      <c r="S9" s="44"/>
      <c r="T9" s="44"/>
      <c r="U9" s="44"/>
    </row>
    <row r="10" spans="1:21">
      <c r="A10">
        <v>1900</v>
      </c>
      <c r="B10" t="s">
        <v>2984</v>
      </c>
      <c r="C10" s="44">
        <v>8</v>
      </c>
      <c r="D10" s="44"/>
      <c r="E10" s="44"/>
      <c r="F10" s="44">
        <v>5</v>
      </c>
      <c r="G10" s="44">
        <v>2</v>
      </c>
      <c r="H10" s="44">
        <v>1</v>
      </c>
      <c r="I10" s="44">
        <v>1</v>
      </c>
      <c r="J10" s="44">
        <v>4</v>
      </c>
      <c r="K10" s="44"/>
      <c r="L10" s="44"/>
      <c r="M10" s="44"/>
      <c r="N10" s="44"/>
      <c r="O10" s="44">
        <v>3</v>
      </c>
      <c r="P10" s="44">
        <v>4</v>
      </c>
      <c r="Q10" s="44">
        <v>1</v>
      </c>
      <c r="R10" s="44">
        <v>2</v>
      </c>
      <c r="S10" s="44">
        <v>1</v>
      </c>
      <c r="T10" s="44"/>
      <c r="U10" s="44"/>
    </row>
    <row r="11" spans="1:21">
      <c r="A11">
        <v>1920</v>
      </c>
      <c r="B11" t="s">
        <v>2984</v>
      </c>
      <c r="C11" s="44">
        <v>9</v>
      </c>
      <c r="D11" s="44">
        <v>1</v>
      </c>
      <c r="E11" s="44"/>
      <c r="F11" s="44">
        <v>6</v>
      </c>
      <c r="G11" s="44">
        <v>1</v>
      </c>
      <c r="H11" s="44"/>
      <c r="I11" s="44">
        <v>1</v>
      </c>
      <c r="J11" s="44"/>
      <c r="K11" s="44"/>
      <c r="L11" s="44"/>
      <c r="M11" s="44">
        <v>1</v>
      </c>
      <c r="N11" s="44"/>
      <c r="O11" s="44">
        <v>6</v>
      </c>
      <c r="P11" s="44">
        <v>5</v>
      </c>
      <c r="Q11" s="44">
        <v>2</v>
      </c>
      <c r="R11" s="44">
        <v>2</v>
      </c>
      <c r="S11" s="44">
        <v>2</v>
      </c>
      <c r="T11" s="44"/>
      <c r="U11" s="44"/>
    </row>
    <row r="12" spans="1:21">
      <c r="A12">
        <v>1940</v>
      </c>
      <c r="B12" t="s">
        <v>2984</v>
      </c>
      <c r="C12" s="44">
        <v>6</v>
      </c>
      <c r="D12" s="44">
        <v>1</v>
      </c>
      <c r="E12" s="44"/>
      <c r="F12" s="44">
        <v>9</v>
      </c>
      <c r="G12" s="44"/>
      <c r="H12" s="44"/>
      <c r="I12" s="44">
        <v>2</v>
      </c>
      <c r="J12" s="44"/>
      <c r="K12" s="44">
        <v>1</v>
      </c>
      <c r="L12" s="44"/>
      <c r="M12" s="44"/>
      <c r="N12" s="44"/>
      <c r="O12" s="44">
        <v>5</v>
      </c>
      <c r="P12" s="44">
        <v>4</v>
      </c>
      <c r="Q12" s="44">
        <v>2</v>
      </c>
      <c r="R12" s="44">
        <v>3</v>
      </c>
      <c r="S12" s="44">
        <v>2</v>
      </c>
      <c r="T12" s="44">
        <v>3</v>
      </c>
      <c r="U12" s="44"/>
    </row>
    <row r="13" spans="1:21">
      <c r="A13">
        <v>1960</v>
      </c>
      <c r="B13" t="s">
        <v>2984</v>
      </c>
      <c r="C13" s="44">
        <v>7</v>
      </c>
      <c r="D13" s="44">
        <v>2</v>
      </c>
      <c r="E13" s="44">
        <v>4</v>
      </c>
      <c r="F13" s="44">
        <v>4</v>
      </c>
      <c r="G13" s="44"/>
      <c r="H13" s="44"/>
      <c r="I13" s="44">
        <v>3</v>
      </c>
      <c r="J13" s="44"/>
      <c r="K13" s="44"/>
      <c r="L13" s="44"/>
      <c r="M13" s="44"/>
      <c r="N13" s="44">
        <v>1</v>
      </c>
      <c r="O13" s="44">
        <v>5</v>
      </c>
      <c r="P13" s="44"/>
      <c r="Q13" s="44">
        <v>1</v>
      </c>
      <c r="R13" s="44">
        <v>3</v>
      </c>
      <c r="S13" s="44">
        <v>2</v>
      </c>
      <c r="T13" s="44">
        <v>2</v>
      </c>
      <c r="U13" s="44"/>
    </row>
    <row r="14" spans="1:21">
      <c r="A14">
        <v>1980</v>
      </c>
      <c r="B14" t="s">
        <v>2984</v>
      </c>
      <c r="C14" s="44">
        <v>10</v>
      </c>
      <c r="D14" s="44">
        <v>3</v>
      </c>
      <c r="E14" s="44">
        <v>3</v>
      </c>
      <c r="F14" s="44">
        <v>3</v>
      </c>
      <c r="G14" s="44"/>
      <c r="H14" s="44"/>
      <c r="I14" s="44">
        <v>2</v>
      </c>
      <c r="J14" s="44">
        <v>2</v>
      </c>
      <c r="K14" s="44"/>
      <c r="L14" s="44">
        <v>1</v>
      </c>
      <c r="M14" s="44"/>
      <c r="N14" s="44">
        <v>4</v>
      </c>
      <c r="O14" s="44">
        <v>7</v>
      </c>
      <c r="P14" s="44"/>
      <c r="Q14" s="44"/>
      <c r="R14" s="44"/>
      <c r="S14" s="44">
        <v>1</v>
      </c>
      <c r="T14" s="44">
        <v>1</v>
      </c>
      <c r="U14" s="44"/>
    </row>
    <row r="15" spans="1:21">
      <c r="A15">
        <v>2000</v>
      </c>
      <c r="B15" t="s">
        <v>2984</v>
      </c>
      <c r="C15" s="44">
        <v>2</v>
      </c>
      <c r="D15" s="44">
        <v>2</v>
      </c>
      <c r="E15" s="44"/>
      <c r="F15" s="44">
        <v>5</v>
      </c>
      <c r="G15" s="44"/>
      <c r="H15" s="44"/>
      <c r="I15" s="44">
        <v>1</v>
      </c>
      <c r="J15" s="44">
        <v>2</v>
      </c>
      <c r="K15" s="44"/>
      <c r="L15" s="44"/>
      <c r="M15" s="44">
        <v>3</v>
      </c>
      <c r="N15" s="44">
        <v>2</v>
      </c>
      <c r="O15" s="44">
        <v>20</v>
      </c>
      <c r="P15" s="44"/>
      <c r="Q15" s="44"/>
      <c r="R15" s="44"/>
      <c r="S15" s="44">
        <v>1</v>
      </c>
      <c r="T15" s="44">
        <v>4</v>
      </c>
      <c r="U15" s="44">
        <v>1</v>
      </c>
    </row>
    <row r="16" spans="1:21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>
        <v>1</v>
      </c>
      <c r="N16" s="44"/>
      <c r="O16" s="44">
        <v>12</v>
      </c>
      <c r="P16" s="44"/>
      <c r="Q16" s="44">
        <v>1</v>
      </c>
      <c r="R16" s="44"/>
      <c r="S16" s="44">
        <v>1</v>
      </c>
      <c r="T16" s="44">
        <v>1</v>
      </c>
      <c r="U16" s="44">
        <v>3</v>
      </c>
    </row>
    <row r="17" spans="1:21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>
        <v>1</v>
      </c>
      <c r="N17" s="44"/>
      <c r="O17" s="44"/>
      <c r="P17" s="44"/>
      <c r="Q17" s="44"/>
      <c r="R17" s="44"/>
      <c r="S17" s="44"/>
      <c r="T17" s="44"/>
      <c r="U17" s="4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910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/>
      <c r="G9" s="44"/>
      <c r="H9" s="44">
        <v>1</v>
      </c>
      <c r="I9" s="44">
        <v>1</v>
      </c>
      <c r="J9" s="44">
        <v>4</v>
      </c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4</v>
      </c>
      <c r="D10" s="44"/>
      <c r="E10" s="44">
        <v>1</v>
      </c>
      <c r="F10" s="44">
        <v>1</v>
      </c>
      <c r="G10" s="44">
        <v>1</v>
      </c>
      <c r="H10" s="44">
        <v>1</v>
      </c>
      <c r="I10" s="44"/>
      <c r="J10" s="44"/>
      <c r="K10" s="44"/>
      <c r="L10" s="44">
        <v>6</v>
      </c>
      <c r="M10" s="44"/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2</v>
      </c>
      <c r="D11" s="44"/>
      <c r="E11" s="44"/>
      <c r="F11" s="44">
        <v>3</v>
      </c>
      <c r="G11" s="44">
        <v>2</v>
      </c>
      <c r="H11" s="44"/>
      <c r="I11" s="44"/>
      <c r="J11" s="44"/>
      <c r="K11" s="44"/>
      <c r="L11" s="44">
        <v>5</v>
      </c>
      <c r="M11" s="44">
        <v>1</v>
      </c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/>
      <c r="F12" s="44">
        <v>6</v>
      </c>
      <c r="G12" s="44">
        <v>1</v>
      </c>
      <c r="H12" s="44"/>
      <c r="I12" s="44">
        <v>2</v>
      </c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2</v>
      </c>
      <c r="D13" s="44">
        <v>1</v>
      </c>
      <c r="E13" s="44">
        <v>2</v>
      </c>
      <c r="F13" s="44">
        <v>4</v>
      </c>
      <c r="G13" s="44">
        <v>4</v>
      </c>
      <c r="H13" s="44"/>
      <c r="I13" s="44"/>
      <c r="J13" s="44">
        <v>2</v>
      </c>
      <c r="K13" s="44"/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>
        <v>4</v>
      </c>
      <c r="D14" s="44">
        <v>2</v>
      </c>
      <c r="E14" s="44">
        <v>3</v>
      </c>
      <c r="F14" s="44"/>
      <c r="G14" s="44"/>
      <c r="H14" s="44"/>
      <c r="I14" s="44"/>
      <c r="J14" s="44">
        <v>2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>
        <v>1</v>
      </c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</v>
      </c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905</v>
      </c>
      <c r="C4" t="s">
        <v>2974</v>
      </c>
      <c r="D4" t="s">
        <v>2969</v>
      </c>
      <c r="E4" t="s">
        <v>2979</v>
      </c>
      <c r="F4" t="s">
        <v>2976</v>
      </c>
      <c r="G4" t="s">
        <v>2975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>
        <v>2</v>
      </c>
      <c r="G9" s="44"/>
      <c r="H9" s="44"/>
      <c r="I9" s="44">
        <v>4</v>
      </c>
      <c r="J9" s="44"/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2</v>
      </c>
      <c r="D10" s="44">
        <v>1</v>
      </c>
      <c r="E10" s="44">
        <v>1</v>
      </c>
      <c r="F10" s="44">
        <v>1</v>
      </c>
      <c r="G10" s="44">
        <v>1</v>
      </c>
      <c r="H10" s="44"/>
      <c r="I10" s="44"/>
      <c r="J10" s="44"/>
      <c r="K10" s="44"/>
      <c r="L10" s="44">
        <v>6</v>
      </c>
      <c r="M10" s="44">
        <v>1</v>
      </c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6</v>
      </c>
      <c r="D11" s="44">
        <v>1</v>
      </c>
      <c r="E11" s="44">
        <v>1</v>
      </c>
      <c r="F11" s="44">
        <v>4</v>
      </c>
      <c r="G11" s="44">
        <v>2</v>
      </c>
      <c r="H11" s="44">
        <v>2</v>
      </c>
      <c r="I11" s="44"/>
      <c r="J11" s="44"/>
      <c r="K11" s="44"/>
      <c r="L11" s="44">
        <v>5</v>
      </c>
      <c r="M11" s="44"/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>
        <v>1</v>
      </c>
      <c r="F12" s="44">
        <v>6</v>
      </c>
      <c r="G12" s="44"/>
      <c r="H12" s="44">
        <v>1</v>
      </c>
      <c r="I12" s="44"/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4</v>
      </c>
      <c r="D13" s="44">
        <v>1</v>
      </c>
      <c r="E13" s="44">
        <v>2</v>
      </c>
      <c r="F13" s="44">
        <v>2</v>
      </c>
      <c r="G13" s="44"/>
      <c r="H13" s="44">
        <v>1</v>
      </c>
      <c r="I13" s="44">
        <v>2</v>
      </c>
      <c r="J13" s="44"/>
      <c r="K13" s="44">
        <v>1</v>
      </c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/>
      <c r="D14" s="44"/>
      <c r="E14" s="44">
        <v>1</v>
      </c>
      <c r="F14" s="44">
        <v>1</v>
      </c>
      <c r="G14" s="44"/>
      <c r="H14" s="44"/>
      <c r="I14" s="44">
        <v>2</v>
      </c>
      <c r="J14" s="44">
        <v>3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>
        <v>1</v>
      </c>
      <c r="I15" s="44"/>
      <c r="J15" s="44">
        <v>1</v>
      </c>
      <c r="K15" s="44"/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>
        <v>1</v>
      </c>
      <c r="K16" s="44"/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203" workbookViewId="0">
      <selection activeCell="M232" sqref="M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3035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2026-04-19T19:49:20Z</dcterms:modified>
</cp:coreProperties>
</file>