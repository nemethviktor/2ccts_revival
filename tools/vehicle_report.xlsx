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C0CE277F-C625-4A4B-80AA-B50808E9E56A}" xr6:coauthVersionLast="47" xr6:coauthVersionMax="47" xr10:uidLastSave="{00000000-0000-0000-0000-000000000000}"/>
  <bookViews>
    <workbookView xWindow="-103" yWindow="-103" windowWidth="22149" windowHeight="13320" tabRatio="787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_africa" sheetId="26" r:id="rId6"/>
    <sheet name="roster_northamerica" sheetId="32" r:id="rId7"/>
    <sheet name="roster_southamerica" sheetId="33" r:id="rId8"/>
    <sheet name="roster_asia" sheetId="28" r:id="rId9"/>
    <sheet name="roster_oceania" sheetId="34" r:id="rId10"/>
    <sheet name="roster_westeurope" sheetId="29" r:id="rId11"/>
    <sheet name="roster_easterneurope" sheetId="30" r:id="rId12"/>
    <sheet name="roster_southerneurope" sheetId="31" r:id="rId13"/>
    <sheet name="roster" sheetId="24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13" hidden="1">roster!$A$1:$O$793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7" l="1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O804" i="14"/>
  <c r="N804" i="14"/>
  <c r="M804" i="14"/>
  <c r="L804" i="14"/>
  <c r="K804" i="14"/>
  <c r="J804" i="14"/>
  <c r="I804" i="14"/>
  <c r="H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M803" i="14"/>
  <c r="N803" i="14"/>
  <c r="O803" i="14"/>
  <c r="AF802" i="1"/>
  <c r="AD802" i="17"/>
  <c r="K802" i="17"/>
  <c r="AE802" i="17" s="1" a="1"/>
  <c r="AE802" i="17" s="1"/>
  <c r="E802" i="17"/>
  <c r="R802" i="17"/>
  <c r="B802" i="14"/>
  <c r="I802" i="14"/>
  <c r="J802" i="14"/>
  <c r="K802" i="14"/>
  <c r="L802" i="14"/>
  <c r="M802" i="14"/>
  <c r="N802" i="14"/>
  <c r="O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M801" i="14"/>
  <c r="N801" i="14"/>
  <c r="O801" i="14"/>
  <c r="E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M800" i="14"/>
  <c r="N800" i="14"/>
  <c r="O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M799" i="14"/>
  <c r="N799" i="14"/>
  <c r="O799" i="14"/>
  <c r="AF798" i="1"/>
  <c r="AD798" i="17"/>
  <c r="E798" i="17"/>
  <c r="R798" i="17"/>
  <c r="T798" i="17" s="1"/>
  <c r="B798" i="14"/>
  <c r="I798" i="14"/>
  <c r="J798" i="14"/>
  <c r="K798" i="14"/>
  <c r="L798" i="14"/>
  <c r="M798" i="14"/>
  <c r="N798" i="14"/>
  <c r="O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M797" i="14"/>
  <c r="N797" i="14"/>
  <c r="O797" i="14"/>
  <c r="AF796" i="1"/>
  <c r="AD796" i="17"/>
  <c r="E796" i="17"/>
  <c r="R796" i="17"/>
  <c r="T796" i="17" s="1"/>
  <c r="B796" i="14"/>
  <c r="I796" i="14"/>
  <c r="AE796" i="17" s="1" a="1"/>
  <c r="AE796" i="17" s="1"/>
  <c r="J796" i="14"/>
  <c r="K796" i="14"/>
  <c r="L796" i="14"/>
  <c r="M796" i="14"/>
  <c r="N796" i="14"/>
  <c r="O796" i="14"/>
  <c r="AF795" i="1"/>
  <c r="AD795" i="17"/>
  <c r="R795" i="17"/>
  <c r="T795" i="17" s="1"/>
  <c r="E795" i="14"/>
  <c r="E796" i="14" s="1"/>
  <c r="O795" i="14"/>
  <c r="N795" i="14"/>
  <c r="M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O794" i="14"/>
  <c r="N794" i="14"/>
  <c r="M794" i="14"/>
  <c r="L794" i="14"/>
  <c r="K794" i="14"/>
  <c r="J794" i="14"/>
  <c r="I794" i="14"/>
  <c r="B794" i="14"/>
  <c r="AF793" i="1"/>
  <c r="P793" i="17"/>
  <c r="AD793" i="17"/>
  <c r="R793" i="17"/>
  <c r="T793" i="17" s="1"/>
  <c r="AE793" i="17" a="1"/>
  <c r="AE793" i="17" s="1"/>
  <c r="E793" i="17"/>
  <c r="E793" i="14"/>
  <c r="E794" i="14" s="1"/>
  <c r="B793" i="14"/>
  <c r="I793" i="14"/>
  <c r="J793" i="14"/>
  <c r="K793" i="14"/>
  <c r="L793" i="14"/>
  <c r="M793" i="14"/>
  <c r="N793" i="14"/>
  <c r="O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O792" i="14"/>
  <c r="N792" i="14"/>
  <c r="M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N791" i="14"/>
  <c r="O791" i="14"/>
  <c r="J791" i="14"/>
  <c r="K791" i="14"/>
  <c r="L791" i="14"/>
  <c r="M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N790" i="14"/>
  <c r="O790" i="14"/>
  <c r="J790" i="14"/>
  <c r="K790" i="14"/>
  <c r="L790" i="14"/>
  <c r="M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AE783" i="17" s="1" a="1"/>
  <c r="AE783" i="17" s="1"/>
  <c r="I782" i="14"/>
  <c r="AE782" i="17" s="1" a="1"/>
  <c r="AE782" i="17" s="1"/>
  <c r="I781" i="14"/>
  <c r="AE781" i="17" s="1" a="1"/>
  <c r="AE781" i="17" s="1"/>
  <c r="I780" i="14"/>
  <c r="AE780" i="17" s="1" a="1"/>
  <c r="AE780" i="17" s="1"/>
  <c r="I779" i="14"/>
  <c r="AE779" i="17" s="1" a="1"/>
  <c r="AE779" i="17" s="1"/>
  <c r="I778" i="14"/>
  <c r="AE778" i="17" s="1" a="1"/>
  <c r="AE778" i="17" s="1"/>
  <c r="I777" i="14"/>
  <c r="AE777" i="17" s="1" a="1"/>
  <c r="AE777" i="17" s="1"/>
  <c r="I776" i="14"/>
  <c r="AE776" i="17" s="1" a="1"/>
  <c r="AE776" i="17" s="1"/>
  <c r="I775" i="14"/>
  <c r="AE775" i="17" s="1" a="1"/>
  <c r="AE775" i="17" s="1"/>
  <c r="I774" i="14"/>
  <c r="AE774" i="17" s="1" a="1"/>
  <c r="AE774" i="17" s="1"/>
  <c r="I773" i="14"/>
  <c r="AE773" i="17" s="1" a="1"/>
  <c r="AE773" i="17" s="1"/>
  <c r="I772" i="14"/>
  <c r="AE772" i="17" s="1" a="1"/>
  <c r="AE772" i="17" s="1"/>
  <c r="I771" i="14"/>
  <c r="AE771" i="17" s="1" a="1"/>
  <c r="AE771" i="17" s="1"/>
  <c r="I770" i="14"/>
  <c r="AE770" i="17" s="1" a="1"/>
  <c r="AE770" i="17" s="1"/>
  <c r="I769" i="14"/>
  <c r="I768" i="14"/>
  <c r="I767" i="14"/>
  <c r="I766" i="14"/>
  <c r="I765" i="14"/>
  <c r="I764" i="14"/>
  <c r="AE764" i="17" s="1" a="1"/>
  <c r="AE764" i="17" s="1"/>
  <c r="I763" i="14"/>
  <c r="AE763" i="17" s="1" a="1"/>
  <c r="AE763" i="17" s="1"/>
  <c r="I762" i="14"/>
  <c r="AE762" i="17" s="1" a="1"/>
  <c r="AE762" i="17" s="1"/>
  <c r="I761" i="14"/>
  <c r="AE761" i="17" s="1" a="1"/>
  <c r="AE761" i="17" s="1"/>
  <c r="I760" i="14"/>
  <c r="AE760" i="17" s="1" a="1"/>
  <c r="AE760" i="17" s="1"/>
  <c r="I759" i="14"/>
  <c r="AE759" i="17" s="1" a="1"/>
  <c r="AE759" i="17" s="1"/>
  <c r="I758" i="14"/>
  <c r="AE758" i="17" s="1" a="1"/>
  <c r="AE758" i="17" s="1"/>
  <c r="I757" i="14"/>
  <c r="AE757" i="17" s="1" a="1"/>
  <c r="AE757" i="17" s="1"/>
  <c r="I756" i="14"/>
  <c r="AE756" i="17" s="1" a="1"/>
  <c r="AE756" i="17" s="1"/>
  <c r="I755" i="14"/>
  <c r="AE755" i="17" s="1" a="1"/>
  <c r="AE755" i="17" s="1"/>
  <c r="I754" i="14"/>
  <c r="AE754" i="17" s="1" a="1"/>
  <c r="AE754" i="17" s="1"/>
  <c r="I753" i="14"/>
  <c r="AE753" i="17" s="1" a="1"/>
  <c r="AE753" i="17" s="1"/>
  <c r="I752" i="14"/>
  <c r="AE752" i="17" s="1" a="1"/>
  <c r="AE752" i="17" s="1"/>
  <c r="I751" i="14"/>
  <c r="AE751" i="17" s="1" a="1"/>
  <c r="AE751" i="17" s="1"/>
  <c r="I750" i="14"/>
  <c r="AE750" i="17" s="1" a="1"/>
  <c r="AE750" i="17" s="1"/>
  <c r="I749" i="14"/>
  <c r="AE749" i="17" s="1" a="1"/>
  <c r="AE749" i="17" s="1"/>
  <c r="I748" i="14"/>
  <c r="AE748" i="17" s="1" a="1"/>
  <c r="AE748" i="17" s="1"/>
  <c r="I747" i="14"/>
  <c r="AE747" i="17" s="1" a="1"/>
  <c r="AE747" i="17" s="1"/>
  <c r="I746" i="14"/>
  <c r="AE746" i="17" s="1" a="1"/>
  <c r="AE746" i="17" s="1"/>
  <c r="I745" i="14"/>
  <c r="AE745" i="17" s="1" a="1"/>
  <c r="AE745" i="17" s="1"/>
  <c r="I744" i="14"/>
  <c r="AE744" i="17" s="1" a="1"/>
  <c r="AE744" i="17" s="1"/>
  <c r="I743" i="14"/>
  <c r="AE743" i="17" s="1" a="1"/>
  <c r="AE743" i="17" s="1"/>
  <c r="I742" i="14"/>
  <c r="AE742" i="17" s="1" a="1"/>
  <c r="AE742" i="17" s="1"/>
  <c r="I741" i="14"/>
  <c r="AE741" i="17" s="1" a="1"/>
  <c r="AE741" i="17" s="1"/>
  <c r="I740" i="14"/>
  <c r="AE740" i="17" s="1" a="1"/>
  <c r="AE740" i="17" s="1"/>
  <c r="I739" i="14"/>
  <c r="AE739" i="17" s="1" a="1"/>
  <c r="AE739" i="17" s="1"/>
  <c r="I738" i="14"/>
  <c r="AE738" i="17" s="1" a="1"/>
  <c r="AE738" i="17" s="1"/>
  <c r="I737" i="14"/>
  <c r="AE737" i="17" s="1" a="1"/>
  <c r="AE737" i="17" s="1"/>
  <c r="I736" i="14"/>
  <c r="AE736" i="17" s="1" a="1"/>
  <c r="AE736" i="17" s="1"/>
  <c r="I735" i="14"/>
  <c r="AE735" i="17" s="1" a="1"/>
  <c r="AE735" i="17" s="1"/>
  <c r="I734" i="14"/>
  <c r="AE734" i="17" s="1" a="1"/>
  <c r="AE734" i="17" s="1"/>
  <c r="I733" i="14"/>
  <c r="AE733" i="17" s="1" a="1"/>
  <c r="AE733" i="17" s="1"/>
  <c r="I732" i="14"/>
  <c r="AE732" i="17" s="1" a="1"/>
  <c r="AE732" i="17" s="1"/>
  <c r="I731" i="14"/>
  <c r="AE731" i="17" s="1" a="1"/>
  <c r="AE731" i="17" s="1"/>
  <c r="I730" i="14"/>
  <c r="AE730" i="17" s="1" a="1"/>
  <c r="AE730" i="17" s="1"/>
  <c r="I729" i="14"/>
  <c r="I728" i="14"/>
  <c r="I727" i="14"/>
  <c r="AE727" i="17" s="1" a="1"/>
  <c r="AE727" i="17" s="1"/>
  <c r="I726" i="14"/>
  <c r="I725" i="14"/>
  <c r="I724" i="14"/>
  <c r="AE724" i="17" s="1" a="1"/>
  <c r="AE724" i="17" s="1"/>
  <c r="I723" i="14"/>
  <c r="AE723" i="17" s="1" a="1"/>
  <c r="AE723" i="17" s="1"/>
  <c r="I722" i="14"/>
  <c r="AE722" i="17" s="1" a="1"/>
  <c r="AE722" i="17" s="1"/>
  <c r="I721" i="14"/>
  <c r="AE721" i="17" s="1" a="1"/>
  <c r="AE721" i="17" s="1"/>
  <c r="I720" i="14"/>
  <c r="AE720" i="17" s="1" a="1"/>
  <c r="AE720" i="17" s="1"/>
  <c r="I719" i="14"/>
  <c r="AE719" i="17" s="1" a="1"/>
  <c r="AE719" i="17" s="1"/>
  <c r="I718" i="14"/>
  <c r="AE718" i="17" s="1" a="1"/>
  <c r="AE718" i="17" s="1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E5" i="19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804" i="19" l="1"/>
  <c r="E564" i="19"/>
  <c r="AE564" i="17" a="1"/>
  <c r="AE564" i="17" s="1"/>
  <c r="AE769" i="17" a="1"/>
  <c r="AE769" i="17" s="1"/>
  <c r="AE768" i="17" a="1"/>
  <c r="AE768" i="17" s="1"/>
  <c r="AE767" i="17" a="1"/>
  <c r="AE767" i="17" s="1"/>
  <c r="AE766" i="17" a="1"/>
  <c r="AE766" i="17" s="1"/>
  <c r="AE765" i="17" a="1"/>
  <c r="AE765" i="17" s="1"/>
  <c r="T802" i="17"/>
  <c r="AE804" i="17" a="1"/>
  <c r="AE804" i="17" s="1"/>
  <c r="H803" i="14"/>
  <c r="E803" i="19"/>
  <c r="AE803" i="17" a="1"/>
  <c r="AE803" i="17" s="1"/>
  <c r="H802" i="14"/>
  <c r="E802" i="19"/>
  <c r="AE729" i="17" a="1"/>
  <c r="AE729" i="17" s="1"/>
  <c r="C729" i="24" s="1"/>
  <c r="AE728" i="17" a="1"/>
  <c r="AE728" i="17" s="1"/>
  <c r="C728" i="24" s="1"/>
  <c r="AE801" i="17" a="1"/>
  <c r="AE801" i="17" s="1"/>
  <c r="H801" i="14"/>
  <c r="E801" i="19"/>
  <c r="AE726" i="17" a="1"/>
  <c r="AE726" i="17" s="1"/>
  <c r="C726" i="24" s="1"/>
  <c r="AE725" i="17" a="1"/>
  <c r="AE725" i="17" s="1"/>
  <c r="C725" i="24" s="1"/>
  <c r="AE797" i="17" a="1"/>
  <c r="AE797" i="17" s="1"/>
  <c r="H800" i="14"/>
  <c r="AE800" i="17" a="1"/>
  <c r="AE800" i="17" s="1"/>
  <c r="AE791" i="17" a="1"/>
  <c r="AE791" i="17" s="1"/>
  <c r="C791" i="24" s="1"/>
  <c r="AE785" i="17" a="1"/>
  <c r="AE785" i="17" s="1"/>
  <c r="C785" i="24" s="1"/>
  <c r="AE790" i="17" a="1"/>
  <c r="AE790" i="17" s="1"/>
  <c r="C790" i="24" s="1"/>
  <c r="AE784" i="17" a="1"/>
  <c r="AE784" i="17" s="1"/>
  <c r="C784" i="24" s="1"/>
  <c r="AE788" i="17" a="1"/>
  <c r="AE788" i="17" s="1"/>
  <c r="C788" i="24" s="1"/>
  <c r="AE787" i="17" a="1"/>
  <c r="AE787" i="17" s="1"/>
  <c r="C787" i="24" s="1"/>
  <c r="AE789" i="17" a="1"/>
  <c r="AE789" i="17" s="1"/>
  <c r="C789" i="24" s="1"/>
  <c r="AE786" i="17" a="1"/>
  <c r="AE786" i="17" s="1"/>
  <c r="C786" i="24" s="1"/>
  <c r="H799" i="14"/>
  <c r="E799" i="19"/>
  <c r="AE799" i="17" a="1"/>
  <c r="AE799" i="17" s="1"/>
  <c r="H798" i="14"/>
  <c r="E798" i="19"/>
  <c r="AE798" i="17" a="1"/>
  <c r="AE798" i="17" s="1"/>
  <c r="H797" i="14"/>
  <c r="E797" i="19"/>
  <c r="E798" i="14"/>
  <c r="AE792" i="17" a="1"/>
  <c r="AE792" i="17" s="1"/>
  <c r="C792" i="24" s="1"/>
  <c r="AE695" i="17" a="1"/>
  <c r="AE695" i="17" s="1"/>
  <c r="C695" i="24" s="1"/>
  <c r="AE696" i="17" a="1"/>
  <c r="AE696" i="17" s="1"/>
  <c r="C696" i="24" s="1"/>
  <c r="AE694" i="17" a="1"/>
  <c r="AE694" i="17" s="1"/>
  <c r="C694" i="24" s="1"/>
  <c r="AE693" i="17" a="1"/>
  <c r="AE693" i="17" s="1"/>
  <c r="C693" i="24" s="1"/>
  <c r="AE692" i="17" a="1"/>
  <c r="AE692" i="17" s="1"/>
  <c r="C692" i="24" s="1"/>
  <c r="AE691" i="17" a="1"/>
  <c r="AE691" i="17" s="1"/>
  <c r="C691" i="24" s="1"/>
  <c r="H796" i="14"/>
  <c r="E796" i="19"/>
  <c r="AE690" i="17" a="1"/>
  <c r="AE690" i="17" s="1"/>
  <c r="C690" i="24" s="1"/>
  <c r="AE687" i="17" a="1"/>
  <c r="AE687" i="17" s="1"/>
  <c r="C687" i="24" s="1"/>
  <c r="AE686" i="17" a="1"/>
  <c r="AE686" i="17" s="1"/>
  <c r="C686" i="24" s="1"/>
  <c r="AE685" i="17" a="1"/>
  <c r="AE685" i="17" s="1"/>
  <c r="C685" i="24" s="1"/>
  <c r="AE689" i="17" a="1"/>
  <c r="AE689" i="17" s="1"/>
  <c r="C689" i="24" s="1"/>
  <c r="AE688" i="17" a="1"/>
  <c r="AE688" i="17" s="1"/>
  <c r="C688" i="24" s="1"/>
  <c r="AE795" i="17" a="1"/>
  <c r="AE795" i="17" s="1"/>
  <c r="H795" i="14"/>
  <c r="E795" i="19"/>
  <c r="H793" i="14"/>
  <c r="E793" i="19"/>
  <c r="AE683" i="17" a="1"/>
  <c r="AE683" i="17" s="1"/>
  <c r="C683" i="24" s="1"/>
  <c r="AE663" i="17" a="1"/>
  <c r="AE663" i="17" s="1"/>
  <c r="C663" i="24" s="1"/>
  <c r="AE662" i="17" a="1"/>
  <c r="AE662" i="17" s="1"/>
  <c r="C662" i="24" s="1"/>
  <c r="AE661" i="17" a="1"/>
  <c r="AE661" i="17" s="1"/>
  <c r="C661" i="24" s="1"/>
  <c r="AE659" i="17" a="1"/>
  <c r="AE659" i="17" s="1"/>
  <c r="C659" i="24" s="1"/>
  <c r="AE658" i="17" a="1"/>
  <c r="AE658" i="17" s="1"/>
  <c r="C658" i="24" s="1"/>
  <c r="AE657" i="17" a="1"/>
  <c r="AE657" i="17" s="1"/>
  <c r="C657" i="24" s="1"/>
  <c r="AE656" i="17" a="1"/>
  <c r="AE656" i="17" s="1"/>
  <c r="C656" i="24" s="1"/>
  <c r="AE655" i="17" a="1"/>
  <c r="AE655" i="17" s="1"/>
  <c r="C655" i="24" s="1"/>
  <c r="AE654" i="17" a="1"/>
  <c r="AE654" i="17" s="1"/>
  <c r="C654" i="24" s="1"/>
  <c r="AE684" i="17" a="1"/>
  <c r="AE684" i="17" s="1"/>
  <c r="C684" i="24" s="1"/>
  <c r="AE667" i="17" a="1"/>
  <c r="AE667" i="17" s="1"/>
  <c r="C667" i="24" s="1"/>
  <c r="AE666" i="17" a="1"/>
  <c r="AE666" i="17" s="1"/>
  <c r="C666" i="24" s="1"/>
  <c r="AE665" i="17" a="1"/>
  <c r="AE665" i="17" s="1"/>
  <c r="C665" i="24" s="1"/>
  <c r="AE664" i="17" a="1"/>
  <c r="AE664" i="17" s="1"/>
  <c r="C664" i="24" s="1"/>
  <c r="AE660" i="17" a="1"/>
  <c r="AE660" i="17" s="1"/>
  <c r="C660" i="24" s="1"/>
  <c r="AE682" i="17" a="1"/>
  <c r="AE682" i="17" s="1"/>
  <c r="C682" i="24" s="1"/>
  <c r="AE674" i="17" a="1"/>
  <c r="AE674" i="17" s="1"/>
  <c r="C674" i="24" s="1"/>
  <c r="AE681" i="17" a="1"/>
  <c r="AE681" i="17" s="1"/>
  <c r="C681" i="24" s="1"/>
  <c r="AE675" i="17" a="1"/>
  <c r="AE675" i="17" s="1"/>
  <c r="C675" i="24" s="1"/>
  <c r="AE680" i="17" a="1"/>
  <c r="AE680" i="17" s="1"/>
  <c r="C680" i="24" s="1"/>
  <c r="AE679" i="17" a="1"/>
  <c r="AE679" i="17" s="1"/>
  <c r="C679" i="24" s="1"/>
  <c r="AE678" i="17" a="1"/>
  <c r="AE678" i="17" s="1"/>
  <c r="C678" i="24" s="1"/>
  <c r="AE677" i="17" a="1"/>
  <c r="AE677" i="17" s="1"/>
  <c r="C677" i="24" s="1"/>
  <c r="AE676" i="17" a="1"/>
  <c r="AE676" i="17" s="1"/>
  <c r="C676" i="24" s="1"/>
  <c r="AE653" i="17" a="1"/>
  <c r="AE653" i="17" s="1"/>
  <c r="C653" i="24" s="1"/>
  <c r="AE652" i="17" a="1"/>
  <c r="AE652" i="17" s="1"/>
  <c r="C652" i="24" s="1"/>
  <c r="AE651" i="17" a="1"/>
  <c r="AE651" i="17" s="1"/>
  <c r="C651" i="24" s="1"/>
  <c r="AE650" i="17" a="1"/>
  <c r="AE650" i="17" s="1"/>
  <c r="C650" i="24" s="1"/>
  <c r="AE649" i="17" a="1"/>
  <c r="AE649" i="17" s="1"/>
  <c r="C649" i="24" s="1"/>
  <c r="AE648" i="17" a="1"/>
  <c r="AE648" i="17" s="1"/>
  <c r="C648" i="24" s="1"/>
  <c r="AE647" i="17" a="1"/>
  <c r="AE647" i="17" s="1"/>
  <c r="C647" i="24" s="1"/>
  <c r="AE644" i="17" a="1"/>
  <c r="AE644" i="17" s="1"/>
  <c r="C644" i="24" s="1"/>
  <c r="AE643" i="17" a="1"/>
  <c r="AE643" i="17" s="1"/>
  <c r="C643" i="24" s="1"/>
  <c r="AE642" i="17" a="1"/>
  <c r="AE642" i="17" s="1"/>
  <c r="C642" i="24" s="1"/>
  <c r="AE641" i="17" a="1"/>
  <c r="AE641" i="17" s="1"/>
  <c r="C641" i="24" s="1"/>
  <c r="AE640" i="17" a="1"/>
  <c r="AE640" i="17" s="1"/>
  <c r="C640" i="24" s="1"/>
  <c r="AE639" i="17" a="1"/>
  <c r="AE639" i="17" s="1"/>
  <c r="C639" i="24" s="1"/>
  <c r="AE638" i="17" a="1"/>
  <c r="AE638" i="17" s="1"/>
  <c r="C638" i="24" s="1"/>
  <c r="AE637" i="17" a="1"/>
  <c r="AE637" i="17" s="1"/>
  <c r="C637" i="24" s="1"/>
  <c r="AE636" i="17" a="1"/>
  <c r="AE636" i="17" s="1"/>
  <c r="C636" i="24" s="1"/>
  <c r="AE587" i="17" a="1"/>
  <c r="AE587" i="17" s="1"/>
  <c r="C587" i="24" s="1"/>
  <c r="AE586" i="17" a="1"/>
  <c r="AE586" i="17" s="1"/>
  <c r="C586" i="24" s="1"/>
  <c r="AE585" i="17" a="1"/>
  <c r="AE585" i="17" s="1"/>
  <c r="C585" i="24" s="1"/>
  <c r="AE584" i="17" a="1"/>
  <c r="AE584" i="17" s="1"/>
  <c r="C584" i="24" s="1"/>
  <c r="AE583" i="17" a="1"/>
  <c r="AE583" i="17" s="1"/>
  <c r="C583" i="24" s="1"/>
  <c r="AE582" i="17" a="1"/>
  <c r="AE582" i="17" s="1"/>
  <c r="C582" i="24" s="1"/>
  <c r="AE581" i="17" a="1"/>
  <c r="AE581" i="17" s="1"/>
  <c r="C581" i="24" s="1"/>
  <c r="AE580" i="17" a="1"/>
  <c r="AE580" i="17" s="1"/>
  <c r="C580" i="24" s="1"/>
  <c r="AE579" i="17" a="1"/>
  <c r="AE579" i="17" s="1"/>
  <c r="C579" i="24" s="1"/>
  <c r="AE578" i="17" a="1"/>
  <c r="AE578" i="17" s="1"/>
  <c r="C578" i="24" s="1"/>
  <c r="AE577" i="17" a="1"/>
  <c r="AE577" i="17" s="1"/>
  <c r="C577" i="24" s="1"/>
  <c r="AE576" i="17" a="1"/>
  <c r="AE576" i="17" s="1"/>
  <c r="C576" i="24" s="1"/>
  <c r="AE575" i="17" a="1"/>
  <c r="AE575" i="17" s="1"/>
  <c r="C575" i="24" s="1"/>
  <c r="AE574" i="17" a="1"/>
  <c r="AE574" i="17" s="1"/>
  <c r="C574" i="24" s="1"/>
  <c r="AE573" i="17" a="1"/>
  <c r="AE573" i="17" s="1"/>
  <c r="C573" i="24" s="1"/>
  <c r="AE572" i="17" a="1"/>
  <c r="AE572" i="17" s="1"/>
  <c r="C572" i="24" s="1"/>
  <c r="AE571" i="17" a="1"/>
  <c r="AE571" i="17" s="1"/>
  <c r="C571" i="24" s="1"/>
  <c r="AE570" i="17" a="1"/>
  <c r="AE570" i="17" s="1"/>
  <c r="C570" i="24" s="1"/>
  <c r="AE569" i="17" a="1"/>
  <c r="AE569" i="17" s="1"/>
  <c r="C569" i="24" s="1"/>
  <c r="AE568" i="17" a="1"/>
  <c r="AE568" i="17" s="1"/>
  <c r="C568" i="24" s="1"/>
  <c r="AE567" i="17" a="1"/>
  <c r="AE567" i="17" s="1"/>
  <c r="C567" i="24" s="1"/>
  <c r="AE566" i="17" a="1"/>
  <c r="AE566" i="17" s="1"/>
  <c r="C566" i="24" s="1"/>
  <c r="AE565" i="17" a="1"/>
  <c r="AE565" i="17" s="1"/>
  <c r="C565" i="24" s="1"/>
  <c r="C564" i="24"/>
  <c r="AE563" i="17" a="1"/>
  <c r="AE563" i="17" s="1"/>
  <c r="C563" i="24" s="1"/>
  <c r="AE562" i="17" a="1"/>
  <c r="AE562" i="17" s="1"/>
  <c r="C562" i="24" s="1"/>
  <c r="AE561" i="17" a="1"/>
  <c r="AE561" i="17" s="1"/>
  <c r="C561" i="24" s="1"/>
  <c r="AE560" i="17" a="1"/>
  <c r="AE560" i="17" s="1"/>
  <c r="C560" i="24" s="1"/>
  <c r="AE559" i="17" a="1"/>
  <c r="AE559" i="17" s="1"/>
  <c r="C559" i="24" s="1"/>
  <c r="AE558" i="17" a="1"/>
  <c r="AE558" i="17" s="1"/>
  <c r="C558" i="24" s="1"/>
  <c r="AE557" i="17" a="1"/>
  <c r="AE557" i="17" s="1"/>
  <c r="C557" i="24" s="1"/>
  <c r="AE556" i="17" a="1"/>
  <c r="AE556" i="17" s="1"/>
  <c r="C556" i="24" s="1"/>
  <c r="AE555" i="17" a="1"/>
  <c r="AE555" i="17" s="1"/>
  <c r="C555" i="24" s="1"/>
  <c r="AE554" i="17" a="1"/>
  <c r="AE554" i="17" s="1"/>
  <c r="C554" i="24" s="1"/>
  <c r="AE553" i="17" a="1"/>
  <c r="AE553" i="17" s="1"/>
  <c r="C553" i="24" s="1"/>
  <c r="AE552" i="17" a="1"/>
  <c r="AE552" i="17" s="1"/>
  <c r="C552" i="24" s="1"/>
  <c r="AE551" i="17" a="1"/>
  <c r="AE551" i="17" s="1"/>
  <c r="C551" i="24" s="1"/>
  <c r="AE550" i="17" a="1"/>
  <c r="AE550" i="17" s="1"/>
  <c r="C550" i="24" s="1"/>
  <c r="AE549" i="17" a="1"/>
  <c r="AE549" i="17" s="1"/>
  <c r="C549" i="24" s="1"/>
  <c r="AE548" i="17" a="1"/>
  <c r="AE548" i="17" s="1"/>
  <c r="C548" i="24" s="1"/>
  <c r="AE547" i="17" a="1"/>
  <c r="AE547" i="17" s="1"/>
  <c r="C547" i="24" s="1"/>
  <c r="AE546" i="17" a="1"/>
  <c r="AE546" i="17" s="1"/>
  <c r="C546" i="24" s="1"/>
  <c r="AE545" i="17" a="1"/>
  <c r="AE545" i="17" s="1"/>
  <c r="C545" i="24" s="1"/>
  <c r="AE544" i="17" a="1"/>
  <c r="AE544" i="17" s="1"/>
  <c r="C544" i="24" s="1"/>
  <c r="AE794" i="17" a="1"/>
  <c r="AE794" i="17" s="1"/>
  <c r="C794" i="24" s="1"/>
  <c r="H794" i="14"/>
  <c r="E794" i="19"/>
  <c r="AE591" i="17" a="1"/>
  <c r="AE591" i="17" s="1"/>
  <c r="C591" i="24" s="1"/>
  <c r="AE588" i="17" a="1"/>
  <c r="AE588" i="17" s="1"/>
  <c r="C588" i="24" s="1"/>
  <c r="AE646" i="17" a="1"/>
  <c r="AE646" i="17" s="1"/>
  <c r="C646" i="24" s="1"/>
  <c r="AE645" i="17" a="1"/>
  <c r="AE645" i="17" s="1"/>
  <c r="C645" i="24" s="1"/>
  <c r="AE163" i="17" a="1"/>
  <c r="AE163" i="17" s="1"/>
  <c r="C163" i="24" s="1"/>
  <c r="AE635" i="17" a="1"/>
  <c r="AE635" i="17" s="1"/>
  <c r="C635" i="24" s="1"/>
  <c r="AE634" i="17" a="1"/>
  <c r="AE634" i="17" s="1"/>
  <c r="C634" i="24" s="1"/>
  <c r="AE633" i="17" a="1"/>
  <c r="AE633" i="17" s="1"/>
  <c r="C633" i="24" s="1"/>
  <c r="AE632" i="17" a="1"/>
  <c r="AE632" i="17" s="1"/>
  <c r="C632" i="24" s="1"/>
  <c r="AE631" i="17" a="1"/>
  <c r="AE631" i="17" s="1"/>
  <c r="C631" i="24" s="1"/>
  <c r="AE630" i="17" a="1"/>
  <c r="AE630" i="17" s="1"/>
  <c r="C630" i="24" s="1"/>
  <c r="AE629" i="17" a="1"/>
  <c r="AE629" i="17" s="1"/>
  <c r="C629" i="24" s="1"/>
  <c r="AE628" i="17" a="1"/>
  <c r="AE628" i="17" s="1"/>
  <c r="C628" i="24" s="1"/>
  <c r="AE627" i="17" a="1"/>
  <c r="AE627" i="17" s="1"/>
  <c r="C627" i="24" s="1"/>
  <c r="AE626" i="17" a="1"/>
  <c r="AE626" i="17" s="1"/>
  <c r="C626" i="24" s="1"/>
  <c r="AE610" i="17" a="1"/>
  <c r="AE610" i="17" s="1"/>
  <c r="C610" i="24" s="1"/>
  <c r="AE609" i="17" a="1"/>
  <c r="AE609" i="17" s="1"/>
  <c r="C609" i="24" s="1"/>
  <c r="AE608" i="17" a="1"/>
  <c r="AE608" i="17" s="1"/>
  <c r="C608" i="24" s="1"/>
  <c r="AE607" i="17" a="1"/>
  <c r="AE607" i="17" s="1"/>
  <c r="C607" i="24" s="1"/>
  <c r="AE606" i="17" a="1"/>
  <c r="AE606" i="17" s="1"/>
  <c r="C606" i="24" s="1"/>
  <c r="AE605" i="17" a="1"/>
  <c r="AE605" i="17" s="1"/>
  <c r="C605" i="24" s="1"/>
  <c r="AE600" i="17" a="1"/>
  <c r="AE600" i="17" s="1"/>
  <c r="C600" i="24" s="1"/>
  <c r="AE599" i="17" a="1"/>
  <c r="AE599" i="17" s="1"/>
  <c r="C599" i="24" s="1"/>
  <c r="AE598" i="17" a="1"/>
  <c r="AE598" i="17" s="1"/>
  <c r="C598" i="24" s="1"/>
  <c r="AE597" i="17" a="1"/>
  <c r="AE597" i="17" s="1"/>
  <c r="C597" i="24" s="1"/>
  <c r="AE596" i="17" a="1"/>
  <c r="AE596" i="17" s="1"/>
  <c r="C596" i="24" s="1"/>
  <c r="AE595" i="17" a="1"/>
  <c r="AE595" i="17" s="1"/>
  <c r="C595" i="24" s="1"/>
  <c r="AE594" i="17" a="1"/>
  <c r="AE594" i="17" s="1"/>
  <c r="C594" i="24" s="1"/>
  <c r="AE593" i="17" a="1"/>
  <c r="AE593" i="17" s="1"/>
  <c r="C593" i="24" s="1"/>
  <c r="AE592" i="17" a="1"/>
  <c r="AE592" i="17" s="1"/>
  <c r="C592" i="24" s="1"/>
  <c r="AE590" i="17" a="1"/>
  <c r="AE590" i="17" s="1"/>
  <c r="C590" i="24" s="1"/>
  <c r="AE589" i="17" a="1"/>
  <c r="AE589" i="17" s="1"/>
  <c r="C589" i="24" s="1"/>
  <c r="AE173" i="17" a="1"/>
  <c r="AE173" i="17" s="1"/>
  <c r="C173" i="24" s="1"/>
  <c r="AE170" i="17" a="1"/>
  <c r="AE170" i="17" s="1"/>
  <c r="C170" i="24" s="1"/>
  <c r="AE168" i="17" a="1"/>
  <c r="AE168" i="17" s="1"/>
  <c r="C168" i="24" s="1"/>
  <c r="AE166" i="17" a="1"/>
  <c r="AE166" i="17" s="1"/>
  <c r="C166" i="24" s="1"/>
  <c r="AE164" i="17" a="1"/>
  <c r="AE164" i="17" s="1"/>
  <c r="C164" i="24" s="1"/>
  <c r="AE162" i="17" a="1"/>
  <c r="AE162" i="17" s="1"/>
  <c r="C162" i="24" s="1"/>
  <c r="AE161" i="17" a="1"/>
  <c r="AE161" i="17" s="1"/>
  <c r="C161" i="24" s="1"/>
  <c r="AE160" i="17" a="1"/>
  <c r="AE160" i="17" s="1"/>
  <c r="C160" i="24" s="1"/>
  <c r="AE159" i="17" a="1"/>
  <c r="AE159" i="17" s="1"/>
  <c r="C159" i="24" s="1"/>
  <c r="AE158" i="17" a="1"/>
  <c r="AE158" i="17" s="1"/>
  <c r="C158" i="24" s="1"/>
  <c r="AE157" i="17" a="1"/>
  <c r="AE157" i="17" s="1"/>
  <c r="C157" i="24" s="1"/>
  <c r="AE156" i="17" a="1"/>
  <c r="AE156" i="17" s="1"/>
  <c r="C156" i="24" s="1"/>
  <c r="AE155" i="17" a="1"/>
  <c r="AE155" i="17" s="1"/>
  <c r="C155" i="24" s="1"/>
  <c r="AE154" i="17" a="1"/>
  <c r="AE154" i="17" s="1"/>
  <c r="C154" i="24" s="1"/>
  <c r="AE72" i="17" a="1"/>
  <c r="AE72" i="17" s="1"/>
  <c r="C72" i="24" s="1"/>
  <c r="AE71" i="17" a="1"/>
  <c r="AE71" i="17" s="1"/>
  <c r="C71" i="24" s="1"/>
  <c r="AE321" i="17" a="1"/>
  <c r="AE321" i="17" s="1"/>
  <c r="C321" i="24" s="1"/>
  <c r="AE175" i="17" a="1"/>
  <c r="AE175" i="17" s="1"/>
  <c r="C175" i="24" s="1"/>
  <c r="AE174" i="17" a="1"/>
  <c r="AE174" i="17" s="1"/>
  <c r="C174" i="24" s="1"/>
  <c r="AE172" i="17" a="1"/>
  <c r="AE172" i="17" s="1"/>
  <c r="C172" i="24" s="1"/>
  <c r="AE171" i="17" a="1"/>
  <c r="AE171" i="17" s="1"/>
  <c r="C171" i="24" s="1"/>
  <c r="AE169" i="17" a="1"/>
  <c r="AE169" i="17" s="1"/>
  <c r="C169" i="24" s="1"/>
  <c r="AE167" i="17" a="1"/>
  <c r="AE167" i="17" s="1"/>
  <c r="C167" i="24" s="1"/>
  <c r="AE165" i="17" a="1"/>
  <c r="AE165" i="17" s="1"/>
  <c r="C165" i="24" s="1"/>
  <c r="AE70" i="17" a="1"/>
  <c r="AE70" i="17" s="1"/>
  <c r="C70" i="24" s="1"/>
  <c r="AE69" i="17" a="1"/>
  <c r="AE69" i="17" s="1"/>
  <c r="C69" i="24" s="1"/>
  <c r="B794" i="24"/>
  <c r="E794" i="24"/>
  <c r="D794" i="24"/>
  <c r="AE625" i="17" a="1"/>
  <c r="AE625" i="17" s="1"/>
  <c r="C625" i="24" s="1"/>
  <c r="AE624" i="17" a="1"/>
  <c r="AE624" i="17" s="1"/>
  <c r="C624" i="24" s="1"/>
  <c r="AE623" i="17" a="1"/>
  <c r="AE623" i="17" s="1"/>
  <c r="C623" i="24" s="1"/>
  <c r="AE622" i="17" a="1"/>
  <c r="AE622" i="17" s="1"/>
  <c r="C622" i="24" s="1"/>
  <c r="AE621" i="17" a="1"/>
  <c r="AE621" i="17" s="1"/>
  <c r="C621" i="24" s="1"/>
  <c r="AE620" i="17" a="1"/>
  <c r="AE620" i="17" s="1"/>
  <c r="C620" i="24" s="1"/>
  <c r="AE619" i="17" a="1"/>
  <c r="AE619" i="17" s="1"/>
  <c r="C619" i="24" s="1"/>
  <c r="AE618" i="17" a="1"/>
  <c r="AE618" i="17" s="1"/>
  <c r="C618" i="24" s="1"/>
  <c r="AE617" i="17" a="1"/>
  <c r="AE617" i="17" s="1"/>
  <c r="C617" i="24" s="1"/>
  <c r="AE616" i="17" a="1"/>
  <c r="AE616" i="17" s="1"/>
  <c r="C616" i="24" s="1"/>
  <c r="AE615" i="17" a="1"/>
  <c r="AE615" i="17" s="1"/>
  <c r="C615" i="24" s="1"/>
  <c r="AE614" i="17" a="1"/>
  <c r="AE614" i="17" s="1"/>
  <c r="C614" i="24" s="1"/>
  <c r="AE613" i="17" a="1"/>
  <c r="AE613" i="17" s="1"/>
  <c r="C613" i="24" s="1"/>
  <c r="AE612" i="17" a="1"/>
  <c r="AE612" i="17" s="1"/>
  <c r="C612" i="24" s="1"/>
  <c r="AE611" i="17" a="1"/>
  <c r="AE611" i="17" s="1"/>
  <c r="C611" i="24" s="1"/>
  <c r="AE320" i="17" a="1"/>
  <c r="AE320" i="17" s="1"/>
  <c r="C320" i="24" s="1"/>
  <c r="AE318" i="17" a="1"/>
  <c r="AE318" i="17" s="1"/>
  <c r="C318" i="24" s="1"/>
  <c r="AE316" i="17" a="1"/>
  <c r="AE316" i="17" s="1"/>
  <c r="C316" i="24" s="1"/>
  <c r="AE314" i="17" a="1"/>
  <c r="AE314" i="17" s="1"/>
  <c r="C314" i="24" s="1"/>
  <c r="AE312" i="17" a="1"/>
  <c r="AE312" i="17" s="1"/>
  <c r="C312" i="24" s="1"/>
  <c r="AE309" i="17" a="1"/>
  <c r="AE309" i="17" s="1"/>
  <c r="C309" i="24" s="1"/>
  <c r="AE307" i="17" a="1"/>
  <c r="AE307" i="17" s="1"/>
  <c r="C307" i="24" s="1"/>
  <c r="AE305" i="17" a="1"/>
  <c r="AE305" i="17" s="1"/>
  <c r="C305" i="24" s="1"/>
  <c r="AE303" i="17" a="1"/>
  <c r="AE303" i="17" s="1"/>
  <c r="C303" i="24" s="1"/>
  <c r="AE301" i="17" a="1"/>
  <c r="AE301" i="17" s="1"/>
  <c r="C301" i="24" s="1"/>
  <c r="AE504" i="17" a="1"/>
  <c r="AE504" i="17" s="1"/>
  <c r="C504" i="24" s="1"/>
  <c r="AE470" i="17" a="1"/>
  <c r="AE470" i="17" s="1"/>
  <c r="C470" i="24" s="1"/>
  <c r="AE469" i="17" a="1"/>
  <c r="AE469" i="17" s="1"/>
  <c r="C469" i="24" s="1"/>
  <c r="AE468" i="17" a="1"/>
  <c r="AE468" i="17" s="1"/>
  <c r="C468" i="24" s="1"/>
  <c r="AE467" i="17" a="1"/>
  <c r="AE467" i="17" s="1"/>
  <c r="C467" i="24" s="1"/>
  <c r="AE466" i="17" a="1"/>
  <c r="AE466" i="17" s="1"/>
  <c r="C466" i="24" s="1"/>
  <c r="AE465" i="17" a="1"/>
  <c r="AE465" i="17" s="1"/>
  <c r="C465" i="24" s="1"/>
  <c r="AE464" i="17" a="1"/>
  <c r="AE464" i="17" s="1"/>
  <c r="C464" i="24" s="1"/>
  <c r="AE463" i="17" a="1"/>
  <c r="AE463" i="17" s="1"/>
  <c r="C463" i="24" s="1"/>
  <c r="AE462" i="17" a="1"/>
  <c r="AE462" i="17" s="1"/>
  <c r="C462" i="24" s="1"/>
  <c r="AE461" i="17" a="1"/>
  <c r="AE461" i="17" s="1"/>
  <c r="C461" i="24" s="1"/>
  <c r="AE460" i="17" a="1"/>
  <c r="AE460" i="17" s="1"/>
  <c r="C460" i="24" s="1"/>
  <c r="AE459" i="17" a="1"/>
  <c r="AE459" i="17" s="1"/>
  <c r="C459" i="24" s="1"/>
  <c r="AE458" i="17" a="1"/>
  <c r="AE458" i="17" s="1"/>
  <c r="C458" i="24" s="1"/>
  <c r="AE457" i="17" a="1"/>
  <c r="AE457" i="17" s="1"/>
  <c r="C457" i="24" s="1"/>
  <c r="AE456" i="17" a="1"/>
  <c r="AE456" i="17" s="1"/>
  <c r="C456" i="24" s="1"/>
  <c r="AE455" i="17" a="1"/>
  <c r="AE455" i="17" s="1"/>
  <c r="C455" i="24" s="1"/>
  <c r="AE454" i="17" a="1"/>
  <c r="AE454" i="17" s="1"/>
  <c r="C454" i="24" s="1"/>
  <c r="AE453" i="17" a="1"/>
  <c r="AE453" i="17" s="1"/>
  <c r="C453" i="24" s="1"/>
  <c r="AE452" i="17" a="1"/>
  <c r="AE452" i="17" s="1"/>
  <c r="C452" i="24" s="1"/>
  <c r="AE451" i="17" a="1"/>
  <c r="AE451" i="17" s="1"/>
  <c r="C451" i="24" s="1"/>
  <c r="AE350" i="17" a="1"/>
  <c r="AE350" i="17" s="1"/>
  <c r="C350" i="24" s="1"/>
  <c r="AE349" i="17" a="1"/>
  <c r="AE349" i="17" s="1"/>
  <c r="C349" i="24" s="1"/>
  <c r="AE348" i="17" a="1"/>
  <c r="AE348" i="17" s="1"/>
  <c r="C348" i="24" s="1"/>
  <c r="AE347" i="17" a="1"/>
  <c r="AE347" i="17" s="1"/>
  <c r="C347" i="24" s="1"/>
  <c r="AE346" i="17" a="1"/>
  <c r="AE346" i="17" s="1"/>
  <c r="C346" i="24" s="1"/>
  <c r="AE345" i="17" a="1"/>
  <c r="AE345" i="17" s="1"/>
  <c r="C345" i="24" s="1"/>
  <c r="AE344" i="17" a="1"/>
  <c r="AE344" i="17" s="1"/>
  <c r="C344" i="24" s="1"/>
  <c r="AE343" i="17" a="1"/>
  <c r="AE343" i="17" s="1"/>
  <c r="C343" i="24" s="1"/>
  <c r="AE342" i="17" a="1"/>
  <c r="AE342" i="17" s="1"/>
  <c r="C342" i="24" s="1"/>
  <c r="AE341" i="17" a="1"/>
  <c r="AE341" i="17" s="1"/>
  <c r="C341" i="24" s="1"/>
  <c r="AE340" i="17" a="1"/>
  <c r="AE340" i="17" s="1"/>
  <c r="C340" i="24" s="1"/>
  <c r="AE339" i="17" a="1"/>
  <c r="AE339" i="17" s="1"/>
  <c r="C339" i="24" s="1"/>
  <c r="AE338" i="17" a="1"/>
  <c r="AE338" i="17" s="1"/>
  <c r="C338" i="24" s="1"/>
  <c r="AE337" i="17" a="1"/>
  <c r="AE337" i="17" s="1"/>
  <c r="C337" i="24" s="1"/>
  <c r="AE336" i="17" a="1"/>
  <c r="AE336" i="17" s="1"/>
  <c r="C336" i="24" s="1"/>
  <c r="AE335" i="17" a="1"/>
  <c r="AE335" i="17" s="1"/>
  <c r="C335" i="24" s="1"/>
  <c r="AE334" i="17" a="1"/>
  <c r="AE334" i="17" s="1"/>
  <c r="C334" i="24" s="1"/>
  <c r="AE333" i="17" a="1"/>
  <c r="AE333" i="17" s="1"/>
  <c r="C333" i="24" s="1"/>
  <c r="AE332" i="17" a="1"/>
  <c r="AE332" i="17" s="1"/>
  <c r="C332" i="24" s="1"/>
  <c r="AE331" i="17" a="1"/>
  <c r="AE331" i="17" s="1"/>
  <c r="C331" i="24" s="1"/>
  <c r="AE330" i="17" a="1"/>
  <c r="AE330" i="17" s="1"/>
  <c r="C330" i="24" s="1"/>
  <c r="AE319" i="17" a="1"/>
  <c r="AE319" i="17" s="1"/>
  <c r="C319" i="24" s="1"/>
  <c r="AE317" i="17" a="1"/>
  <c r="AE317" i="17" s="1"/>
  <c r="C317" i="24" s="1"/>
  <c r="AE315" i="17" a="1"/>
  <c r="AE315" i="17" s="1"/>
  <c r="C315" i="24" s="1"/>
  <c r="AE313" i="17" a="1"/>
  <c r="AE313" i="17" s="1"/>
  <c r="C313" i="24" s="1"/>
  <c r="AE311" i="17" a="1"/>
  <c r="AE311" i="17" s="1"/>
  <c r="C311" i="24" s="1"/>
  <c r="AE310" i="17" a="1"/>
  <c r="AE310" i="17" s="1"/>
  <c r="C310" i="24" s="1"/>
  <c r="AE308" i="17" a="1"/>
  <c r="AE308" i="17" s="1"/>
  <c r="C308" i="24" s="1"/>
  <c r="AE306" i="17" a="1"/>
  <c r="AE306" i="17" s="1"/>
  <c r="C306" i="24" s="1"/>
  <c r="AE304" i="17" a="1"/>
  <c r="AE304" i="17" s="1"/>
  <c r="C304" i="24" s="1"/>
  <c r="AE302" i="17" a="1"/>
  <c r="AE302" i="17" s="1"/>
  <c r="C302" i="24" s="1"/>
  <c r="AE300" i="17" a="1"/>
  <c r="AE300" i="17" s="1"/>
  <c r="C300" i="24" s="1"/>
  <c r="AE329" i="17" a="1"/>
  <c r="AE329" i="17" s="1"/>
  <c r="C329" i="24" s="1"/>
  <c r="AE328" i="17" a="1"/>
  <c r="AE328" i="17" s="1"/>
  <c r="C328" i="24" s="1"/>
  <c r="AE327" i="17" a="1"/>
  <c r="AE327" i="17" s="1"/>
  <c r="C327" i="24" s="1"/>
  <c r="AE326" i="17" a="1"/>
  <c r="AE326" i="17" s="1"/>
  <c r="C326" i="24" s="1"/>
  <c r="AE325" i="17" a="1"/>
  <c r="AE325" i="17" s="1"/>
  <c r="C325" i="24" s="1"/>
  <c r="AE324" i="17" a="1"/>
  <c r="AE324" i="17" s="1"/>
  <c r="C324" i="24" s="1"/>
  <c r="AE323" i="17" a="1"/>
  <c r="AE323" i="17" s="1"/>
  <c r="C323" i="24" s="1"/>
  <c r="AE322" i="17" a="1"/>
  <c r="AE322" i="17" s="1"/>
  <c r="C322" i="24" s="1"/>
  <c r="AE68" i="17" a="1"/>
  <c r="AE68" i="17" s="1"/>
  <c r="C68" i="24" s="1"/>
  <c r="AE67" i="17" a="1"/>
  <c r="AE67" i="17" s="1"/>
  <c r="C67" i="24" s="1"/>
  <c r="AE66" i="17" a="1"/>
  <c r="AE66" i="17" s="1"/>
  <c r="C66" i="24" s="1"/>
  <c r="AE65" i="17" a="1"/>
  <c r="AE65" i="17" s="1"/>
  <c r="C65" i="24" s="1"/>
  <c r="AE64" i="17" a="1"/>
  <c r="AE64" i="17" s="1"/>
  <c r="C64" i="24" s="1"/>
  <c r="AE63" i="17" a="1"/>
  <c r="AE63" i="17" s="1"/>
  <c r="C63" i="24" s="1"/>
  <c r="AE62" i="17" a="1"/>
  <c r="AE62" i="17" s="1"/>
  <c r="C62" i="24" s="1"/>
  <c r="AE61" i="17" a="1"/>
  <c r="AE61" i="17" s="1"/>
  <c r="C61" i="24" s="1"/>
  <c r="AE60" i="17" a="1"/>
  <c r="AE60" i="17" s="1"/>
  <c r="C60" i="24" s="1"/>
  <c r="AE59" i="17" a="1"/>
  <c r="AE59" i="17" s="1"/>
  <c r="C59" i="24" s="1"/>
  <c r="AE58" i="17" a="1"/>
  <c r="AE58" i="17" s="1"/>
  <c r="C58" i="24" s="1"/>
  <c r="AE57" i="17" a="1"/>
  <c r="AE57" i="17" s="1"/>
  <c r="C57" i="24" s="1"/>
  <c r="AE56" i="17" a="1"/>
  <c r="AE56" i="17" s="1"/>
  <c r="C56" i="24" s="1"/>
  <c r="AE55" i="17" a="1"/>
  <c r="AE55" i="17" s="1"/>
  <c r="C55" i="24" s="1"/>
  <c r="AE54" i="17" a="1"/>
  <c r="AE54" i="17" s="1"/>
  <c r="C54" i="24" s="1"/>
  <c r="AE53" i="17" a="1"/>
  <c r="AE53" i="17" s="1"/>
  <c r="C53" i="24" s="1"/>
  <c r="AE52" i="17" a="1"/>
  <c r="AE52" i="17" s="1"/>
  <c r="C52" i="24" s="1"/>
  <c r="AE51" i="17" a="1"/>
  <c r="AE51" i="17" s="1"/>
  <c r="C51" i="24" s="1"/>
  <c r="AE50" i="17" a="1"/>
  <c r="AE50" i="17" s="1"/>
  <c r="C50" i="24" s="1"/>
  <c r="AE49" i="17" a="1"/>
  <c r="AE49" i="17" s="1"/>
  <c r="C49" i="24" s="1"/>
  <c r="AE48" i="17" a="1"/>
  <c r="AE48" i="17" s="1"/>
  <c r="C48" i="24" s="1"/>
  <c r="AE47" i="17" a="1"/>
  <c r="AE47" i="17" s="1"/>
  <c r="C47" i="24" s="1"/>
  <c r="AE46" i="17" a="1"/>
  <c r="AE46" i="17" s="1"/>
  <c r="C46" i="24" s="1"/>
  <c r="AE45" i="17" a="1"/>
  <c r="AE45" i="17" s="1"/>
  <c r="C45" i="24" s="1"/>
  <c r="AE44" i="17" a="1"/>
  <c r="AE44" i="17" s="1"/>
  <c r="C44" i="24" s="1"/>
  <c r="AE43" i="17" a="1"/>
  <c r="AE43" i="17" s="1"/>
  <c r="C43" i="24" s="1"/>
  <c r="AE42" i="17" a="1"/>
  <c r="AE42" i="17" s="1"/>
  <c r="C42" i="24" s="1"/>
  <c r="AE41" i="17" a="1"/>
  <c r="AE41" i="17" s="1"/>
  <c r="C41" i="24" s="1"/>
  <c r="AE40" i="17" a="1"/>
  <c r="AE40" i="17" s="1"/>
  <c r="C40" i="24" s="1"/>
  <c r="AE39" i="17" a="1"/>
  <c r="AE39" i="17" s="1"/>
  <c r="C39" i="24" s="1"/>
  <c r="AE38" i="17" a="1"/>
  <c r="AE38" i="17" s="1"/>
  <c r="C38" i="24" s="1"/>
  <c r="AE37" i="17" a="1"/>
  <c r="AE37" i="17" s="1"/>
  <c r="C37" i="24" s="1"/>
  <c r="AE36" i="17" a="1"/>
  <c r="AE36" i="17" s="1"/>
  <c r="C36" i="24" s="1"/>
  <c r="AE35" i="17" a="1"/>
  <c r="AE35" i="17" s="1"/>
  <c r="C35" i="24" s="1"/>
  <c r="AE34" i="17" a="1"/>
  <c r="AE34" i="17" s="1"/>
  <c r="C34" i="24" s="1"/>
  <c r="AE33" i="17" a="1"/>
  <c r="AE33" i="17" s="1"/>
  <c r="C33" i="24" s="1"/>
  <c r="AE32" i="17" a="1"/>
  <c r="AE32" i="17" s="1"/>
  <c r="C32" i="24" s="1"/>
  <c r="AE31" i="17" a="1"/>
  <c r="AE31" i="17" s="1"/>
  <c r="C31" i="24" s="1"/>
  <c r="AE30" i="17" a="1"/>
  <c r="AE30" i="17" s="1"/>
  <c r="C30" i="24" s="1"/>
  <c r="AE29" i="17" a="1"/>
  <c r="AE29" i="17" s="1"/>
  <c r="C29" i="24" s="1"/>
  <c r="AE28" i="17" a="1"/>
  <c r="AE28" i="17" s="1"/>
  <c r="C28" i="24" s="1"/>
  <c r="AE27" i="17" a="1"/>
  <c r="AE27" i="17" s="1"/>
  <c r="C27" i="24" s="1"/>
  <c r="AE26" i="17" a="1"/>
  <c r="AE26" i="17" s="1"/>
  <c r="C26" i="24" s="1"/>
  <c r="AE25" i="17" a="1"/>
  <c r="AE25" i="17" s="1"/>
  <c r="C25" i="24" s="1"/>
  <c r="AE24" i="17" a="1"/>
  <c r="AE24" i="17" s="1"/>
  <c r="C24" i="24" s="1"/>
  <c r="AE23" i="17" a="1"/>
  <c r="AE23" i="17" s="1"/>
  <c r="C23" i="24" s="1"/>
  <c r="AE22" i="17" a="1"/>
  <c r="AE22" i="17" s="1"/>
  <c r="C22" i="24" s="1"/>
  <c r="AE21" i="17" a="1"/>
  <c r="AE21" i="17" s="1"/>
  <c r="C21" i="24" s="1"/>
  <c r="AE20" i="17" a="1"/>
  <c r="AE20" i="17" s="1"/>
  <c r="C20" i="24" s="1"/>
  <c r="AE717" i="17" a="1"/>
  <c r="AE717" i="17" s="1"/>
  <c r="C717" i="24" s="1"/>
  <c r="AE716" i="17" a="1"/>
  <c r="AE716" i="17" s="1"/>
  <c r="C716" i="24" s="1"/>
  <c r="AE715" i="17" a="1"/>
  <c r="AE715" i="17" s="1"/>
  <c r="C715" i="24" s="1"/>
  <c r="AE714" i="17" a="1"/>
  <c r="AE714" i="17" s="1"/>
  <c r="C714" i="24" s="1"/>
  <c r="AE713" i="17" a="1"/>
  <c r="AE713" i="17" s="1"/>
  <c r="C713" i="24" s="1"/>
  <c r="AE712" i="17" a="1"/>
  <c r="AE712" i="17" s="1"/>
  <c r="C712" i="24" s="1"/>
  <c r="AE711" i="17" a="1"/>
  <c r="AE711" i="17" s="1"/>
  <c r="C711" i="24" s="1"/>
  <c r="AE710" i="17" a="1"/>
  <c r="AE710" i="17" s="1"/>
  <c r="C710" i="24" s="1"/>
  <c r="AE709" i="17" a="1"/>
  <c r="AE709" i="17" s="1"/>
  <c r="C709" i="24" s="1"/>
  <c r="AE708" i="17" a="1"/>
  <c r="AE708" i="17" s="1"/>
  <c r="C708" i="24" s="1"/>
  <c r="AE700" i="17" a="1"/>
  <c r="AE700" i="17" s="1"/>
  <c r="C700" i="24" s="1"/>
  <c r="AE699" i="17" a="1"/>
  <c r="AE699" i="17" s="1"/>
  <c r="C699" i="24" s="1"/>
  <c r="AE698" i="17" a="1"/>
  <c r="AE698" i="17" s="1"/>
  <c r="C698" i="24" s="1"/>
  <c r="AE697" i="17" a="1"/>
  <c r="AE697" i="17" s="1"/>
  <c r="C697" i="24" s="1"/>
  <c r="AE489" i="17" a="1"/>
  <c r="AE489" i="17" s="1"/>
  <c r="C489" i="24" s="1"/>
  <c r="AE485" i="17" a="1"/>
  <c r="AE485" i="17" s="1"/>
  <c r="C485" i="24" s="1"/>
  <c r="AE484" i="17" a="1"/>
  <c r="AE484" i="17" s="1"/>
  <c r="C484" i="24" s="1"/>
  <c r="AE483" i="17" a="1"/>
  <c r="AE483" i="17" s="1"/>
  <c r="C483" i="24" s="1"/>
  <c r="AE482" i="17" a="1"/>
  <c r="AE482" i="17" s="1"/>
  <c r="C482" i="24" s="1"/>
  <c r="AE480" i="17" a="1"/>
  <c r="AE480" i="17" s="1"/>
  <c r="C480" i="24" s="1"/>
  <c r="AE479" i="17" a="1"/>
  <c r="AE479" i="17" s="1"/>
  <c r="C479" i="24" s="1"/>
  <c r="AE478" i="17" a="1"/>
  <c r="AE478" i="17" s="1"/>
  <c r="C478" i="24" s="1"/>
  <c r="AE477" i="17" a="1"/>
  <c r="AE477" i="17" s="1"/>
  <c r="C477" i="24" s="1"/>
  <c r="AE476" i="17" a="1"/>
  <c r="AE476" i="17" s="1"/>
  <c r="C476" i="24" s="1"/>
  <c r="AE475" i="17" a="1"/>
  <c r="AE475" i="17" s="1"/>
  <c r="C475" i="24" s="1"/>
  <c r="AE474" i="17" a="1"/>
  <c r="AE474" i="17" s="1"/>
  <c r="C474" i="24" s="1"/>
  <c r="AE473" i="17" a="1"/>
  <c r="AE473" i="17" s="1"/>
  <c r="C473" i="24" s="1"/>
  <c r="AE472" i="17" a="1"/>
  <c r="AE472" i="17" s="1"/>
  <c r="C472" i="24" s="1"/>
  <c r="AE471" i="17" a="1"/>
  <c r="AE471" i="17" s="1"/>
  <c r="C471" i="24" s="1"/>
  <c r="AE291" i="17" a="1"/>
  <c r="AE291" i="17" s="1"/>
  <c r="C291" i="24" s="1"/>
  <c r="AE290" i="17" a="1"/>
  <c r="AE290" i="17" s="1"/>
  <c r="C290" i="24" s="1"/>
  <c r="AE289" i="17" a="1"/>
  <c r="AE289" i="17" s="1"/>
  <c r="C289" i="24" s="1"/>
  <c r="AE288" i="17" a="1"/>
  <c r="AE288" i="17" s="1"/>
  <c r="C288" i="24" s="1"/>
  <c r="AE245" i="17" a="1"/>
  <c r="AE245" i="17" s="1"/>
  <c r="C245" i="24" s="1"/>
  <c r="AE244" i="17" a="1"/>
  <c r="AE244" i="17" s="1"/>
  <c r="C244" i="24" s="1"/>
  <c r="AE243" i="17" a="1"/>
  <c r="AE243" i="17" s="1"/>
  <c r="C243" i="24" s="1"/>
  <c r="AE242" i="17" a="1"/>
  <c r="AE242" i="17" s="1"/>
  <c r="C242" i="24" s="1"/>
  <c r="AE241" i="17" a="1"/>
  <c r="AE241" i="17" s="1"/>
  <c r="C241" i="24" s="1"/>
  <c r="AE240" i="17" a="1"/>
  <c r="AE240" i="17" s="1"/>
  <c r="C240" i="24" s="1"/>
  <c r="AE239" i="17" a="1"/>
  <c r="AE239" i="17" s="1"/>
  <c r="C239" i="24" s="1"/>
  <c r="AE238" i="17" a="1"/>
  <c r="AE238" i="17" s="1"/>
  <c r="C238" i="24" s="1"/>
  <c r="AE237" i="17" a="1"/>
  <c r="AE237" i="17" s="1"/>
  <c r="C237" i="24" s="1"/>
  <c r="AE236" i="17" a="1"/>
  <c r="AE236" i="17" s="1"/>
  <c r="C236" i="24" s="1"/>
  <c r="AE235" i="17" a="1"/>
  <c r="AE235" i="17" s="1"/>
  <c r="C235" i="24" s="1"/>
  <c r="AE234" i="17" a="1"/>
  <c r="AE234" i="17" s="1"/>
  <c r="C234" i="24" s="1"/>
  <c r="AE233" i="17" a="1"/>
  <c r="AE233" i="17" s="1"/>
  <c r="C233" i="24" s="1"/>
  <c r="AE232" i="17" a="1"/>
  <c r="AE232" i="17" s="1"/>
  <c r="C232" i="24" s="1"/>
  <c r="AE231" i="17" a="1"/>
  <c r="AE231" i="17" s="1"/>
  <c r="C231" i="24" s="1"/>
  <c r="AE230" i="17" a="1"/>
  <c r="AE230" i="17" s="1"/>
  <c r="C230" i="24" s="1"/>
  <c r="AE229" i="17" a="1"/>
  <c r="AE229" i="17" s="1"/>
  <c r="C229" i="24" s="1"/>
  <c r="AE228" i="17" a="1"/>
  <c r="AE228" i="17" s="1"/>
  <c r="C228" i="24" s="1"/>
  <c r="AE227" i="17" a="1"/>
  <c r="AE227" i="17" s="1"/>
  <c r="C227" i="24" s="1"/>
  <c r="AE226" i="17" a="1"/>
  <c r="AE226" i="17" s="1"/>
  <c r="C226" i="24" s="1"/>
  <c r="AE225" i="17" a="1"/>
  <c r="AE225" i="17" s="1"/>
  <c r="C225" i="24" s="1"/>
  <c r="AE224" i="17" a="1"/>
  <c r="AE224" i="17" s="1"/>
  <c r="C224" i="24" s="1"/>
  <c r="AE223" i="17" a="1"/>
  <c r="AE223" i="17" s="1"/>
  <c r="C223" i="24" s="1"/>
  <c r="AE222" i="17" a="1"/>
  <c r="AE222" i="17" s="1"/>
  <c r="C222" i="24" s="1"/>
  <c r="AE221" i="17" a="1"/>
  <c r="AE221" i="17" s="1"/>
  <c r="C221" i="24" s="1"/>
  <c r="AE220" i="17" a="1"/>
  <c r="AE220" i="17" s="1"/>
  <c r="C220" i="24" s="1"/>
  <c r="AE219" i="17" a="1"/>
  <c r="AE219" i="17" s="1"/>
  <c r="C219" i="24" s="1"/>
  <c r="AE218" i="17" a="1"/>
  <c r="AE218" i="17" s="1"/>
  <c r="C218" i="24" s="1"/>
  <c r="AE217" i="17" a="1"/>
  <c r="AE217" i="17" s="1"/>
  <c r="C217" i="24" s="1"/>
  <c r="AE216" i="17" a="1"/>
  <c r="AE216" i="17" s="1"/>
  <c r="C216" i="24" s="1"/>
  <c r="AE215" i="17" a="1"/>
  <c r="AE215" i="17" s="1"/>
  <c r="C215" i="24" s="1"/>
  <c r="AE214" i="17" a="1"/>
  <c r="AE214" i="17" s="1"/>
  <c r="C214" i="24" s="1"/>
  <c r="AE213" i="17" a="1"/>
  <c r="AE213" i="17" s="1"/>
  <c r="C213" i="24" s="1"/>
  <c r="AE212" i="17" a="1"/>
  <c r="AE212" i="17" s="1"/>
  <c r="C212" i="24" s="1"/>
  <c r="AE211" i="17" a="1"/>
  <c r="AE211" i="17" s="1"/>
  <c r="C211" i="24" s="1"/>
  <c r="AE210" i="17" a="1"/>
  <c r="AE210" i="17" s="1"/>
  <c r="C210" i="24" s="1"/>
  <c r="AE209" i="17" a="1"/>
  <c r="AE209" i="17" s="1"/>
  <c r="C209" i="24" s="1"/>
  <c r="AE208" i="17" a="1"/>
  <c r="AE208" i="17" s="1"/>
  <c r="C208" i="24" s="1"/>
  <c r="AE207" i="17" a="1"/>
  <c r="AE207" i="17" s="1"/>
  <c r="C207" i="24" s="1"/>
  <c r="AE206" i="17" a="1"/>
  <c r="AE206" i="17" s="1"/>
  <c r="C206" i="24" s="1"/>
  <c r="AE205" i="17" a="1"/>
  <c r="AE205" i="17" s="1"/>
  <c r="C205" i="24" s="1"/>
  <c r="AE204" i="17" a="1"/>
  <c r="AE204" i="17" s="1"/>
  <c r="C204" i="24" s="1"/>
  <c r="AE203" i="17" a="1"/>
  <c r="AE203" i="17" s="1"/>
  <c r="C203" i="24" s="1"/>
  <c r="AE202" i="17" a="1"/>
  <c r="AE202" i="17" s="1"/>
  <c r="C202" i="24" s="1"/>
  <c r="AE201" i="17" a="1"/>
  <c r="AE201" i="17" s="1"/>
  <c r="C201" i="24" s="1"/>
  <c r="AE200" i="17" a="1"/>
  <c r="AE200" i="17" s="1"/>
  <c r="C200" i="24" s="1"/>
  <c r="AE199" i="17" a="1"/>
  <c r="AE199" i="17" s="1"/>
  <c r="C199" i="24" s="1"/>
  <c r="AE198" i="17" a="1"/>
  <c r="AE198" i="17" s="1"/>
  <c r="C198" i="24" s="1"/>
  <c r="AE197" i="17" a="1"/>
  <c r="AE197" i="17" s="1"/>
  <c r="C197" i="24" s="1"/>
  <c r="AE196" i="17" a="1"/>
  <c r="AE196" i="17" s="1"/>
  <c r="C196" i="24" s="1"/>
  <c r="AE195" i="17" a="1"/>
  <c r="AE195" i="17" s="1"/>
  <c r="C195" i="24" s="1"/>
  <c r="AE194" i="17" a="1"/>
  <c r="AE194" i="17" s="1"/>
  <c r="C194" i="24" s="1"/>
  <c r="AE193" i="17" a="1"/>
  <c r="AE193" i="17" s="1"/>
  <c r="C193" i="24" s="1"/>
  <c r="AE192" i="17" a="1"/>
  <c r="AE192" i="17" s="1"/>
  <c r="C192" i="24" s="1"/>
  <c r="AE191" i="17" a="1"/>
  <c r="AE191" i="17" s="1"/>
  <c r="C191" i="24" s="1"/>
  <c r="AE190" i="17" a="1"/>
  <c r="AE190" i="17" s="1"/>
  <c r="C190" i="24" s="1"/>
  <c r="AE189" i="17" a="1"/>
  <c r="AE189" i="17" s="1"/>
  <c r="C189" i="24" s="1"/>
  <c r="AE188" i="17" a="1"/>
  <c r="AE188" i="17" s="1"/>
  <c r="C188" i="24" s="1"/>
  <c r="AE187" i="17" a="1"/>
  <c r="AE187" i="17" s="1"/>
  <c r="C187" i="24" s="1"/>
  <c r="AE186" i="17" a="1"/>
  <c r="AE186" i="17" s="1"/>
  <c r="C186" i="24" s="1"/>
  <c r="AE185" i="17" a="1"/>
  <c r="AE185" i="17" s="1"/>
  <c r="C185" i="24" s="1"/>
  <c r="AE184" i="17" a="1"/>
  <c r="AE184" i="17" s="1"/>
  <c r="C184" i="24" s="1"/>
  <c r="AE183" i="17" a="1"/>
  <c r="AE183" i="17" s="1"/>
  <c r="C183" i="24" s="1"/>
  <c r="AE182" i="17" a="1"/>
  <c r="AE182" i="17" s="1"/>
  <c r="C182" i="24" s="1"/>
  <c r="AE181" i="17" a="1"/>
  <c r="AE181" i="17" s="1"/>
  <c r="C181" i="24" s="1"/>
  <c r="AE180" i="17" a="1"/>
  <c r="AE180" i="17" s="1"/>
  <c r="C180" i="24" s="1"/>
  <c r="AE179" i="17" a="1"/>
  <c r="AE179" i="17" s="1"/>
  <c r="C179" i="24" s="1"/>
  <c r="AE178" i="17" a="1"/>
  <c r="AE178" i="17" s="1"/>
  <c r="C178" i="24" s="1"/>
  <c r="AE177" i="17" a="1"/>
  <c r="AE177" i="17" s="1"/>
  <c r="C177" i="24" s="1"/>
  <c r="AE176" i="17" a="1"/>
  <c r="AE176" i="17" s="1"/>
  <c r="C176" i="24" s="1"/>
  <c r="AE85" i="17" a="1"/>
  <c r="AE85" i="17" s="1"/>
  <c r="C85" i="24" s="1"/>
  <c r="AE84" i="17" a="1"/>
  <c r="AE84" i="17" s="1"/>
  <c r="C84" i="24" s="1"/>
  <c r="AE83" i="17" a="1"/>
  <c r="AE83" i="17" s="1"/>
  <c r="C83" i="24" s="1"/>
  <c r="AE82" i="17" a="1"/>
  <c r="AE82" i="17" s="1"/>
  <c r="C82" i="24" s="1"/>
  <c r="AE81" i="17" a="1"/>
  <c r="AE81" i="17" s="1"/>
  <c r="C81" i="24" s="1"/>
  <c r="AE80" i="17" a="1"/>
  <c r="AE80" i="17" s="1"/>
  <c r="C80" i="24" s="1"/>
  <c r="AE79" i="17" a="1"/>
  <c r="AE79" i="17" s="1"/>
  <c r="C79" i="24" s="1"/>
  <c r="AE78" i="17" a="1"/>
  <c r="AE78" i="17" s="1"/>
  <c r="C78" i="24" s="1"/>
  <c r="AE77" i="17" a="1"/>
  <c r="AE77" i="17" s="1"/>
  <c r="C77" i="24" s="1"/>
  <c r="AE76" i="17" a="1"/>
  <c r="AE76" i="17" s="1"/>
  <c r="C76" i="24" s="1"/>
  <c r="AE75" i="17" a="1"/>
  <c r="AE75" i="17" s="1"/>
  <c r="C75" i="24" s="1"/>
  <c r="AE74" i="17" a="1"/>
  <c r="AE74" i="17" s="1"/>
  <c r="C74" i="24" s="1"/>
  <c r="AE73" i="17" a="1"/>
  <c r="AE73" i="17" s="1"/>
  <c r="C73" i="24" s="1"/>
  <c r="AE673" i="17" a="1"/>
  <c r="AE673" i="17" s="1"/>
  <c r="C673" i="24" s="1"/>
  <c r="AE672" i="17" a="1"/>
  <c r="AE672" i="17" s="1"/>
  <c r="C672" i="24" s="1"/>
  <c r="AE671" i="17" a="1"/>
  <c r="AE671" i="17" s="1"/>
  <c r="C671" i="24" s="1"/>
  <c r="AE670" i="17" a="1"/>
  <c r="AE670" i="17" s="1"/>
  <c r="C670" i="24" s="1"/>
  <c r="AE543" i="17" a="1"/>
  <c r="AE543" i="17" s="1"/>
  <c r="C543" i="24" s="1"/>
  <c r="AE542" i="17" a="1"/>
  <c r="AE542" i="17" s="1"/>
  <c r="C542" i="24" s="1"/>
  <c r="AE488" i="17" a="1"/>
  <c r="AE488" i="17" s="1"/>
  <c r="C488" i="24" s="1"/>
  <c r="AE487" i="17" a="1"/>
  <c r="AE487" i="17" s="1"/>
  <c r="C487" i="24" s="1"/>
  <c r="AE486" i="17" a="1"/>
  <c r="AE486" i="17" s="1"/>
  <c r="C486" i="24" s="1"/>
  <c r="AE287" i="17" a="1"/>
  <c r="AE287" i="17" s="1"/>
  <c r="C287" i="24" s="1"/>
  <c r="AE259" i="17" a="1"/>
  <c r="AE259" i="17" s="1"/>
  <c r="C259" i="24" s="1"/>
  <c r="AE258" i="17" a="1"/>
  <c r="AE258" i="17" s="1"/>
  <c r="C258" i="24" s="1"/>
  <c r="AE257" i="17" a="1"/>
  <c r="AE257" i="17" s="1"/>
  <c r="C257" i="24" s="1"/>
  <c r="AE256" i="17" a="1"/>
  <c r="AE256" i="17" s="1"/>
  <c r="C256" i="24" s="1"/>
  <c r="AE255" i="17" a="1"/>
  <c r="AE255" i="17" s="1"/>
  <c r="C255" i="24" s="1"/>
  <c r="AE254" i="17" a="1"/>
  <c r="AE254" i="17" s="1"/>
  <c r="C254" i="24" s="1"/>
  <c r="AE253" i="17" a="1"/>
  <c r="AE253" i="17" s="1"/>
  <c r="C253" i="24" s="1"/>
  <c r="AE252" i="17" a="1"/>
  <c r="AE252" i="17" s="1"/>
  <c r="C252" i="24" s="1"/>
  <c r="AE251" i="17" a="1"/>
  <c r="AE251" i="17" s="1"/>
  <c r="C251" i="24" s="1"/>
  <c r="AE250" i="17" a="1"/>
  <c r="AE250" i="17" s="1"/>
  <c r="C250" i="24" s="1"/>
  <c r="AE249" i="17" a="1"/>
  <c r="AE249" i="17" s="1"/>
  <c r="C249" i="24" s="1"/>
  <c r="AE248" i="17" a="1"/>
  <c r="AE248" i="17" s="1"/>
  <c r="C248" i="24" s="1"/>
  <c r="AE247" i="17" a="1"/>
  <c r="AE247" i="17" s="1"/>
  <c r="C247" i="24" s="1"/>
  <c r="AE246" i="17" a="1"/>
  <c r="AE246" i="17" s="1"/>
  <c r="C246" i="24" s="1"/>
  <c r="AE669" i="17" a="1"/>
  <c r="AE669" i="17" s="1"/>
  <c r="C669" i="24" s="1"/>
  <c r="AE668" i="17" a="1"/>
  <c r="AE668" i="17" s="1"/>
  <c r="C668" i="24" s="1"/>
  <c r="AE509" i="17" a="1"/>
  <c r="AE509" i="17" s="1"/>
  <c r="C509" i="24" s="1"/>
  <c r="AE505" i="17" a="1"/>
  <c r="AE505" i="17" s="1"/>
  <c r="C505" i="24" s="1"/>
  <c r="AE503" i="17" a="1"/>
  <c r="AE503" i="17" s="1"/>
  <c r="C503" i="24" s="1"/>
  <c r="AE502" i="17" a="1"/>
  <c r="AE502" i="17" s="1"/>
  <c r="C502" i="24" s="1"/>
  <c r="AE501" i="17" a="1"/>
  <c r="AE501" i="17" s="1"/>
  <c r="C501" i="24" s="1"/>
  <c r="AE500" i="17" a="1"/>
  <c r="AE500" i="17" s="1"/>
  <c r="C500" i="24" s="1"/>
  <c r="AE499" i="17" a="1"/>
  <c r="AE499" i="17" s="1"/>
  <c r="C499" i="24" s="1"/>
  <c r="AE498" i="17" a="1"/>
  <c r="AE498" i="17" s="1"/>
  <c r="C498" i="24" s="1"/>
  <c r="AE497" i="17" a="1"/>
  <c r="AE497" i="17" s="1"/>
  <c r="C497" i="24" s="1"/>
  <c r="AE496" i="17" a="1"/>
  <c r="AE496" i="17" s="1"/>
  <c r="C496" i="24" s="1"/>
  <c r="AE495" i="17" a="1"/>
  <c r="AE495" i="17" s="1"/>
  <c r="C495" i="24" s="1"/>
  <c r="AE494" i="17" a="1"/>
  <c r="AE494" i="17" s="1"/>
  <c r="C494" i="24" s="1"/>
  <c r="AE493" i="17" a="1"/>
  <c r="AE493" i="17" s="1"/>
  <c r="C493" i="24" s="1"/>
  <c r="AE492" i="17" a="1"/>
  <c r="AE492" i="17" s="1"/>
  <c r="C492" i="24" s="1"/>
  <c r="AE491" i="17" a="1"/>
  <c r="AE491" i="17" s="1"/>
  <c r="C491" i="24" s="1"/>
  <c r="AE490" i="17" a="1"/>
  <c r="AE490" i="17" s="1"/>
  <c r="C490" i="24" s="1"/>
  <c r="AE604" i="17" a="1"/>
  <c r="AE604" i="17" s="1"/>
  <c r="C604" i="24" s="1"/>
  <c r="AE603" i="17" a="1"/>
  <c r="AE603" i="17" s="1"/>
  <c r="C603" i="24" s="1"/>
  <c r="AE602" i="17" a="1"/>
  <c r="AE602" i="17" s="1"/>
  <c r="C602" i="24" s="1"/>
  <c r="AE601" i="17" a="1"/>
  <c r="AE601" i="17" s="1"/>
  <c r="C601" i="24" s="1"/>
  <c r="AE532" i="17" a="1"/>
  <c r="AE532" i="17" s="1"/>
  <c r="C532" i="24" s="1"/>
  <c r="AE531" i="17" a="1"/>
  <c r="AE531" i="17" s="1"/>
  <c r="C531" i="24" s="1"/>
  <c r="AE530" i="17" a="1"/>
  <c r="AE530" i="17" s="1"/>
  <c r="C530" i="24" s="1"/>
  <c r="AE529" i="17" a="1"/>
  <c r="AE529" i="17" s="1"/>
  <c r="C529" i="24" s="1"/>
  <c r="AE528" i="17" a="1"/>
  <c r="AE528" i="17" s="1"/>
  <c r="C528" i="24" s="1"/>
  <c r="AE527" i="17" a="1"/>
  <c r="AE527" i="17" s="1"/>
  <c r="C527" i="24" s="1"/>
  <c r="AE526" i="17" a="1"/>
  <c r="AE526" i="17" s="1"/>
  <c r="C526" i="24" s="1"/>
  <c r="AE525" i="17" a="1"/>
  <c r="AE525" i="17" s="1"/>
  <c r="C525" i="24" s="1"/>
  <c r="AE524" i="17" a="1"/>
  <c r="AE524" i="17" s="1"/>
  <c r="C524" i="24" s="1"/>
  <c r="AE523" i="17" a="1"/>
  <c r="AE523" i="17" s="1"/>
  <c r="C523" i="24" s="1"/>
  <c r="AE522" i="17" a="1"/>
  <c r="AE522" i="17" s="1"/>
  <c r="C522" i="24" s="1"/>
  <c r="AE521" i="17" a="1"/>
  <c r="AE521" i="17" s="1"/>
  <c r="C521" i="24" s="1"/>
  <c r="AE520" i="17" a="1"/>
  <c r="AE520" i="17" s="1"/>
  <c r="C520" i="24" s="1"/>
  <c r="AE519" i="17" a="1"/>
  <c r="AE519" i="17" s="1"/>
  <c r="C519" i="24" s="1"/>
  <c r="AE518" i="17" a="1"/>
  <c r="AE518" i="17" s="1"/>
  <c r="C518" i="24" s="1"/>
  <c r="AE517" i="17" a="1"/>
  <c r="AE517" i="17" s="1"/>
  <c r="C517" i="24" s="1"/>
  <c r="AE516" i="17" a="1"/>
  <c r="AE516" i="17" s="1"/>
  <c r="C516" i="24" s="1"/>
  <c r="AE515" i="17" a="1"/>
  <c r="AE515" i="17" s="1"/>
  <c r="C515" i="24" s="1"/>
  <c r="AE514" i="17" a="1"/>
  <c r="AE514" i="17" s="1"/>
  <c r="C514" i="24" s="1"/>
  <c r="AE513" i="17" a="1"/>
  <c r="AE513" i="17" s="1"/>
  <c r="C513" i="24" s="1"/>
  <c r="AE512" i="17" a="1"/>
  <c r="AE512" i="17" s="1"/>
  <c r="C512" i="24" s="1"/>
  <c r="AE511" i="17" a="1"/>
  <c r="AE511" i="17" s="1"/>
  <c r="C511" i="24" s="1"/>
  <c r="AE510" i="17" a="1"/>
  <c r="AE510" i="17" s="1"/>
  <c r="C510" i="24" s="1"/>
  <c r="AE508" i="17" a="1"/>
  <c r="AE508" i="17" s="1"/>
  <c r="C508" i="24" s="1"/>
  <c r="AE507" i="17" a="1"/>
  <c r="AE507" i="17" s="1"/>
  <c r="C507" i="24" s="1"/>
  <c r="AE506" i="17" a="1"/>
  <c r="AE506" i="17" s="1"/>
  <c r="C506" i="24" s="1"/>
  <c r="AE450" i="17" a="1"/>
  <c r="AE450" i="17" s="1"/>
  <c r="C450" i="24" s="1"/>
  <c r="AE449" i="17" a="1"/>
  <c r="AE449" i="17" s="1"/>
  <c r="C449" i="24" s="1"/>
  <c r="AE448" i="17" a="1"/>
  <c r="AE448" i="17" s="1"/>
  <c r="C448" i="24" s="1"/>
  <c r="AE447" i="17" a="1"/>
  <c r="AE447" i="17" s="1"/>
  <c r="C447" i="24" s="1"/>
  <c r="AE446" i="17" a="1"/>
  <c r="AE446" i="17" s="1"/>
  <c r="C446" i="24" s="1"/>
  <c r="AE445" i="17" a="1"/>
  <c r="AE445" i="17" s="1"/>
  <c r="C445" i="24" s="1"/>
  <c r="AE444" i="17" a="1"/>
  <c r="AE444" i="17" s="1"/>
  <c r="C444" i="24" s="1"/>
  <c r="AE443" i="17" a="1"/>
  <c r="AE443" i="17" s="1"/>
  <c r="C443" i="24" s="1"/>
  <c r="AE442" i="17" a="1"/>
  <c r="AE442" i="17" s="1"/>
  <c r="C442" i="24" s="1"/>
  <c r="AE441" i="17" a="1"/>
  <c r="AE441" i="17" s="1"/>
  <c r="C441" i="24" s="1"/>
  <c r="AE440" i="17" a="1"/>
  <c r="AE440" i="17" s="1"/>
  <c r="C440" i="24" s="1"/>
  <c r="AE439" i="17" a="1"/>
  <c r="AE439" i="17" s="1"/>
  <c r="C439" i="24" s="1"/>
  <c r="AE438" i="17" a="1"/>
  <c r="AE438" i="17" s="1"/>
  <c r="C438" i="24" s="1"/>
  <c r="AE437" i="17" a="1"/>
  <c r="AE437" i="17" s="1"/>
  <c r="C437" i="24" s="1"/>
  <c r="AE436" i="17" a="1"/>
  <c r="AE436" i="17" s="1"/>
  <c r="C436" i="24" s="1"/>
  <c r="AE435" i="17" a="1"/>
  <c r="AE435" i="17" s="1"/>
  <c r="C435" i="24" s="1"/>
  <c r="AE434" i="17" a="1"/>
  <c r="AE434" i="17" s="1"/>
  <c r="C434" i="24" s="1"/>
  <c r="AE433" i="17" a="1"/>
  <c r="AE433" i="17" s="1"/>
  <c r="C433" i="24" s="1"/>
  <c r="AE432" i="17" a="1"/>
  <c r="AE432" i="17" s="1"/>
  <c r="C432" i="24" s="1"/>
  <c r="AE431" i="17" a="1"/>
  <c r="AE431" i="17" s="1"/>
  <c r="C431" i="24" s="1"/>
  <c r="AE430" i="17" a="1"/>
  <c r="AE430" i="17" s="1"/>
  <c r="C430" i="24" s="1"/>
  <c r="AE429" i="17" a="1"/>
  <c r="AE429" i="17" s="1"/>
  <c r="C429" i="24" s="1"/>
  <c r="AE428" i="17" a="1"/>
  <c r="AE428" i="17" s="1"/>
  <c r="C428" i="24" s="1"/>
  <c r="AE427" i="17" a="1"/>
  <c r="AE427" i="17" s="1"/>
  <c r="C427" i="24" s="1"/>
  <c r="AE426" i="17" a="1"/>
  <c r="AE426" i="17" s="1"/>
  <c r="C426" i="24" s="1"/>
  <c r="AE425" i="17" a="1"/>
  <c r="AE425" i="17" s="1"/>
  <c r="C425" i="24" s="1"/>
  <c r="AE424" i="17" a="1"/>
  <c r="AE424" i="17" s="1"/>
  <c r="C424" i="24" s="1"/>
  <c r="AE423" i="17" a="1"/>
  <c r="AE423" i="17" s="1"/>
  <c r="C423" i="24" s="1"/>
  <c r="AE422" i="17" a="1"/>
  <c r="AE422" i="17" s="1"/>
  <c r="C422" i="24" s="1"/>
  <c r="AE421" i="17" a="1"/>
  <c r="AE421" i="17" s="1"/>
  <c r="C421" i="24" s="1"/>
  <c r="AE420" i="17" a="1"/>
  <c r="AE420" i="17" s="1"/>
  <c r="C420" i="24" s="1"/>
  <c r="AE389" i="17" a="1"/>
  <c r="AE389" i="17" s="1"/>
  <c r="C389" i="24" s="1"/>
  <c r="AE388" i="17" a="1"/>
  <c r="AE388" i="17" s="1"/>
  <c r="C388" i="24" s="1"/>
  <c r="AE387" i="17" a="1"/>
  <c r="AE387" i="17" s="1"/>
  <c r="C387" i="24" s="1"/>
  <c r="AE386" i="17" a="1"/>
  <c r="AE386" i="17" s="1"/>
  <c r="C386" i="24" s="1"/>
  <c r="AE385" i="17" a="1"/>
  <c r="AE385" i="17" s="1"/>
  <c r="C385" i="24" s="1"/>
  <c r="AE384" i="17" a="1"/>
  <c r="AE384" i="17" s="1"/>
  <c r="C384" i="24" s="1"/>
  <c r="AE383" i="17" a="1"/>
  <c r="AE383" i="17" s="1"/>
  <c r="C383" i="24" s="1"/>
  <c r="AE382" i="17" a="1"/>
  <c r="AE382" i="17" s="1"/>
  <c r="C382" i="24" s="1"/>
  <c r="AE381" i="17" a="1"/>
  <c r="AE381" i="17" s="1"/>
  <c r="C381" i="24" s="1"/>
  <c r="AE380" i="17" a="1"/>
  <c r="AE380" i="17" s="1"/>
  <c r="C380" i="24" s="1"/>
  <c r="AE379" i="17" a="1"/>
  <c r="AE379" i="17" s="1"/>
  <c r="C379" i="24" s="1"/>
  <c r="AE378" i="17" a="1"/>
  <c r="AE378" i="17" s="1"/>
  <c r="C378" i="24" s="1"/>
  <c r="AE377" i="17" a="1"/>
  <c r="AE377" i="17" s="1"/>
  <c r="C377" i="24" s="1"/>
  <c r="AE376" i="17" a="1"/>
  <c r="AE376" i="17" s="1"/>
  <c r="C376" i="24" s="1"/>
  <c r="AE375" i="17" a="1"/>
  <c r="AE375" i="17" s="1"/>
  <c r="C375" i="24" s="1"/>
  <c r="AE374" i="17" a="1"/>
  <c r="AE374" i="17" s="1"/>
  <c r="C374" i="24" s="1"/>
  <c r="AE373" i="17" a="1"/>
  <c r="AE373" i="17" s="1"/>
  <c r="C373" i="24" s="1"/>
  <c r="AE372" i="17" a="1"/>
  <c r="AE372" i="17" s="1"/>
  <c r="C372" i="24" s="1"/>
  <c r="AE371" i="17" a="1"/>
  <c r="AE371" i="17" s="1"/>
  <c r="C371" i="24" s="1"/>
  <c r="AE370" i="17" a="1"/>
  <c r="AE370" i="17" s="1"/>
  <c r="C370" i="24" s="1"/>
  <c r="AE369" i="17" a="1"/>
  <c r="AE369" i="17" s="1"/>
  <c r="C369" i="24" s="1"/>
  <c r="AE368" i="17" a="1"/>
  <c r="AE368" i="17" s="1"/>
  <c r="C368" i="24" s="1"/>
  <c r="AE367" i="17" a="1"/>
  <c r="AE367" i="17" s="1"/>
  <c r="C367" i="24" s="1"/>
  <c r="AE366" i="17" a="1"/>
  <c r="AE366" i="17" s="1"/>
  <c r="C366" i="24" s="1"/>
  <c r="AE365" i="17" a="1"/>
  <c r="AE365" i="17" s="1"/>
  <c r="C365" i="24" s="1"/>
  <c r="AE364" i="17" a="1"/>
  <c r="AE364" i="17" s="1"/>
  <c r="C364" i="24" s="1"/>
  <c r="AE363" i="17" a="1"/>
  <c r="AE363" i="17" s="1"/>
  <c r="C363" i="24" s="1"/>
  <c r="AE362" i="17" a="1"/>
  <c r="AE362" i="17" s="1"/>
  <c r="C362" i="24" s="1"/>
  <c r="AE361" i="17" a="1"/>
  <c r="AE361" i="17" s="1"/>
  <c r="C361" i="24" s="1"/>
  <c r="AE360" i="17" a="1"/>
  <c r="AE360" i="17" s="1"/>
  <c r="C360" i="24" s="1"/>
  <c r="AE359" i="17" a="1"/>
  <c r="AE359" i="17" s="1"/>
  <c r="C359" i="24" s="1"/>
  <c r="AE358" i="17" a="1"/>
  <c r="AE358" i="17" s="1"/>
  <c r="C358" i="24" s="1"/>
  <c r="AE357" i="17" a="1"/>
  <c r="AE357" i="17" s="1"/>
  <c r="C357" i="24" s="1"/>
  <c r="AE356" i="17" a="1"/>
  <c r="AE356" i="17" s="1"/>
  <c r="C356" i="24" s="1"/>
  <c r="AE355" i="17" a="1"/>
  <c r="AE355" i="17" s="1"/>
  <c r="C355" i="24" s="1"/>
  <c r="AE354" i="17" a="1"/>
  <c r="AE354" i="17" s="1"/>
  <c r="C354" i="24" s="1"/>
  <c r="AE353" i="17" a="1"/>
  <c r="AE353" i="17" s="1"/>
  <c r="C353" i="24" s="1"/>
  <c r="AE352" i="17" a="1"/>
  <c r="AE352" i="17" s="1"/>
  <c r="C352" i="24" s="1"/>
  <c r="AE351" i="17" a="1"/>
  <c r="AE351" i="17" s="1"/>
  <c r="C351" i="24" s="1"/>
  <c r="AE299" i="17" a="1"/>
  <c r="AE299" i="17" s="1"/>
  <c r="C299" i="24" s="1"/>
  <c r="AE298" i="17" a="1"/>
  <c r="AE298" i="17" s="1"/>
  <c r="C298" i="24" s="1"/>
  <c r="AE297" i="17" a="1"/>
  <c r="AE297" i="17" s="1"/>
  <c r="C297" i="24" s="1"/>
  <c r="AE296" i="17" a="1"/>
  <c r="AE296" i="17" s="1"/>
  <c r="C296" i="24" s="1"/>
  <c r="AE295" i="17" a="1"/>
  <c r="AE295" i="17" s="1"/>
  <c r="C295" i="24" s="1"/>
  <c r="AE294" i="17" a="1"/>
  <c r="AE294" i="17" s="1"/>
  <c r="C294" i="24" s="1"/>
  <c r="AE293" i="17" a="1"/>
  <c r="AE293" i="17" s="1"/>
  <c r="C293" i="24" s="1"/>
  <c r="AE292" i="17" a="1"/>
  <c r="AE292" i="17" s="1"/>
  <c r="C292" i="24" s="1"/>
  <c r="AE137" i="17" a="1"/>
  <c r="AE137" i="17" s="1"/>
  <c r="C137" i="24" s="1"/>
  <c r="AE136" i="17" a="1"/>
  <c r="AE136" i="17" s="1"/>
  <c r="C136" i="24" s="1"/>
  <c r="AE135" i="17" a="1"/>
  <c r="AE135" i="17" s="1"/>
  <c r="C135" i="24" s="1"/>
  <c r="AE134" i="17" a="1"/>
  <c r="AE134" i="17" s="1"/>
  <c r="C134" i="24" s="1"/>
  <c r="AE133" i="17" a="1"/>
  <c r="AE133" i="17" s="1"/>
  <c r="C133" i="24" s="1"/>
  <c r="AE132" i="17" a="1"/>
  <c r="AE132" i="17" s="1"/>
  <c r="C132" i="24" s="1"/>
  <c r="AE131" i="17" a="1"/>
  <c r="AE131" i="17" s="1"/>
  <c r="C131" i="24" s="1"/>
  <c r="AE130" i="17" a="1"/>
  <c r="AE130" i="17" s="1"/>
  <c r="C130" i="24" s="1"/>
  <c r="AE129" i="17" a="1"/>
  <c r="AE129" i="17" s="1"/>
  <c r="C129" i="24" s="1"/>
  <c r="AE128" i="17" a="1"/>
  <c r="AE128" i="17" s="1"/>
  <c r="C128" i="24" s="1"/>
  <c r="AE127" i="17" a="1"/>
  <c r="AE127" i="17" s="1"/>
  <c r="C127" i="24" s="1"/>
  <c r="AE126" i="17" a="1"/>
  <c r="AE126" i="17" s="1"/>
  <c r="C126" i="24" s="1"/>
  <c r="AE125" i="17" a="1"/>
  <c r="AE125" i="17" s="1"/>
  <c r="C125" i="24" s="1"/>
  <c r="AE124" i="17" a="1"/>
  <c r="AE124" i="17" s="1"/>
  <c r="C124" i="24" s="1"/>
  <c r="AE123" i="17" a="1"/>
  <c r="AE123" i="17" s="1"/>
  <c r="C123" i="24" s="1"/>
  <c r="AE122" i="17" a="1"/>
  <c r="AE122" i="17" s="1"/>
  <c r="C122" i="24" s="1"/>
  <c r="AE121" i="17" a="1"/>
  <c r="AE121" i="17" s="1"/>
  <c r="C121" i="24" s="1"/>
  <c r="AE120" i="17" a="1"/>
  <c r="AE120" i="17" s="1"/>
  <c r="C120" i="24" s="1"/>
  <c r="AE119" i="17" a="1"/>
  <c r="AE119" i="17" s="1"/>
  <c r="C119" i="24" s="1"/>
  <c r="AE118" i="17" a="1"/>
  <c r="AE118" i="17" s="1"/>
  <c r="C118" i="24" s="1"/>
  <c r="AE117" i="17" a="1"/>
  <c r="AE117" i="17" s="1"/>
  <c r="C117" i="24" s="1"/>
  <c r="AE116" i="17" a="1"/>
  <c r="AE116" i="17" s="1"/>
  <c r="C116" i="24" s="1"/>
  <c r="AE115" i="17" a="1"/>
  <c r="AE115" i="17" s="1"/>
  <c r="C115" i="24" s="1"/>
  <c r="AE114" i="17" a="1"/>
  <c r="AE114" i="17" s="1"/>
  <c r="C114" i="24" s="1"/>
  <c r="AE113" i="17" a="1"/>
  <c r="AE113" i="17" s="1"/>
  <c r="C113" i="24" s="1"/>
  <c r="AE112" i="17" a="1"/>
  <c r="AE112" i="17" s="1"/>
  <c r="C112" i="24" s="1"/>
  <c r="AE111" i="17" a="1"/>
  <c r="AE111" i="17" s="1"/>
  <c r="C111" i="24" s="1"/>
  <c r="AE110" i="17" a="1"/>
  <c r="AE110" i="17" s="1"/>
  <c r="C110" i="24" s="1"/>
  <c r="AE109" i="17" a="1"/>
  <c r="AE109" i="17" s="1"/>
  <c r="C109" i="24" s="1"/>
  <c r="AE108" i="17" a="1"/>
  <c r="AE108" i="17" s="1"/>
  <c r="C108" i="24" s="1"/>
  <c r="AE107" i="17" a="1"/>
  <c r="AE107" i="17" s="1"/>
  <c r="C107" i="24" s="1"/>
  <c r="AE106" i="17" a="1"/>
  <c r="AE106" i="17" s="1"/>
  <c r="C106" i="24" s="1"/>
  <c r="AE105" i="17" a="1"/>
  <c r="AE105" i="17" s="1"/>
  <c r="C105" i="24" s="1"/>
  <c r="AE104" i="17" a="1"/>
  <c r="AE104" i="17" s="1"/>
  <c r="C104" i="24" s="1"/>
  <c r="AE103" i="17" a="1"/>
  <c r="AE103" i="17" s="1"/>
  <c r="C103" i="24" s="1"/>
  <c r="AE102" i="17" a="1"/>
  <c r="AE102" i="17" s="1"/>
  <c r="C102" i="24" s="1"/>
  <c r="AE101" i="17" a="1"/>
  <c r="AE101" i="17" s="1"/>
  <c r="C101" i="24" s="1"/>
  <c r="AE100" i="17" a="1"/>
  <c r="AE100" i="17" s="1"/>
  <c r="C100" i="24" s="1"/>
  <c r="AE99" i="17" a="1"/>
  <c r="AE99" i="17" s="1"/>
  <c r="C99" i="24" s="1"/>
  <c r="AE98" i="17" a="1"/>
  <c r="AE98" i="17" s="1"/>
  <c r="C98" i="24" s="1"/>
  <c r="AE97" i="17" a="1"/>
  <c r="AE97" i="17" s="1"/>
  <c r="C97" i="24" s="1"/>
  <c r="AE96" i="17" a="1"/>
  <c r="AE96" i="17" s="1"/>
  <c r="C96" i="24" s="1"/>
  <c r="AE95" i="17" a="1"/>
  <c r="AE95" i="17" s="1"/>
  <c r="C95" i="24" s="1"/>
  <c r="AE94" i="17" a="1"/>
  <c r="AE94" i="17" s="1"/>
  <c r="C94" i="24" s="1"/>
  <c r="AE93" i="17" a="1"/>
  <c r="AE93" i="17" s="1"/>
  <c r="C93" i="24" s="1"/>
  <c r="AE92" i="17" a="1"/>
  <c r="AE92" i="17" s="1"/>
  <c r="C92" i="24" s="1"/>
  <c r="AE91" i="17" a="1"/>
  <c r="AE91" i="17" s="1"/>
  <c r="C91" i="24" s="1"/>
  <c r="AE90" i="17" a="1"/>
  <c r="AE90" i="17" s="1"/>
  <c r="C90" i="24" s="1"/>
  <c r="AE89" i="17" a="1"/>
  <c r="AE89" i="17" s="1"/>
  <c r="C89" i="24" s="1"/>
  <c r="AE88" i="17" a="1"/>
  <c r="AE88" i="17" s="1"/>
  <c r="C88" i="24" s="1"/>
  <c r="AE87" i="17" a="1"/>
  <c r="AE87" i="17" s="1"/>
  <c r="C87" i="24" s="1"/>
  <c r="AE86" i="17" a="1"/>
  <c r="AE86" i="17" s="1"/>
  <c r="C86" i="24" s="1"/>
  <c r="C793" i="24"/>
  <c r="AE481" i="17" a="1"/>
  <c r="AE481" i="17" s="1"/>
  <c r="C481" i="24" s="1"/>
  <c r="AE707" i="17" a="1"/>
  <c r="AE707" i="17" s="1"/>
  <c r="C707" i="24" s="1"/>
  <c r="AE706" i="17" a="1"/>
  <c r="AE706" i="17" s="1"/>
  <c r="C706" i="24" s="1"/>
  <c r="AE705" i="17" a="1"/>
  <c r="AE705" i="17" s="1"/>
  <c r="C705" i="24" s="1"/>
  <c r="AE704" i="17" a="1"/>
  <c r="AE704" i="17" s="1"/>
  <c r="C704" i="24" s="1"/>
  <c r="AE703" i="17" a="1"/>
  <c r="AE703" i="17" s="1"/>
  <c r="C703" i="24" s="1"/>
  <c r="AE702" i="17" a="1"/>
  <c r="AE702" i="17" s="1"/>
  <c r="C702" i="24" s="1"/>
  <c r="AE701" i="17" a="1"/>
  <c r="AE701" i="17" s="1"/>
  <c r="C701" i="24" s="1"/>
  <c r="AE541" i="17" a="1"/>
  <c r="AE541" i="17" s="1"/>
  <c r="C541" i="24" s="1"/>
  <c r="AE540" i="17" a="1"/>
  <c r="AE540" i="17" s="1"/>
  <c r="C540" i="24" s="1"/>
  <c r="AE539" i="17" a="1"/>
  <c r="AE539" i="17" s="1"/>
  <c r="C539" i="24" s="1"/>
  <c r="AE538" i="17" a="1"/>
  <c r="AE538" i="17" s="1"/>
  <c r="C538" i="24" s="1"/>
  <c r="AE537" i="17" a="1"/>
  <c r="AE537" i="17" s="1"/>
  <c r="C537" i="24" s="1"/>
  <c r="AE536" i="17" a="1"/>
  <c r="AE536" i="17" s="1"/>
  <c r="C536" i="24" s="1"/>
  <c r="AE535" i="17" a="1"/>
  <c r="AE535" i="17" s="1"/>
  <c r="C535" i="24" s="1"/>
  <c r="AE534" i="17" a="1"/>
  <c r="AE534" i="17" s="1"/>
  <c r="C534" i="24" s="1"/>
  <c r="AE533" i="17" a="1"/>
  <c r="AE533" i="17" s="1"/>
  <c r="C533" i="24" s="1"/>
  <c r="AE419" i="17" a="1"/>
  <c r="AE419" i="17" s="1"/>
  <c r="C419" i="24" s="1"/>
  <c r="AE418" i="17" a="1"/>
  <c r="AE418" i="17" s="1"/>
  <c r="C418" i="24" s="1"/>
  <c r="AE417" i="17" a="1"/>
  <c r="AE417" i="17" s="1"/>
  <c r="C417" i="24" s="1"/>
  <c r="AE416" i="17" a="1"/>
  <c r="AE416" i="17" s="1"/>
  <c r="C416" i="24" s="1"/>
  <c r="AE415" i="17" a="1"/>
  <c r="AE415" i="17" s="1"/>
  <c r="C415" i="24" s="1"/>
  <c r="AE414" i="17" a="1"/>
  <c r="AE414" i="17" s="1"/>
  <c r="C414" i="24" s="1"/>
  <c r="AE413" i="17" a="1"/>
  <c r="AE413" i="17" s="1"/>
  <c r="C413" i="24" s="1"/>
  <c r="AE412" i="17" a="1"/>
  <c r="AE412" i="17" s="1"/>
  <c r="C412" i="24" s="1"/>
  <c r="AE411" i="17" a="1"/>
  <c r="AE411" i="17" s="1"/>
  <c r="C411" i="24" s="1"/>
  <c r="AE410" i="17" a="1"/>
  <c r="AE410" i="17" s="1"/>
  <c r="C410" i="24" s="1"/>
  <c r="AE409" i="17" a="1"/>
  <c r="AE409" i="17" s="1"/>
  <c r="C409" i="24" s="1"/>
  <c r="AE408" i="17" a="1"/>
  <c r="AE408" i="17" s="1"/>
  <c r="C408" i="24" s="1"/>
  <c r="AE407" i="17" a="1"/>
  <c r="AE407" i="17" s="1"/>
  <c r="C407" i="24" s="1"/>
  <c r="AE406" i="17" a="1"/>
  <c r="AE406" i="17" s="1"/>
  <c r="C406" i="24" s="1"/>
  <c r="AE405" i="17" a="1"/>
  <c r="AE405" i="17" s="1"/>
  <c r="C405" i="24" s="1"/>
  <c r="AE404" i="17" a="1"/>
  <c r="AE404" i="17" s="1"/>
  <c r="C404" i="24" s="1"/>
  <c r="AE403" i="17" a="1"/>
  <c r="AE403" i="17" s="1"/>
  <c r="C403" i="24" s="1"/>
  <c r="AE402" i="17" a="1"/>
  <c r="AE402" i="17" s="1"/>
  <c r="C402" i="24" s="1"/>
  <c r="AE401" i="17" a="1"/>
  <c r="AE401" i="17" s="1"/>
  <c r="C401" i="24" s="1"/>
  <c r="AE400" i="17" a="1"/>
  <c r="AE400" i="17" s="1"/>
  <c r="C400" i="24" s="1"/>
  <c r="AE399" i="17" a="1"/>
  <c r="AE399" i="17" s="1"/>
  <c r="C399" i="24" s="1"/>
  <c r="AE398" i="17" a="1"/>
  <c r="AE398" i="17" s="1"/>
  <c r="C398" i="24" s="1"/>
  <c r="AE397" i="17" a="1"/>
  <c r="AE397" i="17" s="1"/>
  <c r="C397" i="24" s="1"/>
  <c r="AE396" i="17" a="1"/>
  <c r="AE396" i="17" s="1"/>
  <c r="C396" i="24" s="1"/>
  <c r="AE395" i="17" a="1"/>
  <c r="AE395" i="17" s="1"/>
  <c r="C395" i="24" s="1"/>
  <c r="AE394" i="17" a="1"/>
  <c r="AE394" i="17" s="1"/>
  <c r="C394" i="24" s="1"/>
  <c r="AE393" i="17" a="1"/>
  <c r="AE393" i="17" s="1"/>
  <c r="C393" i="24" s="1"/>
  <c r="AE392" i="17" a="1"/>
  <c r="AE392" i="17" s="1"/>
  <c r="C392" i="24" s="1"/>
  <c r="AE391" i="17" a="1"/>
  <c r="AE391" i="17" s="1"/>
  <c r="C391" i="24" s="1"/>
  <c r="AE390" i="17" a="1"/>
  <c r="AE390" i="17" s="1"/>
  <c r="C390" i="24" s="1"/>
  <c r="AE286" i="17" a="1"/>
  <c r="AE286" i="17" s="1"/>
  <c r="C286" i="24" s="1"/>
  <c r="AE285" i="17" a="1"/>
  <c r="AE285" i="17" s="1"/>
  <c r="C285" i="24" s="1"/>
  <c r="AE284" i="17" a="1"/>
  <c r="AE284" i="17" s="1"/>
  <c r="C284" i="24" s="1"/>
  <c r="AE283" i="17" a="1"/>
  <c r="AE283" i="17" s="1"/>
  <c r="C283" i="24" s="1"/>
  <c r="AE282" i="17" a="1"/>
  <c r="AE282" i="17" s="1"/>
  <c r="C282" i="24" s="1"/>
  <c r="AE281" i="17" a="1"/>
  <c r="AE281" i="17" s="1"/>
  <c r="C281" i="24" s="1"/>
  <c r="AE280" i="17" a="1"/>
  <c r="AE280" i="17" s="1"/>
  <c r="C280" i="24" s="1"/>
  <c r="AE279" i="17" a="1"/>
  <c r="AE279" i="17" s="1"/>
  <c r="C279" i="24" s="1"/>
  <c r="AE278" i="17" a="1"/>
  <c r="AE278" i="17" s="1"/>
  <c r="C278" i="24" s="1"/>
  <c r="AE277" i="17" a="1"/>
  <c r="AE277" i="17" s="1"/>
  <c r="C277" i="24" s="1"/>
  <c r="AE276" i="17" a="1"/>
  <c r="AE276" i="17" s="1"/>
  <c r="C276" i="24" s="1"/>
  <c r="AE275" i="17" a="1"/>
  <c r="AE275" i="17" s="1"/>
  <c r="C275" i="24" s="1"/>
  <c r="AE274" i="17" a="1"/>
  <c r="AE274" i="17" s="1"/>
  <c r="C274" i="24" s="1"/>
  <c r="AE273" i="17" a="1"/>
  <c r="AE273" i="17" s="1"/>
  <c r="C273" i="24" s="1"/>
  <c r="AE272" i="17" a="1"/>
  <c r="AE272" i="17" s="1"/>
  <c r="C272" i="24" s="1"/>
  <c r="AE271" i="17" a="1"/>
  <c r="AE271" i="17" s="1"/>
  <c r="C271" i="24" s="1"/>
  <c r="AE270" i="17" a="1"/>
  <c r="AE270" i="17" s="1"/>
  <c r="C270" i="24" s="1"/>
  <c r="AE269" i="17" a="1"/>
  <c r="AE269" i="17" s="1"/>
  <c r="C269" i="24" s="1"/>
  <c r="AE268" i="17" a="1"/>
  <c r="AE268" i="17" s="1"/>
  <c r="C268" i="24" s="1"/>
  <c r="AE267" i="17" a="1"/>
  <c r="AE267" i="17" s="1"/>
  <c r="C267" i="24" s="1"/>
  <c r="AE266" i="17" a="1"/>
  <c r="AE266" i="17" s="1"/>
  <c r="C266" i="24" s="1"/>
  <c r="AE265" i="17" a="1"/>
  <c r="AE265" i="17" s="1"/>
  <c r="C265" i="24" s="1"/>
  <c r="AE264" i="17" a="1"/>
  <c r="AE264" i="17" s="1"/>
  <c r="C264" i="24" s="1"/>
  <c r="AE263" i="17" a="1"/>
  <c r="AE263" i="17" s="1"/>
  <c r="C263" i="24" s="1"/>
  <c r="AE262" i="17" a="1"/>
  <c r="AE262" i="17" s="1"/>
  <c r="C262" i="24" s="1"/>
  <c r="AE261" i="17" a="1"/>
  <c r="AE261" i="17" s="1"/>
  <c r="C261" i="24" s="1"/>
  <c r="AE260" i="17" a="1"/>
  <c r="AE260" i="17" s="1"/>
  <c r="C260" i="24" s="1"/>
  <c r="AE153" i="17" a="1"/>
  <c r="AE153" i="17" s="1"/>
  <c r="C153" i="24" s="1"/>
  <c r="AE152" i="17" a="1"/>
  <c r="AE152" i="17" s="1"/>
  <c r="C152" i="24" s="1"/>
  <c r="AE151" i="17" a="1"/>
  <c r="AE151" i="17" s="1"/>
  <c r="C151" i="24" s="1"/>
  <c r="AE150" i="17" a="1"/>
  <c r="AE150" i="17" s="1"/>
  <c r="C150" i="24" s="1"/>
  <c r="AE149" i="17" a="1"/>
  <c r="AE149" i="17" s="1"/>
  <c r="C149" i="24" s="1"/>
  <c r="AE148" i="17" a="1"/>
  <c r="AE148" i="17" s="1"/>
  <c r="C148" i="24" s="1"/>
  <c r="AE147" i="17" a="1"/>
  <c r="AE147" i="17" s="1"/>
  <c r="C147" i="24" s="1"/>
  <c r="AE146" i="17" a="1"/>
  <c r="AE146" i="17" s="1"/>
  <c r="C146" i="24" s="1"/>
  <c r="AE145" i="17" a="1"/>
  <c r="AE145" i="17" s="1"/>
  <c r="C145" i="24" s="1"/>
  <c r="AE144" i="17" a="1"/>
  <c r="AE144" i="17" s="1"/>
  <c r="C144" i="24" s="1"/>
  <c r="AE143" i="17" a="1"/>
  <c r="AE143" i="17" s="1"/>
  <c r="C143" i="24" s="1"/>
  <c r="AE142" i="17" a="1"/>
  <c r="AE142" i="17" s="1"/>
  <c r="C142" i="24" s="1"/>
  <c r="AE141" i="17" a="1"/>
  <c r="AE141" i="17" s="1"/>
  <c r="C141" i="24" s="1"/>
  <c r="AE140" i="17" a="1"/>
  <c r="AE140" i="17" s="1"/>
  <c r="C140" i="24" s="1"/>
  <c r="AE139" i="17" a="1"/>
  <c r="AE139" i="17" s="1"/>
  <c r="C139" i="24" s="1"/>
  <c r="AE138" i="17" a="1"/>
  <c r="AE138" i="17" s="1"/>
  <c r="C138" i="24" s="1"/>
  <c r="AE19" i="17" a="1"/>
  <c r="AE19" i="17" s="1"/>
  <c r="C19" i="24" s="1"/>
  <c r="AE18" i="17" a="1"/>
  <c r="AE18" i="17" s="1"/>
  <c r="C18" i="24" s="1"/>
  <c r="AE17" i="17" a="1"/>
  <c r="AE17" i="17" s="1"/>
  <c r="C17" i="24" s="1"/>
  <c r="AE16" i="17" a="1"/>
  <c r="AE16" i="17" s="1"/>
  <c r="C16" i="24" s="1"/>
  <c r="AE15" i="17" a="1"/>
  <c r="AE15" i="17" s="1"/>
  <c r="C15" i="24" s="1"/>
  <c r="AE14" i="17" a="1"/>
  <c r="AE14" i="17" s="1"/>
  <c r="C14" i="24" s="1"/>
  <c r="AE13" i="17" a="1"/>
  <c r="AE13" i="17" s="1"/>
  <c r="C13" i="24" s="1"/>
  <c r="AE12" i="17" a="1"/>
  <c r="AE12" i="17" s="1"/>
  <c r="C12" i="24" s="1"/>
  <c r="AE11" i="17" a="1"/>
  <c r="AE11" i="17" s="1"/>
  <c r="C11" i="24" s="1"/>
  <c r="AE10" i="17" a="1"/>
  <c r="AE10" i="17" s="1"/>
  <c r="C10" i="24" s="1"/>
  <c r="AE9" i="17" a="1"/>
  <c r="AE9" i="17" s="1"/>
  <c r="C9" i="24" s="1"/>
  <c r="AE8" i="17" a="1"/>
  <c r="AE8" i="17" s="1"/>
  <c r="C8" i="24" s="1"/>
  <c r="AE7" i="17" a="1"/>
  <c r="AE7" i="17" s="1"/>
  <c r="C7" i="24" s="1"/>
  <c r="AE6" i="17" a="1"/>
  <c r="AE6" i="17" s="1"/>
  <c r="C6" i="24" s="1"/>
  <c r="AE5" i="17" a="1"/>
  <c r="AE5" i="17" s="1"/>
  <c r="C5" i="24" s="1"/>
  <c r="AE4" i="17" a="1"/>
  <c r="AE4" i="17" s="1"/>
  <c r="C4" i="24" s="1"/>
  <c r="AE3" i="17" a="1"/>
  <c r="AE3" i="17" s="1"/>
  <c r="C3" i="24" s="1"/>
  <c r="AE2" i="17" a="1"/>
  <c r="AE2" i="17" s="1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B791" i="24"/>
  <c r="B790" i="24"/>
  <c r="B789" i="24"/>
  <c r="B788" i="24"/>
  <c r="B787" i="24"/>
  <c r="B786" i="24"/>
  <c r="B785" i="24"/>
  <c r="B784" i="24"/>
  <c r="C783" i="24"/>
  <c r="B783" i="24"/>
  <c r="C782" i="24"/>
  <c r="B782" i="24"/>
  <c r="C781" i="24"/>
  <c r="B781" i="24"/>
  <c r="C780" i="24"/>
  <c r="B780" i="24"/>
  <c r="C779" i="24"/>
  <c r="B779" i="24"/>
  <c r="C778" i="24"/>
  <c r="B778" i="24"/>
  <c r="C777" i="24"/>
  <c r="B777" i="24"/>
  <c r="C776" i="24"/>
  <c r="B776" i="24"/>
  <c r="C775" i="24"/>
  <c r="B775" i="24"/>
  <c r="C774" i="24"/>
  <c r="B774" i="24"/>
  <c r="C773" i="24"/>
  <c r="B773" i="24"/>
  <c r="C772" i="24"/>
  <c r="B772" i="24"/>
  <c r="C771" i="24"/>
  <c r="B771" i="24"/>
  <c r="C770" i="24"/>
  <c r="B770" i="24"/>
  <c r="C769" i="24"/>
  <c r="B769" i="24"/>
  <c r="C768" i="24"/>
  <c r="B768" i="24"/>
  <c r="C767" i="24"/>
  <c r="B767" i="24"/>
  <c r="C766" i="24"/>
  <c r="B766" i="24"/>
  <c r="C765" i="24"/>
  <c r="B765" i="24"/>
  <c r="C764" i="24"/>
  <c r="B764" i="24"/>
  <c r="C763" i="24"/>
  <c r="B763" i="24"/>
  <c r="C762" i="24"/>
  <c r="B762" i="24"/>
  <c r="C761" i="24"/>
  <c r="B761" i="24"/>
  <c r="C760" i="24"/>
  <c r="B760" i="24"/>
  <c r="C759" i="24"/>
  <c r="B759" i="24"/>
  <c r="C758" i="24"/>
  <c r="B758" i="24"/>
  <c r="C757" i="24"/>
  <c r="B757" i="24"/>
  <c r="C756" i="24"/>
  <c r="B756" i="24"/>
  <c r="C755" i="24"/>
  <c r="B755" i="24"/>
  <c r="C754" i="24"/>
  <c r="B754" i="24"/>
  <c r="C753" i="24"/>
  <c r="B753" i="24"/>
  <c r="C752" i="24"/>
  <c r="B752" i="24"/>
  <c r="C751" i="24"/>
  <c r="B751" i="24"/>
  <c r="C750" i="24"/>
  <c r="B750" i="24"/>
  <c r="C749" i="24"/>
  <c r="B749" i="24"/>
  <c r="C748" i="24"/>
  <c r="B748" i="24"/>
  <c r="C747" i="24"/>
  <c r="B747" i="24"/>
  <c r="C746" i="24"/>
  <c r="B746" i="24"/>
  <c r="C745" i="24"/>
  <c r="B745" i="24"/>
  <c r="C744" i="24"/>
  <c r="B744" i="24"/>
  <c r="C743" i="24"/>
  <c r="B743" i="24"/>
  <c r="C742" i="24"/>
  <c r="B742" i="24"/>
  <c r="C741" i="24"/>
  <c r="B741" i="24"/>
  <c r="C740" i="24"/>
  <c r="B740" i="24"/>
  <c r="C739" i="24"/>
  <c r="B739" i="24"/>
  <c r="C738" i="24"/>
  <c r="B738" i="24"/>
  <c r="C737" i="24"/>
  <c r="B737" i="24"/>
  <c r="C736" i="24"/>
  <c r="B736" i="24"/>
  <c r="C735" i="24"/>
  <c r="B735" i="24"/>
  <c r="C734" i="24"/>
  <c r="B734" i="24"/>
  <c r="C733" i="24"/>
  <c r="B733" i="24"/>
  <c r="C732" i="24"/>
  <c r="B732" i="24"/>
  <c r="C731" i="24"/>
  <c r="B731" i="24"/>
  <c r="C730" i="24"/>
  <c r="B730" i="24"/>
  <c r="B729" i="24"/>
  <c r="B728" i="24"/>
  <c r="C727" i="24"/>
  <c r="B727" i="24"/>
  <c r="B726" i="24"/>
  <c r="B725" i="24"/>
  <c r="C724" i="24"/>
  <c r="B724" i="24"/>
  <c r="C723" i="24"/>
  <c r="B723" i="24"/>
  <c r="C722" i="24"/>
  <c r="B722" i="24"/>
  <c r="C721" i="24"/>
  <c r="B721" i="24"/>
  <c r="C720" i="24"/>
  <c r="B720" i="24"/>
  <c r="C719" i="24"/>
  <c r="B719" i="24"/>
  <c r="C718" i="24"/>
  <c r="B718" i="24"/>
  <c r="B717" i="24"/>
  <c r="B716" i="24"/>
  <c r="B715" i="24"/>
  <c r="B714" i="24"/>
  <c r="B713" i="24"/>
  <c r="B712" i="24"/>
  <c r="B711" i="24"/>
  <c r="B710" i="24"/>
  <c r="B709" i="24"/>
  <c r="B708" i="24"/>
  <c r="B707" i="24"/>
  <c r="B706" i="24"/>
  <c r="B705" i="24"/>
  <c r="B704" i="24"/>
  <c r="B703" i="24"/>
  <c r="B702" i="24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B676" i="24"/>
  <c r="B675" i="24"/>
  <c r="B674" i="24"/>
  <c r="B673" i="24"/>
  <c r="B672" i="24"/>
  <c r="B671" i="24"/>
  <c r="B670" i="24"/>
  <c r="B669" i="24"/>
  <c r="B668" i="24"/>
  <c r="B667" i="24"/>
  <c r="B666" i="24"/>
  <c r="B665" i="24"/>
  <c r="B664" i="24"/>
  <c r="B663" i="24"/>
  <c r="B662" i="24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B642" i="24"/>
  <c r="B641" i="24"/>
  <c r="B640" i="24"/>
  <c r="B639" i="24"/>
  <c r="B638" i="24"/>
  <c r="B637" i="24"/>
  <c r="B636" i="24"/>
  <c r="B635" i="24"/>
  <c r="B634" i="24"/>
  <c r="B633" i="24"/>
  <c r="B632" i="24"/>
  <c r="B631" i="24"/>
  <c r="B630" i="24"/>
  <c r="B629" i="24"/>
  <c r="B628" i="24"/>
  <c r="B627" i="24"/>
  <c r="B626" i="24"/>
  <c r="B625" i="24"/>
  <c r="B624" i="24"/>
  <c r="B623" i="24"/>
  <c r="B622" i="24"/>
  <c r="B621" i="24"/>
  <c r="B620" i="24"/>
  <c r="B619" i="24"/>
  <c r="B618" i="24"/>
  <c r="B617" i="24"/>
  <c r="B616" i="24"/>
  <c r="B615" i="24"/>
  <c r="B614" i="24"/>
  <c r="B613" i="24"/>
  <c r="B612" i="24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B595" i="24"/>
  <c r="B594" i="24"/>
  <c r="B593" i="24"/>
  <c r="B592" i="24"/>
  <c r="B591" i="24"/>
  <c r="B590" i="24"/>
  <c r="B589" i="24"/>
  <c r="B588" i="24"/>
  <c r="B587" i="24"/>
  <c r="B586" i="24"/>
  <c r="B585" i="24"/>
  <c r="B584" i="24"/>
  <c r="B583" i="24"/>
  <c r="B582" i="24"/>
  <c r="B581" i="24"/>
  <c r="B580" i="24"/>
  <c r="B579" i="24"/>
  <c r="B578" i="24"/>
  <c r="B577" i="24"/>
  <c r="B576" i="24"/>
  <c r="B575" i="24"/>
  <c r="B574" i="24"/>
  <c r="B573" i="24"/>
  <c r="B572" i="24"/>
  <c r="B571" i="24"/>
  <c r="B570" i="24"/>
  <c r="B569" i="24"/>
  <c r="B568" i="24"/>
  <c r="B567" i="24"/>
  <c r="B566" i="24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B547" i="24"/>
  <c r="B546" i="24"/>
  <c r="B545" i="24"/>
  <c r="B544" i="24"/>
  <c r="B543" i="24"/>
  <c r="B542" i="24"/>
  <c r="B541" i="24"/>
  <c r="B540" i="24"/>
  <c r="B539" i="24"/>
  <c r="B538" i="24"/>
  <c r="B537" i="24"/>
  <c r="B536" i="24"/>
  <c r="B535" i="24"/>
  <c r="B534" i="24"/>
  <c r="B533" i="24"/>
  <c r="B532" i="24"/>
  <c r="B531" i="24"/>
  <c r="B530" i="24"/>
  <c r="B529" i="24"/>
  <c r="B528" i="24"/>
  <c r="B527" i="24"/>
  <c r="B526" i="24"/>
  <c r="B525" i="24"/>
  <c r="B524" i="24"/>
  <c r="B523" i="24"/>
  <c r="B522" i="24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B494" i="24"/>
  <c r="B493" i="24"/>
  <c r="B492" i="24"/>
  <c r="B491" i="24"/>
  <c r="B490" i="24"/>
  <c r="B489" i="24"/>
  <c r="B488" i="24"/>
  <c r="B487" i="24"/>
  <c r="B486" i="24"/>
  <c r="B485" i="24"/>
  <c r="B484" i="24"/>
  <c r="B483" i="24"/>
  <c r="B482" i="24"/>
  <c r="B481" i="24"/>
  <c r="B480" i="24"/>
  <c r="B479" i="24"/>
  <c r="B478" i="24"/>
  <c r="B477" i="24"/>
  <c r="B476" i="24"/>
  <c r="B475" i="24"/>
  <c r="B474" i="24"/>
  <c r="B473" i="24"/>
  <c r="B472" i="24"/>
  <c r="B471" i="24"/>
  <c r="B470" i="24"/>
  <c r="B469" i="24"/>
  <c r="B468" i="24"/>
  <c r="B467" i="24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B441" i="24"/>
  <c r="B440" i="24"/>
  <c r="B439" i="24"/>
  <c r="B438" i="24"/>
  <c r="B437" i="24"/>
  <c r="B436" i="24"/>
  <c r="B435" i="24"/>
  <c r="B434" i="24"/>
  <c r="B433" i="24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B383" i="24"/>
  <c r="B382" i="24"/>
  <c r="B381" i="24"/>
  <c r="B380" i="24"/>
  <c r="B379" i="24"/>
  <c r="B378" i="24"/>
  <c r="B377" i="24"/>
  <c r="B376" i="24"/>
  <c r="B375" i="24"/>
  <c r="B374" i="24"/>
  <c r="B373" i="24"/>
  <c r="B372" i="24"/>
  <c r="B371" i="24"/>
  <c r="B370" i="24"/>
  <c r="B369" i="24"/>
  <c r="B368" i="24"/>
  <c r="B367" i="24"/>
  <c r="B361" i="24"/>
  <c r="B359" i="24"/>
  <c r="B358" i="24"/>
  <c r="B357" i="24"/>
  <c r="B355" i="24"/>
  <c r="B354" i="24"/>
  <c r="B348" i="24"/>
  <c r="B343" i="24"/>
  <c r="B342" i="24"/>
  <c r="B338" i="24"/>
  <c r="B335" i="24"/>
  <c r="B334" i="24"/>
  <c r="B331" i="24"/>
  <c r="B329" i="24"/>
  <c r="B328" i="24"/>
  <c r="B326" i="24"/>
  <c r="B322" i="24"/>
  <c r="B320" i="24"/>
  <c r="B316" i="24"/>
  <c r="B310" i="24"/>
  <c r="B307" i="24"/>
  <c r="B306" i="24"/>
  <c r="B305" i="24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E792" i="19"/>
  <c r="R458" i="17"/>
  <c r="T458" i="17" s="1"/>
  <c r="R461" i="17"/>
  <c r="T461" i="17" s="1"/>
  <c r="R456" i="17"/>
  <c r="T456" i="17" s="1"/>
  <c r="H791" i="14"/>
  <c r="E791" i="19"/>
  <c r="H5" i="14"/>
  <c r="H790" i="14"/>
  <c r="E790" i="19"/>
  <c r="H515" i="14"/>
  <c r="E515" i="19"/>
  <c r="H514" i="14"/>
  <c r="E514" i="19"/>
  <c r="H513" i="14"/>
  <c r="E513" i="19"/>
  <c r="H512" i="14"/>
  <c r="E512" i="19"/>
  <c r="H511" i="14"/>
  <c r="E511" i="19"/>
  <c r="H510" i="14"/>
  <c r="E510" i="19"/>
  <c r="H509" i="14"/>
  <c r="E509" i="19"/>
  <c r="H508" i="14"/>
  <c r="E508" i="19"/>
  <c r="H507" i="14"/>
  <c r="E507" i="19"/>
  <c r="H506" i="14"/>
  <c r="E506" i="19"/>
  <c r="H505" i="14"/>
  <c r="E505" i="19"/>
  <c r="H590" i="14"/>
  <c r="E590" i="19"/>
  <c r="H589" i="14"/>
  <c r="E589" i="19"/>
  <c r="H588" i="14"/>
  <c r="E588" i="19"/>
  <c r="H587" i="14"/>
  <c r="E587" i="19"/>
  <c r="H586" i="14"/>
  <c r="E586" i="19"/>
  <c r="H585" i="14"/>
  <c r="E585" i="19"/>
  <c r="H584" i="14"/>
  <c r="E584" i="19"/>
  <c r="H583" i="14"/>
  <c r="E583" i="19"/>
  <c r="H582" i="14"/>
  <c r="E582" i="19"/>
  <c r="H581" i="14"/>
  <c r="E581" i="19"/>
  <c r="H580" i="14"/>
  <c r="E580" i="19"/>
  <c r="H579" i="14"/>
  <c r="E579" i="19"/>
  <c r="H578" i="14"/>
  <c r="E578" i="19"/>
  <c r="H577" i="14"/>
  <c r="E577" i="19"/>
  <c r="H576" i="14"/>
  <c r="E576" i="19"/>
  <c r="H575" i="14"/>
  <c r="E575" i="19"/>
  <c r="H574" i="14"/>
  <c r="E574" i="19"/>
  <c r="H573" i="14"/>
  <c r="E573" i="19"/>
  <c r="H572" i="14"/>
  <c r="E572" i="19"/>
  <c r="H571" i="14"/>
  <c r="E571" i="19"/>
  <c r="H570" i="14"/>
  <c r="E570" i="19"/>
  <c r="H569" i="14"/>
  <c r="E569" i="19"/>
  <c r="H568" i="14"/>
  <c r="E568" i="19"/>
  <c r="H567" i="14"/>
  <c r="E567" i="19"/>
  <c r="H566" i="14"/>
  <c r="E566" i="19"/>
  <c r="H565" i="14"/>
  <c r="E565" i="19"/>
  <c r="H564" i="14"/>
  <c r="H563" i="14"/>
  <c r="E563" i="19"/>
  <c r="H562" i="14"/>
  <c r="E562" i="19"/>
  <c r="H561" i="14"/>
  <c r="E561" i="19"/>
  <c r="H560" i="14"/>
  <c r="E560" i="19"/>
  <c r="H559" i="14"/>
  <c r="E559" i="19"/>
  <c r="H558" i="14"/>
  <c r="E558" i="19"/>
  <c r="H557" i="14"/>
  <c r="E557" i="19"/>
  <c r="H556" i="14"/>
  <c r="E556" i="19"/>
  <c r="H555" i="14"/>
  <c r="E555" i="19"/>
  <c r="H554" i="14"/>
  <c r="E554" i="19"/>
  <c r="H553" i="14"/>
  <c r="E553" i="19"/>
  <c r="H552" i="14"/>
  <c r="E552" i="19"/>
  <c r="H551" i="14"/>
  <c r="E551" i="19"/>
  <c r="H550" i="14"/>
  <c r="E550" i="19"/>
  <c r="H549" i="14"/>
  <c r="E549" i="19"/>
  <c r="H548" i="14"/>
  <c r="E548" i="19"/>
  <c r="H547" i="14"/>
  <c r="E547" i="19"/>
  <c r="H546" i="14"/>
  <c r="E546" i="19"/>
  <c r="H545" i="14"/>
  <c r="E545" i="19"/>
  <c r="H544" i="14"/>
  <c r="E544" i="19"/>
  <c r="H543" i="14"/>
  <c r="E543" i="19"/>
  <c r="H542" i="14"/>
  <c r="E542" i="19"/>
  <c r="H541" i="14"/>
  <c r="E541" i="19"/>
  <c r="H540" i="14"/>
  <c r="E540" i="19"/>
  <c r="H539" i="14"/>
  <c r="E539" i="19"/>
  <c r="H538" i="14"/>
  <c r="E538" i="19"/>
  <c r="H537" i="14"/>
  <c r="E537" i="19"/>
  <c r="H536" i="14"/>
  <c r="E536" i="19"/>
  <c r="H535" i="14"/>
  <c r="E535" i="19"/>
  <c r="H534" i="14"/>
  <c r="E534" i="19"/>
  <c r="H533" i="14"/>
  <c r="E533" i="19"/>
  <c r="H532" i="14"/>
  <c r="E532" i="19"/>
  <c r="H531" i="14"/>
  <c r="E531" i="19"/>
  <c r="H530" i="14"/>
  <c r="E530" i="19"/>
  <c r="H529" i="14"/>
  <c r="E529" i="19"/>
  <c r="H528" i="14"/>
  <c r="E528" i="19"/>
  <c r="H527" i="14"/>
  <c r="E527" i="19"/>
  <c r="H526" i="14"/>
  <c r="E526" i="19"/>
  <c r="H525" i="14"/>
  <c r="E525" i="19"/>
  <c r="H524" i="14"/>
  <c r="E524" i="19"/>
  <c r="H523" i="14"/>
  <c r="E523" i="19"/>
  <c r="H522" i="14"/>
  <c r="E522" i="19"/>
  <c r="H521" i="14"/>
  <c r="E521" i="19"/>
  <c r="H520" i="14"/>
  <c r="E520" i="19"/>
  <c r="H519" i="14"/>
  <c r="E519" i="19"/>
  <c r="H518" i="14"/>
  <c r="E518" i="19"/>
  <c r="H517" i="14"/>
  <c r="E517" i="19"/>
  <c r="H516" i="14"/>
  <c r="E516" i="19"/>
  <c r="H592" i="14"/>
  <c r="E592" i="19"/>
  <c r="H591" i="14"/>
  <c r="E591" i="19"/>
  <c r="H445" i="14"/>
  <c r="E445" i="19"/>
  <c r="H444" i="14"/>
  <c r="E444" i="19"/>
  <c r="H443" i="14"/>
  <c r="E443" i="19"/>
  <c r="H442" i="14"/>
  <c r="E442" i="19"/>
  <c r="H441" i="14"/>
  <c r="E441" i="19"/>
  <c r="H440" i="14"/>
  <c r="E440" i="19"/>
  <c r="H439" i="14"/>
  <c r="E439" i="19"/>
  <c r="H438" i="14"/>
  <c r="E438" i="19"/>
  <c r="H437" i="14"/>
  <c r="E437" i="19"/>
  <c r="H436" i="14"/>
  <c r="E436" i="19"/>
  <c r="H435" i="14"/>
  <c r="E435" i="19"/>
  <c r="H434" i="14"/>
  <c r="E434" i="19"/>
  <c r="H433" i="14"/>
  <c r="E433" i="19"/>
  <c r="H432" i="14"/>
  <c r="E432" i="19"/>
  <c r="H431" i="14"/>
  <c r="E431" i="19"/>
  <c r="H430" i="14"/>
  <c r="E430" i="19"/>
  <c r="H429" i="14"/>
  <c r="E429" i="19"/>
  <c r="H428" i="14"/>
  <c r="E428" i="19"/>
  <c r="H427" i="14"/>
  <c r="E427" i="19"/>
  <c r="H426" i="14"/>
  <c r="E426" i="19"/>
  <c r="H425" i="14"/>
  <c r="E425" i="19"/>
  <c r="H424" i="14"/>
  <c r="E424" i="19"/>
  <c r="H423" i="14"/>
  <c r="E423" i="19"/>
  <c r="H422" i="14"/>
  <c r="E422" i="19"/>
  <c r="H421" i="14"/>
  <c r="E421" i="19"/>
  <c r="H420" i="14"/>
  <c r="E420" i="19"/>
  <c r="H419" i="14"/>
  <c r="E419" i="19"/>
  <c r="H418" i="14"/>
  <c r="E418" i="19"/>
  <c r="H417" i="14"/>
  <c r="E417" i="19"/>
  <c r="H416" i="14"/>
  <c r="E416" i="19"/>
  <c r="H415" i="14"/>
  <c r="E415" i="19"/>
  <c r="H414" i="14"/>
  <c r="E414" i="19"/>
  <c r="H413" i="14"/>
  <c r="E413" i="19"/>
  <c r="H412" i="14"/>
  <c r="E412" i="19"/>
  <c r="H411" i="14"/>
  <c r="E411" i="19"/>
  <c r="H410" i="14"/>
  <c r="E410" i="19"/>
  <c r="H409" i="14"/>
  <c r="E409" i="19"/>
  <c r="H408" i="14"/>
  <c r="E408" i="19"/>
  <c r="H16" i="14"/>
  <c r="E16" i="19"/>
  <c r="H15" i="14"/>
  <c r="E15" i="19"/>
  <c r="H14" i="14"/>
  <c r="E14" i="19"/>
  <c r="H13" i="14"/>
  <c r="E13" i="19"/>
  <c r="H12" i="14"/>
  <c r="E12" i="19"/>
  <c r="H11" i="14"/>
  <c r="E11" i="19"/>
  <c r="H10" i="14"/>
  <c r="E10" i="19"/>
  <c r="H9" i="14"/>
  <c r="E9" i="19"/>
  <c r="H8" i="14"/>
  <c r="E8" i="19"/>
  <c r="H7" i="14"/>
  <c r="E7" i="19"/>
  <c r="E789" i="19"/>
  <c r="H789" i="14"/>
  <c r="E788" i="19"/>
  <c r="H788" i="14"/>
  <c r="E787" i="19"/>
  <c r="H787" i="14"/>
  <c r="E786" i="19"/>
  <c r="H786" i="14"/>
  <c r="E785" i="19"/>
  <c r="H785" i="14"/>
  <c r="E784" i="19"/>
  <c r="H784" i="14"/>
  <c r="E783" i="19"/>
  <c r="H783" i="14"/>
  <c r="E782" i="19"/>
  <c r="H782" i="14"/>
  <c r="E781" i="19"/>
  <c r="H781" i="14"/>
  <c r="E780" i="19"/>
  <c r="H780" i="14"/>
  <c r="E779" i="19"/>
  <c r="H779" i="14"/>
  <c r="E778" i="19"/>
  <c r="H778" i="14"/>
  <c r="E777" i="19"/>
  <c r="H777" i="14"/>
  <c r="E776" i="19"/>
  <c r="H776" i="14"/>
  <c r="E775" i="19"/>
  <c r="H775" i="14"/>
  <c r="E774" i="19"/>
  <c r="H774" i="14"/>
  <c r="E773" i="19"/>
  <c r="H773" i="14"/>
  <c r="E772" i="19"/>
  <c r="H772" i="14"/>
  <c r="E771" i="19"/>
  <c r="H771" i="14"/>
  <c r="E770" i="19"/>
  <c r="H770" i="14"/>
  <c r="E769" i="19"/>
  <c r="H769" i="14"/>
  <c r="E768" i="19"/>
  <c r="H768" i="14"/>
  <c r="E767" i="19"/>
  <c r="H767" i="14"/>
  <c r="E766" i="19"/>
  <c r="H766" i="14"/>
  <c r="E765" i="19"/>
  <c r="H765" i="14"/>
  <c r="E764" i="19"/>
  <c r="H764" i="14"/>
  <c r="E763" i="19"/>
  <c r="H763" i="14"/>
  <c r="E762" i="19"/>
  <c r="H762" i="14"/>
  <c r="E761" i="19"/>
  <c r="H761" i="14"/>
  <c r="E760" i="19"/>
  <c r="H760" i="14"/>
  <c r="E759" i="19"/>
  <c r="H759" i="14"/>
  <c r="E758" i="19"/>
  <c r="H758" i="14"/>
  <c r="E757" i="19"/>
  <c r="H757" i="14"/>
  <c r="E756" i="19"/>
  <c r="H756" i="14"/>
  <c r="E755" i="19"/>
  <c r="H755" i="14"/>
  <c r="E754" i="19"/>
  <c r="H754" i="14"/>
  <c r="E753" i="19"/>
  <c r="H753" i="14"/>
  <c r="E752" i="19"/>
  <c r="H752" i="14"/>
  <c r="E751" i="19"/>
  <c r="H751" i="14"/>
  <c r="E750" i="19"/>
  <c r="H750" i="14"/>
  <c r="E749" i="19"/>
  <c r="H749" i="14"/>
  <c r="E748" i="19"/>
  <c r="H748" i="14"/>
  <c r="E747" i="19"/>
  <c r="H747" i="14"/>
  <c r="E746" i="19"/>
  <c r="H746" i="14"/>
  <c r="E745" i="19"/>
  <c r="H745" i="14"/>
  <c r="E744" i="19"/>
  <c r="H744" i="14"/>
  <c r="E743" i="19"/>
  <c r="H743" i="14"/>
  <c r="E742" i="19"/>
  <c r="H742" i="14"/>
  <c r="E741" i="19"/>
  <c r="H741" i="14"/>
  <c r="E740" i="19"/>
  <c r="H740" i="14"/>
  <c r="E739" i="19"/>
  <c r="H739" i="14"/>
  <c r="E738" i="19"/>
  <c r="H738" i="14"/>
  <c r="E737" i="19"/>
  <c r="H737" i="14"/>
  <c r="E736" i="19"/>
  <c r="H736" i="14"/>
  <c r="E735" i="19"/>
  <c r="H735" i="14"/>
  <c r="E734" i="19"/>
  <c r="H734" i="14"/>
  <c r="E733" i="19"/>
  <c r="H733" i="14"/>
  <c r="E732" i="19"/>
  <c r="H732" i="14"/>
  <c r="E731" i="19"/>
  <c r="H731" i="14"/>
  <c r="E730" i="19"/>
  <c r="H730" i="14"/>
  <c r="E729" i="19"/>
  <c r="H729" i="14"/>
  <c r="E728" i="19"/>
  <c r="H728" i="14"/>
  <c r="E727" i="19"/>
  <c r="H727" i="14"/>
  <c r="E726" i="19"/>
  <c r="H726" i="14"/>
  <c r="E725" i="19"/>
  <c r="H725" i="14"/>
  <c r="E724" i="19"/>
  <c r="H724" i="14"/>
  <c r="E723" i="19"/>
  <c r="H723" i="14"/>
  <c r="E722" i="19"/>
  <c r="H722" i="14"/>
  <c r="E721" i="19"/>
  <c r="H721" i="14"/>
  <c r="E720" i="19"/>
  <c r="H720" i="14"/>
  <c r="E719" i="19"/>
  <c r="H719" i="14"/>
  <c r="E718" i="19"/>
  <c r="H718" i="14"/>
  <c r="E717" i="19"/>
  <c r="H717" i="14"/>
  <c r="E716" i="19"/>
  <c r="H716" i="14"/>
  <c r="E715" i="19"/>
  <c r="H715" i="14"/>
  <c r="E714" i="19"/>
  <c r="H714" i="14"/>
  <c r="E713" i="19"/>
  <c r="H713" i="14"/>
  <c r="E712" i="19"/>
  <c r="H712" i="14"/>
  <c r="E711" i="19"/>
  <c r="H711" i="14"/>
  <c r="E710" i="19"/>
  <c r="H710" i="14"/>
  <c r="E709" i="19"/>
  <c r="H709" i="14"/>
  <c r="E708" i="19"/>
  <c r="H708" i="14"/>
  <c r="E707" i="19"/>
  <c r="H707" i="14"/>
  <c r="E706" i="19"/>
  <c r="H706" i="14"/>
  <c r="E705" i="19"/>
  <c r="H705" i="14"/>
  <c r="E704" i="19"/>
  <c r="H704" i="14"/>
  <c r="E703" i="19"/>
  <c r="H703" i="14"/>
  <c r="E702" i="19"/>
  <c r="H702" i="14"/>
  <c r="E701" i="19"/>
  <c r="H701" i="14"/>
  <c r="E700" i="19"/>
  <c r="H700" i="14"/>
  <c r="E699" i="19"/>
  <c r="H699" i="14"/>
  <c r="E698" i="19"/>
  <c r="H698" i="14"/>
  <c r="E697" i="19"/>
  <c r="H697" i="14"/>
  <c r="E696" i="19"/>
  <c r="H696" i="14"/>
  <c r="E695" i="19"/>
  <c r="H695" i="14"/>
  <c r="E694" i="19"/>
  <c r="H694" i="14"/>
  <c r="E693" i="19"/>
  <c r="H693" i="14"/>
  <c r="E692" i="19"/>
  <c r="H692" i="14"/>
  <c r="E691" i="19"/>
  <c r="H691" i="14"/>
  <c r="E690" i="19"/>
  <c r="H690" i="14"/>
  <c r="E689" i="19"/>
  <c r="H689" i="14"/>
  <c r="E688" i="19"/>
  <c r="H688" i="14"/>
  <c r="E687" i="19"/>
  <c r="H687" i="14"/>
  <c r="E686" i="19"/>
  <c r="H686" i="14"/>
  <c r="E685" i="19"/>
  <c r="H685" i="14"/>
  <c r="E684" i="19"/>
  <c r="H684" i="14"/>
  <c r="E683" i="19"/>
  <c r="H683" i="14"/>
  <c r="E682" i="19"/>
  <c r="H682" i="14"/>
  <c r="E681" i="19"/>
  <c r="H681" i="14"/>
  <c r="E680" i="19"/>
  <c r="H680" i="14"/>
  <c r="E679" i="19"/>
  <c r="H679" i="14"/>
  <c r="E678" i="19"/>
  <c r="H678" i="14"/>
  <c r="E677" i="19"/>
  <c r="H677" i="14"/>
  <c r="E676" i="19"/>
  <c r="H676" i="14"/>
  <c r="E675" i="19"/>
  <c r="H675" i="14"/>
  <c r="E674" i="19"/>
  <c r="H674" i="14"/>
  <c r="E673" i="19"/>
  <c r="H673" i="14"/>
  <c r="E672" i="19"/>
  <c r="H672" i="14"/>
  <c r="E671" i="19"/>
  <c r="H671" i="14"/>
  <c r="E670" i="19"/>
  <c r="H670" i="14"/>
  <c r="E669" i="19"/>
  <c r="H669" i="14"/>
  <c r="E668" i="19"/>
  <c r="H668" i="14"/>
  <c r="E667" i="19"/>
  <c r="H667" i="14"/>
  <c r="E666" i="19"/>
  <c r="H666" i="14"/>
  <c r="E665" i="19"/>
  <c r="H665" i="14"/>
  <c r="E664" i="19"/>
  <c r="H664" i="14"/>
  <c r="E663" i="19"/>
  <c r="H663" i="14"/>
  <c r="E662" i="19"/>
  <c r="H662" i="14"/>
  <c r="E661" i="19"/>
  <c r="H661" i="14"/>
  <c r="E660" i="19"/>
  <c r="H660" i="14"/>
  <c r="E659" i="19"/>
  <c r="H659" i="14"/>
  <c r="E658" i="19"/>
  <c r="H658" i="14"/>
  <c r="E657" i="19"/>
  <c r="H657" i="14"/>
  <c r="E656" i="19"/>
  <c r="H656" i="14"/>
  <c r="E655" i="19"/>
  <c r="H655" i="14"/>
  <c r="E654" i="19"/>
  <c r="H654" i="14"/>
  <c r="E653" i="19"/>
  <c r="H653" i="14"/>
  <c r="E652" i="19"/>
  <c r="H652" i="14"/>
  <c r="E651" i="19"/>
  <c r="H651" i="14"/>
  <c r="E650" i="19"/>
  <c r="H650" i="14"/>
  <c r="E649" i="19"/>
  <c r="H649" i="14"/>
  <c r="E648" i="19"/>
  <c r="H648" i="14"/>
  <c r="E647" i="19"/>
  <c r="H647" i="14"/>
  <c r="E646" i="19"/>
  <c r="H646" i="14"/>
  <c r="E645" i="19"/>
  <c r="H645" i="14"/>
  <c r="E644" i="19"/>
  <c r="H644" i="14"/>
  <c r="E643" i="19"/>
  <c r="H643" i="14"/>
  <c r="E642" i="19"/>
  <c r="H642" i="14"/>
  <c r="E641" i="19"/>
  <c r="H641" i="14"/>
  <c r="E640" i="19"/>
  <c r="H640" i="14"/>
  <c r="E639" i="19"/>
  <c r="H639" i="14"/>
  <c r="E638" i="19"/>
  <c r="H638" i="14"/>
  <c r="E637" i="19"/>
  <c r="H637" i="14"/>
  <c r="E636" i="19"/>
  <c r="H636" i="14"/>
  <c r="E635" i="19"/>
  <c r="H635" i="14"/>
  <c r="E634" i="19"/>
  <c r="H634" i="14"/>
  <c r="E633" i="19"/>
  <c r="H633" i="14"/>
  <c r="E632" i="19"/>
  <c r="H632" i="14"/>
  <c r="E631" i="19"/>
  <c r="H631" i="14"/>
  <c r="E630" i="19"/>
  <c r="H630" i="14"/>
  <c r="E629" i="19"/>
  <c r="H629" i="14"/>
  <c r="E628" i="19"/>
  <c r="H628" i="14"/>
  <c r="E627" i="19"/>
  <c r="H627" i="14"/>
  <c r="E626" i="19"/>
  <c r="H626" i="14"/>
  <c r="E625" i="19"/>
  <c r="H625" i="14"/>
  <c r="E624" i="19"/>
  <c r="H624" i="14"/>
  <c r="E623" i="19"/>
  <c r="H623" i="14"/>
  <c r="E622" i="19"/>
  <c r="H622" i="14"/>
  <c r="E621" i="19"/>
  <c r="H621" i="14"/>
  <c r="E620" i="19"/>
  <c r="H620" i="14"/>
  <c r="E619" i="19"/>
  <c r="H619" i="14"/>
  <c r="E618" i="19"/>
  <c r="H618" i="14"/>
  <c r="E617" i="19"/>
  <c r="H617" i="14"/>
  <c r="E616" i="19"/>
  <c r="H616" i="14"/>
  <c r="E615" i="19"/>
  <c r="H615" i="14"/>
  <c r="E614" i="19"/>
  <c r="H614" i="14"/>
  <c r="E613" i="19"/>
  <c r="H613" i="14"/>
  <c r="E612" i="19"/>
  <c r="H612" i="14"/>
  <c r="E611" i="19"/>
  <c r="H611" i="14"/>
  <c r="E610" i="19"/>
  <c r="H610" i="14"/>
  <c r="E609" i="19"/>
  <c r="H609" i="14"/>
  <c r="E608" i="19"/>
  <c r="H608" i="14"/>
  <c r="E607" i="19"/>
  <c r="H607" i="14"/>
  <c r="E606" i="19"/>
  <c r="H606" i="14"/>
  <c r="E605" i="19"/>
  <c r="H605" i="14"/>
  <c r="E604" i="19"/>
  <c r="H604" i="14"/>
  <c r="E603" i="19"/>
  <c r="H603" i="14"/>
  <c r="E602" i="19"/>
  <c r="H602" i="14"/>
  <c r="E601" i="19"/>
  <c r="H601" i="14"/>
  <c r="E600" i="19"/>
  <c r="H600" i="14"/>
  <c r="E599" i="19"/>
  <c r="H599" i="14"/>
  <c r="E598" i="19"/>
  <c r="H598" i="14"/>
  <c r="E597" i="19"/>
  <c r="H597" i="14"/>
  <c r="E596" i="19"/>
  <c r="H596" i="14"/>
  <c r="E595" i="19"/>
  <c r="H595" i="14"/>
  <c r="E594" i="19"/>
  <c r="H594" i="14"/>
  <c r="E593" i="19"/>
  <c r="H593" i="14"/>
  <c r="E504" i="19"/>
  <c r="H504" i="14"/>
  <c r="E503" i="19"/>
  <c r="H503" i="14"/>
  <c r="H502" i="14"/>
  <c r="E502" i="19"/>
  <c r="H501" i="14"/>
  <c r="E501" i="19"/>
  <c r="E500" i="19"/>
  <c r="H500" i="14"/>
  <c r="H499" i="14"/>
  <c r="E499" i="19"/>
  <c r="H498" i="14"/>
  <c r="E498" i="19"/>
  <c r="E497" i="19"/>
  <c r="H497" i="14"/>
  <c r="E496" i="19"/>
  <c r="H496" i="14"/>
  <c r="E495" i="19"/>
  <c r="H495" i="14"/>
  <c r="E494" i="19"/>
  <c r="H494" i="14"/>
  <c r="E493" i="19"/>
  <c r="H493" i="14"/>
  <c r="E492" i="19"/>
  <c r="H492" i="14"/>
  <c r="E491" i="19"/>
  <c r="H491" i="14"/>
  <c r="E490" i="19"/>
  <c r="H490" i="14"/>
  <c r="E489" i="19"/>
  <c r="H489" i="14"/>
  <c r="E488" i="19"/>
  <c r="H488" i="14"/>
  <c r="E487" i="19"/>
  <c r="H487" i="14"/>
  <c r="E486" i="19"/>
  <c r="H486" i="14"/>
  <c r="H485" i="14"/>
  <c r="E485" i="19"/>
  <c r="E484" i="19"/>
  <c r="H484" i="14"/>
  <c r="E483" i="19"/>
  <c r="H483" i="14"/>
  <c r="H482" i="14"/>
  <c r="E482" i="19"/>
  <c r="H481" i="14"/>
  <c r="E481" i="19"/>
  <c r="H480" i="14"/>
  <c r="E480" i="19"/>
  <c r="H479" i="14"/>
  <c r="E479" i="19"/>
  <c r="H478" i="14"/>
  <c r="E478" i="19"/>
  <c r="H477" i="14"/>
  <c r="E477" i="19"/>
  <c r="H476" i="14"/>
  <c r="E476" i="19"/>
  <c r="E475" i="19"/>
  <c r="H475" i="14"/>
  <c r="H474" i="14"/>
  <c r="E474" i="19"/>
  <c r="H473" i="14"/>
  <c r="E473" i="19"/>
  <c r="H472" i="14"/>
  <c r="E472" i="19"/>
  <c r="H471" i="14"/>
  <c r="E471" i="19"/>
  <c r="H470" i="14"/>
  <c r="E470" i="19"/>
  <c r="H469" i="14"/>
  <c r="E469" i="19"/>
  <c r="H468" i="14"/>
  <c r="E468" i="19"/>
  <c r="H467" i="14"/>
  <c r="E467" i="19"/>
  <c r="H466" i="14"/>
  <c r="E466" i="19"/>
  <c r="H465" i="14"/>
  <c r="E465" i="19"/>
  <c r="H464" i="14"/>
  <c r="E464" i="19"/>
  <c r="H463" i="14"/>
  <c r="E463" i="19"/>
  <c r="E462" i="19"/>
  <c r="H462" i="14"/>
  <c r="E461" i="19"/>
  <c r="H461" i="14"/>
  <c r="E460" i="19"/>
  <c r="H460" i="14"/>
  <c r="E459" i="19"/>
  <c r="H459" i="14"/>
  <c r="H458" i="14"/>
  <c r="E458" i="19"/>
  <c r="H457" i="14"/>
  <c r="E457" i="19"/>
  <c r="H456" i="14"/>
  <c r="E456" i="19"/>
  <c r="H455" i="14"/>
  <c r="E455" i="19"/>
  <c r="H454" i="14"/>
  <c r="E454" i="19"/>
  <c r="E453" i="19"/>
  <c r="H453" i="14"/>
  <c r="H452" i="14"/>
  <c r="E452" i="19"/>
  <c r="H451" i="14"/>
  <c r="E451" i="19"/>
  <c r="H450" i="14"/>
  <c r="E450" i="19"/>
  <c r="H449" i="14"/>
  <c r="E449" i="19"/>
  <c r="H448" i="14"/>
  <c r="E448" i="19"/>
  <c r="E447" i="19"/>
  <c r="H447" i="14"/>
  <c r="E446" i="19"/>
  <c r="H446" i="14"/>
  <c r="E407" i="19"/>
  <c r="H407" i="14"/>
  <c r="E406" i="19"/>
  <c r="H406" i="14"/>
  <c r="E405" i="19"/>
  <c r="H405" i="14"/>
  <c r="E404" i="19"/>
  <c r="H404" i="14"/>
  <c r="E403" i="19"/>
  <c r="H403" i="14"/>
  <c r="E402" i="19"/>
  <c r="H402" i="14"/>
  <c r="E401" i="19"/>
  <c r="H401" i="14"/>
  <c r="E400" i="19"/>
  <c r="H400" i="14"/>
  <c r="E399" i="19"/>
  <c r="H399" i="14"/>
  <c r="E398" i="19"/>
  <c r="H398" i="14"/>
  <c r="E397" i="19"/>
  <c r="H397" i="14"/>
  <c r="E396" i="19"/>
  <c r="H396" i="14"/>
  <c r="E395" i="19"/>
  <c r="H395" i="14"/>
  <c r="E394" i="19"/>
  <c r="H394" i="14"/>
  <c r="E393" i="19"/>
  <c r="H393" i="14"/>
  <c r="E392" i="19"/>
  <c r="H392" i="14"/>
  <c r="E391" i="19"/>
  <c r="H391" i="14"/>
  <c r="E390" i="19"/>
  <c r="H390" i="14"/>
  <c r="E389" i="19"/>
  <c r="H389" i="14"/>
  <c r="E388" i="19"/>
  <c r="H388" i="14"/>
  <c r="E387" i="19"/>
  <c r="H387" i="14"/>
  <c r="E386" i="19"/>
  <c r="H386" i="14"/>
  <c r="E385" i="19"/>
  <c r="H385" i="14"/>
  <c r="E384" i="19"/>
  <c r="H384" i="14"/>
  <c r="E383" i="19"/>
  <c r="H383" i="14"/>
  <c r="E382" i="19"/>
  <c r="H382" i="14"/>
  <c r="E381" i="19"/>
  <c r="H381" i="14"/>
  <c r="E380" i="19"/>
  <c r="H380" i="14"/>
  <c r="E379" i="19"/>
  <c r="H379" i="14"/>
  <c r="E378" i="19"/>
  <c r="H378" i="14"/>
  <c r="E377" i="19"/>
  <c r="H377" i="14"/>
  <c r="E376" i="19"/>
  <c r="H376" i="14"/>
  <c r="E375" i="19"/>
  <c r="H375" i="14"/>
  <c r="E374" i="19"/>
  <c r="H374" i="14"/>
  <c r="E373" i="19"/>
  <c r="H373" i="14"/>
  <c r="E372" i="19"/>
  <c r="H372" i="14"/>
  <c r="E371" i="19"/>
  <c r="H371" i="14"/>
  <c r="E370" i="19"/>
  <c r="H370" i="14"/>
  <c r="E369" i="19"/>
  <c r="H369" i="14"/>
  <c r="E368" i="19"/>
  <c r="H368" i="14"/>
  <c r="E367" i="19"/>
  <c r="H367" i="14"/>
  <c r="E366" i="19"/>
  <c r="H366" i="14"/>
  <c r="E365" i="19"/>
  <c r="H365" i="14"/>
  <c r="E364" i="19"/>
  <c r="H364" i="14"/>
  <c r="E363" i="19"/>
  <c r="H363" i="14"/>
  <c r="E362" i="19"/>
  <c r="H362" i="14"/>
  <c r="E361" i="19"/>
  <c r="H361" i="14"/>
  <c r="E360" i="19"/>
  <c r="H360" i="14"/>
  <c r="E359" i="19"/>
  <c r="H359" i="14"/>
  <c r="E358" i="19"/>
  <c r="H358" i="14"/>
  <c r="E357" i="19"/>
  <c r="H357" i="14"/>
  <c r="E356" i="19"/>
  <c r="H356" i="14"/>
  <c r="E355" i="19"/>
  <c r="H355" i="14"/>
  <c r="E354" i="19"/>
  <c r="H354" i="14"/>
  <c r="E353" i="19"/>
  <c r="H353" i="14"/>
  <c r="E352" i="19"/>
  <c r="H352" i="14"/>
  <c r="E351" i="19"/>
  <c r="H351" i="14"/>
  <c r="E350" i="19"/>
  <c r="H350" i="14"/>
  <c r="E349" i="19"/>
  <c r="H349" i="14"/>
  <c r="E348" i="19"/>
  <c r="H348" i="14"/>
  <c r="E347" i="19"/>
  <c r="H347" i="14"/>
  <c r="E346" i="19"/>
  <c r="H346" i="14"/>
  <c r="E345" i="19"/>
  <c r="H345" i="14"/>
  <c r="E344" i="19"/>
  <c r="H344" i="14"/>
  <c r="E343" i="19"/>
  <c r="H343" i="14"/>
  <c r="E342" i="19"/>
  <c r="H342" i="14"/>
  <c r="E341" i="19"/>
  <c r="H341" i="14"/>
  <c r="E340" i="19"/>
  <c r="H340" i="14"/>
  <c r="E339" i="19"/>
  <c r="H339" i="14"/>
  <c r="E338" i="19"/>
  <c r="H338" i="14"/>
  <c r="E337" i="19"/>
  <c r="H337" i="14"/>
  <c r="E336" i="19"/>
  <c r="H336" i="14"/>
  <c r="E335" i="19"/>
  <c r="H335" i="14"/>
  <c r="E334" i="19"/>
  <c r="H334" i="14"/>
  <c r="E333" i="19"/>
  <c r="H333" i="14"/>
  <c r="E332" i="19"/>
  <c r="H332" i="14"/>
  <c r="E331" i="19"/>
  <c r="H331" i="14"/>
  <c r="E330" i="19"/>
  <c r="H330" i="14"/>
  <c r="E329" i="19"/>
  <c r="H329" i="14"/>
  <c r="E328" i="19"/>
  <c r="H328" i="14"/>
  <c r="E327" i="19"/>
  <c r="H327" i="14"/>
  <c r="E326" i="19"/>
  <c r="H326" i="14"/>
  <c r="E325" i="19"/>
  <c r="H325" i="14"/>
  <c r="E324" i="19"/>
  <c r="H324" i="14"/>
  <c r="E323" i="19"/>
  <c r="H323" i="14"/>
  <c r="E322" i="19"/>
  <c r="H322" i="14"/>
  <c r="E321" i="19"/>
  <c r="H321" i="14"/>
  <c r="E320" i="19"/>
  <c r="H320" i="14"/>
  <c r="E319" i="19"/>
  <c r="H319" i="14"/>
  <c r="E318" i="19"/>
  <c r="H318" i="14"/>
  <c r="E317" i="19"/>
  <c r="H317" i="14"/>
  <c r="E316" i="19"/>
  <c r="H316" i="14"/>
  <c r="E315" i="19"/>
  <c r="H315" i="14"/>
  <c r="E314" i="19"/>
  <c r="H314" i="14"/>
  <c r="E313" i="19"/>
  <c r="H313" i="14"/>
  <c r="E312" i="19"/>
  <c r="H312" i="14"/>
  <c r="E311" i="19"/>
  <c r="H311" i="14"/>
  <c r="E310" i="19"/>
  <c r="H310" i="14"/>
  <c r="E309" i="19"/>
  <c r="H309" i="14"/>
  <c r="E308" i="19"/>
  <c r="H308" i="14"/>
  <c r="E307" i="19"/>
  <c r="H307" i="14"/>
  <c r="E306" i="19"/>
  <c r="H306" i="14"/>
  <c r="E305" i="19"/>
  <c r="H305" i="14"/>
  <c r="E304" i="19"/>
  <c r="H304" i="14"/>
  <c r="E303" i="19"/>
  <c r="H303" i="14"/>
  <c r="E302" i="19"/>
  <c r="H302" i="14"/>
  <c r="E301" i="19"/>
  <c r="H301" i="14"/>
  <c r="E300" i="19"/>
  <c r="H300" i="14"/>
  <c r="E299" i="19"/>
  <c r="H299" i="14"/>
  <c r="E298" i="19"/>
  <c r="H298" i="14"/>
  <c r="E297" i="19"/>
  <c r="H297" i="14"/>
  <c r="E296" i="19"/>
  <c r="H296" i="14"/>
  <c r="E295" i="19"/>
  <c r="H295" i="14"/>
  <c r="E294" i="19"/>
  <c r="H294" i="14"/>
  <c r="E293" i="19"/>
  <c r="H293" i="14"/>
  <c r="E292" i="19"/>
  <c r="H292" i="14"/>
  <c r="E291" i="19"/>
  <c r="H291" i="14"/>
  <c r="E290" i="19"/>
  <c r="H290" i="14"/>
  <c r="E289" i="19"/>
  <c r="H289" i="14"/>
  <c r="E288" i="19"/>
  <c r="H288" i="14"/>
  <c r="E287" i="19"/>
  <c r="H287" i="14"/>
  <c r="E286" i="19"/>
  <c r="H286" i="14"/>
  <c r="E285" i="19"/>
  <c r="H285" i="14"/>
  <c r="E284" i="19"/>
  <c r="H284" i="14"/>
  <c r="E283" i="19"/>
  <c r="H283" i="14"/>
  <c r="E282" i="19"/>
  <c r="H282" i="14"/>
  <c r="E281" i="19"/>
  <c r="H281" i="14"/>
  <c r="E280" i="19"/>
  <c r="H280" i="14"/>
  <c r="E279" i="19"/>
  <c r="H279" i="14"/>
  <c r="E278" i="19"/>
  <c r="H278" i="14"/>
  <c r="E277" i="19"/>
  <c r="H277" i="14"/>
  <c r="E276" i="19"/>
  <c r="H276" i="14"/>
  <c r="E275" i="19"/>
  <c r="H275" i="14"/>
  <c r="E274" i="19"/>
  <c r="H274" i="14"/>
  <c r="E273" i="19"/>
  <c r="H273" i="14"/>
  <c r="E272" i="19"/>
  <c r="H272" i="14"/>
  <c r="E271" i="19"/>
  <c r="H271" i="14"/>
  <c r="E270" i="19"/>
  <c r="H270" i="14"/>
  <c r="E269" i="19"/>
  <c r="H269" i="14"/>
  <c r="E268" i="19"/>
  <c r="H268" i="14"/>
  <c r="E267" i="19"/>
  <c r="H267" i="14"/>
  <c r="E266" i="19"/>
  <c r="H266" i="14"/>
  <c r="E265" i="19"/>
  <c r="H265" i="14"/>
  <c r="E264" i="19"/>
  <c r="H264" i="14"/>
  <c r="E263" i="19"/>
  <c r="H263" i="14"/>
  <c r="E262" i="19"/>
  <c r="H262" i="14"/>
  <c r="E261" i="19"/>
  <c r="H261" i="14"/>
  <c r="E260" i="19"/>
  <c r="H260" i="14"/>
  <c r="E259" i="19"/>
  <c r="H259" i="14"/>
  <c r="E258" i="19"/>
  <c r="H258" i="14"/>
  <c r="E257" i="19"/>
  <c r="H257" i="14"/>
  <c r="E256" i="19"/>
  <c r="H256" i="14"/>
  <c r="E255" i="19"/>
  <c r="H255" i="14"/>
  <c r="E254" i="19"/>
  <c r="H254" i="14"/>
  <c r="E253" i="19"/>
  <c r="H253" i="14"/>
  <c r="E252" i="19"/>
  <c r="H252" i="14"/>
  <c r="E251" i="19"/>
  <c r="H251" i="14"/>
  <c r="E250" i="19"/>
  <c r="H250" i="14"/>
  <c r="E249" i="19"/>
  <c r="H249" i="14"/>
  <c r="E248" i="19"/>
  <c r="H248" i="14"/>
  <c r="E247" i="19"/>
  <c r="H247" i="14"/>
  <c r="E246" i="19"/>
  <c r="H246" i="14"/>
  <c r="E245" i="19"/>
  <c r="H245" i="14"/>
  <c r="E244" i="19"/>
  <c r="H244" i="14"/>
  <c r="E243" i="19"/>
  <c r="H243" i="14"/>
  <c r="E242" i="19"/>
  <c r="H242" i="14"/>
  <c r="E241" i="19"/>
  <c r="H241" i="14"/>
  <c r="E240" i="19"/>
  <c r="H240" i="14"/>
  <c r="E239" i="19"/>
  <c r="H239" i="14"/>
  <c r="E238" i="19"/>
  <c r="H238" i="14"/>
  <c r="E237" i="19"/>
  <c r="H237" i="14"/>
  <c r="E236" i="19"/>
  <c r="H236" i="14"/>
  <c r="E235" i="19"/>
  <c r="H235" i="14"/>
  <c r="E234" i="19"/>
  <c r="H234" i="14"/>
  <c r="E233" i="19"/>
  <c r="H233" i="14"/>
  <c r="E232" i="19"/>
  <c r="H232" i="14"/>
  <c r="E231" i="19"/>
  <c r="H231" i="14"/>
  <c r="E230" i="19"/>
  <c r="H230" i="14"/>
  <c r="E229" i="19"/>
  <c r="H229" i="14"/>
  <c r="E228" i="19"/>
  <c r="H228" i="14"/>
  <c r="E227" i="19"/>
  <c r="H227" i="14"/>
  <c r="E226" i="19"/>
  <c r="H226" i="14"/>
  <c r="E225" i="19"/>
  <c r="H225" i="14"/>
  <c r="E224" i="19"/>
  <c r="H224" i="14"/>
  <c r="E223" i="19"/>
  <c r="H223" i="14"/>
  <c r="E222" i="19"/>
  <c r="H222" i="14"/>
  <c r="E221" i="19"/>
  <c r="H221" i="14"/>
  <c r="E220" i="19"/>
  <c r="H220" i="14"/>
  <c r="E219" i="19"/>
  <c r="H219" i="14"/>
  <c r="E218" i="19"/>
  <c r="H218" i="14"/>
  <c r="E217" i="19"/>
  <c r="H217" i="14"/>
  <c r="E216" i="19"/>
  <c r="H216" i="14"/>
  <c r="E215" i="19"/>
  <c r="H215" i="14"/>
  <c r="E214" i="19"/>
  <c r="H214" i="14"/>
  <c r="E213" i="19"/>
  <c r="H213" i="14"/>
  <c r="E212" i="19"/>
  <c r="H212" i="14"/>
  <c r="E211" i="19"/>
  <c r="H211" i="14"/>
  <c r="E210" i="19"/>
  <c r="H210" i="14"/>
  <c r="E209" i="19"/>
  <c r="H209" i="14"/>
  <c r="E208" i="19"/>
  <c r="H208" i="14"/>
  <c r="E207" i="19"/>
  <c r="H207" i="14"/>
  <c r="E206" i="19"/>
  <c r="H206" i="14"/>
  <c r="E205" i="19"/>
  <c r="H205" i="14"/>
  <c r="E204" i="19"/>
  <c r="H204" i="14"/>
  <c r="E203" i="19"/>
  <c r="H203" i="14"/>
  <c r="E202" i="19"/>
  <c r="H202" i="14"/>
  <c r="E201" i="19"/>
  <c r="H201" i="14"/>
  <c r="E200" i="19"/>
  <c r="H200" i="14"/>
  <c r="E199" i="19"/>
  <c r="H199" i="14"/>
  <c r="E198" i="19"/>
  <c r="H198" i="14"/>
  <c r="E197" i="19"/>
  <c r="H197" i="14"/>
  <c r="E196" i="19"/>
  <c r="H196" i="14"/>
  <c r="E195" i="19"/>
  <c r="H195" i="14"/>
  <c r="E194" i="19"/>
  <c r="H194" i="14"/>
  <c r="E193" i="19"/>
  <c r="H193" i="14"/>
  <c r="E192" i="19"/>
  <c r="H192" i="14"/>
  <c r="E191" i="19"/>
  <c r="H191" i="14"/>
  <c r="E190" i="19"/>
  <c r="H190" i="14"/>
  <c r="E189" i="19"/>
  <c r="H189" i="14"/>
  <c r="E188" i="19"/>
  <c r="H188" i="14"/>
  <c r="E187" i="19"/>
  <c r="H187" i="14"/>
  <c r="E186" i="19"/>
  <c r="H186" i="14"/>
  <c r="E185" i="19"/>
  <c r="H185" i="14"/>
  <c r="E184" i="19"/>
  <c r="H184" i="14"/>
  <c r="E183" i="19"/>
  <c r="H183" i="14"/>
  <c r="E182" i="19"/>
  <c r="H182" i="14"/>
  <c r="E181" i="19"/>
  <c r="H181" i="14"/>
  <c r="E180" i="19"/>
  <c r="H180" i="14"/>
  <c r="E179" i="19"/>
  <c r="H179" i="14"/>
  <c r="E178" i="19"/>
  <c r="H178" i="14"/>
  <c r="E177" i="19"/>
  <c r="H177" i="14"/>
  <c r="E176" i="19"/>
  <c r="H176" i="14"/>
  <c r="E175" i="19"/>
  <c r="H175" i="14"/>
  <c r="E174" i="19"/>
  <c r="H174" i="14"/>
  <c r="E173" i="19"/>
  <c r="H173" i="14"/>
  <c r="E172" i="19"/>
  <c r="H172" i="14"/>
  <c r="E171" i="19"/>
  <c r="H171" i="14"/>
  <c r="E170" i="19"/>
  <c r="H170" i="14"/>
  <c r="E169" i="19"/>
  <c r="H169" i="14"/>
  <c r="E168" i="19"/>
  <c r="H168" i="14"/>
  <c r="E167" i="19"/>
  <c r="H167" i="14"/>
  <c r="E166" i="19"/>
  <c r="H166" i="14"/>
  <c r="E165" i="19"/>
  <c r="H165" i="14"/>
  <c r="E164" i="19"/>
  <c r="H164" i="14"/>
  <c r="E163" i="19"/>
  <c r="H163" i="14"/>
  <c r="E162" i="19"/>
  <c r="H162" i="14"/>
  <c r="E161" i="19"/>
  <c r="H161" i="14"/>
  <c r="E160" i="19"/>
  <c r="H160" i="14"/>
  <c r="E159" i="19"/>
  <c r="H159" i="14"/>
  <c r="E158" i="19"/>
  <c r="H158" i="14"/>
  <c r="E157" i="19"/>
  <c r="H157" i="14"/>
  <c r="E156" i="19"/>
  <c r="H156" i="14"/>
  <c r="E155" i="19"/>
  <c r="H155" i="14"/>
  <c r="E154" i="19"/>
  <c r="H154" i="14"/>
  <c r="E153" i="19"/>
  <c r="H153" i="14"/>
  <c r="E152" i="19"/>
  <c r="H152" i="14"/>
  <c r="E151" i="19"/>
  <c r="H151" i="14"/>
  <c r="E150" i="19"/>
  <c r="H150" i="14"/>
  <c r="E149" i="19"/>
  <c r="H149" i="14"/>
  <c r="E148" i="19"/>
  <c r="H148" i="14"/>
  <c r="E147" i="19"/>
  <c r="H147" i="14"/>
  <c r="E146" i="19"/>
  <c r="H146" i="14"/>
  <c r="E145" i="19"/>
  <c r="H145" i="14"/>
  <c r="E144" i="19"/>
  <c r="H144" i="14"/>
  <c r="E143" i="19"/>
  <c r="H143" i="14"/>
  <c r="E142" i="19"/>
  <c r="H142" i="14"/>
  <c r="E141" i="19"/>
  <c r="H141" i="14"/>
  <c r="E140" i="19"/>
  <c r="H140" i="14"/>
  <c r="E139" i="19"/>
  <c r="H139" i="14"/>
  <c r="E138" i="19"/>
  <c r="H138" i="14"/>
  <c r="E137" i="19"/>
  <c r="H137" i="14"/>
  <c r="E136" i="19"/>
  <c r="H136" i="14"/>
  <c r="E135" i="19"/>
  <c r="H135" i="14"/>
  <c r="E134" i="19"/>
  <c r="H134" i="14"/>
  <c r="E133" i="19"/>
  <c r="H133" i="14"/>
  <c r="E132" i="19"/>
  <c r="H132" i="14"/>
  <c r="E131" i="19"/>
  <c r="H131" i="14"/>
  <c r="E130" i="19"/>
  <c r="H130" i="14"/>
  <c r="E129" i="19"/>
  <c r="H129" i="14"/>
  <c r="E128" i="19"/>
  <c r="H128" i="14"/>
  <c r="E127" i="19"/>
  <c r="H127" i="14"/>
  <c r="E126" i="19"/>
  <c r="H126" i="14"/>
  <c r="E125" i="19"/>
  <c r="H125" i="14"/>
  <c r="E124" i="19"/>
  <c r="H124" i="14"/>
  <c r="E123" i="19"/>
  <c r="H123" i="14"/>
  <c r="E122" i="19"/>
  <c r="H122" i="14"/>
  <c r="E121" i="19"/>
  <c r="H121" i="14"/>
  <c r="E120" i="19"/>
  <c r="H120" i="14"/>
  <c r="E119" i="19"/>
  <c r="H119" i="14"/>
  <c r="E118" i="19"/>
  <c r="H118" i="14"/>
  <c r="E117" i="19"/>
  <c r="H117" i="14"/>
  <c r="E116" i="19"/>
  <c r="H116" i="14"/>
  <c r="E115" i="19"/>
  <c r="H115" i="14"/>
  <c r="E114" i="19"/>
  <c r="H114" i="14"/>
  <c r="E113" i="19"/>
  <c r="H113" i="14"/>
  <c r="E112" i="19"/>
  <c r="H112" i="14"/>
  <c r="E111" i="19"/>
  <c r="H111" i="14"/>
  <c r="E110" i="19"/>
  <c r="H110" i="14"/>
  <c r="E109" i="19"/>
  <c r="H109" i="14"/>
  <c r="E108" i="19"/>
  <c r="H108" i="14"/>
  <c r="E107" i="19"/>
  <c r="H107" i="14"/>
  <c r="E106" i="19"/>
  <c r="H106" i="14"/>
  <c r="E105" i="19"/>
  <c r="H105" i="14"/>
  <c r="E104" i="19"/>
  <c r="H104" i="14"/>
  <c r="E103" i="19"/>
  <c r="H103" i="14"/>
  <c r="E102" i="19"/>
  <c r="H102" i="14"/>
  <c r="E101" i="19"/>
  <c r="H101" i="14"/>
  <c r="E100" i="19"/>
  <c r="H100" i="14"/>
  <c r="E99" i="19"/>
  <c r="H99" i="14"/>
  <c r="E98" i="19"/>
  <c r="H98" i="14"/>
  <c r="E97" i="19"/>
  <c r="H97" i="14"/>
  <c r="E96" i="19"/>
  <c r="H96" i="14"/>
  <c r="E95" i="19"/>
  <c r="H95" i="14"/>
  <c r="E94" i="19"/>
  <c r="H94" i="14"/>
  <c r="E93" i="19"/>
  <c r="H93" i="14"/>
  <c r="E92" i="19"/>
  <c r="H92" i="14"/>
  <c r="E91" i="19"/>
  <c r="H91" i="14"/>
  <c r="E90" i="19"/>
  <c r="H90" i="14"/>
  <c r="E89" i="19"/>
  <c r="H89" i="14"/>
  <c r="E88" i="19"/>
  <c r="H88" i="14"/>
  <c r="E87" i="19"/>
  <c r="H87" i="14"/>
  <c r="E86" i="19"/>
  <c r="H86" i="14"/>
  <c r="E85" i="19"/>
  <c r="H85" i="14"/>
  <c r="E84" i="19"/>
  <c r="H84" i="14"/>
  <c r="E83" i="19"/>
  <c r="H83" i="14"/>
  <c r="E82" i="19"/>
  <c r="H82" i="14"/>
  <c r="E81" i="19"/>
  <c r="H81" i="14"/>
  <c r="E80" i="19"/>
  <c r="H80" i="14"/>
  <c r="E79" i="19"/>
  <c r="H79" i="14"/>
  <c r="E78" i="19"/>
  <c r="H78" i="14"/>
  <c r="E77" i="19"/>
  <c r="H77" i="14"/>
  <c r="E76" i="19"/>
  <c r="H76" i="14"/>
  <c r="E75" i="19"/>
  <c r="H75" i="14"/>
  <c r="E74" i="19"/>
  <c r="H74" i="14"/>
  <c r="E73" i="19"/>
  <c r="H73" i="14"/>
  <c r="E72" i="19"/>
  <c r="H72" i="14"/>
  <c r="E71" i="19"/>
  <c r="H71" i="14"/>
  <c r="E70" i="19"/>
  <c r="H70" i="14"/>
  <c r="E69" i="19"/>
  <c r="H69" i="14"/>
  <c r="E68" i="19"/>
  <c r="H68" i="14"/>
  <c r="E67" i="19"/>
  <c r="H67" i="14"/>
  <c r="E66" i="19"/>
  <c r="H66" i="14"/>
  <c r="E65" i="19"/>
  <c r="H65" i="14"/>
  <c r="E64" i="19"/>
  <c r="H64" i="14"/>
  <c r="E63" i="19"/>
  <c r="H63" i="14"/>
  <c r="E62" i="19"/>
  <c r="H62" i="14"/>
  <c r="E61" i="19"/>
  <c r="H61" i="14"/>
  <c r="E60" i="19"/>
  <c r="H60" i="14"/>
  <c r="E59" i="19"/>
  <c r="H59" i="14"/>
  <c r="E58" i="19"/>
  <c r="H58" i="14"/>
  <c r="E57" i="19"/>
  <c r="H57" i="14"/>
  <c r="H56" i="14"/>
  <c r="E56" i="19"/>
  <c r="H55" i="14"/>
  <c r="E55" i="19"/>
  <c r="E54" i="19"/>
  <c r="H54" i="14"/>
  <c r="H53" i="14"/>
  <c r="E53" i="19"/>
  <c r="E52" i="19"/>
  <c r="H52" i="14"/>
  <c r="E51" i="19"/>
  <c r="H51" i="14"/>
  <c r="E50" i="19"/>
  <c r="H50" i="14"/>
  <c r="E49" i="19"/>
  <c r="H49" i="14"/>
  <c r="E48" i="19"/>
  <c r="H48" i="14"/>
  <c r="E47" i="19"/>
  <c r="H47" i="14"/>
  <c r="E46" i="19"/>
  <c r="H46" i="14"/>
  <c r="H45" i="14"/>
  <c r="E45" i="19"/>
  <c r="E44" i="19"/>
  <c r="H44" i="14"/>
  <c r="H43" i="14"/>
  <c r="E43" i="19"/>
  <c r="H42" i="14"/>
  <c r="E42" i="19"/>
  <c r="H41" i="14"/>
  <c r="E41" i="19"/>
  <c r="H40" i="14"/>
  <c r="E40" i="19"/>
  <c r="E39" i="19"/>
  <c r="H39" i="14"/>
  <c r="H38" i="14"/>
  <c r="E38" i="19"/>
  <c r="E37" i="19"/>
  <c r="H37" i="14"/>
  <c r="E36" i="19"/>
  <c r="H36" i="14"/>
  <c r="H35" i="14"/>
  <c r="E35" i="19"/>
  <c r="E34" i="19"/>
  <c r="H34" i="14"/>
  <c r="E33" i="19"/>
  <c r="H33" i="14"/>
  <c r="E32" i="19"/>
  <c r="H32" i="14"/>
  <c r="E31" i="19"/>
  <c r="H31" i="14"/>
  <c r="E30" i="19"/>
  <c r="H30" i="14"/>
  <c r="H29" i="14"/>
  <c r="E29" i="19"/>
  <c r="E28" i="19"/>
  <c r="H28" i="14"/>
  <c r="E27" i="19"/>
  <c r="H27" i="14"/>
  <c r="E26" i="19"/>
  <c r="H26" i="14"/>
  <c r="E25" i="19"/>
  <c r="H25" i="14"/>
  <c r="E24" i="19"/>
  <c r="H24" i="14"/>
  <c r="H23" i="14"/>
  <c r="E23" i="19"/>
  <c r="E22" i="19"/>
  <c r="H22" i="14"/>
  <c r="H21" i="14"/>
  <c r="E21" i="19"/>
  <c r="E20" i="19"/>
  <c r="H20" i="14"/>
  <c r="H19" i="14"/>
  <c r="E19" i="19"/>
  <c r="E18" i="19"/>
  <c r="H18" i="14"/>
  <c r="H17" i="14"/>
  <c r="E17" i="19"/>
  <c r="E6" i="19"/>
  <c r="H6" i="14"/>
  <c r="E4" i="19"/>
  <c r="H4" i="14"/>
  <c r="E3" i="19"/>
  <c r="H3" i="14"/>
  <c r="E2" i="19"/>
  <c r="H2" i="14"/>
  <c r="R791" i="17"/>
  <c r="T791" i="17" s="1"/>
  <c r="E800" i="14" l="1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C2" i="24"/>
  <c r="E801" i="14" l="1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<sst xmlns="http://schemas.openxmlformats.org/spreadsheetml/2006/main" count="18760" uniqueCount="3086">
  <si>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</si>
  <si>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</si>
  <si>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</si>
  <si>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</si>
  <si>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</si>
  <si>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</si>
  <si>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</si>
  <si>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</si>
  <si>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</si>
  <si>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</si>
  <si>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</si>
  <si>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</si>
  <si>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</si>
  <si>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</si>
  <si>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</si>
  <si>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</si>
  <si>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</si>
  <si>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</si>
  <si>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</si>
  <si>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</si>
  <si>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</si>
  <si>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</si>
  <si>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</si>
  <si>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</si>
  <si>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</si>
  <si>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</si>
  <si>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</si>
  <si>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</si>
  <si>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</si>
  <si>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</si>
  <si>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</si>
  <si>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</si>
  <si>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</si>
  <si>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</si>
  <si>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</si>
  <si>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</si>
  <si>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</si>
  <si>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</si>
  <si>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</si>
  <si>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</si>
  <si>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</si>
  <si>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</si>
  <si>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</si>
  <si>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</si>
  <si>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</si>
  <si>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</si>
  <si>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</si>
  <si>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</si>
  <si>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</si>
  <si>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</si>
  <si>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</si>
  <si>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</si>
  <si>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</si>
  <si>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</si>
  <si>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</si>
  <si>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</si>
  <si>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</si>
  <si>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</si>
  <si>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</si>
  <si>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</si>
  <si>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</si>
  <si>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</si>
  <si>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</si>
  <si>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</si>
  <si>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</si>
  <si>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</si>
  <si>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</si>
  <si>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</si>
  <si>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</si>
  <si>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</si>
  <si>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</si>
  <si>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</si>
  <si>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</si>
  <si>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</si>
  <si>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</si>
  <si>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</si>
  <si>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</si>
  <si>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</si>
  <si>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</si>
  <si>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</si>
  <si>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</si>
  <si>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</si>
  <si>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</si>
  <si>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</si>
  <si>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</si>
  <si>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</si>
  <si>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</si>
  <si>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</si>
  <si>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</si>
  <si>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</si>
  <si>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</si>
  <si>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</si>
  <si>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</si>
  <si>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</si>
  <si>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</si>
  <si>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</si>
  <si>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</si>
  <si>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</si>
  <si>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</si>
  <si>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</si>
  <si>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</si>
  <si>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</si>
  <si>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</si>
  <si>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</si>
  <si>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</si>
  <si>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</si>
  <si>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</si>
  <si>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</si>
  <si>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</si>
  <si>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</si>
  <si>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</si>
  <si>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</si>
  <si>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</si>
  <si>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</si>
  <si>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</si>
  <si>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</si>
  <si>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</si>
  <si>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</si>
  <si>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</si>
  <si>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</si>
  <si>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</si>
  <si>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</si>
  <si>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</si>
  <si>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</si>
  <si>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</si>
  <si>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</si>
  <si>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</si>
  <si>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</si>
  <si>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</si>
  <si>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</si>
  <si>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</si>
  <si>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</si>
  <si>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</si>
  <si>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</si>
  <si>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</si>
  <si>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</si>
  <si>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</si>
  <si>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</si>
  <si>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</si>
  <si>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</si>
  <si>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</si>
  <si>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</si>
  <si>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</si>
  <si>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</si>
  <si>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</si>
  <si>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</si>
  <si>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</si>
  <si>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</si>
  <si>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</si>
  <si>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</si>
  <si>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</si>
  <si>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</si>
  <si>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</si>
  <si>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</si>
  <si>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</si>
  <si>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</si>
  <si>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</si>
  <si>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</si>
  <si>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</si>
  <si>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</si>
  <si>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</si>
  <si>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</si>
  <si>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</si>
  <si>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</si>
  <si>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</si>
  <si>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</si>
  <si>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</si>
  <si>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</si>
  <si>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</si>
  <si>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</si>
  <si>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</si>
  <si>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</si>
  <si>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</si>
  <si>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</si>
  <si>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</si>
  <si>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</si>
  <si>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</si>
  <si>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</si>
  <si>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</si>
  <si>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</si>
  <si>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</si>
  <si>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</si>
  <si>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</si>
  <si>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</si>
  <si>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</si>
  <si>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</si>
  <si>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</si>
  <si>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</si>
  <si>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</si>
  <si>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</si>
  <si>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</si>
  <si>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</si>
  <si>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</si>
  <si>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</si>
  <si>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</si>
  <si>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</si>
  <si>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</si>
  <si>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</si>
  <si>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</si>
  <si>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</si>
  <si>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</si>
  <si>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</si>
  <si>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</si>
  <si>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</si>
  <si>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</si>
  <si>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</si>
  <si>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</si>
  <si>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</si>
  <si>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</si>
  <si>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</si>
  <si>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</si>
  <si>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</si>
  <si>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</si>
  <si>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</si>
  <si>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</si>
  <si>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</si>
  <si>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</si>
  <si>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</si>
  <si>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</si>
  <si>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</si>
  <si>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</si>
  <si>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</si>
  <si>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</si>
  <si>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</si>
  <si>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</si>
  <si>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</si>
  <si>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</si>
  <si>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</si>
  <si>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</si>
  <si>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</si>
  <si>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</si>
  <si>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</si>
  <si>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</si>
  <si>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</si>
  <si>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</si>
  <si>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</si>
  <si>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</si>
  <si>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</si>
  <si>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</si>
  <si>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</si>
  <si>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</si>
  <si>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</si>
  <si>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</si>
  <si>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</si>
  <si>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</si>
  <si>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</si>
  <si>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</si>
  <si>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</si>
  <si>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</si>
  <si>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</si>
  <si>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</si>
  <si>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</si>
  <si>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</si>
  <si>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</si>
  <si>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</si>
  <si>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</si>
  <si>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</si>
  <si>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</si>
  <si>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</si>
  <si>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</si>
  <si>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</si>
  <si>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</si>
  <si>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</si>
  <si>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</si>
  <si>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</si>
  <si>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</si>
  <si>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</si>
  <si>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</si>
  <si>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</si>
  <si>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</si>
  <si>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</si>
  <si>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</si>
  <si>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</si>
  <si>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</si>
  <si>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</si>
  <si>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</si>
  <si>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</si>
  <si>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</si>
  <si>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</si>
  <si>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</si>
  <si>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</si>
  <si>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</si>
  <si>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</si>
  <si>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</si>
  <si>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</si>
  <si>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</si>
  <si>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</si>
  <si>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</si>
  <si>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</si>
  <si>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</si>
  <si>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</si>
  <si>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</si>
  <si>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</si>
  <si>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</si>
  <si>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</si>
  <si>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</si>
  <si>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</si>
  <si>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</si>
  <si>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</si>
  <si>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</si>
  <si>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</si>
  <si>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</si>
  <si>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</si>
  <si>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</si>
  <si>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</si>
  <si>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</si>
  <si>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</si>
  <si>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</si>
  <si>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</si>
  <si>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</si>
  <si>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</si>
  <si>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</si>
  <si>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</si>
  <si>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</si>
  <si>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</si>
  <si>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</si>
  <si>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</si>
  <si>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</si>
  <si>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</si>
  <si>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</si>
  <si>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</si>
  <si>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</si>
  <si>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</si>
  <si>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</si>
  <si>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</si>
  <si>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</si>
  <si>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</si>
  <si>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</si>
  <si>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</si>
  <si>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</si>
  <si>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</si>
  <si>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</si>
  <si>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</si>
  <si>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</si>
  <si>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</si>
  <si>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</si>
  <si>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</si>
  <si>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</si>
  <si>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</si>
  <si>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</si>
  <si>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</si>
  <si>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</si>
  <si>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</si>
  <si>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</si>
  <si>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</si>
  <si>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</si>
  <si>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</si>
  <si>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</si>
  <si>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</si>
  <si>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</si>
  <si>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</si>
  <si>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</si>
  <si>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</si>
  <si>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</si>
  <si>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</si>
  <si>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</si>
  <si>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</si>
  <si>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</si>
  <si>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</si>
  <si>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</si>
  <si>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</si>
  <si>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</si>
  <si>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</si>
  <si>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</si>
  <si>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</si>
  <si>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</si>
  <si>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</si>
  <si>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</si>
  <si>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</si>
  <si>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</si>
  <si>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</si>
  <si>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</si>
  <si>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</si>
  <si>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</si>
  <si>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</si>
  <si>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</si>
  <si>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</si>
  <si>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</si>
  <si>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</si>
  <si>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</si>
  <si>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</si>
  <si>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</si>
  <si>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</si>
  <si>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</si>
  <si>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</si>
  <si>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</si>
  <si>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</si>
  <si>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</si>
  <si>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</si>
  <si>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</si>
  <si>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</si>
  <si>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</si>
  <si>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</si>
  <si>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</si>
  <si>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</si>
  <si>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</si>
  <si>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</si>
  <si>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</si>
  <si>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</si>
  <si>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</si>
  <si>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</si>
  <si>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</si>
  <si>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</si>
  <si>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</si>
  <si>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</si>
  <si>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</si>
  <si>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</si>
  <si>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</si>
  <si>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</si>
  <si>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</si>
  <si>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</si>
  <si>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</si>
  <si>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</si>
  <si>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</si>
  <si>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</si>
  <si>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</si>
  <si>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</si>
  <si>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</si>
  <si>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</si>
  <si>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</si>
  <si>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</si>
  <si>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</si>
  <si>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</si>
  <si>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</si>
  <si>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</si>
  <si>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</si>
  <si>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</si>
  <si>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</si>
  <si>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</si>
  <si>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</si>
  <si>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</si>
  <si>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</si>
  <si>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</si>
  <si>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</si>
  <si>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</si>
  <si>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</si>
  <si>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</si>
  <si>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</si>
  <si>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</si>
  <si>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</si>
  <si>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</si>
  <si>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</si>
  <si>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</si>
  <si>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</si>
  <si>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</si>
  <si>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</si>
  <si>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</si>
  <si>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</si>
  <si>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</si>
  <si>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</si>
  <si>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</si>
  <si>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</si>
  <si>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</si>
  <si>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</si>
  <si>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</si>
  <si>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</si>
  <si>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</si>
  <si>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</si>
  <si>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</si>
  <si>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</si>
  <si>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</si>
  <si>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</si>
  <si>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</si>
  <si>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</si>
  <si>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</si>
  <si>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</si>
  <si>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</si>
  <si>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</si>
  <si>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</si>
  <si>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</si>
  <si>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</si>
  <si>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</si>
  <si>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</si>
  <si>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</si>
  <si>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</si>
  <si>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</si>
  <si>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</si>
  <si>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</si>
  <si>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</si>
  <si>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</si>
  <si>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</si>
  <si>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</si>
  <si>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</si>
  <si>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</si>
  <si>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</si>
  <si>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</si>
  <si>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</si>
  <si>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</si>
  <si>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</si>
  <si>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</si>
  <si>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</si>
  <si>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</si>
  <si>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</si>
  <si>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</si>
  <si>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</si>
  <si>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</si>
  <si>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</si>
  <si>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</si>
  <si>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</si>
  <si>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</si>
  <si>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</si>
  <si>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</si>
  <si>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</si>
  <si>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</si>
  <si>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</si>
  <si>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</si>
  <si>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</si>
  <si>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</si>
  <si>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</si>
  <si>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</si>
  <si>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</si>
  <si>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</si>
  <si>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</si>
  <si>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</si>
  <si>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</si>
  <si>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</si>
  <si>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</si>
  <si>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</si>
  <si>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</si>
  <si>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</si>
  <si>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</si>
  <si>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</si>
  <si>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</si>
  <si>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</si>
  <si>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</si>
  <si>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</si>
  <si>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</si>
  <si>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</si>
  <si>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</si>
  <si>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</si>
  <si>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</si>
  <si>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</si>
  <si>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</si>
  <si>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</si>
  <si>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</si>
  <si>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</si>
  <si>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</si>
  <si>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</si>
  <si>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</si>
  <si>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</si>
  <si>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</si>
  <si>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</si>
  <si>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</si>
  <si>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</si>
  <si>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</si>
  <si>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</si>
  <si>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</si>
  <si>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</si>
  <si>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</si>
  <si>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</si>
  <si>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</si>
  <si>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</si>
  <si>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</si>
  <si>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</si>
  <si>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</si>
  <si>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</si>
  <si>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</si>
  <si>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</si>
  <si>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</si>
  <si>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</si>
  <si>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</si>
  <si>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</si>
  <si>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</si>
  <si>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</si>
  <si>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</si>
  <si>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</si>
  <si>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</si>
  <si>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</si>
  <si>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</si>
  <si>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</si>
  <si>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</si>
  <si>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</si>
  <si>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</si>
  <si>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</si>
  <si>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</si>
  <si>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</si>
  <si>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</si>
  <si>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</si>
  <si>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</si>
  <si>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</si>
  <si>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</si>
  <si>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</si>
  <si>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</si>
  <si>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</si>
  <si>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</si>
  <si>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</si>
  <si>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</si>
  <si>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</si>
  <si>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</si>
  <si>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</si>
  <si>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</si>
  <si>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</si>
  <si>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</si>
  <si>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</si>
  <si>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</si>
  <si>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</si>
  <si>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</si>
  <si>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</si>
  <si>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</si>
  <si>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</si>
  <si>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</si>
  <si>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</si>
  <si>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</si>
  <si>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</si>
  <si>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</si>
  <si>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</si>
  <si>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</si>
  <si>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</si>
  <si>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</si>
  <si>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</si>
  <si>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</si>
  <si>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</si>
  <si>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</si>
  <si>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</si>
  <si>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</si>
  <si>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</si>
  <si>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</si>
  <si>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</si>
  <si>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</si>
  <si>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</si>
  <si>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</si>
  <si>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</si>
  <si>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</si>
  <si>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</si>
  <si>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</si>
  <si>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</si>
  <si>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</si>
  <si>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</si>
  <si>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</si>
  <si>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</si>
  <si>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</si>
  <si>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</si>
  <si>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</si>
  <si>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</si>
  <si>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</si>
  <si>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</si>
  <si>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</si>
  <si>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</si>
  <si>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</si>
  <si>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</si>
  <si>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</si>
  <si>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</si>
  <si>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</si>
  <si>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</si>
  <si>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</si>
  <si>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</si>
  <si>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</si>
  <si>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</si>
  <si>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</si>
  <si>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</si>
  <si>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</si>
  <si>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</si>
  <si>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</si>
  <si>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</si>
  <si>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</si>
  <si>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</si>
  <si>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</si>
  <si>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</si>
  <si>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</si>
  <si>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</si>
  <si>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</si>
  <si>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</si>
  <si>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</si>
  <si>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</si>
  <si>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</si>
  <si>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</si>
  <si>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</si>
  <si>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</si>
  <si>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</si>
  <si>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</si>
  <si>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</si>
  <si>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</si>
  <si>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</si>
  <si>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</si>
  <si>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</si>
  <si>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</si>
  <si>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</si>
  <si>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</si>
  <si>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</si>
  <si>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</si>
  <si>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</si>
  <si>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</si>
  <si>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</si>
  <si>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</si>
  <si>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</si>
  <si>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</si>
  <si>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</si>
  <si>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</si>
  <si>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</si>
  <si>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</si>
  <si>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</si>
  <si>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</si>
  <si>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</si>
  <si>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</si>
  <si>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</si>
  <si>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</si>
  <si>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</si>
  <si>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</si>
  <si>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</si>
  <si>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</si>
  <si>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</si>
  <si>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</si>
  <si>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</si>
  <si>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</si>
  <si>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</si>
  <si>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</si>
  <si>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</si>
  <si>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</si>
  <si>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</si>
  <si>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</si>
  <si>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</si>
  <si>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</si>
  <si>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</si>
  <si>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</si>
  <si>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</si>
  <si>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</si>
  <si>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</si>
  <si>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</si>
  <si>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</si>
  <si>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</si>
  <si>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</si>
  <si>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</si>
  <si>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</si>
  <si>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</si>
  <si>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</si>
  <si>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</si>
  <si>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</si>
  <si>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</si>
  <si>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</si>
  <si>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</si>
  <si>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</si>
  <si>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</si>
  <si>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</si>
  <si>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</si>
  <si>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</si>
  <si>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</si>
  <si>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</si>
  <si>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</si>
  <si>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</si>
  <si>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</si>
  <si>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</si>
  <si>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</si>
  <si>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</si>
  <si>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</si>
  <si>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</si>
  <si>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</si>
  <si>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</si>
  <si>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</si>
  <si>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</si>
  <si>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</si>
  <si>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</si>
  <si>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</si>
  <si>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</si>
  <si>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</si>
  <si>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</si>
  <si>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</si>
  <si>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</si>
  <si>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</si>
  <si>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</si>
  <si>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</si>
  <si>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</si>
  <si>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</si>
  <si>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</si>
  <si>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</si>
  <si>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</si>
  <si>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</si>
  <si>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</si>
  <si>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</si>
  <si>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</si>
  <si>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</si>
  <si>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</si>
  <si>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</si>
  <si>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</si>
  <si>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</si>
  <si>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</si>
  <si>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</si>
  <si>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</si>
  <si>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</si>
  <si>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</si>
  <si>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</si>
  <si>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</si>
  <si>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</si>
  <si>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</si>
  <si>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</si>
  <si>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</si>
  <si>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</si>
  <si>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</si>
  <si>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</si>
  <si>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</si>
  <si>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</si>
  <si>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</si>
  <si>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</si>
  <si>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</si>
  <si>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</si>
  <si>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</si>
  <si>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</si>
  <si>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</si>
  <si>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</si>
  <si>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</si>
  <si>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</si>
  <si>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</si>
  <si>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</si>
  <si>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</si>
  <si>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</si>
  <si>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</si>
  <si>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</si>
  <si>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</si>
  <si>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</si>
  <si>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</si>
  <si>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</si>
  <si>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</si>
  <si>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</si>
  <si>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</si>
  <si>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</si>
  <si>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</si>
  <si>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</si>
  <si>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</si>
  <si>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</si>
  <si>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</si>
  <si>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</si>
  <si>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</si>
  <si>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</si>
  <si>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</si>
  <si>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</si>
  <si>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</si>
  <si>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</si>
  <si>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</si>
  <si>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</si>
  <si>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</si>
  <si>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</si>
  <si>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</si>
  <si>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</si>
  <si>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</si>
  <si>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</si>
  <si>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</si>
  <si>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</si>
  <si>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</si>
  <si>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</si>
  <si>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</si>
  <si>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</si>
  <si>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</si>
  <si>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</si>
  <si>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</si>
  <si>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</si>
  <si>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</si>
  <si>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</si>
  <si>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</si>
  <si>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</si>
  <si>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</si>
  <si>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</si>
  <si>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</si>
  <si>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</si>
  <si>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</si>
  <si>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</si>
  <si>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</si>
  <si>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</si>
  <si>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</si>
  <si>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</si>
  <si>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</si>
  <si>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</si>
  <si>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</si>
  <si>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</si>
  <si>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</si>
  <si>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</si>
  <si>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</si>
  <si>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</si>
  <si>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</si>
  <si>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</si>
  <si>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</si>
  <si>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</si>
  <si>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</si>
  <si>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</si>
  <si>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</si>
  <si>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</si>
  <si>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</si>
  <si>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</si>
  <si>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</si>
  <si>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</si>
  <si>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</si>
  <si>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</si>
  <si>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</si>
  <si>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</si>
  <si>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</si>
  <si>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</si>
  <si>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</si>
  <si>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</si>
  <si>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</si>
  <si>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</si>
  <si>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</si>
  <si>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</si>
  <si>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</si>
  <si>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</si>
  <si>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</si>
  <si>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</si>
  <si>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</si>
  <si>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</si>
  <si>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</si>
  <si>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</si>
  <si>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</si>
  <si>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</si>
  <si>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</si>
  <si>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</si>
  <si>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</si>
  <si>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</si>
  <si>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</si>
  <si>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</si>
  <si>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</si>
  <si>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</si>
  <si>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</si>
  <si>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</si>
  <si>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</si>
  <si>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</si>
  <si>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</si>
  <si>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</si>
  <si>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</si>
  <si>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</si>
  <si>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</si>
  <si>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</si>
  <si>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</si>
  <si>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</si>
  <si>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</si>
  <si>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</si>
  <si>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</si>
  <si>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</si>
  <si>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</si>
  <si>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</si>
  <si>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</si>
  <si>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</si>
  <si>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</si>
  <si>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</si>
  <si>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</si>
  <si>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</si>
  <si>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</si>
  <si>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</si>
  <si>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</si>
  <si>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</si>
  <si>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</si>
  <si>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</si>
  <si>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</si>
  <si>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</si>
  <si>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</si>
  <si>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</si>
  <si>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</si>
  <si>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</si>
  <si>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</si>
  <si>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</si>
  <si>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</si>
  <si>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</si>
  <si>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</si>
  <si>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</si>
  <si>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</si>
  <si>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</si>
  <si>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</si>
  <si>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</si>
  <si>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</si>
  <si>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</si>
  <si>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</si>
  <si>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</si>
  <si>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</si>
  <si>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</si>
  <si>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</si>
  <si>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</si>
  <si>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</si>
  <si>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</si>
  <si>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</si>
  <si>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</si>
  <si>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</si>
  <si>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</si>
  <si>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</si>
  <si>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</si>
  <si>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</si>
  <si>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</si>
  <si>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</si>
  <si>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</si>
  <si>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</si>
  <si>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</si>
  <si>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</si>
  <si>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</si>
  <si>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</si>
  <si>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</si>
  <si>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</si>
  <si>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</si>
  <si>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</si>
  <si>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</si>
  <si>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</si>
  <si>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</si>
  <si>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</si>
  <si>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</si>
  <si>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</si>
  <si>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</si>
  <si>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</si>
  <si>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</si>
  <si>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</si>
  <si>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</si>
  <si>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</si>
  <si>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</si>
  <si>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</si>
  <si>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</si>
  <si>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</si>
  <si>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</si>
  <si>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</si>
  <si>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</si>
  <si>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</si>
  <si>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</si>
  <si>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</si>
  <si>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</si>
  <si>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</si>
  <si>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</si>
  <si>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</si>
  <si>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</si>
  <si>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</si>
  <si>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</si>
  <si>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</si>
  <si>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</si>
  <si>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</si>
  <si>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</si>
  <si>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</si>
  <si>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</si>
  <si>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</si>
  <si>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</si>
  <si>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</si>
  <si>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</si>
  <si>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</si>
  <si>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</si>
  <si>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</si>
  <si>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</si>
  <si>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</si>
  <si>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</si>
  <si>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</si>
  <si>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</si>
  <si>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</si>
  <si>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</si>
  <si>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</si>
  <si>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</si>
  <si>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</si>
  <si>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</si>
  <si>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</si>
  <si>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</si>
  <si>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</si>
  <si>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</si>
  <si>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</si>
  <si>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</si>
  <si>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</si>
  <si>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</si>
  <si>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</si>
  <si>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</si>
  <si>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</si>
  <si>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</si>
  <si>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</si>
  <si>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</si>
  <si>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</si>
  <si>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</si>
  <si>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</si>
  <si>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</si>
  <si>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</si>
  <si>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</si>
  <si>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</si>
  <si>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</si>
  <si>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</si>
  <si>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</si>
  <si>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</si>
  <si>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</si>
  <si>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</si>
  <si>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</si>
  <si>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</si>
  <si>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</si>
  <si>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</si>
  <si>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</si>
  <si>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</si>
  <si>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</si>
  <si>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</si>
  <si>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</si>
  <si>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</si>
  <si>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</si>
  <si>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</si>
  <si>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</si>
  <si>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</si>
  <si>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</si>
  <si>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</si>
  <si>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</si>
  <si>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</si>
  <si>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</si>
  <si>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</si>
  <si>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</si>
  <si>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</si>
  <si>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</si>
  <si>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</si>
  <si>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</si>
  <si>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</si>
  <si>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</si>
  <si>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</si>
  <si>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</si>
  <si>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</si>
  <si>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</si>
  <si>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</si>
  <si>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</si>
  <si>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</si>
  <si>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</si>
  <si>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</si>
  <si>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</si>
  <si>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</si>
  <si>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</si>
  <si>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</si>
  <si>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</si>
  <si>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</si>
  <si>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</si>
  <si>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</si>
  <si>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</si>
  <si>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</si>
  <si>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</si>
  <si>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</si>
  <si>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</si>
  <si>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</si>
  <si>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</si>
  <si>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</si>
  <si>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</si>
  <si>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</si>
  <si>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</si>
  <si>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</si>
  <si>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</si>
  <si>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</si>
  <si>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</si>
  <si>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</si>
  <si>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</si>
  <si>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</si>
  <si>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</si>
  <si>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</si>
  <si>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</si>
  <si>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</si>
  <si>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</si>
  <si>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</si>
  <si>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</si>
  <si>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</si>
  <si>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</si>
  <si>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</si>
  <si>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</si>
  <si>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</si>
  <si>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</si>
  <si>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</si>
  <si>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</si>
  <si>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</si>
  <si>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</si>
  <si>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</si>
  <si>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</si>
  <si>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</si>
  <si>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</si>
  <si>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</si>
  <si>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</si>
  <si>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</si>
  <si>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</si>
  <si>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</si>
  <si>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</si>
  <si>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</si>
  <si>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</si>
  <si>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</si>
  <si>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</si>
  <si>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</si>
  <si>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</si>
  <si>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</si>
  <si>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</si>
  <si>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</si>
  <si>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</si>
  <si>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</si>
  <si>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</si>
  <si>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</si>
  <si>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</si>
  <si>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</si>
  <si>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</si>
  <si>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</si>
  <si>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</si>
  <si>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</si>
  <si>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</si>
  <si>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</si>
  <si>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</si>
  <si>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</si>
  <si>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</si>
  <si>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</si>
  <si>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</si>
  <si>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</si>
  <si>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</si>
  <si>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</si>
  <si>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</si>
  <si>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</si>
  <si>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</si>
  <si>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</si>
  <si>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</si>
  <si>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</si>
  <si>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</si>
  <si>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</si>
  <si>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</si>
  <si>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</si>
  <si>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</si>
  <si>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</si>
  <si>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</si>
  <si>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</si>
  <si>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</si>
  <si>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</si>
  <si>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</si>
  <si>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</si>
  <si>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</si>
  <si>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</si>
  <si>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</si>
  <si>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</si>
  <si>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</si>
  <si>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</si>
  <si>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</si>
  <si>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</si>
  <si>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</si>
  <si>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</si>
  <si>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</si>
  <si>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</si>
  <si>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</si>
  <si>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</si>
  <si>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</si>
  <si>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</si>
  <si>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</si>
  <si>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</si>
  <si>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</si>
  <si>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</si>
  <si>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</si>
  <si>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</si>
  <si>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</si>
  <si>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</si>
  <si>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</si>
  <si>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</si>
  <si>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</si>
  <si>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</si>
  <si>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</si>
  <si>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</si>
  <si>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</si>
  <si>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</si>
  <si>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</si>
  <si>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</si>
  <si>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</si>
  <si>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</si>
  <si>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</si>
  <si>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</si>
  <si>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</si>
  <si>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</si>
  <si>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</si>
  <si>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</si>
  <si>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</si>
  <si>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</si>
  <si>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</si>
  <si>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</si>
  <si>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</si>
  <si>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</si>
  <si>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</si>
  <si>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</si>
  <si>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</si>
  <si>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</si>
  <si>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</si>
  <si>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</si>
  <si>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</si>
  <si>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</si>
  <si>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</si>
  <si>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</si>
  <si>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</si>
  <si>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</si>
  <si>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</si>
  <si>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</si>
  <si>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</si>
  <si>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</si>
  <si>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</si>
  <si>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</si>
  <si>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</si>
  <si>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</si>
  <si>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</si>
  <si>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</si>
  <si>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</si>
  <si>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</si>
  <si>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</si>
  <si>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</si>
  <si>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</si>
  <si>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</si>
  <si>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</si>
  <si>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</si>
  <si>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</si>
  <si>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</si>
  <si>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</si>
  <si>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</si>
  <si>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</si>
  <si>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</si>
  <si>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</si>
  <si>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</si>
  <si>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</si>
  <si>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</si>
  <si>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</si>
  <si>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</si>
  <si>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</si>
  <si>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</si>
  <si>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</si>
  <si>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</si>
  <si>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</si>
  <si>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</si>
  <si>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</si>
  <si>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</si>
  <si>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</si>
  <si>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</si>
  <si>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</si>
  <si>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</si>
  <si>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</si>
  <si>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</si>
  <si>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</si>
  <si>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</si>
  <si>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</si>
  <si>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</si>
  <si>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</si>
  <si>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</si>
  <si>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</si>
  <si>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</si>
  <si>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</si>
  <si>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</si>
  <si>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</si>
  <si>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</si>
  <si>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</si>
  <si>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</si>
  <si>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</si>
  <si>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</si>
  <si>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</si>
  <si>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</si>
  <si>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</si>
  <si>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</si>
  <si>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</si>
  <si>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</si>
  <si>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</si>
  <si>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</si>
  <si>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</si>
  <si>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</si>
  <si>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</si>
  <si>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</si>
  <si>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</si>
  <si>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</si>
  <si>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</si>
  <si>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</si>
  <si>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</si>
  <si>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</si>
  <si>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</si>
  <si>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</si>
  <si>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</si>
  <si>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</si>
  <si>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</si>
  <si>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</si>
  <si>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</si>
  <si>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</si>
  <si>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</si>
  <si>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</si>
  <si>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</si>
  <si>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</si>
  <si>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</si>
  <si>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</si>
  <si>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</si>
  <si>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</si>
  <si>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</si>
  <si>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</si>
  <si>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</si>
  <si>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</si>
  <si>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</si>
  <si>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</si>
  <si>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</si>
  <si>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</si>
  <si>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</si>
  <si>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</si>
  <si>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</si>
  <si>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</si>
  <si>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</si>
  <si>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</si>
  <si>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</si>
  <si>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</si>
  <si>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</si>
  <si>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</si>
  <si>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</si>
  <si>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</si>
  <si>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</si>
  <si>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</si>
  <si>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</si>
  <si>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</si>
  <si>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</si>
  <si>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</si>
  <si>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</si>
  <si>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</si>
  <si>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</si>
  <si>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</si>
  <si>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</si>
  <si>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</si>
  <si>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</si>
  <si>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</si>
  <si>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</si>
  <si>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</si>
  <si>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</si>
  <si>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</si>
  <si>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</si>
  <si>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</si>
  <si>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</si>
  <si>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</si>
  <si>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</si>
  <si>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</si>
  <si>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</si>
  <si>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</si>
  <si>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</si>
  <si>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</si>
  <si>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</si>
  <si>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</si>
  <si>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</si>
  <si>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</si>
  <si>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</si>
  <si>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</si>
  <si>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</si>
  <si>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</si>
  <si>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</si>
  <si>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</si>
  <si>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</si>
  <si>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</si>
  <si>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</si>
  <si>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</si>
  <si>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</si>
  <si>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</si>
  <si>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</si>
  <si>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</si>
  <si>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</si>
  <si>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</si>
  <si>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</si>
  <si>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</si>
  <si>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</si>
  <si>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</si>
  <si>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</si>
  <si>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</si>
  <si>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</si>
  <si>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</si>
  <si>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</si>
  <si>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</si>
  <si>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</si>
  <si>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</si>
  <si>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</si>
  <si>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</si>
  <si>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</si>
  <si>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</si>
  <si>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</si>
  <si>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</si>
  <si>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</si>
  <si>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</si>
  <si>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</si>
  <si>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</si>
  <si>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</si>
  <si>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</si>
  <si>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</si>
  <si>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</si>
  <si>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</si>
  <si>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</si>
  <si>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</si>
  <si>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</si>
  <si>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</si>
  <si>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</si>
  <si>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</si>
  <si>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</si>
  <si>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</si>
  <si>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</si>
  <si>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</si>
  <si>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</si>
  <si>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</si>
  <si>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</si>
  <si>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</si>
  <si>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</si>
  <si>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</si>
  <si>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</si>
  <si>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</si>
  <si>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</si>
  <si>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</si>
  <si>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</si>
  <si>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</si>
  <si>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</si>
  <si>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</si>
  <si>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</si>
  <si>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</si>
  <si>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</si>
  <si>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</si>
  <si>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</si>
  <si>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</si>
  <si>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</si>
  <si>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</si>
  <si>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</si>
  <si>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</si>
  <si>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</si>
  <si>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</si>
  <si>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</si>
  <si>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</si>
  <si>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</si>
  <si>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</si>
  <si>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</si>
  <si>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</si>
  <si>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</si>
  <si>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</si>
  <si>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</si>
  <si>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</si>
  <si>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</si>
  <si>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</si>
  <si>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</si>
  <si>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</si>
  <si>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</si>
  <si>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</si>
  <si>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</si>
  <si>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</si>
  <si>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</si>
  <si>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</si>
  <si>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</si>
  <si>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</si>
  <si>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</si>
  <si>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</si>
  <si>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</si>
  <si>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</si>
  <si>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</si>
  <si>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</si>
  <si>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</si>
  <si>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</si>
  <si>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</si>
  <si>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</si>
  <si>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</si>
  <si>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</si>
  <si>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</si>
  <si>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</si>
  <si>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</si>
  <si>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</si>
  <si>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</si>
  <si>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</si>
  <si>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</si>
  <si>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</si>
  <si>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</si>
  <si>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</si>
  <si>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</si>
  <si>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</si>
  <si>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</si>
  <si>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</si>
  <si>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</si>
  <si>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</si>
  <si>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</si>
  <si>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</si>
  <si>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</si>
  <si>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</si>
  <si>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</si>
  <si>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</si>
  <si>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</si>
  <si>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</si>
  <si>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</si>
  <si>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</si>
  <si>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</si>
  <si>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</si>
  <si>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</si>
  <si>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</si>
  <si>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</si>
  <si>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</si>
  <si>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</si>
  <si>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</si>
  <si>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</si>
  <si>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</si>
  <si>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</si>
  <si>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</si>
  <si>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</si>
  <si>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</si>
  <si>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</si>
  <si>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</si>
  <si>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</si>
  <si>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</si>
  <si>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</si>
  <si>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</si>
  <si>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</si>
  <si>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</si>
  <si>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</si>
  <si>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</si>
  <si>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</si>
  <si>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</si>
  <si>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</si>
  <si>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</si>
  <si>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</si>
  <si>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</si>
  <si>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</si>
  <si>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</si>
  <si>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</si>
  <si>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</si>
  <si>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</si>
  <si>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</si>
  <si>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</si>
  <si>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</si>
  <si>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</si>
  <si>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</si>
  <si>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</si>
  <si>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</si>
  <si>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</si>
  <si>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</si>
  <si>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</si>
  <si>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</si>
  <si>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</si>
  <si>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</si>
  <si>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</si>
  <si>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</si>
  <si>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</si>
  <si>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</si>
  <si>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</si>
  <si>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</si>
  <si>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</si>
  <si>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</si>
  <si>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</si>
  <si>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</si>
  <si>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</si>
  <si>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</si>
  <si>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</si>
  <si>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</si>
  <si>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</si>
  <si>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</si>
  <si>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</si>
  <si>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</si>
  <si>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</si>
  <si>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</si>
  <si>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</si>
  <si>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</si>
  <si>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</si>
  <si>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</si>
  <si>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</si>
  <si>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</si>
  <si>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</si>
  <si>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</si>
  <si>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</si>
  <si>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</si>
  <si>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</si>
  <si>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</si>
  <si>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</si>
  <si>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</si>
  <si>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</si>
  <si>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</si>
  <si>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</si>
  <si>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</si>
  <si>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</si>
  <si>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</si>
  <si>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</si>
  <si>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</si>
  <si>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</si>
  <si>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</si>
  <si>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</si>
  <si>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</si>
  <si>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</si>
  <si>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</si>
  <si>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</si>
  <si>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</si>
  <si>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</si>
  <si>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</si>
  <si>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</si>
  <si>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</si>
  <si>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</si>
  <si>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</si>
  <si>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</si>
  <si>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</si>
  <si>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</si>
  <si>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</si>
  <si>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</si>
  <si>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</si>
  <si>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</si>
  <si>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</si>
  <si>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</si>
  <si>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</si>
  <si>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</si>
  <si>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</si>
  <si>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</si>
  <si>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</si>
  <si>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</si>
  <si>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</si>
  <si>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</si>
  <si>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</si>
  <si>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</si>
  <si>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</si>
  <si>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</si>
  <si>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</si>
  <si>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</si>
  <si>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</si>
  <si>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</si>
  <si>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</si>
  <si>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</si>
  <si>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</si>
  <si>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</si>
  <si>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</si>
  <si>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</si>
  <si>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</si>
  <si>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</si>
  <si>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</si>
  <si>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</si>
  <si>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</si>
  <si>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</si>
  <si>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</si>
  <si>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</si>
  <si>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</si>
  <si>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</si>
  <si>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</si>
  <si>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</si>
  <si>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</si>
  <si>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</si>
  <si>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</si>
  <si>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</si>
  <si>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</si>
  <si>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</si>
  <si>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</si>
  <si>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</si>
  <si>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</si>
  <si>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</si>
  <si>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</si>
  <si>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</si>
  <si>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</si>
  <si>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</si>
  <si>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</si>
  <si>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</si>
  <si>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</si>
  <si>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</si>
  <si>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</si>
  <si>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</si>
  <si>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</si>
  <si>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</si>
  <si>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</si>
  <si>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</si>
  <si>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</si>
  <si>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</si>
  <si>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</si>
  <si>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</si>
  <si>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</si>
  <si>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</si>
  <si>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</si>
  <si>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</si>
  <si>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</si>
  <si>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</si>
  <si>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</si>
  <si>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</si>
  <si>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</si>
  <si>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</si>
  <si>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</si>
  <si>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</si>
  <si>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</si>
  <si>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</si>
  <si>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</si>
  <si>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</si>
  <si>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</si>
  <si>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</si>
  <si>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</si>
  <si>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</si>
  <si>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</si>
  <si>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</si>
  <si>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</si>
  <si>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</si>
  <si>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</si>
  <si>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</si>
  <si>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</si>
  <si>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</si>
  <si>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</si>
  <si>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</si>
  <si>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</si>
  <si>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</si>
  <si>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</si>
  <si>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</si>
  <si>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</si>
  <si>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</si>
  <si>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</si>
  <si>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</si>
  <si>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</si>
  <si>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</si>
  <si>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</si>
  <si>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</si>
  <si>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</si>
  <si>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</si>
  <si>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</si>
  <si>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</si>
  <si>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</si>
  <si>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</si>
  <si>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</si>
  <si>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</si>
  <si>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</si>
  <si>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</si>
  <si>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</si>
  <si>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</si>
  <si>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</si>
  <si>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</si>
  <si>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</si>
  <si>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</si>
  <si>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</si>
  <si>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</si>
  <si>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</si>
  <si>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</si>
  <si>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</si>
  <si>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</si>
  <si>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</si>
  <si>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</si>
  <si>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</si>
  <si>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</si>
  <si>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</si>
  <si>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</si>
  <si>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</si>
  <si>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</si>
  <si>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</si>
  <si>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</si>
  <si>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</si>
  <si>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</si>
  <si>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</si>
  <si>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</si>
  <si>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</si>
  <si>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</si>
  <si>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</si>
  <si>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</si>
  <si>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</si>
  <si>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</si>
  <si>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</si>
  <si>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</si>
  <si>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</si>
  <si>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</si>
  <si>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</si>
  <si>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</si>
  <si>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</si>
  <si>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</si>
  <si>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</si>
  <si>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</si>
  <si>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</si>
  <si>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</si>
  <si>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</si>
  <si>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</si>
  <si>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</si>
  <si>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</si>
  <si>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</si>
  <si>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</si>
  <si>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</si>
  <si>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</si>
  <si>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</si>
  <si>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</si>
  <si>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</si>
  <si>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</si>
  <si>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</si>
  <si>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</si>
  <si>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</si>
  <si>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</si>
  <si>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</si>
  <si>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</si>
  <si>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</si>
  <si>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</si>
  <si>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</si>
  <si>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</si>
  <si>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</si>
  <si>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</si>
  <si>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</si>
  <si>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</si>
  <si>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</si>
  <si>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</si>
  <si>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</si>
  <si>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</si>
  <si>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</si>
  <si>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</si>
  <si>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</si>
  <si>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</si>
  <si>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</si>
  <si>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</si>
  <si>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</si>
  <si>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</si>
  <si>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</si>
  <si>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</si>
  <si>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</si>
  <si>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</si>
  <si>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</si>
  <si>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</si>
  <si>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</si>
  <si>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</si>
  <si>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</si>
  <si>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</si>
  <si>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</si>
  <si>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</si>
  <si>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</si>
  <si>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</si>
  <si>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</si>
  <si>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</si>
  <si>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</si>
  <si>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</si>
  <si>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</si>
  <si>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</si>
  <si>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</si>
  <si>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</si>
  <si>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</si>
  <si>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</si>
  <si>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</si>
  <si>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</si>
  <si>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</si>
  <si>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</si>
  <si>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</si>
  <si>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</si>
  <si>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</si>
  <si>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</si>
  <si>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</si>
  <si>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</si>
  <si>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</si>
  <si>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</si>
  <si>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</si>
  <si>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</si>
  <si>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</si>
  <si>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</si>
  <si>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</si>
  <si>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</si>
  <si>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</si>
  <si>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</si>
  <si>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</si>
  <si>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</si>
  <si>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</si>
  <si>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</si>
  <si>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</si>
  <si>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</si>
  <si>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</si>
  <si>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</si>
  <si>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</si>
  <si>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</si>
  <si>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</si>
  <si>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</si>
  <si>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</si>
  <si>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</si>
  <si>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</si>
  <si>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</si>
  <si>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</si>
  <si>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</si>
  <si>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</si>
  <si>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</si>
  <si>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</si>
  <si>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</si>
  <si>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</si>
  <si>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</si>
  <si>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</si>
  <si>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</si>
  <si>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</si>
  <si>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</si>
  <si>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</si>
  <si>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</si>
  <si>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</si>
  <si>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</si>
  <si>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</si>
  <si>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</si>
  <si>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</si>
  <si>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</si>
  <si>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</si>
  <si>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</si>
  <si>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</si>
  <si>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</si>
  <si>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</si>
  <si>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</si>
  <si>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</si>
  <si>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</si>
  <si>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</si>
  <si>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</si>
  <si>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</si>
  <si>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</si>
  <si>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</si>
  <si>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</si>
  <si>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</si>
  <si>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</si>
  <si>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</si>
  <si>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</si>
  <si>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</si>
  <si>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</si>
  <si>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</si>
  <si>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</si>
  <si>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</si>
  <si>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</si>
  <si>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</si>
  <si>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</si>
  <si>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</si>
  <si>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</si>
  <si>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</si>
  <si>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</si>
  <si>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</si>
  <si>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</si>
  <si>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</si>
  <si>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</si>
  <si>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</si>
  <si>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</si>
  <si>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</si>
  <si>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</si>
  <si>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</si>
  <si>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</si>
  <si>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</si>
  <si>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</si>
  <si>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</si>
  <si>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</si>
  <si>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</si>
  <si>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</si>
  <si>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</si>
  <si>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</si>
  <si>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</si>
  <si>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</si>
  <si>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</si>
  <si>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</si>
  <si>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</si>
  <si>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</si>
  <si>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</si>
  <si>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</si>
  <si>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</si>
  <si>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</si>
  <si>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</si>
  <si>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</si>
  <si>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</si>
  <si>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</si>
  <si>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</si>
  <si>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</si>
  <si>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</si>
  <si>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</si>
  <si>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</si>
  <si>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</si>
  <si>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</si>
  <si>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</si>
  <si>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</si>
  <si>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</si>
  <si>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</si>
  <si>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</si>
  <si>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</si>
  <si>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</si>
  <si>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</si>
  <si>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</si>
  <si>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</si>
  <si>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</si>
  <si>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</si>
  <si>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</si>
  <si>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</si>
  <si>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</si>
  <si>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</si>
  <si>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</si>
  <si>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</si>
  <si>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</si>
  <si>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</si>
  <si>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</si>
  <si>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</si>
  <si>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</si>
  <si>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</si>
  <si>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</si>
  <si>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</si>
  <si>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</si>
  <si>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</si>
  <si>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</si>
  <si>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</si>
  <si>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</si>
  <si>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</si>
  <si>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</si>
  <si>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</si>
  <si>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</si>
  <si>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</si>
  <si>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</si>
  <si>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</si>
  <si>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</si>
  <si>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</si>
  <si>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</si>
  <si>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</si>
  <si>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</si>
  <si>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</si>
  <si>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</si>
  <si>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</si>
  <si>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</si>
  <si>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</si>
  <si>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</si>
  <si>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</si>
  <si>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</si>
  <si>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</si>
  <si>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</si>
  <si>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</si>
  <si>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</si>
  <si>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</si>
  <si>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</si>
  <si>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</si>
  <si>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</si>
  <si>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</si>
  <si>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</si>
  <si>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</si>
  <si>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</si>
  <si>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</si>
  <si>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</si>
  <si>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</si>
  <si>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</si>
  <si>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</si>
  <si>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</si>
  <si>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</si>
  <si>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</si>
  <si>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</si>
  <si>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</si>
  <si>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</si>
  <si>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</si>
  <si>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</si>
  <si>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</si>
  <si>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</si>
  <si>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</si>
  <si>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</si>
  <si>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</si>
  <si>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</si>
  <si>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</si>
  <si>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</si>
  <si>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</si>
  <si>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</si>
  <si>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</si>
  <si>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</si>
  <si>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</si>
  <si>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</si>
  <si>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</si>
  <si>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</si>
  <si>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</si>
  <si>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</si>
  <si>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</si>
  <si>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</si>
  <si>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</si>
  <si>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</si>
  <si>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</si>
  <si>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</si>
  <si>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</si>
  <si>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</si>
  <si>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</si>
  <si>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</si>
  <si>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</si>
  <si>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</si>
  <si>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</si>
  <si>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</si>
  <si>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</si>
  <si>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</si>
  <si>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</si>
  <si>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</si>
  <si>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</si>
  <si>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</si>
  <si>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</si>
  <si>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</si>
  <si>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</si>
  <si>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</si>
  <si>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</si>
  <si>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</si>
  <si>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</si>
  <si>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</si>
  <si>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</si>
  <si>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</si>
  <si>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</si>
  <si>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</si>
  <si>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</si>
  <si>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</si>
  <si>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</si>
  <si>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</si>
  <si>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</si>
  <si>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</si>
  <si>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</si>
  <si>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</si>
  <si>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</si>
  <si>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</si>
  <si>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</si>
  <si>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</si>
  <si>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</si>
  <si>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</si>
  <si>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</si>
  <si>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</si>
  <si>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</si>
  <si>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</si>
  <si>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</si>
  <si>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</si>
  <si>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</si>
  <si>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</si>
  <si>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</si>
  <si>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</si>
  <si>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</si>
  <si>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</si>
  <si>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</si>
  <si>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</si>
  <si>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</si>
  <si>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</si>
  <si>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</si>
  <si>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</si>
  <si>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</si>
  <si>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</si>
  <si>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</si>
  <si>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</si>
  <si>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</si>
  <si>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</si>
  <si>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</si>
  <si>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</si>
  <si>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</si>
  <si>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</si>
  <si>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</si>
  <si>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</si>
  <si>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</si>
  <si>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</si>
  <si>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</si>
  <si>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</si>
  <si>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</si>
  <si>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</si>
  <si>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</si>
  <si>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</si>
  <si>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</si>
  <si>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</si>
  <si>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</si>
  <si>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</si>
  <si>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</si>
  <si>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</si>
  <si>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</si>
  <si>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</si>
  <si>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</si>
  <si>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</si>
  <si>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</si>
  <si>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</si>
  <si>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</si>
  <si>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</si>
  <si>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</si>
  <si>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</si>
  <si>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</si>
  <si>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</si>
  <si>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</si>
  <si>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</si>
  <si>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</si>
  <si>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</si>
  <si>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</si>
  <si>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</si>
  <si>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</si>
  <si>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</si>
  <si>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</si>
  <si>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</si>
  <si>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</si>
  <si>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</si>
  <si>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</si>
  <si>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</si>
  <si>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</si>
  <si>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</si>
  <si>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</si>
  <si>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</si>
  <si>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</si>
  <si>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</si>
  <si>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</si>
  <si>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</si>
  <si>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</si>
  <si>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</si>
  <si>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</si>
  <si>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</si>
  <si>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</si>
  <si>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</si>
  <si>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</si>
  <si>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</si>
  <si>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</si>
  <si>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</si>
  <si>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</si>
  <si>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</si>
  <si>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</si>
  <si>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</si>
  <si>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</si>
  <si>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</si>
  <si>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</si>
  <si>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</si>
  <si>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</si>
  <si>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</si>
  <si>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</si>
  <si>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</si>
  <si>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</si>
  <si>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</si>
  <si>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</si>
  <si>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</si>
  <si>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</si>
  <si>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</si>
  <si>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</si>
  <si>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</si>
  <si>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</si>
  <si>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</si>
  <si>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</si>
  <si>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</si>
  <si>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</si>
  <si>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</si>
  <si>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</si>
  <si>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</si>
  <si>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</si>
  <si>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</si>
  <si>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</si>
  <si>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</si>
  <si>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</si>
  <si>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</si>
  <si>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</si>
  <si>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</si>
  <si>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</si>
  <si>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</si>
  <si>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</si>
  <si>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</si>
  <si>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</si>
  <si>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</si>
  <si>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</si>
  <si>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</si>
  <si>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</si>
  <si>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</si>
  <si>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</si>
  <si>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</si>
  <si>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</si>
  <si>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</si>
  <si>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</si>
  <si>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</si>
  <si>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</si>
  <si>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</si>
  <si>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</si>
  <si>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</si>
  <si>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</si>
  <si>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</si>
  <si>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</si>
  <si>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</si>
  <si>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</si>
  <si>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</si>
  <si>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</si>
  <si>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</si>
  <si>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</si>
  <si>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</si>
  <si>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</si>
  <si>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</si>
  <si>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</si>
  <si>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</si>
  <si>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</si>
  <si>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</si>
  <si>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</si>
  <si>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</si>
  <si>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</si>
  <si>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</si>
  <si>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</si>
  <si>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</si>
  <si>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</si>
  <si>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</si>
  <si>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</si>
  <si>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</si>
  <si>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</si>
  <si>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</si>
  <si>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</si>
  <si>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</si>
  <si>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</si>
  <si>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</si>
  <si>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</si>
  <si>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</si>
  <si>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</si>
  <si>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</si>
  <si>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</si>
  <si>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</si>
  <si>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</si>
  <si>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</si>
  <si>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</si>
  <si>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</si>
  <si>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</si>
  <si>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</si>
  <si>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</si>
  <si>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</si>
  <si>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</si>
  <si>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</si>
  <si>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</si>
  <si>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</si>
  <si>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</si>
  <si>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</si>
  <si>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</si>
  <si>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</si>
  <si>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</si>
  <si>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</si>
  <si>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</si>
  <si>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</si>
  <si>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</si>
  <si>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</si>
  <si>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</si>
  <si>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</si>
  <si>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</si>
  <si>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</si>
  <si>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</si>
  <si>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</si>
  <si>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</si>
  <si>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</si>
  <si>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</si>
  <si>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</si>
  <si>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</si>
  <si>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</si>
  <si>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</si>
  <si>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</si>
  <si>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</si>
  <si>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</si>
  <si>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</si>
  <si>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</si>
  <si>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</si>
  <si>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</si>
  <si>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</si>
  <si>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</si>
  <si>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</si>
  <si>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</si>
  <si>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</si>
  <si>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</si>
  <si>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</si>
  <si>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</si>
  <si>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</si>
  <si>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</si>
  <si>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</si>
  <si>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</si>
  <si>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</si>
  <si>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</si>
  <si>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</si>
  <si>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</si>
  <si>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</si>
  <si>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</si>
  <si>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</si>
  <si>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</si>
  <si>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</si>
  <si>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</si>
  <si>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</si>
  <si>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</si>
  <si>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</si>
  <si>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</si>
  <si>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</si>
  <si>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</si>
  <si>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</si>
  <si>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</si>
  <si>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</si>
  <si>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</si>
  <si>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</si>
  <si>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</si>
  <si>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</si>
  <si>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</si>
  <si>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</si>
  <si>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</si>
  <si>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</si>
  <si>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</si>
  <si>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</si>
  <si>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</si>
  <si>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</si>
  <si>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</si>
  <si>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</si>
  <si>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</si>
  <si>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</si>
  <si>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</si>
  <si>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</si>
  <si>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</si>
  <si>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</si>
  <si>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</si>
  <si>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</si>
  <si>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</si>
  <si>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</si>
  <si>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</si>
  <si>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</si>
  <si>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</si>
  <si>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</si>
  <si>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</si>
  <si>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</si>
  <si>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</si>
  <si>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</si>
  <si>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</si>
  <si>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</si>
  <si>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</si>
  <si>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</si>
  <si>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</si>
  <si>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</si>
  <si>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</si>
  <si>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</si>
  <si>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</si>
  <si>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</si>
  <si>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</si>
  <si>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</si>
  <si>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</si>
  <si>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</si>
  <si>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</si>
  <si>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</si>
  <si>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</si>
  <si>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</si>
  <si>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</si>
  <si>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</si>
  <si>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</si>
  <si>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</si>
  <si>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</si>
  <si>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</si>
  <si>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</si>
  <si>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</si>
  <si>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</si>
  <si>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</si>
  <si>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</si>
  <si>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</si>
  <si>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</si>
  <si>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</si>
  <si>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</si>
  <si>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</si>
  <si>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</si>
  <si>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</si>
  <si>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</si>
  <si>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</si>
  <si>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</si>
  <si>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</si>
  <si>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</si>
  <si>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</si>
  <si>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</si>
  <si>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</si>
  <si>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</si>
  <si>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</si>
  <si>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</si>
  <si>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</si>
  <si>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</si>
  <si>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</si>
  <si>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</si>
  <si>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</si>
  <si>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</si>
  <si>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</si>
  <si>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</si>
  <si>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</si>
  <si>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</si>
  <si>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</si>
  <si>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</si>
  <si>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</si>
  <si>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</si>
  <si>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</si>
  <si>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</si>
  <si>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</si>
  <si>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</si>
  <si>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</si>
  <si>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</si>
  <si>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</si>
  <si>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</si>
  <si>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</si>
  <si>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</si>
  <si>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</si>
  <si>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</si>
  <si>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</si>
  <si>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</si>
  <si>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</si>
  <si>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</si>
  <si>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</si>
  <si>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</si>
  <si>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</si>
  <si>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</si>
  <si>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</si>
  <si>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</si>
  <si>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</si>
  <si>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</si>
  <si>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</si>
  <si>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</si>
  <si>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</si>
  <si>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</si>
  <si>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</si>
  <si>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</si>
  <si>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</si>
  <si>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</si>
  <si>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</si>
  <si>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</si>
  <si>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</si>
  <si>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</si>
  <si>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</si>
  <si>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</si>
  <si>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</si>
  <si>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</si>
  <si>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</si>
  <si>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</si>
  <si>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</si>
  <si>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</si>
  <si>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</si>
  <si>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</si>
  <si>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</si>
  <si>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</si>
  <si>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</si>
  <si>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</si>
  <si>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</si>
  <si>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</si>
  <si>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</si>
  <si>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</si>
  <si>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</si>
  <si>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</si>
  <si>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</si>
  <si>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</si>
  <si>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</si>
  <si>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</si>
  <si>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</si>
  <si>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</si>
  <si>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</si>
  <si>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</si>
  <si>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</si>
  <si>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</si>
  <si>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</si>
  <si>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</si>
  <si>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</si>
  <si>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</si>
  <si>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</si>
  <si>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</si>
  <si>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</si>
  <si>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</si>
  <si>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</si>
  <si>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</si>
  <si>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</si>
  <si>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</si>
  <si>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</si>
  <si>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</si>
  <si>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</si>
  <si>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</si>
  <si>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</si>
  <si>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</si>
  <si>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</si>
  <si>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</si>
  <si>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</si>
  <si>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</si>
  <si>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</si>
  <si>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</si>
  <si>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</si>
  <si>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</si>
  <si>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</si>
  <si>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</si>
  <si>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</si>
  <si>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</si>
  <si>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</si>
  <si>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</si>
  <si>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</si>
  <si>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</si>
  <si>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</si>
  <si>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</si>
  <si>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</si>
  <si>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</si>
  <si>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</si>
  <si>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</si>
  <si>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</si>
  <si>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</si>
  <si>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</si>
  <si>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</si>
  <si>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</si>
  <si>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</si>
  <si>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</si>
  <si>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</si>
  <si>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</si>
  <si>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</si>
  <si>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</si>
  <si>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</si>
  <si>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</si>
  <si>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</si>
  <si>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</si>
  <si>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</si>
  <si>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</si>
  <si>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</si>
  <si>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</si>
  <si>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</si>
  <si>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</si>
  <si>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</si>
  <si>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</si>
  <si>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</si>
  <si>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</si>
  <si>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</si>
  <si>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</si>
  <si>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</si>
  <si>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</si>
  <si>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</si>
  <si>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</si>
  <si>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</si>
  <si>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</si>
  <si>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</si>
  <si>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</si>
  <si>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</si>
  <si>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</si>
  <si>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</si>
  <si>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</si>
  <si>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</si>
  <si>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</si>
  <si>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</si>
  <si>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</si>
  <si>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</si>
  <si>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</si>
  <si>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</si>
  <si>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</si>
  <si>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</si>
  <si>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</si>
  <si>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</si>
  <si>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</si>
  <si>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</si>
  <si>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</si>
  <si>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</si>
  <si>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</si>
  <si>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</si>
  <si>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</si>
  <si>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</si>
  <si>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</si>
  <si>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</si>
  <si>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</si>
  <si>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</si>
  <si>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</si>
  <si>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</si>
  <si>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</si>
  <si>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</si>
  <si>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</si>
  <si>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</si>
  <si>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</si>
  <si>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</si>
  <si>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</si>
  <si>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</si>
  <si>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</si>
  <si>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</si>
  <si>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</si>
  <si>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</si>
  <si>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</si>
  <si>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</si>
  <si>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</si>
  <si>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</si>
  <si>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</si>
  <si>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</si>
  <si>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</si>
  <si>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</si>
  <si>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</si>
  <si>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</si>
  <si>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</si>
  <si>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</si>
  <si>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</si>
  <si>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</si>
  <si>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</si>
  <si>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</si>
  <si>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</si>
  <si>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</si>
  <si>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</si>
  <si>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</si>
  <si>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</si>
  <si>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</si>
  <si>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</si>
  <si>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</si>
  <si>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</si>
  <si>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</si>
  <si>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</si>
  <si>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</si>
  <si>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</si>
  <si>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</si>
  <si>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</si>
  <si>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</si>
  <si>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</si>
  <si>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</si>
  <si>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</si>
  <si>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</si>
  <si>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</si>
  <si>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</si>
  <si>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</si>
  <si>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</si>
  <si>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</si>
  <si>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</si>
  <si>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</si>
  <si>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</si>
  <si>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</si>
  <si>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</si>
  <si>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</si>
  <si>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</si>
  <si>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</si>
  <si>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</si>
  <si>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</si>
  <si>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</si>
  <si>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</si>
  <si>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</si>
  <si>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</si>
  <si>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</si>
  <si>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</si>
  <si>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</si>
  <si>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</si>
  <si>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</si>
  <si>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</si>
  <si>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</si>
  <si>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</si>
  <si>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</si>
  <si>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</si>
  <si>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</si>
  <si>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</si>
  <si>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</si>
  <si>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</si>
  <si>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</si>
  <si>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</si>
  <si>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</si>
  <si>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</si>
  <si>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</si>
  <si>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</si>
  <si>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</si>
  <si>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</si>
  <si>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</si>
  <si>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</si>
  <si>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</si>
  <si>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</si>
  <si>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</si>
  <si>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</si>
  <si>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</si>
  <si>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</si>
  <si>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</si>
  <si>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</si>
  <si>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</si>
  <si>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</si>
  <si>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</si>
  <si>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</si>
  <si>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</si>
  <si>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</si>
  <si>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</si>
  <si>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</si>
  <si>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</si>
  <si>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</si>
  <si>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</si>
  <si>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</si>
  <si>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</si>
  <si>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</si>
  <si>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</si>
  <si>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</si>
  <si>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</si>
  <si>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</si>
  <si>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</si>
  <si>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</si>
  <si>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</si>
  <si>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</si>
  <si>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</si>
  <si>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</si>
  <si>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</si>
  <si>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</si>
  <si>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</si>
  <si>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</si>
  <si>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</si>
  <si>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</si>
  <si>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</si>
  <si>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</si>
  <si>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</si>
  <si>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</si>
  <si>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</si>
  <si>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</si>
  <si>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</si>
  <si>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</si>
  <si>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</si>
  <si>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</si>
  <si>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</si>
  <si>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</si>
  <si>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</si>
  <si>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</si>
  <si>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</si>
  <si>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</si>
  <si>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</si>
  <si>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</si>
  <si>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</si>
  <si>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</si>
  <si>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</si>
  <si>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</si>
  <si>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</si>
  <si>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</si>
  <si>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</si>
  <si>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</si>
  <si>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</si>
  <si>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</si>
  <si>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</si>
  <si>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</si>
  <si>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</si>
  <si>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</si>
  <si>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</si>
  <si>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</si>
  <si>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</si>
  <si>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</si>
  <si>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</si>
  <si>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</si>
  <si>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</si>
  <si>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</si>
  <si>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</si>
  <si>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</si>
  <si>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</si>
  <si>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</si>
  <si>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</si>
  <si>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</si>
  <si>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</si>
  <si>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</si>
  <si>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</si>
  <si>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</si>
  <si>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</si>
  <si>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</si>
  <si>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</si>
  <si>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</si>
  <si>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</si>
  <si>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</si>
  <si>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</si>
  <si>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</si>
  <si>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</si>
  <si>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</si>
  <si>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</si>
  <si>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</si>
  <si>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</si>
  <si>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</si>
  <si>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</si>
  <si>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</si>
  <si>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</si>
  <si>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</si>
  <si>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</si>
  <si>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</si>
  <si>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</si>
  <si>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</si>
  <si>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</si>
  <si>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</si>
  <si>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</si>
  <si>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</si>
  <si>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</si>
  <si>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</si>
  <si>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</si>
  <si>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</si>
  <si>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</si>
  <si>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</si>
  <si>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</si>
  <si>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</si>
  <si>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</si>
  <si>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</si>
  <si>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</si>
  <si>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</si>
  <si>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</si>
  <si>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</si>
  <si>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</si>
  <si>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</si>
  <si>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</si>
  <si>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</si>
  <si>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</si>
  <si>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</si>
  <si>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</si>
  <si>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</si>
  <si>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</si>
  <si>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</si>
  <si>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</si>
  <si>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</si>
  <si>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</si>
  <si>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</si>
  <si>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</si>
  <si>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</si>
  <si>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</si>
  <si>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</si>
  <si>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</si>
  <si>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</si>
  <si>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</si>
  <si>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</si>
  <si>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</si>
  <si>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</si>
  <si>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</si>
  <si>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</si>
  <si>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</si>
  <si>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</si>
  <si>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</si>
  <si>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</si>
  <si>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</si>
  <si>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</si>
  <si>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</si>
  <si>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</si>
  <si>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</si>
  <si>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</si>
  <si>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</si>
  <si>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</si>
  <si>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</si>
  <si>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</si>
  <si>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</si>
  <si>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</si>
  <si>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</si>
  <si>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</si>
  <si>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</si>
  <si>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</si>
  <si>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</si>
  <si>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</si>
  <si>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</si>
  <si>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</si>
  <si>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</si>
  <si>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</si>
  <si>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</si>
  <si>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</si>
  <si>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</si>
  <si>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</si>
  <si>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</si>
  <si>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</si>
  <si>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</si>
  <si>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</si>
  <si>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</si>
  <si>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</si>
  <si>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</si>
  <si>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</si>
  <si>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</si>
  <si>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</si>
  <si>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</si>
  <si>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</si>
  <si>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</si>
  <si>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</si>
  <si>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</si>
  <si>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</si>
  <si>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</si>
  <si>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</si>
  <si>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</si>
  <si>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</si>
  <si>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</si>
  <si>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</si>
  <si>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</si>
  <si>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</si>
  <si>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</si>
  <si>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</si>
  <si>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</si>
  <si>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</si>
  <si>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</si>
  <si>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</si>
  <si>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</si>
  <si>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</si>
  <si>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</si>
  <si>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</si>
  <si>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</si>
  <si>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</si>
  <si>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</si>
  <si>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Shunter (Freight)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</si>
  <si>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</si>
  <si>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</si>
  <si>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</si>
  <si>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</si>
  <si>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</si>
  <si>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</si>
  <si>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</si>
  <si>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</si>
  <si>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</si>
  <si>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</si>
  <si>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</si>
  <si>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</si>
  <si>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</si>
  <si>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</si>
  <si>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Commuter Coach</t>
  </si>
  <si>
    <t>Regional Coach</t>
  </si>
  <si>
    <t>Mail Coach</t>
  </si>
  <si>
    <t>Express Coach</t>
  </si>
  <si>
    <t>HS Coach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</si>
  <si>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</si>
  <si>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</si>
  <si>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</si>
  <si>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</si>
  <si>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</si>
  <si>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</si>
  <si>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</si>
  <si>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</si>
  <si>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</si>
  <si>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</si>
  <si>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</si>
  <si>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</si>
  <si>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</si>
  <si>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</si>
  <si>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</si>
  <si>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</si>
  <si>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</si>
  <si>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</si>
  <si>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</si>
  <si>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</si>
  <si>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</si>
  <si>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</si>
  <si>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</si>
  <si>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</si>
  <si>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</si>
  <si>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</si>
  <si>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</si>
  <si>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</si>
  <si>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</si>
  <si>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</si>
  <si>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</si>
  <si>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</si>
  <si>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</si>
  <si>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</si>
  <si>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</si>
  <si>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</si>
  <si>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</si>
  <si>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</si>
  <si>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</si>
  <si>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</si>
  <si>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</si>
  <si>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</si>
  <si>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</si>
  <si>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</si>
  <si>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</si>
  <si>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</si>
  <si>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</si>
  <si>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</si>
  <si>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</si>
  <si>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</si>
  <si>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</si>
  <si>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</si>
  <si>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</si>
  <si>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</si>
  <si>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</si>
  <si>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</si>
  <si>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</si>
  <si>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</si>
  <si>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</si>
  <si>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</si>
  <si>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</si>
  <si>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</si>
  <si>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</si>
  <si>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</si>
  <si>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</si>
  <si>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</si>
  <si>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</si>
  <si>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</si>
  <si>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</si>
  <si>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</si>
  <si>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</si>
  <si>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</si>
  <si>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</si>
  <si>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</si>
  <si>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</si>
  <si>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</si>
  <si>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</si>
  <si>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</si>
  <si>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</si>
  <si>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</si>
  <si>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</si>
  <si>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</si>
  <si>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</si>
  <si>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</si>
  <si>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</si>
  <si>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</si>
  <si>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</si>
  <si>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ČD M400 [kkStB 40.0]</t>
  </si>
  <si>
    <t>ZSSK 49.0 [CSD EMU 49.0]</t>
  </si>
  <si>
    <t>HZ 51 [MÁV 375]</t>
  </si>
  <si>
    <t>ENR 1100 [LMS Fowler 3F / WD 0-6-0T]</t>
  </si>
  <si>
    <t>FCGR [BAGS] No. 315 2-4-0T</t>
  </si>
  <si>
    <t>Liberia "Class 08" [Ex-BR]</t>
  </si>
  <si>
    <t>MRS "He 4/4" [900 Series]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</si>
</sst>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25.722402662039" createdVersion="8" refreshedVersion="8" minRefreshableVersion="3" recordCount="79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3">
        <s v="Powered/Unpowered Sundry"/>
        <s v="Commuter / Urban"/>
        <s v="Light Freight"/>
        <s v="Ultra-High-Speed (Pax)"/>
        <s v="Express (Passenger)"/>
        <s v="Shunter (Freight)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mmuter Coach"/>
        <s v="Regional Coach"/>
        <s v="Mail Coach"/>
        <s v="Express Coach"/>
        <s v="HS Coach"/>
        <m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2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2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1"/>
    </i>
    <i>
      <x v="14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3">
        <item x="1"/>
        <item m="1" x="20"/>
        <item x="4"/>
        <item x="7"/>
        <item m="1" x="21"/>
        <item x="6"/>
        <item x="8"/>
        <item x="2"/>
        <item x="9"/>
        <item x="0"/>
        <item x="11"/>
        <item x="5"/>
        <item x="12"/>
        <item m="1" x="22"/>
        <item x="3"/>
        <item x="10"/>
        <item x="19"/>
        <item x="13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1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O804" totalsRowShown="0" headerRowDxfId="142">
  <autoFilter ref="A1:O804" xr:uid="{A2EA8B49-66CF-4BEA-9B39-A62C2B50785A}"/>
  <tableColumns count="15">
    <tableColumn id="1" xr3:uid="{FF4A1243-8066-4FF2-9225-EDE41896A1A5}" name="VEHIDCODE"/>
    <tableColumn id="2" xr3:uid="{44DB3ECB-3D36-4D92-B31F-6B9604288D8B}" name="FILENAMES_EXPECTED" dataDxfId="141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0"/>
    <tableColumn id="17" xr3:uid="{52550B53-5A6E-4D0B-A358-FCA22B56CC77}" name="WEB"/>
    <tableColumn id="15" xr3:uid="{C9DBDDFF-A526-4383-A426-8408C4B17785}" name="IS_POWERED_UNPOWERED_SUNDRY" dataDxfId="13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38">
      <calculatedColumnFormula>ISNUMBER(_xlfn.XMATCH(CONTROL[[#This Row],[VEHIDCODE]],TRACK_TYPES[VEHIDCODE],0))</calculatedColumnFormula>
    </tableColumn>
    <tableColumn id="14" xr3:uid="{222C2DB1-CA5D-4369-995A-6A316AC5C947}" name="PROPERTIES" dataDxfId="137">
      <calculatedColumnFormula>ISNUMBER(_xlfn.XMATCH(CONTROL[[#This Row],[VEHIDCODE]],PROPERTIES[VEHIDCODE],0))</calculatedColumnFormula>
    </tableColumn>
    <tableColumn id="13" xr3:uid="{473FD571-A166-4EC8-8B7B-F1D30044570B}" name="FLAGS" dataDxfId="136">
      <calculatedColumnFormula>ISNUMBER(_xlfn.XMATCH(CONTROL[[#This Row],[VEHIDCODE]],FLAGS[VEHIDCODE],0))</calculatedColumnFormula>
    </tableColumn>
    <tableColumn id="10" xr3:uid="{7783F713-60B4-45CF-AEB3-EE02271B3D6F}" name="GRAPHICS_PROPERTIES" dataDxfId="135">
      <calculatedColumnFormula>ISNUMBER(_xlfn.XMATCH(CONTROL[[#This Row],[VEHIDCODE]],GRAPHICS_PROPERTIES[VEHIDCODE],0))</calculatedColumnFormula>
    </tableColumn>
    <tableColumn id="9" xr3:uid="{7B229E25-CF6B-4C5F-B4A4-FEC34CB93E9B}" name="ITEM" dataDxfId="134">
      <calculatedColumnFormula>"item_"&amp;CONTROL[[#This Row],[VEHIDCODE]]</calculatedColumnFormula>
    </tableColumn>
    <tableColumn id="8" xr3:uid="{327E5CDA-51AE-4721-ACBD-5E8C3D890998}" name="NAME" dataDxfId="133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4" totalsRowShown="0" headerRowDxfId="132">
  <autoFilter ref="A1:AF804" xr:uid="{6DCCB998-B5D1-4B0D-8701-BC0E171A94CA}"/>
  <tableColumns count="32">
    <tableColumn id="1" xr3:uid="{173D09BF-30BA-4FF2-B4FE-F09962415DA2}" name="VEHIDCODE" dataDxfId="131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0"/>
    <tableColumn id="19" xr3:uid="{FD65B400-35DE-464D-97AA-B59BB7DAE7DB}" name="COUNTRY_CODE" dataDxfId="12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28"/>
    <tableColumn id="58" xr3:uid="{37DCFD33-B11D-4E3C-9899-EA36DBD4DBC0}" name="LOADINGSPEED_VALUE" dataDxfId="12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2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25"/>
    <tableColumn id="24" xr3:uid="{FFD5C22B-7B16-440D-91CC-48C8761050DA}" name="TE_COEFFICIENT_CALC" dataDxfId="12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3"/>
    <tableColumn id="14" xr3:uid="{123AAB87-6D4C-406A-A5E1-A61DC2DDFFEE}" name="TE_COEFFICIENT" dataDxfId="12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1"/>
    <tableColumn id="18" xr3:uid="{EB0CE86B-9E06-4ADD-85C1-EA622DE32153}" name="WAGON_CAPACITY" dataDxfId="120"/>
    <tableColumn id="15" xr3:uid="{3558C882-A912-4F84-BDE6-BC0A2A676C4B}" name="WAGON_LENGTH" dataDxfId="119"/>
    <tableColumn id="71" xr3:uid="{3D8AA890-C1F2-4EBD-90E3-21F948960989}" name="PURCHASE_CARGO_CAPACITY" dataDxfId="118"/>
    <tableColumn id="30" xr3:uid="{235283C1-F061-434B-8C4A-AD474FB16FE8}" name="REGION1" dataDxfId="117"/>
    <tableColumn id="29" xr3:uid="{19EC58E3-4FB9-44BC-BFFA-4C7DCCC53DA8}" name="REGION2" dataDxfId="116"/>
    <tableColumn id="27" xr3:uid="{C00DC499-0060-4E48-A71D-AE565097985F}" name="REGION3" dataDxfId="115"/>
    <tableColumn id="56" xr3:uid="{188F57E8-1157-47DF-9E8F-B5F737649F6C}" name="PURCHASECOST_VALUE" dataDxfId="114"/>
    <tableColumn id="28" xr3:uid="{B24767B4-97D7-4814-9BBD-1231E1A0A0A7}" name="RUNNINGCOST_VALUE" dataDxfId="113"/>
    <tableColumn id="22" xr3:uid="{68BAA036-8189-4A5A-B0EF-3F284C15672C}" name="COST_CAT" dataDxfId="11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11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4" totalsRowShown="0" headerRowDxfId="109">
  <autoFilter ref="A1:AF804" xr:uid="{6DCCB998-B5D1-4B0D-8701-BC0E171A94CA}"/>
  <tableColumns count="32">
    <tableColumn id="1" xr3:uid="{CDEAF13A-A986-4600-A992-A08C1CA6142C}" name="VEHIDCODE" dataDxfId="108"/>
    <tableColumn id="55" xr3:uid="{839D134C-3027-42F4-BA04-3BA8BFF71A3B}" name="TRACK_TYPE_STANDARD_GAUGE_RAILTYPE_OHLE" dataDxfId="107"/>
    <tableColumn id="54" xr3:uid="{5D83FD10-ABCB-4FE7-A7DB-4A857A58D719}" name="TRACK_TYPE_STANDARD_GAUGE_RAILTYPE_25KV" dataDxfId="106"/>
    <tableColumn id="53" xr3:uid="{56183170-0B7F-45FB-91B4-356C62C246AD}" name="TRACK_TYPE_STANDARD_GAUGE_RAILTYPE_15KV" dataDxfId="105"/>
    <tableColumn id="52" xr3:uid="{5B71BE07-0EB9-4DEB-A8E8-252C9D979AC2}" name="TRACK_TYPE_STANDARD_GAUGE_RAILTYPE_3KV" dataDxfId="104"/>
    <tableColumn id="51" xr3:uid="{5A6435EB-111E-4AED-A8E1-AEFF82C34393}" name="TRACK_TYPE_STANDARD_GAUGE_RAILTYPE_1500V" dataDxfId="103"/>
    <tableColumn id="50" xr3:uid="{14CA70EA-0EE7-44BA-9D77-FC902C0596DD}" name="TRACK_TYPE_STANDARD_GAUGE_RAILTYPE_3RD" dataDxfId="102"/>
    <tableColumn id="49" xr3:uid="{3A15447A-9663-43FB-8EFF-8F8034548FB0}" name="TRACK_TYPE_STANDARD_GAUGE_RAILTYPE_4TH" dataDxfId="101"/>
    <tableColumn id="48" xr3:uid="{E44E324A-492F-4566-8DC9-0A6F58F40EA9}" name="TRACK_TYPE_STANDARD_GAUGE_RAILTYPE_DUAL" dataDxfId="100"/>
    <tableColumn id="47" xr3:uid="{FE3223C6-E685-4456-91E9-10AEB3B699E7}" name="TRACK_TYPE_STANDARD_GAUGE_RAILTYPE_NONE" dataDxfId="99"/>
    <tableColumn id="46" xr3:uid="{D39969E8-C0CA-4A59-A556-D29019991069}" name="TRACK_TYPE_NARROW_GAUGE_RAILTYPE_OHLE" dataDxfId="98"/>
    <tableColumn id="45" xr3:uid="{5266A9E9-D840-4460-AB81-A081897372F3}" name="TRACK_TYPE_NARROW_GAUGE_RAILTYPE_25KV" dataDxfId="97"/>
    <tableColumn id="44" xr3:uid="{7B4C44D1-C745-4291-86A0-777579742A84}" name="TRACK_TYPE_NARROW_GAUGE_RAILTYPE_15KV" dataDxfId="96"/>
    <tableColumn id="43" xr3:uid="{8736D285-A163-4DBE-84E1-870118B47F14}" name="TRACK_TYPE_NARROW_GAUGE_RAILTYPE_3KV" dataDxfId="95"/>
    <tableColumn id="42" xr3:uid="{6FBBA2FB-4743-4072-B4E0-C42BBDA1CC47}" name="TRACK_TYPE_NARROW_GAUGE_RAILTYPE_1500V" dataDxfId="94"/>
    <tableColumn id="41" xr3:uid="{D3ED2E70-19BF-4D92-A76B-0F0F03D31947}" name="TRACK_TYPE_NARROW_GAUGE_RAILTYPE_3RD" dataDxfId="93"/>
    <tableColumn id="40" xr3:uid="{F38AE7AF-B798-40A5-992A-13685296E710}" name="TRACK_TYPE_NARROW_GAUGE_RAILTYPE_4TH" dataDxfId="92"/>
    <tableColumn id="39" xr3:uid="{16463F64-2239-4E7F-8257-47F324BF8959}" name="TRACK_TYPE_NARROW_GAUGE_RAILTYPE_DUAL" dataDxfId="91"/>
    <tableColumn id="38" xr3:uid="{97037A15-9172-4057-863E-582804353817}" name="TRACK_TYPE_NARROW_GAUGE_RAILTYPE_NONE" dataDxfId="90"/>
    <tableColumn id="37" xr3:uid="{24999D59-5A4F-4A21-B8B4-EBDBF9F8BF1E}" name="TRACK_TYPE_BROAD_GAUGE_RAILTYPE_OHLE" dataDxfId="89"/>
    <tableColumn id="36" xr3:uid="{31AB3927-D18B-49AD-8EF5-C7E9FF4CEDF3}" name="TRACK_TYPE_BROAD_GAUGE_RAILTYPE_25KV" dataDxfId="88"/>
    <tableColumn id="35" xr3:uid="{CB3432E7-4DAE-4807-9CE5-4CB1ACECD395}" name="TRACK_TYPE_BROAD_GAUGE_RAILTYPE_15KV" dataDxfId="87"/>
    <tableColumn id="34" xr3:uid="{E3936FE4-2B46-4DC0-84C0-44C7892A0927}" name="TRACK_TYPE_BROAD_GAUGE_RAILTYPE_3KV" dataDxfId="86"/>
    <tableColumn id="33" xr3:uid="{A5FAA105-CF81-4A75-8967-5721104454E8}" name="TRACK_TYPE_BROAD_GAUGE_RAILTYPE_1500V" dataDxfId="85"/>
    <tableColumn id="32" xr3:uid="{439CDFDE-6BFC-446C-87CF-28C8FF65FCE0}" name="TRACK_TYPE_BROAD_GAUGE_RAILTYPE_3RD" dataDxfId="84"/>
    <tableColumn id="31" xr3:uid="{219AB5E3-CDFF-41B3-BD58-F7427606D15F}" name="TRACK_TYPE_BROAD_GAUGE_RAILTYPE_4TH" dataDxfId="83"/>
    <tableColumn id="30" xr3:uid="{01529768-EA0D-4662-B835-74641896CE3F}" name="TRACK_TYPE_BROAD_GAUGE_RAILTYPE_DUAL" dataDxfId="82"/>
    <tableColumn id="29" xr3:uid="{32C384AB-18DB-4161-B29B-A363A2547BB2}" name="TRACK_TYPE_BROAD_GAUGE_RAILTYPE_NONE" dataDxfId="81"/>
    <tableColumn id="26" xr3:uid="{1CFC6F26-22A8-42EE-972B-0F7ED6623B5A}" name="TRACK_TYPE_MONO" dataDxfId="80"/>
    <tableColumn id="25" xr3:uid="{62939270-15C1-494E-9C53-6EA9E8209C3B}" name="TRACK_TYPE_MGLV" dataDxfId="79"/>
    <tableColumn id="24" xr3:uid="{9DA86EDA-F2AB-4C2D-918E-5260313FD8B3}" name="TRACK_TYPE_MTRO" dataDxfId="78"/>
    <tableColumn id="21" xr3:uid="{E6F11214-E912-4D1C-980D-A111C93B0BED}" name="CHECK_ANY_TT" dataDxfId="77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804" totalsRowShown="0" headerRowDxfId="76">
  <autoFilter ref="A1:G804" xr:uid="{6DCCB998-B5D1-4B0D-8701-BC0E171A94CA}"/>
  <tableColumns count="7">
    <tableColumn id="1" xr3:uid="{327CDBB6-E1D6-4B9F-9625-C81419775134}" name="VEHIDCODE" dataDxfId="75"/>
    <tableColumn id="101" xr3:uid="{78690AEB-EA8F-4FC7-9651-C84D8F318EE9}" name="MISC_FLAGS_TRAIN_FLAG_2CC" dataDxfId="74"/>
    <tableColumn id="100" xr3:uid="{90DBB1A2-A86F-42C6-B2B8-64A2FD6690AB}" name="MISC_FLAGS_TRAIN_FLAG_MU" dataDxfId="73"/>
    <tableColumn id="99" xr3:uid="{DA6644B2-20CC-47E2-B1B5-10210B43738A}" name="MISC_FLAGS_TRAIN_FLAG_AUTOREFIT" dataDxfId="72"/>
    <tableColumn id="108" xr3:uid="{980A5687-92C0-42A0-811D-C3D4EA0876D1}" name="VISUAL_EFFECT_1" dataDxfId="71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0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4" totalsRowShown="0" headerRowDxfId="69">
  <autoFilter ref="A1:D804" xr:uid="{6DCCB998-B5D1-4B0D-8701-BC0E171A94CA}"/>
  <tableColumns count="4">
    <tableColumn id="1" xr3:uid="{0B6094CF-6CA6-410A-A041-C85FACC0820E}" name="VEHIDCODE" dataDxfId="68"/>
    <tableColumn id="7" xr3:uid="{3D8CAD9A-C0D1-459B-8D7C-DFC931F5B279}" name="PANTOGRAPH_POSITION" dataDxfId="67"/>
    <tableColumn id="6" xr3:uid="{E0637D36-B3FC-4486-87F9-603EB2076188}" name="TEMPLATE_ID" dataDxfId="66"/>
    <tableColumn id="9" xr3:uid="{FEF2BF9C-74F1-405C-9871-E4301805E364}" name="TEMPLATE_AMENDMENT_COD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64" headerRowBorderDxfId="63" tableBorderDxfId="6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1" headerRowBorderDxfId="60" tableBorderDxfId="5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58" dataDxfId="57" tableBorderDxfId="56">
  <autoFilter ref="A1:A17" xr:uid="{0B243503-43AD-403A-90CE-B69D05B25C30}"/>
  <tableColumns count="1">
    <tableColumn id="1" xr3:uid="{3709FB1B-DE08-4A3E-8CA6-F5322D2A3261}" name="VALID_REGIONS" dataDxfId="5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54" dataDxfId="5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2"/>
    <tableColumn id="2" xr3:uid="{CCC9A744-4F42-4023-A516-9395213016EB}" name="COUNTRY_DESCRIPTION" dataDxfId="51"/>
    <tableColumn id="3" xr3:uid="{01E32DA0-BF93-49AA-BE03-33EF914A0BCC}" name="COUNTS" dataDxfId="2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49" headerRowBorderDxfId="50" tableBorderDxfId="48" totalsRowBorderDxfId="47">
  <autoFilter ref="K1:K25" xr:uid="{686D0694-AFBC-4B91-A3D3-72E1CCF00B7D}"/>
  <tableColumns count="1">
    <tableColumn id="1" xr3:uid="{7F0999BD-E0C9-463F-A054-2DA49D41A9EE}" name="VEHID_ID_CATEGORY" dataDxfId="4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45"/>
    <tableColumn id="4" xr3:uid="{3DDC8685-BA3D-40E8-A910-1E59013A762D}" name="Range End" dataDxfId="4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3" dataDxfId="42">
  <autoFilter ref="A1:N16" xr:uid="{863AE95D-BE34-47D8-B01B-1170BF25FDF2}"/>
  <tableColumns count="14">
    <tableColumn id="1" xr3:uid="{5F487593-655E-41B5-B155-86F88B53946D}" name="COST_CAT" dataDxfId="41"/>
    <tableColumn id="2" xr3:uid="{33F9C454-EDB2-4DA7-BF7A-64CBC12EBC9B}" name="P1" dataDxfId="40"/>
    <tableColumn id="3" xr3:uid="{25FB11D0-082D-4DE3-9821-1367939D8742}" name="P2" dataDxfId="39"/>
    <tableColumn id="4" xr3:uid="{19CDF402-C641-4217-A953-2A851DF85ADB}" name="P3" dataDxfId="38"/>
    <tableColumn id="5" xr3:uid="{1EF59E2C-32FF-4712-AD89-CBF77E507832}" name="P4" dataDxfId="37"/>
    <tableColumn id="6" xr3:uid="{04250F90-183D-4392-BE27-C420F795E1DC}" name="P5" dataDxfId="36"/>
    <tableColumn id="7" xr3:uid="{F7062C4F-5B57-4110-A21E-BDC8820130D9}" name="P6" dataDxfId="35"/>
    <tableColumn id="8" xr3:uid="{B47621AA-9D6F-4396-B3D9-BD8CF656F30E}" name="P7" dataDxfId="34"/>
    <tableColumn id="9" xr3:uid="{7055539E-C4C8-407D-91F5-6CB021EDE84F}" name="R1" dataDxfId="33"/>
    <tableColumn id="10" xr3:uid="{D17981EB-EB8A-4630-958C-3792D72CD53F}" name="R2" dataDxfId="32"/>
    <tableColumn id="11" xr3:uid="{85EDD15A-812B-4C42-B03A-D558B807622E}" name="R3" dataDxfId="31"/>
    <tableColumn id="12" xr3:uid="{61A73E38-33EC-41D1-B899-56F15EDBDD59}" name="R4" dataDxfId="30"/>
    <tableColumn id="13" xr3:uid="{7A83ADCF-C18F-402F-81A8-0F935E928ED9}" name="R5" dataDxfId="29"/>
    <tableColumn id="14" xr3:uid="{1140F6C7-9C3D-4800-9F3B-DC6E6EBE9541}" name="R6" dataDxfId="2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O80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" sqref="F2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4" max="14" width="55.3046875" bestFit="1" customWidth="1"/>
    <col min="15" max="15" width="53.84375" bestFit="1" customWidth="1"/>
    <col min="16" max="16" width="55.3046875" customWidth="1"/>
    <col min="17" max="17" width="53.84375" customWidth="1"/>
  </cols>
  <sheetData>
    <row r="1" spans="1:15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2477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1060</v>
      </c>
      <c r="N1" s="7" t="s">
        <v>688</v>
      </c>
      <c r="O1" s="7" t="s">
        <v>689</v>
      </c>
    </row>
    <row r="2" spans="1:15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ISNUMBER(_xlfn.XMATCH(CONTROL[[#This Row],[VEHIDCODE]],GRAPHICS_PROPERTIES[VEHIDCODE],0))</f>
        <v>1</v>
      </c>
      <c r="N2" s="31" t="str">
        <f>"item_"&amp;CONTROL[[#This Row],[VEHIDCODE]]</f>
        <v>item_mglv_Maglev_Wagon_Powered</v>
      </c>
      <c r="O2" s="31" t="str">
        <f>"str_"&amp;CONTROL[[#This Row],[VEHIDCODE]]</f>
        <v>str_mglv_Maglev_Wagon_Powered</v>
      </c>
    </row>
    <row r="3" spans="1:15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ISNUMBER(_xlfn.XMATCH(CONTROL[[#This Row],[VEHIDCODE]],GRAPHICS_PROPERTIES[VEHIDCODE],0))</f>
        <v>1</v>
      </c>
      <c r="N3" s="31" t="str">
        <f>"item_"&amp;CONTROL[[#This Row],[VEHIDCODE]]</f>
        <v>item_mglv_Maglev_Wagon_Unpowered</v>
      </c>
      <c r="O3" s="31" t="str">
        <f>"str_"&amp;CONTROL[[#This Row],[VEHIDCODE]]</f>
        <v>str_mglv_Maglev_Wagon_Unpowered</v>
      </c>
    </row>
    <row r="4" spans="1:15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2995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ISNUMBER(_xlfn.XMATCH(CONTROL[[#This Row],[VEHIDCODE]],GRAPHICS_PROPERTIES[VEHIDCODE],0))</f>
        <v>1</v>
      </c>
      <c r="N4" s="31" t="str">
        <f>"item_"&amp;CONTROL[[#This Row],[VEHIDCODE]]</f>
        <v>item_rbs_Austria_NOLB_1</v>
      </c>
      <c r="O4" s="31" t="str">
        <f>"str_"&amp;CONTROL[[#This Row],[VEHIDCODE]]</f>
        <v>str_rbs_Austria_NOLB_1</v>
      </c>
    </row>
    <row r="5" spans="1:15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ISNUMBER(_xlfn.XMATCH(CONTROL[[#This Row],[VEHIDCODE]],GRAPHICS_PROPERTIES[VEHIDCODE],0))</f>
        <v>1</v>
      </c>
      <c r="N5" s="31" t="str">
        <f>"item_"&amp;CONTROL[[#This Row],[VEHIDCODE]]</f>
        <v>item_rbs_Italy_FS_86</v>
      </c>
      <c r="O5" s="31" t="str">
        <f>"str_"&amp;CONTROL[[#This Row],[VEHIDCODE]]</f>
        <v>str_rbs_Italy_FS_86</v>
      </c>
    </row>
    <row r="6" spans="1:15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ISNUMBER(_xlfn.XMATCH(CONTROL[[#This Row],[VEHIDCODE]],GRAPHICS_PROPERTIES[VEHIDCODE],0))</f>
        <v>1</v>
      </c>
      <c r="N6" s="31" t="str">
        <f>"item_"&amp;CONTROL[[#This Row],[VEHIDCODE]]</f>
        <v>item_rbs_Australia_Victorian_Railways_Rowan_Railmotor</v>
      </c>
      <c r="O6" s="31" t="str">
        <f>"str_"&amp;CONTROL[[#This Row],[VEHIDCODE]]</f>
        <v>str_rbs_Australia_Victorian_Railways_Rowan_Railmotor</v>
      </c>
    </row>
    <row r="7" spans="1:15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ISNUMBER(_xlfn.XMATCH(CONTROL[[#This Row],[VEHIDCODE]],GRAPHICS_PROPERTIES[VEHIDCODE],0))</f>
        <v>1</v>
      </c>
      <c r="N7" s="31" t="str">
        <f>"item_"&amp;CONTROL[[#This Row],[VEHIDCODE]]</f>
        <v>item_rbs_Switzerland_UeBB_Czm_1_2</v>
      </c>
      <c r="O7" s="31" t="str">
        <f>"str_"&amp;CONTROL[[#This Row],[VEHIDCODE]]</f>
        <v>str_rbs_Switzerland_UeBB_Czm_1_2</v>
      </c>
    </row>
    <row r="8" spans="1:15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ISNUMBER(_xlfn.XMATCH(CONTROL[[#This Row],[VEHIDCODE]],GRAPHICS_PROPERTIES[VEHIDCODE],0))</f>
        <v>1</v>
      </c>
      <c r="N8" s="31" t="str">
        <f>"item_"&amp;CONTROL[[#This Row],[VEHIDCODE]]</f>
        <v>item_rbs_Germany_Bavarian_MCCi</v>
      </c>
      <c r="O8" s="31" t="str">
        <f>"str_"&amp;CONTROL[[#This Row],[VEHIDCODE]]</f>
        <v>str_rbs_Germany_Bavarian_MCCi</v>
      </c>
    </row>
    <row r="9" spans="1:15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ISNUMBER(_xlfn.XMATCH(CONTROL[[#This Row],[VEHIDCODE]],GRAPHICS_PROPERTIES[VEHIDCODE],0))</f>
        <v>1</v>
      </c>
      <c r="N9" s="31" t="str">
        <f>"item_"&amp;CONTROL[[#This Row],[VEHIDCODE]]</f>
        <v>item_rbs_South_Africa_CSAR_Railmotor</v>
      </c>
      <c r="O9" s="31" t="str">
        <f>"str_"&amp;CONTROL[[#This Row],[VEHIDCODE]]</f>
        <v>str_rbs_South_Africa_CSAR_Railmotor</v>
      </c>
    </row>
    <row r="10" spans="1:15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ISNUMBER(_xlfn.XMATCH(CONTROL[[#This Row],[VEHIDCODE]],GRAPHICS_PROPERTIES[VEHIDCODE],0))</f>
        <v>1</v>
      </c>
      <c r="N10" s="31" t="str">
        <f>"item_"&amp;CONTROL[[#This Row],[VEHIDCODE]]</f>
        <v>item_rbs_Australia_Victorian_Railways_Motor_Car_3</v>
      </c>
      <c r="O10" s="31" t="str">
        <f>"str_"&amp;CONTROL[[#This Row],[VEHIDCODE]]</f>
        <v>str_rbs_Australia_Victorian_Railways_Motor_Car_3</v>
      </c>
    </row>
    <row r="11" spans="1:15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ISNUMBER(_xlfn.XMATCH(CONTROL[[#This Row],[VEHIDCODE]],GRAPHICS_PROPERTIES[VEHIDCODE],0))</f>
        <v>1</v>
      </c>
      <c r="N11" s="31" t="str">
        <f>"item_"&amp;CONTROL[[#This Row],[VEHIDCODE]]</f>
        <v>item_rbs_Austria_kkStB_4_0</v>
      </c>
      <c r="O11" s="31" t="str">
        <f>"str_"&amp;CONTROL[[#This Row],[VEHIDCODE]]</f>
        <v>str_rbs_Austria_kkStB_4_0</v>
      </c>
    </row>
    <row r="12" spans="1:15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ISNUMBER(_xlfn.XMATCH(CONTROL[[#This Row],[VEHIDCODE]],GRAPHICS_PROPERTIES[VEHIDCODE],0))</f>
        <v>1</v>
      </c>
      <c r="N12" s="31" t="str">
        <f>"item_"&amp;CONTROL[[#This Row],[VEHIDCODE]]</f>
        <v>item_rbd_Australia_Victorian_Railways_AEC_RM1</v>
      </c>
      <c r="O12" s="31" t="str">
        <f>"str_"&amp;CONTROL[[#This Row],[VEHIDCODE]]</f>
        <v>str_rbd_Australia_Victorian_Railways_AEC_RM1</v>
      </c>
    </row>
    <row r="13" spans="1:15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ISNUMBER(_xlfn.XMATCH(CONTROL[[#This Row],[VEHIDCODE]],GRAPHICS_PROPERTIES[VEHIDCODE],0))</f>
        <v>1</v>
      </c>
      <c r="N13" s="31" t="str">
        <f>"item_"&amp;CONTROL[[#This Row],[VEHIDCODE]]</f>
        <v>item_rbd_Germany_DB_VT_133</v>
      </c>
      <c r="O13" s="31" t="str">
        <f>"str_"&amp;CONTROL[[#This Row],[VEHIDCODE]]</f>
        <v>str_rbd_Germany_DB_VT_133</v>
      </c>
    </row>
    <row r="14" spans="1:15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ISNUMBER(_xlfn.XMATCH(CONTROL[[#This Row],[VEHIDCODE]],GRAPHICS_PROPERTIES[VEHIDCODE],0))</f>
        <v>1</v>
      </c>
      <c r="N14" s="31" t="str">
        <f>"item_"&amp;CONTROL[[#This Row],[VEHIDCODE]]</f>
        <v>item_rbd_United_Kingdom_GWR_AEC_Railcar</v>
      </c>
      <c r="O14" s="31" t="str">
        <f>"str_"&amp;CONTROL[[#This Row],[VEHIDCODE]]</f>
        <v>str_rbd_United_Kingdom_GWR_AEC_Railcar</v>
      </c>
    </row>
    <row r="15" spans="1:15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2484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ISNUMBER(_xlfn.XMATCH(CONTROL[[#This Row],[VEHIDCODE]],GRAPHICS_PROPERTIES[VEHIDCODE],0))</f>
        <v>1</v>
      </c>
      <c r="N15" s="31" t="str">
        <f>"item_"&amp;CONTROL[[#This Row],[VEHIDCODE]]</f>
        <v>item_rbd_Austria_OBB_5042</v>
      </c>
      <c r="O15" s="31" t="str">
        <f>"str_"&amp;CONTROL[[#This Row],[VEHIDCODE]]</f>
        <v>str_rbd_Austria_OBB_5042</v>
      </c>
    </row>
    <row r="16" spans="1:15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ISNUMBER(_xlfn.XMATCH(CONTROL[[#This Row],[VEHIDCODE]],GRAPHICS_PROPERTIES[VEHIDCODE],0))</f>
        <v>1</v>
      </c>
      <c r="N16" s="31" t="str">
        <f>"item_"&amp;CONTROL[[#This Row],[VEHIDCODE]]</f>
        <v>item_rbd_New_Zealand_NZR_RM31</v>
      </c>
      <c r="O16" s="31" t="str">
        <f>"str_"&amp;CONTROL[[#This Row],[VEHIDCODE]]</f>
        <v>str_rbd_New_Zealand_NZR_RM31</v>
      </c>
    </row>
    <row r="17" spans="1:15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ISNUMBER(_xlfn.XMATCH(CONTROL[[#This Row],[VEHIDCODE]],GRAPHICS_PROPERTIES[VEHIDCODE],0))</f>
        <v>1</v>
      </c>
      <c r="N17" s="31" t="str">
        <f>"item_"&amp;CONTROL[[#This Row],[VEHIDCODE]]</f>
        <v>item_rbd_Portugal_CP_0100</v>
      </c>
      <c r="O17" s="31" t="str">
        <f>"str_"&amp;CONTROL[[#This Row],[VEHIDCODE]]</f>
        <v>str_rbd_Portugal_CP_0100</v>
      </c>
    </row>
    <row r="18" spans="1:15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ISNUMBER(_xlfn.XMATCH(CONTROL[[#This Row],[VEHIDCODE]],GRAPHICS_PROPERTIES[VEHIDCODE],0))</f>
        <v>1</v>
      </c>
      <c r="N18" s="31" t="str">
        <f>"item_"&amp;CONTROL[[#This Row],[VEHIDCODE]]</f>
        <v>item_rbd_USA_Amtrak_Budd_RDC</v>
      </c>
      <c r="O18" s="31" t="str">
        <f>"str_"&amp;CONTROL[[#This Row],[VEHIDCODE]]</f>
        <v>str_rbd_USA_Amtrak_Budd_RDC</v>
      </c>
    </row>
    <row r="19" spans="1:15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ISNUMBER(_xlfn.XMATCH(CONTROL[[#This Row],[VEHIDCODE]],GRAPHICS_PROPERTIES[VEHIDCODE],0))</f>
        <v>1</v>
      </c>
      <c r="N19" s="31" t="str">
        <f>"item_"&amp;CONTROL[[#This Row],[VEHIDCODE]]</f>
        <v>item_rbd_Germany_DB_VT_989</v>
      </c>
      <c r="O19" s="31" t="str">
        <f>"str_"&amp;CONTROL[[#This Row],[VEHIDCODE]]</f>
        <v>str_rbd_Germany_DB_VT_989</v>
      </c>
    </row>
    <row r="20" spans="1:15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ISNUMBER(_xlfn.XMATCH(CONTROL[[#This Row],[VEHIDCODE]],GRAPHICS_PROPERTIES[VEHIDCODE],0))</f>
        <v>1</v>
      </c>
      <c r="N20" s="31" t="str">
        <f>"item_"&amp;CONTROL[[#This Row],[VEHIDCODE]]</f>
        <v>item_rbd_Germany_OHE_520_GDT</v>
      </c>
      <c r="O20" s="31" t="str">
        <f>"str_"&amp;CONTROL[[#This Row],[VEHIDCODE]]</f>
        <v>str_rbd_Germany_OHE_520_GDT</v>
      </c>
    </row>
    <row r="21" spans="1:15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ISNUMBER(_xlfn.XMATCH(CONTROL[[#This Row],[VEHIDCODE]],GRAPHICS_PROPERTIES[VEHIDCODE],0))</f>
        <v>1</v>
      </c>
      <c r="N21" s="31" t="str">
        <f>"item_"&amp;CONTROL[[#This Row],[VEHIDCODE]]</f>
        <v>item_rbd_Netherlands_NS_20_Kameel</v>
      </c>
      <c r="O21" s="31" t="str">
        <f>"str_"&amp;CONTROL[[#This Row],[VEHIDCODE]]</f>
        <v>str_rbd_Netherlands_NS_20_Kameel</v>
      </c>
    </row>
    <row r="22" spans="1:15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ISNUMBER(_xlfn.XMATCH(CONTROL[[#This Row],[VEHIDCODE]],GRAPHICS_PROPERTIES[VEHIDCODE],0))</f>
        <v>1</v>
      </c>
      <c r="N22" s="31" t="str">
        <f>"item_"&amp;CONTROL[[#This Row],[VEHIDCODE]]</f>
        <v>item_rbd_Netherlands_NS_DH1</v>
      </c>
      <c r="O22" s="31" t="str">
        <f>"str_"&amp;CONTROL[[#This Row],[VEHIDCODE]]</f>
        <v>str_rbd_Netherlands_NS_DH1</v>
      </c>
    </row>
    <row r="23" spans="1:15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2485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ISNUMBER(_xlfn.XMATCH(CONTROL[[#This Row],[VEHIDCODE]],GRAPHICS_PROPERTIES[VEHIDCODE],0))</f>
        <v>1</v>
      </c>
      <c r="N23" s="31" t="str">
        <f>"item_"&amp;CONTROL[[#This Row],[VEHIDCODE]]</f>
        <v>item_rbd_Austria_OBB_5047</v>
      </c>
      <c r="O23" s="31" t="str">
        <f>"str_"&amp;CONTROL[[#This Row],[VEHIDCODE]]</f>
        <v>str_rbd_Austria_OBB_5047</v>
      </c>
    </row>
    <row r="24" spans="1:15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ISNUMBER(_xlfn.XMATCH(CONTROL[[#This Row],[VEHIDCODE]],GRAPHICS_PROPERTIES[VEHIDCODE],0))</f>
        <v>1</v>
      </c>
      <c r="N24" s="31" t="str">
        <f>"item_"&amp;CONTROL[[#This Row],[VEHIDCODE]]</f>
        <v>item_rbd_United_Kingdom_BR_153_Super_Sprinter</v>
      </c>
      <c r="O24" s="31" t="str">
        <f>"str_"&amp;CONTROL[[#This Row],[VEHIDCODE]]</f>
        <v>str_rbd_United_Kingdom_BR_153_Super_Sprinter</v>
      </c>
    </row>
    <row r="25" spans="1:15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2775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ISNUMBER(_xlfn.XMATCH(CONTROL[[#This Row],[VEHIDCODE]],GRAPHICS_PROPERTIES[VEHIDCODE],0))</f>
        <v>1</v>
      </c>
      <c r="N25" s="31" t="str">
        <f>"item_"&amp;CONTROL[[#This Row],[VEHIDCODE]]</f>
        <v>item_rbd_Czech_Republic_CD_809</v>
      </c>
      <c r="O25" s="31" t="str">
        <f>"str_"&amp;CONTROL[[#This Row],[VEHIDCODE]]</f>
        <v>str_rbd_Czech_Republic_CD_809</v>
      </c>
    </row>
    <row r="26" spans="1:15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ISNUMBER(_xlfn.XMATCH(CONTROL[[#This Row],[VEHIDCODE]],GRAPHICS_PROPERTIES[VEHIDCODE],0))</f>
        <v>1</v>
      </c>
      <c r="N26" s="31" t="str">
        <f>"item_"&amp;CONTROL[[#This Row],[VEHIDCODE]]</f>
        <v>item_rbd_Germany_DB_670</v>
      </c>
      <c r="O26" s="31" t="str">
        <f>"str_"&amp;CONTROL[[#This Row],[VEHIDCODE]]</f>
        <v>str_rbd_Germany_DB_670</v>
      </c>
    </row>
    <row r="27" spans="1:15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ISNUMBER(_xlfn.XMATCH(CONTROL[[#This Row],[VEHIDCODE]],GRAPHICS_PROPERTIES[VEHIDCODE],0))</f>
        <v>1</v>
      </c>
      <c r="N27" s="31" t="str">
        <f>"item_"&amp;CONTROL[[#This Row],[VEHIDCODE]]</f>
        <v>item_rbd_Lithuania_Lithuanian_Railways_AR2</v>
      </c>
      <c r="O27" s="31" t="str">
        <f>"str_"&amp;CONTROL[[#This Row],[VEHIDCODE]]</f>
        <v>str_rbd_Lithuania_Lithuanian_Railways_AR2</v>
      </c>
    </row>
    <row r="28" spans="1:15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ISNUMBER(_xlfn.XMATCH(CONTROL[[#This Row],[VEHIDCODE]],GRAPHICS_PROPERTIES[VEHIDCODE],0))</f>
        <v>1</v>
      </c>
      <c r="N28" s="31" t="str">
        <f>"item_"&amp;CONTROL[[#This Row],[VEHIDCODE]]</f>
        <v>item_rbd_Austria_kkStB_19</v>
      </c>
      <c r="O28" s="31" t="str">
        <f>"str_"&amp;CONTROL[[#This Row],[VEHIDCODE]]</f>
        <v>str_rbd_Austria_kkStB_19</v>
      </c>
    </row>
    <row r="29" spans="1:15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ISNUMBER(_xlfn.XMATCH(CONTROL[[#This Row],[VEHIDCODE]],GRAPHICS_PROPERTIES[VEHIDCODE],0))</f>
        <v>1</v>
      </c>
      <c r="N29" s="31" t="str">
        <f>"item_"&amp;CONTROL[[#This Row],[VEHIDCODE]]</f>
        <v>item_rbd_USA_Virginia_Truckee_Motor_Car_22</v>
      </c>
      <c r="O29" s="31" t="str">
        <f>"str_"&amp;CONTROL[[#This Row],[VEHIDCODE]]</f>
        <v>str_rbd_USA_Virginia_Truckee_Motor_Car_22</v>
      </c>
    </row>
    <row r="30" spans="1:15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ISNUMBER(_xlfn.XMATCH(CONTROL[[#This Row],[VEHIDCODE]],GRAPHICS_PROPERTIES[VEHIDCODE],0))</f>
        <v>1</v>
      </c>
      <c r="N30" s="31" t="str">
        <f>"item_"&amp;CONTROL[[#This Row],[VEHIDCODE]]</f>
        <v>item_rbd_Germany_Saxon_DET_1_2</v>
      </c>
      <c r="O30" s="31" t="str">
        <f>"str_"&amp;CONTROL[[#This Row],[VEHIDCODE]]</f>
        <v>str_rbd_Germany_Saxon_DET_1_2</v>
      </c>
    </row>
    <row r="31" spans="1:15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ISNUMBER(_xlfn.XMATCH(CONTROL[[#This Row],[VEHIDCODE]],GRAPHICS_PROPERTIES[VEHIDCODE],0))</f>
        <v>1</v>
      </c>
      <c r="N31" s="31" t="str">
        <f>"item_"&amp;CONTROL[[#This Row],[VEHIDCODE]]</f>
        <v>item_rbd_UK_WC_PR_Drewry_Railcar</v>
      </c>
      <c r="O31" s="31" t="str">
        <f>"str_"&amp;CONTROL[[#This Row],[VEHIDCODE]]</f>
        <v>str_rbd_UK_WC_PR_Drewry_Railcar</v>
      </c>
    </row>
    <row r="32" spans="1:15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ISNUMBER(_xlfn.XMATCH(CONTROL[[#This Row],[VEHIDCODE]],GRAPHICS_PROPERTIES[VEHIDCODE],0))</f>
        <v>1</v>
      </c>
      <c r="N32" s="31" t="str">
        <f>"item_"&amp;CONTROL[[#This Row],[VEHIDCODE]]</f>
        <v>item_rbd_Germany_BSt_6001</v>
      </c>
      <c r="O32" s="31" t="str">
        <f>"str_"&amp;CONTROL[[#This Row],[VEHIDCODE]]</f>
        <v>str_rbd_Germany_BSt_6001</v>
      </c>
    </row>
    <row r="33" spans="1:15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ISNUMBER(_xlfn.XMATCH(CONTROL[[#This Row],[VEHIDCODE]],GRAPHICS_PROPERTIES[VEHIDCODE],0))</f>
        <v>1</v>
      </c>
      <c r="N33" s="31" t="str">
        <f>"item_"&amp;CONTROL[[#This Row],[VEHIDCODE]]</f>
        <v>item_rbd_Australia_Victorian_Railways_DERM</v>
      </c>
      <c r="O33" s="31" t="str">
        <f>"str_"&amp;CONTROL[[#This Row],[VEHIDCODE]]</f>
        <v>str_rbd_Australia_Victorian_Railways_DERM</v>
      </c>
    </row>
    <row r="34" spans="1:15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ISNUMBER(_xlfn.XMATCH(CONTROL[[#This Row],[VEHIDCODE]],GRAPHICS_PROPERTIES[VEHIDCODE],0))</f>
        <v>1</v>
      </c>
      <c r="N34" s="31" t="str">
        <f>"item_"&amp;CONTROL[[#This Row],[VEHIDCODE]]</f>
        <v>item_rbd_Czech_Republic_CD_M120</v>
      </c>
      <c r="O34" s="31" t="str">
        <f>"str_"&amp;CONTROL[[#This Row],[VEHIDCODE]]</f>
        <v>str_rbd_Czech_Republic_CD_M120</v>
      </c>
    </row>
    <row r="35" spans="1:15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ISNUMBER(_xlfn.XMATCH(CONTROL[[#This Row],[VEHIDCODE]],GRAPHICS_PROPERTIES[VEHIDCODE],0))</f>
        <v>1</v>
      </c>
      <c r="N35" s="31" t="str">
        <f>"item_"&amp;CONTROL[[#This Row],[VEHIDCODE]]</f>
        <v>item_rbd_Germany_Schienenzeppelin</v>
      </c>
      <c r="O35" s="31" t="str">
        <f>"str_"&amp;CONTROL[[#This Row],[VEHIDCODE]]</f>
        <v>str_rbd_Germany_Schienenzeppelin</v>
      </c>
    </row>
    <row r="36" spans="1:15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ISNUMBER(_xlfn.XMATCH(CONTROL[[#This Row],[VEHIDCODE]],GRAPHICS_PROPERTIES[VEHIDCODE],0))</f>
        <v>1</v>
      </c>
      <c r="N36" s="31" t="str">
        <f>"item_"&amp;CONTROL[[#This Row],[VEHIDCODE]]</f>
        <v>item_rbd_Denmark_DSB_MO</v>
      </c>
      <c r="O36" s="31" t="str">
        <f>"str_"&amp;CONTROL[[#This Row],[VEHIDCODE]]</f>
        <v>str_rbd_Denmark_DSB_MO</v>
      </c>
    </row>
    <row r="37" spans="1:15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ISNUMBER(_xlfn.XMATCH(CONTROL[[#This Row],[VEHIDCODE]],GRAPHICS_PROPERTIES[VEHIDCODE],0))</f>
        <v>1</v>
      </c>
      <c r="N37" s="31" t="str">
        <f>"item_"&amp;CONTROL[[#This Row],[VEHIDCODE]]</f>
        <v>item_rbd_Norway_NSB_Cmb_17</v>
      </c>
      <c r="O37" s="31" t="str">
        <f>"str_"&amp;CONTROL[[#This Row],[VEHIDCODE]]</f>
        <v>str_rbd_Norway_NSB_Cmb_17</v>
      </c>
    </row>
    <row r="38" spans="1:15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2776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ISNUMBER(_xlfn.XMATCH(CONTROL[[#This Row],[VEHIDCODE]],GRAPHICS_PROPERTIES[VEHIDCODE],0))</f>
        <v>1</v>
      </c>
      <c r="N38" s="31" t="str">
        <f>"item_"&amp;CONTROL[[#This Row],[VEHIDCODE]]</f>
        <v>item_rbd_Czech_Republic_CD_M290</v>
      </c>
      <c r="O38" s="31" t="str">
        <f>"str_"&amp;CONTROL[[#This Row],[VEHIDCODE]]</f>
        <v>str_rbd_Czech_Republic_CD_M290</v>
      </c>
    </row>
    <row r="39" spans="1:15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ISNUMBER(_xlfn.XMATCH(CONTROL[[#This Row],[VEHIDCODE]],GRAPHICS_PROPERTIES[VEHIDCODE],0))</f>
        <v>1</v>
      </c>
      <c r="N39" s="31" t="str">
        <f>"item_"&amp;CONTROL[[#This Row],[VEHIDCODE]]</f>
        <v>item_rbd_Netherlands_NS_omBC</v>
      </c>
      <c r="O39" s="31" t="str">
        <f>"str_"&amp;CONTROL[[#This Row],[VEHIDCODE]]</f>
        <v>str_rbd_Netherlands_NS_omBC</v>
      </c>
    </row>
    <row r="40" spans="1:15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ISNUMBER(_xlfn.XMATCH(CONTROL[[#This Row],[VEHIDCODE]],GRAPHICS_PROPERTIES[VEHIDCODE],0))</f>
        <v>1</v>
      </c>
      <c r="N40" s="31" t="str">
        <f>"item_"&amp;CONTROL[[#This Row],[VEHIDCODE]]</f>
        <v>item_rbd_Australia_NSWGR_Class_400</v>
      </c>
      <c r="O40" s="31" t="str">
        <f>"str_"&amp;CONTROL[[#This Row],[VEHIDCODE]]</f>
        <v>str_rbd_Australia_NSWGR_Class_400</v>
      </c>
    </row>
    <row r="41" spans="1:15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ISNUMBER(_xlfn.XMATCH(CONTROL[[#This Row],[VEHIDCODE]],GRAPHICS_PROPERTIES[VEHIDCODE],0))</f>
        <v>1</v>
      </c>
      <c r="N41" s="31" t="str">
        <f>"item_"&amp;CONTROL[[#This Row],[VEHIDCODE]]</f>
        <v>item_rbd_Portugal_CP_USD_9050</v>
      </c>
      <c r="O41" s="31" t="str">
        <f>"str_"&amp;CONTROL[[#This Row],[VEHIDCODE]]</f>
        <v>str_rbd_Portugal_CP_USD_9050</v>
      </c>
    </row>
    <row r="42" spans="1:15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ISNUMBER(_xlfn.XMATCH(CONTROL[[#This Row],[VEHIDCODE]],GRAPHICS_PROPERTIES[VEHIDCODE],0))</f>
        <v>1</v>
      </c>
      <c r="N42" s="31" t="str">
        <f>"item_"&amp;CONTROL[[#This Row],[VEHIDCODE]]</f>
        <v>item_rbd_Belgium_SNCB_Class_42</v>
      </c>
      <c r="O42" s="31" t="str">
        <f>"str_"&amp;CONTROL[[#This Row],[VEHIDCODE]]</f>
        <v>str_rbd_Belgium_SNCB_Class_42</v>
      </c>
    </row>
    <row r="43" spans="1:15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3078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ISNUMBER(_xlfn.XMATCH(CONTROL[[#This Row],[VEHIDCODE]],GRAPHICS_PROPERTIES[VEHIDCODE],0))</f>
        <v>1</v>
      </c>
      <c r="N43" s="31" t="str">
        <f>"item_"&amp;CONTROL[[#This Row],[VEHIDCODE]]</f>
        <v>item_rbd_Bulgaria_BDZ_19</v>
      </c>
      <c r="O43" s="31" t="str">
        <f>"str_"&amp;CONTROL[[#This Row],[VEHIDCODE]]</f>
        <v>str_rbd_Bulgaria_BDZ_19</v>
      </c>
    </row>
    <row r="44" spans="1:15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ISNUMBER(_xlfn.XMATCH(CONTROL[[#This Row],[VEHIDCODE]],GRAPHICS_PROPERTIES[VEHIDCODE],0))</f>
        <v>1</v>
      </c>
      <c r="N44" s="31" t="str">
        <f>"item_"&amp;CONTROL[[#This Row],[VEHIDCODE]]</f>
        <v>item_rbd_Greece_OSE_AA71</v>
      </c>
      <c r="O44" s="31" t="str">
        <f>"str_"&amp;CONTROL[[#This Row],[VEHIDCODE]]</f>
        <v>str_rbd_Greece_OSE_AA71</v>
      </c>
    </row>
    <row r="45" spans="1:15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2331</v>
      </c>
      <c r="G45" t="s">
        <v>2332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ISNUMBER(_xlfn.XMATCH(CONTROL[[#This Row],[VEHIDCODE]],GRAPHICS_PROPERTIES[VEHIDCODE],0))</f>
        <v>1</v>
      </c>
      <c r="N45" s="31" t="str">
        <f>"item_"&amp;CONTROL[[#This Row],[VEHIDCODE]]</f>
        <v>item_rbd_Tunisia_SNCFT_Z431</v>
      </c>
      <c r="O45" s="31" t="str">
        <f>"str_"&amp;CONTROL[[#This Row],[VEHIDCODE]]</f>
        <v>str_rbd_Tunisia_SNCFT_Z431</v>
      </c>
    </row>
    <row r="46" spans="1:15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2333</v>
      </c>
      <c r="G46" t="s">
        <v>2334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ISNUMBER(_xlfn.XMATCH(CONTROL[[#This Row],[VEHIDCODE]],GRAPHICS_PROPERTIES[VEHIDCODE],0))</f>
        <v>1</v>
      </c>
      <c r="N46" s="31" t="str">
        <f>"item_"&amp;CONTROL[[#This Row],[VEHIDCODE]]</f>
        <v>item_rbd_USA_Amtrak_SPV_200</v>
      </c>
      <c r="O46" s="31" t="str">
        <f>"str_"&amp;CONTROL[[#This Row],[VEHIDCODE]]</f>
        <v>str_rbd_USA_Amtrak_SPV_200</v>
      </c>
    </row>
    <row r="47" spans="1:15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2335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ISNUMBER(_xlfn.XMATCH(CONTROL[[#This Row],[VEHIDCODE]],GRAPHICS_PROPERTIES[VEHIDCODE],0))</f>
        <v>1</v>
      </c>
      <c r="N47" s="31" t="str">
        <f>"item_"&amp;CONTROL[[#This Row],[VEHIDCODE]]</f>
        <v>item_rbd_Finland_VR_Dm12</v>
      </c>
      <c r="O47" s="31" t="str">
        <f>"str_"&amp;CONTROL[[#This Row],[VEHIDCODE]]</f>
        <v>str_rbd_Finland_VR_Dm12</v>
      </c>
    </row>
    <row r="48" spans="1:15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2777</v>
      </c>
      <c r="G48" t="s">
        <v>2336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ISNUMBER(_xlfn.XMATCH(CONTROL[[#This Row],[VEHIDCODE]],GRAPHICS_PROPERTIES[VEHIDCODE],0))</f>
        <v>1</v>
      </c>
      <c r="N48" s="31" t="str">
        <f>"item_"&amp;CONTROL[[#This Row],[VEHIDCODE]]</f>
        <v>item_rbd_Czech_Republic_CD_840</v>
      </c>
      <c r="O48" s="31" t="str">
        <f>"str_"&amp;CONTROL[[#This Row],[VEHIDCODE]]</f>
        <v>str_rbd_Czech_Republic_CD_840</v>
      </c>
    </row>
    <row r="49" spans="1:15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2338</v>
      </c>
      <c r="G49" t="s">
        <v>2337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ISNUMBER(_xlfn.XMATCH(CONTROL[[#This Row],[VEHIDCODE]],GRAPHICS_PROPERTIES[VEHIDCODE],0))</f>
        <v>1</v>
      </c>
      <c r="N49" s="31" t="str">
        <f>"item_"&amp;CONTROL[[#This Row],[VEHIDCODE]]</f>
        <v>item_rbd_Italy_FS_ALn_668</v>
      </c>
      <c r="O49" s="31" t="str">
        <f>"str_"&amp;CONTROL[[#This Row],[VEHIDCODE]]</f>
        <v>str_rbd_Italy_FS_ALn_668</v>
      </c>
    </row>
    <row r="50" spans="1:15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3079</v>
      </c>
      <c r="G50" t="s">
        <v>2339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ISNUMBER(_xlfn.XMATCH(CONTROL[[#This Row],[VEHIDCODE]],GRAPHICS_PROPERTIES[VEHIDCODE],0))</f>
        <v>1</v>
      </c>
      <c r="N50" s="31" t="str">
        <f>"item_"&amp;CONTROL[[#This Row],[VEHIDCODE]]</f>
        <v>item_rbe_Czech_Republic_CD_M400</v>
      </c>
      <c r="O50" s="31" t="str">
        <f>"str_"&amp;CONTROL[[#This Row],[VEHIDCODE]]</f>
        <v>str_rbe_Czech_Republic_CD_M400</v>
      </c>
    </row>
    <row r="51" spans="1:15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ISNUMBER(_xlfn.XMATCH(CONTROL[[#This Row],[VEHIDCODE]],GRAPHICS_PROPERTIES[VEHIDCODE],0))</f>
        <v>1</v>
      </c>
      <c r="N51" s="31" t="str">
        <f>"item_"&amp;CONTROL[[#This Row],[VEHIDCODE]]</f>
        <v>item_rbe_France_SNCF_Z_7100</v>
      </c>
      <c r="O51" s="31" t="str">
        <f>"str_"&amp;CONTROL[[#This Row],[VEHIDCODE]]</f>
        <v>str_rbe_France_SNCF_Z_7100</v>
      </c>
    </row>
    <row r="52" spans="1:15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ISNUMBER(_xlfn.XMATCH(CONTROL[[#This Row],[VEHIDCODE]],GRAPHICS_PROPERTIES[VEHIDCODE],0))</f>
        <v>1</v>
      </c>
      <c r="N52" s="31" t="str">
        <f>"item_"&amp;CONTROL[[#This Row],[VEHIDCODE]]</f>
        <v>item_rbe_Germany_Buckower_Kleinbahn_Nr_1_3</v>
      </c>
      <c r="O52" s="31" t="str">
        <f>"str_"&amp;CONTROL[[#This Row],[VEHIDCODE]]</f>
        <v>str_rbe_Germany_Buckower_Kleinbahn_Nr_1_3</v>
      </c>
    </row>
    <row r="53" spans="1:15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2344</v>
      </c>
      <c r="G53" t="s">
        <v>2343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ISNUMBER(_xlfn.XMATCH(CONTROL[[#This Row],[VEHIDCODE]],GRAPHICS_PROPERTIES[VEHIDCODE],0))</f>
        <v>1</v>
      </c>
      <c r="N53" s="31" t="str">
        <f>"item_"&amp;CONTROL[[#This Row],[VEHIDCODE]]</f>
        <v>item_rbe_Germany_DB_4792</v>
      </c>
      <c r="O53" s="31" t="str">
        <f>"str_"&amp;CONTROL[[#This Row],[VEHIDCODE]]</f>
        <v>str_rbe_Germany_DB_4792</v>
      </c>
    </row>
    <row r="54" spans="1:15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3080</v>
      </c>
      <c r="G54" t="s">
        <v>2342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ISNUMBER(_xlfn.XMATCH(CONTROL[[#This Row],[VEHIDCODE]],GRAPHICS_PROPERTIES[VEHIDCODE],0))</f>
        <v>1</v>
      </c>
      <c r="N54" s="31" t="str">
        <f>"item_"&amp;CONTROL[[#This Row],[VEHIDCODE]]</f>
        <v>item_rbe_Slovakia_ZSSK_490</v>
      </c>
      <c r="O54" s="31" t="str">
        <f>"str_"&amp;CONTROL[[#This Row],[VEHIDCODE]]</f>
        <v>str_rbe_Slovakia_ZSSK_490</v>
      </c>
    </row>
    <row r="55" spans="1:15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ISNUMBER(_xlfn.XMATCH(CONTROL[[#This Row],[VEHIDCODE]],GRAPHICS_PROPERTIES[VEHIDCODE],0))</f>
        <v>1</v>
      </c>
      <c r="N55" s="31" t="str">
        <f>"item_"&amp;CONTROL[[#This Row],[VEHIDCODE]]</f>
        <v>item_rbe_Italy_FS_ALe_840</v>
      </c>
      <c r="O55" s="31" t="str">
        <f>"str_"&amp;CONTROL[[#This Row],[VEHIDCODE]]</f>
        <v>str_rbe_Italy_FS_ALe_840</v>
      </c>
    </row>
    <row r="56" spans="1:15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ISNUMBER(_xlfn.XMATCH(CONTROL[[#This Row],[VEHIDCODE]],GRAPHICS_PROPERTIES[VEHIDCODE],0))</f>
        <v>1</v>
      </c>
      <c r="N56" s="31" t="str">
        <f>"item_"&amp;CONTROL[[#This Row],[VEHIDCODE]]</f>
        <v>item_rbe_Italy_FG_ALe_80</v>
      </c>
      <c r="O56" s="31" t="str">
        <f>"str_"&amp;CONTROL[[#This Row],[VEHIDCODE]]</f>
        <v>str_rbe_Italy_FG_ALe_80</v>
      </c>
    </row>
    <row r="57" spans="1:15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ISNUMBER(_xlfn.XMATCH(CONTROL[[#This Row],[VEHIDCODE]],GRAPHICS_PROPERTIES[VEHIDCODE],0))</f>
        <v>1</v>
      </c>
      <c r="N57" s="31" t="str">
        <f>"item_"&amp;CONTROL[[#This Row],[VEHIDCODE]]</f>
        <v>item_rbe_Italy_FS_E623</v>
      </c>
      <c r="O57" s="31" t="str">
        <f>"str_"&amp;CONTROL[[#This Row],[VEHIDCODE]]</f>
        <v>str_rbe_Italy_FS_E623</v>
      </c>
    </row>
    <row r="58" spans="1:15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ISNUMBER(_xlfn.XMATCH(CONTROL[[#This Row],[VEHIDCODE]],GRAPHICS_PROPERTIES[VEHIDCODE],0))</f>
        <v>1</v>
      </c>
      <c r="N58" s="31" t="str">
        <f>"item_"&amp;CONTROL[[#This Row],[VEHIDCODE]]</f>
        <v>item_rbe_Morocco_ONCFM_ZAB1000</v>
      </c>
      <c r="O58" s="31" t="str">
        <f>"str_"&amp;CONTROL[[#This Row],[VEHIDCODE]]</f>
        <v>str_rbe_Morocco_ONCFM_ZAB1000</v>
      </c>
    </row>
    <row r="59" spans="1:15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ISNUMBER(_xlfn.XMATCH(CONTROL[[#This Row],[VEHIDCODE]],GRAPHICS_PROPERTIES[VEHIDCODE],0))</f>
        <v>1</v>
      </c>
      <c r="N59" s="31" t="str">
        <f>"item_"&amp;CONTROL[[#This Row],[VEHIDCODE]]</f>
        <v>item_rbe_Poland_PKP_EN81</v>
      </c>
      <c r="O59" s="31" t="str">
        <f>"str_"&amp;CONTROL[[#This Row],[VEHIDCODE]]</f>
        <v>str_rbe_Poland_PKP_EN81</v>
      </c>
    </row>
    <row r="60" spans="1:15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2486</v>
      </c>
      <c r="G60" t="s">
        <v>2350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ISNUMBER(_xlfn.XMATCH(CONTROL[[#This Row],[VEHIDCODE]],GRAPHICS_PROPERTIES[VEHIDCODE],0))</f>
        <v>1</v>
      </c>
      <c r="N60" s="31" t="str">
        <f>"item_"&amp;CONTROL[[#This Row],[VEHIDCODE]]</f>
        <v>item_rbe_Austria_OBB_4855</v>
      </c>
      <c r="O60" s="31" t="str">
        <f>"str_"&amp;CONTROL[[#This Row],[VEHIDCODE]]</f>
        <v>str_rbe_Austria_OBB_4855</v>
      </c>
    </row>
    <row r="61" spans="1:15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ISNUMBER(_xlfn.XMATCH(CONTROL[[#This Row],[VEHIDCODE]],GRAPHICS_PROPERTIES[VEHIDCODE],0))</f>
        <v>1</v>
      </c>
      <c r="N61" s="31" t="str">
        <f>"item_"&amp;CONTROL[[#This Row],[VEHIDCODE]]</f>
        <v>item_rbe_Austria_MBS_ET_10109</v>
      </c>
      <c r="O61" s="31" t="str">
        <f>"str_"&amp;CONTROL[[#This Row],[VEHIDCODE]]</f>
        <v>str_rbe_Austria_MBS_ET_10109</v>
      </c>
    </row>
    <row r="62" spans="1:15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ISNUMBER(_xlfn.XMATCH(CONTROL[[#This Row],[VEHIDCODE]],GRAPHICS_PROPERTIES[VEHIDCODE],0))</f>
        <v>1</v>
      </c>
      <c r="N62" s="31" t="str">
        <f>"item_"&amp;CONTROL[[#This Row],[VEHIDCODE]]</f>
        <v>item_rbe_Germany_DB_ET_85</v>
      </c>
      <c r="O62" s="31" t="str">
        <f>"str_"&amp;CONTROL[[#This Row],[VEHIDCODE]]</f>
        <v>str_rbe_Germany_DB_ET_85</v>
      </c>
    </row>
    <row r="63" spans="1:15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ISNUMBER(_xlfn.XMATCH(CONTROL[[#This Row],[VEHIDCODE]],GRAPHICS_PROPERTIES[VEHIDCODE],0))</f>
        <v>1</v>
      </c>
      <c r="N63" s="31" t="str">
        <f>"item_"&amp;CONTROL[[#This Row],[VEHIDCODE]]</f>
        <v>item_rbe_Sweden_SJ_X16</v>
      </c>
      <c r="O63" s="31" t="str">
        <f>"str_"&amp;CONTROL[[#This Row],[VEHIDCODE]]</f>
        <v>str_rbe_Sweden_SJ_X16</v>
      </c>
    </row>
    <row r="64" spans="1:15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ISNUMBER(_xlfn.XMATCH(CONTROL[[#This Row],[VEHIDCODE]],GRAPHICS_PROPERTIES[VEHIDCODE],0))</f>
        <v>1</v>
      </c>
      <c r="N64" s="31" t="str">
        <f>"item_"&amp;CONTROL[[#This Row],[VEHIDCODE]]</f>
        <v>item_rbe_USA_Pennsylvania_Railroad_Silverliner_II</v>
      </c>
      <c r="O64" s="31" t="str">
        <f>"str_"&amp;CONTROL[[#This Row],[VEHIDCODE]]</f>
        <v>str_rbe_USA_Pennsylvania_Railroad_Silverliner_II</v>
      </c>
    </row>
    <row r="65" spans="1:15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ISNUMBER(_xlfn.XMATCH(CONTROL[[#This Row],[VEHIDCODE]],GRAPHICS_PROPERTIES[VEHIDCODE],0))</f>
        <v>1</v>
      </c>
      <c r="N65" s="31" t="str">
        <f>"item_"&amp;CONTROL[[#This Row],[VEHIDCODE]]</f>
        <v>item_rbe_USA_SEPTA_Silverliner_V</v>
      </c>
      <c r="O65" s="31" t="str">
        <f>"str_"&amp;CONTROL[[#This Row],[VEHIDCODE]]</f>
        <v>str_rbe_USA_SEPTA_Silverliner_V</v>
      </c>
    </row>
    <row r="66" spans="1:15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ISNUMBER(_xlfn.XMATCH(CONTROL[[#This Row],[VEHIDCODE]],GRAPHICS_PROPERTIES[VEHIDCODE],0))</f>
        <v>1</v>
      </c>
      <c r="N66" s="31" t="str">
        <f>"item_"&amp;CONTROL[[#This Row],[VEHIDCODE]]</f>
        <v>item_steam_Belgium_Le_Belge</v>
      </c>
      <c r="O66" s="31" t="str">
        <f>"str_"&amp;CONTROL[[#This Row],[VEHIDCODE]]</f>
        <v>str_steam_Belgium_Le_Belge</v>
      </c>
    </row>
    <row r="67" spans="1:15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ISNUMBER(_xlfn.XMATCH(CONTROL[[#This Row],[VEHIDCODE]],GRAPHICS_PROPERTIES[VEHIDCODE],0))</f>
        <v>1</v>
      </c>
      <c r="N67" s="31" t="str">
        <f>"item_"&amp;CONTROL[[#This Row],[VEHIDCODE]]</f>
        <v>item_steam_USA_4_4_0_American</v>
      </c>
      <c r="O67" s="31" t="str">
        <f>"str_"&amp;CONTROL[[#This Row],[VEHIDCODE]]</f>
        <v>str_steam_USA_4_4_0_American</v>
      </c>
    </row>
    <row r="68" spans="1:15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2358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ISNUMBER(_xlfn.XMATCH(CONTROL[[#This Row],[VEHIDCODE]],GRAPHICS_PROPERTIES[VEHIDCODE],0))</f>
        <v>1</v>
      </c>
      <c r="N68" s="31" t="str">
        <f>"item_"&amp;CONTROL[[#This Row],[VEHIDCODE]]</f>
        <v>item_steam_Switzerland_SBB_Ec_2_5</v>
      </c>
      <c r="O68" s="31" t="str">
        <f>"str_"&amp;CONTROL[[#This Row],[VEHIDCODE]]</f>
        <v>str_steam_Switzerland_SBB_Ec_2_5</v>
      </c>
    </row>
    <row r="69" spans="1:15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2359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ISNUMBER(_xlfn.XMATCH(CONTROL[[#This Row],[VEHIDCODE]],GRAPHICS_PROPERTIES[VEHIDCODE],0))</f>
        <v>1</v>
      </c>
      <c r="N69" s="31" t="str">
        <f>"item_"&amp;CONTROL[[#This Row],[VEHIDCODE]]</f>
        <v>item_steam_USA_4_6_0_Ten_wheeler</v>
      </c>
      <c r="O69" s="31" t="str">
        <f>"str_"&amp;CONTROL[[#This Row],[VEHIDCODE]]</f>
        <v>str_steam_USA_4_6_0_Ten_wheeler</v>
      </c>
    </row>
    <row r="70" spans="1:15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ISNUMBER(_xlfn.XMATCH(CONTROL[[#This Row],[VEHIDCODE]],GRAPHICS_PROPERTIES[VEHIDCODE],0))</f>
        <v>1</v>
      </c>
      <c r="N70" s="31" t="str">
        <f>"item_"&amp;CONTROL[[#This Row],[VEHIDCODE]]</f>
        <v>item_steam_USA_2_8_0_Consolidation</v>
      </c>
      <c r="O70" s="31" t="str">
        <f>"str_"&amp;CONTROL[[#This Row],[VEHIDCODE]]</f>
        <v>str_steam_USA_2_8_0_Consolidation</v>
      </c>
    </row>
    <row r="71" spans="1:15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2494</v>
      </c>
      <c r="G71" t="s">
        <v>2361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ISNUMBER(_xlfn.XMATCH(CONTROL[[#This Row],[VEHIDCODE]],GRAPHICS_PROPERTIES[VEHIDCODE],0))</f>
        <v>1</v>
      </c>
      <c r="N71" s="31" t="str">
        <f>"item_"&amp;CONTROL[[#This Row],[VEHIDCODE]]</f>
        <v>item_steam_Hungary_MAV_377</v>
      </c>
      <c r="O71" s="31" t="str">
        <f>"str_"&amp;CONTROL[[#This Row],[VEHIDCODE]]</f>
        <v>str_steam_Hungary_MAV_377</v>
      </c>
    </row>
    <row r="72" spans="1:15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ISNUMBER(_xlfn.XMATCH(CONTROL[[#This Row],[VEHIDCODE]],GRAPHICS_PROPERTIES[VEHIDCODE],0))</f>
        <v>1</v>
      </c>
      <c r="N72" s="31" t="str">
        <f>"item_"&amp;CONTROL[[#This Row],[VEHIDCODE]]</f>
        <v>item_steam_Austria_KkStB_99</v>
      </c>
      <c r="O72" s="31" t="str">
        <f>"str_"&amp;CONTROL[[#This Row],[VEHIDCODE]]</f>
        <v>str_steam_Austria_KkStB_99</v>
      </c>
    </row>
    <row r="73" spans="1:15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ISNUMBER(_xlfn.XMATCH(CONTROL[[#This Row],[VEHIDCODE]],GRAPHICS_PROPERTIES[VEHIDCODE],0))</f>
        <v>1</v>
      </c>
      <c r="N73" s="31" t="str">
        <f>"item_"&amp;CONTROL[[#This Row],[VEHIDCODE]]</f>
        <v>item_steam_UK_Caledonian_Railway_439</v>
      </c>
      <c r="O73" s="31" t="str">
        <f>"str_"&amp;CONTROL[[#This Row],[VEHIDCODE]]</f>
        <v>str_steam_UK_Caledonian_Railway_439</v>
      </c>
    </row>
    <row r="74" spans="1:15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ISNUMBER(_xlfn.XMATCH(CONTROL[[#This Row],[VEHIDCODE]],GRAPHICS_PROPERTIES[VEHIDCODE],0))</f>
        <v>1</v>
      </c>
      <c r="N74" s="31" t="str">
        <f>"item_"&amp;CONTROL[[#This Row],[VEHIDCODE]]</f>
        <v>item_steam_Switzerland_SBB_A_3_5</v>
      </c>
      <c r="O74" s="31" t="str">
        <f>"str_"&amp;CONTROL[[#This Row],[VEHIDCODE]]</f>
        <v>str_steam_Switzerland_SBB_A_3_5</v>
      </c>
    </row>
    <row r="75" spans="1:15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ISNUMBER(_xlfn.XMATCH(CONTROL[[#This Row],[VEHIDCODE]],GRAPHICS_PROPERTIES[VEHIDCODE],0))</f>
        <v>1</v>
      </c>
      <c r="N75" s="31" t="str">
        <f>"item_"&amp;CONTROL[[#This Row],[VEHIDCODE]]</f>
        <v>item_steam_Switzerland_SBB_E_3_3</v>
      </c>
      <c r="O75" s="31" t="str">
        <f>"str_"&amp;CONTROL[[#This Row],[VEHIDCODE]]</f>
        <v>str_steam_Switzerland_SBB_E_3_3</v>
      </c>
    </row>
    <row r="76" spans="1:15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ISNUMBER(_xlfn.XMATCH(CONTROL[[#This Row],[VEHIDCODE]],GRAPHICS_PROPERTIES[VEHIDCODE],0))</f>
        <v>1</v>
      </c>
      <c r="N76" s="31" t="str">
        <f>"item_"&amp;CONTROL[[#This Row],[VEHIDCODE]]</f>
        <v>item_steam_Austria_KkStB_299</v>
      </c>
      <c r="O76" s="31" t="str">
        <f>"str_"&amp;CONTROL[[#This Row],[VEHIDCODE]]</f>
        <v>str_steam_Austria_KkStB_299</v>
      </c>
    </row>
    <row r="77" spans="1:15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ISNUMBER(_xlfn.XMATCH(CONTROL[[#This Row],[VEHIDCODE]],GRAPHICS_PROPERTIES[VEHIDCODE],0))</f>
        <v>1</v>
      </c>
      <c r="N77" s="31" t="str">
        <f>"item_"&amp;CONTROL[[#This Row],[VEHIDCODE]]</f>
        <v>item_steam_New_Zealand_NZR_X_Class</v>
      </c>
      <c r="O77" s="31" t="str">
        <f>"str_"&amp;CONTROL[[#This Row],[VEHIDCODE]]</f>
        <v>str_steam_New_Zealand_NZR_X_Class</v>
      </c>
    </row>
    <row r="78" spans="1:15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3081</v>
      </c>
      <c r="G78" t="s">
        <v>2368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ISNUMBER(_xlfn.XMATCH(CONTROL[[#This Row],[VEHIDCODE]],GRAPHICS_PROPERTIES[VEHIDCODE],0))</f>
        <v>1</v>
      </c>
      <c r="N78" s="31" t="str">
        <f>"item_"&amp;CONTROL[[#This Row],[VEHIDCODE]]</f>
        <v>item_steam_Croatia_HZ_51</v>
      </c>
      <c r="O78" s="31" t="str">
        <f>"str_"&amp;CONTROL[[#This Row],[VEHIDCODE]]</f>
        <v>str_steam_Croatia_HZ_51</v>
      </c>
    </row>
    <row r="79" spans="1:15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2369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ISNUMBER(_xlfn.XMATCH(CONTROL[[#This Row],[VEHIDCODE]],GRAPHICS_PROPERTIES[VEHIDCODE],0))</f>
        <v>1</v>
      </c>
      <c r="N79" s="31" t="str">
        <f>"item_"&amp;CONTROL[[#This Row],[VEHIDCODE]]</f>
        <v>item_steam_Italy_FS_880</v>
      </c>
      <c r="O79" s="31" t="str">
        <f>"str_"&amp;CONTROL[[#This Row],[VEHIDCODE]]</f>
        <v>str_steam_Italy_FS_880</v>
      </c>
    </row>
    <row r="80" spans="1:15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2370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ISNUMBER(_xlfn.XMATCH(CONTROL[[#This Row],[VEHIDCODE]],GRAPHICS_PROPERTIES[VEHIDCODE],0))</f>
        <v>1</v>
      </c>
      <c r="N80" s="31" t="str">
        <f>"item_"&amp;CONTROL[[#This Row],[VEHIDCODE]]</f>
        <v>item_steam_Argentina_FCNEA_11B_2_8_0</v>
      </c>
      <c r="O80" s="31" t="str">
        <f>"str_"&amp;CONTROL[[#This Row],[VEHIDCODE]]</f>
        <v>str_steam_Argentina_FCNEA_11B_2_8_0</v>
      </c>
    </row>
    <row r="81" spans="1:15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3008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ISNUMBER(_xlfn.XMATCH(CONTROL[[#This Row],[VEHIDCODE]],GRAPHICS_PROPERTIES[VEHIDCODE],0))</f>
        <v>1</v>
      </c>
      <c r="N81" s="31" t="str">
        <f>"item_"&amp;CONTROL[[#This Row],[VEHIDCODE]]</f>
        <v>item_steam_France_SNCF_140C</v>
      </c>
      <c r="O81" s="31" t="str">
        <f>"str_"&amp;CONTROL[[#This Row],[VEHIDCODE]]</f>
        <v>str_steam_France_SNCF_140C</v>
      </c>
    </row>
    <row r="82" spans="1:15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3007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ISNUMBER(_xlfn.XMATCH(CONTROL[[#This Row],[VEHIDCODE]],GRAPHICS_PROPERTIES[VEHIDCODE],0))</f>
        <v>1</v>
      </c>
      <c r="N82" s="31" t="str">
        <f>"item_"&amp;CONTROL[[#This Row],[VEHIDCODE]]</f>
        <v>item_steam_France_SNCF_141TA</v>
      </c>
      <c r="O82" s="31" t="str">
        <f>"str_"&amp;CONTROL[[#This Row],[VEHIDCODE]]</f>
        <v>str_steam_France_SNCF_141TA</v>
      </c>
    </row>
    <row r="83" spans="1:15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2372</v>
      </c>
      <c r="G83" t="s">
        <v>2371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ISNUMBER(_xlfn.XMATCH(CONTROL[[#This Row],[VEHIDCODE]],GRAPHICS_PROPERTIES[VEHIDCODE],0))</f>
        <v>1</v>
      </c>
      <c r="N83" s="31" t="str">
        <f>"item_"&amp;CONTROL[[#This Row],[VEHIDCODE]]</f>
        <v>item_steam_UK_GWR_4900</v>
      </c>
      <c r="O83" s="31" t="str">
        <f>"str_"&amp;CONTROL[[#This Row],[VEHIDCODE]]</f>
        <v>str_steam_UK_GWR_4900</v>
      </c>
    </row>
    <row r="84" spans="1:15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2373</v>
      </c>
      <c r="G84" t="s">
        <v>2374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ISNUMBER(_xlfn.XMATCH(CONTROL[[#This Row],[VEHIDCODE]],GRAPHICS_PROPERTIES[VEHIDCODE],0))</f>
        <v>1</v>
      </c>
      <c r="N84" s="31" t="str">
        <f>"item_"&amp;CONTROL[[#This Row],[VEHIDCODE]]</f>
        <v>item_steam_UK_GWR_5700</v>
      </c>
      <c r="O84" s="31" t="str">
        <f>"str_"&amp;CONTROL[[#This Row],[VEHIDCODE]]</f>
        <v>str_steam_UK_GWR_5700</v>
      </c>
    </row>
    <row r="85" spans="1:15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2375</v>
      </c>
      <c r="G85" t="s">
        <v>2376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ISNUMBER(_xlfn.XMATCH(CONTROL[[#This Row],[VEHIDCODE]],GRAPHICS_PROPERTIES[VEHIDCODE],0))</f>
        <v>1</v>
      </c>
      <c r="N85" s="31" t="str">
        <f>"item_"&amp;CONTROL[[#This Row],[VEHIDCODE]]</f>
        <v>item_steam_Netherlands_NS_6300</v>
      </c>
      <c r="O85" s="31" t="str">
        <f>"str_"&amp;CONTROL[[#This Row],[VEHIDCODE]]</f>
        <v>str_steam_Netherlands_NS_6300</v>
      </c>
    </row>
    <row r="86" spans="1:15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2377</v>
      </c>
      <c r="G86" t="s">
        <v>2378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ISNUMBER(_xlfn.XMATCH(CONTROL[[#This Row],[VEHIDCODE]],GRAPHICS_PROPERTIES[VEHIDCODE],0))</f>
        <v>1</v>
      </c>
      <c r="N86" s="31" t="str">
        <f>"item_"&amp;CONTROL[[#This Row],[VEHIDCODE]]</f>
        <v>item_steam_USA_AT_SF_5000</v>
      </c>
      <c r="O86" s="31" t="str">
        <f>"str_"&amp;CONTROL[[#This Row],[VEHIDCODE]]</f>
        <v>str_steam_USA_AT_SF_5000</v>
      </c>
    </row>
    <row r="87" spans="1:15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ISNUMBER(_xlfn.XMATCH(CONTROL[[#This Row],[VEHIDCODE]],GRAPHICS_PROPERTIES[VEHIDCODE],0))</f>
        <v>1</v>
      </c>
      <c r="N87" s="31" t="str">
        <f>"item_"&amp;CONTROL[[#This Row],[VEHIDCODE]]</f>
        <v>item_steam_Germany_Prussian_S10</v>
      </c>
      <c r="O87" s="31" t="str">
        <f>"str_"&amp;CONTROL[[#This Row],[VEHIDCODE]]</f>
        <v>str_steam_Germany_Prussian_S10</v>
      </c>
    </row>
    <row r="88" spans="1:15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ISNUMBER(_xlfn.XMATCH(CONTROL[[#This Row],[VEHIDCODE]],GRAPHICS_PROPERTIES[VEHIDCODE],0))</f>
        <v>1</v>
      </c>
      <c r="N88" s="31" t="str">
        <f>"item_"&amp;CONTROL[[#This Row],[VEHIDCODE]]</f>
        <v>item_steam_UK_LMS_5MT_Black_Five</v>
      </c>
      <c r="O88" s="31" t="str">
        <f>"str_"&amp;CONTROL[[#This Row],[VEHIDCODE]]</f>
        <v>str_steam_UK_LMS_5MT_Black_Five</v>
      </c>
    </row>
    <row r="89" spans="1:15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ISNUMBER(_xlfn.XMATCH(CONTROL[[#This Row],[VEHIDCODE]],GRAPHICS_PROPERTIES[VEHIDCODE],0))</f>
        <v>1</v>
      </c>
      <c r="N89" s="31" t="str">
        <f>"item_"&amp;CONTROL[[#This Row],[VEHIDCODE]]</f>
        <v>item_steam_Russia_RZD_9P</v>
      </c>
      <c r="O89" s="31" t="str">
        <f>"str_"&amp;CONTROL[[#This Row],[VEHIDCODE]]</f>
        <v>str_steam_Russia_RZD_9P</v>
      </c>
    </row>
    <row r="90" spans="1:15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ISNUMBER(_xlfn.XMATCH(CONTROL[[#This Row],[VEHIDCODE]],GRAPHICS_PROPERTIES[VEHIDCODE],0))</f>
        <v>1</v>
      </c>
      <c r="N90" s="31" t="str">
        <f>"item_"&amp;CONTROL[[#This Row],[VEHIDCODE]]</f>
        <v>item_steam_UK_LNER_A4_Gresley</v>
      </c>
      <c r="O90" s="31" t="str">
        <f>"str_"&amp;CONTROL[[#This Row],[VEHIDCODE]]</f>
        <v>str_steam_UK_LNER_A4_Gresley</v>
      </c>
    </row>
    <row r="91" spans="1:15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ISNUMBER(_xlfn.XMATCH(CONTROL[[#This Row],[VEHIDCODE]],GRAPHICS_PROPERTIES[VEHIDCODE],0))</f>
        <v>1</v>
      </c>
      <c r="N91" s="31" t="str">
        <f>"item_"&amp;CONTROL[[#This Row],[VEHIDCODE]]</f>
        <v>item_steam_Canada_CPR_Royal_Hudson</v>
      </c>
      <c r="O91" s="31" t="str">
        <f>"str_"&amp;CONTROL[[#This Row],[VEHIDCODE]]</f>
        <v>str_steam_Canada_CPR_Royal_Hudson</v>
      </c>
    </row>
    <row r="92" spans="1:15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3009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ISNUMBER(_xlfn.XMATCH(CONTROL[[#This Row],[VEHIDCODE]],GRAPHICS_PROPERTIES[VEHIDCODE],0))</f>
        <v>1</v>
      </c>
      <c r="N92" s="31" t="str">
        <f>"item_"&amp;CONTROL[[#This Row],[VEHIDCODE]]</f>
        <v>item_steam_Denmark_DSB_E</v>
      </c>
      <c r="O92" s="31" t="str">
        <f>"str_"&amp;CONTROL[[#This Row],[VEHIDCODE]]</f>
        <v>str_steam_Denmark_DSB_E</v>
      </c>
    </row>
    <row r="93" spans="1:15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3003</v>
      </c>
      <c r="G93" t="s">
        <v>3004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ISNUMBER(_xlfn.XMATCH(CONTROL[[#This Row],[VEHIDCODE]],GRAPHICS_PROPERTIES[VEHIDCODE],0))</f>
        <v>1</v>
      </c>
      <c r="N93" s="31" t="str">
        <f>"item_"&amp;CONTROL[[#This Row],[VEHIDCODE]]</f>
        <v>item_steam_Germany_DB_52</v>
      </c>
      <c r="O93" s="31" t="str">
        <f>"str_"&amp;CONTROL[[#This Row],[VEHIDCODE]]</f>
        <v>str_steam_Germany_DB_52</v>
      </c>
    </row>
    <row r="94" spans="1:15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ISNUMBER(_xlfn.XMATCH(CONTROL[[#This Row],[VEHIDCODE]],GRAPHICS_PROPERTIES[VEHIDCODE],0))</f>
        <v>1</v>
      </c>
      <c r="N94" s="31" t="str">
        <f>"item_"&amp;CONTROL[[#This Row],[VEHIDCODE]]</f>
        <v>item_steam_UK_LNER_A1_Peppercorn</v>
      </c>
      <c r="O94" s="31" t="str">
        <f>"str_"&amp;CONTROL[[#This Row],[VEHIDCODE]]</f>
        <v>str_steam_UK_LNER_A1_Peppercorn</v>
      </c>
    </row>
    <row r="95" spans="1:15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ISNUMBER(_xlfn.XMATCH(CONTROL[[#This Row],[VEHIDCODE]],GRAPHICS_PROPERTIES[VEHIDCODE],0))</f>
        <v>1</v>
      </c>
      <c r="N95" s="31" t="str">
        <f>"item_"&amp;CONTROL[[#This Row],[VEHIDCODE]]</f>
        <v>item_steam_South_Africa_SAR_25</v>
      </c>
      <c r="O95" s="31" t="str">
        <f>"str_"&amp;CONTROL[[#This Row],[VEHIDCODE]]</f>
        <v>str_steam_South_Africa_SAR_25</v>
      </c>
    </row>
    <row r="96" spans="1:15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ISNUMBER(_xlfn.XMATCH(CONTROL[[#This Row],[VEHIDCODE]],GRAPHICS_PROPERTIES[VEHIDCODE],0))</f>
        <v>1</v>
      </c>
      <c r="N96" s="31" t="str">
        <f>"item_"&amp;CONTROL[[#This Row],[VEHIDCODE]]</f>
        <v>item_steam_Russia_RZD_P36</v>
      </c>
      <c r="O96" s="31" t="str">
        <f>"str_"&amp;CONTROL[[#This Row],[VEHIDCODE]]</f>
        <v>str_steam_Russia_RZD_P36</v>
      </c>
    </row>
    <row r="97" spans="1:15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ISNUMBER(_xlfn.XMATCH(CONTROL[[#This Row],[VEHIDCODE]],GRAPHICS_PROPERTIES[VEHIDCODE],0))</f>
        <v>1</v>
      </c>
      <c r="N97" s="31" t="str">
        <f>"item_"&amp;CONTROL[[#This Row],[VEHIDCODE]]</f>
        <v>item_steam_France_SNCF_150B</v>
      </c>
      <c r="O97" s="31" t="str">
        <f>"str_"&amp;CONTROL[[#This Row],[VEHIDCODE]]</f>
        <v>str_steam_France_SNCF_150B</v>
      </c>
    </row>
    <row r="98" spans="1:15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ISNUMBER(_xlfn.XMATCH(CONTROL[[#This Row],[VEHIDCODE]],GRAPHICS_PROPERTIES[VEHIDCODE],0))</f>
        <v>1</v>
      </c>
      <c r="N98" s="31" t="str">
        <f>"item_"&amp;CONTROL[[#This Row],[VEHIDCODE]]</f>
        <v>item_steam_Italy_FS_895</v>
      </c>
      <c r="O98" s="31" t="str">
        <f>"str_"&amp;CONTROL[[#This Row],[VEHIDCODE]]</f>
        <v>str_steam_Italy_FS_895</v>
      </c>
    </row>
    <row r="99" spans="1:15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ISNUMBER(_xlfn.XMATCH(CONTROL[[#This Row],[VEHIDCODE]],GRAPHICS_PROPERTIES[VEHIDCODE],0))</f>
        <v>1</v>
      </c>
      <c r="N99" s="31" t="str">
        <f>"item_"&amp;CONTROL[[#This Row],[VEHIDCODE]]</f>
        <v>item_steam_Poland_PKP_Okz32</v>
      </c>
      <c r="O99" s="31" t="str">
        <f>"str_"&amp;CONTROL[[#This Row],[VEHIDCODE]]</f>
        <v>str_steam_Poland_PKP_Okz32</v>
      </c>
    </row>
    <row r="100" spans="1:15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2390</v>
      </c>
      <c r="G100" t="s">
        <v>2391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ISNUMBER(_xlfn.XMATCH(CONTROL[[#This Row],[VEHIDCODE]],GRAPHICS_PROPERTIES[VEHIDCODE],0))</f>
        <v>1</v>
      </c>
      <c r="N100" s="31" t="str">
        <f>"item_"&amp;CONTROL[[#This Row],[VEHIDCODE]]</f>
        <v>item_steam_Switzerland_SBB_C_5_6</v>
      </c>
      <c r="O100" s="31" t="str">
        <f>"str_"&amp;CONTROL[[#This Row],[VEHIDCODE]]</f>
        <v>str_steam_Switzerland_SBB_C_5_6</v>
      </c>
    </row>
    <row r="101" spans="1:15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ISNUMBER(_xlfn.XMATCH(CONTROL[[#This Row],[VEHIDCODE]],GRAPHICS_PROPERTIES[VEHIDCODE],0))</f>
        <v>1</v>
      </c>
      <c r="N101" s="31" t="str">
        <f>"item_"&amp;CONTROL[[#This Row],[VEHIDCODE]]</f>
        <v>item_steam_USA_UP_4000_Big_Boy</v>
      </c>
      <c r="O101" s="31" t="str">
        <f>"str_"&amp;CONTROL[[#This Row],[VEHIDCODE]]</f>
        <v>str_steam_USA_UP_4000_Big_Boy</v>
      </c>
    </row>
    <row r="102" spans="1:15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3001</v>
      </c>
      <c r="G102" t="s">
        <v>2393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ISNUMBER(_xlfn.XMATCH(CONTROL[[#This Row],[VEHIDCODE]],GRAPHICS_PROPERTIES[VEHIDCODE],0))</f>
        <v>1</v>
      </c>
      <c r="N102" s="31" t="str">
        <f>"item_"&amp;CONTROL[[#This Row],[VEHIDCODE]]</f>
        <v>item_steam_Netherlands_NRS_11</v>
      </c>
      <c r="O102" s="31" t="str">
        <f>"str_"&amp;CONTROL[[#This Row],[VEHIDCODE]]</f>
        <v>str_steam_Netherlands_NRS_11</v>
      </c>
    </row>
    <row r="103" spans="1:15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ISNUMBER(_xlfn.XMATCH(CONTROL[[#This Row],[VEHIDCODE]],GRAPHICS_PROPERTIES[VEHIDCODE],0))</f>
        <v>1</v>
      </c>
      <c r="N103" s="31" t="str">
        <f>"item_"&amp;CONTROL[[#This Row],[VEHIDCODE]]</f>
        <v>item_steam_UK_GWR_Iron_DUKe_Class</v>
      </c>
      <c r="O103" s="31" t="str">
        <f>"str_"&amp;CONTROL[[#This Row],[VEHIDCODE]]</f>
        <v>str_steam_UK_GWR_Iron_DUKe_Class</v>
      </c>
    </row>
    <row r="104" spans="1:15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ISNUMBER(_xlfn.XMATCH(CONTROL[[#This Row],[VEHIDCODE]],GRAPHICS_PROPERTIES[VEHIDCODE],0))</f>
        <v>1</v>
      </c>
      <c r="N104" s="31" t="str">
        <f>"item_"&amp;CONTROL[[#This Row],[VEHIDCODE]]</f>
        <v>item_steam_Australia_Sidney_Railway_Locomotive_No1</v>
      </c>
      <c r="O104" s="31" t="str">
        <f>"str_"&amp;CONTROL[[#This Row],[VEHIDCODE]]</f>
        <v>str_steam_Australia_Sidney_Railway_Locomotive_No1</v>
      </c>
    </row>
    <row r="105" spans="1:15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ISNUMBER(_xlfn.XMATCH(CONTROL[[#This Row],[VEHIDCODE]],GRAPHICS_PROPERTIES[VEHIDCODE],0))</f>
        <v>1</v>
      </c>
      <c r="N105" s="31" t="str">
        <f>"item_"&amp;CONTROL[[#This Row],[VEHIDCODE]]</f>
        <v>item_steam_USA_Central_Pacific_4_2_2</v>
      </c>
      <c r="O105" s="31" t="str">
        <f>"str_"&amp;CONTROL[[#This Row],[VEHIDCODE]]</f>
        <v>str_steam_USA_Central_Pacific_4_2_2</v>
      </c>
    </row>
    <row r="106" spans="1:15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2397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ISNUMBER(_xlfn.XMATCH(CONTROL[[#This Row],[VEHIDCODE]],GRAPHICS_PROPERTIES[VEHIDCODE],0))</f>
        <v>1</v>
      </c>
      <c r="N106" s="31" t="str">
        <f>"item_"&amp;CONTROL[[#This Row],[VEHIDCODE]]</f>
        <v>item_steam_Netherlands_NS_700</v>
      </c>
      <c r="O106" s="31" t="str">
        <f>"str_"&amp;CONTROL[[#This Row],[VEHIDCODE]]</f>
        <v>str_steam_Netherlands_NS_700</v>
      </c>
    </row>
    <row r="107" spans="1:15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2398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ISNUMBER(_xlfn.XMATCH(CONTROL[[#This Row],[VEHIDCODE]],GRAPHICS_PROPERTIES[VEHIDCODE],0))</f>
        <v>1</v>
      </c>
      <c r="N107" s="31" t="str">
        <f>"item_"&amp;CONTROL[[#This Row],[VEHIDCODE]]</f>
        <v>item_steam_South_Africa_Natal_Government_Railways_2_6_0T</v>
      </c>
      <c r="O107" s="31" t="str">
        <f>"str_"&amp;CONTROL[[#This Row],[VEHIDCODE]]</f>
        <v>str_steam_South_Africa_Natal_Government_Railways_2_6_0T</v>
      </c>
    </row>
    <row r="108" spans="1:15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2399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ISNUMBER(_xlfn.XMATCH(CONTROL[[#This Row],[VEHIDCODE]],GRAPHICS_PROPERTIES[VEHIDCODE],0))</f>
        <v>1</v>
      </c>
      <c r="N108" s="31" t="str">
        <f>"item_"&amp;CONTROL[[#This Row],[VEHIDCODE]]</f>
        <v>item_steam_Australia_NSWGR_Z25_Class</v>
      </c>
      <c r="O108" s="31" t="str">
        <f>"str_"&amp;CONTROL[[#This Row],[VEHIDCODE]]</f>
        <v>str_steam_Australia_NSWGR_Z25_Class</v>
      </c>
    </row>
    <row r="109" spans="1:15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ISNUMBER(_xlfn.XMATCH(CONTROL[[#This Row],[VEHIDCODE]],GRAPHICS_PROPERTIES[VEHIDCODE],0))</f>
        <v>1</v>
      </c>
      <c r="N109" s="31" t="str">
        <f>"item_"&amp;CONTROL[[#This Row],[VEHIDCODE]]</f>
        <v>item_steam_Canada_Canadian_Pacific_374</v>
      </c>
      <c r="O109" s="31" t="str">
        <f>"str_"&amp;CONTROL[[#This Row],[VEHIDCODE]]</f>
        <v>str_steam_Canada_Canadian_Pacific_374</v>
      </c>
    </row>
    <row r="110" spans="1:15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ISNUMBER(_xlfn.XMATCH(CONTROL[[#This Row],[VEHIDCODE]],GRAPHICS_PROPERTIES[VEHIDCODE],0))</f>
        <v>1</v>
      </c>
      <c r="N110" s="31" t="str">
        <f>"item_"&amp;CONTROL[[#This Row],[VEHIDCODE]]</f>
        <v>item_steam_South_Africa_PPR_35_tonner_4_6_0T</v>
      </c>
      <c r="O110" s="31" t="str">
        <f>"str_"&amp;CONTROL[[#This Row],[VEHIDCODE]]</f>
        <v>str_steam_South_Africa_PPR_35_tonner_4_6_0T</v>
      </c>
    </row>
    <row r="111" spans="1:15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ISNUMBER(_xlfn.XMATCH(CONTROL[[#This Row],[VEHIDCODE]],GRAPHICS_PROPERTIES[VEHIDCODE],0))</f>
        <v>1</v>
      </c>
      <c r="N111" s="31" t="str">
        <f>"item_"&amp;CONTROL[[#This Row],[VEHIDCODE]]</f>
        <v>item_steam_Spain_RENFE_Class_040</v>
      </c>
      <c r="O111" s="31" t="str">
        <f>"str_"&amp;CONTROL[[#This Row],[VEHIDCODE]]</f>
        <v>str_steam_Spain_RENFE_Class_040</v>
      </c>
    </row>
    <row r="112" spans="1:15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ISNUMBER(_xlfn.XMATCH(CONTROL[[#This Row],[VEHIDCODE]],GRAPHICS_PROPERTIES[VEHIDCODE],0))</f>
        <v>1</v>
      </c>
      <c r="N112" s="31" t="str">
        <f>"item_"&amp;CONTROL[[#This Row],[VEHIDCODE]]</f>
        <v>item_steam_Germany_Saxon_IV_K</v>
      </c>
      <c r="O112" s="31" t="str">
        <f>"str_"&amp;CONTROL[[#This Row],[VEHIDCODE]]</f>
        <v>str_steam_Germany_Saxon_IV_K</v>
      </c>
    </row>
    <row r="113" spans="1:15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ISNUMBER(_xlfn.XMATCH(CONTROL[[#This Row],[VEHIDCODE]],GRAPHICS_PROPERTIES[VEHIDCODE],0))</f>
        <v>1</v>
      </c>
      <c r="N113" s="31" t="str">
        <f>"item_"&amp;CONTROL[[#This Row],[VEHIDCODE]]</f>
        <v>item_steam_Germany_Prussian_S_3</v>
      </c>
      <c r="O113" s="31" t="str">
        <f>"str_"&amp;CONTROL[[#This Row],[VEHIDCODE]]</f>
        <v>str_steam_Germany_Prussian_S_3</v>
      </c>
    </row>
    <row r="114" spans="1:15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ISNUMBER(_xlfn.XMATCH(CONTROL[[#This Row],[VEHIDCODE]],GRAPHICS_PROPERTIES[VEHIDCODE],0))</f>
        <v>1</v>
      </c>
      <c r="N114" s="31" t="str">
        <f>"item_"&amp;CONTROL[[#This Row],[VEHIDCODE]]</f>
        <v>item_steam_Norway_NSB_Class_XXI</v>
      </c>
      <c r="O114" s="31" t="str">
        <f>"str_"&amp;CONTROL[[#This Row],[VEHIDCODE]]</f>
        <v>str_steam_Norway_NSB_Class_XXI</v>
      </c>
    </row>
    <row r="115" spans="1:15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ISNUMBER(_xlfn.XMATCH(CONTROL[[#This Row],[VEHIDCODE]],GRAPHICS_PROPERTIES[VEHIDCODE],0))</f>
        <v>1</v>
      </c>
      <c r="N115" s="31" t="str">
        <f>"item_"&amp;CONTROL[[#This Row],[VEHIDCODE]]</f>
        <v>item_steam_USA_PRR_D16</v>
      </c>
      <c r="O115" s="31" t="str">
        <f>"str_"&amp;CONTROL[[#This Row],[VEHIDCODE]]</f>
        <v>str_steam_USA_PRR_D16</v>
      </c>
    </row>
    <row r="116" spans="1:15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2407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ISNUMBER(_xlfn.XMATCH(CONTROL[[#This Row],[VEHIDCODE]],GRAPHICS_PROPERTIES[VEHIDCODE],0))</f>
        <v>1</v>
      </c>
      <c r="N116" s="31" t="str">
        <f>"item_"&amp;CONTROL[[#This Row],[VEHIDCODE]]</f>
        <v>item_steam_Netherlands_NS_8100</v>
      </c>
      <c r="O116" s="31" t="str">
        <f>"str_"&amp;CONTROL[[#This Row],[VEHIDCODE]]</f>
        <v>str_steam_Netherlands_NS_8100</v>
      </c>
    </row>
    <row r="117" spans="1:15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2408</v>
      </c>
      <c r="G117" t="s">
        <v>2409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ISNUMBER(_xlfn.XMATCH(CONTROL[[#This Row],[VEHIDCODE]],GRAPHICS_PROPERTIES[VEHIDCODE],0))</f>
        <v>1</v>
      </c>
      <c r="N117" s="31" t="str">
        <f>"item_"&amp;CONTROL[[#This Row],[VEHIDCODE]]</f>
        <v>item_steam_South_Africa_SAR_MD_Class</v>
      </c>
      <c r="O117" s="31" t="str">
        <f>"str_"&amp;CONTROL[[#This Row],[VEHIDCODE]]</f>
        <v>str_steam_South_Africa_SAR_MD_Class</v>
      </c>
    </row>
    <row r="118" spans="1:15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2411</v>
      </c>
      <c r="G118" t="s">
        <v>2410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ISNUMBER(_xlfn.XMATCH(CONTROL[[#This Row],[VEHIDCODE]],GRAPHICS_PROPERTIES[VEHIDCODE],0))</f>
        <v>1</v>
      </c>
      <c r="N118" s="31" t="str">
        <f>"item_"&amp;CONTROL[[#This Row],[VEHIDCODE]]</f>
        <v>item_steam_Angola_South_West_African_2_8_0</v>
      </c>
      <c r="O118" s="31" t="str">
        <f>"str_"&amp;CONTROL[[#This Row],[VEHIDCODE]]</f>
        <v>str_steam_Angola_South_West_African_2_8_0</v>
      </c>
    </row>
    <row r="119" spans="1:15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ISNUMBER(_xlfn.XMATCH(CONTROL[[#This Row],[VEHIDCODE]],GRAPHICS_PROPERTIES[VEHIDCODE],0))</f>
        <v>1</v>
      </c>
      <c r="N119" s="31" t="str">
        <f>"item_"&amp;CONTROL[[#This Row],[VEHIDCODE]]</f>
        <v>item_steam_UK_LNER_N7</v>
      </c>
      <c r="O119" s="31" t="str">
        <f>"str_"&amp;CONTROL[[#This Row],[VEHIDCODE]]</f>
        <v>str_steam_UK_LNER_N7</v>
      </c>
    </row>
    <row r="120" spans="1:15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ISNUMBER(_xlfn.XMATCH(CONTROL[[#This Row],[VEHIDCODE]],GRAPHICS_PROPERTIES[VEHIDCODE],0))</f>
        <v>1</v>
      </c>
      <c r="N120" s="31" t="str">
        <f>"item_"&amp;CONTROL[[#This Row],[VEHIDCODE]]</f>
        <v>item_steam_Germany_Saxon_XX_HV</v>
      </c>
      <c r="O120" s="31" t="str">
        <f>"str_"&amp;CONTROL[[#This Row],[VEHIDCODE]]</f>
        <v>str_steam_Germany_Saxon_XX_HV</v>
      </c>
    </row>
    <row r="121" spans="1:15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ISNUMBER(_xlfn.XMATCH(CONTROL[[#This Row],[VEHIDCODE]],GRAPHICS_PROPERTIES[VEHIDCODE],0))</f>
        <v>1</v>
      </c>
      <c r="N121" s="31" t="str">
        <f>"item_"&amp;CONTROL[[#This Row],[VEHIDCODE]]</f>
        <v>item_steam_Belgium_NMBS_Type_7</v>
      </c>
      <c r="O121" s="31" t="str">
        <f>"str_"&amp;CONTROL[[#This Row],[VEHIDCODE]]</f>
        <v>str_steam_Belgium_NMBS_Type_7</v>
      </c>
    </row>
    <row r="122" spans="1:15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ISNUMBER(_xlfn.XMATCH(CONTROL[[#This Row],[VEHIDCODE]],GRAPHICS_PROPERTIES[VEHIDCODE],0))</f>
        <v>1</v>
      </c>
      <c r="N122" s="31" t="str">
        <f>"item_"&amp;CONTROL[[#This Row],[VEHIDCODE]]</f>
        <v>item_steam_Ireland_DSER_15</v>
      </c>
      <c r="O122" s="31" t="str">
        <f>"str_"&amp;CONTROL[[#This Row],[VEHIDCODE]]</f>
        <v>str_steam_Ireland_DSER_15</v>
      </c>
    </row>
    <row r="123" spans="1:15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ISNUMBER(_xlfn.XMATCH(CONTROL[[#This Row],[VEHIDCODE]],GRAPHICS_PROPERTIES[VEHIDCODE],0))</f>
        <v>1</v>
      </c>
      <c r="N123" s="31" t="str">
        <f>"item_"&amp;CONTROL[[#This Row],[VEHIDCODE]]</f>
        <v>item_steam_USA_Sierra_Railroad_28</v>
      </c>
      <c r="O123" s="31" t="str">
        <f>"str_"&amp;CONTROL[[#This Row],[VEHIDCODE]]</f>
        <v>str_steam_USA_Sierra_Railroad_28</v>
      </c>
    </row>
    <row r="124" spans="1:15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3011</v>
      </c>
      <c r="G124" t="s">
        <v>2417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ISNUMBER(_xlfn.XMATCH(CONTROL[[#This Row],[VEHIDCODE]],GRAPHICS_PROPERTIES[VEHIDCODE],0))</f>
        <v>1</v>
      </c>
      <c r="N124" s="31" t="str">
        <f>"item_"&amp;CONTROL[[#This Row],[VEHIDCODE]]</f>
        <v>item_steam_Canada_CN_U_1_Class</v>
      </c>
      <c r="O124" s="31" t="str">
        <f>"str_"&amp;CONTROL[[#This Row],[VEHIDCODE]]</f>
        <v>str_steam_Canada_CN_U_1_Class</v>
      </c>
    </row>
    <row r="125" spans="1:15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ISNUMBER(_xlfn.XMATCH(CONTROL[[#This Row],[VEHIDCODE]],GRAPHICS_PROPERTIES[VEHIDCODE],0))</f>
        <v>1</v>
      </c>
      <c r="N125" s="31" t="str">
        <f>"item_"&amp;CONTROL[[#This Row],[VEHIDCODE]]</f>
        <v>item_steam_India_Indian_Railways_XB_Class</v>
      </c>
      <c r="O125" s="31" t="str">
        <f>"str_"&amp;CONTROL[[#This Row],[VEHIDCODE]]</f>
        <v>str_steam_India_Indian_Railways_XB_Class</v>
      </c>
    </row>
    <row r="126" spans="1:15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ISNUMBER(_xlfn.XMATCH(CONTROL[[#This Row],[VEHIDCODE]],GRAPHICS_PROPERTIES[VEHIDCODE],0))</f>
        <v>1</v>
      </c>
      <c r="N126" s="31" t="str">
        <f>"item_"&amp;CONTROL[[#This Row],[VEHIDCODE]]</f>
        <v>item_steam_Iraq_Iraqi_State_Railways_PC_Class</v>
      </c>
      <c r="O126" s="31" t="str">
        <f>"str_"&amp;CONTROL[[#This Row],[VEHIDCODE]]</f>
        <v>str_steam_Iraq_Iraqi_State_Railways_PC_Class</v>
      </c>
    </row>
    <row r="127" spans="1:15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3082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ISNUMBER(_xlfn.XMATCH(CONTROL[[#This Row],[VEHIDCODE]],GRAPHICS_PROPERTIES[VEHIDCODE],0))</f>
        <v>1</v>
      </c>
      <c r="N127" s="31" t="str">
        <f>"item_"&amp;CONTROL[[#This Row],[VEHIDCODE]]</f>
        <v>item_steam_Egypt_ENR_1100</v>
      </c>
      <c r="O127" s="31" t="str">
        <f>"str_"&amp;CONTROL[[#This Row],[VEHIDCODE]]</f>
        <v>str_steam_Egypt_ENR_1100</v>
      </c>
    </row>
    <row r="128" spans="1:15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ISNUMBER(_xlfn.XMATCH(CONTROL[[#This Row],[VEHIDCODE]],GRAPHICS_PROPERTIES[VEHIDCODE],0))</f>
        <v>1</v>
      </c>
      <c r="N128" s="31" t="str">
        <f>"item_"&amp;CONTROL[[#This Row],[VEHIDCODE]]</f>
        <v>item_steam_UK_GWR_1600_Class</v>
      </c>
      <c r="O128" s="31" t="str">
        <f>"str_"&amp;CONTROL[[#This Row],[VEHIDCODE]]</f>
        <v>str_steam_UK_GWR_1600_Class</v>
      </c>
    </row>
    <row r="129" spans="1:15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ISNUMBER(_xlfn.XMATCH(CONTROL[[#This Row],[VEHIDCODE]],GRAPHICS_PROPERTIES[VEHIDCODE],0))</f>
        <v>1</v>
      </c>
      <c r="N129" s="31" t="str">
        <f>"item_"&amp;CONTROL[[#This Row],[VEHIDCODE]]</f>
        <v>item_steam_Australia_Victorian_Railways_R_Class</v>
      </c>
      <c r="O129" s="31" t="str">
        <f>"str_"&amp;CONTROL[[#This Row],[VEHIDCODE]]</f>
        <v>str_steam_Australia_Victorian_Railways_R_Class</v>
      </c>
    </row>
    <row r="130" spans="1:15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ISNUMBER(_xlfn.XMATCH(CONTROL[[#This Row],[VEHIDCODE]],GRAPHICS_PROPERTIES[VEHIDCODE],0))</f>
        <v>1</v>
      </c>
      <c r="N130" s="31" t="str">
        <f>"item_"&amp;CONTROL[[#This Row],[VEHIDCODE]]</f>
        <v>item_steam_Germany_DB_9977_79</v>
      </c>
      <c r="O130" s="31" t="str">
        <f>"str_"&amp;CONTROL[[#This Row],[VEHIDCODE]]</f>
        <v>str_steam_Germany_DB_9977_79</v>
      </c>
    </row>
    <row r="131" spans="1:15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3006</v>
      </c>
      <c r="G131" t="s">
        <v>3005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ISNUMBER(_xlfn.XMATCH(CONTROL[[#This Row],[VEHIDCODE]],GRAPHICS_PROPERTIES[VEHIDCODE],0))</f>
        <v>1</v>
      </c>
      <c r="N131" s="31" t="str">
        <f>"item_"&amp;CONTROL[[#This Row],[VEHIDCODE]]</f>
        <v>item_steam_Germany_DB_18_201</v>
      </c>
      <c r="O131" s="31" t="str">
        <f>"str_"&amp;CONTROL[[#This Row],[VEHIDCODE]]</f>
        <v>str_steam_Germany_DB_18_201</v>
      </c>
    </row>
    <row r="132" spans="1:15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ISNUMBER(_xlfn.XMATCH(CONTROL[[#This Row],[VEHIDCODE]],GRAPHICS_PROPERTIES[VEHIDCODE],0))</f>
        <v>1</v>
      </c>
      <c r="N132" s="31" t="str">
        <f>"item_"&amp;CONTROL[[#This Row],[VEHIDCODE]]</f>
        <v>item_steam_New_Zealand_NZR_WAB</v>
      </c>
      <c r="O132" s="31" t="str">
        <f>"str_"&amp;CONTROL[[#This Row],[VEHIDCODE]]</f>
        <v>str_steam_New_Zealand_NZR_WAB</v>
      </c>
    </row>
    <row r="133" spans="1:15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ISNUMBER(_xlfn.XMATCH(CONTROL[[#This Row],[VEHIDCODE]],GRAPHICS_PROPERTIES[VEHIDCODE],0))</f>
        <v>1</v>
      </c>
      <c r="N133" s="31" t="str">
        <f>"item_"&amp;CONTROL[[#This Row],[VEHIDCODE]]</f>
        <v>item_steam_Australia_NSWGR_D57</v>
      </c>
      <c r="O133" s="31" t="str">
        <f>"str_"&amp;CONTROL[[#This Row],[VEHIDCODE]]</f>
        <v>str_steam_Australia_NSWGR_D57</v>
      </c>
    </row>
    <row r="134" spans="1:15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ISNUMBER(_xlfn.XMATCH(CONTROL[[#This Row],[VEHIDCODE]],GRAPHICS_PROPERTIES[VEHIDCODE],0))</f>
        <v>1</v>
      </c>
      <c r="N134" s="31" t="str">
        <f>"item_"&amp;CONTROL[[#This Row],[VEHIDCODE]]</f>
        <v>item_steam_Australia_South_Australian_Railways_520</v>
      </c>
      <c r="O134" s="31" t="str">
        <f>"str_"&amp;CONTROL[[#This Row],[VEHIDCODE]]</f>
        <v>str_steam_Australia_South_Australian_Railways_520</v>
      </c>
    </row>
    <row r="135" spans="1:15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ISNUMBER(_xlfn.XMATCH(CONTROL[[#This Row],[VEHIDCODE]],GRAPHICS_PROPERTIES[VEHIDCODE],0))</f>
        <v>1</v>
      </c>
      <c r="N135" s="31" t="str">
        <f>"item_"&amp;CONTROL[[#This Row],[VEHIDCODE]]</f>
        <v>item_steam_Australia_NSWGR_AD60</v>
      </c>
      <c r="O135" s="31" t="str">
        <f>"str_"&amp;CONTROL[[#This Row],[VEHIDCODE]]</f>
        <v>str_steam_Australia_NSWGR_AD60</v>
      </c>
    </row>
    <row r="136" spans="1:15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ISNUMBER(_xlfn.XMATCH(CONTROL[[#This Row],[VEHIDCODE]],GRAPHICS_PROPERTIES[VEHIDCODE],0))</f>
        <v>1</v>
      </c>
      <c r="N136" s="31" t="str">
        <f>"item_"&amp;CONTROL[[#This Row],[VEHIDCODE]]</f>
        <v>item_steam_Uruguay_AFE_N1_2_6_0</v>
      </c>
      <c r="O136" s="31" t="str">
        <f>"str_"&amp;CONTROL[[#This Row],[VEHIDCODE]]</f>
        <v>str_steam_Uruguay_AFE_N1_2_6_0</v>
      </c>
    </row>
    <row r="137" spans="1:15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ISNUMBER(_xlfn.XMATCH(CONTROL[[#This Row],[VEHIDCODE]],GRAPHICS_PROPERTIES[VEHIDCODE],0))</f>
        <v>1</v>
      </c>
      <c r="N137" s="31" t="str">
        <f>"item_"&amp;CONTROL[[#This Row],[VEHIDCODE]]</f>
        <v>item_steam_Argentina_FCCA_PS11</v>
      </c>
      <c r="O137" s="31" t="str">
        <f>"str_"&amp;CONTROL[[#This Row],[VEHIDCODE]]</f>
        <v>str_steam_Argentina_FCCA_PS11</v>
      </c>
    </row>
    <row r="138" spans="1:15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2430</v>
      </c>
      <c r="G138" t="s">
        <v>2431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ISNUMBER(_xlfn.XMATCH(CONTROL[[#This Row],[VEHIDCODE]],GRAPHICS_PROPERTIES[VEHIDCODE],0))</f>
        <v>1</v>
      </c>
      <c r="N138" s="31" t="str">
        <f>"item_"&amp;CONTROL[[#This Row],[VEHIDCODE]]</f>
        <v>item_steam_South_Africa_Harbour_Board_EL_0_4_0</v>
      </c>
      <c r="O138" s="31" t="str">
        <f>"str_"&amp;CONTROL[[#This Row],[VEHIDCODE]]</f>
        <v>str_steam_South_Africa_Harbour_Board_EL_0_4_0</v>
      </c>
    </row>
    <row r="139" spans="1:15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ISNUMBER(_xlfn.XMATCH(CONTROL[[#This Row],[VEHIDCODE]],GRAPHICS_PROPERTIES[VEHIDCODE],0))</f>
        <v>1</v>
      </c>
      <c r="N139" s="31" t="str">
        <f>"item_"&amp;CONTROL[[#This Row],[VEHIDCODE]]</f>
        <v>item_steam_Mozambique_Beira_Railway_BR6_F2_Falcon</v>
      </c>
      <c r="O139" s="31" t="str">
        <f>"str_"&amp;CONTROL[[#This Row],[VEHIDCODE]]</f>
        <v>str_steam_Mozambique_Beira_Railway_BR6_F2_Falcon</v>
      </c>
    </row>
    <row r="140" spans="1:15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ISNUMBER(_xlfn.XMATCH(CONTROL[[#This Row],[VEHIDCODE]],GRAPHICS_PROPERTIES[VEHIDCODE],0))</f>
        <v>1</v>
      </c>
      <c r="N140" s="31" t="str">
        <f>"item_"&amp;CONTROL[[#This Row],[VEHIDCODE]]</f>
        <v>item_steam_Eritrea_Eritrean_Railway_R440</v>
      </c>
      <c r="O140" s="31" t="str">
        <f>"str_"&amp;CONTROL[[#This Row],[VEHIDCODE]]</f>
        <v>str_steam_Eritrea_Eritrean_Railway_R440</v>
      </c>
    </row>
    <row r="141" spans="1:15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ISNUMBER(_xlfn.XMATCH(CONTROL[[#This Row],[VEHIDCODE]],GRAPHICS_PROPERTIES[VEHIDCODE],0))</f>
        <v>1</v>
      </c>
      <c r="N141" s="31" t="str">
        <f>"item_"&amp;CONTROL[[#This Row],[VEHIDCODE]]</f>
        <v>item_steam_Kenya_East_African_Railway_23</v>
      </c>
      <c r="O141" s="31" t="str">
        <f>"str_"&amp;CONTROL[[#This Row],[VEHIDCODE]]</f>
        <v>str_steam_Kenya_East_African_Railway_23</v>
      </c>
    </row>
    <row r="142" spans="1:15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ISNUMBER(_xlfn.XMATCH(CONTROL[[#This Row],[VEHIDCODE]],GRAPHICS_PROPERTIES[VEHIDCODE],0))</f>
        <v>1</v>
      </c>
      <c r="N142" s="31" t="str">
        <f>"item_"&amp;CONTROL[[#This Row],[VEHIDCODE]]</f>
        <v>item_steam_Kenya_East_African_Railway_21</v>
      </c>
      <c r="O142" s="31" t="str">
        <f>"str_"&amp;CONTROL[[#This Row],[VEHIDCODE]]</f>
        <v>str_steam_Kenya_East_African_Railway_21</v>
      </c>
    </row>
    <row r="143" spans="1:15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2436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ISNUMBER(_xlfn.XMATCH(CONTROL[[#This Row],[VEHIDCODE]],GRAPHICS_PROPERTIES[VEHIDCODE],0))</f>
        <v>1</v>
      </c>
      <c r="N143" s="31" t="str">
        <f>"item_"&amp;CONTROL[[#This Row],[VEHIDCODE]]</f>
        <v>item_steam_Zimbabwe_Zimbabwe_Railways_15</v>
      </c>
      <c r="O143" s="31" t="str">
        <f>"str_"&amp;CONTROL[[#This Row],[VEHIDCODE]]</f>
        <v>str_steam_Zimbabwe_Zimbabwe_Railways_15</v>
      </c>
    </row>
    <row r="144" spans="1:15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2437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ISNUMBER(_xlfn.XMATCH(CONTROL[[#This Row],[VEHIDCODE]],GRAPHICS_PROPERTIES[VEHIDCODE],0))</f>
        <v>1</v>
      </c>
      <c r="N144" s="31" t="str">
        <f>"item_"&amp;CONTROL[[#This Row],[VEHIDCODE]]</f>
        <v>item_steam_South_Africa_SAR_GMA_4_8_2_2_8_4</v>
      </c>
      <c r="O144" s="31" t="str">
        <f>"str_"&amp;CONTROL[[#This Row],[VEHIDCODE]]</f>
        <v>str_steam_South_Africa_SAR_GMA_4_8_2_2_8_4</v>
      </c>
    </row>
    <row r="145" spans="1:15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2438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ISNUMBER(_xlfn.XMATCH(CONTROL[[#This Row],[VEHIDCODE]],GRAPHICS_PROPERTIES[VEHIDCODE],0))</f>
        <v>1</v>
      </c>
      <c r="N145" s="31" t="str">
        <f>"item_"&amp;CONTROL[[#This Row],[VEHIDCODE]]</f>
        <v>item_steam_Kenya_East_African_Railway_31</v>
      </c>
      <c r="O145" s="31" t="str">
        <f>"str_"&amp;CONTROL[[#This Row],[VEHIDCODE]]</f>
        <v>str_steam_Kenya_East_African_Railway_31</v>
      </c>
    </row>
    <row r="146" spans="1:15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3002</v>
      </c>
      <c r="G146" t="s">
        <v>2439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ISNUMBER(_xlfn.XMATCH(CONTROL[[#This Row],[VEHIDCODE]],GRAPHICS_PROPERTIES[VEHIDCODE],0))</f>
        <v>1</v>
      </c>
      <c r="N146" s="31" t="str">
        <f>"item_"&amp;CONTROL[[#This Row],[VEHIDCODE]]</f>
        <v>item_steam_India_Fairy_Queen</v>
      </c>
      <c r="O146" s="31" t="str">
        <f>"str_"&amp;CONTROL[[#This Row],[VEHIDCODE]]</f>
        <v>str_steam_India_Fairy_Queen</v>
      </c>
    </row>
    <row r="147" spans="1:15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ISNUMBER(_xlfn.XMATCH(CONTROL[[#This Row],[VEHIDCODE]],GRAPHICS_PROPERTIES[VEHIDCODE],0))</f>
        <v>1</v>
      </c>
      <c r="N147" s="31" t="str">
        <f>"item_"&amp;CONTROL[[#This Row],[VEHIDCODE]]</f>
        <v>item_steam_India_DHR_B</v>
      </c>
      <c r="O147" s="31" t="str">
        <f>"str_"&amp;CONTROL[[#This Row],[VEHIDCODE]]</f>
        <v>str_steam_India_DHR_B</v>
      </c>
    </row>
    <row r="148" spans="1:15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ISNUMBER(_xlfn.XMATCH(CONTROL[[#This Row],[VEHIDCODE]],GRAPHICS_PROPERTIES[VEHIDCODE],0))</f>
        <v>1</v>
      </c>
      <c r="N148" s="31" t="str">
        <f>"item_"&amp;CONTROL[[#This Row],[VEHIDCODE]]</f>
        <v>item_steam_China_China_Railways_H</v>
      </c>
      <c r="O148" s="31" t="str">
        <f>"str_"&amp;CONTROL[[#This Row],[VEHIDCODE]]</f>
        <v>str_steam_China_China_Railways_H</v>
      </c>
    </row>
    <row r="149" spans="1:15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ISNUMBER(_xlfn.XMATCH(CONTROL[[#This Row],[VEHIDCODE]],GRAPHICS_PROPERTIES[VEHIDCODE],0))</f>
        <v>1</v>
      </c>
      <c r="N149" s="31" t="str">
        <f>"item_"&amp;CONTROL[[#This Row],[VEHIDCODE]]</f>
        <v>item_steam_Russia_RZD_U</v>
      </c>
      <c r="O149" s="31" t="str">
        <f>"str_"&amp;CONTROL[[#This Row],[VEHIDCODE]]</f>
        <v>str_steam_Russia_RZD_U</v>
      </c>
    </row>
    <row r="150" spans="1:15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ISNUMBER(_xlfn.XMATCH(CONTROL[[#This Row],[VEHIDCODE]],GRAPHICS_PROPERTIES[VEHIDCODE],0))</f>
        <v>1</v>
      </c>
      <c r="N150" s="31" t="str">
        <f>"item_"&amp;CONTROL[[#This Row],[VEHIDCODE]]</f>
        <v>item_steam_Russia_RZD_E</v>
      </c>
      <c r="O150" s="31" t="str">
        <f>"str_"&amp;CONTROL[[#This Row],[VEHIDCODE]]</f>
        <v>str_steam_Russia_RZD_E</v>
      </c>
    </row>
    <row r="151" spans="1:15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2445</v>
      </c>
      <c r="G151" t="s">
        <v>2444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ISNUMBER(_xlfn.XMATCH(CONTROL[[#This Row],[VEHIDCODE]],GRAPHICS_PROPERTIES[VEHIDCODE],0))</f>
        <v>1</v>
      </c>
      <c r="N151" s="31" t="str">
        <f>"item_"&amp;CONTROL[[#This Row],[VEHIDCODE]]</f>
        <v>item_steam_Israel_Israel_Railways_H</v>
      </c>
      <c r="O151" s="31" t="str">
        <f>"str_"&amp;CONTROL[[#This Row],[VEHIDCODE]]</f>
        <v>str_steam_Israel_Israel_Railways_H</v>
      </c>
    </row>
    <row r="152" spans="1:15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2446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ISNUMBER(_xlfn.XMATCH(CONTROL[[#This Row],[VEHIDCODE]],GRAPHICS_PROPERTIES[VEHIDCODE],0))</f>
        <v>1</v>
      </c>
      <c r="N152" s="31" t="str">
        <f>"item_"&amp;CONTROL[[#This Row],[VEHIDCODE]]</f>
        <v>item_steam_Italy_FS_480</v>
      </c>
      <c r="O152" s="31" t="str">
        <f>"str_"&amp;CONTROL[[#This Row],[VEHIDCODE]]</f>
        <v>str_steam_Italy_FS_480</v>
      </c>
    </row>
    <row r="153" spans="1:15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2447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ISNUMBER(_xlfn.XMATCH(CONTROL[[#This Row],[VEHIDCODE]],GRAPHICS_PROPERTIES[VEHIDCODE],0))</f>
        <v>1</v>
      </c>
      <c r="N153" s="31" t="str">
        <f>"item_"&amp;CONTROL[[#This Row],[VEHIDCODE]]</f>
        <v>item_steam_Italy_FS_691</v>
      </c>
      <c r="O153" s="31" t="str">
        <f>"str_"&amp;CONTROL[[#This Row],[VEHIDCODE]]</f>
        <v>str_steam_Italy_FS_691</v>
      </c>
    </row>
    <row r="154" spans="1:15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2448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ISNUMBER(_xlfn.XMATCH(CONTROL[[#This Row],[VEHIDCODE]],GRAPHICS_PROPERTIES[VEHIDCODE],0))</f>
        <v>1</v>
      </c>
      <c r="N154" s="31" t="str">
        <f>"item_"&amp;CONTROL[[#This Row],[VEHIDCODE]]</f>
        <v>item_steam_Greece_SEK_Lb</v>
      </c>
      <c r="O154" s="31" t="str">
        <f>"str_"&amp;CONTROL[[#This Row],[VEHIDCODE]]</f>
        <v>str_steam_Greece_SEK_Lb</v>
      </c>
    </row>
    <row r="155" spans="1:15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2449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ISNUMBER(_xlfn.XMATCH(CONTROL[[#This Row],[VEHIDCODE]],GRAPHICS_PROPERTIES[VEHIDCODE],0))</f>
        <v>1</v>
      </c>
      <c r="N155" s="31" t="str">
        <f>"item_"&amp;CONTROL[[#This Row],[VEHIDCODE]]</f>
        <v>item_steam_Albania_HSH_01</v>
      </c>
      <c r="O155" s="31" t="str">
        <f>"str_"&amp;CONTROL[[#This Row],[VEHIDCODE]]</f>
        <v>str_steam_Albania_HSH_01</v>
      </c>
    </row>
    <row r="156" spans="1:15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ISNUMBER(_xlfn.XMATCH(CONTROL[[#This Row],[VEHIDCODE]],GRAPHICS_PROPERTIES[VEHIDCODE],0))</f>
        <v>1</v>
      </c>
      <c r="N156" s="31" t="str">
        <f>"item_"&amp;CONTROL[[#This Row],[VEHIDCODE]]</f>
        <v>item_steam_Spain_RENFE_242F</v>
      </c>
      <c r="O156" s="31" t="str">
        <f>"str_"&amp;CONTROL[[#This Row],[VEHIDCODE]]</f>
        <v>str_steam_Spain_RENFE_242F</v>
      </c>
    </row>
    <row r="157" spans="1:15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2778</v>
      </c>
      <c r="G157" t="s">
        <v>2451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ISNUMBER(_xlfn.XMATCH(CONTROL[[#This Row],[VEHIDCODE]],GRAPHICS_PROPERTIES[VEHIDCODE],0))</f>
        <v>1</v>
      </c>
      <c r="N157" s="31" t="str">
        <f>"item_"&amp;CONTROL[[#This Row],[VEHIDCODE]]</f>
        <v>item_steam_Czech_Republic_CD_5341</v>
      </c>
      <c r="O157" s="31" t="str">
        <f>"str_"&amp;CONTROL[[#This Row],[VEHIDCODE]]</f>
        <v>str_steam_Czech_Republic_CD_5341</v>
      </c>
    </row>
    <row r="158" spans="1:15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ISNUMBER(_xlfn.XMATCH(CONTROL[[#This Row],[VEHIDCODE]],GRAPHICS_PROPERTIES[VEHIDCODE],0))</f>
        <v>1</v>
      </c>
      <c r="N158" s="31" t="str">
        <f>"item_"&amp;CONTROL[[#This Row],[VEHIDCODE]]</f>
        <v>item_steam_Poland_PKP_Ok22</v>
      </c>
      <c r="O158" s="31" t="str">
        <f>"str_"&amp;CONTROL[[#This Row],[VEHIDCODE]]</f>
        <v>str_steam_Poland_PKP_Ok22</v>
      </c>
    </row>
    <row r="159" spans="1:15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2495</v>
      </c>
      <c r="G159" t="s">
        <v>2453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ISNUMBER(_xlfn.XMATCH(CONTROL[[#This Row],[VEHIDCODE]],GRAPHICS_PROPERTIES[VEHIDCODE],0))</f>
        <v>1</v>
      </c>
      <c r="N159" s="31" t="str">
        <f>"item_"&amp;CONTROL[[#This Row],[VEHIDCODE]]</f>
        <v>item_steam_Croatia_HZ_11</v>
      </c>
      <c r="O159" s="31" t="str">
        <f>"str_"&amp;CONTROL[[#This Row],[VEHIDCODE]]</f>
        <v>str_steam_Croatia_HZ_11</v>
      </c>
    </row>
    <row r="160" spans="1:15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2496</v>
      </c>
      <c r="G160" t="s">
        <v>2454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ISNUMBER(_xlfn.XMATCH(CONTROL[[#This Row],[VEHIDCODE]],GRAPHICS_PROPERTIES[VEHIDCODE],0))</f>
        <v>1</v>
      </c>
      <c r="N160" s="31" t="str">
        <f>"item_"&amp;CONTROL[[#This Row],[VEHIDCODE]]</f>
        <v>item_steam_Hungary_MAV_242</v>
      </c>
      <c r="O160" s="31" t="str">
        <f>"str_"&amp;CONTROL[[#This Row],[VEHIDCODE]]</f>
        <v>str_steam_Hungary_MAV_242</v>
      </c>
    </row>
    <row r="161" spans="1:15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2779</v>
      </c>
      <c r="G161" t="s">
        <v>3010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ISNUMBER(_xlfn.XMATCH(CONTROL[[#This Row],[VEHIDCODE]],GRAPHICS_PROPERTIES[VEHIDCODE],0))</f>
        <v>1</v>
      </c>
      <c r="N161" s="31" t="str">
        <f>"item_"&amp;CONTROL[[#This Row],[VEHIDCODE]]</f>
        <v>item_steam_Czech_Republic_CD_4590</v>
      </c>
      <c r="O161" s="31" t="str">
        <f>"str_"&amp;CONTROL[[#This Row],[VEHIDCODE]]</f>
        <v>str_steam_Czech_Republic_CD_4590</v>
      </c>
    </row>
    <row r="162" spans="1:15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ISNUMBER(_xlfn.XMATCH(CONTROL[[#This Row],[VEHIDCODE]],GRAPHICS_PROPERTIES[VEHIDCODE],0))</f>
        <v>1</v>
      </c>
      <c r="N162" s="31" t="str">
        <f>"item_"&amp;CONTROL[[#This Row],[VEHIDCODE]]</f>
        <v>item_steam_Poland_PKP_OI49</v>
      </c>
      <c r="O162" s="31" t="str">
        <f>"str_"&amp;CONTROL[[#This Row],[VEHIDCODE]]</f>
        <v>str_steam_Poland_PKP_OI49</v>
      </c>
    </row>
    <row r="163" spans="1:15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2456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ISNUMBER(_xlfn.XMATCH(CONTROL[[#This Row],[VEHIDCODE]],GRAPHICS_PROPERTIES[VEHIDCODE],0))</f>
        <v>1</v>
      </c>
      <c r="N163" s="31" t="str">
        <f>"item_"&amp;CONTROL[[#This Row],[VEHIDCODE]]</f>
        <v>item_steam_Austria_KKStB_310</v>
      </c>
      <c r="O163" s="31" t="str">
        <f>"str_"&amp;CONTROL[[#This Row],[VEHIDCODE]]</f>
        <v>str_steam_Austria_KKStB_310</v>
      </c>
    </row>
    <row r="164" spans="1:15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2457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ISNUMBER(_xlfn.XMATCH(CONTROL[[#This Row],[VEHIDCODE]],GRAPHICS_PROPERTIES[VEHIDCODE],0))</f>
        <v>1</v>
      </c>
      <c r="N164" s="31" t="str">
        <f>"item_"&amp;CONTROL[[#This Row],[VEHIDCODE]]</f>
        <v>item_steam_USA_Southern_Pacific_GS_4_Daylight</v>
      </c>
      <c r="O164" s="31" t="str">
        <f>"str_"&amp;CONTROL[[#This Row],[VEHIDCODE]]</f>
        <v>str_steam_USA_Southern_Pacific_GS_4_Daylight</v>
      </c>
    </row>
    <row r="165" spans="1:15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2458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ISNUMBER(_xlfn.XMATCH(CONTROL[[#This Row],[VEHIDCODE]],GRAPHICS_PROPERTIES[VEHIDCODE],0))</f>
        <v>1</v>
      </c>
      <c r="N165" s="31" t="str">
        <f>"item_"&amp;CONTROL[[#This Row],[VEHIDCODE]]</f>
        <v>item_steam_Ireland_GS_WR_101</v>
      </c>
      <c r="O165" s="31" t="str">
        <f>"str_"&amp;CONTROL[[#This Row],[VEHIDCODE]]</f>
        <v>str_steam_Ireland_GS_WR_101</v>
      </c>
    </row>
    <row r="166" spans="1:15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2459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ISNUMBER(_xlfn.XMATCH(CONTROL[[#This Row],[VEHIDCODE]],GRAPHICS_PROPERTIES[VEHIDCODE],0))</f>
        <v>1</v>
      </c>
      <c r="N166" s="31" t="str">
        <f>"item_"&amp;CONTROL[[#This Row],[VEHIDCODE]]</f>
        <v>item_steam_USA_NYC_H_6A_Light_Mikado</v>
      </c>
      <c r="O166" s="31" t="str">
        <f>"str_"&amp;CONTROL[[#This Row],[VEHIDCODE]]</f>
        <v>str_steam_USA_NYC_H_6A_Light_Mikado</v>
      </c>
    </row>
    <row r="167" spans="1:15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3083</v>
      </c>
      <c r="G167" t="s">
        <v>2460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ISNUMBER(_xlfn.XMATCH(CONTROL[[#This Row],[VEHIDCODE]],GRAPHICS_PROPERTIES[VEHIDCODE],0))</f>
        <v>1</v>
      </c>
      <c r="N167" s="31" t="str">
        <f>"item_"&amp;CONTROL[[#This Row],[VEHIDCODE]]</f>
        <v>item_steam_Argentina_FCGR_315</v>
      </c>
      <c r="O167" s="31" t="str">
        <f>"str_"&amp;CONTROL[[#This Row],[VEHIDCODE]]</f>
        <v>str_steam_Argentina_FCGR_315</v>
      </c>
    </row>
    <row r="168" spans="1:15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ISNUMBER(_xlfn.XMATCH(CONTROL[[#This Row],[VEHIDCODE]],GRAPHICS_PROPERTIES[VEHIDCODE],0))</f>
        <v>1</v>
      </c>
      <c r="N168" s="31" t="str">
        <f>"item_"&amp;CONTROL[[#This Row],[VEHIDCODE]]</f>
        <v>item_steam_Australia_NSWGR_C35</v>
      </c>
      <c r="O168" s="31" t="str">
        <f>"str_"&amp;CONTROL[[#This Row],[VEHIDCODE]]</f>
        <v>str_steam_Australia_NSWGR_C35</v>
      </c>
    </row>
    <row r="169" spans="1:15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ISNUMBER(_xlfn.XMATCH(CONTROL[[#This Row],[VEHIDCODE]],GRAPHICS_PROPERTIES[VEHIDCODE],0))</f>
        <v>1</v>
      </c>
      <c r="N169" s="31" t="str">
        <f>"item_"&amp;CONTROL[[#This Row],[VEHIDCODE]]</f>
        <v>item_steam_Belgium_NMBS_SNCB_Type_29</v>
      </c>
      <c r="O169" s="31" t="str">
        <f>"str_"&amp;CONTROL[[#This Row],[VEHIDCODE]]</f>
        <v>str_steam_Belgium_NMBS_SNCB_Type_29</v>
      </c>
    </row>
    <row r="170" spans="1:15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2463</v>
      </c>
      <c r="G170" t="s">
        <v>2464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ISNUMBER(_xlfn.XMATCH(CONTROL[[#This Row],[VEHIDCODE]],GRAPHICS_PROPERTIES[VEHIDCODE],0))</f>
        <v>1</v>
      </c>
      <c r="N170" s="31" t="str">
        <f>"item_"&amp;CONTROL[[#This Row],[VEHIDCODE]]</f>
        <v>item_steam_Chile_FCAB_4_8_2</v>
      </c>
      <c r="O170" s="31" t="str">
        <f>"str_"&amp;CONTROL[[#This Row],[VEHIDCODE]]</f>
        <v>str_steam_Chile_FCAB_4_8_2</v>
      </c>
    </row>
    <row r="171" spans="1:15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ISNUMBER(_xlfn.XMATCH(CONTROL[[#This Row],[VEHIDCODE]],GRAPHICS_PROPERTIES[VEHIDCODE],0))</f>
        <v>1</v>
      </c>
      <c r="N171" s="31" t="str">
        <f>"item_"&amp;CONTROL[[#This Row],[VEHIDCODE]]</f>
        <v>item_steam_China_Railways_QJ</v>
      </c>
      <c r="O171" s="31" t="str">
        <f>"str_"&amp;CONTROL[[#This Row],[VEHIDCODE]]</f>
        <v>str_steam_China_Railways_QJ</v>
      </c>
    </row>
    <row r="172" spans="1:15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2466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ISNUMBER(_xlfn.XMATCH(CONTROL[[#This Row],[VEHIDCODE]],GRAPHICS_PROPERTIES[VEHIDCODE],0))</f>
        <v>1</v>
      </c>
      <c r="N172" s="31" t="str">
        <f>"item_"&amp;CONTROL[[#This Row],[VEHIDCODE]]</f>
        <v>item_diesel_Germany_DB_Kof_II</v>
      </c>
      <c r="O172" s="31" t="str">
        <f>"str_"&amp;CONTROL[[#This Row],[VEHIDCODE]]</f>
        <v>str_diesel_Germany_DB_Kof_II</v>
      </c>
    </row>
    <row r="173" spans="1:15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2467</v>
      </c>
      <c r="G173" t="s">
        <v>2469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ISNUMBER(_xlfn.XMATCH(CONTROL[[#This Row],[VEHIDCODE]],GRAPHICS_PROPERTIES[VEHIDCODE],0))</f>
        <v>1</v>
      </c>
      <c r="N173" s="31" t="str">
        <f>"item_"&amp;CONTROL[[#This Row],[VEHIDCODE]]</f>
        <v>item_diesel_USA_CNJ_ALCo_GE_IR_Boxcab</v>
      </c>
      <c r="O173" s="31" t="str">
        <f>"str_"&amp;CONTROL[[#This Row],[VEHIDCODE]]</f>
        <v>str_diesel_USA_CNJ_ALCo_GE_IR_Boxcab</v>
      </c>
    </row>
    <row r="174" spans="1:15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2468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ISNUMBER(_xlfn.XMATCH(CONTROL[[#This Row],[VEHIDCODE]],GRAPHICS_PROPERTIES[VEHIDCODE],0))</f>
        <v>1</v>
      </c>
      <c r="N174" s="31" t="str">
        <f>"item_"&amp;CONTROL[[#This Row],[VEHIDCODE]]</f>
        <v>item_diesel_Netherlands_NS_200</v>
      </c>
      <c r="O174" s="31" t="str">
        <f>"str_"&amp;CONTROL[[#This Row],[VEHIDCODE]]</f>
        <v>str_diesel_Netherlands_NS_200</v>
      </c>
    </row>
    <row r="175" spans="1:15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ISNUMBER(_xlfn.XMATCH(CONTROL[[#This Row],[VEHIDCODE]],GRAPHICS_PROPERTIES[VEHIDCODE],0))</f>
        <v>1</v>
      </c>
      <c r="N175" s="31" t="str">
        <f>"item_"&amp;CONTROL[[#This Row],[VEHIDCODE]]</f>
        <v>item_diesel_Germany_DB_270</v>
      </c>
      <c r="O175" s="31" t="str">
        <f>"str_"&amp;CONTROL[[#This Row],[VEHIDCODE]]</f>
        <v>str_diesel_Germany_DB_270</v>
      </c>
    </row>
    <row r="176" spans="1:15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ISNUMBER(_xlfn.XMATCH(CONTROL[[#This Row],[VEHIDCODE]],GRAPHICS_PROPERTIES[VEHIDCODE],0))</f>
        <v>1</v>
      </c>
      <c r="N176" s="31" t="str">
        <f>"item_"&amp;CONTROL[[#This Row],[VEHIDCODE]]</f>
        <v>item_diesel_Switzerland_SBB_Am_4_6</v>
      </c>
      <c r="O176" s="31" t="str">
        <f>"str_"&amp;CONTROL[[#This Row],[VEHIDCODE]]</f>
        <v>str_diesel_Switzerland_SBB_Am_4_6</v>
      </c>
    </row>
    <row r="177" spans="1:15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ISNUMBER(_xlfn.XMATCH(CONTROL[[#This Row],[VEHIDCODE]],GRAPHICS_PROPERTIES[VEHIDCODE],0))</f>
        <v>1</v>
      </c>
      <c r="N177" s="31" t="str">
        <f>"item_"&amp;CONTROL[[#This Row],[VEHIDCODE]]</f>
        <v>item_diesel_Australia_NSWGR_79</v>
      </c>
      <c r="O177" s="31" t="str">
        <f>"str_"&amp;CONTROL[[#This Row],[VEHIDCODE]]</f>
        <v>str_diesel_Australia_NSWGR_79</v>
      </c>
    </row>
    <row r="178" spans="1:15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ISNUMBER(_xlfn.XMATCH(CONTROL[[#This Row],[VEHIDCODE]],GRAPHICS_PROPERTIES[VEHIDCODE],0))</f>
        <v>1</v>
      </c>
      <c r="N178" s="31" t="str">
        <f>"item_"&amp;CONTROL[[#This Row],[VEHIDCODE]]</f>
        <v>item_diesel_USA_Western_Pacific_ALCO_S_2</v>
      </c>
      <c r="O178" s="31" t="str">
        <f>"str_"&amp;CONTROL[[#This Row],[VEHIDCODE]]</f>
        <v>str_diesel_USA_Western_Pacific_ALCO_S_2</v>
      </c>
    </row>
    <row r="179" spans="1:15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ISNUMBER(_xlfn.XMATCH(CONTROL[[#This Row],[VEHIDCODE]],GRAPHICS_PROPERTIES[VEHIDCODE],0))</f>
        <v>1</v>
      </c>
      <c r="N179" s="31" t="str">
        <f>"item_"&amp;CONTROL[[#This Row],[VEHIDCODE]]</f>
        <v>item_diesel_USA_AT_SF_EMD_F3</v>
      </c>
      <c r="O179" s="31" t="str">
        <f>"str_"&amp;CONTROL[[#This Row],[VEHIDCODE]]</f>
        <v>str_diesel_USA_AT_SF_EMD_F3</v>
      </c>
    </row>
    <row r="180" spans="1:15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2476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ISNUMBER(_xlfn.XMATCH(CONTROL[[#This Row],[VEHIDCODE]],GRAPHICS_PROPERTIES[VEHIDCODE],0))</f>
        <v>1</v>
      </c>
      <c r="N180" s="31" t="str">
        <f>"item_"&amp;CONTROL[[#This Row],[VEHIDCODE]]</f>
        <v>item_diesel_USA_UP_EMD_E8</v>
      </c>
      <c r="O180" s="31" t="str">
        <f>"str_"&amp;CONTROL[[#This Row],[VEHIDCODE]]</f>
        <v>str_diesel_USA_UP_EMD_E8</v>
      </c>
    </row>
    <row r="181" spans="1:15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2478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ISNUMBER(_xlfn.XMATCH(CONTROL[[#This Row],[VEHIDCODE]],GRAPHICS_PROPERTIES[VEHIDCODE],0))</f>
        <v>1</v>
      </c>
      <c r="N181" s="31" t="str">
        <f>"item_"&amp;CONTROL[[#This Row],[VEHIDCODE]]</f>
        <v>item_diesel_Brazil_EFCB_ALCO_RS_3</v>
      </c>
      <c r="O181" s="31" t="str">
        <f>"str_"&amp;CONTROL[[#This Row],[VEHIDCODE]]</f>
        <v>str_diesel_Brazil_EFCB_ALCO_RS_3</v>
      </c>
    </row>
    <row r="182" spans="1:15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2479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ISNUMBER(_xlfn.XMATCH(CONTROL[[#This Row],[VEHIDCODE]],GRAPHICS_PROPERTIES[VEHIDCODE],0))</f>
        <v>1</v>
      </c>
      <c r="N182" s="31" t="str">
        <f>"item_"&amp;CONTROL[[#This Row],[VEHIDCODE]]</f>
        <v>item_diesel_Netherlands_NS_600</v>
      </c>
      <c r="O182" s="31" t="str">
        <f>"str_"&amp;CONTROL[[#This Row],[VEHIDCODE]]</f>
        <v>str_diesel_Netherlands_NS_600</v>
      </c>
    </row>
    <row r="183" spans="1:15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ISNUMBER(_xlfn.XMATCH(CONTROL[[#This Row],[VEHIDCODE]],GRAPHICS_PROPERTIES[VEHIDCODE],0))</f>
        <v>1</v>
      </c>
      <c r="N183" s="31" t="str">
        <f>"item_"&amp;CONTROL[[#This Row],[VEHIDCODE]]</f>
        <v>item_diesel_USA_Pennsylvania_Railroad_RF_16_Sharknose</v>
      </c>
      <c r="O183" s="31" t="str">
        <f>"str_"&amp;CONTROL[[#This Row],[VEHIDCODE]]</f>
        <v>str_diesel_USA_Pennsylvania_Railroad_RF_16_Sharknose</v>
      </c>
    </row>
    <row r="184" spans="1:15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ISNUMBER(_xlfn.XMATCH(CONTROL[[#This Row],[VEHIDCODE]],GRAPHICS_PROPERTIES[VEHIDCODE],0))</f>
        <v>1</v>
      </c>
      <c r="N184" s="31" t="str">
        <f>"item_"&amp;CONTROL[[#This Row],[VEHIDCODE]]</f>
        <v>item_diesel_Uruguay_AFE_1500</v>
      </c>
      <c r="O184" s="31" t="str">
        <f>"str_"&amp;CONTROL[[#This Row],[VEHIDCODE]]</f>
        <v>str_diesel_Uruguay_AFE_1500</v>
      </c>
    </row>
    <row r="185" spans="1:15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2481</v>
      </c>
      <c r="G185" t="s">
        <v>2482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ISNUMBER(_xlfn.XMATCH(CONTROL[[#This Row],[VEHIDCODE]],GRAPHICS_PROPERTIES[VEHIDCODE],0))</f>
        <v>1</v>
      </c>
      <c r="N185" s="31" t="str">
        <f>"item_"&amp;CONTROL[[#This Row],[VEHIDCODE]]</f>
        <v>item_diesel_Canada_CPR_Trainmaster</v>
      </c>
      <c r="O185" s="31" t="str">
        <f>"str_"&amp;CONTROL[[#This Row],[VEHIDCODE]]</f>
        <v>str_diesel_Canada_CPR_Trainmaster</v>
      </c>
    </row>
    <row r="186" spans="1:15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3084</v>
      </c>
      <c r="G186" t="s">
        <v>2483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ISNUMBER(_xlfn.XMATCH(CONTROL[[#This Row],[VEHIDCODE]],GRAPHICS_PROPERTIES[VEHIDCODE],0))</f>
        <v>1</v>
      </c>
      <c r="N186" s="31" t="str">
        <f>"item_"&amp;CONTROL[[#This Row],[VEHIDCODE]]</f>
        <v>item_diesel_Liberia_Liberia_Railways_Class_08</v>
      </c>
      <c r="O186" s="31" t="str">
        <f>"str_"&amp;CONTROL[[#This Row],[VEHIDCODE]]</f>
        <v>str_diesel_Liberia_Liberia_Railways_Class_08</v>
      </c>
    </row>
    <row r="187" spans="1:15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2487</v>
      </c>
      <c r="G187" t="s">
        <v>2501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ISNUMBER(_xlfn.XMATCH(CONTROL[[#This Row],[VEHIDCODE]],GRAPHICS_PROPERTIES[VEHIDCODE],0))</f>
        <v>1</v>
      </c>
      <c r="N187" s="31" t="str">
        <f>"item_"&amp;CONTROL[[#This Row],[VEHIDCODE]]</f>
        <v>item_diesel_Austria_OBB_2060</v>
      </c>
      <c r="O187" s="31" t="str">
        <f>"str_"&amp;CONTROL[[#This Row],[VEHIDCODE]]</f>
        <v>str_diesel_Austria_OBB_2060</v>
      </c>
    </row>
    <row r="188" spans="1:15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ISNUMBER(_xlfn.XMATCH(CONTROL[[#This Row],[VEHIDCODE]],GRAPHICS_PROPERTIES[VEHIDCODE],0))</f>
        <v>1</v>
      </c>
      <c r="N188" s="31" t="str">
        <f>"item_"&amp;CONTROL[[#This Row],[VEHIDCODE]]</f>
        <v>item_diesel_Canada_CNR_SW1200</v>
      </c>
      <c r="O188" s="31" t="str">
        <f>"str_"&amp;CONTROL[[#This Row],[VEHIDCODE]]</f>
        <v>str_diesel_Canada_CNR_SW1200</v>
      </c>
    </row>
    <row r="189" spans="1:15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ISNUMBER(_xlfn.XMATCH(CONTROL[[#This Row],[VEHIDCODE]],GRAPHICS_PROPERTIES[VEHIDCODE],0))</f>
        <v>1</v>
      </c>
      <c r="N189" s="31" t="str">
        <f>"item_"&amp;CONTROL[[#This Row],[VEHIDCODE]]</f>
        <v>item_diesel_Canada_VIA_Rail_FP9</v>
      </c>
      <c r="O189" s="31" t="str">
        <f>"str_"&amp;CONTROL[[#This Row],[VEHIDCODE]]</f>
        <v>str_diesel_Canada_VIA_Rail_FP9</v>
      </c>
    </row>
    <row r="190" spans="1:15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2497</v>
      </c>
      <c r="G190" t="s">
        <v>2475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ISNUMBER(_xlfn.XMATCH(CONTROL[[#This Row],[VEHIDCODE]],GRAPHICS_PROPERTIES[VEHIDCODE],0))</f>
        <v>1</v>
      </c>
      <c r="N190" s="31" t="str">
        <f>"item_"&amp;CONTROL[[#This Row],[VEHIDCODE]]</f>
        <v>item_diesel_Hungary_MAV_M44</v>
      </c>
      <c r="O190" s="31" t="str">
        <f>"str_"&amp;CONTROL[[#This Row],[VEHIDCODE]]</f>
        <v>str_diesel_Hungary_MAV_M44</v>
      </c>
    </row>
    <row r="191" spans="1:15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2498</v>
      </c>
      <c r="G191" t="s">
        <v>2504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ISNUMBER(_xlfn.XMATCH(CONTROL[[#This Row],[VEHIDCODE]],GRAPHICS_PROPERTIES[VEHIDCODE],0))</f>
        <v>1</v>
      </c>
      <c r="N191" s="31" t="str">
        <f>"item_"&amp;CONTROL[[#This Row],[VEHIDCODE]]</f>
        <v>item_diesel_Hungary_MAV_M28</v>
      </c>
      <c r="O191" s="31" t="str">
        <f>"str_"&amp;CONTROL[[#This Row],[VEHIDCODE]]</f>
        <v>str_diesel_Hungary_MAV_M28</v>
      </c>
    </row>
    <row r="192" spans="1:15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2505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ISNUMBER(_xlfn.XMATCH(CONTROL[[#This Row],[VEHIDCODE]],GRAPHICS_PROPERTIES[VEHIDCODE],0))</f>
        <v>1</v>
      </c>
      <c r="N192" s="31" t="str">
        <f>"item_"&amp;CONTROL[[#This Row],[VEHIDCODE]]</f>
        <v>item_diesel_Belgium_NMBS_SNCB_83</v>
      </c>
      <c r="O192" s="31" t="str">
        <f>"str_"&amp;CONTROL[[#This Row],[VEHIDCODE]]</f>
        <v>str_diesel_Belgium_NMBS_SNCB_83</v>
      </c>
    </row>
    <row r="193" spans="1:15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2506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ISNUMBER(_xlfn.XMATCH(CONTROL[[#This Row],[VEHIDCODE]],GRAPHICS_PROPERTIES[VEHIDCODE],0))</f>
        <v>1</v>
      </c>
      <c r="N193" s="31" t="str">
        <f>"item_"&amp;CONTROL[[#This Row],[VEHIDCODE]]</f>
        <v>item_diesel_Germany_DB_220</v>
      </c>
      <c r="O193" s="31" t="str">
        <f>"str_"&amp;CONTROL[[#This Row],[VEHIDCODE]]</f>
        <v>str_diesel_Germany_DB_220</v>
      </c>
    </row>
    <row r="194" spans="1:15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2507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ISNUMBER(_xlfn.XMATCH(CONTROL[[#This Row],[VEHIDCODE]],GRAPHICS_PROPERTIES[VEHIDCODE],0))</f>
        <v>1</v>
      </c>
      <c r="N194" s="31" t="str">
        <f>"item_"&amp;CONTROL[[#This Row],[VEHIDCODE]]</f>
        <v>item_diesel_USA_Amtrak_FL9</v>
      </c>
      <c r="O194" s="31" t="str">
        <f>"str_"&amp;CONTROL[[#This Row],[VEHIDCODE]]</f>
        <v>str_diesel_USA_Amtrak_FL9</v>
      </c>
    </row>
    <row r="195" spans="1:15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2780</v>
      </c>
      <c r="G195" t="s">
        <v>2508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ISNUMBER(_xlfn.XMATCH(CONTROL[[#This Row],[VEHIDCODE]],GRAPHICS_PROPERTIES[VEHIDCODE],0))</f>
        <v>1</v>
      </c>
      <c r="N195" s="31" t="str">
        <f>"item_"&amp;CONTROL[[#This Row],[VEHIDCODE]]</f>
        <v>item_diesel_Czech_Republic_CD_720_ChME2</v>
      </c>
      <c r="O195" s="31" t="str">
        <f>"str_"&amp;CONTROL[[#This Row],[VEHIDCODE]]</f>
        <v>str_diesel_Czech_Republic_CD_720_ChME2</v>
      </c>
    </row>
    <row r="196" spans="1:15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2509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ISNUMBER(_xlfn.XMATCH(CONTROL[[#This Row],[VEHIDCODE]],GRAPHICS_PROPERTIES[VEHIDCODE],0))</f>
        <v>1</v>
      </c>
      <c r="N196" s="31" t="str">
        <f>"item_"&amp;CONTROL[[#This Row],[VEHIDCODE]]</f>
        <v>item_diesel_Finland_VR_Dr12</v>
      </c>
      <c r="O196" s="31" t="str">
        <f>"str_"&amp;CONTROL[[#This Row],[VEHIDCODE]]</f>
        <v>str_diesel_Finland_VR_Dr12</v>
      </c>
    </row>
    <row r="197" spans="1:15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ISNUMBER(_xlfn.XMATCH(CONTROL[[#This Row],[VEHIDCODE]],GRAPHICS_PROPERTIES[VEHIDCODE],0))</f>
        <v>1</v>
      </c>
      <c r="N197" s="31" t="str">
        <f>"item_"&amp;CONTROL[[#This Row],[VEHIDCODE]]</f>
        <v>item_diesel_Romania_CFR_060_DA</v>
      </c>
      <c r="O197" s="31" t="str">
        <f>"str_"&amp;CONTROL[[#This Row],[VEHIDCODE]]</f>
        <v>str_diesel_Romania_CFR_060_DA</v>
      </c>
    </row>
    <row r="198" spans="1:15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ISNUMBER(_xlfn.XMATCH(CONTROL[[#This Row],[VEHIDCODE]],GRAPHICS_PROPERTIES[VEHIDCODE],0))</f>
        <v>1</v>
      </c>
      <c r="N198" s="31" t="str">
        <f>"item_"&amp;CONTROL[[#This Row],[VEHIDCODE]]</f>
        <v>item_diesel_Brazil_BF_EMD_GL8</v>
      </c>
      <c r="O198" s="31" t="str">
        <f>"str_"&amp;CONTROL[[#This Row],[VEHIDCODE]]</f>
        <v>str_diesel_Brazil_BF_EMD_GL8</v>
      </c>
    </row>
    <row r="199" spans="1:15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ISNUMBER(_xlfn.XMATCH(CONTROL[[#This Row],[VEHIDCODE]],GRAPHICS_PROPERTIES[VEHIDCODE],0))</f>
        <v>1</v>
      </c>
      <c r="N199" s="31" t="str">
        <f>"item_"&amp;CONTROL[[#This Row],[VEHIDCODE]]</f>
        <v>item_diesel_Brazil_EFVM_ML4000</v>
      </c>
      <c r="O199" s="31" t="str">
        <f>"str_"&amp;CONTROL[[#This Row],[VEHIDCODE]]</f>
        <v>str_diesel_Brazil_EFVM_ML4000</v>
      </c>
    </row>
    <row r="200" spans="1:15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ISNUMBER(_xlfn.XMATCH(CONTROL[[#This Row],[VEHIDCODE]],GRAPHICS_PROPERTIES[VEHIDCODE],0))</f>
        <v>1</v>
      </c>
      <c r="N200" s="31" t="str">
        <f>"item_"&amp;CONTROL[[#This Row],[VEHIDCODE]]</f>
        <v>item_diesel_Russia_RZD_TEP60</v>
      </c>
      <c r="O200" s="31" t="str">
        <f>"str_"&amp;CONTROL[[#This Row],[VEHIDCODE]]</f>
        <v>str_diesel_Russia_RZD_TEP60</v>
      </c>
    </row>
    <row r="201" spans="1:15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ISNUMBER(_xlfn.XMATCH(CONTROL[[#This Row],[VEHIDCODE]],GRAPHICS_PROPERTIES[VEHIDCODE],0))</f>
        <v>1</v>
      </c>
      <c r="N201" s="31" t="str">
        <f>"item_"&amp;CONTROL[[#This Row],[VEHIDCODE]]</f>
        <v>item_diesel_Belgium_NMBS_SNCB_62</v>
      </c>
      <c r="O201" s="31" t="str">
        <f>"str_"&amp;CONTROL[[#This Row],[VEHIDCODE]]</f>
        <v>str_diesel_Belgium_NMBS_SNCB_62</v>
      </c>
    </row>
    <row r="202" spans="1:15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2515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ISNUMBER(_xlfn.XMATCH(CONTROL[[#This Row],[VEHIDCODE]],GRAPHICS_PROPERTIES[VEHIDCODE],0))</f>
        <v>1</v>
      </c>
      <c r="N202" s="31" t="str">
        <f>"item_"&amp;CONTROL[[#This Row],[VEHIDCODE]]</f>
        <v>item_diesel_Denmark_DSB_MaK_100</v>
      </c>
      <c r="O202" s="31" t="str">
        <f>"str_"&amp;CONTROL[[#This Row],[VEHIDCODE]]</f>
        <v>str_diesel_Denmark_DSB_MaK_100</v>
      </c>
    </row>
    <row r="203" spans="1:15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2516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ISNUMBER(_xlfn.XMATCH(CONTROL[[#This Row],[VEHIDCODE]],GRAPHICS_PROPERTIES[VEHIDCODE],0))</f>
        <v>1</v>
      </c>
      <c r="N203" s="31" t="str">
        <f>"item_"&amp;CONTROL[[#This Row],[VEHIDCODE]]</f>
        <v>item_diesel_India_Indian_Railways_WDM_2</v>
      </c>
      <c r="O203" s="31" t="str">
        <f>"str_"&amp;CONTROL[[#This Row],[VEHIDCODE]]</f>
        <v>str_diesel_India_Indian_Railways_WDM_2</v>
      </c>
    </row>
    <row r="204" spans="1:15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2517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ISNUMBER(_xlfn.XMATCH(CONTROL[[#This Row],[VEHIDCODE]],GRAPHICS_PROPERTIES[VEHIDCODE],0))</f>
        <v>1</v>
      </c>
      <c r="N204" s="31" t="str">
        <f>"item_"&amp;CONTROL[[#This Row],[VEHIDCODE]]</f>
        <v>item_diesel_UK_BR_14</v>
      </c>
      <c r="O204" s="31" t="str">
        <f>"str_"&amp;CONTROL[[#This Row],[VEHIDCODE]]</f>
        <v>str_diesel_UK_BR_14</v>
      </c>
    </row>
    <row r="205" spans="1:15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2518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ISNUMBER(_xlfn.XMATCH(CONTROL[[#This Row],[VEHIDCODE]],GRAPHICS_PROPERTIES[VEHIDCODE],0))</f>
        <v>1</v>
      </c>
      <c r="N205" s="31" t="str">
        <f>"item_"&amp;CONTROL[[#This Row],[VEHIDCODE]]</f>
        <v>item_diesel_Russia_RZD_ChME3</v>
      </c>
      <c r="O205" s="31" t="str">
        <f>"str_"&amp;CONTROL[[#This Row],[VEHIDCODE]]</f>
        <v>str_diesel_Russia_RZD_ChME3</v>
      </c>
    </row>
    <row r="206" spans="1:15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2519</v>
      </c>
      <c r="G206" t="s">
        <v>2520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ISNUMBER(_xlfn.XMATCH(CONTROL[[#This Row],[VEHIDCODE]],GRAPHICS_PROPERTIES[VEHIDCODE],0))</f>
        <v>1</v>
      </c>
      <c r="N206" s="31" t="str">
        <f>"item_"&amp;CONTROL[[#This Row],[VEHIDCODE]]</f>
        <v>item_diesel_Argentina_MF_GM_EMD_J16CW_AC</v>
      </c>
      <c r="O206" s="31" t="str">
        <f>"str_"&amp;CONTROL[[#This Row],[VEHIDCODE]]</f>
        <v>str_diesel_Argentina_MF_GM_EMD_J16CW_AC</v>
      </c>
    </row>
    <row r="207" spans="1:15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ISNUMBER(_xlfn.XMATCH(CONTROL[[#This Row],[VEHIDCODE]],GRAPHICS_PROPERTIES[VEHIDCODE],0))</f>
        <v>1</v>
      </c>
      <c r="N207" s="31" t="str">
        <f>"item_"&amp;CONTROL[[#This Row],[VEHIDCODE]]</f>
        <v>item_diesel_Russia_RZD_M62</v>
      </c>
      <c r="O207" s="31" t="str">
        <f>"str_"&amp;CONTROL[[#This Row],[VEHIDCODE]]</f>
        <v>str_diesel_Russia_RZD_M62</v>
      </c>
    </row>
    <row r="208" spans="1:15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ISNUMBER(_xlfn.XMATCH(CONTROL[[#This Row],[VEHIDCODE]],GRAPHICS_PROPERTIES[VEHIDCODE],0))</f>
        <v>1</v>
      </c>
      <c r="N208" s="31" t="str">
        <f>"item_"&amp;CONTROL[[#This Row],[VEHIDCODE]]</f>
        <v>item_diesel_Australia_NSWGR_422</v>
      </c>
      <c r="O208" s="31" t="str">
        <f>"str_"&amp;CONTROL[[#This Row],[VEHIDCODE]]</f>
        <v>str_diesel_Australia_NSWGR_422</v>
      </c>
    </row>
    <row r="209" spans="1:15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ISNUMBER(_xlfn.XMATCH(CONTROL[[#This Row],[VEHIDCODE]],GRAPHICS_PROPERTIES[VEHIDCODE],0))</f>
        <v>1</v>
      </c>
      <c r="N209" s="31" t="str">
        <f>"item_"&amp;CONTROL[[#This Row],[VEHIDCODE]]</f>
        <v>item_diesel_Egypt_ENR_G22W</v>
      </c>
      <c r="O209" s="31" t="str">
        <f>"str_"&amp;CONTROL[[#This Row],[VEHIDCODE]]</f>
        <v>str_diesel_Egypt_ENR_G22W</v>
      </c>
    </row>
    <row r="210" spans="1:15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ISNUMBER(_xlfn.XMATCH(CONTROL[[#This Row],[VEHIDCODE]],GRAPHICS_PROPERTIES[VEHIDCODE],0))</f>
        <v>1</v>
      </c>
      <c r="N210" s="31" t="str">
        <f>"item_"&amp;CONTROL[[#This Row],[VEHIDCODE]]</f>
        <v>item_diesel_USA_UP_EMD_DDA40X</v>
      </c>
      <c r="O210" s="31" t="str">
        <f>"str_"&amp;CONTROL[[#This Row],[VEHIDCODE]]</f>
        <v>str_diesel_USA_UP_EMD_DDA40X</v>
      </c>
    </row>
    <row r="211" spans="1:15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2525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ISNUMBER(_xlfn.XMATCH(CONTROL[[#This Row],[VEHIDCODE]],GRAPHICS_PROPERTIES[VEHIDCODE],0))</f>
        <v>1</v>
      </c>
      <c r="N211" s="31" t="str">
        <f>"item_"&amp;CONTROL[[#This Row],[VEHIDCODE]]</f>
        <v>item_diesel_Australia_Queensland_Rail_2100</v>
      </c>
      <c r="O211" s="31" t="str">
        <f>"str_"&amp;CONTROL[[#This Row],[VEHIDCODE]]</f>
        <v>str_diesel_Australia_Queensland_Rail_2100</v>
      </c>
    </row>
    <row r="212" spans="1:15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2526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ISNUMBER(_xlfn.XMATCH(CONTROL[[#This Row],[VEHIDCODE]],GRAPHICS_PROPERTIES[VEHIDCODE],0))</f>
        <v>1</v>
      </c>
      <c r="N212" s="31" t="str">
        <f>"item_"&amp;CONTROL[[#This Row],[VEHIDCODE]]</f>
        <v>item_diesel_Croatia_HZ_2062</v>
      </c>
      <c r="O212" s="31" t="str">
        <f>"str_"&amp;CONTROL[[#This Row],[VEHIDCODE]]</f>
        <v>str_diesel_Croatia_HZ_2062</v>
      </c>
    </row>
    <row r="213" spans="1:15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2527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ISNUMBER(_xlfn.XMATCH(CONTROL[[#This Row],[VEHIDCODE]],GRAPHICS_PROPERTIES[VEHIDCODE],0))</f>
        <v>1</v>
      </c>
      <c r="N213" s="31" t="str">
        <f>"item_"&amp;CONTROL[[#This Row],[VEHIDCODE]]</f>
        <v>item_diesel_Sweden_SJ_V4</v>
      </c>
      <c r="O213" s="31" t="str">
        <f>"str_"&amp;CONTROL[[#This Row],[VEHIDCODE]]</f>
        <v>str_diesel_Sweden_SJ_V4</v>
      </c>
    </row>
    <row r="214" spans="1:15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2528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ISNUMBER(_xlfn.XMATCH(CONTROL[[#This Row],[VEHIDCODE]],GRAPHICS_PROPERTIES[VEHIDCODE],0))</f>
        <v>1</v>
      </c>
      <c r="N214" s="31" t="str">
        <f>"item_"&amp;CONTROL[[#This Row],[VEHIDCODE]]</f>
        <v>item_diesel_Canada_CNR_MLW_M420W</v>
      </c>
      <c r="O214" s="31" t="str">
        <f>"str_"&amp;CONTROL[[#This Row],[VEHIDCODE]]</f>
        <v>str_diesel_Canada_CNR_MLW_M420W</v>
      </c>
    </row>
    <row r="215" spans="1:15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2529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ISNUMBER(_xlfn.XMATCH(CONTROL[[#This Row],[VEHIDCODE]],GRAPHICS_PROPERTIES[VEHIDCODE],0))</f>
        <v>1</v>
      </c>
      <c r="N215" s="31" t="str">
        <f>"item_"&amp;CONTROL[[#This Row],[VEHIDCODE]]</f>
        <v>item_diesel_USA_Amtrak_SDP_40F</v>
      </c>
      <c r="O215" s="31" t="str">
        <f>"str_"&amp;CONTROL[[#This Row],[VEHIDCODE]]</f>
        <v>str_diesel_USA_Amtrak_SDP_40F</v>
      </c>
    </row>
    <row r="216" spans="1:15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ISNUMBER(_xlfn.XMATCH(CONTROL[[#This Row],[VEHIDCODE]],GRAPHICS_PROPERTIES[VEHIDCODE],0))</f>
        <v>1</v>
      </c>
      <c r="N216" s="31" t="str">
        <f>"item_"&amp;CONTROL[[#This Row],[VEHIDCODE]]</f>
        <v>item_diesel_China_China_Railways_DFH3</v>
      </c>
      <c r="O216" s="31" t="str">
        <f>"str_"&amp;CONTROL[[#This Row],[VEHIDCODE]]</f>
        <v>str_diesel_China_China_Railways_DFH3</v>
      </c>
    </row>
    <row r="217" spans="1:15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ISNUMBER(_xlfn.XMATCH(CONTROL[[#This Row],[VEHIDCODE]],GRAPHICS_PROPERTIES[VEHIDCODE],0))</f>
        <v>1</v>
      </c>
      <c r="N217" s="31" t="str">
        <f>"item_"&amp;CONTROL[[#This Row],[VEHIDCODE]]</f>
        <v>item_diesel_Panama_Panama_Canal_Railway_EMD_F40PH</v>
      </c>
      <c r="O217" s="31" t="str">
        <f>"str_"&amp;CONTROL[[#This Row],[VEHIDCODE]]</f>
        <v>str_diesel_Panama_Panama_Canal_Railway_EMD_F40PH</v>
      </c>
    </row>
    <row r="218" spans="1:15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ISNUMBER(_xlfn.XMATCH(CONTROL[[#This Row],[VEHIDCODE]],GRAPHICS_PROPERTIES[VEHIDCODE],0))</f>
        <v>1</v>
      </c>
      <c r="N218" s="31" t="str">
        <f>"item_"&amp;CONTROL[[#This Row],[VEHIDCODE]]</f>
        <v>item_diesel_Portugal_CP_1900</v>
      </c>
      <c r="O218" s="31" t="str">
        <f>"str_"&amp;CONTROL[[#This Row],[VEHIDCODE]]</f>
        <v>str_diesel_Portugal_CP_1900</v>
      </c>
    </row>
    <row r="219" spans="1:15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ISNUMBER(_xlfn.XMATCH(CONTROL[[#This Row],[VEHIDCODE]],GRAPHICS_PROPERTIES[VEHIDCODE],0))</f>
        <v>1</v>
      </c>
      <c r="N219" s="31" t="str">
        <f>"item_"&amp;CONTROL[[#This Row],[VEHIDCODE]]</f>
        <v>item_diesel_Finland_VR_Dr16</v>
      </c>
      <c r="O219" s="31" t="str">
        <f>"str_"&amp;CONTROL[[#This Row],[VEHIDCODE]]</f>
        <v>str_diesel_Finland_VR_Dr16</v>
      </c>
    </row>
    <row r="220" spans="1:15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ISNUMBER(_xlfn.XMATCH(CONTROL[[#This Row],[VEHIDCODE]],GRAPHICS_PROPERTIES[VEHIDCODE],0))</f>
        <v>1</v>
      </c>
      <c r="N220" s="31" t="str">
        <f>"item_"&amp;CONTROL[[#This Row],[VEHIDCODE]]</f>
        <v>item_diesel_Russia_RZD_TEP80</v>
      </c>
      <c r="O220" s="31" t="str">
        <f>"str_"&amp;CONTROL[[#This Row],[VEHIDCODE]]</f>
        <v>str_diesel_Russia_RZD_TEP80</v>
      </c>
    </row>
    <row r="221" spans="1:15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2535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ISNUMBER(_xlfn.XMATCH(CONTROL[[#This Row],[VEHIDCODE]],GRAPHICS_PROPERTIES[VEHIDCODE],0))</f>
        <v>1</v>
      </c>
      <c r="N221" s="31" t="str">
        <f>"item_"&amp;CONTROL[[#This Row],[VEHIDCODE]]</f>
        <v>item_diesel_Australia_Australian_National_AN</v>
      </c>
      <c r="O221" s="31" t="str">
        <f>"str_"&amp;CONTROL[[#This Row],[VEHIDCODE]]</f>
        <v>str_diesel_Australia_Australian_National_AN</v>
      </c>
    </row>
    <row r="222" spans="1:15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2536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ISNUMBER(_xlfn.XMATCH(CONTROL[[#This Row],[VEHIDCODE]],GRAPHICS_PROPERTIES[VEHIDCODE],0))</f>
        <v>1</v>
      </c>
      <c r="N222" s="31" t="str">
        <f>"item_"&amp;CONTROL[[#This Row],[VEHIDCODE]]</f>
        <v>item_diesel_USA_Amtrak_P42DC_Genesis</v>
      </c>
      <c r="O222" s="31" t="str">
        <f>"str_"&amp;CONTROL[[#This Row],[VEHIDCODE]]</f>
        <v>str_diesel_USA_Amtrak_P42DC_Genesis</v>
      </c>
    </row>
    <row r="223" spans="1:15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2781</v>
      </c>
      <c r="G223" t="s">
        <v>2537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ISNUMBER(_xlfn.XMATCH(CONTROL[[#This Row],[VEHIDCODE]],GRAPHICS_PROPERTIES[VEHIDCODE],0))</f>
        <v>1</v>
      </c>
      <c r="N223" s="31" t="str">
        <f>"item_"&amp;CONTROL[[#This Row],[VEHIDCODE]]</f>
        <v>item_diesel_Turkey_TCDD_DH7000</v>
      </c>
      <c r="O223" s="31" t="str">
        <f>"str_"&amp;CONTROL[[#This Row],[VEHIDCODE]]</f>
        <v>str_diesel_Turkey_TCDD_DH7000</v>
      </c>
    </row>
    <row r="224" spans="1:15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3018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ISNUMBER(_xlfn.XMATCH(CONTROL[[#This Row],[VEHIDCODE]],GRAPHICS_PROPERTIES[VEHIDCODE],0))</f>
        <v>1</v>
      </c>
      <c r="N224" s="31" t="str">
        <f>"item_"&amp;CONTROL[[#This Row],[VEHIDCODE]]</f>
        <v>item_diesel_Argentina_MF_GE_U20C</v>
      </c>
      <c r="O224" s="31" t="str">
        <f>"str_"&amp;CONTROL[[#This Row],[VEHIDCODE]]</f>
        <v>str_diesel_Argentina_MF_GE_U20C</v>
      </c>
    </row>
    <row r="225" spans="1:15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2538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ISNUMBER(_xlfn.XMATCH(CONTROL[[#This Row],[VEHIDCODE]],GRAPHICS_PROPERTIES[VEHIDCODE],0))</f>
        <v>1</v>
      </c>
      <c r="N225" s="31" t="str">
        <f>"item_"&amp;CONTROL[[#This Row],[VEHIDCODE]]</f>
        <v>item_diesel_Belgium_NMBS_SNCB_7800</v>
      </c>
      <c r="O225" s="31" t="str">
        <f>"str_"&amp;CONTROL[[#This Row],[VEHIDCODE]]</f>
        <v>str_diesel_Belgium_NMBS_SNCB_7800</v>
      </c>
    </row>
    <row r="226" spans="1:15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2539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ISNUMBER(_xlfn.XMATCH(CONTROL[[#This Row],[VEHIDCODE]],GRAPHICS_PROPERTIES[VEHIDCODE],0))</f>
        <v>1</v>
      </c>
      <c r="N226" s="31" t="str">
        <f>"item_"&amp;CONTROL[[#This Row],[VEHIDCODE]]</f>
        <v>item_diesel_UK_BR_66</v>
      </c>
      <c r="O226" s="31" t="str">
        <f>"str_"&amp;CONTROL[[#This Row],[VEHIDCODE]]</f>
        <v>str_diesel_UK_BR_66</v>
      </c>
    </row>
    <row r="227" spans="1:15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ISNUMBER(_xlfn.XMATCH(CONTROL[[#This Row],[VEHIDCODE]],GRAPHICS_PROPERTIES[VEHIDCODE],0))</f>
        <v>1</v>
      </c>
      <c r="N227" s="31" t="str">
        <f>"item_"&amp;CONTROL[[#This Row],[VEHIDCODE]]</f>
        <v>item_diesel_UK_BR_67</v>
      </c>
      <c r="O227" s="31" t="str">
        <f>"str_"&amp;CONTROL[[#This Row],[VEHIDCODE]]</f>
        <v>str_diesel_UK_BR_67</v>
      </c>
    </row>
    <row r="228" spans="1:15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ISNUMBER(_xlfn.XMATCH(CONTROL[[#This Row],[VEHIDCODE]],GRAPHICS_PROPERTIES[VEHIDCODE],0))</f>
        <v>1</v>
      </c>
      <c r="N228" s="31" t="str">
        <f>"item_"&amp;CONTROL[[#This Row],[VEHIDCODE]]</f>
        <v>item_diesel_Iran_RAI_DE43CA_Prima</v>
      </c>
      <c r="O228" s="31" t="str">
        <f>"str_"&amp;CONTROL[[#This Row],[VEHIDCODE]]</f>
        <v>str_diesel_Iran_RAI_DE43CA_Prima</v>
      </c>
    </row>
    <row r="229" spans="1:15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ISNUMBER(_xlfn.XMATCH(CONTROL[[#This Row],[VEHIDCODE]],GRAPHICS_PROPERTIES[VEHIDCODE],0))</f>
        <v>1</v>
      </c>
      <c r="N229" s="31" t="str">
        <f>"item_"&amp;CONTROL[[#This Row],[VEHIDCODE]]</f>
        <v>item_diesel_Ukraine_UZ_TEP150</v>
      </c>
      <c r="O229" s="31" t="str">
        <f>"str_"&amp;CONTROL[[#This Row],[VEHIDCODE]]</f>
        <v>str_diesel_Ukraine_UZ_TEP150</v>
      </c>
    </row>
    <row r="230" spans="1:15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ISNUMBER(_xlfn.XMATCH(CONTROL[[#This Row],[VEHIDCODE]],GRAPHICS_PROPERTIES[VEHIDCODE],0))</f>
        <v>1</v>
      </c>
      <c r="N230" s="31" t="str">
        <f>"item_"&amp;CONTROL[[#This Row],[VEHIDCODE]]</f>
        <v>item_diesel_China_China_Railways_HXN5</v>
      </c>
      <c r="O230" s="31" t="str">
        <f>"str_"&amp;CONTROL[[#This Row],[VEHIDCODE]]</f>
        <v>str_diesel_China_China_Railways_HXN5</v>
      </c>
    </row>
    <row r="231" spans="1:15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ISNUMBER(_xlfn.XMATCH(CONTROL[[#This Row],[VEHIDCODE]],GRAPHICS_PROPERTIES[VEHIDCODE],0))</f>
        <v>1</v>
      </c>
      <c r="N231" s="31" t="str">
        <f>"item_"&amp;CONTROL[[#This Row],[VEHIDCODE]]</f>
        <v>item_diesel_Germany_DB_261_Gravita_10BB</v>
      </c>
      <c r="O231" s="31" t="str">
        <f>"str_"&amp;CONTROL[[#This Row],[VEHIDCODE]]</f>
        <v>str_diesel_Germany_DB_261_Gravita_10BB</v>
      </c>
    </row>
    <row r="232" spans="1:15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2545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ISNUMBER(_xlfn.XMATCH(CONTROL[[#This Row],[VEHIDCODE]],GRAPHICS_PROPERTIES[VEHIDCODE],0))</f>
        <v>1</v>
      </c>
      <c r="N232" s="31" t="str">
        <f>"item_"&amp;CONTROL[[#This Row],[VEHIDCODE]]</f>
        <v>item_diesel_Russia_RZD_GT1</v>
      </c>
      <c r="O232" s="31" t="str">
        <f>"str_"&amp;CONTROL[[#This Row],[VEHIDCODE]]</f>
        <v>str_diesel_Russia_RZD_GT1</v>
      </c>
    </row>
    <row r="233" spans="1:15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2547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ISNUMBER(_xlfn.XMATCH(CONTROL[[#This Row],[VEHIDCODE]],GRAPHICS_PROPERTIES[VEHIDCODE],0))</f>
        <v>1</v>
      </c>
      <c r="N233" s="31" t="str">
        <f>"item_"&amp;CONTROL[[#This Row],[VEHIDCODE]]</f>
        <v>item_diesel_China_MTR_8000</v>
      </c>
      <c r="O233" s="31" t="str">
        <f>"str_"&amp;CONTROL[[#This Row],[VEHIDCODE]]</f>
        <v>str_diesel_China_MTR_8000</v>
      </c>
    </row>
    <row r="234" spans="1:15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2548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ISNUMBER(_xlfn.XMATCH(CONTROL[[#This Row],[VEHIDCODE]],GRAPHICS_PROPERTIES[VEHIDCODE],0))</f>
        <v>1</v>
      </c>
      <c r="N234" s="31" t="str">
        <f>"item_"&amp;CONTROL[[#This Row],[VEHIDCODE]]</f>
        <v>item_diesel_Germany_HVLE_V490</v>
      </c>
      <c r="O234" s="31" t="str">
        <f>"str_"&amp;CONTROL[[#This Row],[VEHIDCODE]]</f>
        <v>str_diesel_Germany_HVLE_V490</v>
      </c>
    </row>
    <row r="235" spans="1:15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ISNUMBER(_xlfn.XMATCH(CONTROL[[#This Row],[VEHIDCODE]],GRAPHICS_PROPERTIES[VEHIDCODE],0))</f>
        <v>1</v>
      </c>
      <c r="N235" s="31" t="str">
        <f>"item_"&amp;CONTROL[[#This Row],[VEHIDCODE]]</f>
        <v>item_diesel_Russia_RZD_Emch_3</v>
      </c>
      <c r="O235" s="31" t="str">
        <f>"str_"&amp;CONTROL[[#This Row],[VEHIDCODE]]</f>
        <v>str_diesel_Russia_RZD_Emch_3</v>
      </c>
    </row>
    <row r="236" spans="1:15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2549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ISNUMBER(_xlfn.XMATCH(CONTROL[[#This Row],[VEHIDCODE]],GRAPHICS_PROPERTIES[VEHIDCODE],0))</f>
        <v>1</v>
      </c>
      <c r="N236" s="31" t="str">
        <f>"item_"&amp;CONTROL[[#This Row],[VEHIDCODE]]</f>
        <v>item_diesel_Canada_CNR_9000</v>
      </c>
      <c r="O236" s="31" t="str">
        <f>"str_"&amp;CONTROL[[#This Row],[VEHIDCODE]]</f>
        <v>str_diesel_Canada_CNR_9000</v>
      </c>
    </row>
    <row r="237" spans="1:15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ISNUMBER(_xlfn.XMATCH(CONTROL[[#This Row],[VEHIDCODE]],GRAPHICS_PROPERTIES[VEHIDCODE],0))</f>
        <v>1</v>
      </c>
      <c r="N237" s="31" t="str">
        <f>"item_"&amp;CONTROL[[#This Row],[VEHIDCODE]]</f>
        <v>item_diesel_UK_LMS_7051_Diesel_Shunter</v>
      </c>
      <c r="O237" s="31" t="str">
        <f>"str_"&amp;CONTROL[[#This Row],[VEHIDCODE]]</f>
        <v>str_diesel_UK_LMS_7051_Diesel_Shunter</v>
      </c>
    </row>
    <row r="238" spans="1:15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ISNUMBER(_xlfn.XMATCH(CONTROL[[#This Row],[VEHIDCODE]],GRAPHICS_PROPERTIES[VEHIDCODE],0))</f>
        <v>1</v>
      </c>
      <c r="N238" s="31" t="str">
        <f>"item_"&amp;CONTROL[[#This Row],[VEHIDCODE]]</f>
        <v>item_diesel_USA_Rock_Island_EMC_TA</v>
      </c>
      <c r="O238" s="31" t="str">
        <f>"str_"&amp;CONTROL[[#This Row],[VEHIDCODE]]</f>
        <v>str_diesel_USA_Rock_Island_EMC_TA</v>
      </c>
    </row>
    <row r="239" spans="1:15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ISNUMBER(_xlfn.XMATCH(CONTROL[[#This Row],[VEHIDCODE]],GRAPHICS_PROPERTIES[VEHIDCODE],0))</f>
        <v>1</v>
      </c>
      <c r="N239" s="31" t="str">
        <f>"item_"&amp;CONTROL[[#This Row],[VEHIDCODE]]</f>
        <v>item_diesel_USA_NYC_Baldwin_VO_660</v>
      </c>
      <c r="O239" s="31" t="str">
        <f>"str_"&amp;CONTROL[[#This Row],[VEHIDCODE]]</f>
        <v>str_diesel_USA_NYC_Baldwin_VO_660</v>
      </c>
    </row>
    <row r="240" spans="1:15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ISNUMBER(_xlfn.XMATCH(CONTROL[[#This Row],[VEHIDCODE]],GRAPHICS_PROPERTIES[VEHIDCODE],0))</f>
        <v>1</v>
      </c>
      <c r="N240" s="31" t="str">
        <f>"item_"&amp;CONTROL[[#This Row],[VEHIDCODE]]</f>
        <v>item_diesel_UK_BR_Class_D3_7</v>
      </c>
      <c r="O240" s="31" t="str">
        <f>"str_"&amp;CONTROL[[#This Row],[VEHIDCODE]]</f>
        <v>str_diesel_UK_BR_Class_D3_7</v>
      </c>
    </row>
    <row r="241" spans="1:15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ISNUMBER(_xlfn.XMATCH(CONTROL[[#This Row],[VEHIDCODE]],GRAPHICS_PROPERTIES[VEHIDCODE],0))</f>
        <v>1</v>
      </c>
      <c r="N241" s="31" t="str">
        <f>"item_"&amp;CONTROL[[#This Row],[VEHIDCODE]]</f>
        <v>item_diesel_Australia_Queensland_Railways_DL_Class</v>
      </c>
      <c r="O241" s="31" t="str">
        <f>"str_"&amp;CONTROL[[#This Row],[VEHIDCODE]]</f>
        <v>str_diesel_Australia_Queensland_Railways_DL_Class</v>
      </c>
    </row>
    <row r="242" spans="1:15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2555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ISNUMBER(_xlfn.XMATCH(CONTROL[[#This Row],[VEHIDCODE]],GRAPHICS_PROPERTIES[VEHIDCODE],0))</f>
        <v>1</v>
      </c>
      <c r="N242" s="31" t="str">
        <f>"item_"&amp;CONTROL[[#This Row],[VEHIDCODE]]</f>
        <v>item_diesel_USA_PRR_FM_H_10_44</v>
      </c>
      <c r="O242" s="31" t="str">
        <f>"str_"&amp;CONTROL[[#This Row],[VEHIDCODE]]</f>
        <v>str_diesel_USA_PRR_FM_H_10_44</v>
      </c>
    </row>
    <row r="243" spans="1:15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2556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ISNUMBER(_xlfn.XMATCH(CONTROL[[#This Row],[VEHIDCODE]],GRAPHICS_PROPERTIES[VEHIDCODE],0))</f>
        <v>1</v>
      </c>
      <c r="N243" s="31" t="str">
        <f>"item_"&amp;CONTROL[[#This Row],[VEHIDCODE]]</f>
        <v>item_diesel_Algeria_SNTF_Baldwin_DRS6_4_1000</v>
      </c>
      <c r="O243" s="31" t="str">
        <f>"str_"&amp;CONTROL[[#This Row],[VEHIDCODE]]</f>
        <v>str_diesel_Algeria_SNTF_Baldwin_DRS6_4_1000</v>
      </c>
    </row>
    <row r="244" spans="1:15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2558</v>
      </c>
      <c r="G244" t="s">
        <v>2557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ISNUMBER(_xlfn.XMATCH(CONTROL[[#This Row],[VEHIDCODE]],GRAPHICS_PROPERTIES[VEHIDCODE],0))</f>
        <v>1</v>
      </c>
      <c r="N244" s="31" t="str">
        <f>"item_"&amp;CONTROL[[#This Row],[VEHIDCODE]]</f>
        <v>item_diesel_Ireland_CIE_113</v>
      </c>
      <c r="O244" s="31" t="str">
        <f>"str_"&amp;CONTROL[[#This Row],[VEHIDCODE]]</f>
        <v>str_diesel_Ireland_CIE_113</v>
      </c>
    </row>
    <row r="245" spans="1:15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2559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ISNUMBER(_xlfn.XMATCH(CONTROL[[#This Row],[VEHIDCODE]],GRAPHICS_PROPERTIES[VEHIDCODE],0))</f>
        <v>1</v>
      </c>
      <c r="N245" s="31" t="str">
        <f>"item_"&amp;CONTROL[[#This Row],[VEHIDCODE]]</f>
        <v>item_diesel_Brazil_EFC_3300_Baldwin_AS_616</v>
      </c>
      <c r="O245" s="31" t="str">
        <f>"str_"&amp;CONTROL[[#This Row],[VEHIDCODE]]</f>
        <v>str_diesel_Brazil_EFC_3300_Baldwin_AS_616</v>
      </c>
    </row>
    <row r="246" spans="1:15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ISNUMBER(_xlfn.XMATCH(CONTROL[[#This Row],[VEHIDCODE]],GRAPHICS_PROPERTIES[VEHIDCODE],0))</f>
        <v>1</v>
      </c>
      <c r="N246" s="31" t="str">
        <f>"item_"&amp;CONTROL[[#This Row],[VEHIDCODE]]</f>
        <v>item_diesel_Mexico_CHP_500_FM_H_16_44</v>
      </c>
      <c r="O246" s="31" t="str">
        <f>"str_"&amp;CONTROL[[#This Row],[VEHIDCODE]]</f>
        <v>str_diesel_Mexico_CHP_500_FM_H_16_44</v>
      </c>
    </row>
    <row r="247" spans="1:15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ISNUMBER(_xlfn.XMATCH(CONTROL[[#This Row],[VEHIDCODE]],GRAPHICS_PROPERTIES[VEHIDCODE],0))</f>
        <v>1</v>
      </c>
      <c r="N247" s="31" t="str">
        <f>"item_"&amp;CONTROL[[#This Row],[VEHIDCODE]]</f>
        <v>item_diesel_Australia_South_Australian_Railways_900</v>
      </c>
      <c r="O247" s="31" t="str">
        <f>"str_"&amp;CONTROL[[#This Row],[VEHIDCODE]]</f>
        <v>str_diesel_Australia_South_Australian_Railways_900</v>
      </c>
    </row>
    <row r="248" spans="1:15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ISNUMBER(_xlfn.XMATCH(CONTROL[[#This Row],[VEHIDCODE]],GRAPHICS_PROPERTIES[VEHIDCODE],0))</f>
        <v>1</v>
      </c>
      <c r="N248" s="31" t="str">
        <f>"item_"&amp;CONTROL[[#This Row],[VEHIDCODE]]</f>
        <v>item_diesel_Sri_Lanka_Sri_Lanka_Railways_M2</v>
      </c>
      <c r="O248" s="31" t="str">
        <f>"str_"&amp;CONTROL[[#This Row],[VEHIDCODE]]</f>
        <v>str_diesel_Sri_Lanka_Sri_Lanka_Railways_M2</v>
      </c>
    </row>
    <row r="249" spans="1:15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2563</v>
      </c>
      <c r="G249" t="s">
        <v>2564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ISNUMBER(_xlfn.XMATCH(CONTROL[[#This Row],[VEHIDCODE]],GRAPHICS_PROPERTIES[VEHIDCODE],0))</f>
        <v>1</v>
      </c>
      <c r="N249" s="31" t="str">
        <f>"item_"&amp;CONTROL[[#This Row],[VEHIDCODE]]</f>
        <v>item_diesel_Ireland_CIE_001</v>
      </c>
      <c r="O249" s="31" t="str">
        <f>"str_"&amp;CONTROL[[#This Row],[VEHIDCODE]]</f>
        <v>str_diesel_Ireland_CIE_001</v>
      </c>
    </row>
    <row r="250" spans="1:15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2565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ISNUMBER(_xlfn.XMATCH(CONTROL[[#This Row],[VEHIDCODE]],GRAPHICS_PROPERTIES[VEHIDCODE],0))</f>
        <v>1</v>
      </c>
      <c r="N250" s="31" t="str">
        <f>"item_"&amp;CONTROL[[#This Row],[VEHIDCODE]]</f>
        <v>item_diesel_Italy_FS_D341</v>
      </c>
      <c r="O250" s="31" t="str">
        <f>"str_"&amp;CONTROL[[#This Row],[VEHIDCODE]]</f>
        <v>str_diesel_Italy_FS_D341</v>
      </c>
    </row>
    <row r="251" spans="1:15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2566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ISNUMBER(_xlfn.XMATCH(CONTROL[[#This Row],[VEHIDCODE]],GRAPHICS_PROPERTIES[VEHIDCODE],0))</f>
        <v>1</v>
      </c>
      <c r="N251" s="31" t="str">
        <f>"item_"&amp;CONTROL[[#This Row],[VEHIDCODE]]</f>
        <v>item_diesel_Australia_NSWGR_44</v>
      </c>
      <c r="O251" s="31" t="str">
        <f>"str_"&amp;CONTROL[[#This Row],[VEHIDCODE]]</f>
        <v>str_diesel_Australia_NSWGR_44</v>
      </c>
    </row>
    <row r="252" spans="1:15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2567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ISNUMBER(_xlfn.XMATCH(CONTROL[[#This Row],[VEHIDCODE]],GRAPHICS_PROPERTIES[VEHIDCODE],0))</f>
        <v>1</v>
      </c>
      <c r="N252" s="31" t="str">
        <f>"item_"&amp;CONTROL[[#This Row],[VEHIDCODE]]</f>
        <v>item_diesel_Zimbabwe_Zimbabwe_Railways_DH_1</v>
      </c>
      <c r="O252" s="31" t="str">
        <f>"str_"&amp;CONTROL[[#This Row],[VEHIDCODE]]</f>
        <v>str_diesel_Zimbabwe_Zimbabwe_Railways_DH_1</v>
      </c>
    </row>
    <row r="253" spans="1:15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2568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ISNUMBER(_xlfn.XMATCH(CONTROL[[#This Row],[VEHIDCODE]],GRAPHICS_PROPERTIES[VEHIDCODE],0))</f>
        <v>1</v>
      </c>
      <c r="N253" s="31" t="str">
        <f>"item_"&amp;CONTROL[[#This Row],[VEHIDCODE]]</f>
        <v>item_diesel_South_Korea_Korail_6000_EMD_SD18</v>
      </c>
      <c r="O253" s="31" t="str">
        <f>"str_"&amp;CONTROL[[#This Row],[VEHIDCODE]]</f>
        <v>str_diesel_South_Korea_Korail_6000_EMD_SD18</v>
      </c>
    </row>
    <row r="254" spans="1:15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2569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ISNUMBER(_xlfn.XMATCH(CONTROL[[#This Row],[VEHIDCODE]],GRAPHICS_PROPERTIES[VEHIDCODE],0))</f>
        <v>1</v>
      </c>
      <c r="N254" s="31" t="str">
        <f>"item_"&amp;CONTROL[[#This Row],[VEHIDCODE]]</f>
        <v>item_diesel_Italy_FS_D345</v>
      </c>
      <c r="O254" s="31" t="str">
        <f>"str_"&amp;CONTROL[[#This Row],[VEHIDCODE]]</f>
        <v>str_diesel_Italy_FS_D345</v>
      </c>
    </row>
    <row r="255" spans="1:15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ISNUMBER(_xlfn.XMATCH(CONTROL[[#This Row],[VEHIDCODE]],GRAPHICS_PROPERTIES[VEHIDCODE],0))</f>
        <v>1</v>
      </c>
      <c r="N255" s="31" t="str">
        <f>"item_"&amp;CONTROL[[#This Row],[VEHIDCODE]]</f>
        <v>item_diesel_Norway_NSB_Di4</v>
      </c>
      <c r="O255" s="31" t="str">
        <f>"str_"&amp;CONTROL[[#This Row],[VEHIDCODE]]</f>
        <v>str_diesel_Norway_NSB_Di4</v>
      </c>
    </row>
    <row r="256" spans="1:15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ISNUMBER(_xlfn.XMATCH(CONTROL[[#This Row],[VEHIDCODE]],GRAPHICS_PROPERTIES[VEHIDCODE],0))</f>
        <v>1</v>
      </c>
      <c r="N256" s="31" t="str">
        <f>"item_"&amp;CONTROL[[#This Row],[VEHIDCODE]]</f>
        <v>item_diesel_China_China_Railways_DF8</v>
      </c>
      <c r="O256" s="31" t="str">
        <f>"str_"&amp;CONTROL[[#This Row],[VEHIDCODE]]</f>
        <v>str_diesel_China_China_Railways_DF8</v>
      </c>
    </row>
    <row r="257" spans="1:15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ISNUMBER(_xlfn.XMATCH(CONTROL[[#This Row],[VEHIDCODE]],GRAPHICS_PROPERTIES[VEHIDCODE],0))</f>
        <v>1</v>
      </c>
      <c r="N257" s="31" t="str">
        <f>"item_"&amp;CONTROL[[#This Row],[VEHIDCODE]]</f>
        <v>item_diesel_Australia_Pacific_National_G_Class</v>
      </c>
      <c r="O257" s="31" t="str">
        <f>"str_"&amp;CONTROL[[#This Row],[VEHIDCODE]]</f>
        <v>str_diesel_Australia_Pacific_National_G_Class</v>
      </c>
    </row>
    <row r="258" spans="1:15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ISNUMBER(_xlfn.XMATCH(CONTROL[[#This Row],[VEHIDCODE]],GRAPHICS_PROPERTIES[VEHIDCODE],0))</f>
        <v>1</v>
      </c>
      <c r="N258" s="31" t="str">
        <f>"item_"&amp;CONTROL[[#This Row],[VEHIDCODE]]</f>
        <v>item_diesel_UK_BR_60</v>
      </c>
      <c r="O258" s="31" t="str">
        <f>"str_"&amp;CONTROL[[#This Row],[VEHIDCODE]]</f>
        <v>str_diesel_UK_BR_60</v>
      </c>
    </row>
    <row r="259" spans="1:15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ISNUMBER(_xlfn.XMATCH(CONTROL[[#This Row],[VEHIDCODE]],GRAPHICS_PROPERTIES[VEHIDCODE],0))</f>
        <v>1</v>
      </c>
      <c r="N259" s="31" t="str">
        <f>"item_"&amp;CONTROL[[#This Row],[VEHIDCODE]]</f>
        <v>item_diesel_Australia_Westrail_P_Class</v>
      </c>
      <c r="O259" s="31" t="str">
        <f>"str_"&amp;CONTROL[[#This Row],[VEHIDCODE]]</f>
        <v>str_diesel_Australia_Westrail_P_Class</v>
      </c>
    </row>
    <row r="260" spans="1:15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2575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ISNUMBER(_xlfn.XMATCH(CONTROL[[#This Row],[VEHIDCODE]],GRAPHICS_PROPERTIES[VEHIDCODE],0))</f>
        <v>1</v>
      </c>
      <c r="N260" s="31" t="str">
        <f>"item_"&amp;CONTROL[[#This Row],[VEHIDCODE]]</f>
        <v>item_diesel_Saudi_Arabia_Saudi_Railways_4000_EMD_SD70ACS</v>
      </c>
      <c r="O260" s="31" t="str">
        <f>"str_"&amp;CONTROL[[#This Row],[VEHIDCODE]]</f>
        <v>str_diesel_Saudi_Arabia_Saudi_Railways_4000_EMD_SD70ACS</v>
      </c>
    </row>
    <row r="261" spans="1:15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2576</v>
      </c>
      <c r="G261" t="s">
        <v>2577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ISNUMBER(_xlfn.XMATCH(CONTROL[[#This Row],[VEHIDCODE]],GRAPHICS_PROPERTIES[VEHIDCODE],0))</f>
        <v>1</v>
      </c>
      <c r="N261" s="31" t="str">
        <f>"item_"&amp;CONTROL[[#This Row],[VEHIDCODE]]</f>
        <v>item_diesel_Ireland_IE_201</v>
      </c>
      <c r="O261" s="31" t="str">
        <f>"str_"&amp;CONTROL[[#This Row],[VEHIDCODE]]</f>
        <v>str_diesel_Ireland_IE_201</v>
      </c>
    </row>
    <row r="262" spans="1:15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2578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ISNUMBER(_xlfn.XMATCH(CONTROL[[#This Row],[VEHIDCODE]],GRAPHICS_PROPERTIES[VEHIDCODE],0))</f>
        <v>1</v>
      </c>
      <c r="N262" s="31" t="str">
        <f>"item_"&amp;CONTROL[[#This Row],[VEHIDCODE]]</f>
        <v>item_diesel_USA_Metrolink_EMD_F59PH</v>
      </c>
      <c r="O262" s="31" t="str">
        <f>"str_"&amp;CONTROL[[#This Row],[VEHIDCODE]]</f>
        <v>str_diesel_USA_Metrolink_EMD_F59PH</v>
      </c>
    </row>
    <row r="263" spans="1:15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2579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ISNUMBER(_xlfn.XMATCH(CONTROL[[#This Row],[VEHIDCODE]],GRAPHICS_PROPERTIES[VEHIDCODE],0))</f>
        <v>1</v>
      </c>
      <c r="N263" s="31" t="str">
        <f>"item_"&amp;CONTROL[[#This Row],[VEHIDCODE]]</f>
        <v>item_diesel_France_SNCF_461000</v>
      </c>
      <c r="O263" s="31" t="str">
        <f>"str_"&amp;CONTROL[[#This Row],[VEHIDCODE]]</f>
        <v>str_diesel_France_SNCF_461000</v>
      </c>
    </row>
    <row r="264" spans="1:15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ISNUMBER(_xlfn.XMATCH(CONTROL[[#This Row],[VEHIDCODE]],GRAPHICS_PROPERTIES[VEHIDCODE],0))</f>
        <v>1</v>
      </c>
      <c r="N264" s="31" t="str">
        <f>"item_"&amp;CONTROL[[#This Row],[VEHIDCODE]]</f>
        <v>item_diesel_Italy_ACT_D_200</v>
      </c>
      <c r="O264" s="31" t="str">
        <f>"str_"&amp;CONTROL[[#This Row],[VEHIDCODE]]</f>
        <v>str_diesel_Italy_ACT_D_200</v>
      </c>
    </row>
    <row r="265" spans="1:15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ISNUMBER(_xlfn.XMATCH(CONTROL[[#This Row],[VEHIDCODE]],GRAPHICS_PROPERTIES[VEHIDCODE],0))</f>
        <v>1</v>
      </c>
      <c r="N265" s="31" t="str">
        <f>"item_"&amp;CONTROL[[#This Row],[VEHIDCODE]]</f>
        <v>item_diesel_Canada_GO_Transit_MP40PH_3C</v>
      </c>
      <c r="O265" s="31" t="str">
        <f>"str_"&amp;CONTROL[[#This Row],[VEHIDCODE]]</f>
        <v>str_diesel_Canada_GO_Transit_MP40PH_3C</v>
      </c>
    </row>
    <row r="266" spans="1:15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ISNUMBER(_xlfn.XMATCH(CONTROL[[#This Row],[VEHIDCODE]],GRAPHICS_PROPERTIES[VEHIDCODE],0))</f>
        <v>1</v>
      </c>
      <c r="N266" s="31" t="str">
        <f>"item_"&amp;CONTROL[[#This Row],[VEHIDCODE]]</f>
        <v>item_diesel_Spain_RENFE_Class_334</v>
      </c>
      <c r="O266" s="31" t="str">
        <f>"str_"&amp;CONTROL[[#This Row],[VEHIDCODE]]</f>
        <v>str_diesel_Spain_RENFE_Class_334</v>
      </c>
    </row>
    <row r="267" spans="1:15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ISNUMBER(_xlfn.XMATCH(CONTROL[[#This Row],[VEHIDCODE]],GRAPHICS_PROPERTIES[VEHIDCODE],0))</f>
        <v>1</v>
      </c>
      <c r="N267" s="31" t="str">
        <f>"item_"&amp;CONTROL[[#This Row],[VEHIDCODE]]</f>
        <v>item_diesel_Indonesia_Indonesia_Railways_CC300</v>
      </c>
      <c r="O267" s="31" t="str">
        <f>"str_"&amp;CONTROL[[#This Row],[VEHIDCODE]]</f>
        <v>str_diesel_Indonesia_Indonesia_Railways_CC300</v>
      </c>
    </row>
    <row r="268" spans="1:15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ISNUMBER(_xlfn.XMATCH(CONTROL[[#This Row],[VEHIDCODE]],GRAPHICS_PROPERTIES[VEHIDCODE],0))</f>
        <v>1</v>
      </c>
      <c r="N268" s="31" t="str">
        <f>"item_"&amp;CONTROL[[#This Row],[VEHIDCODE]]</f>
        <v>item_diesel_Argentina_Great_Southern_Railway_DH501</v>
      </c>
      <c r="O268" s="31" t="str">
        <f>"str_"&amp;CONTROL[[#This Row],[VEHIDCODE]]</f>
        <v>str_diesel_Argentina_Great_Southern_Railway_DH501</v>
      </c>
    </row>
    <row r="269" spans="1:15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ISNUMBER(_xlfn.XMATCH(CONTROL[[#This Row],[VEHIDCODE]],GRAPHICS_PROPERTIES[VEHIDCODE],0))</f>
        <v>1</v>
      </c>
      <c r="N269" s="31" t="str">
        <f>"item_"&amp;CONTROL[[#This Row],[VEHIDCODE]]</f>
        <v>item_diesel_Brazil_EE_VFFLB</v>
      </c>
      <c r="O269" s="31" t="str">
        <f>"str_"&amp;CONTROL[[#This Row],[VEHIDCODE]]</f>
        <v>str_diesel_Brazil_EE_VFFLB</v>
      </c>
    </row>
    <row r="270" spans="1:15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2585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ISNUMBER(_xlfn.XMATCH(CONTROL[[#This Row],[VEHIDCODE]],GRAPHICS_PROPERTIES[VEHIDCODE],0))</f>
        <v>1</v>
      </c>
      <c r="N270" s="31" t="str">
        <f>"item_"&amp;CONTROL[[#This Row],[VEHIDCODE]]</f>
        <v>item_diesel_Chile_EFE_GE_U5B</v>
      </c>
      <c r="O270" s="31" t="str">
        <f>"str_"&amp;CONTROL[[#This Row],[VEHIDCODE]]</f>
        <v>str_diesel_Chile_EFE_GE_U5B</v>
      </c>
    </row>
    <row r="271" spans="1:15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2586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ISNUMBER(_xlfn.XMATCH(CONTROL[[#This Row],[VEHIDCODE]],GRAPHICS_PROPERTIES[VEHIDCODE],0))</f>
        <v>1</v>
      </c>
      <c r="N271" s="31" t="str">
        <f>"item_"&amp;CONTROL[[#This Row],[VEHIDCODE]]</f>
        <v>item_diesel_Peru_Ferrocarril_Central_Andino_Alco_RSD_39</v>
      </c>
      <c r="O271" s="31" t="str">
        <f>"str_"&amp;CONTROL[[#This Row],[VEHIDCODE]]</f>
        <v>str_diesel_Peru_Ferrocarril_Central_Andino_Alco_RSD_39</v>
      </c>
    </row>
    <row r="272" spans="1:15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2587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ISNUMBER(_xlfn.XMATCH(CONTROL[[#This Row],[VEHIDCODE]],GRAPHICS_PROPERTIES[VEHIDCODE],0))</f>
        <v>1</v>
      </c>
      <c r="N272" s="31" t="str">
        <f>"item_"&amp;CONTROL[[#This Row],[VEHIDCODE]]</f>
        <v>item_diesel_Brazil_EFVM_EMD_DDM45</v>
      </c>
      <c r="O272" s="31" t="str">
        <f>"str_"&amp;CONTROL[[#This Row],[VEHIDCODE]]</f>
        <v>str_diesel_Brazil_EFVM_EMD_DDM45</v>
      </c>
    </row>
    <row r="273" spans="1:15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2588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ISNUMBER(_xlfn.XMATCH(CONTROL[[#This Row],[VEHIDCODE]],GRAPHICS_PROPERTIES[VEHIDCODE],0))</f>
        <v>1</v>
      </c>
      <c r="N273" s="31" t="str">
        <f>"item_"&amp;CONTROL[[#This Row],[VEHIDCODE]]</f>
        <v>item_diesel_Peru_Ferrocarril_Central_Andino_GE_C39_8</v>
      </c>
      <c r="O273" s="31" t="str">
        <f>"str_"&amp;CONTROL[[#This Row],[VEHIDCODE]]</f>
        <v>str_diesel_Peru_Ferrocarril_Central_Andino_GE_C39_8</v>
      </c>
    </row>
    <row r="274" spans="1:15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2589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ISNUMBER(_xlfn.XMATCH(CONTROL[[#This Row],[VEHIDCODE]],GRAPHICS_PROPERTIES[VEHIDCODE],0))</f>
        <v>1</v>
      </c>
      <c r="N274" s="31" t="str">
        <f>"item_"&amp;CONTROL[[#This Row],[VEHIDCODE]]</f>
        <v>item_diesel_Argentina_SOFSE_3193</v>
      </c>
      <c r="O274" s="31" t="str">
        <f>"str_"&amp;CONTROL[[#This Row],[VEHIDCODE]]</f>
        <v>str_diesel_Argentina_SOFSE_3193</v>
      </c>
    </row>
    <row r="275" spans="1:15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2591</v>
      </c>
      <c r="G275" t="s">
        <v>2590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ISNUMBER(_xlfn.XMATCH(CONTROL[[#This Row],[VEHIDCODE]],GRAPHICS_PROPERTIES[VEHIDCODE],0))</f>
        <v>1</v>
      </c>
      <c r="N275" s="31" t="str">
        <f>"item_"&amp;CONTROL[[#This Row],[VEHIDCODE]]</f>
        <v>item_diesel_Argentina_SOFSE_CNR_CKD8</v>
      </c>
      <c r="O275" s="31" t="str">
        <f>"str_"&amp;CONTROL[[#This Row],[VEHIDCODE]]</f>
        <v>str_diesel_Argentina_SOFSE_CNR_CKD8</v>
      </c>
    </row>
    <row r="276" spans="1:15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ISNUMBER(_xlfn.XMATCH(CONTROL[[#This Row],[VEHIDCODE]],GRAPHICS_PROPERTIES[VEHIDCODE],0))</f>
        <v>1</v>
      </c>
      <c r="N276" s="31" t="str">
        <f>"item_"&amp;CONTROL[[#This Row],[VEHIDCODE]]</f>
        <v>item_diesel_South_Africa_SAR_DS</v>
      </c>
      <c r="O276" s="31" t="str">
        <f>"str_"&amp;CONTROL[[#This Row],[VEHIDCODE]]</f>
        <v>str_diesel_South_Africa_SAR_DS</v>
      </c>
    </row>
    <row r="277" spans="1:15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ISNUMBER(_xlfn.XMATCH(CONTROL[[#This Row],[VEHIDCODE]],GRAPHICS_PROPERTIES[VEHIDCODE],0))</f>
        <v>1</v>
      </c>
      <c r="N277" s="31" t="str">
        <f>"item_"&amp;CONTROL[[#This Row],[VEHIDCODE]]</f>
        <v>item_diesel_Algeria_SNTF_040_DG</v>
      </c>
      <c r="O277" s="31" t="str">
        <f>"str_"&amp;CONTROL[[#This Row],[VEHIDCODE]]</f>
        <v>str_diesel_Algeria_SNTF_040_DG</v>
      </c>
    </row>
    <row r="278" spans="1:15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ISNUMBER(_xlfn.XMATCH(CONTROL[[#This Row],[VEHIDCODE]],GRAPHICS_PROPERTIES[VEHIDCODE],0))</f>
        <v>1</v>
      </c>
      <c r="N278" s="31" t="str">
        <f>"item_"&amp;CONTROL[[#This Row],[VEHIDCODE]]</f>
        <v>item_diesel_Tunisia_SNCFT_040_DF</v>
      </c>
      <c r="O278" s="31" t="str">
        <f>"str_"&amp;CONTROL[[#This Row],[VEHIDCODE]]</f>
        <v>str_diesel_Tunisia_SNCFT_040_DF</v>
      </c>
    </row>
    <row r="279" spans="1:15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2595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ISNUMBER(_xlfn.XMATCH(CONTROL[[#This Row],[VEHIDCODE]],GRAPHICS_PROPERTIES[VEHIDCODE],0))</f>
        <v>1</v>
      </c>
      <c r="N279" s="31" t="str">
        <f>"item_"&amp;CONTROL[[#This Row],[VEHIDCODE]]</f>
        <v>item_diesel_Egypt_ENR_TE114E</v>
      </c>
      <c r="O279" s="31" t="str">
        <f>"str_"&amp;CONTROL[[#This Row],[VEHIDCODE]]</f>
        <v>str_diesel_Egypt_ENR_TE114E</v>
      </c>
    </row>
    <row r="280" spans="1:15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2596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ISNUMBER(_xlfn.XMATCH(CONTROL[[#This Row],[VEHIDCODE]],GRAPHICS_PROPERTIES[VEHIDCODE],0))</f>
        <v>1</v>
      </c>
      <c r="N280" s="31" t="str">
        <f>"item_"&amp;CONTROL[[#This Row],[VEHIDCODE]]</f>
        <v>item_diesel_Tunisia_SNCFT_040_DJ</v>
      </c>
      <c r="O280" s="31" t="str">
        <f>"str_"&amp;CONTROL[[#This Row],[VEHIDCODE]]</f>
        <v>str_diesel_Tunisia_SNCFT_040_DJ</v>
      </c>
    </row>
    <row r="281" spans="1:15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2597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ISNUMBER(_xlfn.XMATCH(CONTROL[[#This Row],[VEHIDCODE]],GRAPHICS_PROPERTIES[VEHIDCODE],0))</f>
        <v>1</v>
      </c>
      <c r="N281" s="31" t="str">
        <f>"item_"&amp;CONTROL[[#This Row],[VEHIDCODE]]</f>
        <v>item_diesel_Morocco_ONCF_DF_100</v>
      </c>
      <c r="O281" s="31" t="str">
        <f>"str_"&amp;CONTROL[[#This Row],[VEHIDCODE]]</f>
        <v>str_diesel_Morocco_ONCF_DF_100</v>
      </c>
    </row>
    <row r="282" spans="1:15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2598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ISNUMBER(_xlfn.XMATCH(CONTROL[[#This Row],[VEHIDCODE]],GRAPHICS_PROPERTIES[VEHIDCODE],0))</f>
        <v>1</v>
      </c>
      <c r="N282" s="31" t="str">
        <f>"item_"&amp;CONTROL[[#This Row],[VEHIDCODE]]</f>
        <v>item_diesel_Ukraine_UZ_TEP10L</v>
      </c>
      <c r="O282" s="31" t="str">
        <f>"str_"&amp;CONTROL[[#This Row],[VEHIDCODE]]</f>
        <v>str_diesel_Ukraine_UZ_TEP10L</v>
      </c>
    </row>
    <row r="283" spans="1:15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2599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ISNUMBER(_xlfn.XMATCH(CONTROL[[#This Row],[VEHIDCODE]],GRAPHICS_PROPERTIES[VEHIDCODE],0))</f>
        <v>1</v>
      </c>
      <c r="N283" s="31" t="str">
        <f>"item_"&amp;CONTROL[[#This Row],[VEHIDCODE]]</f>
        <v>item_diesel_Belarus_BCh_2TE10M</v>
      </c>
      <c r="O283" s="31" t="str">
        <f>"str_"&amp;CONTROL[[#This Row],[VEHIDCODE]]</f>
        <v>str_diesel_Belarus_BCh_2TE10M</v>
      </c>
    </row>
    <row r="284" spans="1:15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ISNUMBER(_xlfn.XMATCH(CONTROL[[#This Row],[VEHIDCODE]],GRAPHICS_PROPERTIES[VEHIDCODE],0))</f>
        <v>1</v>
      </c>
      <c r="N284" s="31" t="str">
        <f>"item_"&amp;CONTROL[[#This Row],[VEHIDCODE]]</f>
        <v>item_diesel_Poland_PKP_SP32</v>
      </c>
      <c r="O284" s="31" t="str">
        <f>"str_"&amp;CONTROL[[#This Row],[VEHIDCODE]]</f>
        <v>str_diesel_Poland_PKP_SP32</v>
      </c>
    </row>
    <row r="285" spans="1:15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ISNUMBER(_xlfn.XMATCH(CONTROL[[#This Row],[VEHIDCODE]],GRAPHICS_PROPERTIES[VEHIDCODE],0))</f>
        <v>1</v>
      </c>
      <c r="N285" s="31" t="str">
        <f>"item_"&amp;CONTROL[[#This Row],[VEHIDCODE]]</f>
        <v>item_diesel_Ukraine_UZ_2TE126</v>
      </c>
      <c r="O285" s="31" t="str">
        <f>"str_"&amp;CONTROL[[#This Row],[VEHIDCODE]]</f>
        <v>str_diesel_Ukraine_UZ_2TE126</v>
      </c>
    </row>
    <row r="286" spans="1:15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ISNUMBER(_xlfn.XMATCH(CONTROL[[#This Row],[VEHIDCODE]],GRAPHICS_PROPERTIES[VEHIDCODE],0))</f>
        <v>1</v>
      </c>
      <c r="N286" s="31" t="str">
        <f>"item_"&amp;CONTROL[[#This Row],[VEHIDCODE]]</f>
        <v>item_diesel_Ukraine_UZ_2TE10Ut</v>
      </c>
      <c r="O286" s="31" t="str">
        <f>"str_"&amp;CONTROL[[#This Row],[VEHIDCODE]]</f>
        <v>str_diesel_Ukraine_UZ_2TE10Ut</v>
      </c>
    </row>
    <row r="287" spans="1:15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ISNUMBER(_xlfn.XMATCH(CONTROL[[#This Row],[VEHIDCODE]],GRAPHICS_PROPERTIES[VEHIDCODE],0))</f>
        <v>1</v>
      </c>
      <c r="N287" s="31" t="str">
        <f>"item_"&amp;CONTROL[[#This Row],[VEHIDCODE]]</f>
        <v>item_diesel_Serbia_ZS_621</v>
      </c>
      <c r="O287" s="31" t="str">
        <f>"str_"&amp;CONTROL[[#This Row],[VEHIDCODE]]</f>
        <v>str_diesel_Serbia_ZS_621</v>
      </c>
    </row>
    <row r="288" spans="1:15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ISNUMBER(_xlfn.XMATCH(CONTROL[[#This Row],[VEHIDCODE]],GRAPHICS_PROPERTIES[VEHIDCODE],0))</f>
        <v>1</v>
      </c>
      <c r="N288" s="31" t="str">
        <f>"item_"&amp;CONTROL[[#This Row],[VEHIDCODE]]</f>
        <v>item_diesel_Italy_FS_207</v>
      </c>
      <c r="O288" s="31" t="str">
        <f>"str_"&amp;CONTROL[[#This Row],[VEHIDCODE]]</f>
        <v>str_diesel_Italy_FS_207</v>
      </c>
    </row>
    <row r="289" spans="1:15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2605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ISNUMBER(_xlfn.XMATCH(CONTROL[[#This Row],[VEHIDCODE]],GRAPHICS_PROPERTIES[VEHIDCODE],0))</f>
        <v>1</v>
      </c>
      <c r="N289" s="31" t="str">
        <f>"item_"&amp;CONTROL[[#This Row],[VEHIDCODE]]</f>
        <v>item_diesel_Russia_RZD_Db</v>
      </c>
      <c r="O289" s="31" t="str">
        <f>"str_"&amp;CONTROL[[#This Row],[VEHIDCODE]]</f>
        <v>str_diesel_Russia_RZD_Db</v>
      </c>
    </row>
    <row r="290" spans="1:15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2606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ISNUMBER(_xlfn.XMATCH(CONTROL[[#This Row],[VEHIDCODE]],GRAPHICS_PROPERTIES[VEHIDCODE],0))</f>
        <v>1</v>
      </c>
      <c r="N290" s="31" t="str">
        <f>"item_"&amp;CONTROL[[#This Row],[VEHIDCODE]]</f>
        <v>item_diesel_Portugal_CP_1500</v>
      </c>
      <c r="O290" s="31" t="str">
        <f>"str_"&amp;CONTROL[[#This Row],[VEHIDCODE]]</f>
        <v>str_diesel_Portugal_CP_1500</v>
      </c>
    </row>
    <row r="291" spans="1:15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2607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ISNUMBER(_xlfn.XMATCH(CONTROL[[#This Row],[VEHIDCODE]],GRAPHICS_PROPERTIES[VEHIDCODE],0))</f>
        <v>1</v>
      </c>
      <c r="N291" s="31" t="str">
        <f>"item_"&amp;CONTROL[[#This Row],[VEHIDCODE]]</f>
        <v>item_diesel_France_SNCF_BB_67400</v>
      </c>
      <c r="O291" s="31" t="str">
        <f>"str_"&amp;CONTROL[[#This Row],[VEHIDCODE]]</f>
        <v>str_diesel_France_SNCF_BB_67400</v>
      </c>
    </row>
    <row r="292" spans="1:15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2608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ISNUMBER(_xlfn.XMATCH(CONTROL[[#This Row],[VEHIDCODE]],GRAPHICS_PROPERTIES[VEHIDCODE],0))</f>
        <v>1</v>
      </c>
      <c r="N292" s="31" t="str">
        <f>"item_"&amp;CONTROL[[#This Row],[VEHIDCODE]]</f>
        <v>item_diesel_Netherlands_NS_6400</v>
      </c>
      <c r="O292" s="31" t="str">
        <f>"str_"&amp;CONTROL[[#This Row],[VEHIDCODE]]</f>
        <v>str_diesel_Netherlands_NS_6400</v>
      </c>
    </row>
    <row r="293" spans="1:15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2609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ISNUMBER(_xlfn.XMATCH(CONTROL[[#This Row],[VEHIDCODE]],GRAPHICS_PROPERTIES[VEHIDCODE],0))</f>
        <v>1</v>
      </c>
      <c r="N293" s="31" t="str">
        <f>"item_"&amp;CONTROL[[#This Row],[VEHIDCODE]]</f>
        <v>item_diesel_Egypt_ENR_2400_GE_ES40ACi</v>
      </c>
      <c r="O293" s="31" t="str">
        <f>"str_"&amp;CONTROL[[#This Row],[VEHIDCODE]]</f>
        <v>str_diesel_Egypt_ENR_2400_GE_ES40ACi</v>
      </c>
    </row>
    <row r="294" spans="1:15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ISNUMBER(_xlfn.XMATCH(CONTROL[[#This Row],[VEHIDCODE]],GRAPHICS_PROPERTIES[VEHIDCODE],0))</f>
        <v>1</v>
      </c>
      <c r="N294" s="31" t="str">
        <f>"item_"&amp;CONTROL[[#This Row],[VEHIDCODE]]</f>
        <v>item_diesel_South_Africa_SAR_Afro_4000</v>
      </c>
      <c r="O294" s="31" t="str">
        <f>"str_"&amp;CONTROL[[#This Row],[VEHIDCODE]]</f>
        <v>str_diesel_South_Africa_SAR_Afro_4000</v>
      </c>
    </row>
    <row r="295" spans="1:15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ISNUMBER(_xlfn.XMATCH(CONTROL[[#This Row],[VEHIDCODE]],GRAPHICS_PROPERTIES[VEHIDCODE],0))</f>
        <v>1</v>
      </c>
      <c r="N295" s="31" t="str">
        <f>"item_"&amp;CONTROL[[#This Row],[VEHIDCODE]]</f>
        <v>item_diesel_Spain_RENFE_308</v>
      </c>
      <c r="O295" s="31" t="str">
        <f>"str_"&amp;CONTROL[[#This Row],[VEHIDCODE]]</f>
        <v>str_diesel_Spain_RENFE_308</v>
      </c>
    </row>
    <row r="296" spans="1:15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ISNUMBER(_xlfn.XMATCH(CONTROL[[#This Row],[VEHIDCODE]],GRAPHICS_PROPERTIES[VEHIDCODE],0))</f>
        <v>1</v>
      </c>
      <c r="N296" s="31" t="str">
        <f>"item_"&amp;CONTROL[[#This Row],[VEHIDCODE]]</f>
        <v>item_diesel_Australia_Pacific_National_XR_XRB</v>
      </c>
      <c r="O296" s="31" t="str">
        <f>"str_"&amp;CONTROL[[#This Row],[VEHIDCODE]]</f>
        <v>str_diesel_Australia_Pacific_National_XR_XRB</v>
      </c>
    </row>
    <row r="297" spans="1:15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ISNUMBER(_xlfn.XMATCH(CONTROL[[#This Row],[VEHIDCODE]],GRAPHICS_PROPERTIES[VEHIDCODE],0))</f>
        <v>1</v>
      </c>
      <c r="N297" s="31" t="str">
        <f>"item_"&amp;CONTROL[[#This Row],[VEHIDCODE]]</f>
        <v>item_diesel_Norway_CargoNet_312</v>
      </c>
      <c r="O297" s="31" t="str">
        <f>"str_"&amp;CONTROL[[#This Row],[VEHIDCODE]]</f>
        <v>str_diesel_Norway_CargoNet_312</v>
      </c>
    </row>
    <row r="298" spans="1:15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ISNUMBER(_xlfn.XMATCH(CONTROL[[#This Row],[VEHIDCODE]],GRAPHICS_PROPERTIES[VEHIDCODE],0))</f>
        <v>1</v>
      </c>
      <c r="N298" s="31" t="str">
        <f>"item_"&amp;CONTROL[[#This Row],[VEHIDCODE]]</f>
        <v>item_diesel_Australia_Pacific_National_92</v>
      </c>
      <c r="O298" s="31" t="str">
        <f>"str_"&amp;CONTROL[[#This Row],[VEHIDCODE]]</f>
        <v>str_diesel_Australia_Pacific_National_92</v>
      </c>
    </row>
    <row r="299" spans="1:15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2615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ISNUMBER(_xlfn.XMATCH(CONTROL[[#This Row],[VEHIDCODE]],GRAPHICS_PROPERTIES[VEHIDCODE],0))</f>
        <v>1</v>
      </c>
      <c r="N299" s="31" t="str">
        <f>"item_"&amp;CONTROL[[#This Row],[VEHIDCODE]]</f>
        <v>item_diesel_UK_BR_68</v>
      </c>
      <c r="O299" s="31" t="str">
        <f>"str_"&amp;CONTROL[[#This Row],[VEHIDCODE]]</f>
        <v>str_diesel_UK_BR_68</v>
      </c>
    </row>
    <row r="300" spans="1:15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2616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ISNUMBER(_xlfn.XMATCH(CONTROL[[#This Row],[VEHIDCODE]],GRAPHICS_PROPERTIES[VEHIDCODE],0))</f>
        <v>1</v>
      </c>
      <c r="N300" s="31" t="str">
        <f>"item_"&amp;CONTROL[[#This Row],[VEHIDCODE]]</f>
        <v>item_diesel_USA_Amtrak_Charger</v>
      </c>
      <c r="O300" s="31" t="str">
        <f>"str_"&amp;CONTROL[[#This Row],[VEHIDCODE]]</f>
        <v>str_diesel_USA_Amtrak_Charger</v>
      </c>
    </row>
    <row r="301" spans="1:15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2618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ISNUMBER(_xlfn.XMATCH(CONTROL[[#This Row],[VEHIDCODE]],GRAPHICS_PROPERTIES[VEHIDCODE],0))</f>
        <v>1</v>
      </c>
      <c r="N301" s="31" t="str">
        <f>"item_"&amp;CONTROL[[#This Row],[VEHIDCODE]]</f>
        <v>item_mtro_Argentina_Le_Brugeoise</v>
      </c>
      <c r="O301" s="31" t="str">
        <f>"str_"&amp;CONTROL[[#This Row],[VEHIDCODE]]</f>
        <v>str_mtro_Argentina_Le_Brugeoise</v>
      </c>
    </row>
    <row r="302" spans="1:15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2619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ISNUMBER(_xlfn.XMATCH(CONTROL[[#This Row],[VEHIDCODE]],GRAPHICS_PROPERTIES[VEHIDCODE],0))</f>
        <v>1</v>
      </c>
      <c r="N302" s="31" t="str">
        <f>"item_"&amp;CONTROL[[#This Row],[VEHIDCODE]]</f>
        <v>item_mtro_USA_NY_R1</v>
      </c>
      <c r="O302" s="31" t="str">
        <f>"str_"&amp;CONTROL[[#This Row],[VEHIDCODE]]</f>
        <v>str_mtro_USA_NY_R1</v>
      </c>
    </row>
    <row r="303" spans="1:15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ISNUMBER(_xlfn.XMATCH(CONTROL[[#This Row],[VEHIDCODE]],GRAPHICS_PROPERTIES[VEHIDCODE],0))</f>
        <v>1</v>
      </c>
      <c r="N303" s="31" t="str">
        <f>"item_"&amp;CONTROL[[#This Row],[VEHIDCODE]]</f>
        <v>item_mtro_Germany_DB_ET_171</v>
      </c>
      <c r="O303" s="31" t="str">
        <f>"str_"&amp;CONTROL[[#This Row],[VEHIDCODE]]</f>
        <v>str_mtro_Germany_DB_ET_171</v>
      </c>
    </row>
    <row r="304" spans="1:15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ISNUMBER(_xlfn.XMATCH(CONTROL[[#This Row],[VEHIDCODE]],GRAPHICS_PROPERTIES[VEHIDCODE],0))</f>
        <v>1</v>
      </c>
      <c r="N304" s="31" t="str">
        <f>"item_"&amp;CONTROL[[#This Row],[VEHIDCODE]]</f>
        <v>item_mtro_France_Paris_M2_840</v>
      </c>
      <c r="O304" s="31" t="str">
        <f>"str_"&amp;CONTROL[[#This Row],[VEHIDCODE]]</f>
        <v>str_mtro_France_Paris_M2_840</v>
      </c>
    </row>
    <row r="305" spans="1:15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ISNUMBER(_xlfn.XMATCH(CONTROL[[#This Row],[VEHIDCODE]],GRAPHICS_PROPERTIES[VEHIDCODE],0))</f>
        <v>1</v>
      </c>
      <c r="N305" s="31" t="str">
        <f>"item_"&amp;CONTROL[[#This Row],[VEHIDCODE]]</f>
        <v>item_mtro_Portugal_Lisbon_ML7</v>
      </c>
      <c r="O305" s="31" t="str">
        <f>"str_"&amp;CONTROL[[#This Row],[VEHIDCODE]]</f>
        <v>str_mtro_Portugal_Lisbon_ML7</v>
      </c>
    </row>
    <row r="306" spans="1:15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2625</v>
      </c>
      <c r="G306" t="s">
        <v>2621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ISNUMBER(_xlfn.XMATCH(CONTROL[[#This Row],[VEHIDCODE]],GRAPHICS_PROPERTIES[VEHIDCODE],0))</f>
        <v>1</v>
      </c>
      <c r="N306" s="31" t="str">
        <f>"item_"&amp;CONTROL[[#This Row],[VEHIDCODE]]</f>
        <v>item_mtro_Hungary_Budapest_Ev3_200</v>
      </c>
      <c r="O306" s="31" t="str">
        <f>"str_"&amp;CONTROL[[#This Row],[VEHIDCODE]]</f>
        <v>str_mtro_Hungary_Budapest_Ev3_200</v>
      </c>
    </row>
    <row r="307" spans="1:15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ISNUMBER(_xlfn.XMATCH(CONTROL[[#This Row],[VEHIDCODE]],GRAPHICS_PROPERTIES[VEHIDCODE],0))</f>
        <v>1</v>
      </c>
      <c r="N307" s="31" t="str">
        <f>"item_"&amp;CONTROL[[#This Row],[VEHIDCODE]]</f>
        <v>item_mtro_Norway_Oslo_T1000</v>
      </c>
      <c r="O307" s="31" t="str">
        <f>"str_"&amp;CONTROL[[#This Row],[VEHIDCODE]]</f>
        <v>str_mtro_Norway_Oslo_T1000</v>
      </c>
    </row>
    <row r="308" spans="1:15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2627</v>
      </c>
      <c r="G308" t="s">
        <v>2626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ISNUMBER(_xlfn.XMATCH(CONTROL[[#This Row],[VEHIDCODE]],GRAPHICS_PROPERTIES[VEHIDCODE],0))</f>
        <v>1</v>
      </c>
      <c r="N308" s="31" t="str">
        <f>"item_"&amp;CONTROL[[#This Row],[VEHIDCODE]]</f>
        <v>item_mtro_Canada_Toronto_H_series</v>
      </c>
      <c r="O308" s="31" t="str">
        <f>"str_"&amp;CONTROL[[#This Row],[VEHIDCODE]]</f>
        <v>str_mtro_Canada_Toronto_H_series</v>
      </c>
    </row>
    <row r="309" spans="1:15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2628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ISNUMBER(_xlfn.XMATCH(CONTROL[[#This Row],[VEHIDCODE]],GRAPHICS_PROPERTIES[VEHIDCODE],0))</f>
        <v>1</v>
      </c>
      <c r="N309" s="31" t="str">
        <f>"item_"&amp;CONTROL[[#This Row],[VEHIDCODE]]</f>
        <v>item_mtro_Germany_Munchen_MVG_A2</v>
      </c>
      <c r="O309" s="31" t="str">
        <f>"str_"&amp;CONTROL[[#This Row],[VEHIDCODE]]</f>
        <v>str_mtro_Germany_Munchen_MVG_A2</v>
      </c>
    </row>
    <row r="310" spans="1:15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2629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ISNUMBER(_xlfn.XMATCH(CONTROL[[#This Row],[VEHIDCODE]],GRAPHICS_PROPERTIES[VEHIDCODE],0))</f>
        <v>1</v>
      </c>
      <c r="N310" s="31" t="str">
        <f>"item_"&amp;CONTROL[[#This Row],[VEHIDCODE]]</f>
        <v>item_mtro_USA_NY_R44</v>
      </c>
      <c r="O310" s="31" t="str">
        <f>"str_"&amp;CONTROL[[#This Row],[VEHIDCODE]]</f>
        <v>str_mtro_USA_NY_R44</v>
      </c>
    </row>
    <row r="311" spans="1:15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ISNUMBER(_xlfn.XMATCH(CONTROL[[#This Row],[VEHIDCODE]],GRAPHICS_PROPERTIES[VEHIDCODE],0))</f>
        <v>1</v>
      </c>
      <c r="N311" s="31" t="str">
        <f>"item_"&amp;CONTROL[[#This Row],[VEHIDCODE]]</f>
        <v>item_mtro_Netherlands_Amsterdam_Type_M1</v>
      </c>
      <c r="O311" s="31" t="str">
        <f>"str_"&amp;CONTROL[[#This Row],[VEHIDCODE]]</f>
        <v>str_mtro_Netherlands_Amsterdam_Type_M1</v>
      </c>
    </row>
    <row r="312" spans="1:15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ISNUMBER(_xlfn.XMATCH(CONTROL[[#This Row],[VEHIDCODE]],GRAPHICS_PROPERTIES[VEHIDCODE],0))</f>
        <v>1</v>
      </c>
      <c r="N312" s="31" t="str">
        <f>"item_"&amp;CONTROL[[#This Row],[VEHIDCODE]]</f>
        <v>item_mtro_Sweden_Stockholm_C8</v>
      </c>
      <c r="O312" s="31" t="str">
        <f>"str_"&amp;CONTROL[[#This Row],[VEHIDCODE]]</f>
        <v>str_mtro_Sweden_Stockholm_C8</v>
      </c>
    </row>
    <row r="313" spans="1:15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ISNUMBER(_xlfn.XMATCH(CONTROL[[#This Row],[VEHIDCODE]],GRAPHICS_PROPERTIES[VEHIDCODE],0))</f>
        <v>1</v>
      </c>
      <c r="N313" s="31" t="str">
        <f>"item_"&amp;CONTROL[[#This Row],[VEHIDCODE]]</f>
        <v>item_mtro_North_Korea_Pyongyang_D_stock</v>
      </c>
      <c r="O313" s="31" t="str">
        <f>"str_"&amp;CONTROL[[#This Row],[VEHIDCODE]]</f>
        <v>str_mtro_North_Korea_Pyongyang_D_stock</v>
      </c>
    </row>
    <row r="314" spans="1:15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ISNUMBER(_xlfn.XMATCH(CONTROL[[#This Row],[VEHIDCODE]],GRAPHICS_PROPERTIES[VEHIDCODE],0))</f>
        <v>1</v>
      </c>
      <c r="N314" s="31" t="str">
        <f>"item_"&amp;CONTROL[[#This Row],[VEHIDCODE]]</f>
        <v>item_mtro_Finland_Helsinki_M100</v>
      </c>
      <c r="O314" s="31" t="str">
        <f>"str_"&amp;CONTROL[[#This Row],[VEHIDCODE]]</f>
        <v>str_mtro_Finland_Helsinki_M100</v>
      </c>
    </row>
    <row r="315" spans="1:15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ISNUMBER(_xlfn.XMATCH(CONTROL[[#This Row],[VEHIDCODE]],GRAPHICS_PROPERTIES[VEHIDCODE],0))</f>
        <v>1</v>
      </c>
      <c r="N315" s="31" t="str">
        <f>"item_"&amp;CONTROL[[#This Row],[VEHIDCODE]]</f>
        <v>item_mtro_Brazil_Sao_Paulo_Serie_5500</v>
      </c>
      <c r="O315" s="31" t="str">
        <f>"str_"&amp;CONTROL[[#This Row],[VEHIDCODE]]</f>
        <v>str_mtro_Brazil_Sao_Paulo_Serie_5500</v>
      </c>
    </row>
    <row r="316" spans="1:15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2617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ISNUMBER(_xlfn.XMATCH(CONTROL[[#This Row],[VEHIDCODE]],GRAPHICS_PROPERTIES[VEHIDCODE],0))</f>
        <v>1</v>
      </c>
      <c r="N316" s="31" t="str">
        <f>"item_"&amp;CONTROL[[#This Row],[VEHIDCODE]]</f>
        <v>item_mtro_Russia_Moscow_81_720</v>
      </c>
      <c r="O316" s="31" t="str">
        <f>"str_"&amp;CONTROL[[#This Row],[VEHIDCODE]]</f>
        <v>str_mtro_Russia_Moscow_81_720</v>
      </c>
    </row>
    <row r="317" spans="1:15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2635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ISNUMBER(_xlfn.XMATCH(CONTROL[[#This Row],[VEHIDCODE]],GRAPHICS_PROPERTIES[VEHIDCODE],0))</f>
        <v>1</v>
      </c>
      <c r="N317" s="31" t="str">
        <f>"item_"&amp;CONTROL[[#This Row],[VEHIDCODE]]</f>
        <v>item_mtro_Japan_Tokyo_S01</v>
      </c>
      <c r="O317" s="31" t="str">
        <f>"str_"&amp;CONTROL[[#This Row],[VEHIDCODE]]</f>
        <v>str_mtro_Japan_Tokyo_S01</v>
      </c>
    </row>
    <row r="318" spans="1:15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2636</v>
      </c>
      <c r="G318" t="s">
        <v>2637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ISNUMBER(_xlfn.XMATCH(CONTROL[[#This Row],[VEHIDCODE]],GRAPHICS_PROPERTIES[VEHIDCODE],0))</f>
        <v>1</v>
      </c>
      <c r="N318" s="31" t="str">
        <f>"item_"&amp;CONTROL[[#This Row],[VEHIDCODE]]</f>
        <v>item_mtro_Egypt_Cairo_1987_Stock</v>
      </c>
      <c r="O318" s="31" t="str">
        <f>"str_"&amp;CONTROL[[#This Row],[VEHIDCODE]]</f>
        <v>str_mtro_Egypt_Cairo_1987_Stock</v>
      </c>
    </row>
    <row r="319" spans="1:15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2638</v>
      </c>
      <c r="G319" t="s">
        <v>2639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ISNUMBER(_xlfn.XMATCH(CONTROL[[#This Row],[VEHIDCODE]],GRAPHICS_PROPERTIES[VEHIDCODE],0))</f>
        <v>1</v>
      </c>
      <c r="N319" s="31" t="str">
        <f>"item_"&amp;CONTROL[[#This Row],[VEHIDCODE]]</f>
        <v>item_mtro_UK_DLR_P86</v>
      </c>
      <c r="O319" s="31" t="str">
        <f>"str_"&amp;CONTROL[[#This Row],[VEHIDCODE]]</f>
        <v>str_mtro_UK_DLR_P86</v>
      </c>
    </row>
    <row r="320" spans="1:15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ISNUMBER(_xlfn.XMATCH(CONTROL[[#This Row],[VEHIDCODE]],GRAPHICS_PROPERTIES[VEHIDCODE],0))</f>
        <v>1</v>
      </c>
      <c r="N320" s="31" t="str">
        <f>"item_"&amp;CONTROL[[#This Row],[VEHIDCODE]]</f>
        <v>item_mtro_Russia_Moscow_81_7175M</v>
      </c>
      <c r="O320" s="31" t="str">
        <f>"str_"&amp;CONTROL[[#This Row],[VEHIDCODE]]</f>
        <v>str_mtro_Russia_Moscow_81_7175M</v>
      </c>
    </row>
    <row r="321" spans="1:15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ISNUMBER(_xlfn.XMATCH(CONTROL[[#This Row],[VEHIDCODE]],GRAPHICS_PROPERTIES[VEHIDCODE],0))</f>
        <v>1</v>
      </c>
      <c r="N321" s="31" t="str">
        <f>"item_"&amp;CONTROL[[#This Row],[VEHIDCODE]]</f>
        <v>item_mtro_USA_Boston_01800</v>
      </c>
      <c r="O321" s="31" t="str">
        <f>"str_"&amp;CONTROL[[#This Row],[VEHIDCODE]]</f>
        <v>str_mtro_USA_Boston_01800</v>
      </c>
    </row>
    <row r="322" spans="1:15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ISNUMBER(_xlfn.XMATCH(CONTROL[[#This Row],[VEHIDCODE]],GRAPHICS_PROPERTIES[VEHIDCODE],0))</f>
        <v>1</v>
      </c>
      <c r="N322" s="31" t="str">
        <f>"item_"&amp;CONTROL[[#This Row],[VEHIDCODE]]</f>
        <v>item_mtro_USA_LA_A650</v>
      </c>
      <c r="O322" s="31" t="str">
        <f>"str_"&amp;CONTROL[[#This Row],[VEHIDCODE]]</f>
        <v>str_mtro_USA_LA_A650</v>
      </c>
    </row>
    <row r="323" spans="1:15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ISNUMBER(_xlfn.XMATCH(CONTROL[[#This Row],[VEHIDCODE]],GRAPHICS_PROPERTIES[VEHIDCODE],0))</f>
        <v>1</v>
      </c>
      <c r="N323" s="31" t="str">
        <f>"item_"&amp;CONTROL[[#This Row],[VEHIDCODE]]</f>
        <v>item_mtro_Taiwan_Taipei_C301</v>
      </c>
      <c r="O323" s="31" t="str">
        <f>"str_"&amp;CONTROL[[#This Row],[VEHIDCODE]]</f>
        <v>str_mtro_Taiwan_Taipei_C301</v>
      </c>
    </row>
    <row r="324" spans="1:15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2645</v>
      </c>
      <c r="G324" t="s">
        <v>2644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ISNUMBER(_xlfn.XMATCH(CONTROL[[#This Row],[VEHIDCODE]],GRAPHICS_PROPERTIES[VEHIDCODE],0))</f>
        <v>1</v>
      </c>
      <c r="N324" s="31" t="str">
        <f>"item_"&amp;CONTROL[[#This Row],[VEHIDCODE]]</f>
        <v>item_mtro_Netherlands_Amsterdam_CAF_90</v>
      </c>
      <c r="O324" s="31" t="str">
        <f>"str_"&amp;CONTROL[[#This Row],[VEHIDCODE]]</f>
        <v>str_mtro_Netherlands_Amsterdam_CAF_90</v>
      </c>
    </row>
    <row r="325" spans="1:15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ISNUMBER(_xlfn.XMATCH(CONTROL[[#This Row],[VEHIDCODE]],GRAPHICS_PROPERTIES[VEHIDCODE],0))</f>
        <v>1</v>
      </c>
      <c r="N325" s="31" t="str">
        <f>"item_"&amp;CONTROL[[#This Row],[VEHIDCODE]]</f>
        <v>item_mtro_France_Paris_MP89</v>
      </c>
      <c r="O325" s="31" t="str">
        <f>"str_"&amp;CONTROL[[#This Row],[VEHIDCODE]]</f>
        <v>str_mtro_France_Paris_MP89</v>
      </c>
    </row>
    <row r="326" spans="1:15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ISNUMBER(_xlfn.XMATCH(CONTROL[[#This Row],[VEHIDCODE]],GRAPHICS_PROPERTIES[VEHIDCODE],0))</f>
        <v>1</v>
      </c>
      <c r="N326" s="31" t="str">
        <f>"item_"&amp;CONTROL[[#This Row],[VEHIDCODE]]</f>
        <v>item_mtro_Russia_Moscow_81_740</v>
      </c>
      <c r="O326" s="31" t="str">
        <f>"str_"&amp;CONTROL[[#This Row],[VEHIDCODE]]</f>
        <v>str_mtro_Russia_Moscow_81_740</v>
      </c>
    </row>
    <row r="327" spans="1:15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ISNUMBER(_xlfn.XMATCH(CONTROL[[#This Row],[VEHIDCODE]],GRAPHICS_PROPERTIES[VEHIDCODE],0))</f>
        <v>1</v>
      </c>
      <c r="N327" s="31" t="str">
        <f>"item_"&amp;CONTROL[[#This Row],[VEHIDCODE]]</f>
        <v>item_mtro_Singapore_Singapore_C830_Metropolis</v>
      </c>
      <c r="O327" s="31" t="str">
        <f>"str_"&amp;CONTROL[[#This Row],[VEHIDCODE]]</f>
        <v>str_mtro_Singapore_Singapore_C830_Metropolis</v>
      </c>
    </row>
    <row r="328" spans="1:15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ISNUMBER(_xlfn.XMATCH(CONTROL[[#This Row],[VEHIDCODE]],GRAPHICS_PROPERTIES[VEHIDCODE],0))</f>
        <v>1</v>
      </c>
      <c r="N328" s="31" t="str">
        <f>"item_"&amp;CONTROL[[#This Row],[VEHIDCODE]]</f>
        <v>item_mtro_Norway_Oslo_MX3000</v>
      </c>
      <c r="O328" s="31" t="str">
        <f>"str_"&amp;CONTROL[[#This Row],[VEHIDCODE]]</f>
        <v>str_mtro_Norway_Oslo_MX3000</v>
      </c>
    </row>
    <row r="329" spans="1:15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ISNUMBER(_xlfn.XMATCH(CONTROL[[#This Row],[VEHIDCODE]],GRAPHICS_PROPERTIES[VEHIDCODE],0))</f>
        <v>1</v>
      </c>
      <c r="N329" s="31" t="str">
        <f>"item_"&amp;CONTROL[[#This Row],[VEHIDCODE]]</f>
        <v>item_mtro_Japan_Osaka_30000</v>
      </c>
      <c r="O329" s="31" t="str">
        <f>"str_"&amp;CONTROL[[#This Row],[VEHIDCODE]]</f>
        <v>str_mtro_Japan_Osaka_30000</v>
      </c>
    </row>
    <row r="330" spans="1:15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ISNUMBER(_xlfn.XMATCH(CONTROL[[#This Row],[VEHIDCODE]],GRAPHICS_PROPERTIES[VEHIDCODE],0))</f>
        <v>1</v>
      </c>
      <c r="N330" s="31" t="str">
        <f>"item_"&amp;CONTROL[[#This Row],[VEHIDCODE]]</f>
        <v>item_mtro_Singapore_Singapore_C151A</v>
      </c>
      <c r="O330" s="31" t="str">
        <f>"str_"&amp;CONTROL[[#This Row],[VEHIDCODE]]</f>
        <v>str_mtro_Singapore_Singapore_C151A</v>
      </c>
    </row>
    <row r="331" spans="1:15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ISNUMBER(_xlfn.XMATCH(CONTROL[[#This Row],[VEHIDCODE]],GRAPHICS_PROPERTIES[VEHIDCODE],0))</f>
        <v>1</v>
      </c>
      <c r="N331" s="31" t="str">
        <f>"item_"&amp;CONTROL[[#This Row],[VEHIDCODE]]</f>
        <v>item_mtro_USA_Washington_7000</v>
      </c>
      <c r="O331" s="31" t="str">
        <f>"str_"&amp;CONTROL[[#This Row],[VEHIDCODE]]</f>
        <v>str_mtro_USA_Washington_7000</v>
      </c>
    </row>
    <row r="332" spans="1:15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ISNUMBER(_xlfn.XMATCH(CONTROL[[#This Row],[VEHIDCODE]],GRAPHICS_PROPERTIES[VEHIDCODE],0))</f>
        <v>1</v>
      </c>
      <c r="N332" s="31" t="str">
        <f>"item_"&amp;CONTROL[[#This Row],[VEHIDCODE]]</f>
        <v>item_mtro_Greece_Thessaloniki_2014</v>
      </c>
      <c r="O332" s="31" t="str">
        <f>"str_"&amp;CONTROL[[#This Row],[VEHIDCODE]]</f>
        <v>str_mtro_Greece_Thessaloniki_2014</v>
      </c>
    </row>
    <row r="333" spans="1:15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ISNUMBER(_xlfn.XMATCH(CONTROL[[#This Row],[VEHIDCODE]],GRAPHICS_PROPERTIES[VEHIDCODE],0))</f>
        <v>1</v>
      </c>
      <c r="N333" s="31" t="str">
        <f>"item_"&amp;CONTROL[[#This Row],[VEHIDCODE]]</f>
        <v>item_mtro_Germany_Berlin_U_Bahn_A_I</v>
      </c>
      <c r="O333" s="31" t="str">
        <f>"str_"&amp;CONTROL[[#This Row],[VEHIDCODE]]</f>
        <v>str_mtro_Germany_Berlin_U_Bahn_A_I</v>
      </c>
    </row>
    <row r="334" spans="1:15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ISNUMBER(_xlfn.XMATCH(CONTROL[[#This Row],[VEHIDCODE]],GRAPHICS_PROPERTIES[VEHIDCODE],0))</f>
        <v>1</v>
      </c>
      <c r="N334" s="31" t="str">
        <f>"item_"&amp;CONTROL[[#This Row],[VEHIDCODE]]</f>
        <v>item_mtro_USA_NY_Hedley_Hi_V</v>
      </c>
      <c r="O334" s="31" t="str">
        <f>"str_"&amp;CONTROL[[#This Row],[VEHIDCODE]]</f>
        <v>str_mtro_USA_NY_Hedley_Hi_V</v>
      </c>
    </row>
    <row r="335" spans="1:15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ISNUMBER(_xlfn.XMATCH(CONTROL[[#This Row],[VEHIDCODE]],GRAPHICS_PROPERTIES[VEHIDCODE],0))</f>
        <v>1</v>
      </c>
      <c r="N335" s="31" t="str">
        <f>"item_"&amp;CONTROL[[#This Row],[VEHIDCODE]]</f>
        <v>item_mtro_Japan_Osaka_1000</v>
      </c>
      <c r="O335" s="31" t="str">
        <f>"str_"&amp;CONTROL[[#This Row],[VEHIDCODE]]</f>
        <v>str_mtro_Japan_Osaka_1000</v>
      </c>
    </row>
    <row r="336" spans="1:15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ISNUMBER(_xlfn.XMATCH(CONTROL[[#This Row],[VEHIDCODE]],GRAPHICS_PROPERTIES[VEHIDCODE],0))</f>
        <v>1</v>
      </c>
      <c r="N336" s="31" t="str">
        <f>"item_"&amp;CONTROL[[#This Row],[VEHIDCODE]]</f>
        <v>item_mtro_Russia_Moscow_Type_A</v>
      </c>
      <c r="O336" s="31" t="str">
        <f>"str_"&amp;CONTROL[[#This Row],[VEHIDCODE]]</f>
        <v>str_mtro_Russia_Moscow_Type_A</v>
      </c>
    </row>
    <row r="337" spans="1:15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ISNUMBER(_xlfn.XMATCH(CONTROL[[#This Row],[VEHIDCODE]],GRAPHICS_PROPERTIES[VEHIDCODE],0))</f>
        <v>1</v>
      </c>
      <c r="N337" s="31" t="str">
        <f>"item_"&amp;CONTROL[[#This Row],[VEHIDCODE]]</f>
        <v>item_mtro_USA_NY_R10</v>
      </c>
      <c r="O337" s="31" t="str">
        <f>"str_"&amp;CONTROL[[#This Row],[VEHIDCODE]]</f>
        <v>str_mtro_USA_NY_R10</v>
      </c>
    </row>
    <row r="338" spans="1:15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ISNUMBER(_xlfn.XMATCH(CONTROL[[#This Row],[VEHIDCODE]],GRAPHICS_PROPERTIES[VEHIDCODE],0))</f>
        <v>1</v>
      </c>
      <c r="N338" s="31" t="str">
        <f>"item_"&amp;CONTROL[[#This Row],[VEHIDCODE]]</f>
        <v>item_mtro_Italy_Rome_MR_100</v>
      </c>
      <c r="O338" s="31" t="str">
        <f>"str_"&amp;CONTROL[[#This Row],[VEHIDCODE]]</f>
        <v>str_mtro_Italy_Rome_MR_100</v>
      </c>
    </row>
    <row r="339" spans="1:15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ISNUMBER(_xlfn.XMATCH(CONTROL[[#This Row],[VEHIDCODE]],GRAPHICS_PROPERTIES[VEHIDCODE],0))</f>
        <v>1</v>
      </c>
      <c r="N339" s="31" t="str">
        <f>"item_"&amp;CONTROL[[#This Row],[VEHIDCODE]]</f>
        <v>item_mtro_Russia_Moscow_Type_D</v>
      </c>
      <c r="O339" s="31" t="str">
        <f>"str_"&amp;CONTROL[[#This Row],[VEHIDCODE]]</f>
        <v>str_mtro_Russia_Moscow_Type_D</v>
      </c>
    </row>
    <row r="340" spans="1:15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ISNUMBER(_xlfn.XMATCH(CONTROL[[#This Row],[VEHIDCODE]],GRAPHICS_PROPERTIES[VEHIDCODE],0))</f>
        <v>1</v>
      </c>
      <c r="N340" s="31" t="str">
        <f>"item_"&amp;CONTROL[[#This Row],[VEHIDCODE]]</f>
        <v>item_mtro_Netherlands_Rotterdam_MG2_Type_M</v>
      </c>
      <c r="O340" s="31" t="str">
        <f>"str_"&amp;CONTROL[[#This Row],[VEHIDCODE]]</f>
        <v>str_mtro_Netherlands_Rotterdam_MG2_Type_M</v>
      </c>
    </row>
    <row r="341" spans="1:15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ISNUMBER(_xlfn.XMATCH(CONTROL[[#This Row],[VEHIDCODE]],GRAPHICS_PROPERTIES[VEHIDCODE],0))</f>
        <v>1</v>
      </c>
      <c r="N341" s="31" t="str">
        <f>"item_"&amp;CONTROL[[#This Row],[VEHIDCODE]]</f>
        <v>item_mtro_Czech_Republic_Prague_ECS_Set</v>
      </c>
      <c r="O341" s="31" t="str">
        <f>"str_"&amp;CONTROL[[#This Row],[VEHIDCODE]]</f>
        <v>str_mtro_Czech_Republic_Prague_ECS_Set</v>
      </c>
    </row>
    <row r="342" spans="1:15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ISNUMBER(_xlfn.XMATCH(CONTROL[[#This Row],[VEHIDCODE]],GRAPHICS_PROPERTIES[VEHIDCODE],0))</f>
        <v>1</v>
      </c>
      <c r="N342" s="31" t="str">
        <f>"item_"&amp;CONTROL[[#This Row],[VEHIDCODE]]</f>
        <v>item_mtro_Argentina_Buenos_Aires_Serie_1200</v>
      </c>
      <c r="O342" s="31" t="str">
        <f>"str_"&amp;CONTROL[[#This Row],[VEHIDCODE]]</f>
        <v>str_mtro_Argentina_Buenos_Aires_Serie_1200</v>
      </c>
    </row>
    <row r="343" spans="1:15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ISNUMBER(_xlfn.XMATCH(CONTROL[[#This Row],[VEHIDCODE]],GRAPHICS_PROPERTIES[VEHIDCODE],0))</f>
        <v>1</v>
      </c>
      <c r="N343" s="31" t="str">
        <f>"item_"&amp;CONTROL[[#This Row],[VEHIDCODE]]</f>
        <v>item_mtro_Chile_Santiago_NS_93</v>
      </c>
      <c r="O343" s="31" t="str">
        <f>"str_"&amp;CONTROL[[#This Row],[VEHIDCODE]]</f>
        <v>str_mtro_Chile_Santiago_NS_93</v>
      </c>
    </row>
    <row r="344" spans="1:15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ISNUMBER(_xlfn.XMATCH(CONTROL[[#This Row],[VEHIDCODE]],GRAPHICS_PROPERTIES[VEHIDCODE],0))</f>
        <v>1</v>
      </c>
      <c r="N344" s="31" t="str">
        <f>"item_"&amp;CONTROL[[#This Row],[VEHIDCODE]]</f>
        <v>item_mtro_Chile_Santiago_AS_2002</v>
      </c>
      <c r="O344" s="31" t="str">
        <f>"str_"&amp;CONTROL[[#This Row],[VEHIDCODE]]</f>
        <v>str_mtro_Chile_Santiago_AS_2002</v>
      </c>
    </row>
    <row r="345" spans="1:15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ISNUMBER(_xlfn.XMATCH(CONTROL[[#This Row],[VEHIDCODE]],GRAPHICS_PROPERTIES[VEHIDCODE],0))</f>
        <v>1</v>
      </c>
      <c r="N345" s="31" t="str">
        <f>"item_"&amp;CONTROL[[#This Row],[VEHIDCODE]]</f>
        <v>item_mtro_Brazil_Recife_VLT_Mobile_3</v>
      </c>
      <c r="O345" s="31" t="str">
        <f>"str_"&amp;CONTROL[[#This Row],[VEHIDCODE]]</f>
        <v>str_mtro_Brazil_Recife_VLT_Mobile_3</v>
      </c>
    </row>
    <row r="346" spans="1:15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ISNUMBER(_xlfn.XMATCH(CONTROL[[#This Row],[VEHIDCODE]],GRAPHICS_PROPERTIES[VEHIDCODE],0))</f>
        <v>1</v>
      </c>
      <c r="N346" s="31" t="str">
        <f>"item_"&amp;CONTROL[[#This Row],[VEHIDCODE]]</f>
        <v>item_mtro_Spain_Madrid_Series_5000</v>
      </c>
      <c r="O346" s="31" t="str">
        <f>"str_"&amp;CONTROL[[#This Row],[VEHIDCODE]]</f>
        <v>str_mtro_Spain_Madrid_Series_5000</v>
      </c>
    </row>
    <row r="347" spans="1:15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ISNUMBER(_xlfn.XMATCH(CONTROL[[#This Row],[VEHIDCODE]],GRAPHICS_PROPERTIES[VEHIDCODE],0))</f>
        <v>1</v>
      </c>
      <c r="N347" s="31" t="str">
        <f>"item_"&amp;CONTROL[[#This Row],[VEHIDCODE]]</f>
        <v>item_mtro_Italy_Rome_S_300</v>
      </c>
      <c r="O347" s="31" t="str">
        <f>"str_"&amp;CONTROL[[#This Row],[VEHIDCODE]]</f>
        <v>str_mtro_Italy_Rome_S_300</v>
      </c>
    </row>
    <row r="348" spans="1:15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ISNUMBER(_xlfn.XMATCH(CONTROL[[#This Row],[VEHIDCODE]],GRAPHICS_PROPERTIES[VEHIDCODE],0))</f>
        <v>1</v>
      </c>
      <c r="N348" s="31" t="str">
        <f>"item_"&amp;CONTROL[[#This Row],[VEHIDCODE]]</f>
        <v>item_mtro_Algeria_Algiers_CAF_2011_Stock</v>
      </c>
      <c r="O348" s="31" t="str">
        <f>"str_"&amp;CONTROL[[#This Row],[VEHIDCODE]]</f>
        <v>str_mtro_Algeria_Algiers_CAF_2011_Stock</v>
      </c>
    </row>
    <row r="349" spans="1:15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ISNUMBER(_xlfn.XMATCH(CONTROL[[#This Row],[VEHIDCODE]],GRAPHICS_PROPERTIES[VEHIDCODE],0))</f>
        <v>1</v>
      </c>
      <c r="N349" s="31" t="str">
        <f>"item_"&amp;CONTROL[[#This Row],[VEHIDCODE]]</f>
        <v>item_mtro_Germany_Berlin_U_Bahn_IK</v>
      </c>
      <c r="O349" s="31" t="str">
        <f>"str_"&amp;CONTROL[[#This Row],[VEHIDCODE]]</f>
        <v>str_mtro_Germany_Berlin_U_Bahn_IK</v>
      </c>
    </row>
    <row r="350" spans="1:15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ISNUMBER(_xlfn.XMATCH(CONTROL[[#This Row],[VEHIDCODE]],GRAPHICS_PROPERTIES[VEHIDCODE],0))</f>
        <v>1</v>
      </c>
      <c r="N350" s="31" t="str">
        <f>"item_"&amp;CONTROL[[#This Row],[VEHIDCODE]]</f>
        <v>item_mtro_USA_Chicago_L_6000</v>
      </c>
      <c r="O350" s="31" t="str">
        <f>"str_"&amp;CONTROL[[#This Row],[VEHIDCODE]]</f>
        <v>str_mtro_USA_Chicago_L_6000</v>
      </c>
    </row>
    <row r="351" spans="1:15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ISNUMBER(_xlfn.XMATCH(CONTROL[[#This Row],[VEHIDCODE]],GRAPHICS_PROPERTIES[VEHIDCODE],0))</f>
        <v>1</v>
      </c>
      <c r="N351" s="31" t="str">
        <f>"item_"&amp;CONTROL[[#This Row],[VEHIDCODE]]</f>
        <v>item_mtro_UK_London_1903_Stock</v>
      </c>
      <c r="O351" s="31" t="str">
        <f>"str_"&amp;CONTROL[[#This Row],[VEHIDCODE]]</f>
        <v>str_mtro_UK_London_1903_Stock</v>
      </c>
    </row>
    <row r="352" spans="1:15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ISNUMBER(_xlfn.XMATCH(CONTROL[[#This Row],[VEHIDCODE]],GRAPHICS_PROPERTIES[VEHIDCODE],0))</f>
        <v>1</v>
      </c>
      <c r="N352" s="31" t="str">
        <f>"item_"&amp;CONTROL[[#This Row],[VEHIDCODE]]</f>
        <v>item_mtro_UK_London_1938_Stock</v>
      </c>
      <c r="O352" s="31" t="str">
        <f>"str_"&amp;CONTROL[[#This Row],[VEHIDCODE]]</f>
        <v>str_mtro_UK_London_1938_Stock</v>
      </c>
    </row>
    <row r="353" spans="1:15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ISNUMBER(_xlfn.XMATCH(CONTROL[[#This Row],[VEHIDCODE]],GRAPHICS_PROPERTIES[VEHIDCODE],0))</f>
        <v>1</v>
      </c>
      <c r="N353" s="31" t="str">
        <f>"item_"&amp;CONTROL[[#This Row],[VEHIDCODE]]</f>
        <v>item_electric_UK_NER_EF1</v>
      </c>
      <c r="O353" s="31" t="str">
        <f>"str_"&amp;CONTROL[[#This Row],[VEHIDCODE]]</f>
        <v>str_electric_UK_NER_EF1</v>
      </c>
    </row>
    <row r="354" spans="1:15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ISNUMBER(_xlfn.XMATCH(CONTROL[[#This Row],[VEHIDCODE]],GRAPHICS_PROPERTIES[VEHIDCODE],0))</f>
        <v>1</v>
      </c>
      <c r="N354" s="31" t="str">
        <f>"item_"&amp;CONTROL[[#This Row],[VEHIDCODE]]</f>
        <v>item_electric_Japan_JNR_EB10</v>
      </c>
      <c r="O354" s="31" t="str">
        <f>"str_"&amp;CONTROL[[#This Row],[VEHIDCODE]]</f>
        <v>str_electric_Japan_JNR_EB10</v>
      </c>
    </row>
    <row r="355" spans="1:15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ISNUMBER(_xlfn.XMATCH(CONTROL[[#This Row],[VEHIDCODE]],GRAPHICS_PROPERTIES[VEHIDCODE],0))</f>
        <v>1</v>
      </c>
      <c r="N355" s="31" t="str">
        <f>"item_"&amp;CONTROL[[#This Row],[VEHIDCODE]]</f>
        <v>item_electric_Japan_JNR_EF55</v>
      </c>
      <c r="O355" s="31" t="str">
        <f>"str_"&amp;CONTROL[[#This Row],[VEHIDCODE]]</f>
        <v>str_electric_Japan_JNR_EF55</v>
      </c>
    </row>
    <row r="356" spans="1:15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ISNUMBER(_xlfn.XMATCH(CONTROL[[#This Row],[VEHIDCODE]],GRAPHICS_PROPERTIES[VEHIDCODE],0))</f>
        <v>1</v>
      </c>
      <c r="N356" s="31" t="str">
        <f>"item_"&amp;CONTROL[[#This Row],[VEHIDCODE]]</f>
        <v>item_electric_Netherlands_NS_1000</v>
      </c>
      <c r="O356" s="31" t="str">
        <f>"str_"&amp;CONTROL[[#This Row],[VEHIDCODE]]</f>
        <v>str_electric_Netherlands_NS_1000</v>
      </c>
    </row>
    <row r="357" spans="1:15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ISNUMBER(_xlfn.XMATCH(CONTROL[[#This Row],[VEHIDCODE]],GRAPHICS_PROPERTIES[VEHIDCODE],0))</f>
        <v>1</v>
      </c>
      <c r="N357" s="31" t="str">
        <f>"item_"&amp;CONTROL[[#This Row],[VEHIDCODE]]</f>
        <v>item_electric_Netherlands_NS_1600</v>
      </c>
      <c r="O357" s="31" t="str">
        <f>"str_"&amp;CONTROL[[#This Row],[VEHIDCODE]]</f>
        <v>str_electric_Netherlands_NS_1600</v>
      </c>
    </row>
    <row r="358" spans="1:15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ISNUMBER(_xlfn.XMATCH(CONTROL[[#This Row],[VEHIDCODE]],GRAPHICS_PROPERTIES[VEHIDCODE],0))</f>
        <v>1</v>
      </c>
      <c r="N358" s="31" t="str">
        <f>"item_"&amp;CONTROL[[#This Row],[VEHIDCODE]]</f>
        <v>item_electric_Australia_Victorian_Railways_E_Class</v>
      </c>
      <c r="O358" s="31" t="str">
        <f>"str_"&amp;CONTROL[[#This Row],[VEHIDCODE]]</f>
        <v>str_electric_Australia_Victorian_Railways_E_Class</v>
      </c>
    </row>
    <row r="359" spans="1:15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ISNUMBER(_xlfn.XMATCH(CONTROL[[#This Row],[VEHIDCODE]],GRAPHICS_PROPERTIES[VEHIDCODE],0))</f>
        <v>1</v>
      </c>
      <c r="N359" s="31" t="str">
        <f>"item_"&amp;CONTROL[[#This Row],[VEHIDCODE]]</f>
        <v>item_electric_UK_NER_ES1</v>
      </c>
      <c r="O359" s="31" t="str">
        <f>"str_"&amp;CONTROL[[#This Row],[VEHIDCODE]]</f>
        <v>str_electric_UK_NER_ES1</v>
      </c>
    </row>
    <row r="360" spans="1:15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2682</v>
      </c>
      <c r="G360" t="s">
        <v>2681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ISNUMBER(_xlfn.XMATCH(CONTROL[[#This Row],[VEHIDCODE]],GRAPHICS_PROPERTIES[VEHIDCODE],0))</f>
        <v>1</v>
      </c>
      <c r="N360" s="31" t="str">
        <f>"item_"&amp;CONTROL[[#This Row],[VEHIDCODE]]</f>
        <v>item_electric_USA_NYC_S_motor</v>
      </c>
      <c r="O360" s="31" t="str">
        <f>"str_"&amp;CONTROL[[#This Row],[VEHIDCODE]]</f>
        <v>str_electric_USA_NYC_S_motor</v>
      </c>
    </row>
    <row r="361" spans="1:15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ISNUMBER(_xlfn.XMATCH(CONTROL[[#This Row],[VEHIDCODE]],GRAPHICS_PROPERTIES[VEHIDCODE],0))</f>
        <v>1</v>
      </c>
      <c r="N361" s="31" t="str">
        <f>"item_"&amp;CONTROL[[#This Row],[VEHIDCODE]]</f>
        <v>item_electric_Japan_Aichi_Railroad_DeKi_400</v>
      </c>
      <c r="O361" s="31" t="str">
        <f>"str_"&amp;CONTROL[[#This Row],[VEHIDCODE]]</f>
        <v>str_electric_Japan_Aichi_Railroad_DeKi_400</v>
      </c>
    </row>
    <row r="362" spans="1:15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ISNUMBER(_xlfn.XMATCH(CONTROL[[#This Row],[VEHIDCODE]],GRAPHICS_PROPERTIES[VEHIDCODE],0))</f>
        <v>1</v>
      </c>
      <c r="N362" s="31" t="str">
        <f>"item_"&amp;CONTROL[[#This Row],[VEHIDCODE]]</f>
        <v>item_electric_India_Indian_Railways_WCG_1</v>
      </c>
      <c r="O362" s="31" t="str">
        <f>"str_"&amp;CONTROL[[#This Row],[VEHIDCODE]]</f>
        <v>str_electric_India_Indian_Railways_WCG_1</v>
      </c>
    </row>
    <row r="363" spans="1:15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2685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ISNUMBER(_xlfn.XMATCH(CONTROL[[#This Row],[VEHIDCODE]],GRAPHICS_PROPERTIES[VEHIDCODE],0))</f>
        <v>1</v>
      </c>
      <c r="N363" s="31" t="str">
        <f>"item_"&amp;CONTROL[[#This Row],[VEHIDCODE]]</f>
        <v>item_electric_France_SNCF_BB_9004</v>
      </c>
      <c r="O363" s="31" t="str">
        <f>"str_"&amp;CONTROL[[#This Row],[VEHIDCODE]]</f>
        <v>str_electric_France_SNCF_BB_9004</v>
      </c>
    </row>
    <row r="364" spans="1:15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2686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ISNUMBER(_xlfn.XMATCH(CONTROL[[#This Row],[VEHIDCODE]],GRAPHICS_PROPERTIES[VEHIDCODE],0))</f>
        <v>1</v>
      </c>
      <c r="N364" s="31" t="str">
        <f>"item_"&amp;CONTROL[[#This Row],[VEHIDCODE]]</f>
        <v>item_electric_Indonesia_ESS_3200</v>
      </c>
      <c r="O364" s="31" t="str">
        <f>"str_"&amp;CONTROL[[#This Row],[VEHIDCODE]]</f>
        <v>str_electric_Indonesia_ESS_3200</v>
      </c>
    </row>
    <row r="365" spans="1:15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2687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ISNUMBER(_xlfn.XMATCH(CONTROL[[#This Row],[VEHIDCODE]],GRAPHICS_PROPERTIES[VEHIDCODE],0))</f>
        <v>1</v>
      </c>
      <c r="N365" s="31" t="str">
        <f>"item_"&amp;CONTROL[[#This Row],[VEHIDCODE]]</f>
        <v>item_electric_UK_BR_77_Metrovic</v>
      </c>
      <c r="O365" s="31" t="str">
        <f>"str_"&amp;CONTROL[[#This Row],[VEHIDCODE]]</f>
        <v>str_electric_UK_BR_77_Metrovic</v>
      </c>
    </row>
    <row r="366" spans="1:15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2688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ISNUMBER(_xlfn.XMATCH(CONTROL[[#This Row],[VEHIDCODE]],GRAPHICS_PROPERTIES[VEHIDCODE],0))</f>
        <v>1</v>
      </c>
      <c r="N366" s="31" t="str">
        <f>"item_"&amp;CONTROL[[#This Row],[VEHIDCODE]]</f>
        <v>item_electric_UK_NER_EE1</v>
      </c>
      <c r="O366" s="31" t="str">
        <f>"str_"&amp;CONTROL[[#This Row],[VEHIDCODE]]</f>
        <v>str_electric_UK_NER_EE1</v>
      </c>
    </row>
    <row r="367" spans="1:15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2689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ISNUMBER(_xlfn.XMATCH(CONTROL[[#This Row],[VEHIDCODE]],GRAPHICS_PROPERTIES[VEHIDCODE],0))</f>
        <v>1</v>
      </c>
      <c r="N367" s="31" t="str">
        <f>"item_"&amp;CONTROL[[#This Row],[VEHIDCODE]]</f>
        <v>item_electric_USA_Milwaukee_Road_ES_2</v>
      </c>
      <c r="O367" s="31" t="str">
        <f>"str_"&amp;CONTROL[[#This Row],[VEHIDCODE]]</f>
        <v>str_electric_USA_Milwaukee_Road_ES_2</v>
      </c>
    </row>
    <row r="368" spans="1:15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ISNUMBER(_xlfn.XMATCH(CONTROL[[#This Row],[VEHIDCODE]],GRAPHICS_PROPERTIES[VEHIDCODE],0))</f>
        <v>1</v>
      </c>
      <c r="N368" s="31" t="str">
        <f>"item_"&amp;CONTROL[[#This Row],[VEHIDCODE]]</f>
        <v>item_electric_USA_Milwaukee_Road_EP_2_Bipolar</v>
      </c>
      <c r="O368" s="31" t="str">
        <f>"str_"&amp;CONTROL[[#This Row],[VEHIDCODE]]</f>
        <v>str_electric_USA_Milwaukee_Road_EP_2_Bipolar</v>
      </c>
    </row>
    <row r="369" spans="1:15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ISNUMBER(_xlfn.XMATCH(CONTROL[[#This Row],[VEHIDCODE]],GRAPHICS_PROPERTIES[VEHIDCODE],0))</f>
        <v>1</v>
      </c>
      <c r="N369" s="31" t="str">
        <f>"item_"&amp;CONTROL[[#This Row],[VEHIDCODE]]</f>
        <v>item_electric_Chile_EFE_E_28</v>
      </c>
      <c r="O369" s="31" t="str">
        <f>"str_"&amp;CONTROL[[#This Row],[VEHIDCODE]]</f>
        <v>str_electric_Chile_EFE_E_28</v>
      </c>
    </row>
    <row r="370" spans="1:15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ISNUMBER(_xlfn.XMATCH(CONTROL[[#This Row],[VEHIDCODE]],GRAPHICS_PROPERTIES[VEHIDCODE],0))</f>
        <v>1</v>
      </c>
      <c r="N370" s="31" t="str">
        <f>"item_"&amp;CONTROL[[#This Row],[VEHIDCODE]]</f>
        <v>item_electric_Italy_FS_E428</v>
      </c>
      <c r="O370" s="31" t="str">
        <f>"str_"&amp;CONTROL[[#This Row],[VEHIDCODE]]</f>
        <v>str_electric_Italy_FS_E428</v>
      </c>
    </row>
    <row r="371" spans="1:15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ISNUMBER(_xlfn.XMATCH(CONTROL[[#This Row],[VEHIDCODE]],GRAPHICS_PROPERTIES[VEHIDCODE],0))</f>
        <v>1</v>
      </c>
      <c r="N371" s="31" t="str">
        <f>"item_"&amp;CONTROL[[#This Row],[VEHIDCODE]]</f>
        <v>item_electric_South_Africa_SAR_ES_Class</v>
      </c>
      <c r="O371" s="31" t="str">
        <f>"str_"&amp;CONTROL[[#This Row],[VEHIDCODE]]</f>
        <v>str_electric_South_Africa_SAR_ES_Class</v>
      </c>
    </row>
    <row r="372" spans="1:15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ISNUMBER(_xlfn.XMATCH(CONTROL[[#This Row],[VEHIDCODE]],GRAPHICS_PROPERTIES[VEHIDCODE],0))</f>
        <v>1</v>
      </c>
      <c r="N372" s="31" t="str">
        <f>"item_"&amp;CONTROL[[#This Row],[VEHIDCODE]]</f>
        <v>item_electric_Poland_PKP_EU06</v>
      </c>
      <c r="O372" s="31" t="str">
        <f>"str_"&amp;CONTROL[[#This Row],[VEHIDCODE]]</f>
        <v>str_electric_Poland_PKP_EU06</v>
      </c>
    </row>
    <row r="373" spans="1:15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ISNUMBER(_xlfn.XMATCH(CONTROL[[#This Row],[VEHIDCODE]],GRAPHICS_PROPERTIES[VEHIDCODE],0))</f>
        <v>1</v>
      </c>
      <c r="N373" s="31" t="str">
        <f>"item_"&amp;CONTROL[[#This Row],[VEHIDCODE]]</f>
        <v>item_electric_Poland_PKP_ET41</v>
      </c>
      <c r="O373" s="31" t="str">
        <f>"str_"&amp;CONTROL[[#This Row],[VEHIDCODE]]</f>
        <v>str_electric_Poland_PKP_ET41</v>
      </c>
    </row>
    <row r="374" spans="1:15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2695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ISNUMBER(_xlfn.XMATCH(CONTROL[[#This Row],[VEHIDCODE]],GRAPHICS_PROPERTIES[VEHIDCODE],0))</f>
        <v>1</v>
      </c>
      <c r="N374" s="31" t="str">
        <f>"item_"&amp;CONTROL[[#This Row],[VEHIDCODE]]</f>
        <v>item_electric_Poland_PKP_EP09</v>
      </c>
      <c r="O374" s="31" t="str">
        <f>"str_"&amp;CONTROL[[#This Row],[VEHIDCODE]]</f>
        <v>str_electric_Poland_PKP_EP09</v>
      </c>
    </row>
    <row r="375" spans="1:15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2696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ISNUMBER(_xlfn.XMATCH(CONTROL[[#This Row],[VEHIDCODE]],GRAPHICS_PROPERTIES[VEHIDCODE],0))</f>
        <v>1</v>
      </c>
      <c r="N375" s="31" t="str">
        <f>"item_"&amp;CONTROL[[#This Row],[VEHIDCODE]]</f>
        <v>item_electric_Slovakia_ZSSK_162</v>
      </c>
      <c r="O375" s="31" t="str">
        <f>"str_"&amp;CONTROL[[#This Row],[VEHIDCODE]]</f>
        <v>str_electric_Slovakia_ZSSK_162</v>
      </c>
    </row>
    <row r="376" spans="1:15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2697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ISNUMBER(_xlfn.XMATCH(CONTROL[[#This Row],[VEHIDCODE]],GRAPHICS_PROPERTIES[VEHIDCODE],0))</f>
        <v>1</v>
      </c>
      <c r="N376" s="31" t="str">
        <f>"item_"&amp;CONTROL[[#This Row],[VEHIDCODE]]</f>
        <v>item_electric_Italy_FS_E646</v>
      </c>
      <c r="O376" s="31" t="str">
        <f>"str_"&amp;CONTROL[[#This Row],[VEHIDCODE]]</f>
        <v>str_electric_Italy_FS_E646</v>
      </c>
    </row>
    <row r="377" spans="1:15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2698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ISNUMBER(_xlfn.XMATCH(CONTROL[[#This Row],[VEHIDCODE]],GRAPHICS_PROPERTIES[VEHIDCODE],0))</f>
        <v>1</v>
      </c>
      <c r="N377" s="31" t="str">
        <f>"item_"&amp;CONTROL[[#This Row],[VEHIDCODE]]</f>
        <v>item_electric_Italy_FS_E424</v>
      </c>
      <c r="O377" s="31" t="str">
        <f>"str_"&amp;CONTROL[[#This Row],[VEHIDCODE]]</f>
        <v>str_electric_Italy_FS_E424</v>
      </c>
    </row>
    <row r="378" spans="1:15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2699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ISNUMBER(_xlfn.XMATCH(CONTROL[[#This Row],[VEHIDCODE]],GRAPHICS_PROPERTIES[VEHIDCODE],0))</f>
        <v>1</v>
      </c>
      <c r="N378" s="31" t="str">
        <f>"item_"&amp;CONTROL[[#This Row],[VEHIDCODE]]</f>
        <v>item_electric_Italy_FS_E444</v>
      </c>
      <c r="O378" s="31" t="str">
        <f>"str_"&amp;CONTROL[[#This Row],[VEHIDCODE]]</f>
        <v>str_electric_Italy_FS_E444</v>
      </c>
    </row>
    <row r="379" spans="1:15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ISNUMBER(_xlfn.XMATCH(CONTROL[[#This Row],[VEHIDCODE]],GRAPHICS_PROPERTIES[VEHIDCODE],0))</f>
        <v>1</v>
      </c>
      <c r="N379" s="31" t="str">
        <f>"item_"&amp;CONTROL[[#This Row],[VEHIDCODE]]</f>
        <v>item_electric_Italy_FS_E633</v>
      </c>
      <c r="O379" s="31" t="str">
        <f>"str_"&amp;CONTROL[[#This Row],[VEHIDCODE]]</f>
        <v>str_electric_Italy_FS_E633</v>
      </c>
    </row>
    <row r="380" spans="1:15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ISNUMBER(_xlfn.XMATCH(CONTROL[[#This Row],[VEHIDCODE]],GRAPHICS_PROPERTIES[VEHIDCODE],0))</f>
        <v>1</v>
      </c>
      <c r="N380" s="31" t="str">
        <f>"item_"&amp;CONTROL[[#This Row],[VEHIDCODE]]</f>
        <v>item_electric_Belgium_NMBS_Class_255</v>
      </c>
      <c r="O380" s="31" t="str">
        <f>"str_"&amp;CONTROL[[#This Row],[VEHIDCODE]]</f>
        <v>str_electric_Belgium_NMBS_Class_255</v>
      </c>
    </row>
    <row r="381" spans="1:15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ISNUMBER(_xlfn.XMATCH(CONTROL[[#This Row],[VEHIDCODE]],GRAPHICS_PROPERTIES[VEHIDCODE],0))</f>
        <v>1</v>
      </c>
      <c r="N381" s="31" t="str">
        <f>"item_"&amp;CONTROL[[#This Row],[VEHIDCODE]]</f>
        <v>item_electric_Spain_RENFE_250</v>
      </c>
      <c r="O381" s="31" t="str">
        <f>"str_"&amp;CONTROL[[#This Row],[VEHIDCODE]]</f>
        <v>str_electric_Spain_RENFE_250</v>
      </c>
    </row>
    <row r="382" spans="1:15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ISNUMBER(_xlfn.XMATCH(CONTROL[[#This Row],[VEHIDCODE]],GRAPHICS_PROPERTIES[VEHIDCODE],0))</f>
        <v>1</v>
      </c>
      <c r="N382" s="31" t="str">
        <f>"item_"&amp;CONTROL[[#This Row],[VEHIDCODE]]</f>
        <v>item_electric_Chile_EFE_E_29</v>
      </c>
      <c r="O382" s="31" t="str">
        <f>"str_"&amp;CONTROL[[#This Row],[VEHIDCODE]]</f>
        <v>str_electric_Chile_EFE_E_29</v>
      </c>
    </row>
    <row r="383" spans="1:15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ISNUMBER(_xlfn.XMATCH(CONTROL[[#This Row],[VEHIDCODE]],GRAPHICS_PROPERTIES[VEHIDCODE],0))</f>
        <v>1</v>
      </c>
      <c r="N383" s="31" t="str">
        <f>"item_"&amp;CONTROL[[#This Row],[VEHIDCODE]]</f>
        <v>item_electric_Chile_EFE_E_17</v>
      </c>
      <c r="O383" s="31" t="str">
        <f>"str_"&amp;CONTROL[[#This Row],[VEHIDCODE]]</f>
        <v>str_electric_Chile_EFE_E_17</v>
      </c>
    </row>
    <row r="384" spans="1:15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ISNUMBER(_xlfn.XMATCH(CONTROL[[#This Row],[VEHIDCODE]],GRAPHICS_PROPERTIES[VEHIDCODE],0))</f>
        <v>1</v>
      </c>
      <c r="N384" s="31" t="str">
        <f>"item_"&amp;CONTROL[[#This Row],[VEHIDCODE]]</f>
        <v>item_electric_Morocco_ONCF_E_700</v>
      </c>
      <c r="O384" s="31" t="str">
        <f>"str_"&amp;CONTROL[[#This Row],[VEHIDCODE]]</f>
        <v>str_electric_Morocco_ONCF_E_700</v>
      </c>
    </row>
    <row r="385" spans="1:15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ISNUMBER(_xlfn.XMATCH(CONTROL[[#This Row],[VEHIDCODE]],GRAPHICS_PROPERTIES[VEHIDCODE],0))</f>
        <v>1</v>
      </c>
      <c r="N385" s="31" t="str">
        <f>"item_"&amp;CONTROL[[#This Row],[VEHIDCODE]]</f>
        <v>item_electric_India_Indian_Railways_WCM_1</v>
      </c>
      <c r="O385" s="31" t="str">
        <f>"str_"&amp;CONTROL[[#This Row],[VEHIDCODE]]</f>
        <v>str_electric_India_Indian_Railways_WCM_1</v>
      </c>
    </row>
    <row r="386" spans="1:15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2705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ISNUMBER(_xlfn.XMATCH(CONTROL[[#This Row],[VEHIDCODE]],GRAPHICS_PROPERTIES[VEHIDCODE],0))</f>
        <v>1</v>
      </c>
      <c r="N386" s="31" t="str">
        <f>"item_"&amp;CONTROL[[#This Row],[VEHIDCODE]]</f>
        <v>item_electric_South_Africa_SAR_E38</v>
      </c>
      <c r="O386" s="31" t="str">
        <f>"str_"&amp;CONTROL[[#This Row],[VEHIDCODE]]</f>
        <v>str_electric_South_Africa_SAR_E38</v>
      </c>
    </row>
    <row r="387" spans="1:15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2706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ISNUMBER(_xlfn.XMATCH(CONTROL[[#This Row],[VEHIDCODE]],GRAPHICS_PROPERTIES[VEHIDCODE],0))</f>
        <v>1</v>
      </c>
      <c r="N387" s="31" t="str">
        <f>"item_"&amp;CONTROL[[#This Row],[VEHIDCODE]]</f>
        <v>item_electric_Chile_EFE_E_269</v>
      </c>
      <c r="O387" s="31" t="str">
        <f>"str_"&amp;CONTROL[[#This Row],[VEHIDCODE]]</f>
        <v>str_electric_Chile_EFE_E_269</v>
      </c>
    </row>
    <row r="388" spans="1:15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2782</v>
      </c>
      <c r="G388" t="s">
        <v>2707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ISNUMBER(_xlfn.XMATCH(CONTROL[[#This Row],[VEHIDCODE]],GRAPHICS_PROPERTIES[VEHIDCODE],0))</f>
        <v>1</v>
      </c>
      <c r="N388" s="31" t="str">
        <f>"item_"&amp;CONTROL[[#This Row],[VEHIDCODE]]</f>
        <v>item_electric_Czech_Republic_CD_363</v>
      </c>
      <c r="O388" s="31" t="str">
        <f>"str_"&amp;CONTROL[[#This Row],[VEHIDCODE]]</f>
        <v>str_electric_Czech_Republic_CD_363</v>
      </c>
    </row>
    <row r="389" spans="1:15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2708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ISNUMBER(_xlfn.XMATCH(CONTROL[[#This Row],[VEHIDCODE]],GRAPHICS_PROPERTIES[VEHIDCODE],0))</f>
        <v>1</v>
      </c>
      <c r="N389" s="31" t="str">
        <f>"item_"&amp;CONTROL[[#This Row],[VEHIDCODE]]</f>
        <v>item_electric_Norway_NSB_EL7</v>
      </c>
      <c r="O389" s="31" t="str">
        <f>"str_"&amp;CONTROL[[#This Row],[VEHIDCODE]]</f>
        <v>str_electric_Norway_NSB_EL7</v>
      </c>
    </row>
    <row r="390" spans="1:15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2709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ISNUMBER(_xlfn.XMATCH(CONTROL[[#This Row],[VEHIDCODE]],GRAPHICS_PROPERTIES[VEHIDCODE],0))</f>
        <v>1</v>
      </c>
      <c r="N390" s="31" t="str">
        <f>"item_"&amp;CONTROL[[#This Row],[VEHIDCODE]]</f>
        <v>item_electric_USA_Pennsylvania_Railroad_FF_1</v>
      </c>
      <c r="O390" s="31" t="str">
        <f>"str_"&amp;CONTROL[[#This Row],[VEHIDCODE]]</f>
        <v>str_electric_USA_Pennsylvania_Railroad_FF_1</v>
      </c>
    </row>
    <row r="391" spans="1:15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2488</v>
      </c>
      <c r="G391" t="s">
        <v>2710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ISNUMBER(_xlfn.XMATCH(CONTROL[[#This Row],[VEHIDCODE]],GRAPHICS_PROPERTIES[VEHIDCODE],0))</f>
        <v>1</v>
      </c>
      <c r="N391" s="31" t="str">
        <f>"item_"&amp;CONTROL[[#This Row],[VEHIDCODE]]</f>
        <v>item_electric_Austria_OBB_1161</v>
      </c>
      <c r="O391" s="31" t="str">
        <f>"str_"&amp;CONTROL[[#This Row],[VEHIDCODE]]</f>
        <v>str_electric_Austria_OBB_1161</v>
      </c>
    </row>
    <row r="392" spans="1:15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ISNUMBER(_xlfn.XMATCH(CONTROL[[#This Row],[VEHIDCODE]],GRAPHICS_PROPERTIES[VEHIDCODE],0))</f>
        <v>1</v>
      </c>
      <c r="N392" s="31" t="str">
        <f>"item_"&amp;CONTROL[[#This Row],[VEHIDCODE]]</f>
        <v>item_electric_Germany_DB_169</v>
      </c>
      <c r="O392" s="31" t="str">
        <f>"str_"&amp;CONTROL[[#This Row],[VEHIDCODE]]</f>
        <v>str_electric_Germany_DB_169</v>
      </c>
    </row>
    <row r="393" spans="1:15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ISNUMBER(_xlfn.XMATCH(CONTROL[[#This Row],[VEHIDCODE]],GRAPHICS_PROPERTIES[VEHIDCODE],0))</f>
        <v>1</v>
      </c>
      <c r="N393" s="31" t="str">
        <f>"item_"&amp;CONTROL[[#This Row],[VEHIDCODE]]</f>
        <v>item_electric_Norway_NSB_EL10</v>
      </c>
      <c r="O393" s="31" t="str">
        <f>"str_"&amp;CONTROL[[#This Row],[VEHIDCODE]]</f>
        <v>str_electric_Norway_NSB_EL10</v>
      </c>
    </row>
    <row r="394" spans="1:15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ISNUMBER(_xlfn.XMATCH(CONTROL[[#This Row],[VEHIDCODE]],GRAPHICS_PROPERTIES[VEHIDCODE],0))</f>
        <v>1</v>
      </c>
      <c r="N394" s="31" t="str">
        <f>"item_"&amp;CONTROL[[#This Row],[VEHIDCODE]]</f>
        <v>item_electric_Germany_DB_104</v>
      </c>
      <c r="O394" s="31" t="str">
        <f>"str_"&amp;CONTROL[[#This Row],[VEHIDCODE]]</f>
        <v>str_electric_Germany_DB_104</v>
      </c>
    </row>
    <row r="395" spans="1:15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ISNUMBER(_xlfn.XMATCH(CONTROL[[#This Row],[VEHIDCODE]],GRAPHICS_PROPERTIES[VEHIDCODE],0))</f>
        <v>1</v>
      </c>
      <c r="N395" s="31" t="str">
        <f>"item_"&amp;CONTROL[[#This Row],[VEHIDCODE]]</f>
        <v>item_electric_USA_Pennsylvania_Railroad_GG_1</v>
      </c>
      <c r="O395" s="31" t="str">
        <f>"str_"&amp;CONTROL[[#This Row],[VEHIDCODE]]</f>
        <v>str_electric_USA_Pennsylvania_Railroad_GG_1</v>
      </c>
    </row>
    <row r="396" spans="1:15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2489</v>
      </c>
      <c r="G396" t="s">
        <v>2715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ISNUMBER(_xlfn.XMATCH(CONTROL[[#This Row],[VEHIDCODE]],GRAPHICS_PROPERTIES[VEHIDCODE],0))</f>
        <v>1</v>
      </c>
      <c r="N396" s="31" t="str">
        <f>"item_"&amp;CONTROL[[#This Row],[VEHIDCODE]]</f>
        <v>item_electric_Austria_OBB_1020_Crocodile</v>
      </c>
      <c r="O396" s="31" t="str">
        <f>"str_"&amp;CONTROL[[#This Row],[VEHIDCODE]]</f>
        <v>str_electric_Austria_OBB_1020_Crocodile</v>
      </c>
    </row>
    <row r="397" spans="1:15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2716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ISNUMBER(_xlfn.XMATCH(CONTROL[[#This Row],[VEHIDCODE]],GRAPHICS_PROPERTIES[VEHIDCODE],0))</f>
        <v>1</v>
      </c>
      <c r="N397" s="31" t="str">
        <f>"item_"&amp;CONTROL[[#This Row],[VEHIDCODE]]</f>
        <v>item_electric_Germany_DB_1031</v>
      </c>
      <c r="O397" s="31" t="str">
        <f>"str_"&amp;CONTROL[[#This Row],[VEHIDCODE]]</f>
        <v>str_electric_Germany_DB_1031</v>
      </c>
    </row>
    <row r="398" spans="1:15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2717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ISNUMBER(_xlfn.XMATCH(CONTROL[[#This Row],[VEHIDCODE]],GRAPHICS_PROPERTIES[VEHIDCODE],0))</f>
        <v>1</v>
      </c>
      <c r="N398" s="31" t="str">
        <f>"item_"&amp;CONTROL[[#This Row],[VEHIDCODE]]</f>
        <v>item_electric_Germany_DB_E_919</v>
      </c>
      <c r="O398" s="31" t="str">
        <f>"str_"&amp;CONTROL[[#This Row],[VEHIDCODE]]</f>
        <v>str_electric_Germany_DB_E_919</v>
      </c>
    </row>
    <row r="399" spans="1:15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2718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ISNUMBER(_xlfn.XMATCH(CONTROL[[#This Row],[VEHIDCODE]],GRAPHICS_PROPERTIES[VEHIDCODE],0))</f>
        <v>1</v>
      </c>
      <c r="N399" s="31" t="str">
        <f>"item_"&amp;CONTROL[[#This Row],[VEHIDCODE]]</f>
        <v>item_electric_Switzerland_BLS_Ce_4_4</v>
      </c>
      <c r="O399" s="31" t="str">
        <f>"str_"&amp;CONTROL[[#This Row],[VEHIDCODE]]</f>
        <v>str_electric_Switzerland_BLS_Ce_4_4</v>
      </c>
    </row>
    <row r="400" spans="1:15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2719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ISNUMBER(_xlfn.XMATCH(CONTROL[[#This Row],[VEHIDCODE]],GRAPHICS_PROPERTIES[VEHIDCODE],0))</f>
        <v>1</v>
      </c>
      <c r="N400" s="31" t="str">
        <f>"item_"&amp;CONTROL[[#This Row],[VEHIDCODE]]</f>
        <v>item_electric_Switzerland_SBB_Ae_6_6</v>
      </c>
      <c r="O400" s="31" t="str">
        <f>"str_"&amp;CONTROL[[#This Row],[VEHIDCODE]]</f>
        <v>str_electric_Switzerland_SBB_Ae_6_6</v>
      </c>
    </row>
    <row r="401" spans="1:15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ISNUMBER(_xlfn.XMATCH(CONTROL[[#This Row],[VEHIDCODE]],GRAPHICS_PROPERTIES[VEHIDCODE],0))</f>
        <v>1</v>
      </c>
      <c r="N401" s="31" t="str">
        <f>"item_"&amp;CONTROL[[#This Row],[VEHIDCODE]]</f>
        <v>item_electric_Switzerland_SBB_Re460_Lok_2000</v>
      </c>
      <c r="O401" s="31" t="str">
        <f>"str_"&amp;CONTROL[[#This Row],[VEHIDCODE]]</f>
        <v>str_electric_Switzerland_SBB_Re460_Lok_2000</v>
      </c>
    </row>
    <row r="402" spans="1:15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ISNUMBER(_xlfn.XMATCH(CONTROL[[#This Row],[VEHIDCODE]],GRAPHICS_PROPERTIES[VEHIDCODE],0))</f>
        <v>1</v>
      </c>
      <c r="N402" s="31" t="str">
        <f>"item_"&amp;CONTROL[[#This Row],[VEHIDCODE]]</f>
        <v>item_electric_Switzerland_SBB_Eem_923</v>
      </c>
      <c r="O402" s="31" t="str">
        <f>"str_"&amp;CONTROL[[#This Row],[VEHIDCODE]]</f>
        <v>str_electric_Switzerland_SBB_Eem_923</v>
      </c>
    </row>
    <row r="403" spans="1:15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2490</v>
      </c>
      <c r="G403" t="s">
        <v>2722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ISNUMBER(_xlfn.XMATCH(CONTROL[[#This Row],[VEHIDCODE]],GRAPHICS_PROPERTIES[VEHIDCODE],0))</f>
        <v>1</v>
      </c>
      <c r="N403" s="31" t="str">
        <f>"item_"&amp;CONTROL[[#This Row],[VEHIDCODE]]</f>
        <v>item_electric_Austria_OBB_1044</v>
      </c>
      <c r="O403" s="31" t="str">
        <f>"str_"&amp;CONTROL[[#This Row],[VEHIDCODE]]</f>
        <v>str_electric_Austria_OBB_1044</v>
      </c>
    </row>
    <row r="404" spans="1:15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2491</v>
      </c>
      <c r="G404" t="s">
        <v>2723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ISNUMBER(_xlfn.XMATCH(CONTROL[[#This Row],[VEHIDCODE]],GRAPHICS_PROPERTIES[VEHIDCODE],0))</f>
        <v>1</v>
      </c>
      <c r="N404" s="31" t="str">
        <f>"item_"&amp;CONTROL[[#This Row],[VEHIDCODE]]</f>
        <v>item_electric_Austria_OBB_1063</v>
      </c>
      <c r="O404" s="31" t="str">
        <f>"str_"&amp;CONTROL[[#This Row],[VEHIDCODE]]</f>
        <v>str_electric_Austria_OBB_1063</v>
      </c>
    </row>
    <row r="405" spans="1:15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ISNUMBER(_xlfn.XMATCH(CONTROL[[#This Row],[VEHIDCODE]],GRAPHICS_PROPERTIES[VEHIDCODE],0))</f>
        <v>1</v>
      </c>
      <c r="N405" s="31" t="str">
        <f>"item_"&amp;CONTROL[[#This Row],[VEHIDCODE]]</f>
        <v>item_electric_Sweden_MTAB_Dm3</v>
      </c>
      <c r="O405" s="31" t="str">
        <f>"str_"&amp;CONTROL[[#This Row],[VEHIDCODE]]</f>
        <v>str_electric_Sweden_MTAB_Dm3</v>
      </c>
    </row>
    <row r="406" spans="1:15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2725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ISNUMBER(_xlfn.XMATCH(CONTROL[[#This Row],[VEHIDCODE]],GRAPHICS_PROPERTIES[VEHIDCODE],0))</f>
        <v>1</v>
      </c>
      <c r="N406" s="31" t="str">
        <f>"item_"&amp;CONTROL[[#This Row],[VEHIDCODE]]</f>
        <v>item_electric_Sweden_MTAB_IORE</v>
      </c>
      <c r="O406" s="31" t="str">
        <f>"str_"&amp;CONTROL[[#This Row],[VEHIDCODE]]</f>
        <v>str_electric_Sweden_MTAB_IORE</v>
      </c>
    </row>
    <row r="407" spans="1:15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2726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ISNUMBER(_xlfn.XMATCH(CONTROL[[#This Row],[VEHIDCODE]],GRAPHICS_PROPERTIES[VEHIDCODE],0))</f>
        <v>1</v>
      </c>
      <c r="N407" s="31" t="str">
        <f>"item_"&amp;CONTROL[[#This Row],[VEHIDCODE]]</f>
        <v>item_electric_Sweden_SJ_O_Class</v>
      </c>
      <c r="O407" s="31" t="str">
        <f>"str_"&amp;CONTROL[[#This Row],[VEHIDCODE]]</f>
        <v>str_electric_Sweden_SJ_O_Class</v>
      </c>
    </row>
    <row r="408" spans="1:15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2727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ISNUMBER(_xlfn.XMATCH(CONTROL[[#This Row],[VEHIDCODE]],GRAPHICS_PROPERTIES[VEHIDCODE],0))</f>
        <v>1</v>
      </c>
      <c r="N408" s="31" t="str">
        <f>"item_"&amp;CONTROL[[#This Row],[VEHIDCODE]]</f>
        <v>item_electric_Sweden_SJ_F_Class</v>
      </c>
      <c r="O408" s="31" t="str">
        <f>"str_"&amp;CONTROL[[#This Row],[VEHIDCODE]]</f>
        <v>str_electric_Sweden_SJ_F_Class</v>
      </c>
    </row>
    <row r="409" spans="1:15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2728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ISNUMBER(_xlfn.XMATCH(CONTROL[[#This Row],[VEHIDCODE]],GRAPHICS_PROPERTIES[VEHIDCODE],0))</f>
        <v>1</v>
      </c>
      <c r="N409" s="31" t="str">
        <f>"item_"&amp;CONTROL[[#This Row],[VEHIDCODE]]</f>
        <v>item_electric_Norway_NSB_EL17</v>
      </c>
      <c r="O409" s="31" t="str">
        <f>"str_"&amp;CONTROL[[#This Row],[VEHIDCODE]]</f>
        <v>str_electric_Norway_NSB_EL17</v>
      </c>
    </row>
    <row r="410" spans="1:15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2729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ISNUMBER(_xlfn.XMATCH(CONTROL[[#This Row],[VEHIDCODE]],GRAPHICS_PROPERTIES[VEHIDCODE],0))</f>
        <v>1</v>
      </c>
      <c r="N410" s="31" t="str">
        <f>"item_"&amp;CONTROL[[#This Row],[VEHIDCODE]]</f>
        <v>item_electric_Germany_Prussian_ES_6</v>
      </c>
      <c r="O410" s="31" t="str">
        <f>"str_"&amp;CONTROL[[#This Row],[VEHIDCODE]]</f>
        <v>str_electric_Germany_Prussian_ES_6</v>
      </c>
    </row>
    <row r="411" spans="1:15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ISNUMBER(_xlfn.XMATCH(CONTROL[[#This Row],[VEHIDCODE]],GRAPHICS_PROPERTIES[VEHIDCODE],0))</f>
        <v>1</v>
      </c>
      <c r="N411" s="31" t="str">
        <f>"item_"&amp;CONTROL[[#This Row],[VEHIDCODE]]</f>
        <v>item_electric_USA_Virginian_Railway_EL_2B</v>
      </c>
      <c r="O411" s="31" t="str">
        <f>"str_"&amp;CONTROL[[#This Row],[VEHIDCODE]]</f>
        <v>str_electric_USA_Virginian_Railway_EL_2B</v>
      </c>
    </row>
    <row r="412" spans="1:15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ISNUMBER(_xlfn.XMATCH(CONTROL[[#This Row],[VEHIDCODE]],GRAPHICS_PROPERTIES[VEHIDCODE],0))</f>
        <v>1</v>
      </c>
      <c r="N412" s="31" t="str">
        <f>"item_"&amp;CONTROL[[#This Row],[VEHIDCODE]]</f>
        <v>item_electric_USA_GN_W_1</v>
      </c>
      <c r="O412" s="31" t="str">
        <f>"str_"&amp;CONTROL[[#This Row],[VEHIDCODE]]</f>
        <v>str_electric_USA_GN_W_1</v>
      </c>
    </row>
    <row r="413" spans="1:15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ISNUMBER(_xlfn.XMATCH(CONTROL[[#This Row],[VEHIDCODE]],GRAPHICS_PROPERTIES[VEHIDCODE],0))</f>
        <v>1</v>
      </c>
      <c r="N413" s="31" t="str">
        <f>"item_"&amp;CONTROL[[#This Row],[VEHIDCODE]]</f>
        <v>item_electric_USA_PRR_B1</v>
      </c>
      <c r="O413" s="31" t="str">
        <f>"str_"&amp;CONTROL[[#This Row],[VEHIDCODE]]</f>
        <v>str_electric_USA_PRR_B1</v>
      </c>
    </row>
    <row r="414" spans="1:15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ISNUMBER(_xlfn.XMATCH(CONTROL[[#This Row],[VEHIDCODE]],GRAPHICS_PROPERTIES[VEHIDCODE],0))</f>
        <v>1</v>
      </c>
      <c r="N414" s="31" t="str">
        <f>"item_"&amp;CONTROL[[#This Row],[VEHIDCODE]]</f>
        <v>item_electric_Australia_Aurizon_E40_AG_V1</v>
      </c>
      <c r="O414" s="31" t="str">
        <f>"str_"&amp;CONTROL[[#This Row],[VEHIDCODE]]</f>
        <v>str_electric_Australia_Aurizon_E40_AG_V1</v>
      </c>
    </row>
    <row r="415" spans="1:15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ISNUMBER(_xlfn.XMATCH(CONTROL[[#This Row],[VEHIDCODE]],GRAPHICS_PROPERTIES[VEHIDCODE],0))</f>
        <v>1</v>
      </c>
      <c r="N415" s="31" t="str">
        <f>"item_"&amp;CONTROL[[#This Row],[VEHIDCODE]]</f>
        <v>item_electric_China_China_Railways_SS6</v>
      </c>
      <c r="O415" s="31" t="str">
        <f>"str_"&amp;CONTROL[[#This Row],[VEHIDCODE]]</f>
        <v>str_electric_China_China_Railways_SS6</v>
      </c>
    </row>
    <row r="416" spans="1:15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2735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ISNUMBER(_xlfn.XMATCH(CONTROL[[#This Row],[VEHIDCODE]],GRAPHICS_PROPERTIES[VEHIDCODE],0))</f>
        <v>1</v>
      </c>
      <c r="N416" s="31" t="str">
        <f>"item_"&amp;CONTROL[[#This Row],[VEHIDCODE]]</f>
        <v>item_electric_China_China_Railways_SS3</v>
      </c>
      <c r="O416" s="31" t="str">
        <f>"str_"&amp;CONTROL[[#This Row],[VEHIDCODE]]</f>
        <v>str_electric_China_China_Railways_SS3</v>
      </c>
    </row>
    <row r="417" spans="1:15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2736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ISNUMBER(_xlfn.XMATCH(CONTROL[[#This Row],[VEHIDCODE]],GRAPHICS_PROPERTIES[VEHIDCODE],0))</f>
        <v>1</v>
      </c>
      <c r="N417" s="31" t="str">
        <f>"item_"&amp;CONTROL[[#This Row],[VEHIDCODE]]</f>
        <v>item_electric_China_China_Railways_HXD3</v>
      </c>
      <c r="O417" s="31" t="str">
        <f>"str_"&amp;CONTROL[[#This Row],[VEHIDCODE]]</f>
        <v>str_electric_China_China_Railways_HXD3</v>
      </c>
    </row>
    <row r="418" spans="1:15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2737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ISNUMBER(_xlfn.XMATCH(CONTROL[[#This Row],[VEHIDCODE]],GRAPHICS_PROPERTIES[VEHIDCODE],0))</f>
        <v>1</v>
      </c>
      <c r="N418" s="31" t="str">
        <f>"item_"&amp;CONTROL[[#This Row],[VEHIDCODE]]</f>
        <v>item_electric_China_China_Railways_HXD1D</v>
      </c>
      <c r="O418" s="31" t="str">
        <f>"str_"&amp;CONTROL[[#This Row],[VEHIDCODE]]</f>
        <v>str_electric_China_China_Railways_HXD1D</v>
      </c>
    </row>
    <row r="419" spans="1:15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2738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ISNUMBER(_xlfn.XMATCH(CONTROL[[#This Row],[VEHIDCODE]],GRAPHICS_PROPERTIES[VEHIDCODE],0))</f>
        <v>1</v>
      </c>
      <c r="N419" s="31" t="str">
        <f>"item_"&amp;CONTROL[[#This Row],[VEHIDCODE]]</f>
        <v>item_electric_China_China_Railways_6K</v>
      </c>
      <c r="O419" s="31" t="str">
        <f>"str_"&amp;CONTROL[[#This Row],[VEHIDCODE]]</f>
        <v>str_electric_China_China_Railways_6K</v>
      </c>
    </row>
    <row r="420" spans="1:15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2739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ISNUMBER(_xlfn.XMATCH(CONTROL[[#This Row],[VEHIDCODE]],GRAPHICS_PROPERTIES[VEHIDCODE],0))</f>
        <v>1</v>
      </c>
      <c r="N420" s="31" t="str">
        <f>"item_"&amp;CONTROL[[#This Row],[VEHIDCODE]]</f>
        <v>item_electric_USA_PRR_E44</v>
      </c>
      <c r="O420" s="31" t="str">
        <f>"str_"&amp;CONTROL[[#This Row],[VEHIDCODE]]</f>
        <v>str_electric_USA_PRR_E44</v>
      </c>
    </row>
    <row r="421" spans="1:15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ISNUMBER(_xlfn.XMATCH(CONTROL[[#This Row],[VEHIDCODE]],GRAPHICS_PROPERTIES[VEHIDCODE],0))</f>
        <v>1</v>
      </c>
      <c r="N421" s="31" t="str">
        <f>"item_"&amp;CONTROL[[#This Row],[VEHIDCODE]]</f>
        <v>item_electric_Croatia_HZ_1141</v>
      </c>
      <c r="O421" s="31" t="str">
        <f>"str_"&amp;CONTROL[[#This Row],[VEHIDCODE]]</f>
        <v>str_electric_Croatia_HZ_1141</v>
      </c>
    </row>
    <row r="422" spans="1:15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2499</v>
      </c>
      <c r="G422" t="s">
        <v>2741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ISNUMBER(_xlfn.XMATCH(CONTROL[[#This Row],[VEHIDCODE]],GRAPHICS_PROPERTIES[VEHIDCODE],0))</f>
        <v>1</v>
      </c>
      <c r="N422" s="31" t="str">
        <f>"item_"&amp;CONTROL[[#This Row],[VEHIDCODE]]</f>
        <v>item_electric_Hungary_MAV_Class_V43</v>
      </c>
      <c r="O422" s="31" t="str">
        <f>"str_"&amp;CONTROL[[#This Row],[VEHIDCODE]]</f>
        <v>str_electric_Hungary_MAV_Class_V43</v>
      </c>
    </row>
    <row r="423" spans="1:15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ISNUMBER(_xlfn.XMATCH(CONTROL[[#This Row],[VEHIDCODE]],GRAPHICS_PROPERTIES[VEHIDCODE],0))</f>
        <v>1</v>
      </c>
      <c r="N423" s="31" t="str">
        <f>"item_"&amp;CONTROL[[#This Row],[VEHIDCODE]]</f>
        <v>item_electric_Portugal_CP_2500</v>
      </c>
      <c r="O423" s="31" t="str">
        <f>"str_"&amp;CONTROL[[#This Row],[VEHIDCODE]]</f>
        <v>str_electric_Portugal_CP_2500</v>
      </c>
    </row>
    <row r="424" spans="1:15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ISNUMBER(_xlfn.XMATCH(CONTROL[[#This Row],[VEHIDCODE]],GRAPHICS_PROPERTIES[VEHIDCODE],0))</f>
        <v>1</v>
      </c>
      <c r="N424" s="31" t="str">
        <f>"item_"&amp;CONTROL[[#This Row],[VEHIDCODE]]</f>
        <v>item_electric_Portugal_CP_2600</v>
      </c>
      <c r="O424" s="31" t="str">
        <f>"str_"&amp;CONTROL[[#This Row],[VEHIDCODE]]</f>
        <v>str_electric_Portugal_CP_2600</v>
      </c>
    </row>
    <row r="425" spans="1:15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ISNUMBER(_xlfn.XMATCH(CONTROL[[#This Row],[VEHIDCODE]],GRAPHICS_PROPERTIES[VEHIDCODE],0))</f>
        <v>1</v>
      </c>
      <c r="N425" s="31" t="str">
        <f>"item_"&amp;CONTROL[[#This Row],[VEHIDCODE]]</f>
        <v>item_electric_South_Africa_SAR_20E</v>
      </c>
      <c r="O425" s="31" t="str">
        <f>"str_"&amp;CONTROL[[#This Row],[VEHIDCODE]]</f>
        <v>str_electric_South_Africa_SAR_20E</v>
      </c>
    </row>
    <row r="426" spans="1:15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2745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ISNUMBER(_xlfn.XMATCH(CONTROL[[#This Row],[VEHIDCODE]],GRAPHICS_PROPERTIES[VEHIDCODE],0))</f>
        <v>1</v>
      </c>
      <c r="N426" s="31" t="str">
        <f>"item_"&amp;CONTROL[[#This Row],[VEHIDCODE]]</f>
        <v>item_electric_South_Korea_Korail_8200</v>
      </c>
      <c r="O426" s="31" t="str">
        <f>"str_"&amp;CONTROL[[#This Row],[VEHIDCODE]]</f>
        <v>str_electric_South_Korea_Korail_8200</v>
      </c>
    </row>
    <row r="427" spans="1:15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2746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ISNUMBER(_xlfn.XMATCH(CONTROL[[#This Row],[VEHIDCODE]],GRAPHICS_PROPERTIES[VEHIDCODE],0))</f>
        <v>1</v>
      </c>
      <c r="N427" s="31" t="str">
        <f>"item_"&amp;CONTROL[[#This Row],[VEHIDCODE]]</f>
        <v>item_electric_Ukraine_UZ_DS3</v>
      </c>
      <c r="O427" s="31" t="str">
        <f>"str_"&amp;CONTROL[[#This Row],[VEHIDCODE]]</f>
        <v>str_electric_Ukraine_UZ_DS3</v>
      </c>
    </row>
    <row r="428" spans="1:15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2783</v>
      </c>
      <c r="G428" t="s">
        <v>2747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ISNUMBER(_xlfn.XMATCH(CONTROL[[#This Row],[VEHIDCODE]],GRAPHICS_PROPERTIES[VEHIDCODE],0))</f>
        <v>1</v>
      </c>
      <c r="N428" s="31" t="str">
        <f>"item_"&amp;CONTROL[[#This Row],[VEHIDCODE]]</f>
        <v>item_electric_Czech_Republic_CD_S499</v>
      </c>
      <c r="O428" s="31" t="str">
        <f>"str_"&amp;CONTROL[[#This Row],[VEHIDCODE]]</f>
        <v>str_electric_Czech_Republic_CD_S499</v>
      </c>
    </row>
    <row r="429" spans="1:15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2748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ISNUMBER(_xlfn.XMATCH(CONTROL[[#This Row],[VEHIDCODE]],GRAPHICS_PROPERTIES[VEHIDCODE],0))</f>
        <v>1</v>
      </c>
      <c r="N429" s="31" t="str">
        <f>"item_"&amp;CONTROL[[#This Row],[VEHIDCODE]]</f>
        <v>item_electric_Italy_FS_E491</v>
      </c>
      <c r="O429" s="31" t="str">
        <f>"str_"&amp;CONTROL[[#This Row],[VEHIDCODE]]</f>
        <v>str_electric_Italy_FS_E491</v>
      </c>
    </row>
    <row r="430" spans="1:15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2749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ISNUMBER(_xlfn.XMATCH(CONTROL[[#This Row],[VEHIDCODE]],GRAPHICS_PROPERTIES[VEHIDCODE],0))</f>
        <v>1</v>
      </c>
      <c r="N430" s="31" t="str">
        <f>"item_"&amp;CONTROL[[#This Row],[VEHIDCODE]]</f>
        <v>item_electric_Macedonia_Macedonian_Railways_462</v>
      </c>
      <c r="O430" s="31" t="str">
        <f>"str_"&amp;CONTROL[[#This Row],[VEHIDCODE]]</f>
        <v>str_electric_Macedonia_Macedonian_Railways_462</v>
      </c>
    </row>
    <row r="431" spans="1:15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ISNUMBER(_xlfn.XMATCH(CONTROL[[#This Row],[VEHIDCODE]],GRAPHICS_PROPERTIES[VEHIDCODE],0))</f>
        <v>1</v>
      </c>
      <c r="N431" s="31" t="str">
        <f>"item_"&amp;CONTROL[[#This Row],[VEHIDCODE]]</f>
        <v>item_electric_Morocco_ONCFM_E_500</v>
      </c>
      <c r="O431" s="31" t="str">
        <f>"str_"&amp;CONTROL[[#This Row],[VEHIDCODE]]</f>
        <v>str_electric_Morocco_ONCFM_E_500</v>
      </c>
    </row>
    <row r="432" spans="1:15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ISNUMBER(_xlfn.XMATCH(CONTROL[[#This Row],[VEHIDCODE]],GRAPHICS_PROPERTIES[VEHIDCODE],0))</f>
        <v>1</v>
      </c>
      <c r="N432" s="31" t="str">
        <f>"item_"&amp;CONTROL[[#This Row],[VEHIDCODE]]</f>
        <v>item_electric_UK_BR_85</v>
      </c>
      <c r="O432" s="31" t="str">
        <f>"str_"&amp;CONTROL[[#This Row],[VEHIDCODE]]</f>
        <v>str_electric_UK_BR_85</v>
      </c>
    </row>
    <row r="433" spans="1:15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ISNUMBER(_xlfn.XMATCH(CONTROL[[#This Row],[VEHIDCODE]],GRAPHICS_PROPERTIES[VEHIDCODE],0))</f>
        <v>1</v>
      </c>
      <c r="N433" s="31" t="str">
        <f>"item_"&amp;CONTROL[[#This Row],[VEHIDCODE]]</f>
        <v>item_electric_Mexico_FNM_GE_E60C_2</v>
      </c>
      <c r="O433" s="31" t="str">
        <f>"str_"&amp;CONTROL[[#This Row],[VEHIDCODE]]</f>
        <v>str_electric_Mexico_FNM_GE_E60C_2</v>
      </c>
    </row>
    <row r="434" spans="1:15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ISNUMBER(_xlfn.XMATCH(CONTROL[[#This Row],[VEHIDCODE]],GRAPHICS_PROPERTIES[VEHIDCODE],0))</f>
        <v>1</v>
      </c>
      <c r="N434" s="31" t="str">
        <f>"item_"&amp;CONTROL[[#This Row],[VEHIDCODE]]</f>
        <v>item_electric_Morocco_ONCF_E_1400_Prima_II</v>
      </c>
      <c r="O434" s="31" t="str">
        <f>"str_"&amp;CONTROL[[#This Row],[VEHIDCODE]]</f>
        <v>str_electric_Morocco_ONCF_E_1400_Prima_II</v>
      </c>
    </row>
    <row r="435" spans="1:15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ISNUMBER(_xlfn.XMATCH(CONTROL[[#This Row],[VEHIDCODE]],GRAPHICS_PROPERTIES[VEHIDCODE],0))</f>
        <v>1</v>
      </c>
      <c r="N435" s="31" t="str">
        <f>"item_"&amp;CONTROL[[#This Row],[VEHIDCODE]]</f>
        <v>item_electric_New_Zealand_NZR_EA</v>
      </c>
      <c r="O435" s="31" t="str">
        <f>"str_"&amp;CONTROL[[#This Row],[VEHIDCODE]]</f>
        <v>str_electric_New_Zealand_NZR_EA</v>
      </c>
    </row>
    <row r="436" spans="1:15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2755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ISNUMBER(_xlfn.XMATCH(CONTROL[[#This Row],[VEHIDCODE]],GRAPHICS_PROPERTIES[VEHIDCODE],0))</f>
        <v>1</v>
      </c>
      <c r="N436" s="31" t="str">
        <f>"item_"&amp;CONTROL[[#This Row],[VEHIDCODE]]</f>
        <v>item_electric_Canada_BC_Rail_GF6C</v>
      </c>
      <c r="O436" s="31" t="str">
        <f>"str_"&amp;CONTROL[[#This Row],[VEHIDCODE]]</f>
        <v>str_electric_Canada_BC_Rail_GF6C</v>
      </c>
    </row>
    <row r="437" spans="1:15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2757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ISNUMBER(_xlfn.XMATCH(CONTROL[[#This Row],[VEHIDCODE]],GRAPHICS_PROPERTIES[VEHIDCODE],0))</f>
        <v>1</v>
      </c>
      <c r="N437" s="31" t="str">
        <f>"item_"&amp;CONTROL[[#This Row],[VEHIDCODE]]</f>
        <v>item_electric_France_SNCF_BB_22200</v>
      </c>
      <c r="O437" s="31" t="str">
        <f>"str_"&amp;CONTROL[[#This Row],[VEHIDCODE]]</f>
        <v>str_electric_France_SNCF_BB_22200</v>
      </c>
    </row>
    <row r="438" spans="1:15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2756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ISNUMBER(_xlfn.XMATCH(CONTROL[[#This Row],[VEHIDCODE]],GRAPHICS_PROPERTIES[VEHIDCODE],0))</f>
        <v>1</v>
      </c>
      <c r="N438" s="31" t="str">
        <f>"item_"&amp;CONTROL[[#This Row],[VEHIDCODE]]</f>
        <v>item_electric_France_SNCF_BB_26000</v>
      </c>
      <c r="O438" s="31" t="str">
        <f>"str_"&amp;CONTROL[[#This Row],[VEHIDCODE]]</f>
        <v>str_electric_France_SNCF_BB_26000</v>
      </c>
    </row>
    <row r="439" spans="1:15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2758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ISNUMBER(_xlfn.XMATCH(CONTROL[[#This Row],[VEHIDCODE]],GRAPHICS_PROPERTIES[VEHIDCODE],0))</f>
        <v>1</v>
      </c>
      <c r="N439" s="31" t="str">
        <f>"item_"&amp;CONTROL[[#This Row],[VEHIDCODE]]</f>
        <v>item_electric_France_SNCF_BB_25500</v>
      </c>
      <c r="O439" s="31" t="str">
        <f>"str_"&amp;CONTROL[[#This Row],[VEHIDCODE]]</f>
        <v>str_electric_France_SNCF_BB_25500</v>
      </c>
    </row>
    <row r="440" spans="1:15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2759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ISNUMBER(_xlfn.XMATCH(CONTROL[[#This Row],[VEHIDCODE]],GRAPHICS_PROPERTIES[VEHIDCODE],0))</f>
        <v>1</v>
      </c>
      <c r="N440" s="31" t="str">
        <f>"item_"&amp;CONTROL[[#This Row],[VEHIDCODE]]</f>
        <v>item_electric_Germany_DB_182_ES64U_Taurus</v>
      </c>
      <c r="O440" s="31" t="str">
        <f>"str_"&amp;CONTROL[[#This Row],[VEHIDCODE]]</f>
        <v>str_electric_Germany_DB_182_ES64U_Taurus</v>
      </c>
    </row>
    <row r="441" spans="1:15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ISNUMBER(_xlfn.XMATCH(CONTROL[[#This Row],[VEHIDCODE]],GRAPHICS_PROPERTIES[VEHIDCODE],0))</f>
        <v>1</v>
      </c>
      <c r="N441" s="31" t="str">
        <f>"item_"&amp;CONTROL[[#This Row],[VEHIDCODE]]</f>
        <v>item_electric_Japan_JR_EH500</v>
      </c>
      <c r="O441" s="31" t="str">
        <f>"str_"&amp;CONTROL[[#This Row],[VEHIDCODE]]</f>
        <v>str_electric_Japan_JR_EH500</v>
      </c>
    </row>
    <row r="442" spans="1:15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ISNUMBER(_xlfn.XMATCH(CONTROL[[#This Row],[VEHIDCODE]],GRAPHICS_PROPERTIES[VEHIDCODE],0))</f>
        <v>1</v>
      </c>
      <c r="N442" s="31" t="str">
        <f>"item_"&amp;CONTROL[[#This Row],[VEHIDCODE]]</f>
        <v>item_electric_USA_Amtrak_EMD_AEM_7</v>
      </c>
      <c r="O442" s="31" t="str">
        <f>"str_"&amp;CONTROL[[#This Row],[VEHIDCODE]]</f>
        <v>str_electric_USA_Amtrak_EMD_AEM_7</v>
      </c>
    </row>
    <row r="443" spans="1:15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ISNUMBER(_xlfn.XMATCH(CONTROL[[#This Row],[VEHIDCODE]],GRAPHICS_PROPERTIES[VEHIDCODE],0))</f>
        <v>1</v>
      </c>
      <c r="N443" s="31" t="str">
        <f>"item_"&amp;CONTROL[[#This Row],[VEHIDCODE]]</f>
        <v>item_electric_USA_Amtrak_HHP_8</v>
      </c>
      <c r="O443" s="31" t="str">
        <f>"str_"&amp;CONTROL[[#This Row],[VEHIDCODE]]</f>
        <v>str_electric_USA_Amtrak_HHP_8</v>
      </c>
    </row>
    <row r="444" spans="1:15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2784</v>
      </c>
      <c r="G444" t="s">
        <v>2763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ISNUMBER(_xlfn.XMATCH(CONTROL[[#This Row],[VEHIDCODE]],GRAPHICS_PROPERTIES[VEHIDCODE],0))</f>
        <v>1</v>
      </c>
      <c r="N444" s="31" t="str">
        <f>"item_"&amp;CONTROL[[#This Row],[VEHIDCODE]]</f>
        <v>item_electric_Czech_Republic_CD_380</v>
      </c>
      <c r="O444" s="31" t="str">
        <f>"str_"&amp;CONTROL[[#This Row],[VEHIDCODE]]</f>
        <v>str_electric_Czech_Republic_CD_380</v>
      </c>
    </row>
    <row r="445" spans="1:15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ISNUMBER(_xlfn.XMATCH(CONTROL[[#This Row],[VEHIDCODE]],GRAPHICS_PROPERTIES[VEHIDCODE],0))</f>
        <v>1</v>
      </c>
      <c r="N445" s="31" t="str">
        <f>"item_"&amp;CONTROL[[#This Row],[VEHIDCODE]]</f>
        <v>item_electric_Spain_RENFE_252</v>
      </c>
      <c r="O445" s="31" t="str">
        <f>"str_"&amp;CONTROL[[#This Row],[VEHIDCODE]]</f>
        <v>str_electric_Spain_RENFE_252</v>
      </c>
    </row>
    <row r="446" spans="1:15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2765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ISNUMBER(_xlfn.XMATCH(CONTROL[[#This Row],[VEHIDCODE]],GRAPHICS_PROPERTIES[VEHIDCODE],0))</f>
        <v>1</v>
      </c>
      <c r="N446" s="31" t="str">
        <f>"item_"&amp;CONTROL[[#This Row],[VEHIDCODE]]</f>
        <v>item_electric_Germany_DB_185_TRAXX_F140</v>
      </c>
      <c r="O446" s="31" t="str">
        <f>"str_"&amp;CONTROL[[#This Row],[VEHIDCODE]]</f>
        <v>str_electric_Germany_DB_185_TRAXX_F140</v>
      </c>
    </row>
    <row r="447" spans="1:15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2766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ISNUMBER(_xlfn.XMATCH(CONTROL[[#This Row],[VEHIDCODE]],GRAPHICS_PROPERTIES[VEHIDCODE],0))</f>
        <v>1</v>
      </c>
      <c r="N447" s="31" t="str">
        <f>"item_"&amp;CONTROL[[#This Row],[VEHIDCODE]]</f>
        <v>item_electric_Italy_FS_E550</v>
      </c>
      <c r="O447" s="31" t="str">
        <f>"str_"&amp;CONTROL[[#This Row],[VEHIDCODE]]</f>
        <v>str_electric_Italy_FS_E550</v>
      </c>
    </row>
    <row r="448" spans="1:15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2767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ISNUMBER(_xlfn.XMATCH(CONTROL[[#This Row],[VEHIDCODE]],GRAPHICS_PROPERTIES[VEHIDCODE],0))</f>
        <v>1</v>
      </c>
      <c r="N448" s="31" t="str">
        <f>"item_"&amp;CONTROL[[#This Row],[VEHIDCODE]]</f>
        <v>item_electric_Japan_JNR_EF81</v>
      </c>
      <c r="O448" s="31" t="str">
        <f>"str_"&amp;CONTROL[[#This Row],[VEHIDCODE]]</f>
        <v>str_electric_Japan_JNR_EF81</v>
      </c>
    </row>
    <row r="449" spans="1:15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2768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ISNUMBER(_xlfn.XMATCH(CONTROL[[#This Row],[VEHIDCODE]],GRAPHICS_PROPERTIES[VEHIDCODE],0))</f>
        <v>1</v>
      </c>
      <c r="N449" s="31" t="str">
        <f>"item_"&amp;CONTROL[[#This Row],[VEHIDCODE]]</f>
        <v>item_electric_UK_BR_92</v>
      </c>
      <c r="O449" s="31" t="str">
        <f>"str_"&amp;CONTROL[[#This Row],[VEHIDCODE]]</f>
        <v>str_electric_UK_BR_92</v>
      </c>
    </row>
    <row r="450" spans="1:15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2769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ISNUMBER(_xlfn.XMATCH(CONTROL[[#This Row],[VEHIDCODE]],GRAPHICS_PROPERTIES[VEHIDCODE],0))</f>
        <v>1</v>
      </c>
      <c r="N450" s="31" t="str">
        <f>"item_"&amp;CONTROL[[#This Row],[VEHIDCODE]]</f>
        <v>item_electric_USA_Amtrak_ACS_64</v>
      </c>
      <c r="O450" s="31" t="str">
        <f>"str_"&amp;CONTROL[[#This Row],[VEHIDCODE]]</f>
        <v>str_electric_USA_Amtrak_ACS_64</v>
      </c>
    </row>
    <row r="451" spans="1:15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2770</v>
      </c>
      <c r="G451" t="s">
        <v>2771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ISNUMBER(_xlfn.XMATCH(CONTROL[[#This Row],[VEHIDCODE]],GRAPHICS_PROPERTIES[VEHIDCODE],0))</f>
        <v>1</v>
      </c>
      <c r="N451" s="31" t="str">
        <f>"item_"&amp;CONTROL[[#This Row],[VEHIDCODE]]</f>
        <v>item_electric_France_SNCF_CC_40100</v>
      </c>
      <c r="O451" s="31" t="str">
        <f>"str_"&amp;CONTROL[[#This Row],[VEHIDCODE]]</f>
        <v>str_electric_France_SNCF_CC_40100</v>
      </c>
    </row>
    <row r="452" spans="1:15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ISNUMBER(_xlfn.XMATCH(CONTROL[[#This Row],[VEHIDCODE]],GRAPHICS_PROPERTIES[VEHIDCODE],0))</f>
        <v>1</v>
      </c>
      <c r="N452" s="31" t="str">
        <f>"item_"&amp;CONTROL[[#This Row],[VEHIDCODE]]</f>
        <v>item_electric_Belgium_NMBS_SNCB_13_HLE</v>
      </c>
      <c r="O452" s="31" t="str">
        <f>"str_"&amp;CONTROL[[#This Row],[VEHIDCODE]]</f>
        <v>str_electric_Belgium_NMBS_SNCB_13_HLE</v>
      </c>
    </row>
    <row r="453" spans="1:15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2794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ISNUMBER(_xlfn.XMATCH(CONTROL[[#This Row],[VEHIDCODE]],GRAPHICS_PROPERTIES[VEHIDCODE],0))</f>
        <v>1</v>
      </c>
      <c r="N453" s="31" t="str">
        <f>"item_"&amp;CONTROL[[#This Row],[VEHIDCODE]]</f>
        <v>item_dmu_Germany_DB_VT_040_Flying_Hamburger</v>
      </c>
      <c r="O453" s="31" t="str">
        <f>"str_"&amp;CONTROL[[#This Row],[VEHIDCODE]]</f>
        <v>str_dmu_Germany_DB_VT_040_Flying_Hamburger</v>
      </c>
    </row>
    <row r="454" spans="1:15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ISNUMBER(_xlfn.XMATCH(CONTROL[[#This Row],[VEHIDCODE]],GRAPHICS_PROPERTIES[VEHIDCODE],0))</f>
        <v>1</v>
      </c>
      <c r="N454" s="31" t="str">
        <f>"item_"&amp;CONTROL[[#This Row],[VEHIDCODE]]</f>
        <v>item_dmu_Australia_NSWGR_Silver_City_Comet</v>
      </c>
      <c r="O454" s="31" t="str">
        <f>"str_"&amp;CONTROL[[#This Row],[VEHIDCODE]]</f>
        <v>str_dmu_Australia_NSWGR_Silver_City_Comet</v>
      </c>
    </row>
    <row r="455" spans="1:15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2785</v>
      </c>
      <c r="G455" t="s">
        <v>2774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ISNUMBER(_xlfn.XMATCH(CONTROL[[#This Row],[VEHIDCODE]],GRAPHICS_PROPERTIES[VEHIDCODE],0))</f>
        <v>1</v>
      </c>
      <c r="N455" s="31" t="str">
        <f>"item_"&amp;CONTROL[[#This Row],[VEHIDCODE]]</f>
        <v>item_dmu_Czech_Republic_CD_M131</v>
      </c>
      <c r="O455" s="31" t="str">
        <f>"str_"&amp;CONTROL[[#This Row],[VEHIDCODE]]</f>
        <v>str_dmu_Czech_Republic_CD_M131</v>
      </c>
    </row>
    <row r="456" spans="1:15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2789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ISNUMBER(_xlfn.XMATCH(CONTROL[[#This Row],[VEHIDCODE]],GRAPHICS_PROPERTIES[VEHIDCODE],0))</f>
        <v>1</v>
      </c>
      <c r="N456" s="31" t="str">
        <f>"item_"&amp;CONTROL[[#This Row],[VEHIDCODE]]</f>
        <v>item_dmu_Germany_DB_VT_085</v>
      </c>
      <c r="O456" s="31" t="str">
        <f>"str_"&amp;CONTROL[[#This Row],[VEHIDCODE]]</f>
        <v>str_dmu_Germany_DB_VT_085</v>
      </c>
    </row>
    <row r="457" spans="1:15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ISNUMBER(_xlfn.XMATCH(CONTROL[[#This Row],[VEHIDCODE]],GRAPHICS_PROPERTIES[VEHIDCODE],0))</f>
        <v>1</v>
      </c>
      <c r="N457" s="31" t="str">
        <f>"item_"&amp;CONTROL[[#This Row],[VEHIDCODE]]</f>
        <v>item_dmu_Australia_Queensland_Rail_400</v>
      </c>
      <c r="O457" s="31" t="str">
        <f>"str_"&amp;CONTROL[[#This Row],[VEHIDCODE]]</f>
        <v>str_dmu_Australia_Queensland_Rail_400</v>
      </c>
    </row>
    <row r="458" spans="1:15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ISNUMBER(_xlfn.XMATCH(CONTROL[[#This Row],[VEHIDCODE]],GRAPHICS_PROPERTIES[VEHIDCODE],0))</f>
        <v>1</v>
      </c>
      <c r="N458" s="31" t="str">
        <f>"item_"&amp;CONTROL[[#This Row],[VEHIDCODE]]</f>
        <v>item_dmu_Germany_DB_VT_115</v>
      </c>
      <c r="O458" s="31" t="str">
        <f>"str_"&amp;CONTROL[[#This Row],[VEHIDCODE]]</f>
        <v>str_dmu_Germany_DB_VT_115</v>
      </c>
    </row>
    <row r="459" spans="1:15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ISNUMBER(_xlfn.XMATCH(CONTROL[[#This Row],[VEHIDCODE]],GRAPHICS_PROPERTIES[VEHIDCODE],0))</f>
        <v>1</v>
      </c>
      <c r="N459" s="31" t="str">
        <f>"item_"&amp;CONTROL[[#This Row],[VEHIDCODE]]</f>
        <v>item_dmu_Netherlands_NS_Plan_U_DE_III</v>
      </c>
      <c r="O459" s="31" t="str">
        <f>"str_"&amp;CONTROL[[#This Row],[VEHIDCODE]]</f>
        <v>str_dmu_Netherlands_NS_Plan_U_DE_III</v>
      </c>
    </row>
    <row r="460" spans="1:15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ISNUMBER(_xlfn.XMATCH(CONTROL[[#This Row],[VEHIDCODE]],GRAPHICS_PROPERTIES[VEHIDCODE],0))</f>
        <v>1</v>
      </c>
      <c r="N460" s="31" t="str">
        <f>"item_"&amp;CONTROL[[#This Row],[VEHIDCODE]]</f>
        <v>item_dmu_Canada_CNR_Turbo_Train</v>
      </c>
      <c r="O460" s="31" t="str">
        <f>"str_"&amp;CONTROL[[#This Row],[VEHIDCODE]]</f>
        <v>str_dmu_Canada_CNR_Turbo_Train</v>
      </c>
    </row>
    <row r="461" spans="1:15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ISNUMBER(_xlfn.XMATCH(CONTROL[[#This Row],[VEHIDCODE]],GRAPHICS_PROPERTIES[VEHIDCODE],0))</f>
        <v>1</v>
      </c>
      <c r="N461" s="31" t="str">
        <f>"item_"&amp;CONTROL[[#This Row],[VEHIDCODE]]</f>
        <v>item_dmu_Serbia_ZS_811</v>
      </c>
      <c r="O461" s="31" t="str">
        <f>"str_"&amp;CONTROL[[#This Row],[VEHIDCODE]]</f>
        <v>str_dmu_Serbia_ZS_811</v>
      </c>
    </row>
    <row r="462" spans="1:15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2795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ISNUMBER(_xlfn.XMATCH(CONTROL[[#This Row],[VEHIDCODE]],GRAPHICS_PROPERTIES[VEHIDCODE],0))</f>
        <v>1</v>
      </c>
      <c r="N462" s="31" t="str">
        <f>"item_"&amp;CONTROL[[#This Row],[VEHIDCODE]]</f>
        <v>item_dmu_UK_BR_43_IC125</v>
      </c>
      <c r="O462" s="31" t="str">
        <f>"str_"&amp;CONTROL[[#This Row],[VEHIDCODE]]</f>
        <v>str_dmu_UK_BR_43_IC125</v>
      </c>
    </row>
    <row r="463" spans="1:15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2796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ISNUMBER(_xlfn.XMATCH(CONTROL[[#This Row],[VEHIDCODE]],GRAPHICS_PROPERTIES[VEHIDCODE],0))</f>
        <v>1</v>
      </c>
      <c r="N463" s="31" t="str">
        <f>"item_"&amp;CONTROL[[#This Row],[VEHIDCODE]]</f>
        <v>item_dmu_Canada_VIA_Rail_LRC</v>
      </c>
      <c r="O463" s="31" t="str">
        <f>"str_"&amp;CONTROL[[#This Row],[VEHIDCODE]]</f>
        <v>str_dmu_Canada_VIA_Rail_LRC</v>
      </c>
    </row>
    <row r="464" spans="1:15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2797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ISNUMBER(_xlfn.XMATCH(CONTROL[[#This Row],[VEHIDCODE]],GRAPHICS_PROPERTIES[VEHIDCODE],0))</f>
        <v>1</v>
      </c>
      <c r="N464" s="31" t="str">
        <f>"item_"&amp;CONTROL[[#This Row],[VEHIDCODE]]</f>
        <v>item_dmu_Sweden_SJ_Y2</v>
      </c>
      <c r="O464" s="31" t="str">
        <f>"str_"&amp;CONTROL[[#This Row],[VEHIDCODE]]</f>
        <v>str_dmu_Sweden_SJ_Y2</v>
      </c>
    </row>
    <row r="465" spans="1:15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2798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ISNUMBER(_xlfn.XMATCH(CONTROL[[#This Row],[VEHIDCODE]],GRAPHICS_PROPERTIES[VEHIDCODE],0))</f>
        <v>1</v>
      </c>
      <c r="N465" s="31" t="str">
        <f>"item_"&amp;CONTROL[[#This Row],[VEHIDCODE]]</f>
        <v>item_dmu_Spain_RENFE_594_TRD</v>
      </c>
      <c r="O465" s="31" t="str">
        <f>"str_"&amp;CONTROL[[#This Row],[VEHIDCODE]]</f>
        <v>str_dmu_Spain_RENFE_594_TRD</v>
      </c>
    </row>
    <row r="466" spans="1:15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2799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ISNUMBER(_xlfn.XMATCH(CONTROL[[#This Row],[VEHIDCODE]],GRAPHICS_PROPERTIES[VEHIDCODE],0))</f>
        <v>1</v>
      </c>
      <c r="N466" s="31" t="str">
        <f>"item_"&amp;CONTROL[[#This Row],[VEHIDCODE]]</f>
        <v>item_dmu_UK_BR_168</v>
      </c>
      <c r="O466" s="31" t="str">
        <f>"str_"&amp;CONTROL[[#This Row],[VEHIDCODE]]</f>
        <v>str_dmu_UK_BR_168</v>
      </c>
    </row>
    <row r="467" spans="1:15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ISNUMBER(_xlfn.XMATCH(CONTROL[[#This Row],[VEHIDCODE]],GRAPHICS_PROPERTIES[VEHIDCODE],0))</f>
        <v>1</v>
      </c>
      <c r="N467" s="31" t="str">
        <f>"item_"&amp;CONTROL[[#This Row],[VEHIDCODE]]</f>
        <v>item_dmu_Germany_DB_612_Regio_Swinger</v>
      </c>
      <c r="O467" s="31" t="str">
        <f>"str_"&amp;CONTROL[[#This Row],[VEHIDCODE]]</f>
        <v>str_dmu_Germany_DB_612_Regio_Swinger</v>
      </c>
    </row>
    <row r="468" spans="1:15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ISNUMBER(_xlfn.XMATCH(CONTROL[[#This Row],[VEHIDCODE]],GRAPHICS_PROPERTIES[VEHIDCODE],0))</f>
        <v>1</v>
      </c>
      <c r="N468" s="31" t="str">
        <f>"item_"&amp;CONTROL[[#This Row],[VEHIDCODE]]</f>
        <v>item_dmu_Germany_DB_642_Desiro</v>
      </c>
      <c r="O468" s="31" t="str">
        <f>"str_"&amp;CONTROL[[#This Row],[VEHIDCODE]]</f>
        <v>str_dmu_Germany_DB_642_Desiro</v>
      </c>
    </row>
    <row r="469" spans="1:15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ISNUMBER(_xlfn.XMATCH(CONTROL[[#This Row],[VEHIDCODE]],GRAPHICS_PROPERTIES[VEHIDCODE],0))</f>
        <v>1</v>
      </c>
      <c r="N469" s="31" t="str">
        <f>"item_"&amp;CONTROL[[#This Row],[VEHIDCODE]]</f>
        <v>item_dmu_Denmark_Arriva_Lint_41</v>
      </c>
      <c r="O469" s="31" t="str">
        <f>"str_"&amp;CONTROL[[#This Row],[VEHIDCODE]]</f>
        <v>str_dmu_Denmark_Arriva_Lint_41</v>
      </c>
    </row>
    <row r="470" spans="1:15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ISNUMBER(_xlfn.XMATCH(CONTROL[[#This Row],[VEHIDCODE]],GRAPHICS_PROPERTIES[VEHIDCODE],0))</f>
        <v>1</v>
      </c>
      <c r="N470" s="31" t="str">
        <f>"item_"&amp;CONTROL[[#This Row],[VEHIDCODE]]</f>
        <v>item_dmu_Norway_NSB_BM_93_Talent</v>
      </c>
      <c r="O470" s="31" t="str">
        <f>"str_"&amp;CONTROL[[#This Row],[VEHIDCODE]]</f>
        <v>str_dmu_Norway_NSB_BM_93_Talent</v>
      </c>
    </row>
    <row r="471" spans="1:15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2804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ISNUMBER(_xlfn.XMATCH(CONTROL[[#This Row],[VEHIDCODE]],GRAPHICS_PROPERTIES[VEHIDCODE],0))</f>
        <v>1</v>
      </c>
      <c r="N471" s="31" t="str">
        <f>"item_"&amp;CONTROL[[#This Row],[VEHIDCODE]]</f>
        <v>item_dmu_Australia_Transwa_Prospector</v>
      </c>
      <c r="O471" s="31" t="str">
        <f>"str_"&amp;CONTROL[[#This Row],[VEHIDCODE]]</f>
        <v>str_dmu_Australia_Transwa_Prospector</v>
      </c>
    </row>
    <row r="472" spans="1:15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2805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ISNUMBER(_xlfn.XMATCH(CONTROL[[#This Row],[VEHIDCODE]],GRAPHICS_PROPERTIES[VEHIDCODE],0))</f>
        <v>1</v>
      </c>
      <c r="N472" s="31" t="str">
        <f>"item_"&amp;CONTROL[[#This Row],[VEHIDCODE]]</f>
        <v>item_dmu_Australia_CityRail_Hunter_Railcar</v>
      </c>
      <c r="O472" s="31" t="str">
        <f>"str_"&amp;CONTROL[[#This Row],[VEHIDCODE]]</f>
        <v>str_dmu_Australia_CityRail_Hunter_Railcar</v>
      </c>
    </row>
    <row r="473" spans="1:15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2806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ISNUMBER(_xlfn.XMATCH(CONTROL[[#This Row],[VEHIDCODE]],GRAPHICS_PROPERTIES[VEHIDCODE],0))</f>
        <v>1</v>
      </c>
      <c r="N473" s="31" t="str">
        <f>"item_"&amp;CONTROL[[#This Row],[VEHIDCODE]]</f>
        <v>item_dmu_Russia_RZD_RA2</v>
      </c>
      <c r="O473" s="31" t="str">
        <f>"str_"&amp;CONTROL[[#This Row],[VEHIDCODE]]</f>
        <v>str_dmu_Russia_RZD_RA2</v>
      </c>
    </row>
    <row r="474" spans="1:15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2807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ISNUMBER(_xlfn.XMATCH(CONTROL[[#This Row],[VEHIDCODE]],GRAPHICS_PROPERTIES[VEHIDCODE],0))</f>
        <v>1</v>
      </c>
      <c r="N474" s="31" t="str">
        <f>"item_"&amp;CONTROL[[#This Row],[VEHIDCODE]]</f>
        <v>item_dmu_Denmark_DSB_IC4</v>
      </c>
      <c r="O474" s="31" t="str">
        <f>"str_"&amp;CONTROL[[#This Row],[VEHIDCODE]]</f>
        <v>str_dmu_Denmark_DSB_IC4</v>
      </c>
    </row>
    <row r="475" spans="1:15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2808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ISNUMBER(_xlfn.XMATCH(CONTROL[[#This Row],[VEHIDCODE]],GRAPHICS_PROPERTIES[VEHIDCODE],0))</f>
        <v>1</v>
      </c>
      <c r="N475" s="31" t="str">
        <f>"item_"&amp;CONTROL[[#This Row],[VEHIDCODE]]</f>
        <v>item_dmu_Croatia_HZ_7022</v>
      </c>
      <c r="O475" s="31" t="str">
        <f>"str_"&amp;CONTROL[[#This Row],[VEHIDCODE]]</f>
        <v>str_dmu_Croatia_HZ_7022</v>
      </c>
    </row>
    <row r="476" spans="1:15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2786</v>
      </c>
      <c r="G476" t="s">
        <v>2809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ISNUMBER(_xlfn.XMATCH(CONTROL[[#This Row],[VEHIDCODE]],GRAPHICS_PROPERTIES[VEHIDCODE],0))</f>
        <v>1</v>
      </c>
      <c r="N476" s="31" t="str">
        <f>"item_"&amp;CONTROL[[#This Row],[VEHIDCODE]]</f>
        <v>item_dmu_Turkey_TCDD_MT_5500</v>
      </c>
      <c r="O476" s="31" t="str">
        <f>"str_"&amp;CONTROL[[#This Row],[VEHIDCODE]]</f>
        <v>str_dmu_Turkey_TCDD_MT_5500</v>
      </c>
    </row>
    <row r="477" spans="1:15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ISNUMBER(_xlfn.XMATCH(CONTROL[[#This Row],[VEHIDCODE]],GRAPHICS_PROPERTIES[VEHIDCODE],0))</f>
        <v>1</v>
      </c>
      <c r="N477" s="31" t="str">
        <f>"item_"&amp;CONTROL[[#This Row],[VEHIDCODE]]</f>
        <v>item_dmu_Japan_JNR_KiHa_181</v>
      </c>
      <c r="O477" s="31" t="str">
        <f>"str_"&amp;CONTROL[[#This Row],[VEHIDCODE]]</f>
        <v>str_dmu_Japan_JNR_KiHa_181</v>
      </c>
    </row>
    <row r="478" spans="1:15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2787</v>
      </c>
      <c r="G478" t="s">
        <v>2811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ISNUMBER(_xlfn.XMATCH(CONTROL[[#This Row],[VEHIDCODE]],GRAPHICS_PROPERTIES[VEHIDCODE],0))</f>
        <v>1</v>
      </c>
      <c r="N478" s="31" t="str">
        <f>"item_"&amp;CONTROL[[#This Row],[VEHIDCODE]]</f>
        <v>item_dmu_Czech_Republic_CD_814</v>
      </c>
      <c r="O478" s="31" t="str">
        <f>"str_"&amp;CONTROL[[#This Row],[VEHIDCODE]]</f>
        <v>str_dmu_Czech_Republic_CD_814</v>
      </c>
    </row>
    <row r="479" spans="1:15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ISNUMBER(_xlfn.XMATCH(CONTROL[[#This Row],[VEHIDCODE]],GRAPHICS_PROPERTIES[VEHIDCODE],0))</f>
        <v>1</v>
      </c>
      <c r="N479" s="31" t="str">
        <f>"item_"&amp;CONTROL[[#This Row],[VEHIDCODE]]</f>
        <v>item_dmu_UK_BR_150_0_Sprinter</v>
      </c>
      <c r="O479" s="31" t="str">
        <f>"str_"&amp;CONTROL[[#This Row],[VEHIDCODE]]</f>
        <v>str_dmu_UK_BR_150_0_Sprinter</v>
      </c>
    </row>
    <row r="480" spans="1:15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ISNUMBER(_xlfn.XMATCH(CONTROL[[#This Row],[VEHIDCODE]],GRAPHICS_PROPERTIES[VEHIDCODE],0))</f>
        <v>1</v>
      </c>
      <c r="N480" s="31" t="str">
        <f>"item_"&amp;CONTROL[[#This Row],[VEHIDCODE]]</f>
        <v>item_dmu_Iran_RAI_141_Pacer</v>
      </c>
      <c r="O480" s="31" t="str">
        <f>"str_"&amp;CONTROL[[#This Row],[VEHIDCODE]]</f>
        <v>str_dmu_Iran_RAI_141_Pacer</v>
      </c>
    </row>
    <row r="481" spans="1:15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ISNUMBER(_xlfn.XMATCH(CONTROL[[#This Row],[VEHIDCODE]],GRAPHICS_PROPERTIES[VEHIDCODE],0))</f>
        <v>1</v>
      </c>
      <c r="N481" s="31" t="str">
        <f>"item_"&amp;CONTROL[[#This Row],[VEHIDCODE]]</f>
        <v>item_dmu_Israel_Israel_Railways_IC3</v>
      </c>
      <c r="O481" s="31" t="str">
        <f>"str_"&amp;CONTROL[[#This Row],[VEHIDCODE]]</f>
        <v>str_dmu_Israel_Israel_Railways_IC3</v>
      </c>
    </row>
    <row r="482" spans="1:15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ISNUMBER(_xlfn.XMATCH(CONTROL[[#This Row],[VEHIDCODE]],GRAPHICS_PROPERTIES[VEHIDCODE],0))</f>
        <v>1</v>
      </c>
      <c r="N482" s="31" t="str">
        <f>"item_"&amp;CONTROL[[#This Row],[VEHIDCODE]]</f>
        <v>item_dmu_Australia_TransAdelaide_3100</v>
      </c>
      <c r="O482" s="31" t="str">
        <f>"str_"&amp;CONTROL[[#This Row],[VEHIDCODE]]</f>
        <v>str_dmu_Australia_TransAdelaide_3100</v>
      </c>
    </row>
    <row r="483" spans="1:15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ISNUMBER(_xlfn.XMATCH(CONTROL[[#This Row],[VEHIDCODE]],GRAPHICS_PROPERTIES[VEHIDCODE],0))</f>
        <v>1</v>
      </c>
      <c r="N483" s="31" t="str">
        <f>"item_"&amp;CONTROL[[#This Row],[VEHIDCODE]]</f>
        <v>item_dmu_Australia_NSWGR_Xplorer</v>
      </c>
      <c r="O483" s="31" t="str">
        <f>"str_"&amp;CONTROL[[#This Row],[VEHIDCODE]]</f>
        <v>str_dmu_Australia_NSWGR_Xplorer</v>
      </c>
    </row>
    <row r="484" spans="1:15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ISNUMBER(_xlfn.XMATCH(CONTROL[[#This Row],[VEHIDCODE]],GRAPHICS_PROPERTIES[VEHIDCODE],0))</f>
        <v>1</v>
      </c>
      <c r="N484" s="31" t="str">
        <f>"item_"&amp;CONTROL[[#This Row],[VEHIDCODE]]</f>
        <v>item_dmu_Japan_JR_KiHa_189</v>
      </c>
      <c r="O484" s="31" t="str">
        <f>"str_"&amp;CONTROL[[#This Row],[VEHIDCODE]]</f>
        <v>str_dmu_Japan_JR_KiHa_189</v>
      </c>
    </row>
    <row r="485" spans="1:15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ISNUMBER(_xlfn.XMATCH(CONTROL[[#This Row],[VEHIDCODE]],GRAPHICS_PROPERTIES[VEHIDCODE],0))</f>
        <v>1</v>
      </c>
      <c r="N485" s="31" t="str">
        <f>"item_"&amp;CONTROL[[#This Row],[VEHIDCODE]]</f>
        <v>item_dmu_Sri_Lanka_Sri_Lanka_Railways_S11</v>
      </c>
      <c r="O485" s="31" t="str">
        <f>"str_"&amp;CONTROL[[#This Row],[VEHIDCODE]]</f>
        <v>str_dmu_Sri_Lanka_Sri_Lanka_Railways_S11</v>
      </c>
    </row>
    <row r="486" spans="1:15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ISNUMBER(_xlfn.XMATCH(CONTROL[[#This Row],[VEHIDCODE]],GRAPHICS_PROPERTIES[VEHIDCODE],0))</f>
        <v>1</v>
      </c>
      <c r="N486" s="31" t="str">
        <f>"item_"&amp;CONTROL[[#This Row],[VEHIDCODE]]</f>
        <v>item_dmu_Slovakia_ZSSK_861</v>
      </c>
      <c r="O486" s="31" t="str">
        <f>"str_"&amp;CONTROL[[#This Row],[VEHIDCODE]]</f>
        <v>str_dmu_Slovakia_ZSSK_861</v>
      </c>
    </row>
    <row r="487" spans="1:15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ISNUMBER(_xlfn.XMATCH(CONTROL[[#This Row],[VEHIDCODE]],GRAPHICS_PROPERTIES[VEHIDCODE],0))</f>
        <v>1</v>
      </c>
      <c r="N487" s="31" t="str">
        <f>"item_"&amp;CONTROL[[#This Row],[VEHIDCODE]]</f>
        <v>item_dmu_Chile_EFE_TLD_500</v>
      </c>
      <c r="O487" s="31" t="str">
        <f>"str_"&amp;CONTROL[[#This Row],[VEHIDCODE]]</f>
        <v>str_dmu_Chile_EFE_TLD_500</v>
      </c>
    </row>
    <row r="488" spans="1:15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ISNUMBER(_xlfn.XMATCH(CONTROL[[#This Row],[VEHIDCODE]],GRAPHICS_PROPERTIES[VEHIDCODE],0))</f>
        <v>1</v>
      </c>
      <c r="N488" s="31" t="str">
        <f>"item_"&amp;CONTROL[[#This Row],[VEHIDCODE]]</f>
        <v>item_dmu_Cameroon_Camrail_ZE_500</v>
      </c>
      <c r="O488" s="31" t="str">
        <f>"str_"&amp;CONTROL[[#This Row],[VEHIDCODE]]</f>
        <v>str_dmu_Cameroon_Camrail_ZE_500</v>
      </c>
    </row>
    <row r="489" spans="1:15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ISNUMBER(_xlfn.XMATCH(CONTROL[[#This Row],[VEHIDCODE]],GRAPHICS_PROPERTIES[VEHIDCODE],0))</f>
        <v>1</v>
      </c>
      <c r="N489" s="31" t="str">
        <f>"item_"&amp;CONTROL[[#This Row],[VEHIDCODE]]</f>
        <v>item_dmu_UK_BR_251_Blue_Pullman</v>
      </c>
      <c r="O489" s="31" t="str">
        <f>"str_"&amp;CONTROL[[#This Row],[VEHIDCODE]]</f>
        <v>str_dmu_UK_BR_251_Blue_Pullman</v>
      </c>
    </row>
    <row r="490" spans="1:15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2824</v>
      </c>
      <c r="G490" t="s">
        <v>2823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ISNUMBER(_xlfn.XMATCH(CONTROL[[#This Row],[VEHIDCODE]],GRAPHICS_PROPERTIES[VEHIDCODE],0))</f>
        <v>1</v>
      </c>
      <c r="N490" s="31" t="str">
        <f>"item_"&amp;CONTROL[[#This Row],[VEHIDCODE]]</f>
        <v>item_dmu_Australia_WAGR_ADK_ADB</v>
      </c>
      <c r="O490" s="31" t="str">
        <f>"str_"&amp;CONTROL[[#This Row],[VEHIDCODE]]</f>
        <v>str_dmu_Australia_WAGR_ADK_ADB</v>
      </c>
    </row>
    <row r="491" spans="1:15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ISNUMBER(_xlfn.XMATCH(CONTROL[[#This Row],[VEHIDCODE]],GRAPHICS_PROPERTIES[VEHIDCODE],0))</f>
        <v>1</v>
      </c>
      <c r="N491" s="31" t="str">
        <f>"item_"&amp;CONTROL[[#This Row],[VEHIDCODE]]</f>
        <v>item_dmu_France_SNCF_X_4630</v>
      </c>
      <c r="O491" s="31" t="str">
        <f>"str_"&amp;CONTROL[[#This Row],[VEHIDCODE]]</f>
        <v>str_dmu_France_SNCF_X_4630</v>
      </c>
    </row>
    <row r="492" spans="1:15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ISNUMBER(_xlfn.XMATCH(CONTROL[[#This Row],[VEHIDCODE]],GRAPHICS_PROPERTIES[VEHIDCODE],0))</f>
        <v>1</v>
      </c>
      <c r="N492" s="31" t="str">
        <f>"item_"&amp;CONTROL[[#This Row],[VEHIDCODE]]</f>
        <v>item_dmu_France_SNCF_T_2000</v>
      </c>
      <c r="O492" s="31" t="str">
        <f>"str_"&amp;CONTROL[[#This Row],[VEHIDCODE]]</f>
        <v>str_dmu_France_SNCF_T_2000</v>
      </c>
    </row>
    <row r="493" spans="1:15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ISNUMBER(_xlfn.XMATCH(CONTROL[[#This Row],[VEHIDCODE]],GRAPHICS_PROPERTIES[VEHIDCODE],0))</f>
        <v>1</v>
      </c>
      <c r="N493" s="31" t="str">
        <f>"item_"&amp;CONTROL[[#This Row],[VEHIDCODE]]</f>
        <v>item_dmu_Netherlands_NS_DH2</v>
      </c>
      <c r="O493" s="31" t="str">
        <f>"str_"&amp;CONTROL[[#This Row],[VEHIDCODE]]</f>
        <v>str_dmu_Netherlands_NS_DH2</v>
      </c>
    </row>
    <row r="494" spans="1:15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ISNUMBER(_xlfn.XMATCH(CONTROL[[#This Row],[VEHIDCODE]],GRAPHICS_PROPERTIES[VEHIDCODE],0))</f>
        <v>1</v>
      </c>
      <c r="N494" s="31" t="str">
        <f>"item_"&amp;CONTROL[[#This Row],[VEHIDCODE]]</f>
        <v>item_dmu_Germany_DB_6282</v>
      </c>
      <c r="O494" s="31" t="str">
        <f>"str_"&amp;CONTROL[[#This Row],[VEHIDCODE]]</f>
        <v>str_dmu_Germany_DB_6282</v>
      </c>
    </row>
    <row r="495" spans="1:15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ISNUMBER(_xlfn.XMATCH(CONTROL[[#This Row],[VEHIDCODE]],GRAPHICS_PROPERTIES[VEHIDCODE],0))</f>
        <v>1</v>
      </c>
      <c r="N495" s="31" t="str">
        <f>"item_"&amp;CONTROL[[#This Row],[VEHIDCODE]]</f>
        <v>item_dmu_Algeria_SNTF_ZZ_2200_Autorail</v>
      </c>
      <c r="O495" s="31" t="str">
        <f>"str_"&amp;CONTROL[[#This Row],[VEHIDCODE]]</f>
        <v>str_dmu_Algeria_SNTF_ZZ_2200_Autorail</v>
      </c>
    </row>
    <row r="496" spans="1:15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ISNUMBER(_xlfn.XMATCH(CONTROL[[#This Row],[VEHIDCODE]],GRAPHICS_PROPERTIES[VEHIDCODE],0))</f>
        <v>1</v>
      </c>
      <c r="N496" s="31" t="str">
        <f>"item_"&amp;CONTROL[[#This Row],[VEHIDCODE]]</f>
        <v>item_dmu_Tunisia_SNCFT_AMT_800</v>
      </c>
      <c r="O496" s="31" t="str">
        <f>"str_"&amp;CONTROL[[#This Row],[VEHIDCODE]]</f>
        <v>str_dmu_Tunisia_SNCFT_AMT_800</v>
      </c>
    </row>
    <row r="497" spans="1:15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ISNUMBER(_xlfn.XMATCH(CONTROL[[#This Row],[VEHIDCODE]],GRAPHICS_PROPERTIES[VEHIDCODE],0))</f>
        <v>1</v>
      </c>
      <c r="N497" s="31" t="str">
        <f>"item_"&amp;CONTROL[[#This Row],[VEHIDCODE]]</f>
        <v>item_dmu_Ghana_Ghana_Railways_DEMU</v>
      </c>
      <c r="O497" s="31" t="str">
        <f>"str_"&amp;CONTROL[[#This Row],[VEHIDCODE]]</f>
        <v>str_dmu_Ghana_Ghana_Railways_DEMU</v>
      </c>
    </row>
    <row r="498" spans="1:15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ISNUMBER(_xlfn.XMATCH(CONTROL[[#This Row],[VEHIDCODE]],GRAPHICS_PROPERTIES[VEHIDCODE],0))</f>
        <v>1</v>
      </c>
      <c r="N498" s="31" t="str">
        <f>"item_"&amp;CONTROL[[#This Row],[VEHIDCODE]]</f>
        <v>item_dmu_Australia_Queensland_Rail_Diesel_Tilt_Train</v>
      </c>
      <c r="O498" s="31" t="str">
        <f>"str_"&amp;CONTROL[[#This Row],[VEHIDCODE]]</f>
        <v>str_dmu_Australia_Queensland_Rail_Diesel_Tilt_Train</v>
      </c>
    </row>
    <row r="499" spans="1:15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ISNUMBER(_xlfn.XMATCH(CONTROL[[#This Row],[VEHIDCODE]],GRAPHICS_PROPERTIES[VEHIDCODE],0))</f>
        <v>1</v>
      </c>
      <c r="N499" s="31" t="str">
        <f>"item_"&amp;CONTROL[[#This Row],[VEHIDCODE]]</f>
        <v>item_dmu_Canada_UP_Express_Nippon_Sharyo_DMU</v>
      </c>
      <c r="O499" s="31" t="str">
        <f>"str_"&amp;CONTROL[[#This Row],[VEHIDCODE]]</f>
        <v>str_dmu_Canada_UP_Express_Nippon_Sharyo_DMU</v>
      </c>
    </row>
    <row r="500" spans="1:15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ISNUMBER(_xlfn.XMATCH(CONTROL[[#This Row],[VEHIDCODE]],GRAPHICS_PROPERTIES[VEHIDCODE],0))</f>
        <v>1</v>
      </c>
      <c r="N500" s="31" t="str">
        <f>"item_"&amp;CONTROL[[#This Row],[VEHIDCODE]]</f>
        <v>item_dmu_Argentina_FCGU_CMM_400_2</v>
      </c>
      <c r="O500" s="31" t="str">
        <f>"str_"&amp;CONTROL[[#This Row],[VEHIDCODE]]</f>
        <v>str_dmu_Argentina_FCGU_CMM_400_2</v>
      </c>
    </row>
    <row r="501" spans="1:15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ISNUMBER(_xlfn.XMATCH(CONTROL[[#This Row],[VEHIDCODE]],GRAPHICS_PROPERTIES[VEHIDCODE],0))</f>
        <v>1</v>
      </c>
      <c r="N501" s="31" t="str">
        <f>"item_"&amp;CONTROL[[#This Row],[VEHIDCODE]]</f>
        <v>item_dmu_Italy_FS_ALn_442_448</v>
      </c>
      <c r="O501" s="31" t="str">
        <f>"str_"&amp;CONTROL[[#This Row],[VEHIDCODE]]</f>
        <v>str_dmu_Italy_FS_ALn_442_448</v>
      </c>
    </row>
    <row r="502" spans="1:15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ISNUMBER(_xlfn.XMATCH(CONTROL[[#This Row],[VEHIDCODE]],GRAPHICS_PROPERTIES[VEHIDCODE],0))</f>
        <v>1</v>
      </c>
      <c r="N502" s="31" t="str">
        <f>"item_"&amp;CONTROL[[#This Row],[VEHIDCODE]]</f>
        <v>item_dmu_Portugal_CP_0400</v>
      </c>
      <c r="O502" s="31" t="str">
        <f>"str_"&amp;CONTROL[[#This Row],[VEHIDCODE]]</f>
        <v>str_dmu_Portugal_CP_0400</v>
      </c>
    </row>
    <row r="503" spans="1:15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ISNUMBER(_xlfn.XMATCH(CONTROL[[#This Row],[VEHIDCODE]],GRAPHICS_PROPERTIES[VEHIDCODE],0))</f>
        <v>1</v>
      </c>
      <c r="N503" s="31" t="str">
        <f>"item_"&amp;CONTROL[[#This Row],[VEHIDCODE]]</f>
        <v>item_dmu_Portugal_CP_0600</v>
      </c>
      <c r="O503" s="31" t="str">
        <f>"str_"&amp;CONTROL[[#This Row],[VEHIDCODE]]</f>
        <v>str_dmu_Portugal_CP_0600</v>
      </c>
    </row>
    <row r="504" spans="1:15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ISNUMBER(_xlfn.XMATCH(CONTROL[[#This Row],[VEHIDCODE]],GRAPHICS_PROPERTIES[VEHIDCODE],0))</f>
        <v>1</v>
      </c>
      <c r="N504" s="31" t="str">
        <f>"item_"&amp;CONTROL[[#This Row],[VEHIDCODE]]</f>
        <v>item_dmu_Spain_FEVE_2400_Apollos</v>
      </c>
      <c r="O504" s="31" t="str">
        <f>"str_"&amp;CONTROL[[#This Row],[VEHIDCODE]]</f>
        <v>str_dmu_Spain_FEVE_2400_Apollos</v>
      </c>
    </row>
    <row r="505" spans="1:15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ISNUMBER(_xlfn.XMATCH(CONTROL[[#This Row],[VEHIDCODE]],GRAPHICS_PROPERTIES[VEHIDCODE],0))</f>
        <v>1</v>
      </c>
      <c r="N505" s="31" t="str">
        <f>"item_"&amp;CONTROL[[#This Row],[VEHIDCODE]]</f>
        <v>item_cargodmu_Germany_DB_691_CargoSprinter</v>
      </c>
      <c r="O505" s="31" t="str">
        <f>"str_"&amp;CONTROL[[#This Row],[VEHIDCODE]]</f>
        <v>str_cargodmu_Germany_DB_691_CargoSprinter</v>
      </c>
    </row>
    <row r="506" spans="1:15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ISNUMBER(_xlfn.XMATCH(CONTROL[[#This Row],[VEHIDCODE]],GRAPHICS_PROPERTIES[VEHIDCODE],0))</f>
        <v>1</v>
      </c>
      <c r="N506" s="31" t="str">
        <f>"item_"&amp;CONTROL[[#This Row],[VEHIDCODE]]</f>
        <v>item_emu_Australia_Sydney_Trains_A_Set_Waratah</v>
      </c>
      <c r="O506" s="31" t="str">
        <f>"str_"&amp;CONTROL[[#This Row],[VEHIDCODE]]</f>
        <v>str_emu_Australia_Sydney_Trains_A_Set_Waratah</v>
      </c>
    </row>
    <row r="507" spans="1:15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ISNUMBER(_xlfn.XMATCH(CONTROL[[#This Row],[VEHIDCODE]],GRAPHICS_PROPERTIES[VEHIDCODE],0))</f>
        <v>1</v>
      </c>
      <c r="N507" s="31" t="str">
        <f>"item_"&amp;CONTROL[[#This Row],[VEHIDCODE]]</f>
        <v>item_emu_Denmark_DSB_S_Tog_II</v>
      </c>
      <c r="O507" s="31" t="str">
        <f>"str_"&amp;CONTROL[[#This Row],[VEHIDCODE]]</f>
        <v>str_emu_Denmark_DSB_S_Tog_II</v>
      </c>
    </row>
    <row r="508" spans="1:15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ISNUMBER(_xlfn.XMATCH(CONTROL[[#This Row],[VEHIDCODE]],GRAPHICS_PROPERTIES[VEHIDCODE],0))</f>
        <v>1</v>
      </c>
      <c r="N508" s="31" t="str">
        <f>"item_"&amp;CONTROL[[#This Row],[VEHIDCODE]]</f>
        <v>item_emu_Denmark_DSB_S_Tog_IV</v>
      </c>
      <c r="O508" s="31" t="str">
        <f>"str_"&amp;CONTROL[[#This Row],[VEHIDCODE]]</f>
        <v>str_emu_Denmark_DSB_S_Tog_IV</v>
      </c>
    </row>
    <row r="509" spans="1:15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2847</v>
      </c>
      <c r="G509" t="s">
        <v>2848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ISNUMBER(_xlfn.XMATCH(CONTROL[[#This Row],[VEHIDCODE]],GRAPHICS_PROPERTIES[VEHIDCODE],0))</f>
        <v>1</v>
      </c>
      <c r="N509" s="31" t="str">
        <f>"item_"&amp;CONTROL[[#This Row],[VEHIDCODE]]</f>
        <v>item_emu_Italy_ATAC_ECD_21_30</v>
      </c>
      <c r="O509" s="31" t="str">
        <f>"str_"&amp;CONTROL[[#This Row],[VEHIDCODE]]</f>
        <v>str_emu_Italy_ATAC_ECD_21_30</v>
      </c>
    </row>
    <row r="510" spans="1:15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ISNUMBER(_xlfn.XMATCH(CONTROL[[#This Row],[VEHIDCODE]],GRAPHICS_PROPERTIES[VEHIDCODE],0))</f>
        <v>1</v>
      </c>
      <c r="N510" s="31" t="str">
        <f>"item_"&amp;CONTROL[[#This Row],[VEHIDCODE]]</f>
        <v>item_emu_Netherlands_NS_Mat24</v>
      </c>
      <c r="O510" s="31" t="str">
        <f>"str_"&amp;CONTROL[[#This Row],[VEHIDCODE]]</f>
        <v>str_emu_Netherlands_NS_Mat24</v>
      </c>
    </row>
    <row r="511" spans="1:15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ISNUMBER(_xlfn.XMATCH(CONTROL[[#This Row],[VEHIDCODE]],GRAPHICS_PROPERTIES[VEHIDCODE],0))</f>
        <v>1</v>
      </c>
      <c r="N511" s="31" t="str">
        <f>"item_"&amp;CONTROL[[#This Row],[VEHIDCODE]]</f>
        <v>item_emu_Netherlands_NS_Mat36</v>
      </c>
      <c r="O511" s="31" t="str">
        <f>"str_"&amp;CONTROL[[#This Row],[VEHIDCODE]]</f>
        <v>str_emu_Netherlands_NS_Mat36</v>
      </c>
    </row>
    <row r="512" spans="1:15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ISNUMBER(_xlfn.XMATCH(CONTROL[[#This Row],[VEHIDCODE]],GRAPHICS_PROPERTIES[VEHIDCODE],0))</f>
        <v>1</v>
      </c>
      <c r="N512" s="31" t="str">
        <f>"item_"&amp;CONTROL[[#This Row],[VEHIDCODE]]</f>
        <v>item_emu_Netherlands_NS_Mat54</v>
      </c>
      <c r="O512" s="31" t="str">
        <f>"str_"&amp;CONTROL[[#This Row],[VEHIDCODE]]</f>
        <v>str_emu_Netherlands_NS_Mat54</v>
      </c>
    </row>
    <row r="513" spans="1:15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ISNUMBER(_xlfn.XMATCH(CONTROL[[#This Row],[VEHIDCODE]],GRAPHICS_PROPERTIES[VEHIDCODE],0))</f>
        <v>1</v>
      </c>
      <c r="N513" s="31" t="str">
        <f>"item_"&amp;CONTROL[[#This Row],[VEHIDCODE]]</f>
        <v>item_emu_Netherlands_NS_Plan_Y</v>
      </c>
      <c r="O513" s="31" t="str">
        <f>"str_"&amp;CONTROL[[#This Row],[VEHIDCODE]]</f>
        <v>str_emu_Netherlands_NS_Plan_Y</v>
      </c>
    </row>
    <row r="514" spans="1:15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ISNUMBER(_xlfn.XMATCH(CONTROL[[#This Row],[VEHIDCODE]],GRAPHICS_PROPERTIES[VEHIDCODE],0))</f>
        <v>1</v>
      </c>
      <c r="N514" s="31" t="str">
        <f>"item_"&amp;CONTROL[[#This Row],[VEHIDCODE]]</f>
        <v>item_emu_Netherlands_NS_ICM_4000</v>
      </c>
      <c r="O514" s="31" t="str">
        <f>"str_"&amp;CONTROL[[#This Row],[VEHIDCODE]]</f>
        <v>str_emu_Netherlands_NS_ICM_4000</v>
      </c>
    </row>
    <row r="515" spans="1:15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2855</v>
      </c>
      <c r="G515" t="s">
        <v>2854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ISNUMBER(_xlfn.XMATCH(CONTROL[[#This Row],[VEHIDCODE]],GRAPHICS_PROPERTIES[VEHIDCODE],0))</f>
        <v>1</v>
      </c>
      <c r="N515" s="31" t="str">
        <f>"item_"&amp;CONTROL[[#This Row],[VEHIDCODE]]</f>
        <v>item_emu_Netherlands_NS_DD_IRM_VIRM</v>
      </c>
      <c r="O515" s="31" t="str">
        <f>"str_"&amp;CONTROL[[#This Row],[VEHIDCODE]]</f>
        <v>str_emu_Netherlands_NS_DD_IRM_VIRM</v>
      </c>
    </row>
    <row r="516" spans="1:15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2858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ISNUMBER(_xlfn.XMATCH(CONTROL[[#This Row],[VEHIDCODE]],GRAPHICS_PROPERTIES[VEHIDCODE],0))</f>
        <v>1</v>
      </c>
      <c r="N516" s="31" t="str">
        <f>"item_"&amp;CONTROL[[#This Row],[VEHIDCODE]]</f>
        <v>item_emu_Netherlands_NS_mDDm_390</v>
      </c>
      <c r="O516" s="31" t="str">
        <f>"str_"&amp;CONTROL[[#This Row],[VEHIDCODE]]</f>
        <v>str_emu_Netherlands_NS_mDDm_390</v>
      </c>
    </row>
    <row r="517" spans="1:15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2856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ISNUMBER(_xlfn.XMATCH(CONTROL[[#This Row],[VEHIDCODE]],GRAPHICS_PROPERTIES[VEHIDCODE],0))</f>
        <v>1</v>
      </c>
      <c r="N517" s="31" t="str">
        <f>"item_"&amp;CONTROL[[#This Row],[VEHIDCODE]]</f>
        <v>item_emu_Poland_PKP_EW90</v>
      </c>
      <c r="O517" s="31" t="str">
        <f>"str_"&amp;CONTROL[[#This Row],[VEHIDCODE]]</f>
        <v>str_emu_Poland_PKP_EW90</v>
      </c>
    </row>
    <row r="518" spans="1:15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2857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ISNUMBER(_xlfn.XMATCH(CONTROL[[#This Row],[VEHIDCODE]],GRAPHICS_PROPERTIES[VEHIDCODE],0))</f>
        <v>1</v>
      </c>
      <c r="N518" s="31" t="str">
        <f>"item_"&amp;CONTROL[[#This Row],[VEHIDCODE]]</f>
        <v>item_emu_Italy_FS_ETR200</v>
      </c>
      <c r="O518" s="31" t="str">
        <f>"str_"&amp;CONTROL[[#This Row],[VEHIDCODE]]</f>
        <v>str_emu_Italy_FS_ETR200</v>
      </c>
    </row>
    <row r="519" spans="1:15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2859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ISNUMBER(_xlfn.XMATCH(CONTROL[[#This Row],[VEHIDCODE]],GRAPHICS_PROPERTIES[VEHIDCODE],0))</f>
        <v>1</v>
      </c>
      <c r="N519" s="31" t="str">
        <f>"item_"&amp;CONTROL[[#This Row],[VEHIDCODE]]</f>
        <v>item_emu_Italy_FS_ETR300_Settebello</v>
      </c>
      <c r="O519" s="31" t="str">
        <f>"str_"&amp;CONTROL[[#This Row],[VEHIDCODE]]</f>
        <v>str_emu_Italy_FS_ETR300_Settebello</v>
      </c>
    </row>
    <row r="520" spans="1:15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ISNUMBER(_xlfn.XMATCH(CONTROL[[#This Row],[VEHIDCODE]],GRAPHICS_PROPERTIES[VEHIDCODE],0))</f>
        <v>1</v>
      </c>
      <c r="N520" s="31" t="str">
        <f>"item_"&amp;CONTROL[[#This Row],[VEHIDCODE]]</f>
        <v>item_emu_Italy_FS_ETR500</v>
      </c>
      <c r="O520" s="31" t="str">
        <f>"str_"&amp;CONTROL[[#This Row],[VEHIDCODE]]</f>
        <v>str_emu_Italy_FS_ETR500</v>
      </c>
    </row>
    <row r="521" spans="1:15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ISNUMBER(_xlfn.XMATCH(CONTROL[[#This Row],[VEHIDCODE]],GRAPHICS_PROPERTIES[VEHIDCODE],0))</f>
        <v>1</v>
      </c>
      <c r="N521" s="31" t="str">
        <f>"item_"&amp;CONTROL[[#This Row],[VEHIDCODE]]</f>
        <v>item_emu_Italy_FS_ALe426</v>
      </c>
      <c r="O521" s="31" t="str">
        <f>"str_"&amp;CONTROL[[#This Row],[VEHIDCODE]]</f>
        <v>str_emu_Italy_FS_ALe426</v>
      </c>
    </row>
    <row r="522" spans="1:15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ISNUMBER(_xlfn.XMATCH(CONTROL[[#This Row],[VEHIDCODE]],GRAPHICS_PROPERTIES[VEHIDCODE],0))</f>
        <v>1</v>
      </c>
      <c r="N522" s="31" t="str">
        <f>"item_"&amp;CONTROL[[#This Row],[VEHIDCODE]]</f>
        <v>item_emu_Morocco_ONCF_ZMC</v>
      </c>
      <c r="O522" s="31" t="str">
        <f>"str_"&amp;CONTROL[[#This Row],[VEHIDCODE]]</f>
        <v>str_emu_Morocco_ONCF_ZMC</v>
      </c>
    </row>
    <row r="523" spans="1:15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ISNUMBER(_xlfn.XMATCH(CONTROL[[#This Row],[VEHIDCODE]],GRAPHICS_PROPERTIES[VEHIDCODE],0))</f>
        <v>1</v>
      </c>
      <c r="N523" s="31" t="str">
        <f>"item_"&amp;CONTROL[[#This Row],[VEHIDCODE]]</f>
        <v>item_emu_Poland_PKP_EW54</v>
      </c>
      <c r="O523" s="31" t="str">
        <f>"str_"&amp;CONTROL[[#This Row],[VEHIDCODE]]</f>
        <v>str_emu_Poland_PKP_EW54</v>
      </c>
    </row>
    <row r="524" spans="1:15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2864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ISNUMBER(_xlfn.XMATCH(CONTROL[[#This Row],[VEHIDCODE]],GRAPHICS_PROPERTIES[VEHIDCODE],0))</f>
        <v>1</v>
      </c>
      <c r="N524" s="31" t="str">
        <f>"item_"&amp;CONTROL[[#This Row],[VEHIDCODE]]</f>
        <v>item_emu_Italy_FS_ALe_801</v>
      </c>
      <c r="O524" s="31" t="str">
        <f>"str_"&amp;CONTROL[[#This Row],[VEHIDCODE]]</f>
        <v>str_emu_Italy_FS_ALe_801</v>
      </c>
    </row>
    <row r="525" spans="1:15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2492</v>
      </c>
      <c r="G525" t="s">
        <v>2865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ISNUMBER(_xlfn.XMATCH(CONTROL[[#This Row],[VEHIDCODE]],GRAPHICS_PROPERTIES[VEHIDCODE],0))</f>
        <v>1</v>
      </c>
      <c r="N525" s="31" t="str">
        <f>"item_"&amp;CONTROL[[#This Row],[VEHIDCODE]]</f>
        <v>item_emu_Austria_OBB_4030</v>
      </c>
      <c r="O525" s="31" t="str">
        <f>"str_"&amp;CONTROL[[#This Row],[VEHIDCODE]]</f>
        <v>str_emu_Austria_OBB_4030</v>
      </c>
    </row>
    <row r="526" spans="1:15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2493</v>
      </c>
      <c r="G526" t="s">
        <v>2866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ISNUMBER(_xlfn.XMATCH(CONTROL[[#This Row],[VEHIDCODE]],GRAPHICS_PROPERTIES[VEHIDCODE],0))</f>
        <v>1</v>
      </c>
      <c r="N526" s="31" t="str">
        <f>"item_"&amp;CONTROL[[#This Row],[VEHIDCODE]]</f>
        <v>item_emu_Austria_OBB_4041</v>
      </c>
      <c r="O526" s="31" t="str">
        <f>"str_"&amp;CONTROL[[#This Row],[VEHIDCODE]]</f>
        <v>str_emu_Austria_OBB_4041</v>
      </c>
    </row>
    <row r="527" spans="1:15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2867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ISNUMBER(_xlfn.XMATCH(CONTROL[[#This Row],[VEHIDCODE]],GRAPHICS_PROPERTIES[VEHIDCODE],0))</f>
        <v>1</v>
      </c>
      <c r="N527" s="31" t="str">
        <f>"item_"&amp;CONTROL[[#This Row],[VEHIDCODE]]</f>
        <v>item_emu_Austria_WESTbahn_4010_KISS</v>
      </c>
      <c r="O527" s="31" t="str">
        <f>"str_"&amp;CONTROL[[#This Row],[VEHIDCODE]]</f>
        <v>str_emu_Austria_WESTbahn_4010_KISS</v>
      </c>
    </row>
    <row r="528" spans="1:15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2868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ISNUMBER(_xlfn.XMATCH(CONTROL[[#This Row],[VEHIDCODE]],GRAPHICS_PROPERTIES[VEHIDCODE],0))</f>
        <v>1</v>
      </c>
      <c r="N528" s="31" t="str">
        <f>"item_"&amp;CONTROL[[#This Row],[VEHIDCODE]]</f>
        <v>item_emu_Germany_DB_ET420</v>
      </c>
      <c r="O528" s="31" t="str">
        <f>"str_"&amp;CONTROL[[#This Row],[VEHIDCODE]]</f>
        <v>str_emu_Germany_DB_ET420</v>
      </c>
    </row>
    <row r="529" spans="1:15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2869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ISNUMBER(_xlfn.XMATCH(CONTROL[[#This Row],[VEHIDCODE]],GRAPHICS_PROPERTIES[VEHIDCODE],0))</f>
        <v>1</v>
      </c>
      <c r="N529" s="31" t="str">
        <f>"item_"&amp;CONTROL[[#This Row],[VEHIDCODE]]</f>
        <v>item_emu_Norway_NSB_BM73</v>
      </c>
      <c r="O529" s="31" t="str">
        <f>"str_"&amp;CONTROL[[#This Row],[VEHIDCODE]]</f>
        <v>str_emu_Norway_NSB_BM73</v>
      </c>
    </row>
    <row r="530" spans="1:15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ISNUMBER(_xlfn.XMATCH(CONTROL[[#This Row],[VEHIDCODE]],GRAPHICS_PROPERTIES[VEHIDCODE],0))</f>
        <v>1</v>
      </c>
      <c r="N530" s="31" t="str">
        <f>"item_"&amp;CONTROL[[#This Row],[VEHIDCODE]]</f>
        <v>item_emu_Norway_NSB_BM65</v>
      </c>
      <c r="O530" s="31" t="str">
        <f>"str_"&amp;CONTROL[[#This Row],[VEHIDCODE]]</f>
        <v>str_emu_Norway_NSB_BM65</v>
      </c>
    </row>
    <row r="531" spans="1:15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ISNUMBER(_xlfn.XMATCH(CONTROL[[#This Row],[VEHIDCODE]],GRAPHICS_PROPERTIES[VEHIDCODE],0))</f>
        <v>1</v>
      </c>
      <c r="N531" s="31" t="str">
        <f>"item_"&amp;CONTROL[[#This Row],[VEHIDCODE]]</f>
        <v>item_emu_Sweden_SJ_X2000</v>
      </c>
      <c r="O531" s="31" t="str">
        <f>"str_"&amp;CONTROL[[#This Row],[VEHIDCODE]]</f>
        <v>str_emu_Sweden_SJ_X2000</v>
      </c>
    </row>
    <row r="532" spans="1:15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ISNUMBER(_xlfn.XMATCH(CONTROL[[#This Row],[VEHIDCODE]],GRAPHICS_PROPERTIES[VEHIDCODE],0))</f>
        <v>1</v>
      </c>
      <c r="N532" s="31" t="str">
        <f>"item_"&amp;CONTROL[[#This Row],[VEHIDCODE]]</f>
        <v>item_emu_Switzerland_SBB_RABDe_510</v>
      </c>
      <c r="O532" s="31" t="str">
        <f>"str_"&amp;CONTROL[[#This Row],[VEHIDCODE]]</f>
        <v>str_emu_Switzerland_SBB_RABDe_510</v>
      </c>
    </row>
    <row r="533" spans="1:15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ISNUMBER(_xlfn.XMATCH(CONTROL[[#This Row],[VEHIDCODE]],GRAPHICS_PROPERTIES[VEHIDCODE],0))</f>
        <v>1</v>
      </c>
      <c r="N533" s="31" t="str">
        <f>"item_"&amp;CONTROL[[#This Row],[VEHIDCODE]]</f>
        <v>item_emu_Switzerland_SBB_RBDe_560</v>
      </c>
      <c r="O533" s="31" t="str">
        <f>"str_"&amp;CONTROL[[#This Row],[VEHIDCODE]]</f>
        <v>str_emu_Switzerland_SBB_RBDe_560</v>
      </c>
    </row>
    <row r="534" spans="1:15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2874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ISNUMBER(_xlfn.XMATCH(CONTROL[[#This Row],[VEHIDCODE]],GRAPHICS_PROPERTIES[VEHIDCODE],0))</f>
        <v>1</v>
      </c>
      <c r="N534" s="31" t="str">
        <f>"item_"&amp;CONTROL[[#This Row],[VEHIDCODE]]</f>
        <v>item_emu_Switzerland_SBB_RABe_523_Flirt</v>
      </c>
      <c r="O534" s="31" t="str">
        <f>"str_"&amp;CONTROL[[#This Row],[VEHIDCODE]]</f>
        <v>str_emu_Switzerland_SBB_RABe_523_Flirt</v>
      </c>
    </row>
    <row r="535" spans="1:15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2875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ISNUMBER(_xlfn.XMATCH(CONTROL[[#This Row],[VEHIDCODE]],GRAPHICS_PROPERTIES[VEHIDCODE],0))</f>
        <v>1</v>
      </c>
      <c r="N535" s="31" t="str">
        <f>"item_"&amp;CONTROL[[#This Row],[VEHIDCODE]]</f>
        <v>item_emu_USA_Amtrak_Budd_Metroliner</v>
      </c>
      <c r="O535" s="31" t="str">
        <f>"str_"&amp;CONTROL[[#This Row],[VEHIDCODE]]</f>
        <v>str_emu_USA_Amtrak_Budd_Metroliner</v>
      </c>
    </row>
    <row r="536" spans="1:15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2876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ISNUMBER(_xlfn.XMATCH(CONTROL[[#This Row],[VEHIDCODE]],GRAPHICS_PROPERTIES[VEHIDCODE],0))</f>
        <v>1</v>
      </c>
      <c r="N536" s="31" t="str">
        <f>"item_"&amp;CONTROL[[#This Row],[VEHIDCODE]]</f>
        <v>item_emu_Germany_DB_403_ICE_3</v>
      </c>
      <c r="O536" s="31" t="str">
        <f>"str_"&amp;CONTROL[[#This Row],[VEHIDCODE]]</f>
        <v>str_emu_Germany_DB_403_ICE_3</v>
      </c>
    </row>
    <row r="537" spans="1:15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2877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ISNUMBER(_xlfn.XMATCH(CONTROL[[#This Row],[VEHIDCODE]],GRAPHICS_PROPERTIES[VEHIDCODE],0))</f>
        <v>1</v>
      </c>
      <c r="N537" s="31" t="str">
        <f>"item_"&amp;CONTROL[[#This Row],[VEHIDCODE]]</f>
        <v>item_emu_Bulgaria_BDZ_10_Desiro</v>
      </c>
      <c r="O537" s="31" t="str">
        <f>"str_"&amp;CONTROL[[#This Row],[VEHIDCODE]]</f>
        <v>str_emu_Bulgaria_BDZ_10_Desiro</v>
      </c>
    </row>
    <row r="538" spans="1:15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2878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ISNUMBER(_xlfn.XMATCH(CONTROL[[#This Row],[VEHIDCODE]],GRAPHICS_PROPERTIES[VEHIDCODE],0))</f>
        <v>1</v>
      </c>
      <c r="N538" s="31" t="str">
        <f>"item_"&amp;CONTROL[[#This Row],[VEHIDCODE]]</f>
        <v>item_emu_Finland_VR_Sm2</v>
      </c>
      <c r="O538" s="31" t="str">
        <f>"str_"&amp;CONTROL[[#This Row],[VEHIDCODE]]</f>
        <v>str_emu_Finland_VR_Sm2</v>
      </c>
    </row>
    <row r="539" spans="1:15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2879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ISNUMBER(_xlfn.XMATCH(CONTROL[[#This Row],[VEHIDCODE]],GRAPHICS_PROPERTIES[VEHIDCODE],0))</f>
        <v>1</v>
      </c>
      <c r="N539" s="31" t="str">
        <f>"item_"&amp;CONTROL[[#This Row],[VEHIDCODE]]</f>
        <v>item_emu_Finland_VR_Sm4</v>
      </c>
      <c r="O539" s="31" t="str">
        <f>"str_"&amp;CONTROL[[#This Row],[VEHIDCODE]]</f>
        <v>str_emu_Finland_VR_Sm4</v>
      </c>
    </row>
    <row r="540" spans="1:15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2500</v>
      </c>
      <c r="G540" t="s">
        <v>2880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ISNUMBER(_xlfn.XMATCH(CONTROL[[#This Row],[VEHIDCODE]],GRAPHICS_PROPERTIES[VEHIDCODE],0))</f>
        <v>1</v>
      </c>
      <c r="N540" s="31" t="str">
        <f>"item_"&amp;CONTROL[[#This Row],[VEHIDCODE]]</f>
        <v>item_emu_Hungary_MAV_BDVmot</v>
      </c>
      <c r="O540" s="31" t="str">
        <f>"str_"&amp;CONTROL[[#This Row],[VEHIDCODE]]</f>
        <v>str_emu_Hungary_MAV_BDVmot</v>
      </c>
    </row>
    <row r="541" spans="1:15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ISNUMBER(_xlfn.XMATCH(CONTROL[[#This Row],[VEHIDCODE]],GRAPHICS_PROPERTIES[VEHIDCODE],0))</f>
        <v>1</v>
      </c>
      <c r="N541" s="31" t="str">
        <f>"item_"&amp;CONTROL[[#This Row],[VEHIDCODE]]</f>
        <v>item_emu_Europe_Sureot</v>
      </c>
      <c r="O541" s="31" t="str">
        <f>"str_"&amp;CONTROL[[#This Row],[VEHIDCODE]]</f>
        <v>str_emu_Europe_Sureot</v>
      </c>
    </row>
    <row r="542" spans="1:15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ISNUMBER(_xlfn.XMATCH(CONTROL[[#This Row],[VEHIDCODE]],GRAPHICS_PROPERTIES[VEHIDCODE],0))</f>
        <v>1</v>
      </c>
      <c r="N542" s="31" t="str">
        <f>"item_"&amp;CONTROL[[#This Row],[VEHIDCODE]]</f>
        <v>item_emu_Japan_JNR_Shinkansen_Series_0</v>
      </c>
      <c r="O542" s="31" t="str">
        <f>"str_"&amp;CONTROL[[#This Row],[VEHIDCODE]]</f>
        <v>str_emu_Japan_JNR_Shinkansen_Series_0</v>
      </c>
    </row>
    <row r="543" spans="1:15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ISNUMBER(_xlfn.XMATCH(CONTROL[[#This Row],[VEHIDCODE]],GRAPHICS_PROPERTIES[VEHIDCODE],0))</f>
        <v>1</v>
      </c>
      <c r="N543" s="31" t="str">
        <f>"item_"&amp;CONTROL[[#This Row],[VEHIDCODE]]</f>
        <v>item_emu_Japan_JR_Shinkansen_Series_700</v>
      </c>
      <c r="O543" s="31" t="str">
        <f>"str_"&amp;CONTROL[[#This Row],[VEHIDCODE]]</f>
        <v>str_emu_Japan_JR_Shinkansen_Series_700</v>
      </c>
    </row>
    <row r="544" spans="1:15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ISNUMBER(_xlfn.XMATCH(CONTROL[[#This Row],[VEHIDCODE]],GRAPHICS_PROPERTIES[VEHIDCODE],0))</f>
        <v>1</v>
      </c>
      <c r="N544" s="31" t="str">
        <f>"item_"&amp;CONTROL[[#This Row],[VEHIDCODE]]</f>
        <v>item_emu_Japan_JR_Shinkansen_Series_E1_Max</v>
      </c>
      <c r="O544" s="31" t="str">
        <f>"str_"&amp;CONTROL[[#This Row],[VEHIDCODE]]</f>
        <v>str_emu_Japan_JR_Shinkansen_Series_E1_Max</v>
      </c>
    </row>
    <row r="545" spans="1:15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2884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ISNUMBER(_xlfn.XMATCH(CONTROL[[#This Row],[VEHIDCODE]],GRAPHICS_PROPERTIES[VEHIDCODE],0))</f>
        <v>1</v>
      </c>
      <c r="N545" s="31" t="str">
        <f>"item_"&amp;CONTROL[[#This Row],[VEHIDCODE]]</f>
        <v>item_emu_Luxembourg_CFL_2200_Coradia_Duplex</v>
      </c>
      <c r="O545" s="31" t="str">
        <f>"str_"&amp;CONTROL[[#This Row],[VEHIDCODE]]</f>
        <v>str_emu_Luxembourg_CFL_2200_Coradia_Duplex</v>
      </c>
    </row>
    <row r="546" spans="1:15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2885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ISNUMBER(_xlfn.XMATCH(CONTROL[[#This Row],[VEHIDCODE]],GRAPHICS_PROPERTIES[VEHIDCODE],0))</f>
        <v>1</v>
      </c>
      <c r="N546" s="31" t="str">
        <f>"item_"&amp;CONTROL[[#This Row],[VEHIDCODE]]</f>
        <v>item_emu_Macedonia_Macedonian_Railways_412</v>
      </c>
      <c r="O546" s="31" t="str">
        <f>"str_"&amp;CONTROL[[#This Row],[VEHIDCODE]]</f>
        <v>str_emu_Macedonia_Macedonian_Railways_412</v>
      </c>
    </row>
    <row r="547" spans="1:15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2886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ISNUMBER(_xlfn.XMATCH(CONTROL[[#This Row],[VEHIDCODE]],GRAPHICS_PROPERTIES[VEHIDCODE],0))</f>
        <v>1</v>
      </c>
      <c r="N547" s="31" t="str">
        <f>"item_"&amp;CONTROL[[#This Row],[VEHIDCODE]]</f>
        <v>item_emu_Romania_CFR_58</v>
      </c>
      <c r="O547" s="31" t="str">
        <f>"str_"&amp;CONTROL[[#This Row],[VEHIDCODE]]</f>
        <v>str_emu_Romania_CFR_58</v>
      </c>
    </row>
    <row r="548" spans="1:15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2887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ISNUMBER(_xlfn.XMATCH(CONTROL[[#This Row],[VEHIDCODE]],GRAPHICS_PROPERTIES[VEHIDCODE],0))</f>
        <v>1</v>
      </c>
      <c r="N548" s="31" t="str">
        <f>"item_"&amp;CONTROL[[#This Row],[VEHIDCODE]]</f>
        <v>item_emu_South_Africa_Gautrain_Electrostar</v>
      </c>
      <c r="O548" s="31" t="str">
        <f>"str_"&amp;CONTROL[[#This Row],[VEHIDCODE]]</f>
        <v>str_emu_South_Africa_Gautrain_Electrostar</v>
      </c>
    </row>
    <row r="549" spans="1:15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2888</v>
      </c>
      <c r="G549" t="s">
        <v>2889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ISNUMBER(_xlfn.XMATCH(CONTROL[[#This Row],[VEHIDCODE]],GRAPHICS_PROPERTIES[VEHIDCODE],0))</f>
        <v>1</v>
      </c>
      <c r="N549" s="31" t="str">
        <f>"item_"&amp;CONTROL[[#This Row],[VEHIDCODE]]</f>
        <v>item_emu_Turkey_TCDD_E8000</v>
      </c>
      <c r="O549" s="31" t="str">
        <f>"str_"&amp;CONTROL[[#This Row],[VEHIDCODE]]</f>
        <v>str_emu_Turkey_TCDD_E8000</v>
      </c>
    </row>
    <row r="550" spans="1:15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ISNUMBER(_xlfn.XMATCH(CONTROL[[#This Row],[VEHIDCODE]],GRAPHICS_PROPERTIES[VEHIDCODE],0))</f>
        <v>1</v>
      </c>
      <c r="N550" s="31" t="str">
        <f>"item_"&amp;CONTROL[[#This Row],[VEHIDCODE]]</f>
        <v>item_emu_China_Railways_CHR380A</v>
      </c>
      <c r="O550" s="31" t="str">
        <f>"str_"&amp;CONTROL[[#This Row],[VEHIDCODE]]</f>
        <v>str_emu_China_Railways_CHR380A</v>
      </c>
    </row>
    <row r="551" spans="1:15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ISNUMBER(_xlfn.XMATCH(CONTROL[[#This Row],[VEHIDCODE]],GRAPHICS_PROPERTIES[VEHIDCODE],0))</f>
        <v>1</v>
      </c>
      <c r="N551" s="31" t="str">
        <f>"item_"&amp;CONTROL[[#This Row],[VEHIDCODE]]</f>
        <v>item_emu_USA_PRR_MP54</v>
      </c>
      <c r="O551" s="31" t="str">
        <f>"str_"&amp;CONTROL[[#This Row],[VEHIDCODE]]</f>
        <v>str_emu_USA_PRR_MP54</v>
      </c>
    </row>
    <row r="552" spans="1:15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ISNUMBER(_xlfn.XMATCH(CONTROL[[#This Row],[VEHIDCODE]],GRAPHICS_PROPERTIES[VEHIDCODE],0))</f>
        <v>1</v>
      </c>
      <c r="N552" s="31" t="str">
        <f>"item_"&amp;CONTROL[[#This Row],[VEHIDCODE]]</f>
        <v>item_emu_Italy_NTV_AGV</v>
      </c>
      <c r="O552" s="31" t="str">
        <f>"str_"&amp;CONTROL[[#This Row],[VEHIDCODE]]</f>
        <v>str_emu_Italy_NTV_AGV</v>
      </c>
    </row>
    <row r="553" spans="1:15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ISNUMBER(_xlfn.XMATCH(CONTROL[[#This Row],[VEHIDCODE]],GRAPHICS_PROPERTIES[VEHIDCODE],0))</f>
        <v>1</v>
      </c>
      <c r="N553" s="31" t="str">
        <f>"item_"&amp;CONTROL[[#This Row],[VEHIDCODE]]</f>
        <v>item_emu_Italy_NTV_AGV_Duplex</v>
      </c>
      <c r="O553" s="31" t="str">
        <f>"str_"&amp;CONTROL[[#This Row],[VEHIDCODE]]</f>
        <v>str_emu_Italy_NTV_AGV_Duplex</v>
      </c>
    </row>
    <row r="554" spans="1:15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2894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ISNUMBER(_xlfn.XMATCH(CONTROL[[#This Row],[VEHIDCODE]],GRAPHICS_PROPERTIES[VEHIDCODE],0))</f>
        <v>1</v>
      </c>
      <c r="N554" s="31" t="str">
        <f>"item_"&amp;CONTROL[[#This Row],[VEHIDCODE]]</f>
        <v>item_emu_Netherlands_NS_Hispeed_V250_Albatros</v>
      </c>
      <c r="O554" s="31" t="str">
        <f>"str_"&amp;CONTROL[[#This Row],[VEHIDCODE]]</f>
        <v>str_emu_Netherlands_NS_Hispeed_V250_Albatros</v>
      </c>
    </row>
    <row r="555" spans="1:15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2897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ISNUMBER(_xlfn.XMATCH(CONTROL[[#This Row],[VEHIDCODE]],GRAPHICS_PROPERTIES[VEHIDCODE],0))</f>
        <v>1</v>
      </c>
      <c r="N555" s="31" t="str">
        <f>"item_"&amp;CONTROL[[#This Row],[VEHIDCODE]]</f>
        <v>item_emu_Netherlands_NS_4800_HSA</v>
      </c>
      <c r="O555" s="31" t="str">
        <f>"str_"&amp;CONTROL[[#This Row],[VEHIDCODE]]</f>
        <v>str_emu_Netherlands_NS_4800_HSA</v>
      </c>
    </row>
    <row r="556" spans="1:15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2895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ISNUMBER(_xlfn.XMATCH(CONTROL[[#This Row],[VEHIDCODE]],GRAPHICS_PROPERTIES[VEHIDCODE],0))</f>
        <v>1</v>
      </c>
      <c r="N556" s="31" t="str">
        <f>"item_"&amp;CONTROL[[#This Row],[VEHIDCODE]]</f>
        <v>item_emu_Switzerland_SBB_Rae_TEE_II</v>
      </c>
      <c r="O556" s="31" t="str">
        <f>"str_"&amp;CONTROL[[#This Row],[VEHIDCODE]]</f>
        <v>str_emu_Switzerland_SBB_Rae_TEE_II</v>
      </c>
    </row>
    <row r="557" spans="1:15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2896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ISNUMBER(_xlfn.XMATCH(CONTROL[[#This Row],[VEHIDCODE]],GRAPHICS_PROPERTIES[VEHIDCODE],0))</f>
        <v>1</v>
      </c>
      <c r="N557" s="31" t="str">
        <f>"item_"&amp;CONTROL[[#This Row],[VEHIDCODE]]</f>
        <v>item_emu_USA_Erie_Lackawanna_MU_Cars</v>
      </c>
      <c r="O557" s="31" t="str">
        <f>"str_"&amp;CONTROL[[#This Row],[VEHIDCODE]]</f>
        <v>str_emu_USA_Erie_Lackawanna_MU_Cars</v>
      </c>
    </row>
    <row r="558" spans="1:15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2898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ISNUMBER(_xlfn.XMATCH(CONTROL[[#This Row],[VEHIDCODE]],GRAPHICS_PROPERTIES[VEHIDCODE],0))</f>
        <v>1</v>
      </c>
      <c r="N558" s="31" t="str">
        <f>"item_"&amp;CONTROL[[#This Row],[VEHIDCODE]]</f>
        <v>item_emu_France_SNCF_TGV_Sud_Est</v>
      </c>
      <c r="O558" s="31" t="str">
        <f>"str_"&amp;CONTROL[[#This Row],[VEHIDCODE]]</f>
        <v>str_emu_France_SNCF_TGV_Sud_Est</v>
      </c>
    </row>
    <row r="559" spans="1:15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2899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ISNUMBER(_xlfn.XMATCH(CONTROL[[#This Row],[VEHIDCODE]],GRAPHICS_PROPERTIES[VEHIDCODE],0))</f>
        <v>1</v>
      </c>
      <c r="N559" s="31" t="str">
        <f>"item_"&amp;CONTROL[[#This Row],[VEHIDCODE]]</f>
        <v>item_emu_France_SNCF_TGV_Duplex</v>
      </c>
      <c r="O559" s="31" t="str">
        <f>"str_"&amp;CONTROL[[#This Row],[VEHIDCODE]]</f>
        <v>str_emu_France_SNCF_TGV_Duplex</v>
      </c>
    </row>
    <row r="560" spans="1:15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ISNUMBER(_xlfn.XMATCH(CONTROL[[#This Row],[VEHIDCODE]],GRAPHICS_PROPERTIES[VEHIDCODE],0))</f>
        <v>1</v>
      </c>
      <c r="N560" s="31" t="str">
        <f>"item_"&amp;CONTROL[[#This Row],[VEHIDCODE]]</f>
        <v>item_emu_France_Thalys_PBKA</v>
      </c>
      <c r="O560" s="31" t="str">
        <f>"str_"&amp;CONTROL[[#This Row],[VEHIDCODE]]</f>
        <v>str_emu_France_Thalys_PBKA</v>
      </c>
    </row>
    <row r="561" spans="1:15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2788</v>
      </c>
      <c r="G561" t="s">
        <v>2901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ISNUMBER(_xlfn.XMATCH(CONTROL[[#This Row],[VEHIDCODE]],GRAPHICS_PROPERTIES[VEHIDCODE],0))</f>
        <v>1</v>
      </c>
      <c r="N561" s="31" t="str">
        <f>"item_"&amp;CONTROL[[#This Row],[VEHIDCODE]]</f>
        <v>item_emu_Czech_Republic_CD_680_Pendolino</v>
      </c>
      <c r="O561" s="31" t="str">
        <f>"str_"&amp;CONTROL[[#This Row],[VEHIDCODE]]</f>
        <v>str_emu_Czech_Republic_CD_680_Pendolino</v>
      </c>
    </row>
    <row r="562" spans="1:15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ISNUMBER(_xlfn.XMATCH(CONTROL[[#This Row],[VEHIDCODE]],GRAPHICS_PROPERTIES[VEHIDCODE],0))</f>
        <v>1</v>
      </c>
      <c r="N562" s="31" t="str">
        <f>"item_"&amp;CONTROL[[#This Row],[VEHIDCODE]]</f>
        <v>item_emu_Spain_RENFE_120</v>
      </c>
      <c r="O562" s="31" t="str">
        <f>"str_"&amp;CONTROL[[#This Row],[VEHIDCODE]]</f>
        <v>str_emu_Spain_RENFE_120</v>
      </c>
    </row>
    <row r="563" spans="1:15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ISNUMBER(_xlfn.XMATCH(CONTROL[[#This Row],[VEHIDCODE]],GRAPHICS_PROPERTIES[VEHIDCODE],0))</f>
        <v>1</v>
      </c>
      <c r="N563" s="31" t="str">
        <f>"item_"&amp;CONTROL[[#This Row],[VEHIDCODE]]</f>
        <v>item_emu_USA_Amtrak_Acela_Express</v>
      </c>
      <c r="O563" s="31" t="str">
        <f>"str_"&amp;CONTROL[[#This Row],[VEHIDCODE]]</f>
        <v>str_emu_USA_Amtrak_Acela_Express</v>
      </c>
    </row>
    <row r="564" spans="1:15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3039</v>
      </c>
      <c r="G564" t="s">
        <v>2965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ISNUMBER(_xlfn.XMATCH(CONTROL[[#This Row],[VEHIDCODE]],GRAPHICS_PROPERTIES[VEHIDCODE],0))</f>
        <v>1</v>
      </c>
      <c r="N564" s="31" t="str">
        <f>"item_"&amp;CONTROL[[#This Row],[VEHIDCODE]]</f>
        <v>item_singlemtro_USA_Brooklyn_Union_Gate_Car</v>
      </c>
      <c r="O564" s="31" t="str">
        <f>"str_"&amp;CONTROL[[#This Row],[VEHIDCODE]]</f>
        <v>str_singlemtro_USA_Brooklyn_Union_Gate_Car</v>
      </c>
    </row>
    <row r="565" spans="1:15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2966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ISNUMBER(_xlfn.XMATCH(CONTROL[[#This Row],[VEHIDCODE]],GRAPHICS_PROPERTIES[VEHIDCODE],0))</f>
        <v>1</v>
      </c>
      <c r="N565" s="31" t="str">
        <f>"item_"&amp;CONTROL[[#This Row],[VEHIDCODE]]</f>
        <v>item_singlemtro_Hungary_Budapest_1894_Stock</v>
      </c>
      <c r="O565" s="31" t="str">
        <f>"str_"&amp;CONTROL[[#This Row],[VEHIDCODE]]</f>
        <v>str_singlemtro_Hungary_Budapest_1894_Stock</v>
      </c>
    </row>
    <row r="566" spans="1:15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2967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ISNUMBER(_xlfn.XMATCH(CONTROL[[#This Row],[VEHIDCODE]],GRAPHICS_PROPERTIES[VEHIDCODE],0))</f>
        <v>1</v>
      </c>
      <c r="N566" s="31" t="str">
        <f>"item_"&amp;CONTROL[[#This Row],[VEHIDCODE]]</f>
        <v>item_singlemtro_USA_Chicago_L_Northwest_Elevated_1907_Stock</v>
      </c>
      <c r="O566" s="31" t="str">
        <f>"str_"&amp;CONTROL[[#This Row],[VEHIDCODE]]</f>
        <v>str_singlemtro_USA_Chicago_L_Northwest_Elevated_1907_Stock</v>
      </c>
    </row>
    <row r="567" spans="1:15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2968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ISNUMBER(_xlfn.XMATCH(CONTROL[[#This Row],[VEHIDCODE]],GRAPHICS_PROPERTIES[VEHIDCODE],0))</f>
        <v>1</v>
      </c>
      <c r="N567" s="31" t="str">
        <f>"item_"&amp;CONTROL[[#This Row],[VEHIDCODE]]</f>
        <v>item_singlemtro_Germany_Berlin_U_Bahn_C_II</v>
      </c>
      <c r="O567" s="31" t="str">
        <f>"str_"&amp;CONTROL[[#This Row],[VEHIDCODE]]</f>
        <v>str_singlemtro_Germany_Berlin_U_Bahn_C_II</v>
      </c>
    </row>
    <row r="568" spans="1:15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ISNUMBER(_xlfn.XMATCH(CONTROL[[#This Row],[VEHIDCODE]],GRAPHICS_PROPERTIES[VEHIDCODE],0))</f>
        <v>1</v>
      </c>
      <c r="N568" s="31" t="str">
        <f>"item_"&amp;CONTROL[[#This Row],[VEHIDCODE]]</f>
        <v>item_rbm_World_Turbobus</v>
      </c>
      <c r="O568" s="31" t="str">
        <f>"str_"&amp;CONTROL[[#This Row],[VEHIDCODE]]</f>
        <v>str_rbm_World_Turbobus</v>
      </c>
    </row>
    <row r="569" spans="1:15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ISNUMBER(_xlfn.XMATCH(CONTROL[[#This Row],[VEHIDCODE]],GRAPHICS_PROPERTIES[VEHIDCODE],0))</f>
        <v>1</v>
      </c>
      <c r="N569" s="31" t="str">
        <f>"item_"&amp;CONTROL[[#This Row],[VEHIDCODE]]</f>
        <v>item_mglv_Germany_DB_182_ES64UM_Mutus</v>
      </c>
      <c r="O569" s="31" t="str">
        <f>"str_"&amp;CONTROL[[#This Row],[VEHIDCODE]]</f>
        <v>str_mglv_Germany_DB_182_ES64UM_Mutus</v>
      </c>
    </row>
    <row r="570" spans="1:15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2904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ISNUMBER(_xlfn.XMATCH(CONTROL[[#This Row],[VEHIDCODE]],GRAPHICS_PROPERTIES[VEHIDCODE],0))</f>
        <v>1</v>
      </c>
      <c r="N570" s="31" t="str">
        <f>"item_"&amp;CONTROL[[#This Row],[VEHIDCODE]]</f>
        <v>item_mglv_China_Transrapid</v>
      </c>
      <c r="O570" s="31" t="str">
        <f>"str_"&amp;CONTROL[[#This Row],[VEHIDCODE]]</f>
        <v>str_mglv_China_Transrapid</v>
      </c>
    </row>
    <row r="571" spans="1:15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2905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ISNUMBER(_xlfn.XMATCH(CONTROL[[#This Row],[VEHIDCODE]],GRAPHICS_PROPERTIES[VEHIDCODE],0))</f>
        <v>1</v>
      </c>
      <c r="N571" s="31" t="str">
        <f>"item_"&amp;CONTROL[[#This Row],[VEHIDCODE]]</f>
        <v>item_mglv_Japan_MLX01_901</v>
      </c>
      <c r="O571" s="31" t="str">
        <f>"str_"&amp;CONTROL[[#This Row],[VEHIDCODE]]</f>
        <v>str_mglv_Japan_MLX01_901</v>
      </c>
    </row>
    <row r="572" spans="1:15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3048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ISNUMBER(_xlfn.XMATCH(CONTROL[[#This Row],[VEHIDCODE]],GRAPHICS_PROPERTIES[VEHIDCODE],0))</f>
        <v>1</v>
      </c>
      <c r="N572" s="31" t="str">
        <f>"item_"&amp;CONTROL[[#This Row],[VEHIDCODE]]</f>
        <v>item_mglv_Wagon_Gen7M_Boxcar_Type1</v>
      </c>
      <c r="O572" s="31" t="str">
        <f>"str_"&amp;CONTROL[[#This Row],[VEHIDCODE]]</f>
        <v>str_mglv_Wagon_Gen7M_Boxcar_Type1</v>
      </c>
    </row>
    <row r="573" spans="1:15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3063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ISNUMBER(_xlfn.XMATCH(CONTROL[[#This Row],[VEHIDCODE]],GRAPHICS_PROPERTIES[VEHIDCODE],0))</f>
        <v>1</v>
      </c>
      <c r="N573" s="31" t="str">
        <f>"item_"&amp;CONTROL[[#This Row],[VEHIDCODE]]</f>
        <v>item_mglv_Wagon_Gen7M_Boxcar_Type2</v>
      </c>
      <c r="O573" s="31" t="str">
        <f>"str_"&amp;CONTROL[[#This Row],[VEHIDCODE]]</f>
        <v>str_mglv_Wagon_Gen7M_Boxcar_Type2</v>
      </c>
    </row>
    <row r="574" spans="1:15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ISNUMBER(_xlfn.XMATCH(CONTROL[[#This Row],[VEHIDCODE]],GRAPHICS_PROPERTIES[VEHIDCODE],0))</f>
        <v>1</v>
      </c>
      <c r="N574" s="31" t="str">
        <f>"item_"&amp;CONTROL[[#This Row],[VEHIDCODE]]</f>
        <v>item_mglv_Wagon_Gen7M_Car_Transporter</v>
      </c>
      <c r="O574" s="31" t="str">
        <f>"str_"&amp;CONTROL[[#This Row],[VEHIDCODE]]</f>
        <v>str_mglv_Wagon_Gen7M_Car_Transporter</v>
      </c>
    </row>
    <row r="575" spans="1:15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ISNUMBER(_xlfn.XMATCH(CONTROL[[#This Row],[VEHIDCODE]],GRAPHICS_PROPERTIES[VEHIDCODE],0))</f>
        <v>1</v>
      </c>
      <c r="N575" s="31" t="str">
        <f>"item_"&amp;CONTROL[[#This Row],[VEHIDCODE]]</f>
        <v>item_mglv_Wagon_Gen7M_Centerbeam</v>
      </c>
      <c r="O575" s="31" t="str">
        <f>"str_"&amp;CONTROL[[#This Row],[VEHIDCODE]]</f>
        <v>str_mglv_Wagon_Gen7M_Centerbeam</v>
      </c>
    </row>
    <row r="576" spans="1:15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ISNUMBER(_xlfn.XMATCH(CONTROL[[#This Row],[VEHIDCODE]],GRAPHICS_PROPERTIES[VEHIDCODE],0))</f>
        <v>1</v>
      </c>
      <c r="N576" s="31" t="str">
        <f>"item_"&amp;CONTROL[[#This Row],[VEHIDCODE]]</f>
        <v>item_mglv_Wagon_Gen7M_Container_Carrier</v>
      </c>
      <c r="O576" s="31" t="str">
        <f>"str_"&amp;CONTROL[[#This Row],[VEHIDCODE]]</f>
        <v>str_mglv_Wagon_Gen7M_Container_Carrier</v>
      </c>
    </row>
    <row r="577" spans="1:15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ISNUMBER(_xlfn.XMATCH(CONTROL[[#This Row],[VEHIDCODE]],GRAPHICS_PROPERTIES[VEHIDCODE],0))</f>
        <v>1</v>
      </c>
      <c r="N577" s="31" t="str">
        <f>"item_"&amp;CONTROL[[#This Row],[VEHIDCODE]]</f>
        <v>item_mglv_Wagon_Gen7M_Container_Doublestack</v>
      </c>
      <c r="O577" s="31" t="str">
        <f>"str_"&amp;CONTROL[[#This Row],[VEHIDCODE]]</f>
        <v>str_mglv_Wagon_Gen7M_Container_Doublestack</v>
      </c>
    </row>
    <row r="578" spans="1:15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ISNUMBER(_xlfn.XMATCH(CONTROL[[#This Row],[VEHIDCODE]],GRAPHICS_PROPERTIES[VEHIDCODE],0))</f>
        <v>1</v>
      </c>
      <c r="N578" s="31" t="str">
        <f>"item_"&amp;CONTROL[[#This Row],[VEHIDCODE]]</f>
        <v>item_mglv_Wagon_Gen7M_Flatcar</v>
      </c>
      <c r="O578" s="31" t="str">
        <f>"str_"&amp;CONTROL[[#This Row],[VEHIDCODE]]</f>
        <v>str_mglv_Wagon_Gen7M_Flatcar</v>
      </c>
    </row>
    <row r="579" spans="1:15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ISNUMBER(_xlfn.XMATCH(CONTROL[[#This Row],[VEHIDCODE]],GRAPHICS_PROPERTIES[VEHIDCODE],0))</f>
        <v>1</v>
      </c>
      <c r="N579" s="31" t="str">
        <f>"item_"&amp;CONTROL[[#This Row],[VEHIDCODE]]</f>
        <v>item_mglv_Wagon_Gen7M_Gondola</v>
      </c>
      <c r="O579" s="31" t="str">
        <f>"str_"&amp;CONTROL[[#This Row],[VEHIDCODE]]</f>
        <v>str_mglv_Wagon_Gen7M_Gondola</v>
      </c>
    </row>
    <row r="580" spans="1:15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ISNUMBER(_xlfn.XMATCH(CONTROL[[#This Row],[VEHIDCODE]],GRAPHICS_PROPERTIES[VEHIDCODE],0))</f>
        <v>1</v>
      </c>
      <c r="N580" s="31" t="str">
        <f>"item_"&amp;CONTROL[[#This Row],[VEHIDCODE]]</f>
        <v>item_mglv_Wagon_Gen7M_Heavy_Flatcar</v>
      </c>
      <c r="O580" s="31" t="str">
        <f>"str_"&amp;CONTROL[[#This Row],[VEHIDCODE]]</f>
        <v>str_mglv_Wagon_Gen7M_Heavy_Flatcar</v>
      </c>
    </row>
    <row r="581" spans="1:15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3049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ISNUMBER(_xlfn.XMATCH(CONTROL[[#This Row],[VEHIDCODE]],GRAPHICS_PROPERTIES[VEHIDCODE],0))</f>
        <v>1</v>
      </c>
      <c r="N581" s="31" t="str">
        <f>"item_"&amp;CONTROL[[#This Row],[VEHIDCODE]]</f>
        <v>item_mglv_Wagon_Gen7M_Hopper_Type1</v>
      </c>
      <c r="O581" s="31" t="str">
        <f>"str_"&amp;CONTROL[[#This Row],[VEHIDCODE]]</f>
        <v>str_mglv_Wagon_Gen7M_Hopper_Type1</v>
      </c>
    </row>
    <row r="582" spans="1:15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3064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ISNUMBER(_xlfn.XMATCH(CONTROL[[#This Row],[VEHIDCODE]],GRAPHICS_PROPERTIES[VEHIDCODE],0))</f>
        <v>1</v>
      </c>
      <c r="N582" s="31" t="str">
        <f>"item_"&amp;CONTROL[[#This Row],[VEHIDCODE]]</f>
        <v>item_mglv_Wagon_Gen7M_Hopper_Type2</v>
      </c>
      <c r="O582" s="31" t="str">
        <f>"str_"&amp;CONTROL[[#This Row],[VEHIDCODE]]</f>
        <v>str_mglv_Wagon_Gen7M_Hopper_Type2</v>
      </c>
    </row>
    <row r="583" spans="1:15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3050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ISNUMBER(_xlfn.XMATCH(CONTROL[[#This Row],[VEHIDCODE]],GRAPHICS_PROPERTIES[VEHIDCODE],0))</f>
        <v>1</v>
      </c>
      <c r="N583" s="31" t="str">
        <f>"item_"&amp;CONTROL[[#This Row],[VEHIDCODE]]</f>
        <v>item_mglv_Wagon_Gen7M_Silo_Type1</v>
      </c>
      <c r="O583" s="31" t="str">
        <f>"str_"&amp;CONTROL[[#This Row],[VEHIDCODE]]</f>
        <v>str_mglv_Wagon_Gen7M_Silo_Type1</v>
      </c>
    </row>
    <row r="584" spans="1:15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3065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ISNUMBER(_xlfn.XMATCH(CONTROL[[#This Row],[VEHIDCODE]],GRAPHICS_PROPERTIES[VEHIDCODE],0))</f>
        <v>1</v>
      </c>
      <c r="N584" s="31" t="str">
        <f>"item_"&amp;CONTROL[[#This Row],[VEHIDCODE]]</f>
        <v>item_mglv_Wagon_Gen7M_Silo_Type2</v>
      </c>
      <c r="O584" s="31" t="str">
        <f>"str_"&amp;CONTROL[[#This Row],[VEHIDCODE]]</f>
        <v>str_mglv_Wagon_Gen7M_Silo_Type2</v>
      </c>
    </row>
    <row r="585" spans="1:15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ISNUMBER(_xlfn.XMATCH(CONTROL[[#This Row],[VEHIDCODE]],GRAPHICS_PROPERTIES[VEHIDCODE],0))</f>
        <v>1</v>
      </c>
      <c r="N585" s="31" t="str">
        <f>"item_"&amp;CONTROL[[#This Row],[VEHIDCODE]]</f>
        <v>item_mglv_Wagon_Gen7M_Superheavy_Flatcar</v>
      </c>
      <c r="O585" s="31" t="str">
        <f>"str_"&amp;CONTROL[[#This Row],[VEHIDCODE]]</f>
        <v>str_mglv_Wagon_Gen7M_Superheavy_Flatcar</v>
      </c>
    </row>
    <row r="586" spans="1:15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ISNUMBER(_xlfn.XMATCH(CONTROL[[#This Row],[VEHIDCODE]],GRAPHICS_PROPERTIES[VEHIDCODE],0))</f>
        <v>1</v>
      </c>
      <c r="N586" s="31" t="str">
        <f>"item_"&amp;CONTROL[[#This Row],[VEHIDCODE]]</f>
        <v>item_mglv_Wagon_Gen7M_Tanker</v>
      </c>
      <c r="O586" s="31" t="str">
        <f>"str_"&amp;CONTROL[[#This Row],[VEHIDCODE]]</f>
        <v>str_mglv_Wagon_Gen7M_Tanker</v>
      </c>
    </row>
    <row r="587" spans="1:15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2937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ISNUMBER(_xlfn.XMATCH(CONTROL[[#This Row],[VEHIDCODE]],GRAPHICS_PROPERTIES[VEHIDCODE],0))</f>
        <v>1</v>
      </c>
      <c r="N587" s="31" t="str">
        <f>"item_"&amp;CONTROL[[#This Row],[VEHIDCODE]]</f>
        <v>item_rbd_Japan_JR_Shikoku_1000</v>
      </c>
      <c r="O587" s="31" t="str">
        <f>"str_"&amp;CONTROL[[#This Row],[VEHIDCODE]]</f>
        <v>str_rbd_Japan_JR_Shikoku_1000</v>
      </c>
    </row>
    <row r="588" spans="1:15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2938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ISNUMBER(_xlfn.XMATCH(CONTROL[[#This Row],[VEHIDCODE]],GRAPHICS_PROPERTIES[VEHIDCODE],0))</f>
        <v>1</v>
      </c>
      <c r="N588" s="31" t="str">
        <f>"item_"&amp;CONTROL[[#This Row],[VEHIDCODE]]</f>
        <v>item_rbd_Japan_JR_KiHa_E120</v>
      </c>
      <c r="O588" s="31" t="str">
        <f>"str_"&amp;CONTROL[[#This Row],[VEHIDCODE]]</f>
        <v>str_rbd_Japan_JR_KiHa_E120</v>
      </c>
    </row>
    <row r="589" spans="1:15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ISNUMBER(_xlfn.XMATCH(CONTROL[[#This Row],[VEHIDCODE]],GRAPHICS_PROPERTIES[VEHIDCODE],0))</f>
        <v>1</v>
      </c>
      <c r="N589" s="31" t="str">
        <f>"item_"&amp;CONTROL[[#This Row],[VEHIDCODE]]</f>
        <v>item_rbd_Chile_EFE_Buscarril</v>
      </c>
      <c r="O589" s="31" t="str">
        <f>"str_"&amp;CONTROL[[#This Row],[VEHIDCODE]]</f>
        <v>str_rbd_Chile_EFE_Buscarril</v>
      </c>
    </row>
    <row r="590" spans="1:15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ISNUMBER(_xlfn.XMATCH(CONTROL[[#This Row],[VEHIDCODE]],GRAPHICS_PROPERTIES[VEHIDCODE],0))</f>
        <v>1</v>
      </c>
      <c r="N590" s="31" t="str">
        <f>"item_"&amp;CONTROL[[#This Row],[VEHIDCODE]]</f>
        <v>item_rbd_Argentina_FCPBA_M_Railcar</v>
      </c>
      <c r="O590" s="31" t="str">
        <f>"str_"&amp;CONTROL[[#This Row],[VEHIDCODE]]</f>
        <v>str_rbd_Argentina_FCPBA_M_Railcar</v>
      </c>
    </row>
    <row r="591" spans="1:15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2939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ISNUMBER(_xlfn.XMATCH(CONTROL[[#This Row],[VEHIDCODE]],GRAPHICS_PROPERTIES[VEHIDCODE],0))</f>
        <v>1</v>
      </c>
      <c r="N591" s="31" t="str">
        <f>"item_"&amp;CONTROL[[#This Row],[VEHIDCODE]]</f>
        <v>item_rbd_Eritrea_Eritrean_Railway_A62_70_Littorina</v>
      </c>
      <c r="O591" s="31" t="str">
        <f>"str_"&amp;CONTROL[[#This Row],[VEHIDCODE]]</f>
        <v>str_rbd_Eritrea_Eritrean_Railway_A62_70_Littorina</v>
      </c>
    </row>
    <row r="592" spans="1:15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ISNUMBER(_xlfn.XMATCH(CONTROL[[#This Row],[VEHIDCODE]],GRAPHICS_PROPERTIES[VEHIDCODE],0))</f>
        <v>1</v>
      </c>
      <c r="N592" s="31" t="str">
        <f>"item_"&amp;CONTROL[[#This Row],[VEHIDCODE]]</f>
        <v>item_rbe_Switzerland_AB_CFe_3_3</v>
      </c>
      <c r="O592" s="31" t="str">
        <f>"str_"&amp;CONTROL[[#This Row],[VEHIDCODE]]</f>
        <v>str_rbe_Switzerland_AB_CFe_3_3</v>
      </c>
    </row>
    <row r="593" spans="1:15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ISNUMBER(_xlfn.XMATCH(CONTROL[[#This Row],[VEHIDCODE]],GRAPHICS_PROPERTIES[VEHIDCODE],0))</f>
        <v>1</v>
      </c>
      <c r="N593" s="31" t="str">
        <f>"item_"&amp;CONTROL[[#This Row],[VEHIDCODE]]</f>
        <v>item_rbe_Switzerland_TPC_BVB_Be_2_2</v>
      </c>
      <c r="O593" s="31" t="str">
        <f>"str_"&amp;CONTROL[[#This Row],[VEHIDCODE]]</f>
        <v>str_rbe_Switzerland_TPC_BVB_Be_2_2</v>
      </c>
    </row>
    <row r="594" spans="1:15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ISNUMBER(_xlfn.XMATCH(CONTROL[[#This Row],[VEHIDCODE]],GRAPHICS_PROPERTIES[VEHIDCODE],0))</f>
        <v>1</v>
      </c>
      <c r="N594" s="31" t="str">
        <f>"item_"&amp;CONTROL[[#This Row],[VEHIDCODE]]</f>
        <v>item_rbe_Switzerland_MVR_Beh_2_4</v>
      </c>
      <c r="O594" s="31" t="str">
        <f>"str_"&amp;CONTROL[[#This Row],[VEHIDCODE]]</f>
        <v>str_rbe_Switzerland_MVR_Beh_2_4</v>
      </c>
    </row>
    <row r="595" spans="1:15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ISNUMBER(_xlfn.XMATCH(CONTROL[[#This Row],[VEHIDCODE]],GRAPHICS_PROPERTIES[VEHIDCODE],0))</f>
        <v>1</v>
      </c>
      <c r="N595" s="31" t="str">
        <f>"item_"&amp;CONTROL[[#This Row],[VEHIDCODE]]</f>
        <v>item_rbe_Spain_Ferrocarril_de_Soller_1_3</v>
      </c>
      <c r="O595" s="31" t="str">
        <f>"str_"&amp;CONTROL[[#This Row],[VEHIDCODE]]</f>
        <v>str_rbe_Spain_Ferrocarril_de_Soller_1_3</v>
      </c>
    </row>
    <row r="596" spans="1:15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2944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ISNUMBER(_xlfn.XMATCH(CONTROL[[#This Row],[VEHIDCODE]],GRAPHICS_PROPERTIES[VEHIDCODE],0))</f>
        <v>1</v>
      </c>
      <c r="N596" s="31" t="str">
        <f>"item_"&amp;CONTROL[[#This Row],[VEHIDCODE]]</f>
        <v>item_rbe_Japan_Choshi_DeHa_1000</v>
      </c>
      <c r="O596" s="31" t="str">
        <f>"str_"&amp;CONTROL[[#This Row],[VEHIDCODE]]</f>
        <v>str_rbe_Japan_Choshi_DeHa_1000</v>
      </c>
    </row>
    <row r="597" spans="1:15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2945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ISNUMBER(_xlfn.XMATCH(CONTROL[[#This Row],[VEHIDCODE]],GRAPHICS_PROPERTIES[VEHIDCODE],0))</f>
        <v>1</v>
      </c>
      <c r="N597" s="31" t="str">
        <f>"item_"&amp;CONTROL[[#This Row],[VEHIDCODE]]</f>
        <v>item_steam_Switzerland_RhB_G_3_4</v>
      </c>
      <c r="O597" s="31" t="str">
        <f>"str_"&amp;CONTROL[[#This Row],[VEHIDCODE]]</f>
        <v>str_steam_Switzerland_RhB_G_3_4</v>
      </c>
    </row>
    <row r="598" spans="1:15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2946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ISNUMBER(_xlfn.XMATCH(CONTROL[[#This Row],[VEHIDCODE]],GRAPHICS_PROPERTIES[VEHIDCODE],0))</f>
        <v>1</v>
      </c>
      <c r="N598" s="31" t="str">
        <f>"item_"&amp;CONTROL[[#This Row],[VEHIDCODE]]</f>
        <v>item_steam_Japan_JNR_Class_E10</v>
      </c>
      <c r="O598" s="31" t="str">
        <f>"str_"&amp;CONTROL[[#This Row],[VEHIDCODE]]</f>
        <v>str_steam_Japan_JNR_Class_E10</v>
      </c>
    </row>
    <row r="599" spans="1:15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2947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ISNUMBER(_xlfn.XMATCH(CONTROL[[#This Row],[VEHIDCODE]],GRAPHICS_PROPERTIES[VEHIDCODE],0))</f>
        <v>1</v>
      </c>
      <c r="N599" s="31" t="str">
        <f>"item_"&amp;CONTROL[[#This Row],[VEHIDCODE]]</f>
        <v>item_steam_Japan_JNR_7100</v>
      </c>
      <c r="O599" s="31" t="str">
        <f>"str_"&amp;CONTROL[[#This Row],[VEHIDCODE]]</f>
        <v>str_steam_Japan_JNR_7100</v>
      </c>
    </row>
    <row r="600" spans="1:15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2948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ISNUMBER(_xlfn.XMATCH(CONTROL[[#This Row],[VEHIDCODE]],GRAPHICS_PROPERTIES[VEHIDCODE],0))</f>
        <v>1</v>
      </c>
      <c r="N600" s="31" t="str">
        <f>"item_"&amp;CONTROL[[#This Row],[VEHIDCODE]]</f>
        <v>item_steam_Japan_JNR_860</v>
      </c>
      <c r="O600" s="31" t="str">
        <f>"str_"&amp;CONTROL[[#This Row],[VEHIDCODE]]</f>
        <v>str_steam_Japan_JNR_860</v>
      </c>
    </row>
    <row r="601" spans="1:15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2949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ISNUMBER(_xlfn.XMATCH(CONTROL[[#This Row],[VEHIDCODE]],GRAPHICS_PROPERTIES[VEHIDCODE],0))</f>
        <v>1</v>
      </c>
      <c r="N601" s="31" t="str">
        <f>"item_"&amp;CONTROL[[#This Row],[VEHIDCODE]]</f>
        <v>item_steam_Japan_JNR_9600</v>
      </c>
      <c r="O601" s="31" t="str">
        <f>"str_"&amp;CONTROL[[#This Row],[VEHIDCODE]]</f>
        <v>str_steam_Japan_JNR_9600</v>
      </c>
    </row>
    <row r="602" spans="1:15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ISNUMBER(_xlfn.XMATCH(CONTROL[[#This Row],[VEHIDCODE]],GRAPHICS_PROPERTIES[VEHIDCODE],0))</f>
        <v>1</v>
      </c>
      <c r="N602" s="31" t="str">
        <f>"item_"&amp;CONTROL[[#This Row],[VEHIDCODE]]</f>
        <v>item_steam_Japan_JNR_D50</v>
      </c>
      <c r="O602" s="31" t="str">
        <f>"str_"&amp;CONTROL[[#This Row],[VEHIDCODE]]</f>
        <v>str_steam_Japan_JNR_D50</v>
      </c>
    </row>
    <row r="603" spans="1:15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ISNUMBER(_xlfn.XMATCH(CONTROL[[#This Row],[VEHIDCODE]],GRAPHICS_PROPERTIES[VEHIDCODE],0))</f>
        <v>1</v>
      </c>
      <c r="N603" s="31" t="str">
        <f>"item_"&amp;CONTROL[[#This Row],[VEHIDCODE]]</f>
        <v>item_diesel_Japan_JNR_DF50</v>
      </c>
      <c r="O603" s="31" t="str">
        <f>"str_"&amp;CONTROL[[#This Row],[VEHIDCODE]]</f>
        <v>str_diesel_Japan_JNR_DF50</v>
      </c>
    </row>
    <row r="604" spans="1:15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ISNUMBER(_xlfn.XMATCH(CONTROL[[#This Row],[VEHIDCODE]],GRAPHICS_PROPERTIES[VEHIDCODE],0))</f>
        <v>1</v>
      </c>
      <c r="N604" s="31" t="str">
        <f>"item_"&amp;CONTROL[[#This Row],[VEHIDCODE]]</f>
        <v>item_electric_Switzerland_RhB_DE_2_2</v>
      </c>
      <c r="O604" s="31" t="str">
        <f>"str_"&amp;CONTROL[[#This Row],[VEHIDCODE]]</f>
        <v>str_electric_Switzerland_RhB_DE_2_2</v>
      </c>
    </row>
    <row r="605" spans="1:15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ISNUMBER(_xlfn.XMATCH(CONTROL[[#This Row],[VEHIDCODE]],GRAPHICS_PROPERTIES[VEHIDCODE],0))</f>
        <v>1</v>
      </c>
      <c r="N605" s="31" t="str">
        <f>"item_"&amp;CONTROL[[#This Row],[VEHIDCODE]]</f>
        <v>item_electric_Japan_JNR_EH10</v>
      </c>
      <c r="O605" s="31" t="str">
        <f>"str_"&amp;CONTROL[[#This Row],[VEHIDCODE]]</f>
        <v>str_electric_Japan_JNR_EH10</v>
      </c>
    </row>
    <row r="606" spans="1:15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2954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ISNUMBER(_xlfn.XMATCH(CONTROL[[#This Row],[VEHIDCODE]],GRAPHICS_PROPERTIES[VEHIDCODE],0))</f>
        <v>1</v>
      </c>
      <c r="N606" s="31" t="str">
        <f>"item_"&amp;CONTROL[[#This Row],[VEHIDCODE]]</f>
        <v>item_electric_Japan_JNR_EF64</v>
      </c>
      <c r="O606" s="31" t="str">
        <f>"str_"&amp;CONTROL[[#This Row],[VEHIDCODE]]</f>
        <v>str_electric_Japan_JNR_EF64</v>
      </c>
    </row>
    <row r="607" spans="1:15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2955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ISNUMBER(_xlfn.XMATCH(CONTROL[[#This Row],[VEHIDCODE]],GRAPHICS_PROPERTIES[VEHIDCODE],0))</f>
        <v>1</v>
      </c>
      <c r="N607" s="31" t="str">
        <f>"item_"&amp;CONTROL[[#This Row],[VEHIDCODE]]</f>
        <v>item_electric_New_Zealand_NZR_EO_Class</v>
      </c>
      <c r="O607" s="31" t="str">
        <f>"str_"&amp;CONTROL[[#This Row],[VEHIDCODE]]</f>
        <v>str_electric_New_Zealand_NZR_EO_Class</v>
      </c>
    </row>
    <row r="608" spans="1:15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2956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ISNUMBER(_xlfn.XMATCH(CONTROL[[#This Row],[VEHIDCODE]],GRAPHICS_PROPERTIES[VEHIDCODE],0))</f>
        <v>1</v>
      </c>
      <c r="N608" s="31" t="str">
        <f>"item_"&amp;CONTROL[[#This Row],[VEHIDCODE]]</f>
        <v>item_electric_Australia_NSWGR_71</v>
      </c>
      <c r="O608" s="31" t="str">
        <f>"str_"&amp;CONTROL[[#This Row],[VEHIDCODE]]</f>
        <v>str_electric_Australia_NSWGR_71</v>
      </c>
    </row>
    <row r="609" spans="1:15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2957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ISNUMBER(_xlfn.XMATCH(CONTROL[[#This Row],[VEHIDCODE]],GRAPHICS_PROPERTIES[VEHIDCODE],0))</f>
        <v>1</v>
      </c>
      <c r="N609" s="31" t="str">
        <f>"item_"&amp;CONTROL[[#This Row],[VEHIDCODE]]</f>
        <v>item_electric_South_Africa_SAR_4E</v>
      </c>
      <c r="O609" s="31" t="str">
        <f>"str_"&amp;CONTROL[[#This Row],[VEHIDCODE]]</f>
        <v>str_electric_South_Africa_SAR_4E</v>
      </c>
    </row>
    <row r="610" spans="1:15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2958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ISNUMBER(_xlfn.XMATCH(CONTROL[[#This Row],[VEHIDCODE]],GRAPHICS_PROPERTIES[VEHIDCODE],0))</f>
        <v>1</v>
      </c>
      <c r="N610" s="31" t="str">
        <f>"item_"&amp;CONTROL[[#This Row],[VEHIDCODE]]</f>
        <v>item_electric_South_Africa_SAR_5E1</v>
      </c>
      <c r="O610" s="31" t="str">
        <f>"str_"&amp;CONTROL[[#This Row],[VEHIDCODE]]</f>
        <v>str_electric_South_Africa_SAR_5E1</v>
      </c>
    </row>
    <row r="611" spans="1:15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2959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ISNUMBER(_xlfn.XMATCH(CONTROL[[#This Row],[VEHIDCODE]],GRAPHICS_PROPERTIES[VEHIDCODE],0))</f>
        <v>1</v>
      </c>
      <c r="N611" s="31" t="str">
        <f>"item_"&amp;CONTROL[[#This Row],[VEHIDCODE]]</f>
        <v>item_electric_South_Africa_SAR_6E</v>
      </c>
      <c r="O611" s="31" t="str">
        <f>"str_"&amp;CONTROL[[#This Row],[VEHIDCODE]]</f>
        <v>str_electric_South_Africa_SAR_6E</v>
      </c>
    </row>
    <row r="612" spans="1:15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ISNUMBER(_xlfn.XMATCH(CONTROL[[#This Row],[VEHIDCODE]],GRAPHICS_PROPERTIES[VEHIDCODE],0))</f>
        <v>1</v>
      </c>
      <c r="N612" s="31" t="str">
        <f>"item_"&amp;CONTROL[[#This Row],[VEHIDCODE]]</f>
        <v>item_electric_Switzerland_RhB_Ge_4_4_I</v>
      </c>
      <c r="O612" s="31" t="str">
        <f>"str_"&amp;CONTROL[[#This Row],[VEHIDCODE]]</f>
        <v>str_electric_Switzerland_RhB_Ge_4_4_I</v>
      </c>
    </row>
    <row r="613" spans="1:15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ISNUMBER(_xlfn.XMATCH(CONTROL[[#This Row],[VEHIDCODE]],GRAPHICS_PROPERTIES[VEHIDCODE],0))</f>
        <v>1</v>
      </c>
      <c r="N613" s="31" t="str">
        <f>"item_"&amp;CONTROL[[#This Row],[VEHIDCODE]]</f>
        <v>item_electric_Switzerland_RhB_Ge_6_6_Krokodil</v>
      </c>
      <c r="O613" s="31" t="str">
        <f>"str_"&amp;CONTROL[[#This Row],[VEHIDCODE]]</f>
        <v>str_electric_Switzerland_RhB_Ge_6_6_Krokodil</v>
      </c>
    </row>
    <row r="614" spans="1:15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3085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ISNUMBER(_xlfn.XMATCH(CONTROL[[#This Row],[VEHIDCODE]],GRAPHICS_PROPERTIES[VEHIDCODE],0))</f>
        <v>1</v>
      </c>
      <c r="N614" s="31" t="str">
        <f>"item_"&amp;CONTROL[[#This Row],[VEHIDCODE]]</f>
        <v>item_electric_Brasil_MRS_He_4_4</v>
      </c>
      <c r="O614" s="31" t="str">
        <f>"str_"&amp;CONTROL[[#This Row],[VEHIDCODE]]</f>
        <v>str_electric_Brasil_MRS_He_4_4</v>
      </c>
    </row>
    <row r="615" spans="1:15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ISNUMBER(_xlfn.XMATCH(CONTROL[[#This Row],[VEHIDCODE]],GRAPHICS_PROPERTIES[VEHIDCODE],0))</f>
        <v>1</v>
      </c>
      <c r="N615" s="31" t="str">
        <f>"item_"&amp;CONTROL[[#This Row],[VEHIDCODE]]</f>
        <v>item_electric_South_Africa_SAR_7E</v>
      </c>
      <c r="O615" s="31" t="str">
        <f>"str_"&amp;CONTROL[[#This Row],[VEHIDCODE]]</f>
        <v>str_electric_South_Africa_SAR_7E</v>
      </c>
    </row>
    <row r="616" spans="1:15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ISNUMBER(_xlfn.XMATCH(CONTROL[[#This Row],[VEHIDCODE]],GRAPHICS_PROPERTIES[VEHIDCODE],0))</f>
        <v>1</v>
      </c>
      <c r="N616" s="31" t="str">
        <f>"item_"&amp;CONTROL[[#This Row],[VEHIDCODE]]</f>
        <v>item_electric_South_Africa_SAR_11E</v>
      </c>
      <c r="O616" s="31" t="str">
        <f>"str_"&amp;CONTROL[[#This Row],[VEHIDCODE]]</f>
        <v>str_electric_South_Africa_SAR_11E</v>
      </c>
    </row>
    <row r="617" spans="1:15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2964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ISNUMBER(_xlfn.XMATCH(CONTROL[[#This Row],[VEHIDCODE]],GRAPHICS_PROPERTIES[VEHIDCODE],0))</f>
        <v>1</v>
      </c>
      <c r="N617" s="31" t="str">
        <f>"item_"&amp;CONTROL[[#This Row],[VEHIDCODE]]</f>
        <v>item_electric_New_Zealand_TranzRail_EF</v>
      </c>
      <c r="O617" s="31" t="str">
        <f>"str_"&amp;CONTROL[[#This Row],[VEHIDCODE]]</f>
        <v>str_electric_New_Zealand_TranzRail_EF</v>
      </c>
    </row>
    <row r="618" spans="1:15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2906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ISNUMBER(_xlfn.XMATCH(CONTROL[[#This Row],[VEHIDCODE]],GRAPHICS_PROPERTIES[VEHIDCODE],0))</f>
        <v>1</v>
      </c>
      <c r="N618" s="31" t="str">
        <f>"item_"&amp;CONTROL[[#This Row],[VEHIDCODE]]</f>
        <v>item_emu_Japan_Odakyu_3100_Series_Romance</v>
      </c>
      <c r="O618" s="31" t="str">
        <f>"str_"&amp;CONTROL[[#This Row],[VEHIDCODE]]</f>
        <v>str_emu_Japan_Odakyu_3100_Series_Romance</v>
      </c>
    </row>
    <row r="619" spans="1:15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2907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ISNUMBER(_xlfn.XMATCH(CONTROL[[#This Row],[VEHIDCODE]],GRAPHICS_PROPERTIES[VEHIDCODE],0))</f>
        <v>1</v>
      </c>
      <c r="N619" s="31" t="str">
        <f>"item_"&amp;CONTROL[[#This Row],[VEHIDCODE]]</f>
        <v>item_emu_Japan_Odakyu_10000_Series_Romance</v>
      </c>
      <c r="O619" s="31" t="str">
        <f>"str_"&amp;CONTROL[[#This Row],[VEHIDCODE]]</f>
        <v>str_emu_Japan_Odakyu_10000_Series_Romance</v>
      </c>
    </row>
    <row r="620" spans="1:15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2908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ISNUMBER(_xlfn.XMATCH(CONTROL[[#This Row],[VEHIDCODE]],GRAPHICS_PROPERTIES[VEHIDCODE],0))</f>
        <v>1</v>
      </c>
      <c r="N620" s="31" t="str">
        <f>"item_"&amp;CONTROL[[#This Row],[VEHIDCODE]]</f>
        <v>item_emu_Australia_Sydney_Trains_S_Set</v>
      </c>
      <c r="O620" s="31" t="str">
        <f>"str_"&amp;CONTROL[[#This Row],[VEHIDCODE]]</f>
        <v>str_emu_Australia_Sydney_Trains_S_Set</v>
      </c>
    </row>
    <row r="621" spans="1:15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2909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ISNUMBER(_xlfn.XMATCH(CONTROL[[#This Row],[VEHIDCODE]],GRAPHICS_PROPERTIES[VEHIDCODE],0))</f>
        <v>1</v>
      </c>
      <c r="N621" s="31" t="str">
        <f>"item_"&amp;CONTROL[[#This Row],[VEHIDCODE]]</f>
        <v>item_emu_Australia_Sydney_Trains_OSCars</v>
      </c>
      <c r="O621" s="31" t="str">
        <f>"str_"&amp;CONTROL[[#This Row],[VEHIDCODE]]</f>
        <v>str_emu_Australia_Sydney_Trains_OSCars</v>
      </c>
    </row>
    <row r="622" spans="1:15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ISNUMBER(_xlfn.XMATCH(CONTROL[[#This Row],[VEHIDCODE]],GRAPHICS_PROPERTIES[VEHIDCODE],0))</f>
        <v>1</v>
      </c>
      <c r="N622" s="31" t="str">
        <f>"item_"&amp;CONTROL[[#This Row],[VEHIDCODE]]</f>
        <v>item_emu_Australia_Victorian_Railways_Swing_Door</v>
      </c>
      <c r="O622" s="31" t="str">
        <f>"str_"&amp;CONTROL[[#This Row],[VEHIDCODE]]</f>
        <v>str_emu_Australia_Victorian_Railways_Swing_Door</v>
      </c>
    </row>
    <row r="623" spans="1:15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ISNUMBER(_xlfn.XMATCH(CONTROL[[#This Row],[VEHIDCODE]],GRAPHICS_PROPERTIES[VEHIDCODE],0))</f>
        <v>1</v>
      </c>
      <c r="N623" s="31" t="str">
        <f>"item_"&amp;CONTROL[[#This Row],[VEHIDCODE]]</f>
        <v>item_emu_New_Zealand_NZR_EM_ET_Class</v>
      </c>
      <c r="O623" s="31" t="str">
        <f>"str_"&amp;CONTROL[[#This Row],[VEHIDCODE]]</f>
        <v>str_emu_New_Zealand_NZR_EM_ET_Class</v>
      </c>
    </row>
    <row r="624" spans="1:15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ISNUMBER(_xlfn.XMATCH(CONTROL[[#This Row],[VEHIDCODE]],GRAPHICS_PROPERTIES[VEHIDCODE],0))</f>
        <v>1</v>
      </c>
      <c r="N624" s="31" t="str">
        <f>"item_"&amp;CONTROL[[#This Row],[VEHIDCODE]]</f>
        <v>item_emu_South_Africa_SAR_5M2</v>
      </c>
      <c r="O624" s="31" t="str">
        <f>"str_"&amp;CONTROL[[#This Row],[VEHIDCODE]]</f>
        <v>str_emu_South_Africa_SAR_5M2</v>
      </c>
    </row>
    <row r="625" spans="1:15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ISNUMBER(_xlfn.XMATCH(CONTROL[[#This Row],[VEHIDCODE]],GRAPHICS_PROPERTIES[VEHIDCODE],0))</f>
        <v>1</v>
      </c>
      <c r="N625" s="31" t="str">
        <f>"item_"&amp;CONTROL[[#This Row],[VEHIDCODE]]</f>
        <v>item_emu_Chile_EFE_XTrapolis_100</v>
      </c>
      <c r="O625" s="31" t="str">
        <f>"str_"&amp;CONTROL[[#This Row],[VEHIDCODE]]</f>
        <v>str_emu_Chile_EFE_XTrapolis_100</v>
      </c>
    </row>
    <row r="626" spans="1:15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2914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ISNUMBER(_xlfn.XMATCH(CONTROL[[#This Row],[VEHIDCODE]],GRAPHICS_PROPERTIES[VEHIDCODE],0))</f>
        <v>1</v>
      </c>
      <c r="N626" s="31" t="str">
        <f>"item_"&amp;CONTROL[[#This Row],[VEHIDCODE]]</f>
        <v>item_emu_Chile_EFE_AES_Railcar</v>
      </c>
      <c r="O626" s="31" t="str">
        <f>"str_"&amp;CONTROL[[#This Row],[VEHIDCODE]]</f>
        <v>str_emu_Chile_EFE_AES_Railcar</v>
      </c>
    </row>
    <row r="627" spans="1:15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ISNUMBER(_xlfn.XMATCH(CONTROL[[#This Row],[VEHIDCODE]],GRAPHICS_PROPERTIES[VEHIDCODE],0))</f>
        <v>1</v>
      </c>
      <c r="N627" s="31" t="str">
        <f>"item_"&amp;CONTROL[[#This Row],[VEHIDCODE]]</f>
        <v>item_emu_Tunisia_SNCFT_YZ_E</v>
      </c>
      <c r="O627" s="31" t="str">
        <f>"str_"&amp;CONTROL[[#This Row],[VEHIDCODE]]</f>
        <v>str_emu_Tunisia_SNCFT_YZ_E</v>
      </c>
    </row>
    <row r="628" spans="1:15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2915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ISNUMBER(_xlfn.XMATCH(CONTROL[[#This Row],[VEHIDCODE]],GRAPHICS_PROPERTIES[VEHIDCODE],0))</f>
        <v>1</v>
      </c>
      <c r="N628" s="31" t="str">
        <f>"item_"&amp;CONTROL[[#This Row],[VEHIDCODE]]</f>
        <v>item_emu_Australia_Queensland_Rail_Tilt_Train</v>
      </c>
      <c r="O628" s="31" t="str">
        <f>"str_"&amp;CONTROL[[#This Row],[VEHIDCODE]]</f>
        <v>str_emu_Australia_Queensland_Rail_Tilt_Train</v>
      </c>
    </row>
    <row r="629" spans="1:15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ISNUMBER(_xlfn.XMATCH(CONTROL[[#This Row],[VEHIDCODE]],GRAPHICS_PROPERTIES[VEHIDCODE],0))</f>
        <v>1</v>
      </c>
      <c r="N629" s="31" t="str">
        <f>"item_"&amp;CONTROL[[#This Row],[VEHIDCODE]]</f>
        <v>item_electric_Russia_RZD_VL15</v>
      </c>
      <c r="O629" s="31" t="str">
        <f>"str_"&amp;CONTROL[[#This Row],[VEHIDCODE]]</f>
        <v>str_electric_Russia_RZD_VL15</v>
      </c>
    </row>
    <row r="630" spans="1:15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ISNUMBER(_xlfn.XMATCH(CONTROL[[#This Row],[VEHIDCODE]],GRAPHICS_PROPERTIES[VEHIDCODE],0))</f>
        <v>1</v>
      </c>
      <c r="N630" s="31" t="str">
        <f>"item_"&amp;CONTROL[[#This Row],[VEHIDCODE]]</f>
        <v>item_electric_Russia_RZD_VL11</v>
      </c>
      <c r="O630" s="31" t="str">
        <f>"str_"&amp;CONTROL[[#This Row],[VEHIDCODE]]</f>
        <v>str_electric_Russia_RZD_VL11</v>
      </c>
    </row>
    <row r="631" spans="1:15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ISNUMBER(_xlfn.XMATCH(CONTROL[[#This Row],[VEHIDCODE]],GRAPHICS_PROPERTIES[VEHIDCODE],0))</f>
        <v>1</v>
      </c>
      <c r="N631" s="31" t="str">
        <f>"item_"&amp;CONTROL[[#This Row],[VEHIDCODE]]</f>
        <v>item_electric_Russia_RZD_VL22M</v>
      </c>
      <c r="O631" s="31" t="str">
        <f>"str_"&amp;CONTROL[[#This Row],[VEHIDCODE]]</f>
        <v>str_electric_Russia_RZD_VL22M</v>
      </c>
    </row>
    <row r="632" spans="1:15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2924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ISNUMBER(_xlfn.XMATCH(CONTROL[[#This Row],[VEHIDCODE]],GRAPHICS_PROPERTIES[VEHIDCODE],0))</f>
        <v>1</v>
      </c>
      <c r="N632" s="31" t="str">
        <f>"item_"&amp;CONTROL[[#This Row],[VEHIDCODE]]</f>
        <v>item_electric_Ukraine_UZ_DE1</v>
      </c>
      <c r="O632" s="31" t="str">
        <f>"str_"&amp;CONTROL[[#This Row],[VEHIDCODE]]</f>
        <v>str_electric_Ukraine_UZ_DE1</v>
      </c>
    </row>
    <row r="633" spans="1:15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2925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ISNUMBER(_xlfn.XMATCH(CONTROL[[#This Row],[VEHIDCODE]],GRAPHICS_PROPERTIES[VEHIDCODE],0))</f>
        <v>1</v>
      </c>
      <c r="N633" s="31" t="str">
        <f>"item_"&amp;CONTROL[[#This Row],[VEHIDCODE]]</f>
        <v>item_electric_Russia_RZD_ChS3</v>
      </c>
      <c r="O633" s="31" t="str">
        <f>"str_"&amp;CONTROL[[#This Row],[VEHIDCODE]]</f>
        <v>str_electric_Russia_RZD_ChS3</v>
      </c>
    </row>
    <row r="634" spans="1:15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2926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ISNUMBER(_xlfn.XMATCH(CONTROL[[#This Row],[VEHIDCODE]],GRAPHICS_PROPERTIES[VEHIDCODE],0))</f>
        <v>1</v>
      </c>
      <c r="N634" s="31" t="str">
        <f>"item_"&amp;CONTROL[[#This Row],[VEHIDCODE]]</f>
        <v>item_electric_Ukraine_UZ_ChS7</v>
      </c>
      <c r="O634" s="31" t="str">
        <f>"str_"&amp;CONTROL[[#This Row],[VEHIDCODE]]</f>
        <v>str_electric_Ukraine_UZ_ChS7</v>
      </c>
    </row>
    <row r="635" spans="1:15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2927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ISNUMBER(_xlfn.XMATCH(CONTROL[[#This Row],[VEHIDCODE]],GRAPHICS_PROPERTIES[VEHIDCODE],0))</f>
        <v>1</v>
      </c>
      <c r="N635" s="31" t="str">
        <f>"item_"&amp;CONTROL[[#This Row],[VEHIDCODE]]</f>
        <v>item_electric_Brasil_RFFSA_GE_C_C_4400</v>
      </c>
      <c r="O635" s="31" t="str">
        <f>"str_"&amp;CONTROL[[#This Row],[VEHIDCODE]]</f>
        <v>str_electric_Brasil_RFFSA_GE_C_C_4400</v>
      </c>
    </row>
    <row r="636" spans="1:15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2928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ISNUMBER(_xlfn.XMATCH(CONTROL[[#This Row],[VEHIDCODE]],GRAPHICS_PROPERTIES[VEHIDCODE],0))</f>
        <v>1</v>
      </c>
      <c r="N636" s="31" t="str">
        <f>"item_"&amp;CONTROL[[#This Row],[VEHIDCODE]]</f>
        <v>item_electric_Russia_RZD_VL85</v>
      </c>
      <c r="O636" s="31" t="str">
        <f>"str_"&amp;CONTROL[[#This Row],[VEHIDCODE]]</f>
        <v>str_electric_Russia_RZD_VL85</v>
      </c>
    </row>
    <row r="637" spans="1:15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2929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ISNUMBER(_xlfn.XMATCH(CONTROL[[#This Row],[VEHIDCODE]],GRAPHICS_PROPERTIES[VEHIDCODE],0))</f>
        <v>1</v>
      </c>
      <c r="N637" s="31" t="str">
        <f>"item_"&amp;CONTROL[[#This Row],[VEHIDCODE]]</f>
        <v>item_electric_Russia_RZD_VL41</v>
      </c>
      <c r="O637" s="31" t="str">
        <f>"str_"&amp;CONTROL[[#This Row],[VEHIDCODE]]</f>
        <v>str_electric_Russia_RZD_VL41</v>
      </c>
    </row>
    <row r="638" spans="1:15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ISNUMBER(_xlfn.XMATCH(CONTROL[[#This Row],[VEHIDCODE]],GRAPHICS_PROPERTIES[VEHIDCODE],0))</f>
        <v>1</v>
      </c>
      <c r="N638" s="31" t="str">
        <f>"item_"&amp;CONTROL[[#This Row],[VEHIDCODE]]</f>
        <v>item_electric_India_Indian_Railways_WAP_4</v>
      </c>
      <c r="O638" s="31" t="str">
        <f>"str_"&amp;CONTROL[[#This Row],[VEHIDCODE]]</f>
        <v>str_electric_India_Indian_Railways_WAP_4</v>
      </c>
    </row>
    <row r="639" spans="1:15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ISNUMBER(_xlfn.XMATCH(CONTROL[[#This Row],[VEHIDCODE]],GRAPHICS_PROPERTIES[VEHIDCODE],0))</f>
        <v>1</v>
      </c>
      <c r="N639" s="31" t="str">
        <f>"item_"&amp;CONTROL[[#This Row],[VEHIDCODE]]</f>
        <v>item_electric_Finland_VR_Sr1</v>
      </c>
      <c r="O639" s="31" t="str">
        <f>"str_"&amp;CONTROL[[#This Row],[VEHIDCODE]]</f>
        <v>str_electric_Finland_VR_Sr1</v>
      </c>
    </row>
    <row r="640" spans="1:15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ISNUMBER(_xlfn.XMATCH(CONTROL[[#This Row],[VEHIDCODE]],GRAPHICS_PROPERTIES[VEHIDCODE],0))</f>
        <v>1</v>
      </c>
      <c r="N640" s="31" t="str">
        <f>"item_"&amp;CONTROL[[#This Row],[VEHIDCODE]]</f>
        <v>item_electric_Kazakhstan_KTZ_KZ4A</v>
      </c>
      <c r="O640" s="31" t="str">
        <f>"str_"&amp;CONTROL[[#This Row],[VEHIDCODE]]</f>
        <v>str_electric_Kazakhstan_KTZ_KZ4A</v>
      </c>
    </row>
    <row r="641" spans="1:15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ISNUMBER(_xlfn.XMATCH(CONTROL[[#This Row],[VEHIDCODE]],GRAPHICS_PROPERTIES[VEHIDCODE],0))</f>
        <v>1</v>
      </c>
      <c r="N641" s="31" t="str">
        <f>"item_"&amp;CONTROL[[#This Row],[VEHIDCODE]]</f>
        <v>item_electric_Kazakhstan_KTZ_KZ8A</v>
      </c>
      <c r="O641" s="31" t="str">
        <f>"str_"&amp;CONTROL[[#This Row],[VEHIDCODE]]</f>
        <v>str_electric_Kazakhstan_KTZ_KZ8A</v>
      </c>
    </row>
    <row r="642" spans="1:15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2934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ISNUMBER(_xlfn.XMATCH(CONTROL[[#This Row],[VEHIDCODE]],GRAPHICS_PROPERTIES[VEHIDCODE],0))</f>
        <v>1</v>
      </c>
      <c r="N642" s="31" t="str">
        <f>"item_"&amp;CONTROL[[#This Row],[VEHIDCODE]]</f>
        <v>item_electric_Russia_RZD_EP20</v>
      </c>
      <c r="O642" s="31" t="str">
        <f>"str_"&amp;CONTROL[[#This Row],[VEHIDCODE]]</f>
        <v>str_electric_Russia_RZD_EP20</v>
      </c>
    </row>
    <row r="643" spans="1:15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2935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ISNUMBER(_xlfn.XMATCH(CONTROL[[#This Row],[VEHIDCODE]],GRAPHICS_PROPERTIES[VEHIDCODE],0))</f>
        <v>1</v>
      </c>
      <c r="N643" s="31" t="str">
        <f>"item_"&amp;CONTROL[[#This Row],[VEHIDCODE]]</f>
        <v>item_rbd_Finland_VR_Dm7</v>
      </c>
      <c r="O643" s="31" t="str">
        <f>"str_"&amp;CONTROL[[#This Row],[VEHIDCODE]]</f>
        <v>str_rbd_Finland_VR_Dm7</v>
      </c>
    </row>
    <row r="644" spans="1:15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2936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ISNUMBER(_xlfn.XMATCH(CONTROL[[#This Row],[VEHIDCODE]],GRAPHICS_PROPERTIES[VEHIDCODE],0))</f>
        <v>1</v>
      </c>
      <c r="N644" s="31" t="str">
        <f>"item_"&amp;CONTROL[[#This Row],[VEHIDCODE]]</f>
        <v>item_rbd_Russia_RZD_ACh2</v>
      </c>
      <c r="O644" s="31" t="str">
        <f>"str_"&amp;CONTROL[[#This Row],[VEHIDCODE]]</f>
        <v>str_rbd_Russia_RZD_ACh2</v>
      </c>
    </row>
    <row r="645" spans="1:15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2916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ISNUMBER(_xlfn.XMATCH(CONTROL[[#This Row],[VEHIDCODE]],GRAPHICS_PROPERTIES[VEHIDCODE],0))</f>
        <v>1</v>
      </c>
      <c r="N645" s="31" t="str">
        <f>"item_"&amp;CONTROL[[#This Row],[VEHIDCODE]]</f>
        <v>item_emu_Russia_RZD_ER200</v>
      </c>
      <c r="O645" s="31" t="str">
        <f>"str_"&amp;CONTROL[[#This Row],[VEHIDCODE]]</f>
        <v>str_emu_Russia_RZD_ER200</v>
      </c>
    </row>
    <row r="646" spans="1:15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2917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ISNUMBER(_xlfn.XMATCH(CONTROL[[#This Row],[VEHIDCODE]],GRAPHICS_PROPERTIES[VEHIDCODE],0))</f>
        <v>1</v>
      </c>
      <c r="N646" s="31" t="str">
        <f>"item_"&amp;CONTROL[[#This Row],[VEHIDCODE]]</f>
        <v>item_emu_Russia_RZD_S</v>
      </c>
      <c r="O646" s="31" t="str">
        <f>"str_"&amp;CONTROL[[#This Row],[VEHIDCODE]]</f>
        <v>str_emu_Russia_RZD_S</v>
      </c>
    </row>
    <row r="647" spans="1:15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2918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ISNUMBER(_xlfn.XMATCH(CONTROL[[#This Row],[VEHIDCODE]],GRAPHICS_PROPERTIES[VEHIDCODE],0))</f>
        <v>1</v>
      </c>
      <c r="N647" s="31" t="str">
        <f>"item_"&amp;CONTROL[[#This Row],[VEHIDCODE]]</f>
        <v>item_emu_Croatia_HZ_6112</v>
      </c>
      <c r="O647" s="31" t="str">
        <f>"str_"&amp;CONTROL[[#This Row],[VEHIDCODE]]</f>
        <v>str_emu_Croatia_HZ_6112</v>
      </c>
    </row>
    <row r="648" spans="1:15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2919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ISNUMBER(_xlfn.XMATCH(CONTROL[[#This Row],[VEHIDCODE]],GRAPHICS_PROPERTIES[VEHIDCODE],0))</f>
        <v>1</v>
      </c>
      <c r="N648" s="31" t="str">
        <f>"item_"&amp;CONTROL[[#This Row],[VEHIDCODE]]</f>
        <v>item_emu_Russia_RZD_ES1_Lastochka</v>
      </c>
      <c r="O648" s="31" t="str">
        <f>"str_"&amp;CONTROL[[#This Row],[VEHIDCODE]]</f>
        <v>str_emu_Russia_RZD_ES1_Lastochka</v>
      </c>
    </row>
    <row r="649" spans="1:15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ISNUMBER(_xlfn.XMATCH(CONTROL[[#This Row],[VEHIDCODE]],GRAPHICS_PROPERTIES[VEHIDCODE],0))</f>
        <v>1</v>
      </c>
      <c r="N649" s="31" t="str">
        <f>"item_"&amp;CONTROL[[#This Row],[VEHIDCODE]]</f>
        <v>item_mtro_Metro_Wagon_Powered</v>
      </c>
      <c r="O649" s="31" t="str">
        <f>"str_"&amp;CONTROL[[#This Row],[VEHIDCODE]]</f>
        <v>str_mtro_Metro_Wagon_Powered</v>
      </c>
    </row>
    <row r="650" spans="1:15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ISNUMBER(_xlfn.XMATCH(CONTROL[[#This Row],[VEHIDCODE]],GRAPHICS_PROPERTIES[VEHIDCODE],0))</f>
        <v>1</v>
      </c>
      <c r="N650" s="31" t="str">
        <f>"item_"&amp;CONTROL[[#This Row],[VEHIDCODE]]</f>
        <v>item_mtro_Metro_Wagon_Unpowered</v>
      </c>
      <c r="O650" s="31" t="str">
        <f>"str_"&amp;CONTROL[[#This Row],[VEHIDCODE]]</f>
        <v>str_mtro_Metro_Wagon_Unpowered</v>
      </c>
    </row>
    <row r="651" spans="1:15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ISNUMBER(_xlfn.XMATCH(CONTROL[[#This Row],[VEHIDCODE]],GRAPHICS_PROPERTIES[VEHIDCODE],0))</f>
        <v>1</v>
      </c>
      <c r="N651" s="31" t="str">
        <f>"item_"&amp;CONTROL[[#This Row],[VEHIDCODE]]</f>
        <v>item_mu_MU_Cargo_Wagon_Powered</v>
      </c>
      <c r="O651" s="31" t="str">
        <f>"str_"&amp;CONTROL[[#This Row],[VEHIDCODE]]</f>
        <v>str_mu_MU_Cargo_Wagon_Powered</v>
      </c>
    </row>
    <row r="652" spans="1:15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ISNUMBER(_xlfn.XMATCH(CONTROL[[#This Row],[VEHIDCODE]],GRAPHICS_PROPERTIES[VEHIDCODE],0))</f>
        <v>1</v>
      </c>
      <c r="N652" s="31" t="str">
        <f>"item_"&amp;CONTROL[[#This Row],[VEHIDCODE]]</f>
        <v>item_mu_MU_Cargo_Wagon_Unpowered</v>
      </c>
      <c r="O652" s="31" t="str">
        <f>"str_"&amp;CONTROL[[#This Row],[VEHIDCODE]]</f>
        <v>str_mu_MU_Cargo_Wagon_Unpowered</v>
      </c>
    </row>
    <row r="653" spans="1:15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ISNUMBER(_xlfn.XMATCH(CONTROL[[#This Row],[VEHIDCODE]],GRAPHICS_PROPERTIES[VEHIDCODE],0))</f>
        <v>1</v>
      </c>
      <c r="N653" s="31" t="str">
        <f>"item_"&amp;CONTROL[[#This Row],[VEHIDCODE]]</f>
        <v>item_mu_MU_Wagon_Powered</v>
      </c>
      <c r="O653" s="31" t="str">
        <f>"str_"&amp;CONTROL[[#This Row],[VEHIDCODE]]</f>
        <v>str_mu_MU_Wagon_Powered</v>
      </c>
    </row>
    <row r="654" spans="1:15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ISNUMBER(_xlfn.XMATCH(CONTROL[[#This Row],[VEHIDCODE]],GRAPHICS_PROPERTIES[VEHIDCODE],0))</f>
        <v>1</v>
      </c>
      <c r="N654" s="31" t="str">
        <f>"item_"&amp;CONTROL[[#This Row],[VEHIDCODE]]</f>
        <v>item_mu_MU_Wagon_Unpowered</v>
      </c>
      <c r="O654" s="31" t="str">
        <f>"str_"&amp;CONTROL[[#This Row],[VEHIDCODE]]</f>
        <v>str_mu_MU_Wagon_Unpowered</v>
      </c>
    </row>
    <row r="655" spans="1:15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ISNUMBER(_xlfn.XMATCH(CONTROL[[#This Row],[VEHIDCODE]],GRAPHICS_PROPERTIES[VEHIDCODE],0))</f>
        <v>1</v>
      </c>
      <c r="N655" s="31" t="str">
        <f>"item_"&amp;CONTROL[[#This Row],[VEHIDCODE]]</f>
        <v>item_mu_Wagon_Gen1_Flat_Wagon</v>
      </c>
      <c r="O655" s="31" t="str">
        <f>"str_"&amp;CONTROL[[#This Row],[VEHIDCODE]]</f>
        <v>str_mu_Wagon_Gen1_Flat_Wagon</v>
      </c>
    </row>
    <row r="656" spans="1:15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ISNUMBER(_xlfn.XMATCH(CONTROL[[#This Row],[VEHIDCODE]],GRAPHICS_PROPERTIES[VEHIDCODE],0))</f>
        <v>1</v>
      </c>
      <c r="N656" s="31" t="str">
        <f>"item_"&amp;CONTROL[[#This Row],[VEHIDCODE]]</f>
        <v>item_mu_Wagon_Gen1_Boxcar</v>
      </c>
      <c r="O656" s="31" t="str">
        <f>"str_"&amp;CONTROL[[#This Row],[VEHIDCODE]]</f>
        <v>str_mu_Wagon_Gen1_Boxcar</v>
      </c>
    </row>
    <row r="657" spans="1:15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ISNUMBER(_xlfn.XMATCH(CONTROL[[#This Row],[VEHIDCODE]],GRAPHICS_PROPERTIES[VEHIDCODE],0))</f>
        <v>1</v>
      </c>
      <c r="N657" s="31" t="str">
        <f>"item_"&amp;CONTROL[[#This Row],[VEHIDCODE]]</f>
        <v>item_mu_Wagon_Gen1_Tanker</v>
      </c>
      <c r="O657" s="31" t="str">
        <f>"str_"&amp;CONTROL[[#This Row],[VEHIDCODE]]</f>
        <v>str_mu_Wagon_Gen1_Tanker</v>
      </c>
    </row>
    <row r="658" spans="1:15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ISNUMBER(_xlfn.XMATCH(CONTROL[[#This Row],[VEHIDCODE]],GRAPHICS_PROPERTIES[VEHIDCODE],0))</f>
        <v>1</v>
      </c>
      <c r="N658" s="31" t="str">
        <f>"item_"&amp;CONTROL[[#This Row],[VEHIDCODE]]</f>
        <v>item_mu_Wagon_Gen1_Open_Wagon</v>
      </c>
      <c r="O658" s="31" t="str">
        <f>"str_"&amp;CONTROL[[#This Row],[VEHIDCODE]]</f>
        <v>str_mu_Wagon_Gen1_Open_Wagon</v>
      </c>
    </row>
    <row r="659" spans="1:15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ISNUMBER(_xlfn.XMATCH(CONTROL[[#This Row],[VEHIDCODE]],GRAPHICS_PROPERTIES[VEHIDCODE],0))</f>
        <v>1</v>
      </c>
      <c r="N659" s="31" t="str">
        <f>"item_"&amp;CONTROL[[#This Row],[VEHIDCODE]]</f>
        <v>item_mu_Wagon_Gen2_Flat_Wagon</v>
      </c>
      <c r="O659" s="31" t="str">
        <f>"str_"&amp;CONTROL[[#This Row],[VEHIDCODE]]</f>
        <v>str_mu_Wagon_Gen2_Flat_Wagon</v>
      </c>
    </row>
    <row r="660" spans="1:15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3051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ISNUMBER(_xlfn.XMATCH(CONTROL[[#This Row],[VEHIDCODE]],GRAPHICS_PROPERTIES[VEHIDCODE],0))</f>
        <v>1</v>
      </c>
      <c r="N660" s="31" t="str">
        <f>"item_"&amp;CONTROL[[#This Row],[VEHIDCODE]]</f>
        <v>item_mu_Wagon_Gen2_Boxcar_Type1</v>
      </c>
      <c r="O660" s="31" t="str">
        <f>"str_"&amp;CONTROL[[#This Row],[VEHIDCODE]]</f>
        <v>str_mu_Wagon_Gen2_Boxcar_Type1</v>
      </c>
    </row>
    <row r="661" spans="1:15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3066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ISNUMBER(_xlfn.XMATCH(CONTROL[[#This Row],[VEHIDCODE]],GRAPHICS_PROPERTIES[VEHIDCODE],0))</f>
        <v>1</v>
      </c>
      <c r="N661" s="31" t="str">
        <f>"item_"&amp;CONTROL[[#This Row],[VEHIDCODE]]</f>
        <v>item_mu_Wagon_Gen2_Boxcar_Type2</v>
      </c>
      <c r="O661" s="31" t="str">
        <f>"str_"&amp;CONTROL[[#This Row],[VEHIDCODE]]</f>
        <v>str_mu_Wagon_Gen2_Boxcar_Type2</v>
      </c>
    </row>
    <row r="662" spans="1:15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ISNUMBER(_xlfn.XMATCH(CONTROL[[#This Row],[VEHIDCODE]],GRAPHICS_PROPERTIES[VEHIDCODE],0))</f>
        <v>1</v>
      </c>
      <c r="N662" s="31" t="str">
        <f>"item_"&amp;CONTROL[[#This Row],[VEHIDCODE]]</f>
        <v>item_mu_Wagon_Gen2_Tanker</v>
      </c>
      <c r="O662" s="31" t="str">
        <f>"str_"&amp;CONTROL[[#This Row],[VEHIDCODE]]</f>
        <v>str_mu_Wagon_Gen2_Tanker</v>
      </c>
    </row>
    <row r="663" spans="1:15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ISNUMBER(_xlfn.XMATCH(CONTROL[[#This Row],[VEHIDCODE]],GRAPHICS_PROPERTIES[VEHIDCODE],0))</f>
        <v>1</v>
      </c>
      <c r="N663" s="31" t="str">
        <f>"item_"&amp;CONTROL[[#This Row],[VEHIDCODE]]</f>
        <v>item_mu_Wagon_Gen2_Open_Wagon</v>
      </c>
      <c r="O663" s="31" t="str">
        <f>"str_"&amp;CONTROL[[#This Row],[VEHIDCODE]]</f>
        <v>str_mu_Wagon_Gen2_Open_Wagon</v>
      </c>
    </row>
    <row r="664" spans="1:15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ISNUMBER(_xlfn.XMATCH(CONTROL[[#This Row],[VEHIDCODE]],GRAPHICS_PROPERTIES[VEHIDCODE],0))</f>
        <v>1</v>
      </c>
      <c r="N664" s="31" t="str">
        <f>"item_"&amp;CONTROL[[#This Row],[VEHIDCODE]]</f>
        <v>item_mu_Wagon_Gen2_Silo</v>
      </c>
      <c r="O664" s="31" t="str">
        <f>"str_"&amp;CONTROL[[#This Row],[VEHIDCODE]]</f>
        <v>str_mu_Wagon_Gen2_Silo</v>
      </c>
    </row>
    <row r="665" spans="1:15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ISNUMBER(_xlfn.XMATCH(CONTROL[[#This Row],[VEHIDCODE]],GRAPHICS_PROPERTIES[VEHIDCODE],0))</f>
        <v>1</v>
      </c>
      <c r="N665" s="31" t="str">
        <f>"item_"&amp;CONTROL[[#This Row],[VEHIDCODE]]</f>
        <v>item_mu_Wagon_Gen2_Hopper</v>
      </c>
      <c r="O665" s="31" t="str">
        <f>"str_"&amp;CONTROL[[#This Row],[VEHIDCODE]]</f>
        <v>str_mu_Wagon_Gen2_Hopper</v>
      </c>
    </row>
    <row r="666" spans="1:15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ISNUMBER(_xlfn.XMATCH(CONTROL[[#This Row],[VEHIDCODE]],GRAPHICS_PROPERTIES[VEHIDCODE],0))</f>
        <v>1</v>
      </c>
      <c r="N666" s="31" t="str">
        <f>"item_"&amp;CONTROL[[#This Row],[VEHIDCODE]]</f>
        <v>item_mu_Wagon_Gen3_Flat_Wagon</v>
      </c>
      <c r="O666" s="31" t="str">
        <f>"str_"&amp;CONTROL[[#This Row],[VEHIDCODE]]</f>
        <v>str_mu_Wagon_Gen3_Flat_Wagon</v>
      </c>
    </row>
    <row r="667" spans="1:15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3052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ISNUMBER(_xlfn.XMATCH(CONTROL[[#This Row],[VEHIDCODE]],GRAPHICS_PROPERTIES[VEHIDCODE],0))</f>
        <v>1</v>
      </c>
      <c r="N667" s="31" t="str">
        <f>"item_"&amp;CONTROL[[#This Row],[VEHIDCODE]]</f>
        <v>item_mu_Wagon_Gen3_Boxcar_Type1</v>
      </c>
      <c r="O667" s="31" t="str">
        <f>"str_"&amp;CONTROL[[#This Row],[VEHIDCODE]]</f>
        <v>str_mu_Wagon_Gen3_Boxcar_Type1</v>
      </c>
    </row>
    <row r="668" spans="1:15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3067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ISNUMBER(_xlfn.XMATCH(CONTROL[[#This Row],[VEHIDCODE]],GRAPHICS_PROPERTIES[VEHIDCODE],0))</f>
        <v>1</v>
      </c>
      <c r="N668" s="31" t="str">
        <f>"item_"&amp;CONTROL[[#This Row],[VEHIDCODE]]</f>
        <v>item_mu_Wagon_Gen3_Boxcar_Type2</v>
      </c>
      <c r="O668" s="31" t="str">
        <f>"str_"&amp;CONTROL[[#This Row],[VEHIDCODE]]</f>
        <v>str_mu_Wagon_Gen3_Boxcar_Type2</v>
      </c>
    </row>
    <row r="669" spans="1:15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ISNUMBER(_xlfn.XMATCH(CONTROL[[#This Row],[VEHIDCODE]],GRAPHICS_PROPERTIES[VEHIDCODE],0))</f>
        <v>1</v>
      </c>
      <c r="N669" s="31" t="str">
        <f>"item_"&amp;CONTROL[[#This Row],[VEHIDCODE]]</f>
        <v>item_mu_Wagon_Gen3_Tanker</v>
      </c>
      <c r="O669" s="31" t="str">
        <f>"str_"&amp;CONTROL[[#This Row],[VEHIDCODE]]</f>
        <v>str_mu_Wagon_Gen3_Tanker</v>
      </c>
    </row>
    <row r="670" spans="1:15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ISNUMBER(_xlfn.XMATCH(CONTROL[[#This Row],[VEHIDCODE]],GRAPHICS_PROPERTIES[VEHIDCODE],0))</f>
        <v>1</v>
      </c>
      <c r="N670" s="31" t="str">
        <f>"item_"&amp;CONTROL[[#This Row],[VEHIDCODE]]</f>
        <v>item_mu_Wagon_Gen3_Open_Wagon</v>
      </c>
      <c r="O670" s="31" t="str">
        <f>"str_"&amp;CONTROL[[#This Row],[VEHIDCODE]]</f>
        <v>str_mu_Wagon_Gen3_Open_Wagon</v>
      </c>
    </row>
    <row r="671" spans="1:15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3053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ISNUMBER(_xlfn.XMATCH(CONTROL[[#This Row],[VEHIDCODE]],GRAPHICS_PROPERTIES[VEHIDCODE],0))</f>
        <v>1</v>
      </c>
      <c r="N671" s="31" t="str">
        <f>"item_"&amp;CONTROL[[#This Row],[VEHIDCODE]]</f>
        <v>item_mu_Wagon_Gen3_Silo_Type1</v>
      </c>
      <c r="O671" s="31" t="str">
        <f>"str_"&amp;CONTROL[[#This Row],[VEHIDCODE]]</f>
        <v>str_mu_Wagon_Gen3_Silo_Type1</v>
      </c>
    </row>
    <row r="672" spans="1:15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3068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ISNUMBER(_xlfn.XMATCH(CONTROL[[#This Row],[VEHIDCODE]],GRAPHICS_PROPERTIES[VEHIDCODE],0))</f>
        <v>1</v>
      </c>
      <c r="N672" s="31" t="str">
        <f>"item_"&amp;CONTROL[[#This Row],[VEHIDCODE]]</f>
        <v>item_mu_Wagon_Gen3_Silo_Type2</v>
      </c>
      <c r="O672" s="31" t="str">
        <f>"str_"&amp;CONTROL[[#This Row],[VEHIDCODE]]</f>
        <v>str_mu_Wagon_Gen3_Silo_Type2</v>
      </c>
    </row>
    <row r="673" spans="1:15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ISNUMBER(_xlfn.XMATCH(CONTROL[[#This Row],[VEHIDCODE]],GRAPHICS_PROPERTIES[VEHIDCODE],0))</f>
        <v>1</v>
      </c>
      <c r="N673" s="31" t="str">
        <f>"item_"&amp;CONTROL[[#This Row],[VEHIDCODE]]</f>
        <v>item_mu_Wagon_Gen3_Hopper</v>
      </c>
      <c r="O673" s="31" t="str">
        <f>"str_"&amp;CONTROL[[#This Row],[VEHIDCODE]]</f>
        <v>str_mu_Wagon_Gen3_Hopper</v>
      </c>
    </row>
    <row r="674" spans="1:15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ISNUMBER(_xlfn.XMATCH(CONTROL[[#This Row],[VEHIDCODE]],GRAPHICS_PROPERTIES[VEHIDCODE],0))</f>
        <v>1</v>
      </c>
      <c r="N674" s="31" t="str">
        <f>"item_"&amp;CONTROL[[#This Row],[VEHIDCODE]]</f>
        <v>item_mu_Wagon_Gen4_Flatcar</v>
      </c>
      <c r="O674" s="31" t="str">
        <f>"str_"&amp;CONTROL[[#This Row],[VEHIDCODE]]</f>
        <v>str_mu_Wagon_Gen4_Flatcar</v>
      </c>
    </row>
    <row r="675" spans="1:15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ISNUMBER(_xlfn.XMATCH(CONTROL[[#This Row],[VEHIDCODE]],GRAPHICS_PROPERTIES[VEHIDCODE],0))</f>
        <v>1</v>
      </c>
      <c r="N675" s="31" t="str">
        <f>"item_"&amp;CONTROL[[#This Row],[VEHIDCODE]]</f>
        <v>item_mu_Wagon_Gen4_Heavy_Flatcar</v>
      </c>
      <c r="O675" s="31" t="str">
        <f>"str_"&amp;CONTROL[[#This Row],[VEHIDCODE]]</f>
        <v>str_mu_Wagon_Gen4_Heavy_Flatcar</v>
      </c>
    </row>
    <row r="676" spans="1:15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3054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ISNUMBER(_xlfn.XMATCH(CONTROL[[#This Row],[VEHIDCODE]],GRAPHICS_PROPERTIES[VEHIDCODE],0))</f>
        <v>1</v>
      </c>
      <c r="N676" s="31" t="str">
        <f>"item_"&amp;CONTROL[[#This Row],[VEHIDCODE]]</f>
        <v>item_mu_Wagon_Gen4_Boxcar_Type1</v>
      </c>
      <c r="O676" s="31" t="str">
        <f>"str_"&amp;CONTROL[[#This Row],[VEHIDCODE]]</f>
        <v>str_mu_Wagon_Gen4_Boxcar_Type1</v>
      </c>
    </row>
    <row r="677" spans="1:15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3069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ISNUMBER(_xlfn.XMATCH(CONTROL[[#This Row],[VEHIDCODE]],GRAPHICS_PROPERTIES[VEHIDCODE],0))</f>
        <v>1</v>
      </c>
      <c r="N677" s="31" t="str">
        <f>"item_"&amp;CONTROL[[#This Row],[VEHIDCODE]]</f>
        <v>item_mu_Wagon_Gen4_Boxcar_Type2</v>
      </c>
      <c r="O677" s="31" t="str">
        <f>"str_"&amp;CONTROL[[#This Row],[VEHIDCODE]]</f>
        <v>str_mu_Wagon_Gen4_Boxcar_Type2</v>
      </c>
    </row>
    <row r="678" spans="1:15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ISNUMBER(_xlfn.XMATCH(CONTROL[[#This Row],[VEHIDCODE]],GRAPHICS_PROPERTIES[VEHIDCODE],0))</f>
        <v>1</v>
      </c>
      <c r="N678" s="31" t="str">
        <f>"item_"&amp;CONTROL[[#This Row],[VEHIDCODE]]</f>
        <v>item_mu_Wagon_Gen4_Tanker</v>
      </c>
      <c r="O678" s="31" t="str">
        <f>"str_"&amp;CONTROL[[#This Row],[VEHIDCODE]]</f>
        <v>str_mu_Wagon_Gen4_Tanker</v>
      </c>
    </row>
    <row r="679" spans="1:15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ISNUMBER(_xlfn.XMATCH(CONTROL[[#This Row],[VEHIDCODE]],GRAPHICS_PROPERTIES[VEHIDCODE],0))</f>
        <v>1</v>
      </c>
      <c r="N679" s="31" t="str">
        <f>"item_"&amp;CONTROL[[#This Row],[VEHIDCODE]]</f>
        <v>item_mu_Wagon_Gen4_Gondola</v>
      </c>
      <c r="O679" s="31" t="str">
        <f>"str_"&amp;CONTROL[[#This Row],[VEHIDCODE]]</f>
        <v>str_mu_Wagon_Gen4_Gondola</v>
      </c>
    </row>
    <row r="680" spans="1:15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3055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ISNUMBER(_xlfn.XMATCH(CONTROL[[#This Row],[VEHIDCODE]],GRAPHICS_PROPERTIES[VEHIDCODE],0))</f>
        <v>1</v>
      </c>
      <c r="N680" s="31" t="str">
        <f>"item_"&amp;CONTROL[[#This Row],[VEHIDCODE]]</f>
        <v>item_mu_Wagon_Gen4_Silo_Type1</v>
      </c>
      <c r="O680" s="31" t="str">
        <f>"str_"&amp;CONTROL[[#This Row],[VEHIDCODE]]</f>
        <v>str_mu_Wagon_Gen4_Silo_Type1</v>
      </c>
    </row>
    <row r="681" spans="1:15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3070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ISNUMBER(_xlfn.XMATCH(CONTROL[[#This Row],[VEHIDCODE]],GRAPHICS_PROPERTIES[VEHIDCODE],0))</f>
        <v>1</v>
      </c>
      <c r="N681" s="31" t="str">
        <f>"item_"&amp;CONTROL[[#This Row],[VEHIDCODE]]</f>
        <v>item_mu_Wagon_Gen4_Silo_Type2</v>
      </c>
      <c r="O681" s="31" t="str">
        <f>"str_"&amp;CONTROL[[#This Row],[VEHIDCODE]]</f>
        <v>str_mu_Wagon_Gen4_Silo_Type2</v>
      </c>
    </row>
    <row r="682" spans="1:15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3056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ISNUMBER(_xlfn.XMATCH(CONTROL[[#This Row],[VEHIDCODE]],GRAPHICS_PROPERTIES[VEHIDCODE],0))</f>
        <v>1</v>
      </c>
      <c r="N682" s="31" t="str">
        <f>"item_"&amp;CONTROL[[#This Row],[VEHIDCODE]]</f>
        <v>item_mu_Wagon_Gen4_Hopper_Type1</v>
      </c>
      <c r="O682" s="31" t="str">
        <f>"str_"&amp;CONTROL[[#This Row],[VEHIDCODE]]</f>
        <v>str_mu_Wagon_Gen4_Hopper_Type1</v>
      </c>
    </row>
    <row r="683" spans="1:15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3071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ISNUMBER(_xlfn.XMATCH(CONTROL[[#This Row],[VEHIDCODE]],GRAPHICS_PROPERTIES[VEHIDCODE],0))</f>
        <v>1</v>
      </c>
      <c r="N683" s="31" t="str">
        <f>"item_"&amp;CONTROL[[#This Row],[VEHIDCODE]]</f>
        <v>item_mu_Wagon_Gen4_Hopper_Type2</v>
      </c>
      <c r="O683" s="31" t="str">
        <f>"str_"&amp;CONTROL[[#This Row],[VEHIDCODE]]</f>
        <v>str_mu_Wagon_Gen4_Hopper_Type2</v>
      </c>
    </row>
    <row r="684" spans="1:15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ISNUMBER(_xlfn.XMATCH(CONTROL[[#This Row],[VEHIDCODE]],GRAPHICS_PROPERTIES[VEHIDCODE],0))</f>
        <v>1</v>
      </c>
      <c r="N684" s="31" t="str">
        <f>"item_"&amp;CONTROL[[#This Row],[VEHIDCODE]]</f>
        <v>item_mu_Wagon_Gen4_Car_Transporter</v>
      </c>
      <c r="O684" s="31" t="str">
        <f>"str_"&amp;CONTROL[[#This Row],[VEHIDCODE]]</f>
        <v>str_mu_Wagon_Gen4_Car_Transporter</v>
      </c>
    </row>
    <row r="685" spans="1:15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ISNUMBER(_xlfn.XMATCH(CONTROL[[#This Row],[VEHIDCODE]],GRAPHICS_PROPERTIES[VEHIDCODE],0))</f>
        <v>1</v>
      </c>
      <c r="N685" s="31" t="str">
        <f>"item_"&amp;CONTROL[[#This Row],[VEHIDCODE]]</f>
        <v>item_mu_Wagon_Gen4_Container_Carrier</v>
      </c>
      <c r="O685" s="31" t="str">
        <f>"str_"&amp;CONTROL[[#This Row],[VEHIDCODE]]</f>
        <v>str_mu_Wagon_Gen4_Container_Carrier</v>
      </c>
    </row>
    <row r="686" spans="1:15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ISNUMBER(_xlfn.XMATCH(CONTROL[[#This Row],[VEHIDCODE]],GRAPHICS_PROPERTIES[VEHIDCODE],0))</f>
        <v>1</v>
      </c>
      <c r="N686" s="31" t="str">
        <f>"item_"&amp;CONTROL[[#This Row],[VEHIDCODE]]</f>
        <v>item_mu_Wagon_Gen4_Centerbeam</v>
      </c>
      <c r="O686" s="31" t="str">
        <f>"str_"&amp;CONTROL[[#This Row],[VEHIDCODE]]</f>
        <v>str_mu_Wagon_Gen4_Centerbeam</v>
      </c>
    </row>
    <row r="687" spans="1:15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ISNUMBER(_xlfn.XMATCH(CONTROL[[#This Row],[VEHIDCODE]],GRAPHICS_PROPERTIES[VEHIDCODE],0))</f>
        <v>1</v>
      </c>
      <c r="N687" s="31" t="str">
        <f>"item_"&amp;CONTROL[[#This Row],[VEHIDCODE]]</f>
        <v>item_mu_Wagon_Gen5_Flatcar</v>
      </c>
      <c r="O687" s="31" t="str">
        <f>"str_"&amp;CONTROL[[#This Row],[VEHIDCODE]]</f>
        <v>str_mu_Wagon_Gen5_Flatcar</v>
      </c>
    </row>
    <row r="688" spans="1:15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ISNUMBER(_xlfn.XMATCH(CONTROL[[#This Row],[VEHIDCODE]],GRAPHICS_PROPERTIES[VEHIDCODE],0))</f>
        <v>1</v>
      </c>
      <c r="N688" s="31" t="str">
        <f>"item_"&amp;CONTROL[[#This Row],[VEHIDCODE]]</f>
        <v>item_mu_Wagon_Gen5_Heavy_Flatcar</v>
      </c>
      <c r="O688" s="31" t="str">
        <f>"str_"&amp;CONTROL[[#This Row],[VEHIDCODE]]</f>
        <v>str_mu_Wagon_Gen5_Heavy_Flatcar</v>
      </c>
    </row>
    <row r="689" spans="1:15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3057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ISNUMBER(_xlfn.XMATCH(CONTROL[[#This Row],[VEHIDCODE]],GRAPHICS_PROPERTIES[VEHIDCODE],0))</f>
        <v>1</v>
      </c>
      <c r="N689" s="31" t="str">
        <f>"item_"&amp;CONTROL[[#This Row],[VEHIDCODE]]</f>
        <v>item_mu_Wagon_Gen5_Boxcar_Type1</v>
      </c>
      <c r="O689" s="31" t="str">
        <f>"str_"&amp;CONTROL[[#This Row],[VEHIDCODE]]</f>
        <v>str_mu_Wagon_Gen5_Boxcar_Type1</v>
      </c>
    </row>
    <row r="690" spans="1:15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3072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ISNUMBER(_xlfn.XMATCH(CONTROL[[#This Row],[VEHIDCODE]],GRAPHICS_PROPERTIES[VEHIDCODE],0))</f>
        <v>1</v>
      </c>
      <c r="N690" s="31" t="str">
        <f>"item_"&amp;CONTROL[[#This Row],[VEHIDCODE]]</f>
        <v>item_mu_Wagon_Gen5_Boxcar_Type2</v>
      </c>
      <c r="O690" s="31" t="str">
        <f>"str_"&amp;CONTROL[[#This Row],[VEHIDCODE]]</f>
        <v>str_mu_Wagon_Gen5_Boxcar_Type2</v>
      </c>
    </row>
    <row r="691" spans="1:15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ISNUMBER(_xlfn.XMATCH(CONTROL[[#This Row],[VEHIDCODE]],GRAPHICS_PROPERTIES[VEHIDCODE],0))</f>
        <v>1</v>
      </c>
      <c r="N691" s="31" t="str">
        <f>"item_"&amp;CONTROL[[#This Row],[VEHIDCODE]]</f>
        <v>item_mu_Wagon_Gen5_Tanker</v>
      </c>
      <c r="O691" s="31" t="str">
        <f>"str_"&amp;CONTROL[[#This Row],[VEHIDCODE]]</f>
        <v>str_mu_Wagon_Gen5_Tanker</v>
      </c>
    </row>
    <row r="692" spans="1:15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ISNUMBER(_xlfn.XMATCH(CONTROL[[#This Row],[VEHIDCODE]],GRAPHICS_PROPERTIES[VEHIDCODE],0))</f>
        <v>1</v>
      </c>
      <c r="N692" s="31" t="str">
        <f>"item_"&amp;CONTROL[[#This Row],[VEHIDCODE]]</f>
        <v>item_mu_Wagon_Gen5_Gondola</v>
      </c>
      <c r="O692" s="31" t="str">
        <f>"str_"&amp;CONTROL[[#This Row],[VEHIDCODE]]</f>
        <v>str_mu_Wagon_Gen5_Gondola</v>
      </c>
    </row>
    <row r="693" spans="1:15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3058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ISNUMBER(_xlfn.XMATCH(CONTROL[[#This Row],[VEHIDCODE]],GRAPHICS_PROPERTIES[VEHIDCODE],0))</f>
        <v>1</v>
      </c>
      <c r="N693" s="31" t="str">
        <f>"item_"&amp;CONTROL[[#This Row],[VEHIDCODE]]</f>
        <v>item_mu_Wagon_Gen5_Silo_Type1</v>
      </c>
      <c r="O693" s="31" t="str">
        <f>"str_"&amp;CONTROL[[#This Row],[VEHIDCODE]]</f>
        <v>str_mu_Wagon_Gen5_Silo_Type1</v>
      </c>
    </row>
    <row r="694" spans="1:15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3073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ISNUMBER(_xlfn.XMATCH(CONTROL[[#This Row],[VEHIDCODE]],GRAPHICS_PROPERTIES[VEHIDCODE],0))</f>
        <v>1</v>
      </c>
      <c r="N694" s="31" t="str">
        <f>"item_"&amp;CONTROL[[#This Row],[VEHIDCODE]]</f>
        <v>item_mu_Wagon_Gen5_Silo_Type2</v>
      </c>
      <c r="O694" s="31" t="str">
        <f>"str_"&amp;CONTROL[[#This Row],[VEHIDCODE]]</f>
        <v>str_mu_Wagon_Gen5_Silo_Type2</v>
      </c>
    </row>
    <row r="695" spans="1:15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3059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ISNUMBER(_xlfn.XMATCH(CONTROL[[#This Row],[VEHIDCODE]],GRAPHICS_PROPERTIES[VEHIDCODE],0))</f>
        <v>1</v>
      </c>
      <c r="N695" s="31" t="str">
        <f>"item_"&amp;CONTROL[[#This Row],[VEHIDCODE]]</f>
        <v>item_mu_Wagon_Gen5_Hopper_Type1</v>
      </c>
      <c r="O695" s="31" t="str">
        <f>"str_"&amp;CONTROL[[#This Row],[VEHIDCODE]]</f>
        <v>str_mu_Wagon_Gen5_Hopper_Type1</v>
      </c>
    </row>
    <row r="696" spans="1:15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3074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ISNUMBER(_xlfn.XMATCH(CONTROL[[#This Row],[VEHIDCODE]],GRAPHICS_PROPERTIES[VEHIDCODE],0))</f>
        <v>1</v>
      </c>
      <c r="N696" s="31" t="str">
        <f>"item_"&amp;CONTROL[[#This Row],[VEHIDCODE]]</f>
        <v>item_mu_Wagon_Gen5_Hopper_Type2</v>
      </c>
      <c r="O696" s="31" t="str">
        <f>"str_"&amp;CONTROL[[#This Row],[VEHIDCODE]]</f>
        <v>str_mu_Wagon_Gen5_Hopper_Type2</v>
      </c>
    </row>
    <row r="697" spans="1:15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ISNUMBER(_xlfn.XMATCH(CONTROL[[#This Row],[VEHIDCODE]],GRAPHICS_PROPERTIES[VEHIDCODE],0))</f>
        <v>1</v>
      </c>
      <c r="N697" s="31" t="str">
        <f>"item_"&amp;CONTROL[[#This Row],[VEHIDCODE]]</f>
        <v>item_mu_Wagon_Gen5_Car_Transporter</v>
      </c>
      <c r="O697" s="31" t="str">
        <f>"str_"&amp;CONTROL[[#This Row],[VEHIDCODE]]</f>
        <v>str_mu_Wagon_Gen5_Car_Transporter</v>
      </c>
    </row>
    <row r="698" spans="1:15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ISNUMBER(_xlfn.XMATCH(CONTROL[[#This Row],[VEHIDCODE]],GRAPHICS_PROPERTIES[VEHIDCODE],0))</f>
        <v>1</v>
      </c>
      <c r="N698" s="31" t="str">
        <f>"item_"&amp;CONTROL[[#This Row],[VEHIDCODE]]</f>
        <v>item_mu_Wagon_Gen5_Container_Carrier</v>
      </c>
      <c r="O698" s="31" t="str">
        <f>"str_"&amp;CONTROL[[#This Row],[VEHIDCODE]]</f>
        <v>str_mu_Wagon_Gen5_Container_Carrier</v>
      </c>
    </row>
    <row r="699" spans="1:15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ISNUMBER(_xlfn.XMATCH(CONTROL[[#This Row],[VEHIDCODE]],GRAPHICS_PROPERTIES[VEHIDCODE],0))</f>
        <v>1</v>
      </c>
      <c r="N699" s="31" t="str">
        <f>"item_"&amp;CONTROL[[#This Row],[VEHIDCODE]]</f>
        <v>item_mu_Wagon_Gen5_Centerbeam</v>
      </c>
      <c r="O699" s="31" t="str">
        <f>"str_"&amp;CONTROL[[#This Row],[VEHIDCODE]]</f>
        <v>str_mu_Wagon_Gen5_Centerbeam</v>
      </c>
    </row>
    <row r="700" spans="1:15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ISNUMBER(_xlfn.XMATCH(CONTROL[[#This Row],[VEHIDCODE]],GRAPHICS_PROPERTIES[VEHIDCODE],0))</f>
        <v>1</v>
      </c>
      <c r="N700" s="31" t="str">
        <f>"item_"&amp;CONTROL[[#This Row],[VEHIDCODE]]</f>
        <v>item_mu_Wagon_Gen5_Container_Doublestack</v>
      </c>
      <c r="O700" s="31" t="str">
        <f>"str_"&amp;CONTROL[[#This Row],[VEHIDCODE]]</f>
        <v>str_mu_Wagon_Gen5_Container_Doublestack</v>
      </c>
    </row>
    <row r="701" spans="1:15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ISNUMBER(_xlfn.XMATCH(CONTROL[[#This Row],[VEHIDCODE]],GRAPHICS_PROPERTIES[VEHIDCODE],0))</f>
        <v>1</v>
      </c>
      <c r="N701" s="31" t="str">
        <f>"item_"&amp;CONTROL[[#This Row],[VEHIDCODE]]</f>
        <v>item_mu_Wagon_Gen5_Superheavy_Flatcar</v>
      </c>
      <c r="O701" s="31" t="str">
        <f>"str_"&amp;CONTROL[[#This Row],[VEHIDCODE]]</f>
        <v>str_mu_Wagon_Gen5_Superheavy_Flatcar</v>
      </c>
    </row>
    <row r="702" spans="1:15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ISNUMBER(_xlfn.XMATCH(CONTROL[[#This Row],[VEHIDCODE]],GRAPHICS_PROPERTIES[VEHIDCODE],0))</f>
        <v>1</v>
      </c>
      <c r="N702" s="31" t="str">
        <f>"item_"&amp;CONTROL[[#This Row],[VEHIDCODE]]</f>
        <v>item_mu_Wagon_Gen6_Flatcar</v>
      </c>
      <c r="O702" s="31" t="str">
        <f>"str_"&amp;CONTROL[[#This Row],[VEHIDCODE]]</f>
        <v>str_mu_Wagon_Gen6_Flatcar</v>
      </c>
    </row>
    <row r="703" spans="1:15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ISNUMBER(_xlfn.XMATCH(CONTROL[[#This Row],[VEHIDCODE]],GRAPHICS_PROPERTIES[VEHIDCODE],0))</f>
        <v>1</v>
      </c>
      <c r="N703" s="31" t="str">
        <f>"item_"&amp;CONTROL[[#This Row],[VEHIDCODE]]</f>
        <v>item_mu_Wagon_Gen6_Heavy_Flatcar</v>
      </c>
      <c r="O703" s="31" t="str">
        <f>"str_"&amp;CONTROL[[#This Row],[VEHIDCODE]]</f>
        <v>str_mu_Wagon_Gen6_Heavy_Flatcar</v>
      </c>
    </row>
    <row r="704" spans="1:15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3060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ISNUMBER(_xlfn.XMATCH(CONTROL[[#This Row],[VEHIDCODE]],GRAPHICS_PROPERTIES[VEHIDCODE],0))</f>
        <v>1</v>
      </c>
      <c r="N704" s="31" t="str">
        <f>"item_"&amp;CONTROL[[#This Row],[VEHIDCODE]]</f>
        <v>item_mu_Wagon_Gen6_Boxcar_Type1</v>
      </c>
      <c r="O704" s="31" t="str">
        <f>"str_"&amp;CONTROL[[#This Row],[VEHIDCODE]]</f>
        <v>str_mu_Wagon_Gen6_Boxcar_Type1</v>
      </c>
    </row>
    <row r="705" spans="1:15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3075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ISNUMBER(_xlfn.XMATCH(CONTROL[[#This Row],[VEHIDCODE]],GRAPHICS_PROPERTIES[VEHIDCODE],0))</f>
        <v>1</v>
      </c>
      <c r="N705" s="31" t="str">
        <f>"item_"&amp;CONTROL[[#This Row],[VEHIDCODE]]</f>
        <v>item_mu_Wagon_Gen6_Boxcar_Type2</v>
      </c>
      <c r="O705" s="31" t="str">
        <f>"str_"&amp;CONTROL[[#This Row],[VEHIDCODE]]</f>
        <v>str_mu_Wagon_Gen6_Boxcar_Type2</v>
      </c>
    </row>
    <row r="706" spans="1:15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ISNUMBER(_xlfn.XMATCH(CONTROL[[#This Row],[VEHIDCODE]],GRAPHICS_PROPERTIES[VEHIDCODE],0))</f>
        <v>1</v>
      </c>
      <c r="N706" s="31" t="str">
        <f>"item_"&amp;CONTROL[[#This Row],[VEHIDCODE]]</f>
        <v>item_mu_Wagon_Gen6_Tanker</v>
      </c>
      <c r="O706" s="31" t="str">
        <f>"str_"&amp;CONTROL[[#This Row],[VEHIDCODE]]</f>
        <v>str_mu_Wagon_Gen6_Tanker</v>
      </c>
    </row>
    <row r="707" spans="1:15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ISNUMBER(_xlfn.XMATCH(CONTROL[[#This Row],[VEHIDCODE]],GRAPHICS_PROPERTIES[VEHIDCODE],0))</f>
        <v>1</v>
      </c>
      <c r="N707" s="31" t="str">
        <f>"item_"&amp;CONTROL[[#This Row],[VEHIDCODE]]</f>
        <v>item_mu_Wagon_Gen6_Gondola</v>
      </c>
      <c r="O707" s="31" t="str">
        <f>"str_"&amp;CONTROL[[#This Row],[VEHIDCODE]]</f>
        <v>str_mu_Wagon_Gen6_Gondola</v>
      </c>
    </row>
    <row r="708" spans="1:15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3061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ISNUMBER(_xlfn.XMATCH(CONTROL[[#This Row],[VEHIDCODE]],GRAPHICS_PROPERTIES[VEHIDCODE],0))</f>
        <v>1</v>
      </c>
      <c r="N708" s="31" t="str">
        <f>"item_"&amp;CONTROL[[#This Row],[VEHIDCODE]]</f>
        <v>item_mu_Wagon_Gen6_Silo_Type1</v>
      </c>
      <c r="O708" s="31" t="str">
        <f>"str_"&amp;CONTROL[[#This Row],[VEHIDCODE]]</f>
        <v>str_mu_Wagon_Gen6_Silo_Type1</v>
      </c>
    </row>
    <row r="709" spans="1:15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3076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ISNUMBER(_xlfn.XMATCH(CONTROL[[#This Row],[VEHIDCODE]],GRAPHICS_PROPERTIES[VEHIDCODE],0))</f>
        <v>1</v>
      </c>
      <c r="N709" s="31" t="str">
        <f>"item_"&amp;CONTROL[[#This Row],[VEHIDCODE]]</f>
        <v>item_mu_Wagon_Gen6_Silo_Type2</v>
      </c>
      <c r="O709" s="31" t="str">
        <f>"str_"&amp;CONTROL[[#This Row],[VEHIDCODE]]</f>
        <v>str_mu_Wagon_Gen6_Silo_Type2</v>
      </c>
    </row>
    <row r="710" spans="1:15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3062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ISNUMBER(_xlfn.XMATCH(CONTROL[[#This Row],[VEHIDCODE]],GRAPHICS_PROPERTIES[VEHIDCODE],0))</f>
        <v>1</v>
      </c>
      <c r="N710" s="31" t="str">
        <f>"item_"&amp;CONTROL[[#This Row],[VEHIDCODE]]</f>
        <v>item_mu_Wagon_Gen6_Hopper_Type1</v>
      </c>
      <c r="O710" s="31" t="str">
        <f>"str_"&amp;CONTROL[[#This Row],[VEHIDCODE]]</f>
        <v>str_mu_Wagon_Gen6_Hopper_Type1</v>
      </c>
    </row>
    <row r="711" spans="1:15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3077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ISNUMBER(_xlfn.XMATCH(CONTROL[[#This Row],[VEHIDCODE]],GRAPHICS_PROPERTIES[VEHIDCODE],0))</f>
        <v>1</v>
      </c>
      <c r="N711" s="31" t="str">
        <f>"item_"&amp;CONTROL[[#This Row],[VEHIDCODE]]</f>
        <v>item_mu_Wagon_Gen6_Hopper_Type2</v>
      </c>
      <c r="O711" s="31" t="str">
        <f>"str_"&amp;CONTROL[[#This Row],[VEHIDCODE]]</f>
        <v>str_mu_Wagon_Gen6_Hopper_Type2</v>
      </c>
    </row>
    <row r="712" spans="1:15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ISNUMBER(_xlfn.XMATCH(CONTROL[[#This Row],[VEHIDCODE]],GRAPHICS_PROPERTIES[VEHIDCODE],0))</f>
        <v>1</v>
      </c>
      <c r="N712" s="31" t="str">
        <f>"item_"&amp;CONTROL[[#This Row],[VEHIDCODE]]</f>
        <v>item_mu_Wagon_Gen6_Car_Transporter</v>
      </c>
      <c r="O712" s="31" t="str">
        <f>"str_"&amp;CONTROL[[#This Row],[VEHIDCODE]]</f>
        <v>str_mu_Wagon_Gen6_Car_Transporter</v>
      </c>
    </row>
    <row r="713" spans="1:15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ISNUMBER(_xlfn.XMATCH(CONTROL[[#This Row],[VEHIDCODE]],GRAPHICS_PROPERTIES[VEHIDCODE],0))</f>
        <v>1</v>
      </c>
      <c r="N713" s="31" t="str">
        <f>"item_"&amp;CONTROL[[#This Row],[VEHIDCODE]]</f>
        <v>item_mu_Wagon_Gen6_Container_Carrier</v>
      </c>
      <c r="O713" s="31" t="str">
        <f>"str_"&amp;CONTROL[[#This Row],[VEHIDCODE]]</f>
        <v>str_mu_Wagon_Gen6_Container_Carrier</v>
      </c>
    </row>
    <row r="714" spans="1:15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ISNUMBER(_xlfn.XMATCH(CONTROL[[#This Row],[VEHIDCODE]],GRAPHICS_PROPERTIES[VEHIDCODE],0))</f>
        <v>1</v>
      </c>
      <c r="N714" s="31" t="str">
        <f>"item_"&amp;CONTROL[[#This Row],[VEHIDCODE]]</f>
        <v>item_mu_Wagon_Gen6_Centerbeam</v>
      </c>
      <c r="O714" s="31" t="str">
        <f>"str_"&amp;CONTROL[[#This Row],[VEHIDCODE]]</f>
        <v>str_mu_Wagon_Gen6_Centerbeam</v>
      </c>
    </row>
    <row r="715" spans="1:15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ISNUMBER(_xlfn.XMATCH(CONTROL[[#This Row],[VEHIDCODE]],GRAPHICS_PROPERTIES[VEHIDCODE],0))</f>
        <v>1</v>
      </c>
      <c r="N715" s="31" t="str">
        <f>"item_"&amp;CONTROL[[#This Row],[VEHIDCODE]]</f>
        <v>item_mu_Wagon_Gen6_Container_Doublestack</v>
      </c>
      <c r="O715" s="31" t="str">
        <f>"str_"&amp;CONTROL[[#This Row],[VEHIDCODE]]</f>
        <v>str_mu_Wagon_Gen6_Container_Doublestack</v>
      </c>
    </row>
    <row r="716" spans="1:15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ISNUMBER(_xlfn.XMATCH(CONTROL[[#This Row],[VEHIDCODE]],GRAPHICS_PROPERTIES[VEHIDCODE],0))</f>
        <v>1</v>
      </c>
      <c r="N716" s="31" t="str">
        <f>"item_"&amp;CONTROL[[#This Row],[VEHIDCODE]]</f>
        <v>item_mu_Wagon_Gen6_Superheavy_Flatcar</v>
      </c>
      <c r="O716" s="31" t="str">
        <f>"str_"&amp;CONTROL[[#This Row],[VEHIDCODE]]</f>
        <v>str_mu_Wagon_Gen6_Superheavy_Flatcar</v>
      </c>
    </row>
    <row r="717" spans="1:15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3036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ISNUMBER(_xlfn.XMATCH(CONTROL[[#This Row],[VEHIDCODE]],GRAPHICS_PROPERTIES[VEHIDCODE],0))</f>
        <v>1</v>
      </c>
      <c r="N717" s="31" t="str">
        <f>"item_"&amp;CONTROL[[#This Row],[VEHIDCODE]]</f>
        <v>item_mu_Wagon_Service_Car_Type1</v>
      </c>
      <c r="O717" s="31" t="str">
        <f>"str_"&amp;CONTROL[[#This Row],[VEHIDCODE]]</f>
        <v>str_mu_Wagon_Service_Car_Type1</v>
      </c>
    </row>
    <row r="718" spans="1:15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3037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ISNUMBER(_xlfn.XMATCH(CONTROL[[#This Row],[VEHIDCODE]],GRAPHICS_PROPERTIES[VEHIDCODE],0))</f>
        <v>1</v>
      </c>
      <c r="N718" s="31" t="str">
        <f>"item_"&amp;CONTROL[[#This Row],[VEHIDCODE]]</f>
        <v>item_mu_Wagon_Service_Car_Type2</v>
      </c>
      <c r="O718" s="31" t="str">
        <f>"str_"&amp;CONTROL[[#This Row],[VEHIDCODE]]</f>
        <v>str_mu_Wagon_Service_Car_Type2</v>
      </c>
    </row>
    <row r="719" spans="1:15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ISNUMBER(_xlfn.XMATCH(CONTROL[[#This Row],[VEHIDCODE]],GRAPHICS_PROPERTIES[VEHIDCODE],0))</f>
        <v>1</v>
      </c>
      <c r="N719" s="31" t="str">
        <f>"item_"&amp;CONTROL[[#This Row],[VEHIDCODE]]</f>
        <v>item_mu_Coach_Gen1_Wooden_2_axle_Compartment_Coach</v>
      </c>
      <c r="O719" s="31" t="str">
        <f>"str_"&amp;CONTROL[[#This Row],[VEHIDCODE]]</f>
        <v>str_mu_Coach_Gen1_Wooden_2_axle_Compartment_Coach</v>
      </c>
    </row>
    <row r="720" spans="1:15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ISNUMBER(_xlfn.XMATCH(CONTROL[[#This Row],[VEHIDCODE]],GRAPHICS_PROPERTIES[VEHIDCODE],0))</f>
        <v>1</v>
      </c>
      <c r="N720" s="31" t="str">
        <f>"item_"&amp;CONTROL[[#This Row],[VEHIDCODE]]</f>
        <v>item_mu_Coach_Gen1_Wooden_2_axle_Regional_Coach</v>
      </c>
      <c r="O720" s="31" t="str">
        <f>"str_"&amp;CONTROL[[#This Row],[VEHIDCODE]]</f>
        <v>str_mu_Coach_Gen1_Wooden_2_axle_Regional_Coach</v>
      </c>
    </row>
    <row r="721" spans="1:15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ISNUMBER(_xlfn.XMATCH(CONTROL[[#This Row],[VEHIDCODE]],GRAPHICS_PROPERTIES[VEHIDCODE],0))</f>
        <v>1</v>
      </c>
      <c r="N721" s="31" t="str">
        <f>"item_"&amp;CONTROL[[#This Row],[VEHIDCODE]]</f>
        <v>item_mu_Coach_Gen1_Wooden_2_axle_Mail_Coach</v>
      </c>
      <c r="O721" s="31" t="str">
        <f>"str_"&amp;CONTROL[[#This Row],[VEHIDCODE]]</f>
        <v>str_mu_Coach_Gen1_Wooden_2_axle_Mail_Coach</v>
      </c>
    </row>
    <row r="722" spans="1:15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ISNUMBER(_xlfn.XMATCH(CONTROL[[#This Row],[VEHIDCODE]],GRAPHICS_PROPERTIES[VEHIDCODE],0))</f>
        <v>1</v>
      </c>
      <c r="N722" s="31" t="str">
        <f>"item_"&amp;CONTROL[[#This Row],[VEHIDCODE]]</f>
        <v>item_mu_Coach_Gen1_Clerestory_Compartment_Coach</v>
      </c>
      <c r="O722" s="31" t="str">
        <f>"str_"&amp;CONTROL[[#This Row],[VEHIDCODE]]</f>
        <v>str_mu_Coach_Gen1_Clerestory_Compartment_Coach</v>
      </c>
    </row>
    <row r="723" spans="1:15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ISNUMBER(_xlfn.XMATCH(CONTROL[[#This Row],[VEHIDCODE]],GRAPHICS_PROPERTIES[VEHIDCODE],0))</f>
        <v>1</v>
      </c>
      <c r="N723" s="31" t="str">
        <f>"item_"&amp;CONTROL[[#This Row],[VEHIDCODE]]</f>
        <v>item_mu_Coach_Gen1_Clerestory_Regional_Coach</v>
      </c>
      <c r="O723" s="31" t="str">
        <f>"str_"&amp;CONTROL[[#This Row],[VEHIDCODE]]</f>
        <v>str_mu_Coach_Gen1_Clerestory_Regional_Coach</v>
      </c>
    </row>
    <row r="724" spans="1:15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ISNUMBER(_xlfn.XMATCH(CONTROL[[#This Row],[VEHIDCODE]],GRAPHICS_PROPERTIES[VEHIDCODE],0))</f>
        <v>1</v>
      </c>
      <c r="N724" s="31" t="str">
        <f>"item_"&amp;CONTROL[[#This Row],[VEHIDCODE]]</f>
        <v>item_mu_Coach_Gen1_Clerestory_Mail_Coach</v>
      </c>
      <c r="O724" s="31" t="str">
        <f>"str_"&amp;CONTROL[[#This Row],[VEHIDCODE]]</f>
        <v>str_mu_Coach_Gen1_Clerestory_Mail_Coach</v>
      </c>
    </row>
    <row r="725" spans="1:15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ISNUMBER(_xlfn.XMATCH(CONTROL[[#This Row],[VEHIDCODE]],GRAPHICS_PROPERTIES[VEHIDCODE],0))</f>
        <v>1</v>
      </c>
      <c r="N725" s="31" t="str">
        <f>"item_"&amp;CONTROL[[#This Row],[VEHIDCODE]]</f>
        <v>item_mu_Coach_Gen1_Wooden_3_axle_Compartment_Coach</v>
      </c>
      <c r="O725" s="31" t="str">
        <f>"str_"&amp;CONTROL[[#This Row],[VEHIDCODE]]</f>
        <v>str_mu_Coach_Gen1_Wooden_3_axle_Compartment_Coach</v>
      </c>
    </row>
    <row r="726" spans="1:15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ISNUMBER(_xlfn.XMATCH(CONTROL[[#This Row],[VEHIDCODE]],GRAPHICS_PROPERTIES[VEHIDCODE],0))</f>
        <v>1</v>
      </c>
      <c r="N726" s="31" t="str">
        <f>"item_"&amp;CONTROL[[#This Row],[VEHIDCODE]]</f>
        <v>item_mu_Coach_Gen1_Wooden_3_axle_Regional_Coach</v>
      </c>
      <c r="O726" s="31" t="str">
        <f>"str_"&amp;CONTROL[[#This Row],[VEHIDCODE]]</f>
        <v>str_mu_Coach_Gen1_Wooden_3_axle_Regional_Coach</v>
      </c>
    </row>
    <row r="727" spans="1:15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ISNUMBER(_xlfn.XMATCH(CONTROL[[#This Row],[VEHIDCODE]],GRAPHICS_PROPERTIES[VEHIDCODE],0))</f>
        <v>1</v>
      </c>
      <c r="N727" s="31" t="str">
        <f>"item_"&amp;CONTROL[[#This Row],[VEHIDCODE]]</f>
        <v>item_mu_Coach_Gen1_Wooden_3_axle_Mail_Coach</v>
      </c>
      <c r="O727" s="31" t="str">
        <f>"str_"&amp;CONTROL[[#This Row],[VEHIDCODE]]</f>
        <v>str_mu_Coach_Gen1_Wooden_3_axle_Mail_Coach</v>
      </c>
    </row>
    <row r="728" spans="1:15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ISNUMBER(_xlfn.XMATCH(CONTROL[[#This Row],[VEHIDCODE]],GRAPHICS_PROPERTIES[VEHIDCODE],0))</f>
        <v>1</v>
      </c>
      <c r="N728" s="31" t="str">
        <f>"item_"&amp;CONTROL[[#This Row],[VEHIDCODE]]</f>
        <v>item_mu_Coach_Gen2_Heavyweight_Intercity_Coach</v>
      </c>
      <c r="O728" s="31" t="str">
        <f>"str_"&amp;CONTROL[[#This Row],[VEHIDCODE]]</f>
        <v>str_mu_Coach_Gen2_Heavyweight_Intercity_Coach</v>
      </c>
    </row>
    <row r="729" spans="1:15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ISNUMBER(_xlfn.XMATCH(CONTROL[[#This Row],[VEHIDCODE]],GRAPHICS_PROPERTIES[VEHIDCODE],0))</f>
        <v>1</v>
      </c>
      <c r="N729" s="31" t="str">
        <f>"item_"&amp;CONTROL[[#This Row],[VEHIDCODE]]</f>
        <v>item_mu_Coach_Gen2_Heavyweight_Mail_Coach</v>
      </c>
      <c r="O729" s="31" t="str">
        <f>"str_"&amp;CONTROL[[#This Row],[VEHIDCODE]]</f>
        <v>str_mu_Coach_Gen2_Heavyweight_Mail_Coach</v>
      </c>
    </row>
    <row r="730" spans="1:15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ISNUMBER(_xlfn.XMATCH(CONTROL[[#This Row],[VEHIDCODE]],GRAPHICS_PROPERTIES[VEHIDCODE],0))</f>
        <v>1</v>
      </c>
      <c r="N730" s="31" t="str">
        <f>"item_"&amp;CONTROL[[#This Row],[VEHIDCODE]]</f>
        <v>item_mu_Coach_Gen2_Steel_Intercity_Coach</v>
      </c>
      <c r="O730" s="31" t="str">
        <f>"str_"&amp;CONTROL[[#This Row],[VEHIDCODE]]</f>
        <v>str_mu_Coach_Gen2_Steel_Intercity_Coach</v>
      </c>
    </row>
    <row r="731" spans="1:15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ISNUMBER(_xlfn.XMATCH(CONTROL[[#This Row],[VEHIDCODE]],GRAPHICS_PROPERTIES[VEHIDCODE],0))</f>
        <v>1</v>
      </c>
      <c r="N731" s="31" t="str">
        <f>"item_"&amp;CONTROL[[#This Row],[VEHIDCODE]]</f>
        <v>item_mu_Coach_Gen2_Steel_Compartment_Coach</v>
      </c>
      <c r="O731" s="31" t="str">
        <f>"str_"&amp;CONTROL[[#This Row],[VEHIDCODE]]</f>
        <v>str_mu_Coach_Gen2_Steel_Compartment_Coach</v>
      </c>
    </row>
    <row r="732" spans="1:15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ISNUMBER(_xlfn.XMATCH(CONTROL[[#This Row],[VEHIDCODE]],GRAPHICS_PROPERTIES[VEHIDCODE],0))</f>
        <v>1</v>
      </c>
      <c r="N732" s="31" t="str">
        <f>"item_"&amp;CONTROL[[#This Row],[VEHIDCODE]]</f>
        <v>item_mu_Coach_Gen2_Steel_Regional_Coach</v>
      </c>
      <c r="O732" s="31" t="str">
        <f>"str_"&amp;CONTROL[[#This Row],[VEHIDCODE]]</f>
        <v>str_mu_Coach_Gen2_Steel_Regional_Coach</v>
      </c>
    </row>
    <row r="733" spans="1:15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ISNUMBER(_xlfn.XMATCH(CONTROL[[#This Row],[VEHIDCODE]],GRAPHICS_PROPERTIES[VEHIDCODE],0))</f>
        <v>1</v>
      </c>
      <c r="N733" s="31" t="str">
        <f>"item_"&amp;CONTROL[[#This Row],[VEHIDCODE]]</f>
        <v>item_mu_Coach_Gen2_Steel_Mail_Coach</v>
      </c>
      <c r="O733" s="31" t="str">
        <f>"str_"&amp;CONTROL[[#This Row],[VEHIDCODE]]</f>
        <v>str_mu_Coach_Gen2_Steel_Mail_Coach</v>
      </c>
    </row>
    <row r="734" spans="1:15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ISNUMBER(_xlfn.XMATCH(CONTROL[[#This Row],[VEHIDCODE]],GRAPHICS_PROPERTIES[VEHIDCODE],0))</f>
        <v>1</v>
      </c>
      <c r="N734" s="31" t="str">
        <f>"item_"&amp;CONTROL[[#This Row],[VEHIDCODE]]</f>
        <v>item_mu_Coach_Gen2_Steel_2_axle_Compartment_Coach</v>
      </c>
      <c r="O734" s="31" t="str">
        <f>"str_"&amp;CONTROL[[#This Row],[VEHIDCODE]]</f>
        <v>str_mu_Coach_Gen2_Steel_2_axle_Compartment_Coach</v>
      </c>
    </row>
    <row r="735" spans="1:15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ISNUMBER(_xlfn.XMATCH(CONTROL[[#This Row],[VEHIDCODE]],GRAPHICS_PROPERTIES[VEHIDCODE],0))</f>
        <v>1</v>
      </c>
      <c r="N735" s="31" t="str">
        <f>"item_"&amp;CONTROL[[#This Row],[VEHIDCODE]]</f>
        <v>item_mu_Coach_Gen2_Steel_2_axle_Regional_Coach</v>
      </c>
      <c r="O735" s="31" t="str">
        <f>"str_"&amp;CONTROL[[#This Row],[VEHIDCODE]]</f>
        <v>str_mu_Coach_Gen2_Steel_2_axle_Regional_Coach</v>
      </c>
    </row>
    <row r="736" spans="1:15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ISNUMBER(_xlfn.XMATCH(CONTROL[[#This Row],[VEHIDCODE]],GRAPHICS_PROPERTIES[VEHIDCODE],0))</f>
        <v>1</v>
      </c>
      <c r="N736" s="31" t="str">
        <f>"item_"&amp;CONTROL[[#This Row],[VEHIDCODE]]</f>
        <v>item_mu_Coach_Gen2_Steel_2_axle_Mail_Coach</v>
      </c>
      <c r="O736" s="31" t="str">
        <f>"str_"&amp;CONTROL[[#This Row],[VEHIDCODE]]</f>
        <v>str_mu_Coach_Gen2_Steel_2_axle_Mail_Coach</v>
      </c>
    </row>
    <row r="737" spans="1:15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ISNUMBER(_xlfn.XMATCH(CONTROL[[#This Row],[VEHIDCODE]],GRAPHICS_PROPERTIES[VEHIDCODE],0))</f>
        <v>1</v>
      </c>
      <c r="N737" s="31" t="str">
        <f>"item_"&amp;CONTROL[[#This Row],[VEHIDCODE]]</f>
        <v>item_mu_Coach_Gen2_Steel_3_axle_Compartment_Coach</v>
      </c>
      <c r="O737" s="31" t="str">
        <f>"str_"&amp;CONTROL[[#This Row],[VEHIDCODE]]</f>
        <v>str_mu_Coach_Gen2_Steel_3_axle_Compartment_Coach</v>
      </c>
    </row>
    <row r="738" spans="1:15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ISNUMBER(_xlfn.XMATCH(CONTROL[[#This Row],[VEHIDCODE]],GRAPHICS_PROPERTIES[VEHIDCODE],0))</f>
        <v>1</v>
      </c>
      <c r="N738" s="31" t="str">
        <f>"item_"&amp;CONTROL[[#This Row],[VEHIDCODE]]</f>
        <v>item_mu_Coach_Gen2_Steel_3_axle_Regional_Coach</v>
      </c>
      <c r="O738" s="31" t="str">
        <f>"str_"&amp;CONTROL[[#This Row],[VEHIDCODE]]</f>
        <v>str_mu_Coach_Gen2_Steel_3_axle_Regional_Coach</v>
      </c>
    </row>
    <row r="739" spans="1:15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ISNUMBER(_xlfn.XMATCH(CONTROL[[#This Row],[VEHIDCODE]],GRAPHICS_PROPERTIES[VEHIDCODE],0))</f>
        <v>1</v>
      </c>
      <c r="N739" s="31" t="str">
        <f>"item_"&amp;CONTROL[[#This Row],[VEHIDCODE]]</f>
        <v>item_mu_Coach_Gen2_Steel_3_axle_Mail_Coach</v>
      </c>
      <c r="O739" s="31" t="str">
        <f>"str_"&amp;CONTROL[[#This Row],[VEHIDCODE]]</f>
        <v>str_mu_Coach_Gen2_Steel_3_axle_Mail_Coach</v>
      </c>
    </row>
    <row r="740" spans="1:15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ISNUMBER(_xlfn.XMATCH(CONTROL[[#This Row],[VEHIDCODE]],GRAPHICS_PROPERTIES[VEHIDCODE],0))</f>
        <v>1</v>
      </c>
      <c r="N740" s="31" t="str">
        <f>"item_"&amp;CONTROL[[#This Row],[VEHIDCODE]]</f>
        <v>item_mu_Coach_Gen3_Steel_Lightweight_Intercity_Coach</v>
      </c>
      <c r="O740" s="31" t="str">
        <f>"str_"&amp;CONTROL[[#This Row],[VEHIDCODE]]</f>
        <v>str_mu_Coach_Gen3_Steel_Lightweight_Intercity_Coach</v>
      </c>
    </row>
    <row r="741" spans="1:15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ISNUMBER(_xlfn.XMATCH(CONTROL[[#This Row],[VEHIDCODE]],GRAPHICS_PROPERTIES[VEHIDCODE],0))</f>
        <v>1</v>
      </c>
      <c r="N741" s="31" t="str">
        <f>"item_"&amp;CONTROL[[#This Row],[VEHIDCODE]]</f>
        <v>item_mu_Coach_Gen3_Steel_Lightweight_Regional_Coach</v>
      </c>
      <c r="O741" s="31" t="str">
        <f>"str_"&amp;CONTROL[[#This Row],[VEHIDCODE]]</f>
        <v>str_mu_Coach_Gen3_Steel_Lightweight_Regional_Coach</v>
      </c>
    </row>
    <row r="742" spans="1:15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ISNUMBER(_xlfn.XMATCH(CONTROL[[#This Row],[VEHIDCODE]],GRAPHICS_PROPERTIES[VEHIDCODE],0))</f>
        <v>1</v>
      </c>
      <c r="N742" s="31" t="str">
        <f>"item_"&amp;CONTROL[[#This Row],[VEHIDCODE]]</f>
        <v>item_mu_Coach_Gen3_Steel_Lightweight_Mail_Coach</v>
      </c>
      <c r="O742" s="31" t="str">
        <f>"str_"&amp;CONTROL[[#This Row],[VEHIDCODE]]</f>
        <v>str_mu_Coach_Gen3_Steel_Lightweight_Mail_Coach</v>
      </c>
    </row>
    <row r="743" spans="1:15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ISNUMBER(_xlfn.XMATCH(CONTROL[[#This Row],[VEHIDCODE]],GRAPHICS_PROPERTIES[VEHIDCODE],0))</f>
        <v>1</v>
      </c>
      <c r="N743" s="31" t="str">
        <f>"item_"&amp;CONTROL[[#This Row],[VEHIDCODE]]</f>
        <v>item_mu_Coach_Gen3_Aluminium_Lightweight_Intercity_Coach</v>
      </c>
      <c r="O743" s="31" t="str">
        <f>"str_"&amp;CONTROL[[#This Row],[VEHIDCODE]]</f>
        <v>str_mu_Coach_Gen3_Aluminium_Lightweight_Intercity_Coach</v>
      </c>
    </row>
    <row r="744" spans="1:15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ISNUMBER(_xlfn.XMATCH(CONTROL[[#This Row],[VEHIDCODE]],GRAPHICS_PROPERTIES[VEHIDCODE],0))</f>
        <v>1</v>
      </c>
      <c r="N744" s="31" t="str">
        <f>"item_"&amp;CONTROL[[#This Row],[VEHIDCODE]]</f>
        <v>item_mu_Coach_Gen3_Aluminium_Lightweight_Regional_Coach</v>
      </c>
      <c r="O744" s="31" t="str">
        <f>"str_"&amp;CONTROL[[#This Row],[VEHIDCODE]]</f>
        <v>str_mu_Coach_Gen3_Aluminium_Lightweight_Regional_Coach</v>
      </c>
    </row>
    <row r="745" spans="1:15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ISNUMBER(_xlfn.XMATCH(CONTROL[[#This Row],[VEHIDCODE]],GRAPHICS_PROPERTIES[VEHIDCODE],0))</f>
        <v>1</v>
      </c>
      <c r="N745" s="31" t="str">
        <f>"item_"&amp;CONTROL[[#This Row],[VEHIDCODE]]</f>
        <v>item_mu_Coach_Gen3_Aluminium_Lightweight_Mail_Coach</v>
      </c>
      <c r="O745" s="31" t="str">
        <f>"str_"&amp;CONTROL[[#This Row],[VEHIDCODE]]</f>
        <v>str_mu_Coach_Gen3_Aluminium_Lightweight_Mail_Coach</v>
      </c>
    </row>
    <row r="746" spans="1:15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ISNUMBER(_xlfn.XMATCH(CONTROL[[#This Row],[VEHIDCODE]],GRAPHICS_PROPERTIES[VEHIDCODE],0))</f>
        <v>1</v>
      </c>
      <c r="N746" s="31" t="str">
        <f>"item_"&amp;CONTROL[[#This Row],[VEHIDCODE]]</f>
        <v>item_mu_Coach_Gen3_Gallery_Car</v>
      </c>
      <c r="O746" s="31" t="str">
        <f>"str_"&amp;CONTROL[[#This Row],[VEHIDCODE]]</f>
        <v>str_mu_Coach_Gen3_Gallery_Car</v>
      </c>
    </row>
    <row r="747" spans="1:15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ISNUMBER(_xlfn.XMATCH(CONTROL[[#This Row],[VEHIDCODE]],GRAPHICS_PROPERTIES[VEHIDCODE],0))</f>
        <v>1</v>
      </c>
      <c r="N747" s="31" t="str">
        <f>"item_"&amp;CONTROL[[#This Row],[VEHIDCODE]]</f>
        <v>item_mu_Coach_Gen3_Mk1_Intercity_Coach</v>
      </c>
      <c r="O747" s="31" t="str">
        <f>"str_"&amp;CONTROL[[#This Row],[VEHIDCODE]]</f>
        <v>str_mu_Coach_Gen3_Mk1_Intercity_Coach</v>
      </c>
    </row>
    <row r="748" spans="1:15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ISNUMBER(_xlfn.XMATCH(CONTROL[[#This Row],[VEHIDCODE]],GRAPHICS_PROPERTIES[VEHIDCODE],0))</f>
        <v>1</v>
      </c>
      <c r="N748" s="31" t="str">
        <f>"item_"&amp;CONTROL[[#This Row],[VEHIDCODE]]</f>
        <v>item_mu_Coach_Gen3_Mk1_Regional_Coach</v>
      </c>
      <c r="O748" s="31" t="str">
        <f>"str_"&amp;CONTROL[[#This Row],[VEHIDCODE]]</f>
        <v>str_mu_Coach_Gen3_Mk1_Regional_Coach</v>
      </c>
    </row>
    <row r="749" spans="1:15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ISNUMBER(_xlfn.XMATCH(CONTROL[[#This Row],[VEHIDCODE]],GRAPHICS_PROPERTIES[VEHIDCODE],0))</f>
        <v>1</v>
      </c>
      <c r="N749" s="31" t="str">
        <f>"item_"&amp;CONTROL[[#This Row],[VEHIDCODE]]</f>
        <v>item_mu_Coach_Gen3_Mk1_Mail_Coach</v>
      </c>
      <c r="O749" s="31" t="str">
        <f>"str_"&amp;CONTROL[[#This Row],[VEHIDCODE]]</f>
        <v>str_mu_Coach_Gen3_Mk1_Mail_Coach</v>
      </c>
    </row>
    <row r="750" spans="1:15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ISNUMBER(_xlfn.XMATCH(CONTROL[[#This Row],[VEHIDCODE]],GRAPHICS_PROPERTIES[VEHIDCODE],0))</f>
        <v>1</v>
      </c>
      <c r="N750" s="31" t="str">
        <f>"item_"&amp;CONTROL[[#This Row],[VEHIDCODE]]</f>
        <v>item_mu_Coach_Gen3_UIC_X_Intercity_Coach</v>
      </c>
      <c r="O750" s="31" t="str">
        <f>"str_"&amp;CONTROL[[#This Row],[VEHIDCODE]]</f>
        <v>str_mu_Coach_Gen3_UIC_X_Intercity_Coach</v>
      </c>
    </row>
    <row r="751" spans="1:15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ISNUMBER(_xlfn.XMATCH(CONTROL[[#This Row],[VEHIDCODE]],GRAPHICS_PROPERTIES[VEHIDCODE],0))</f>
        <v>1</v>
      </c>
      <c r="N751" s="31" t="str">
        <f>"item_"&amp;CONTROL[[#This Row],[VEHIDCODE]]</f>
        <v>item_mu_Coach_Gen3_TEE_Intercity_Coach</v>
      </c>
      <c r="O751" s="31" t="str">
        <f>"str_"&amp;CONTROL[[#This Row],[VEHIDCODE]]</f>
        <v>str_mu_Coach_Gen3_TEE_Intercity_Coach</v>
      </c>
    </row>
    <row r="752" spans="1:15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ISNUMBER(_xlfn.XMATCH(CONTROL[[#This Row],[VEHIDCODE]],GRAPHICS_PROPERTIES[VEHIDCODE],0))</f>
        <v>1</v>
      </c>
      <c r="N752" s="31" t="str">
        <f>"item_"&amp;CONTROL[[#This Row],[VEHIDCODE]]</f>
        <v>item_mu_Coach_Gen3_UIC_X_Regional_Coach</v>
      </c>
      <c r="O752" s="31" t="str">
        <f>"str_"&amp;CONTROL[[#This Row],[VEHIDCODE]]</f>
        <v>str_mu_Coach_Gen3_UIC_X_Regional_Coach</v>
      </c>
    </row>
    <row r="753" spans="1:15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ISNUMBER(_xlfn.XMATCH(CONTROL[[#This Row],[VEHIDCODE]],GRAPHICS_PROPERTIES[VEHIDCODE],0))</f>
        <v>1</v>
      </c>
      <c r="N753" s="31" t="str">
        <f>"item_"&amp;CONTROL[[#This Row],[VEHIDCODE]]</f>
        <v>item_mu_Coach_Gen3_Umbauwagen_Local_Coach</v>
      </c>
      <c r="O753" s="31" t="str">
        <f>"str_"&amp;CONTROL[[#This Row],[VEHIDCODE]]</f>
        <v>str_mu_Coach_Gen3_Umbauwagen_Local_Coach</v>
      </c>
    </row>
    <row r="754" spans="1:15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ISNUMBER(_xlfn.XMATCH(CONTROL[[#This Row],[VEHIDCODE]],GRAPHICS_PROPERTIES[VEHIDCODE],0))</f>
        <v>1</v>
      </c>
      <c r="N754" s="31" t="str">
        <f>"item_"&amp;CONTROL[[#This Row],[VEHIDCODE]]</f>
        <v>item_mu_Coach_Gen3_Doppelstockwagen_Local_Coach</v>
      </c>
      <c r="O754" s="31" t="str">
        <f>"str_"&amp;CONTROL[[#This Row],[VEHIDCODE]]</f>
        <v>str_mu_Coach_Gen3_Doppelstockwagen_Local_Coach</v>
      </c>
    </row>
    <row r="755" spans="1:15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ISNUMBER(_xlfn.XMATCH(CONTROL[[#This Row],[VEHIDCODE]],GRAPHICS_PROPERTIES[VEHIDCODE],0))</f>
        <v>1</v>
      </c>
      <c r="N755" s="31" t="str">
        <f>"item_"&amp;CONTROL[[#This Row],[VEHIDCODE]]</f>
        <v>item_mu_Coach_Gen3_UIC_X_Mail_Coach</v>
      </c>
      <c r="O755" s="31" t="str">
        <f>"str_"&amp;CONTROL[[#This Row],[VEHIDCODE]]</f>
        <v>str_mu_Coach_Gen3_UIC_X_Mail_Coach</v>
      </c>
    </row>
    <row r="756" spans="1:15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ISNUMBER(_xlfn.XMATCH(CONTROL[[#This Row],[VEHIDCODE]],GRAPHICS_PROPERTIES[VEHIDCODE],0))</f>
        <v>1</v>
      </c>
      <c r="N756" s="31" t="str">
        <f>"item_"&amp;CONTROL[[#This Row],[VEHIDCODE]]</f>
        <v>item_mu_Coach_Gen3_Indian_Intercity_Coach</v>
      </c>
      <c r="O756" s="31" t="str">
        <f>"str_"&amp;CONTROL[[#This Row],[VEHIDCODE]]</f>
        <v>str_mu_Coach_Gen3_Indian_Intercity_Coach</v>
      </c>
    </row>
    <row r="757" spans="1:15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ISNUMBER(_xlfn.XMATCH(CONTROL[[#This Row],[VEHIDCODE]],GRAPHICS_PROPERTIES[VEHIDCODE],0))</f>
        <v>1</v>
      </c>
      <c r="N757" s="31" t="str">
        <f>"item_"&amp;CONTROL[[#This Row],[VEHIDCODE]]</f>
        <v>item_mu_Coach_Gen3_Indian_Local_Coach</v>
      </c>
      <c r="O757" s="31" t="str">
        <f>"str_"&amp;CONTROL[[#This Row],[VEHIDCODE]]</f>
        <v>str_mu_Coach_Gen3_Indian_Local_Coach</v>
      </c>
    </row>
    <row r="758" spans="1:15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ISNUMBER(_xlfn.XMATCH(CONTROL[[#This Row],[VEHIDCODE]],GRAPHICS_PROPERTIES[VEHIDCODE],0))</f>
        <v>1</v>
      </c>
      <c r="N758" s="31" t="str">
        <f>"item_"&amp;CONTROL[[#This Row],[VEHIDCODE]]</f>
        <v>item_mu_Coach_Gen3_Indian_Regional_Coach</v>
      </c>
      <c r="O758" s="31" t="str">
        <f>"str_"&amp;CONTROL[[#This Row],[VEHIDCODE]]</f>
        <v>str_mu_Coach_Gen3_Indian_Regional_Coach</v>
      </c>
    </row>
    <row r="759" spans="1:15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ISNUMBER(_xlfn.XMATCH(CONTROL[[#This Row],[VEHIDCODE]],GRAPHICS_PROPERTIES[VEHIDCODE],0))</f>
        <v>1</v>
      </c>
      <c r="N759" s="31" t="str">
        <f>"item_"&amp;CONTROL[[#This Row],[VEHIDCODE]]</f>
        <v>item_mu_Coach_Gen3_Indian_Mail_Coach</v>
      </c>
      <c r="O759" s="31" t="str">
        <f>"str_"&amp;CONTROL[[#This Row],[VEHIDCODE]]</f>
        <v>str_mu_Coach_Gen3_Indian_Mail_Coach</v>
      </c>
    </row>
    <row r="760" spans="1:15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ISNUMBER(_xlfn.XMATCH(CONTROL[[#This Row],[VEHIDCODE]],GRAPHICS_PROPERTIES[VEHIDCODE],0))</f>
        <v>1</v>
      </c>
      <c r="N760" s="31" t="str">
        <f>"item_"&amp;CONTROL[[#This Row],[VEHIDCODE]]</f>
        <v>item_mu_Coach_Gen4_Eurofima_Intercity_Coach</v>
      </c>
      <c r="O760" s="31" t="str">
        <f>"str_"&amp;CONTROL[[#This Row],[VEHIDCODE]]</f>
        <v>str_mu_Coach_Gen4_Eurofima_Intercity_Coach</v>
      </c>
    </row>
    <row r="761" spans="1:15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ISNUMBER(_xlfn.XMATCH(CONTROL[[#This Row],[VEHIDCODE]],GRAPHICS_PROPERTIES[VEHIDCODE],0))</f>
        <v>1</v>
      </c>
      <c r="N761" s="31" t="str">
        <f>"item_"&amp;CONTROL[[#This Row],[VEHIDCODE]]</f>
        <v>item_mu_Coach_Gen4_InterRegio_Coach</v>
      </c>
      <c r="O761" s="31" t="str">
        <f>"str_"&amp;CONTROL[[#This Row],[VEHIDCODE]]</f>
        <v>str_mu_Coach_Gen4_InterRegio_Coach</v>
      </c>
    </row>
    <row r="762" spans="1:15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ISNUMBER(_xlfn.XMATCH(CONTROL[[#This Row],[VEHIDCODE]],GRAPHICS_PROPERTIES[VEHIDCODE],0))</f>
        <v>1</v>
      </c>
      <c r="N762" s="31" t="str">
        <f>"item_"&amp;CONTROL[[#This Row],[VEHIDCODE]]</f>
        <v>item_mu_Coach_Gen4_Silberling_Commuter_Coach</v>
      </c>
      <c r="O762" s="31" t="str">
        <f>"str_"&amp;CONTROL[[#This Row],[VEHIDCODE]]</f>
        <v>str_mu_Coach_Gen4_Silberling_Commuter_Coach</v>
      </c>
    </row>
    <row r="763" spans="1:15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ISNUMBER(_xlfn.XMATCH(CONTROL[[#This Row],[VEHIDCODE]],GRAPHICS_PROPERTIES[VEHIDCODE],0))</f>
        <v>1</v>
      </c>
      <c r="N763" s="31" t="str">
        <f>"item_"&amp;CONTROL[[#This Row],[VEHIDCODE]]</f>
        <v>item_mu_Coach_Gen4_Eurofima_Mail_Coach</v>
      </c>
      <c r="O763" s="31" t="str">
        <f>"str_"&amp;CONTROL[[#This Row],[VEHIDCODE]]</f>
        <v>str_mu_Coach_Gen4_Eurofima_Mail_Coach</v>
      </c>
    </row>
    <row r="764" spans="1:15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ISNUMBER(_xlfn.XMATCH(CONTROL[[#This Row],[VEHIDCODE]],GRAPHICS_PROPERTIES[VEHIDCODE],0))</f>
        <v>1</v>
      </c>
      <c r="N764" s="31" t="str">
        <f>"item_"&amp;CONTROL[[#This Row],[VEHIDCODE]]</f>
        <v>item_mu_Coach_Gen4_Double_Decker_Coach</v>
      </c>
      <c r="O764" s="31" t="str">
        <f>"str_"&amp;CONTROL[[#This Row],[VEHIDCODE]]</f>
        <v>str_mu_Coach_Gen4_Double_Decker_Coach</v>
      </c>
    </row>
    <row r="765" spans="1:15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ISNUMBER(_xlfn.XMATCH(CONTROL[[#This Row],[VEHIDCODE]],GRAPHICS_PROPERTIES[VEHIDCODE],0))</f>
        <v>1</v>
      </c>
      <c r="N765" s="31" t="str">
        <f>"item_"&amp;CONTROL[[#This Row],[VEHIDCODE]]</f>
        <v>item_mu_Coach_Gen4_Russian_Intercity_Coach</v>
      </c>
      <c r="O765" s="31" t="str">
        <f>"str_"&amp;CONTROL[[#This Row],[VEHIDCODE]]</f>
        <v>str_mu_Coach_Gen4_Russian_Intercity_Coach</v>
      </c>
    </row>
    <row r="766" spans="1:15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ISNUMBER(_xlfn.XMATCH(CONTROL[[#This Row],[VEHIDCODE]],GRAPHICS_PROPERTIES[VEHIDCODE],0))</f>
        <v>1</v>
      </c>
      <c r="N766" s="31" t="str">
        <f>"item_"&amp;CONTROL[[#This Row],[VEHIDCODE]]</f>
        <v>item_mu_Coach_Gen4_Russian_Regional_Coach</v>
      </c>
      <c r="O766" s="31" t="str">
        <f>"str_"&amp;CONTROL[[#This Row],[VEHIDCODE]]</f>
        <v>str_mu_Coach_Gen4_Russian_Regional_Coach</v>
      </c>
    </row>
    <row r="767" spans="1:15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ISNUMBER(_xlfn.XMATCH(CONTROL[[#This Row],[VEHIDCODE]],GRAPHICS_PROPERTIES[VEHIDCODE],0))</f>
        <v>1</v>
      </c>
      <c r="N767" s="31" t="str">
        <f>"item_"&amp;CONTROL[[#This Row],[VEHIDCODE]]</f>
        <v>item_mu_Coach_Gen4_Russian_Mail_Coach</v>
      </c>
      <c r="O767" s="31" t="str">
        <f>"str_"&amp;CONTROL[[#This Row],[VEHIDCODE]]</f>
        <v>str_mu_Coach_Gen4_Russian_Mail_Coach</v>
      </c>
    </row>
    <row r="768" spans="1:15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ISNUMBER(_xlfn.XMATCH(CONTROL[[#This Row],[VEHIDCODE]],GRAPHICS_PROPERTIES[VEHIDCODE],0))</f>
        <v>1</v>
      </c>
      <c r="N768" s="31" t="str">
        <f>"item_"&amp;CONTROL[[#This Row],[VEHIDCODE]]</f>
        <v>item_mu_Coach_Gen4_Superliner_Coach</v>
      </c>
      <c r="O768" s="31" t="str">
        <f>"str_"&amp;CONTROL[[#This Row],[VEHIDCODE]]</f>
        <v>str_mu_Coach_Gen4_Superliner_Coach</v>
      </c>
    </row>
    <row r="769" spans="1:15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ISNUMBER(_xlfn.XMATCH(CONTROL[[#This Row],[VEHIDCODE]],GRAPHICS_PROPERTIES[VEHIDCODE],0))</f>
        <v>1</v>
      </c>
      <c r="N769" s="31" t="str">
        <f>"item_"&amp;CONTROL[[#This Row],[VEHIDCODE]]</f>
        <v>item_mu_Coach_Gen4_Superliner_California</v>
      </c>
      <c r="O769" s="31" t="str">
        <f>"str_"&amp;CONTROL[[#This Row],[VEHIDCODE]]</f>
        <v>str_mu_Coach_Gen4_Superliner_California</v>
      </c>
    </row>
    <row r="770" spans="1:15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ISNUMBER(_xlfn.XMATCH(CONTROL[[#This Row],[VEHIDCODE]],GRAPHICS_PROPERTIES[VEHIDCODE],0))</f>
        <v>1</v>
      </c>
      <c r="N770" s="31" t="str">
        <f>"item_"&amp;CONTROL[[#This Row],[VEHIDCODE]]</f>
        <v>item_mu_Coach_Gen4_Amfleet_Regional_Coach</v>
      </c>
      <c r="O770" s="31" t="str">
        <f>"str_"&amp;CONTROL[[#This Row],[VEHIDCODE]]</f>
        <v>str_mu_Coach_Gen4_Amfleet_Regional_Coach</v>
      </c>
    </row>
    <row r="771" spans="1:15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ISNUMBER(_xlfn.XMATCH(CONTROL[[#This Row],[VEHIDCODE]],GRAPHICS_PROPERTIES[VEHIDCODE],0))</f>
        <v>1</v>
      </c>
      <c r="N771" s="31" t="str">
        <f>"item_"&amp;CONTROL[[#This Row],[VEHIDCODE]]</f>
        <v>item_mu_Coach_Gen4_Amfleet_Intercity_Coach</v>
      </c>
      <c r="O771" s="31" t="str">
        <f>"str_"&amp;CONTROL[[#This Row],[VEHIDCODE]]</f>
        <v>str_mu_Coach_Gen4_Amfleet_Intercity_Coach</v>
      </c>
    </row>
    <row r="772" spans="1:15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ISNUMBER(_xlfn.XMATCH(CONTROL[[#This Row],[VEHIDCODE]],GRAPHICS_PROPERTIES[VEHIDCODE],0))</f>
        <v>1</v>
      </c>
      <c r="N772" s="31" t="str">
        <f>"item_"&amp;CONTROL[[#This Row],[VEHIDCODE]]</f>
        <v>item_mu_Coach_Gen4_Comet_Commuter_Coach</v>
      </c>
      <c r="O772" s="31" t="str">
        <f>"str_"&amp;CONTROL[[#This Row],[VEHIDCODE]]</f>
        <v>str_mu_Coach_Gen4_Comet_Commuter_Coach</v>
      </c>
    </row>
    <row r="773" spans="1:15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ISNUMBER(_xlfn.XMATCH(CONTROL[[#This Row],[VEHIDCODE]],GRAPHICS_PROPERTIES[VEHIDCODE],0))</f>
        <v>1</v>
      </c>
      <c r="N773" s="31" t="str">
        <f>"item_"&amp;CONTROL[[#This Row],[VEHIDCODE]]</f>
        <v>item_mu_Coach_Gen4_Horizon_Regional_Coach</v>
      </c>
      <c r="O773" s="31" t="str">
        <f>"str_"&amp;CONTROL[[#This Row],[VEHIDCODE]]</f>
        <v>str_mu_Coach_Gen4_Horizon_Regional_Coach</v>
      </c>
    </row>
    <row r="774" spans="1:15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ISNUMBER(_xlfn.XMATCH(CONTROL[[#This Row],[VEHIDCODE]],GRAPHICS_PROPERTIES[VEHIDCODE],0))</f>
        <v>1</v>
      </c>
      <c r="N774" s="31" t="str">
        <f>"item_"&amp;CONTROL[[#This Row],[VEHIDCODE]]</f>
        <v>item_mu_Coach_Gen4_Horizon_Baggage_Coach</v>
      </c>
      <c r="O774" s="31" t="str">
        <f>"str_"&amp;CONTROL[[#This Row],[VEHIDCODE]]</f>
        <v>str_mu_Coach_Gen4_Horizon_Baggage_Coach</v>
      </c>
    </row>
    <row r="775" spans="1:15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ISNUMBER(_xlfn.XMATCH(CONTROL[[#This Row],[VEHIDCODE]],GRAPHICS_PROPERTIES[VEHIDCODE],0))</f>
        <v>1</v>
      </c>
      <c r="N775" s="31" t="str">
        <f>"item_"&amp;CONTROL[[#This Row],[VEHIDCODE]]</f>
        <v>item_mu_Coach_Gen4_Bombardier_Bi_level</v>
      </c>
      <c r="O775" s="31" t="str">
        <f>"str_"&amp;CONTROL[[#This Row],[VEHIDCODE]]</f>
        <v>str_mu_Coach_Gen4_Bombardier_Bi_level</v>
      </c>
    </row>
    <row r="776" spans="1:15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ISNUMBER(_xlfn.XMATCH(CONTROL[[#This Row],[VEHIDCODE]],GRAPHICS_PROPERTIES[VEHIDCODE],0))</f>
        <v>1</v>
      </c>
      <c r="N776" s="31" t="str">
        <f>"item_"&amp;CONTROL[[#This Row],[VEHIDCODE]]</f>
        <v>item_mu_Coach_Gen5_High_Speed_Coach</v>
      </c>
      <c r="O776" s="31" t="str">
        <f>"str_"&amp;CONTROL[[#This Row],[VEHIDCODE]]</f>
        <v>str_mu_Coach_Gen5_High_Speed_Coach</v>
      </c>
    </row>
    <row r="777" spans="1:15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ISNUMBER(_xlfn.XMATCH(CONTROL[[#This Row],[VEHIDCODE]],GRAPHICS_PROPERTIES[VEHIDCODE],0))</f>
        <v>1</v>
      </c>
      <c r="N777" s="31" t="str">
        <f>"item_"&amp;CONTROL[[#This Row],[VEHIDCODE]]</f>
        <v>item_mu_Coach_Gen5_Modern_Regional_Coach</v>
      </c>
      <c r="O777" s="31" t="str">
        <f>"str_"&amp;CONTROL[[#This Row],[VEHIDCODE]]</f>
        <v>str_mu_Coach_Gen5_Modern_Regional_Coach</v>
      </c>
    </row>
    <row r="778" spans="1:15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ISNUMBER(_xlfn.XMATCH(CONTROL[[#This Row],[VEHIDCODE]],GRAPHICS_PROPERTIES[VEHIDCODE],0))</f>
        <v>1</v>
      </c>
      <c r="N778" s="31" t="str">
        <f>"item_"&amp;CONTROL[[#This Row],[VEHIDCODE]]</f>
        <v>item_mu_Coach_Gen5_Modern_Commuter_Coach</v>
      </c>
      <c r="O778" s="31" t="str">
        <f>"str_"&amp;CONTROL[[#This Row],[VEHIDCODE]]</f>
        <v>str_mu_Coach_Gen5_Modern_Commuter_Coach</v>
      </c>
    </row>
    <row r="779" spans="1:15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ISNUMBER(_xlfn.XMATCH(CONTROL[[#This Row],[VEHIDCODE]],GRAPHICS_PROPERTIES[VEHIDCODE],0))</f>
        <v>1</v>
      </c>
      <c r="N779" s="31" t="str">
        <f>"item_"&amp;CONTROL[[#This Row],[VEHIDCODE]]</f>
        <v>item_mu_Coach_Gen5_Modern_Double_Decker_Coach</v>
      </c>
      <c r="O779" s="31" t="str">
        <f>"str_"&amp;CONTROL[[#This Row],[VEHIDCODE]]</f>
        <v>str_mu_Coach_Gen5_Modern_Double_Decker_Coach</v>
      </c>
    </row>
    <row r="780" spans="1:15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ISNUMBER(_xlfn.XMATCH(CONTROL[[#This Row],[VEHIDCODE]],GRAPHICS_PROPERTIES[VEHIDCODE],0))</f>
        <v>1</v>
      </c>
      <c r="N780" s="31" t="str">
        <f>"item_"&amp;CONTROL[[#This Row],[VEHIDCODE]]</f>
        <v>item_mu_Coach_Gen5_High_Speed_Double_Decker_IC2000</v>
      </c>
      <c r="O780" s="31" t="str">
        <f>"str_"&amp;CONTROL[[#This Row],[VEHIDCODE]]</f>
        <v>str_mu_Coach_Gen5_High_Speed_Double_Decker_IC2000</v>
      </c>
    </row>
    <row r="781" spans="1:15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ISNUMBER(_xlfn.XMATCH(CONTROL[[#This Row],[VEHIDCODE]],GRAPHICS_PROPERTIES[VEHIDCODE],0))</f>
        <v>1</v>
      </c>
      <c r="N781" s="31" t="str">
        <f>"item_"&amp;CONTROL[[#This Row],[VEHIDCODE]]</f>
        <v>item_mu_Coach_Gen5_High_Speed_Mail_Coach</v>
      </c>
      <c r="O781" s="31" t="str">
        <f>"str_"&amp;CONTROL[[#This Row],[VEHIDCODE]]</f>
        <v>str_mu_Coach_Gen5_High_Speed_Mail_Coach</v>
      </c>
    </row>
    <row r="782" spans="1:15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ISNUMBER(_xlfn.XMATCH(CONTROL[[#This Row],[VEHIDCODE]],GRAPHICS_PROPERTIES[VEHIDCODE],0))</f>
        <v>1</v>
      </c>
      <c r="N782" s="31" t="str">
        <f>"item_"&amp;CONTROL[[#This Row],[VEHIDCODE]]</f>
        <v>item_mu_Coach_Gen5_Talgo_Pendular</v>
      </c>
      <c r="O782" s="31" t="str">
        <f>"str_"&amp;CONTROL[[#This Row],[VEHIDCODE]]</f>
        <v>str_mu_Coach_Gen5_Talgo_Pendular</v>
      </c>
    </row>
    <row r="783" spans="1:15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ISNUMBER(_xlfn.XMATCH(CONTROL[[#This Row],[VEHIDCODE]],GRAPHICS_PROPERTIES[VEHIDCODE],0))</f>
        <v>1</v>
      </c>
      <c r="N783" s="31" t="str">
        <f>"item_"&amp;CONTROL[[#This Row],[VEHIDCODE]]</f>
        <v>item_mu_Coach_Gen5_Talgo_Pendular_Mail</v>
      </c>
      <c r="O783" s="31" t="str">
        <f>"str_"&amp;CONTROL[[#This Row],[VEHIDCODE]]</f>
        <v>str_mu_Coach_Gen5_Talgo_Pendular_Mail</v>
      </c>
    </row>
    <row r="784" spans="1:15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ISNUMBER(_xlfn.XMATCH(CONTROL[[#This Row],[VEHIDCODE]],GRAPHICS_PROPERTIES[VEHIDCODE],0))</f>
        <v>1</v>
      </c>
      <c r="N784" s="31" t="str">
        <f>"item_"&amp;CONTROL[[#This Row],[VEHIDCODE]]</f>
        <v>item_mu_Coach_Gen6_Grand_Voyager_Coach</v>
      </c>
      <c r="O784" s="31" t="str">
        <f>"str_"&amp;CONTROL[[#This Row],[VEHIDCODE]]</f>
        <v>str_mu_Coach_Gen6_Grand_Voyager_Coach</v>
      </c>
    </row>
    <row r="785" spans="1:15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ISNUMBER(_xlfn.XMATCH(CONTROL[[#This Row],[VEHIDCODE]],GRAPHICS_PROPERTIES[VEHIDCODE],0))</f>
        <v>1</v>
      </c>
      <c r="N785" s="31" t="str">
        <f>"item_"&amp;CONTROL[[#This Row],[VEHIDCODE]]</f>
        <v>item_mu_Coach_Gen6_Grand_Regio_Coach</v>
      </c>
      <c r="O785" s="31" t="str">
        <f>"str_"&amp;CONTROL[[#This Row],[VEHIDCODE]]</f>
        <v>str_mu_Coach_Gen6_Grand_Regio_Coach</v>
      </c>
    </row>
    <row r="786" spans="1:15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ISNUMBER(_xlfn.XMATCH(CONTROL[[#This Row],[VEHIDCODE]],GRAPHICS_PROPERTIES[VEHIDCODE],0))</f>
        <v>1</v>
      </c>
      <c r="N786" s="31" t="str">
        <f>"item_"&amp;CONTROL[[#This Row],[VEHIDCODE]]</f>
        <v>item_mu_Coach_Gen6_Metropolis_Coach</v>
      </c>
      <c r="O786" s="31" t="str">
        <f>"str_"&amp;CONTROL[[#This Row],[VEHIDCODE]]</f>
        <v>str_mu_Coach_Gen6_Metropolis_Coach</v>
      </c>
    </row>
    <row r="787" spans="1:15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ISNUMBER(_xlfn.XMATCH(CONTROL[[#This Row],[VEHIDCODE]],GRAPHICS_PROPERTIES[VEHIDCODE],0))</f>
        <v>1</v>
      </c>
      <c r="N787" s="31" t="str">
        <f>"item_"&amp;CONTROL[[#This Row],[VEHIDCODE]]</f>
        <v>item_mu_Coach_Gen6_Speedmail_Coach</v>
      </c>
      <c r="O787" s="31" t="str">
        <f>"str_"&amp;CONTROL[[#This Row],[VEHIDCODE]]</f>
        <v>str_mu_Coach_Gen6_Speedmail_Coach</v>
      </c>
    </row>
    <row r="788" spans="1:15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ISNUMBER(_xlfn.XMATCH(CONTROL[[#This Row],[VEHIDCODE]],GRAPHICS_PROPERTIES[VEHIDCODE],0))</f>
        <v>1</v>
      </c>
      <c r="N788" s="31" t="str">
        <f>"item_"&amp;CONTROL[[#This Row],[VEHIDCODE]]</f>
        <v>item_mu_Coach_Gen6_Super_Regio_Coach</v>
      </c>
      <c r="O788" s="31" t="str">
        <f>"str_"&amp;CONTROL[[#This Row],[VEHIDCODE]]</f>
        <v>str_mu_Coach_Gen6_Super_Regio_Coach</v>
      </c>
    </row>
    <row r="789" spans="1:15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ISNUMBER(_xlfn.XMATCH(CONTROL[[#This Row],[VEHIDCODE]],GRAPHICS_PROPERTIES[VEHIDCODE],0))</f>
        <v>1</v>
      </c>
      <c r="N789" s="31" t="str">
        <f>"item_"&amp;CONTROL[[#This Row],[VEHIDCODE]]</f>
        <v>item_mu_Coach_Gen6_Super_Voyager_Coach</v>
      </c>
      <c r="O789" s="31" t="str">
        <f>"str_"&amp;CONTROL[[#This Row],[VEHIDCODE]]</f>
        <v>str_mu_Coach_Gen6_Super_Voyager_Coach</v>
      </c>
    </row>
    <row r="790" spans="1:15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ISNUMBER(_xlfn.XMATCH(CONTROL[[#This Row],[VEHIDCODE]],GRAPHICS_PROPERTIES[VEHIDCODE],0))</f>
        <v>1</v>
      </c>
      <c r="N790" s="31" t="str">
        <f>"item_"&amp;CONTROL[[#This Row],[VEHIDCODE]]</f>
        <v>item_diesel_Gabon_Alsthom_AD30B</v>
      </c>
      <c r="O790" s="31" t="str">
        <f>"str_"&amp;CONTROL[[#This Row],[VEHIDCODE]]</f>
        <v>str_diesel_Gabon_Alsthom_AD30B</v>
      </c>
    </row>
    <row r="791" spans="1:15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ISNUMBER(_xlfn.XMATCH(CONTROL[[#This Row],[VEHIDCODE]],GRAPHICS_PROPERTIES[VEHIDCODE],0))</f>
        <v>1</v>
      </c>
      <c r="N791" s="31" t="str">
        <f>"item_"&amp;CONTROL[[#This Row],[VEHIDCODE]]</f>
        <v>item_steam_South_Africa_Katanga_Mikado_2_8_2</v>
      </c>
      <c r="O791" s="31" t="str">
        <f>"str_"&amp;CONTROL[[#This Row],[VEHIDCODE]]</f>
        <v>str_steam_South_Africa_Katanga_Mikado_2_8_2</v>
      </c>
    </row>
    <row r="792" spans="1:15">
      <c r="A792" s="2" t="s">
        <v>2842</v>
      </c>
      <c r="B792" s="31" t="str">
        <f>_xlfn.TEXTAFTER(CONTROL[[#This Row],[VEHIDCODE]],"_")</f>
        <v>Japan_JR_Freight_M250</v>
      </c>
      <c r="C792" t="s">
        <v>2840</v>
      </c>
      <c r="D792" t="s">
        <v>2837</v>
      </c>
      <c r="E792">
        <v>19000</v>
      </c>
      <c r="F792" t="s">
        <v>2841</v>
      </c>
      <c r="G792" t="s">
        <v>2920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ISNUMBER(_xlfn.XMATCH(CONTROL[[#This Row],[VEHIDCODE]],GRAPHICS_PROPERTIES[VEHIDCODE],0))</f>
        <v>1</v>
      </c>
      <c r="N792" s="31" t="str">
        <f>"item_"&amp;CONTROL[[#This Row],[VEHIDCODE]]</f>
        <v>item_cargoemu_Japan_JR_Freight_M250</v>
      </c>
      <c r="O792" s="31" t="str">
        <f>"str_"&amp;CONTROL[[#This Row],[VEHIDCODE]]</f>
        <v>str_cargoemu_Japan_JR_Freight_M250</v>
      </c>
    </row>
    <row r="793" spans="1:15">
      <c r="A793" t="s">
        <v>2992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3014</v>
      </c>
      <c r="G793" t="s">
        <v>2993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ISNUMBER(_xlfn.XMATCH(CONTROL[[#This Row],[VEHIDCODE]],GRAPHICS_PROPERTIES[VEHIDCODE],0))</f>
        <v>1</v>
      </c>
      <c r="N793" s="31" t="str">
        <f>"item_"&amp;CONTROL[[#This Row],[VEHIDCODE]]</f>
        <v>item_rbs_Gemany_Hessian_Ludwig_Railway_Type_Thomas</v>
      </c>
      <c r="O793" s="31" t="str">
        <f>"str_"&amp;CONTROL[[#This Row],[VEHIDCODE]]</f>
        <v>str_rbs_Gemany_Hessian_Ludwig_Railway_Type_Thomas</v>
      </c>
    </row>
    <row r="794" spans="1:15">
      <c r="A794" s="2" t="s">
        <v>2994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2996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ISNUMBER(_xlfn.XMATCH(CONTROL[[#This Row],[VEHIDCODE]],GRAPHICS_PROPERTIES[VEHIDCODE],0))</f>
        <v>1</v>
      </c>
      <c r="N794" s="31" t="str">
        <f>"item_"&amp;CONTROL[[#This Row],[VEHIDCODE]]</f>
        <v>item_rbs_Austria_NOLB_30_33</v>
      </c>
      <c r="O794" s="31" t="str">
        <f>"str_"&amp;CONTROL[[#This Row],[VEHIDCODE]]</f>
        <v>str_rbs_Austria_NOLB_30_33</v>
      </c>
    </row>
    <row r="795" spans="1:15">
      <c r="A795" t="s">
        <v>2998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3013</v>
      </c>
      <c r="G795" t="s">
        <v>2997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ISNUMBER(_xlfn.XMATCH(CONTROL[[#This Row],[VEHIDCODE]],GRAPHICS_PROPERTIES[VEHIDCODE],0))</f>
        <v>1</v>
      </c>
      <c r="N795" s="31" t="str">
        <f>"item_"&amp;CONTROL[[#This Row],[VEHIDCODE]]</f>
        <v>item_steam_Mozambique_Mozambique_Railways_No_101</v>
      </c>
      <c r="O795" s="31" t="str">
        <f>"str_"&amp;CONTROL[[#This Row],[VEHIDCODE]]</f>
        <v>str_steam_Mozambique_Mozambique_Railways_No_101</v>
      </c>
    </row>
    <row r="796" spans="1:15">
      <c r="A796" t="s">
        <v>3000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3012</v>
      </c>
      <c r="G796" t="s">
        <v>2999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ISNUMBER(_xlfn.XMATCH(CONTROL[[#This Row],[VEHIDCODE]],GRAPHICS_PROPERTIES[VEHIDCODE],0))</f>
        <v>1</v>
      </c>
      <c r="N796" s="31" t="str">
        <f>"item_"&amp;CONTROL[[#This Row],[VEHIDCODE]]</f>
        <v>item_steam_Ivory_Coast_Golwe_2_6_0_0_6_2T</v>
      </c>
      <c r="O796" s="31" t="str">
        <f>"str_"&amp;CONTROL[[#This Row],[VEHIDCODE]]</f>
        <v>str_steam_Ivory_Coast_Golwe_2_6_0_0_6_2T</v>
      </c>
    </row>
    <row r="797" spans="1:15">
      <c r="A797" t="s">
        <v>3017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3015</v>
      </c>
      <c r="G797" t="s">
        <v>3016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ISNUMBER(_xlfn.XMATCH(CONTROL[[#This Row],[VEHIDCODE]],GRAPHICS_PROPERTIES[VEHIDCODE],0))</f>
        <v>1</v>
      </c>
      <c r="N797" s="31" t="str">
        <f>"item_"&amp;CONTROL[[#This Row],[VEHIDCODE]]</f>
        <v>item_diesel_Ghana_Railway_Corporation_Class_TT12</v>
      </c>
      <c r="O797" s="31" t="str">
        <f>"str_"&amp;CONTROL[[#This Row],[VEHIDCODE]]</f>
        <v>str_diesel_Ghana_Railway_Corporation_Class_TT12</v>
      </c>
    </row>
    <row r="798" spans="1:15">
      <c r="A798" t="s">
        <v>3019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3020</v>
      </c>
      <c r="G798" t="s">
        <v>3021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ISNUMBER(_xlfn.XMATCH(CONTROL[[#This Row],[VEHIDCODE]],GRAPHICS_PROPERTIES[VEHIDCODE],0))</f>
        <v>1</v>
      </c>
      <c r="N798" s="31" t="str">
        <f>"item_"&amp;CONTROL[[#This Row],[VEHIDCODE]]</f>
        <v>item_diesel_Sierra_Leone_LAMCO_301_Series</v>
      </c>
      <c r="O798" s="31" t="str">
        <f>"str_"&amp;CONTROL[[#This Row],[VEHIDCODE]]</f>
        <v>str_diesel_Sierra_Leone_LAMCO_301_Series</v>
      </c>
    </row>
    <row r="799" spans="1:15">
      <c r="A799" t="s">
        <v>3022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3024</v>
      </c>
      <c r="G799" t="s">
        <v>3023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ISNUMBER(_xlfn.XMATCH(CONTROL[[#This Row],[VEHIDCODE]],GRAPHICS_PROPERTIES[VEHIDCODE],0))</f>
        <v>1</v>
      </c>
      <c r="N799" s="31" t="str">
        <f>"item_"&amp;CONTROL[[#This Row],[VEHIDCODE]]</f>
        <v>item_electric_Congo_Type_2450_Acec_Charleroi_Zaire_Electric</v>
      </c>
      <c r="O799" s="31" t="str">
        <f>"str_"&amp;CONTROL[[#This Row],[VEHIDCODE]]</f>
        <v>str_electric_Congo_Type_2450_Acec_Charleroi_Zaire_Electric</v>
      </c>
    </row>
    <row r="800" spans="1:15">
      <c r="A800" t="s">
        <v>3025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3027</v>
      </c>
      <c r="G800" t="s">
        <v>3026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ISNUMBER(_xlfn.XMATCH(CONTROL[[#This Row],[VEHIDCODE]],GRAPHICS_PROPERTIES[VEHIDCODE],0))</f>
        <v>1</v>
      </c>
      <c r="N800" s="31" t="str">
        <f>"item_"&amp;CONTROL[[#This Row],[VEHIDCODE]]</f>
        <v>item_diesel_Congo_Alstom_BB_BB</v>
      </c>
      <c r="O800" s="31" t="str">
        <f>"str_"&amp;CONTROL[[#This Row],[VEHIDCODE]]</f>
        <v>str_diesel_Congo_Alstom_BB_BB</v>
      </c>
    </row>
    <row r="801" spans="1:15">
      <c r="A801" t="s">
        <v>3028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3029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ISNUMBER(_xlfn.XMATCH(CONTROL[[#This Row],[VEHIDCODE]],GRAPHICS_PROPERTIES[VEHIDCODE],0))</f>
        <v>1</v>
      </c>
      <c r="N801" s="31" t="str">
        <f>"item_"&amp;CONTROL[[#This Row],[VEHIDCODE]]</f>
        <v>item_diesel_Zimbabwe_Sorefame_DE8</v>
      </c>
      <c r="O801" s="31" t="str">
        <f>"str_"&amp;CONTROL[[#This Row],[VEHIDCODE]]</f>
        <v>str_diesel_Zimbabwe_Sorefame_DE8</v>
      </c>
    </row>
    <row r="802" spans="1:15">
      <c r="A802" t="s">
        <v>3030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3031</v>
      </c>
      <c r="G802" t="s">
        <v>3032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ISNUMBER(_xlfn.XMATCH(CONTROL[[#This Row],[VEHIDCODE]],GRAPHICS_PROPERTIES[VEHIDCODE],0))</f>
        <v>1</v>
      </c>
      <c r="N802" s="31" t="str">
        <f>"item_"&amp;CONTROL[[#This Row],[VEHIDCODE]]</f>
        <v>item_diesel_Ivory_Coast_GMD_GT22LC2</v>
      </c>
      <c r="O802" s="31" t="str">
        <f>"str_"&amp;CONTROL[[#This Row],[VEHIDCODE]]</f>
        <v>str_diesel_Ivory_Coast_GMD_GT22LC2</v>
      </c>
    </row>
    <row r="803" spans="1:15">
      <c r="A803" t="s">
        <v>3033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3035</v>
      </c>
      <c r="G803" t="s">
        <v>3034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ISNUMBER(_xlfn.XMATCH(CONTROL[[#This Row],[VEHIDCODE]],GRAPHICS_PROPERTIES[VEHIDCODE],0))</f>
        <v>1</v>
      </c>
      <c r="N803" s="31" t="str">
        <f>"item_"&amp;CONTROL[[#This Row],[VEHIDCODE]]</f>
        <v>item_electric_Tanzania_TRC_E6800</v>
      </c>
      <c r="O803" s="31" t="str">
        <f>"str_"&amp;CONTROL[[#This Row],[VEHIDCODE]]</f>
        <v>str_electric_Tanzania_TRC_E6800</v>
      </c>
    </row>
    <row r="804" spans="1:15">
      <c r="A804" s="2" t="s">
        <v>3038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3040</v>
      </c>
      <c r="G804" t="s">
        <v>2965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ISNUMBER(_xlfn.XMATCH(CONTROL[[#This Row],[VEHIDCODE]],GRAPHICS_PROPERTIES[VEHIDCODE],0))</f>
        <v>1</v>
      </c>
      <c r="N804" s="31" t="str">
        <f>"item_"&amp;CONTROL[[#This Row],[VEHIDCODE]]</f>
        <v>item_mtro_USA_Brooklyn_Union_Gate_Car</v>
      </c>
      <c r="O804" s="31" t="str">
        <f>"str_"&amp;CONTROL[[#This Row],[VEHIDCODE]]</f>
        <v>str_mtro_USA_Brooklyn_Union_Gate_Car</v>
      </c>
    </row>
  </sheetData>
  <conditionalFormatting sqref="H2:H804">
    <cfRule type="containsText" dxfId="8" priority="3" operator="containsText" text="FALSE">
      <formula>NOT(ISERROR(SEARCH("FALSE",H2)))</formula>
    </cfRule>
  </conditionalFormatting>
  <conditionalFormatting sqref="I1:I804">
    <cfRule type="containsText" dxfId="7" priority="7" operator="containsText" text="FALSE">
      <formula>NOT(ISERROR(SEARCH("FALSE",I1)))</formula>
    </cfRule>
  </conditionalFormatting>
  <conditionalFormatting sqref="J1:O795 K796:O803 J804:O804 K805:O1048576">
    <cfRule type="cellIs" dxfId="6" priority="5" operator="equal">
      <formula>FALSE</formula>
    </cfRule>
  </conditionalFormatting>
  <conditionalFormatting sqref="F1:F1048576">
    <cfRule type="containsText" dxfId="0" priority="2" operator="containsText" text="(">
      <formula>NOT(ISERROR(SEARCH("(",F1)))</formula>
    </cfRule>
    <cfRule type="containsText" dxfId="1" priority="1" operator="containsText" text=")">
      <formula>NOT(ISERROR(SEARCH(")",F1)))</formula>
    </cfRule>
  </conditionalFormatting>
  <dataValidations disablePrompts="1" count="1">
    <dataValidation type="list" allowBlank="1" showInputMessage="1" showErrorMessage="1" sqref="D2:D804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4"/>
  <sheetViews>
    <sheetView zoomScaleNormal="100" workbookViewId="0">
      <pane xSplit="1" ySplit="1" topLeftCell="Y790" activePane="bottomRight" state="frozen"/>
      <selection pane="topRight" activeCell="B1" sqref="B1"/>
      <selection pane="bottomLeft" activeCell="A2" sqref="A2"/>
      <selection pane="bottomRight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2546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3042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3045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3043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3046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3044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3047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3042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3045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3042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3045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3044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3047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3042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3045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3044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3047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3043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3046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3042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3045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3044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3047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3043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3046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3042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3045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3044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3047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3043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3046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Coach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Coach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Mail Coach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Coach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HS Coach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1" s="2" t="b">
        <v>0</v>
      </c>
      <c r="AW791" s="9"/>
      <c r="AX791" s="10"/>
      <c r="AY791" s="11"/>
      <c r="AZ791"/>
    </row>
    <row r="792" spans="1:52">
      <c r="A792" s="2" t="s">
        <v>2842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2992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2994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2998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3000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 (Freight)</v>
      </c>
      <c r="AF796" s="2" t="b">
        <v>0</v>
      </c>
    </row>
    <row r="797" spans="1:52">
      <c r="A797" t="s">
        <v>3017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3019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3022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3025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3028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3030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3033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3038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"HS Coach", PROPERTIES[[#This Row],[SPEED]]&gt;=160, "Express Coach", PROPERTIES[[#This Row],[LOADINGSPEED_VALUE]]&gt;=40, "Commuter Coach", TRUE, "Regional Coach"),
        PROPERTIES[[#This Row],[CARGODEF]]="MAIL_ONLY", "Mail Coach",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 (Freight)",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</sheetData>
  <phoneticPr fontId="18" type="noConversion"/>
  <conditionalFormatting sqref="Q1:S804 R796:T799 R802:T803 R805:T1048576">
    <cfRule type="cellIs" dxfId="26" priority="17" operator="equal">
      <formula>0</formula>
    </cfRule>
  </conditionalFormatting>
  <conditionalFormatting sqref="Y1:AA798">
    <cfRule type="cellIs" dxfId="25" priority="8" operator="equal">
      <formula>FALSE</formula>
    </cfRule>
  </conditionalFormatting>
  <conditionalFormatting sqref="Y800:AA802">
    <cfRule type="cellIs" dxfId="24" priority="4" operator="equal">
      <formula>FALSE</formula>
    </cfRule>
  </conditionalFormatting>
  <conditionalFormatting sqref="Y804:AA804">
    <cfRule type="cellIs" dxfId="23" priority="1" operator="equal">
      <formula>FALSE</formula>
    </cfRule>
  </conditionalFormatting>
  <conditionalFormatting sqref="Z803:AA803">
    <cfRule type="cellIs" dxfId="22" priority="3" operator="equal">
      <formula>FALSE</formula>
    </cfRule>
  </conditionalFormatting>
  <conditionalFormatting sqref="AF2:AF804">
    <cfRule type="containsText" dxfId="21" priority="2" operator="containsText" text="FALSE">
      <formula>NOT(ISERROR(SEARCH("FALSE",AF2)))</formula>
    </cfRule>
  </conditionalFormatting>
  <conditionalFormatting sqref="AM790:AO791">
    <cfRule type="cellIs" dxfId="20" priority="18" operator="equal">
      <formula>FALSE</formula>
    </cfRule>
  </conditionalFormatting>
  <conditionalFormatting sqref="AN792:AP1048576">
    <cfRule type="cellIs" dxfId="19" priority="13" operator="equal">
      <formula>FALSE</formula>
    </cfRule>
  </conditionalFormatting>
  <dataValidations count="16">
    <dataValidation type="whole" allowBlank="1" showInputMessage="1" showErrorMessage="1" sqref="C2:C804" xr:uid="{C9FB6BB5-B3CF-40B9-A6CD-3E0B48B95DF5}">
      <formula1>0</formula1>
      <formula2>1</formula2>
    </dataValidation>
    <dataValidation type="whole" operator="greaterThanOrEqual" allowBlank="1" showInputMessage="1" showErrorMessage="1" sqref="M784:M795 H2:H804 M2:M725 O2:P804 M800:M801 V2:X804 M804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4 Q2:T804" xr:uid="{F342F512-E760-4CD3-801B-E5B9CF70B7FD}">
      <formula1>0</formula1>
    </dataValidation>
    <dataValidation type="whole" allowBlank="1" showInputMessage="1" showErrorMessage="1" sqref="U2:U795 U797:U798 U800:U802 U804" xr:uid="{7D4429EE-1046-4DE2-A6D7-76E6899E9B8A}">
      <formula1>5</formula1>
      <formula2>100</formula2>
    </dataValidation>
    <dataValidation operator="greaterThanOrEqual" allowBlank="1" showInputMessage="1" showErrorMessage="1" sqref="AI790:AJ791 U796 AJ792:AK1048576 U799 U803 U805:U1048576" xr:uid="{2D963A9D-C2E3-4020-ABFA-FD04EDA25119}"/>
    <dataValidation type="list" allowBlank="1" showInputMessage="1" showErrorMessage="1" sqref="AC2:AC804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4" xr:uid="{EB4398F4-10E4-463B-A52E-1F5C116A99EF}">
      <formula1>INDIRECT("VALID_ENGINE_CLASS[ENGINE_CLASS]")</formula1>
    </dataValidation>
    <dataValidation type="list" operator="greaterThanOrEqual" allowBlank="1" showInputMessage="1" showErrorMessage="1" sqref="AB2:AB804" xr:uid="{D83E915C-A301-4BE3-9E12-6790BD0E2284}">
      <formula1>INDIRECT("VALID_PURCHASECOSTVALUE[PURCHASECOSTVALUE]")</formula1>
    </dataValidation>
    <dataValidation type="list" allowBlank="1" showInputMessage="1" showErrorMessage="1" sqref="D2:D804" xr:uid="{33652263-03A3-437A-966A-BE8C0F8BE076}">
      <formula1>INDIRECT("COUNTRIES[COUNTRY_DESCRIPTION]")</formula1>
    </dataValidation>
    <dataValidation type="list" allowBlank="1" showInputMessage="1" showErrorMessage="1" sqref="E2:E804" xr:uid="{588AE673-9464-4BE0-859D-79E758214056}">
      <formula1>INDIRECT("COUNTRIES[COUNTRY_LABEL]")</formula1>
    </dataValidation>
    <dataValidation type="list" allowBlank="1" showInputMessage="1" showErrorMessage="1" sqref="AM790:AP791 AT790:AX791 AU792:AY1048576 AN792:AQ1048576" xr:uid="{9652105D-A1DA-4D87-8399-EE85E90529F0}">
      <formula1>"TRUE"</formula1>
    </dataValidation>
    <dataValidation type="list" allowBlank="1" showInputMessage="1" showErrorMessage="1" sqref="AF2:AF804" xr:uid="{F2DE25A7-EAF4-4DA6-85FD-9F7B7EE18717}">
      <formula1>"TRUE,FALSE"</formula1>
    </dataValidation>
    <dataValidation type="list" allowBlank="1" showInputMessage="1" showErrorMessage="1" sqref="Y2:Z795 Y797:Z798 Y800:Z802 Z803 Y804:Z804" xr:uid="{A6AEDF15-D52E-4DEA-AD86-7127D84AEEAD}">
      <formula1>INDIRECT("VALID_REGIONS[VALID_REGIONS]")</formula1>
    </dataValidation>
    <dataValidation type="list" allowBlank="1" showInputMessage="1" showErrorMessage="1" sqref="AA800:AA804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AA800:AA804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4"/>
  <sheetViews>
    <sheetView zoomScaleNormal="10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A803" sqref="A803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2992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2994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2998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3000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3017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3019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3022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3025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3028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3030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3033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3038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</sheetData>
  <phoneticPr fontId="18" type="noConversion"/>
  <conditionalFormatting sqref="AF1:AF1048576 AH790:AJ1048576">
    <cfRule type="cellIs" dxfId="18" priority="5" operator="equal">
      <formula>FALSE</formula>
    </cfRule>
  </conditionalFormatting>
  <dataValidations count="1">
    <dataValidation type="list" allowBlank="1" showInputMessage="1" showErrorMessage="1" sqref="AO790:AS1048576 AH790:AK1048576 S2:AF1048576 B2:R804 K805:R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804"/>
  <sheetViews>
    <sheetView zoomScaleNormal="100" workbookViewId="0">
      <pane xSplit="1" ySplit="1" topLeftCell="B551" activePane="bottomRight" state="frozen"/>
      <selection pane="topRight" activeCell="B1" sqref="B1"/>
      <selection pane="bottomLeft" activeCell="A2" sqref="A2"/>
      <selection pane="bottomRight" activeCell="E564" sqref="E5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9" bestFit="1" customWidth="1"/>
    <col min="20" max="20" width="17.4609375" style="10" bestFit="1" customWidth="1"/>
    <col min="21" max="21" width="10" style="11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1" t="s">
        <v>693</v>
      </c>
      <c r="F1" s="1" t="s">
        <v>713</v>
      </c>
      <c r="G1" s="7" t="s">
        <v>714</v>
      </c>
    </row>
    <row r="2" spans="1:21">
      <c r="A2" s="2" t="s">
        <v>742</v>
      </c>
      <c r="B2" t="b">
        <v>1</v>
      </c>
      <c r="C2" t="b">
        <v>0</v>
      </c>
      <c r="D2" s="2" t="b">
        <v>0</v>
      </c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715</v>
      </c>
      <c r="S2"/>
      <c r="T2"/>
      <c r="U2"/>
    </row>
    <row r="3" spans="1:21">
      <c r="A3" s="2" t="s">
        <v>743</v>
      </c>
      <c r="B3" t="b">
        <v>1</v>
      </c>
      <c r="C3" t="b">
        <v>0</v>
      </c>
      <c r="D3" s="2" t="b">
        <v>0</v>
      </c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715</v>
      </c>
      <c r="S3"/>
      <c r="T3"/>
      <c r="U3"/>
    </row>
    <row r="4" spans="1:21">
      <c r="A4" s="2" t="s">
        <v>21</v>
      </c>
      <c r="B4" t="b">
        <v>1</v>
      </c>
      <c r="C4" t="b">
        <v>0</v>
      </c>
      <c r="D4" s="2" t="b">
        <v>0</v>
      </c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715</v>
      </c>
      <c r="S4"/>
      <c r="T4"/>
      <c r="U4"/>
    </row>
    <row r="5" spans="1:21">
      <c r="A5" s="2" t="s">
        <v>24</v>
      </c>
      <c r="B5" t="b">
        <v>1</v>
      </c>
      <c r="C5" t="b">
        <v>0</v>
      </c>
      <c r="D5" s="2" t="b">
        <v>0</v>
      </c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715</v>
      </c>
      <c r="S5"/>
      <c r="T5"/>
      <c r="U5"/>
    </row>
    <row r="6" spans="1:21">
      <c r="A6" s="2" t="s">
        <v>25</v>
      </c>
      <c r="B6" t="b">
        <v>1</v>
      </c>
      <c r="C6" t="b">
        <v>0</v>
      </c>
      <c r="D6" s="2" t="b">
        <v>0</v>
      </c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715</v>
      </c>
      <c r="S6"/>
      <c r="T6"/>
      <c r="U6"/>
    </row>
    <row r="7" spans="1:21">
      <c r="A7" s="2" t="s">
        <v>26</v>
      </c>
      <c r="B7" t="b">
        <v>1</v>
      </c>
      <c r="C7" t="b">
        <v>0</v>
      </c>
      <c r="D7" s="2" t="b">
        <v>0</v>
      </c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715</v>
      </c>
      <c r="S7"/>
      <c r="T7"/>
      <c r="U7"/>
    </row>
    <row r="8" spans="1:21">
      <c r="A8" s="2" t="s">
        <v>27</v>
      </c>
      <c r="B8" t="b">
        <v>1</v>
      </c>
      <c r="C8" t="b">
        <v>0</v>
      </c>
      <c r="D8" s="2" t="b">
        <v>0</v>
      </c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715</v>
      </c>
      <c r="S8"/>
      <c r="T8"/>
      <c r="U8"/>
    </row>
    <row r="9" spans="1:21">
      <c r="A9" s="2" t="s">
        <v>28</v>
      </c>
      <c r="B9" t="b">
        <v>1</v>
      </c>
      <c r="C9" t="b">
        <v>0</v>
      </c>
      <c r="D9" s="2" t="b">
        <v>0</v>
      </c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715</v>
      </c>
      <c r="S9"/>
      <c r="T9"/>
      <c r="U9"/>
    </row>
    <row r="10" spans="1:21">
      <c r="A10" s="2" t="s">
        <v>29</v>
      </c>
      <c r="B10" t="b">
        <v>1</v>
      </c>
      <c r="C10" t="b">
        <v>0</v>
      </c>
      <c r="D10" s="2" t="b">
        <v>0</v>
      </c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715</v>
      </c>
      <c r="S10"/>
      <c r="T10"/>
      <c r="U10"/>
    </row>
    <row r="11" spans="1:21">
      <c r="A11" s="2" t="s">
        <v>30</v>
      </c>
      <c r="B11" t="b">
        <v>1</v>
      </c>
      <c r="C11" t="b">
        <v>0</v>
      </c>
      <c r="D11" s="2" t="b">
        <v>0</v>
      </c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715</v>
      </c>
      <c r="S11"/>
      <c r="T11"/>
      <c r="U11"/>
    </row>
    <row r="12" spans="1:21">
      <c r="A12" s="2" t="s">
        <v>33</v>
      </c>
      <c r="B12" t="b">
        <v>1</v>
      </c>
      <c r="C12" t="b">
        <v>0</v>
      </c>
      <c r="D12" s="2" t="b">
        <v>0</v>
      </c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715</v>
      </c>
      <c r="S12"/>
      <c r="T12"/>
      <c r="U12"/>
    </row>
    <row r="13" spans="1:21">
      <c r="A13" s="2" t="s">
        <v>35</v>
      </c>
      <c r="B13" t="b">
        <v>1</v>
      </c>
      <c r="C13" t="b">
        <v>0</v>
      </c>
      <c r="D13" s="2" t="b">
        <v>0</v>
      </c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715</v>
      </c>
      <c r="S13"/>
      <c r="T13"/>
      <c r="U13"/>
    </row>
    <row r="14" spans="1:21">
      <c r="A14" s="2" t="s">
        <v>36</v>
      </c>
      <c r="B14" t="b">
        <v>1</v>
      </c>
      <c r="C14" t="b">
        <v>0</v>
      </c>
      <c r="D14" s="2" t="b">
        <v>0</v>
      </c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715</v>
      </c>
      <c r="S14"/>
      <c r="T14"/>
      <c r="U14"/>
    </row>
    <row r="15" spans="1:21">
      <c r="A15" s="2" t="s">
        <v>37</v>
      </c>
      <c r="B15" t="b">
        <v>1</v>
      </c>
      <c r="C15" t="b">
        <v>0</v>
      </c>
      <c r="D15" s="2" t="b">
        <v>0</v>
      </c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715</v>
      </c>
      <c r="S15"/>
      <c r="T15"/>
      <c r="U15"/>
    </row>
    <row r="16" spans="1:21">
      <c r="A16" s="2" t="s">
        <v>38</v>
      </c>
      <c r="B16" t="b">
        <v>1</v>
      </c>
      <c r="C16" t="b">
        <v>0</v>
      </c>
      <c r="D16" s="2" t="b">
        <v>0</v>
      </c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715</v>
      </c>
      <c r="S16"/>
      <c r="T16"/>
      <c r="U16"/>
    </row>
    <row r="17" spans="1:21">
      <c r="A17" s="2" t="s">
        <v>39</v>
      </c>
      <c r="B17" t="b">
        <v>1</v>
      </c>
      <c r="C17" t="b">
        <v>0</v>
      </c>
      <c r="D17" s="2" t="b">
        <v>0</v>
      </c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715</v>
      </c>
      <c r="S17"/>
      <c r="T17"/>
      <c r="U17"/>
    </row>
    <row r="18" spans="1:21">
      <c r="A18" s="2" t="s">
        <v>40</v>
      </c>
      <c r="B18" t="b">
        <v>1</v>
      </c>
      <c r="C18" t="b">
        <v>0</v>
      </c>
      <c r="D18" s="2" t="b">
        <v>0</v>
      </c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715</v>
      </c>
      <c r="S18"/>
      <c r="T18"/>
      <c r="U18"/>
    </row>
    <row r="19" spans="1:21">
      <c r="A19" s="2" t="s">
        <v>41</v>
      </c>
      <c r="B19" t="b">
        <v>1</v>
      </c>
      <c r="C19" t="b">
        <v>0</v>
      </c>
      <c r="D19" s="2" t="b">
        <v>0</v>
      </c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715</v>
      </c>
      <c r="S19"/>
      <c r="T19"/>
      <c r="U19"/>
    </row>
    <row r="20" spans="1:21">
      <c r="A20" s="2" t="s">
        <v>42</v>
      </c>
      <c r="B20" t="b">
        <v>1</v>
      </c>
      <c r="C20" t="b">
        <v>0</v>
      </c>
      <c r="D20" s="2" t="b">
        <v>0</v>
      </c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715</v>
      </c>
      <c r="S20"/>
      <c r="T20"/>
      <c r="U20"/>
    </row>
    <row r="21" spans="1:21">
      <c r="A21" s="2" t="s">
        <v>43</v>
      </c>
      <c r="B21" t="b">
        <v>1</v>
      </c>
      <c r="C21" t="b">
        <v>0</v>
      </c>
      <c r="D21" s="2" t="b">
        <v>0</v>
      </c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715</v>
      </c>
      <c r="S21"/>
      <c r="T21"/>
      <c r="U21"/>
    </row>
    <row r="22" spans="1:21">
      <c r="A22" s="2" t="s">
        <v>44</v>
      </c>
      <c r="B22" t="b">
        <v>1</v>
      </c>
      <c r="C22" t="b">
        <v>0</v>
      </c>
      <c r="D22" s="2" t="b">
        <v>0</v>
      </c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715</v>
      </c>
      <c r="S22"/>
      <c r="T22"/>
      <c r="U22"/>
    </row>
    <row r="23" spans="1:21">
      <c r="A23" s="2" t="s">
        <v>45</v>
      </c>
      <c r="B23" t="b">
        <v>1</v>
      </c>
      <c r="C23" t="b">
        <v>0</v>
      </c>
      <c r="D23" s="2" t="b">
        <v>0</v>
      </c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715</v>
      </c>
      <c r="S23"/>
      <c r="T23"/>
      <c r="U23"/>
    </row>
    <row r="24" spans="1:21">
      <c r="A24" s="2" t="s">
        <v>46</v>
      </c>
      <c r="B24" t="b">
        <v>1</v>
      </c>
      <c r="C24" t="b">
        <v>0</v>
      </c>
      <c r="D24" s="2" t="b">
        <v>0</v>
      </c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715</v>
      </c>
      <c r="S24"/>
      <c r="T24"/>
      <c r="U24"/>
    </row>
    <row r="25" spans="1:21">
      <c r="A25" s="2" t="s">
        <v>47</v>
      </c>
      <c r="B25" t="b">
        <v>1</v>
      </c>
      <c r="C25" t="b">
        <v>0</v>
      </c>
      <c r="D25" s="2" t="b">
        <v>0</v>
      </c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715</v>
      </c>
      <c r="S25"/>
      <c r="T25"/>
      <c r="U25"/>
    </row>
    <row r="26" spans="1:21">
      <c r="A26" s="2" t="s">
        <v>48</v>
      </c>
      <c r="B26" t="b">
        <v>1</v>
      </c>
      <c r="C26" t="b">
        <v>0</v>
      </c>
      <c r="D26" s="2" t="b">
        <v>0</v>
      </c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715</v>
      </c>
      <c r="S26"/>
      <c r="T26"/>
      <c r="U26"/>
    </row>
    <row r="27" spans="1:21">
      <c r="A27" s="2" t="s">
        <v>49</v>
      </c>
      <c r="B27" t="b">
        <v>1</v>
      </c>
      <c r="C27" t="b">
        <v>0</v>
      </c>
      <c r="D27" s="2" t="b">
        <v>0</v>
      </c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715</v>
      </c>
      <c r="S27"/>
      <c r="T27"/>
      <c r="U27"/>
    </row>
    <row r="28" spans="1:21">
      <c r="A28" s="2" t="s">
        <v>50</v>
      </c>
      <c r="B28" t="b">
        <v>1</v>
      </c>
      <c r="C28" t="b">
        <v>0</v>
      </c>
      <c r="D28" s="2" t="b">
        <v>0</v>
      </c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715</v>
      </c>
      <c r="S28"/>
      <c r="T28"/>
      <c r="U28"/>
    </row>
    <row r="29" spans="1:21">
      <c r="A29" s="2" t="s">
        <v>51</v>
      </c>
      <c r="B29" t="b">
        <v>1</v>
      </c>
      <c r="C29" t="b">
        <v>0</v>
      </c>
      <c r="D29" s="2" t="b">
        <v>0</v>
      </c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715</v>
      </c>
      <c r="S29"/>
      <c r="T29"/>
      <c r="U29"/>
    </row>
    <row r="30" spans="1:21">
      <c r="A30" s="2" t="s">
        <v>52</v>
      </c>
      <c r="B30" t="b">
        <v>1</v>
      </c>
      <c r="C30" t="b">
        <v>0</v>
      </c>
      <c r="D30" s="2" t="b">
        <v>0</v>
      </c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715</v>
      </c>
      <c r="S30"/>
      <c r="T30"/>
      <c r="U30"/>
    </row>
    <row r="31" spans="1:21">
      <c r="A31" s="2" t="s">
        <v>53</v>
      </c>
      <c r="B31" t="b">
        <v>1</v>
      </c>
      <c r="C31" t="b">
        <v>0</v>
      </c>
      <c r="D31" s="2" t="b">
        <v>0</v>
      </c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715</v>
      </c>
      <c r="S31"/>
      <c r="T31"/>
      <c r="U31"/>
    </row>
    <row r="32" spans="1:21">
      <c r="A32" s="2" t="s">
        <v>54</v>
      </c>
      <c r="B32" t="b">
        <v>1</v>
      </c>
      <c r="C32" t="b">
        <v>0</v>
      </c>
      <c r="D32" s="2" t="b">
        <v>0</v>
      </c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715</v>
      </c>
      <c r="S32"/>
      <c r="T32"/>
      <c r="U32"/>
    </row>
    <row r="33" spans="1:21">
      <c r="A33" s="2" t="s">
        <v>55</v>
      </c>
      <c r="B33" t="b">
        <v>1</v>
      </c>
      <c r="C33" t="b">
        <v>0</v>
      </c>
      <c r="D33" s="2" t="b">
        <v>0</v>
      </c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715</v>
      </c>
      <c r="S33"/>
      <c r="T33"/>
      <c r="U33"/>
    </row>
    <row r="34" spans="1:21">
      <c r="A34" s="2" t="s">
        <v>56</v>
      </c>
      <c r="B34" t="b">
        <v>1</v>
      </c>
      <c r="C34" t="b">
        <v>0</v>
      </c>
      <c r="D34" s="2" t="b">
        <v>0</v>
      </c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715</v>
      </c>
      <c r="S34"/>
      <c r="T34"/>
      <c r="U34"/>
    </row>
    <row r="35" spans="1:21">
      <c r="A35" s="2" t="s">
        <v>57</v>
      </c>
      <c r="B35" t="b">
        <v>1</v>
      </c>
      <c r="C35" t="b">
        <v>0</v>
      </c>
      <c r="D35" s="2" t="b">
        <v>0</v>
      </c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715</v>
      </c>
      <c r="S35"/>
      <c r="T35"/>
      <c r="U35"/>
    </row>
    <row r="36" spans="1:21">
      <c r="A36" s="2" t="s">
        <v>58</v>
      </c>
      <c r="B36" t="b">
        <v>1</v>
      </c>
      <c r="C36" t="b">
        <v>0</v>
      </c>
      <c r="D36" s="2" t="b">
        <v>0</v>
      </c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715</v>
      </c>
      <c r="S36"/>
      <c r="T36"/>
      <c r="U36"/>
    </row>
    <row r="37" spans="1:21">
      <c r="A37" s="2" t="s">
        <v>59</v>
      </c>
      <c r="B37" t="b">
        <v>1</v>
      </c>
      <c r="C37" t="b">
        <v>0</v>
      </c>
      <c r="D37" s="2" t="b">
        <v>0</v>
      </c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715</v>
      </c>
      <c r="S37"/>
      <c r="T37"/>
      <c r="U37"/>
    </row>
    <row r="38" spans="1:21">
      <c r="A38" s="2" t="s">
        <v>60</v>
      </c>
      <c r="B38" t="b">
        <v>1</v>
      </c>
      <c r="C38" t="b">
        <v>0</v>
      </c>
      <c r="D38" s="2" t="b">
        <v>0</v>
      </c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715</v>
      </c>
      <c r="S38"/>
      <c r="T38"/>
      <c r="U38"/>
    </row>
    <row r="39" spans="1:21">
      <c r="A39" s="2" t="s">
        <v>61</v>
      </c>
      <c r="B39" t="b">
        <v>1</v>
      </c>
      <c r="C39" t="b">
        <v>0</v>
      </c>
      <c r="D39" s="2" t="b">
        <v>0</v>
      </c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715</v>
      </c>
      <c r="S39"/>
      <c r="T39"/>
      <c r="U39"/>
    </row>
    <row r="40" spans="1:21">
      <c r="A40" s="2" t="s">
        <v>62</v>
      </c>
      <c r="B40" t="b">
        <v>1</v>
      </c>
      <c r="C40" t="b">
        <v>0</v>
      </c>
      <c r="D40" s="2" t="b">
        <v>0</v>
      </c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715</v>
      </c>
      <c r="S40"/>
      <c r="T40"/>
      <c r="U40"/>
    </row>
    <row r="41" spans="1:21">
      <c r="A41" s="2" t="s">
        <v>63</v>
      </c>
      <c r="B41" t="b">
        <v>1</v>
      </c>
      <c r="C41" t="b">
        <v>0</v>
      </c>
      <c r="D41" s="2" t="b">
        <v>0</v>
      </c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715</v>
      </c>
      <c r="S41"/>
      <c r="T41"/>
      <c r="U41"/>
    </row>
    <row r="42" spans="1:21">
      <c r="A42" s="2" t="s">
        <v>64</v>
      </c>
      <c r="B42" t="b">
        <v>1</v>
      </c>
      <c r="C42" t="b">
        <v>0</v>
      </c>
      <c r="D42" s="2" t="b">
        <v>0</v>
      </c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715</v>
      </c>
      <c r="S42"/>
      <c r="T42"/>
      <c r="U42"/>
    </row>
    <row r="43" spans="1:21">
      <c r="A43" s="2" t="s">
        <v>65</v>
      </c>
      <c r="B43" t="b">
        <v>1</v>
      </c>
      <c r="C43" t="b">
        <v>0</v>
      </c>
      <c r="D43" s="2" t="b">
        <v>0</v>
      </c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715</v>
      </c>
      <c r="S43"/>
      <c r="T43"/>
      <c r="U43"/>
    </row>
    <row r="44" spans="1:21">
      <c r="A44" s="2" t="s">
        <v>66</v>
      </c>
      <c r="B44" t="b">
        <v>1</v>
      </c>
      <c r="C44" t="b">
        <v>0</v>
      </c>
      <c r="D44" s="2" t="b">
        <v>0</v>
      </c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715</v>
      </c>
      <c r="S44"/>
      <c r="T44"/>
      <c r="U44"/>
    </row>
    <row r="45" spans="1:21">
      <c r="A45" s="2" t="s">
        <v>67</v>
      </c>
      <c r="B45" t="b">
        <v>1</v>
      </c>
      <c r="C45" t="b">
        <v>0</v>
      </c>
      <c r="D45" s="2" t="b">
        <v>0</v>
      </c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715</v>
      </c>
      <c r="S45"/>
      <c r="T45"/>
      <c r="U45"/>
    </row>
    <row r="46" spans="1:21">
      <c r="A46" s="2" t="s">
        <v>68</v>
      </c>
      <c r="B46" t="b">
        <v>1</v>
      </c>
      <c r="C46" t="b">
        <v>0</v>
      </c>
      <c r="D46" s="2" t="b">
        <v>0</v>
      </c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715</v>
      </c>
      <c r="S46"/>
      <c r="T46"/>
      <c r="U46"/>
    </row>
    <row r="47" spans="1:21">
      <c r="A47" s="2" t="s">
        <v>69</v>
      </c>
      <c r="B47" t="b">
        <v>1</v>
      </c>
      <c r="C47" t="b">
        <v>0</v>
      </c>
      <c r="D47" s="2" t="b">
        <v>0</v>
      </c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715</v>
      </c>
      <c r="S47"/>
      <c r="T47"/>
      <c r="U47"/>
    </row>
    <row r="48" spans="1:21">
      <c r="A48" s="2" t="s">
        <v>70</v>
      </c>
      <c r="B48" t="b">
        <v>1</v>
      </c>
      <c r="C48" t="b">
        <v>0</v>
      </c>
      <c r="D48" s="2" t="b">
        <v>0</v>
      </c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715</v>
      </c>
      <c r="S48"/>
      <c r="T48"/>
      <c r="U48"/>
    </row>
    <row r="49" spans="1:21">
      <c r="A49" s="2" t="s">
        <v>71</v>
      </c>
      <c r="B49" t="b">
        <v>1</v>
      </c>
      <c r="C49" t="b">
        <v>0</v>
      </c>
      <c r="D49" s="2" t="b">
        <v>0</v>
      </c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715</v>
      </c>
      <c r="S49"/>
      <c r="T49"/>
      <c r="U49"/>
    </row>
    <row r="50" spans="1:21">
      <c r="A50" s="2" t="s">
        <v>72</v>
      </c>
      <c r="B50" t="b">
        <v>1</v>
      </c>
      <c r="C50" t="b">
        <v>0</v>
      </c>
      <c r="D50" s="2" t="b">
        <v>0</v>
      </c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715</v>
      </c>
      <c r="S50"/>
      <c r="T50"/>
      <c r="U50"/>
    </row>
    <row r="51" spans="1:21">
      <c r="A51" s="2" t="s">
        <v>74</v>
      </c>
      <c r="B51" t="b">
        <v>1</v>
      </c>
      <c r="C51" t="b">
        <v>0</v>
      </c>
      <c r="D51" s="2" t="b">
        <v>0</v>
      </c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715</v>
      </c>
      <c r="S51"/>
      <c r="T51"/>
      <c r="U51"/>
    </row>
    <row r="52" spans="1:21">
      <c r="A52" s="2" t="s">
        <v>75</v>
      </c>
      <c r="B52" t="b">
        <v>1</v>
      </c>
      <c r="C52" t="b">
        <v>0</v>
      </c>
      <c r="D52" s="2" t="b">
        <v>0</v>
      </c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715</v>
      </c>
      <c r="S52"/>
      <c r="T52"/>
      <c r="U52"/>
    </row>
    <row r="53" spans="1:21">
      <c r="A53" s="2" t="s">
        <v>76</v>
      </c>
      <c r="B53" t="b">
        <v>1</v>
      </c>
      <c r="C53" t="b">
        <v>0</v>
      </c>
      <c r="D53" s="2" t="b">
        <v>0</v>
      </c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715</v>
      </c>
      <c r="S53"/>
      <c r="T53"/>
      <c r="U53"/>
    </row>
    <row r="54" spans="1:21">
      <c r="A54" s="2" t="s">
        <v>77</v>
      </c>
      <c r="B54" t="b">
        <v>1</v>
      </c>
      <c r="C54" t="b">
        <v>0</v>
      </c>
      <c r="D54" s="2" t="b">
        <v>0</v>
      </c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715</v>
      </c>
      <c r="S54"/>
      <c r="T54"/>
      <c r="U54"/>
    </row>
    <row r="55" spans="1:21">
      <c r="A55" s="2" t="s">
        <v>78</v>
      </c>
      <c r="B55" t="b">
        <v>1</v>
      </c>
      <c r="C55" t="b">
        <v>0</v>
      </c>
      <c r="D55" s="2" t="b">
        <v>0</v>
      </c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715</v>
      </c>
      <c r="S55"/>
      <c r="T55"/>
      <c r="U55"/>
    </row>
    <row r="56" spans="1:21">
      <c r="A56" s="2" t="s">
        <v>79</v>
      </c>
      <c r="B56" t="b">
        <v>1</v>
      </c>
      <c r="C56" t="b">
        <v>0</v>
      </c>
      <c r="D56" s="2" t="b">
        <v>0</v>
      </c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715</v>
      </c>
      <c r="S56"/>
      <c r="T56"/>
      <c r="U56"/>
    </row>
    <row r="57" spans="1:21">
      <c r="A57" s="2" t="s">
        <v>80</v>
      </c>
      <c r="B57" t="b">
        <v>1</v>
      </c>
      <c r="C57" t="b">
        <v>0</v>
      </c>
      <c r="D57" s="2" t="b">
        <v>0</v>
      </c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715</v>
      </c>
      <c r="S57"/>
      <c r="T57"/>
      <c r="U57"/>
    </row>
    <row r="58" spans="1:21">
      <c r="A58" s="2" t="s">
        <v>81</v>
      </c>
      <c r="B58" t="b">
        <v>1</v>
      </c>
      <c r="C58" t="b">
        <v>0</v>
      </c>
      <c r="D58" s="2" t="b">
        <v>0</v>
      </c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715</v>
      </c>
      <c r="S58"/>
      <c r="T58"/>
      <c r="U58"/>
    </row>
    <row r="59" spans="1:21">
      <c r="A59" s="2" t="s">
        <v>82</v>
      </c>
      <c r="B59" t="b">
        <v>1</v>
      </c>
      <c r="C59" t="b">
        <v>0</v>
      </c>
      <c r="D59" s="2" t="b">
        <v>0</v>
      </c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715</v>
      </c>
      <c r="S59"/>
      <c r="T59"/>
      <c r="U59"/>
    </row>
    <row r="60" spans="1:21">
      <c r="A60" s="2" t="s">
        <v>83</v>
      </c>
      <c r="B60" t="b">
        <v>1</v>
      </c>
      <c r="C60" t="b">
        <v>0</v>
      </c>
      <c r="D60" s="2" t="b">
        <v>0</v>
      </c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715</v>
      </c>
      <c r="S60"/>
      <c r="T60"/>
      <c r="U60"/>
    </row>
    <row r="61" spans="1:21">
      <c r="A61" s="2" t="s">
        <v>84</v>
      </c>
      <c r="B61" t="b">
        <v>1</v>
      </c>
      <c r="C61" t="b">
        <v>0</v>
      </c>
      <c r="D61" s="2" t="b">
        <v>0</v>
      </c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715</v>
      </c>
      <c r="S61"/>
      <c r="T61"/>
      <c r="U61"/>
    </row>
    <row r="62" spans="1:21">
      <c r="A62" s="2" t="s">
        <v>85</v>
      </c>
      <c r="B62" t="b">
        <v>1</v>
      </c>
      <c r="C62" t="b">
        <v>0</v>
      </c>
      <c r="D62" s="2" t="b">
        <v>0</v>
      </c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715</v>
      </c>
      <c r="S62"/>
      <c r="T62"/>
      <c r="U62"/>
    </row>
    <row r="63" spans="1:21">
      <c r="A63" s="2" t="s">
        <v>86</v>
      </c>
      <c r="B63" t="b">
        <v>1</v>
      </c>
      <c r="C63" t="b">
        <v>0</v>
      </c>
      <c r="D63" s="2" t="b">
        <v>0</v>
      </c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715</v>
      </c>
      <c r="S63"/>
      <c r="T63"/>
      <c r="U63"/>
    </row>
    <row r="64" spans="1:21">
      <c r="A64" s="2" t="s">
        <v>87</v>
      </c>
      <c r="B64" t="b">
        <v>1</v>
      </c>
      <c r="C64" t="b">
        <v>0</v>
      </c>
      <c r="D64" s="2" t="b">
        <v>0</v>
      </c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715</v>
      </c>
      <c r="S64"/>
      <c r="T64"/>
      <c r="U64"/>
    </row>
    <row r="65" spans="1:21">
      <c r="A65" s="2" t="s">
        <v>88</v>
      </c>
      <c r="B65" t="b">
        <v>1</v>
      </c>
      <c r="C65" t="b">
        <v>0</v>
      </c>
      <c r="D65" s="2" t="b">
        <v>0</v>
      </c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715</v>
      </c>
      <c r="S65"/>
      <c r="T65"/>
      <c r="U65"/>
    </row>
    <row r="66" spans="1:21">
      <c r="A66" s="2" t="s">
        <v>89</v>
      </c>
      <c r="B66" t="b">
        <v>1</v>
      </c>
      <c r="C66" t="b">
        <v>0</v>
      </c>
      <c r="D66" s="2" t="b">
        <v>0</v>
      </c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715</v>
      </c>
      <c r="S66"/>
      <c r="T66"/>
      <c r="U66"/>
    </row>
    <row r="67" spans="1:21">
      <c r="A67" s="2" t="s">
        <v>90</v>
      </c>
      <c r="B67" t="b">
        <v>1</v>
      </c>
      <c r="C67" t="b">
        <v>0</v>
      </c>
      <c r="D67" s="2" t="b">
        <v>0</v>
      </c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715</v>
      </c>
      <c r="S67"/>
      <c r="T67"/>
      <c r="U67"/>
    </row>
    <row r="68" spans="1:21">
      <c r="A68" s="2" t="s">
        <v>91</v>
      </c>
      <c r="B68" t="b">
        <v>1</v>
      </c>
      <c r="C68" t="b">
        <v>0</v>
      </c>
      <c r="D68" s="2" t="b">
        <v>0</v>
      </c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715</v>
      </c>
      <c r="S68"/>
      <c r="T68"/>
      <c r="U68"/>
    </row>
    <row r="69" spans="1:21">
      <c r="A69" s="2" t="s">
        <v>92</v>
      </c>
      <c r="B69" t="b">
        <v>1</v>
      </c>
      <c r="C69" t="b">
        <v>0</v>
      </c>
      <c r="D69" s="2" t="b">
        <v>0</v>
      </c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715</v>
      </c>
      <c r="S69"/>
      <c r="T69"/>
      <c r="U69"/>
    </row>
    <row r="70" spans="1:21">
      <c r="A70" s="2" t="s">
        <v>93</v>
      </c>
      <c r="B70" t="b">
        <v>1</v>
      </c>
      <c r="C70" t="b">
        <v>0</v>
      </c>
      <c r="D70" s="2" t="b">
        <v>0</v>
      </c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715</v>
      </c>
      <c r="S70"/>
      <c r="T70"/>
      <c r="U70"/>
    </row>
    <row r="71" spans="1:21">
      <c r="A71" s="2" t="s">
        <v>94</v>
      </c>
      <c r="B71" t="b">
        <v>1</v>
      </c>
      <c r="C71" t="b">
        <v>0</v>
      </c>
      <c r="D71" s="2" t="b">
        <v>0</v>
      </c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715</v>
      </c>
      <c r="S71"/>
      <c r="T71"/>
      <c r="U71"/>
    </row>
    <row r="72" spans="1:21">
      <c r="A72" s="2" t="s">
        <v>95</v>
      </c>
      <c r="B72" t="b">
        <v>1</v>
      </c>
      <c r="C72" t="b">
        <v>0</v>
      </c>
      <c r="D72" s="2" t="b">
        <v>0</v>
      </c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715</v>
      </c>
      <c r="S72"/>
      <c r="T72"/>
      <c r="U72"/>
    </row>
    <row r="73" spans="1:21">
      <c r="A73" s="2" t="s">
        <v>96</v>
      </c>
      <c r="B73" t="b">
        <v>1</v>
      </c>
      <c r="C73" t="b">
        <v>0</v>
      </c>
      <c r="D73" s="2" t="b">
        <v>0</v>
      </c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715</v>
      </c>
      <c r="S73"/>
      <c r="T73"/>
      <c r="U73"/>
    </row>
    <row r="74" spans="1:21">
      <c r="A74" s="2" t="s">
        <v>97</v>
      </c>
      <c r="B74" t="b">
        <v>1</v>
      </c>
      <c r="C74" t="b">
        <v>0</v>
      </c>
      <c r="D74" s="2" t="b">
        <v>0</v>
      </c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715</v>
      </c>
      <c r="S74"/>
      <c r="T74"/>
      <c r="U74"/>
    </row>
    <row r="75" spans="1:21">
      <c r="A75" s="2" t="s">
        <v>98</v>
      </c>
      <c r="B75" t="b">
        <v>1</v>
      </c>
      <c r="C75" t="b">
        <v>0</v>
      </c>
      <c r="D75" s="2" t="b">
        <v>0</v>
      </c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715</v>
      </c>
      <c r="S75"/>
      <c r="T75"/>
      <c r="U75"/>
    </row>
    <row r="76" spans="1:21">
      <c r="A76" s="2" t="s">
        <v>99</v>
      </c>
      <c r="B76" t="b">
        <v>1</v>
      </c>
      <c r="C76" t="b">
        <v>0</v>
      </c>
      <c r="D76" s="2" t="b">
        <v>0</v>
      </c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715</v>
      </c>
      <c r="S76"/>
      <c r="T76"/>
      <c r="U76"/>
    </row>
    <row r="77" spans="1:21">
      <c r="A77" s="2" t="s">
        <v>100</v>
      </c>
      <c r="B77" t="b">
        <v>1</v>
      </c>
      <c r="C77" t="b">
        <v>0</v>
      </c>
      <c r="D77" s="2" t="b">
        <v>0</v>
      </c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715</v>
      </c>
      <c r="S77"/>
      <c r="T77"/>
      <c r="U77"/>
    </row>
    <row r="78" spans="1:21">
      <c r="A78" s="2" t="s">
        <v>101</v>
      </c>
      <c r="B78" t="b">
        <v>1</v>
      </c>
      <c r="C78" t="b">
        <v>0</v>
      </c>
      <c r="D78" s="2" t="b">
        <v>0</v>
      </c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715</v>
      </c>
      <c r="S78"/>
      <c r="T78"/>
      <c r="U78"/>
    </row>
    <row r="79" spans="1:21">
      <c r="A79" s="2" t="s">
        <v>102</v>
      </c>
      <c r="B79" t="b">
        <v>1</v>
      </c>
      <c r="C79" t="b">
        <v>0</v>
      </c>
      <c r="D79" s="2" t="b">
        <v>0</v>
      </c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715</v>
      </c>
      <c r="S79"/>
      <c r="T79"/>
      <c r="U79"/>
    </row>
    <row r="80" spans="1:21">
      <c r="A80" s="2" t="s">
        <v>103</v>
      </c>
      <c r="B80" t="b">
        <v>1</v>
      </c>
      <c r="C80" t="b">
        <v>0</v>
      </c>
      <c r="D80" s="2" t="b">
        <v>0</v>
      </c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715</v>
      </c>
      <c r="S80"/>
      <c r="T80"/>
      <c r="U80"/>
    </row>
    <row r="81" spans="1:21">
      <c r="A81" s="2" t="s">
        <v>104</v>
      </c>
      <c r="B81" t="b">
        <v>1</v>
      </c>
      <c r="C81" t="b">
        <v>0</v>
      </c>
      <c r="D81" s="2" t="b">
        <v>0</v>
      </c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715</v>
      </c>
      <c r="S81"/>
      <c r="T81"/>
      <c r="U81"/>
    </row>
    <row r="82" spans="1:21">
      <c r="A82" s="2" t="s">
        <v>105</v>
      </c>
      <c r="B82" t="b">
        <v>1</v>
      </c>
      <c r="C82" t="b">
        <v>0</v>
      </c>
      <c r="D82" s="2" t="b">
        <v>0</v>
      </c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715</v>
      </c>
      <c r="S82"/>
      <c r="T82"/>
      <c r="U82"/>
    </row>
    <row r="83" spans="1:21">
      <c r="A83" s="2" t="s">
        <v>106</v>
      </c>
      <c r="B83" t="b">
        <v>1</v>
      </c>
      <c r="C83" t="b">
        <v>0</v>
      </c>
      <c r="D83" s="2" t="b">
        <v>0</v>
      </c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715</v>
      </c>
      <c r="S83"/>
      <c r="T83"/>
      <c r="U83"/>
    </row>
    <row r="84" spans="1:21">
      <c r="A84" s="2" t="s">
        <v>107</v>
      </c>
      <c r="B84" t="b">
        <v>1</v>
      </c>
      <c r="C84" t="b">
        <v>0</v>
      </c>
      <c r="D84" s="2" t="b">
        <v>0</v>
      </c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715</v>
      </c>
      <c r="S84"/>
      <c r="T84"/>
      <c r="U84"/>
    </row>
    <row r="85" spans="1:21">
      <c r="A85" s="2" t="s">
        <v>108</v>
      </c>
      <c r="B85" t="b">
        <v>1</v>
      </c>
      <c r="C85" t="b">
        <v>0</v>
      </c>
      <c r="D85" s="2" t="b">
        <v>0</v>
      </c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715</v>
      </c>
      <c r="S85"/>
      <c r="T85"/>
      <c r="U85"/>
    </row>
    <row r="86" spans="1:21">
      <c r="A86" s="2" t="s">
        <v>109</v>
      </c>
      <c r="B86" t="b">
        <v>1</v>
      </c>
      <c r="C86" t="b">
        <v>0</v>
      </c>
      <c r="D86" s="2" t="b">
        <v>0</v>
      </c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715</v>
      </c>
      <c r="S86"/>
      <c r="T86"/>
      <c r="U86"/>
    </row>
    <row r="87" spans="1:21">
      <c r="A87" s="2" t="s">
        <v>110</v>
      </c>
      <c r="B87" t="b">
        <v>1</v>
      </c>
      <c r="C87" t="b">
        <v>0</v>
      </c>
      <c r="D87" s="2" t="b">
        <v>0</v>
      </c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715</v>
      </c>
      <c r="S87"/>
      <c r="T87"/>
      <c r="U87"/>
    </row>
    <row r="88" spans="1:21">
      <c r="A88" s="2" t="s">
        <v>111</v>
      </c>
      <c r="B88" t="b">
        <v>1</v>
      </c>
      <c r="C88" t="b">
        <v>0</v>
      </c>
      <c r="D88" s="2" t="b">
        <v>0</v>
      </c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715</v>
      </c>
      <c r="S88"/>
      <c r="T88"/>
      <c r="U88"/>
    </row>
    <row r="89" spans="1:21">
      <c r="A89" s="2" t="s">
        <v>112</v>
      </c>
      <c r="B89" t="b">
        <v>1</v>
      </c>
      <c r="C89" t="b">
        <v>0</v>
      </c>
      <c r="D89" s="2" t="b">
        <v>0</v>
      </c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715</v>
      </c>
      <c r="S89"/>
      <c r="T89"/>
      <c r="U89"/>
    </row>
    <row r="90" spans="1:21">
      <c r="A90" s="2" t="s">
        <v>113</v>
      </c>
      <c r="B90" t="b">
        <v>1</v>
      </c>
      <c r="C90" t="b">
        <v>0</v>
      </c>
      <c r="D90" s="2" t="b">
        <v>0</v>
      </c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715</v>
      </c>
      <c r="S90"/>
      <c r="T90"/>
      <c r="U90"/>
    </row>
    <row r="91" spans="1:21">
      <c r="A91" s="2" t="s">
        <v>114</v>
      </c>
      <c r="B91" t="b">
        <v>1</v>
      </c>
      <c r="C91" t="b">
        <v>0</v>
      </c>
      <c r="D91" s="2" t="b">
        <v>0</v>
      </c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715</v>
      </c>
      <c r="S91"/>
      <c r="T91"/>
      <c r="U91"/>
    </row>
    <row r="92" spans="1:21">
      <c r="A92" s="2" t="s">
        <v>115</v>
      </c>
      <c r="B92" t="b">
        <v>1</v>
      </c>
      <c r="C92" t="b">
        <v>0</v>
      </c>
      <c r="D92" s="2" t="b">
        <v>0</v>
      </c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715</v>
      </c>
      <c r="S92"/>
      <c r="T92"/>
      <c r="U92"/>
    </row>
    <row r="93" spans="1:21">
      <c r="A93" s="2" t="s">
        <v>116</v>
      </c>
      <c r="B93" t="b">
        <v>1</v>
      </c>
      <c r="C93" t="b">
        <v>0</v>
      </c>
      <c r="D93" s="2" t="b">
        <v>0</v>
      </c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715</v>
      </c>
      <c r="S93"/>
      <c r="T93"/>
      <c r="U93"/>
    </row>
    <row r="94" spans="1:21">
      <c r="A94" s="2" t="s">
        <v>117</v>
      </c>
      <c r="B94" t="b">
        <v>1</v>
      </c>
      <c r="C94" t="b">
        <v>0</v>
      </c>
      <c r="D94" s="2" t="b">
        <v>0</v>
      </c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715</v>
      </c>
      <c r="S94"/>
      <c r="T94"/>
      <c r="U94"/>
    </row>
    <row r="95" spans="1:21">
      <c r="A95" s="2" t="s">
        <v>118</v>
      </c>
      <c r="B95" t="b">
        <v>1</v>
      </c>
      <c r="C95" t="b">
        <v>0</v>
      </c>
      <c r="D95" s="2" t="b">
        <v>0</v>
      </c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715</v>
      </c>
      <c r="S95"/>
      <c r="T95"/>
      <c r="U95"/>
    </row>
    <row r="96" spans="1:21">
      <c r="A96" s="2" t="s">
        <v>119</v>
      </c>
      <c r="B96" t="b">
        <v>1</v>
      </c>
      <c r="C96" t="b">
        <v>0</v>
      </c>
      <c r="D96" s="2" t="b">
        <v>0</v>
      </c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715</v>
      </c>
      <c r="S96"/>
      <c r="T96"/>
      <c r="U96"/>
    </row>
    <row r="97" spans="1:21">
      <c r="A97" s="2" t="s">
        <v>120</v>
      </c>
      <c r="B97" t="b">
        <v>1</v>
      </c>
      <c r="C97" t="b">
        <v>0</v>
      </c>
      <c r="D97" s="2" t="b">
        <v>0</v>
      </c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715</v>
      </c>
      <c r="S97"/>
      <c r="T97"/>
      <c r="U97"/>
    </row>
    <row r="98" spans="1:21">
      <c r="A98" s="2" t="s">
        <v>121</v>
      </c>
      <c r="B98" t="b">
        <v>1</v>
      </c>
      <c r="C98" t="b">
        <v>0</v>
      </c>
      <c r="D98" s="2" t="b">
        <v>0</v>
      </c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715</v>
      </c>
      <c r="S98"/>
      <c r="T98"/>
      <c r="U98"/>
    </row>
    <row r="99" spans="1:21">
      <c r="A99" s="2" t="s">
        <v>122</v>
      </c>
      <c r="B99" t="b">
        <v>1</v>
      </c>
      <c r="C99" t="b">
        <v>0</v>
      </c>
      <c r="D99" s="2" t="b">
        <v>0</v>
      </c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715</v>
      </c>
      <c r="S99"/>
      <c r="T99"/>
      <c r="U99"/>
    </row>
    <row r="100" spans="1:21">
      <c r="A100" s="2" t="s">
        <v>123</v>
      </c>
      <c r="B100" t="b">
        <v>1</v>
      </c>
      <c r="C100" t="b">
        <v>0</v>
      </c>
      <c r="D100" s="2" t="b">
        <v>0</v>
      </c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715</v>
      </c>
      <c r="S100"/>
      <c r="T100"/>
      <c r="U100"/>
    </row>
    <row r="101" spans="1:21">
      <c r="A101" s="2" t="s">
        <v>124</v>
      </c>
      <c r="B101" t="b">
        <v>1</v>
      </c>
      <c r="C101" t="b">
        <v>0</v>
      </c>
      <c r="D101" s="2" t="b">
        <v>0</v>
      </c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715</v>
      </c>
      <c r="S101"/>
      <c r="T101"/>
      <c r="U101"/>
    </row>
    <row r="102" spans="1:21">
      <c r="A102" s="2" t="s">
        <v>125</v>
      </c>
      <c r="B102" t="b">
        <v>1</v>
      </c>
      <c r="C102" t="b">
        <v>0</v>
      </c>
      <c r="D102" s="2" t="b">
        <v>0</v>
      </c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715</v>
      </c>
      <c r="S102"/>
      <c r="T102"/>
      <c r="U102"/>
    </row>
    <row r="103" spans="1:21">
      <c r="A103" s="2" t="s">
        <v>126</v>
      </c>
      <c r="B103" t="b">
        <v>1</v>
      </c>
      <c r="C103" t="b">
        <v>0</v>
      </c>
      <c r="D103" s="2" t="b">
        <v>0</v>
      </c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715</v>
      </c>
      <c r="S103"/>
      <c r="T103"/>
      <c r="U103"/>
    </row>
    <row r="104" spans="1:21">
      <c r="A104" s="2" t="s">
        <v>127</v>
      </c>
      <c r="B104" t="b">
        <v>1</v>
      </c>
      <c r="C104" t="b">
        <v>0</v>
      </c>
      <c r="D104" s="2" t="b">
        <v>0</v>
      </c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715</v>
      </c>
      <c r="S104"/>
      <c r="T104"/>
      <c r="U104"/>
    </row>
    <row r="105" spans="1:21">
      <c r="A105" s="2" t="s">
        <v>128</v>
      </c>
      <c r="B105" t="b">
        <v>1</v>
      </c>
      <c r="C105" t="b">
        <v>0</v>
      </c>
      <c r="D105" s="2" t="b">
        <v>0</v>
      </c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715</v>
      </c>
      <c r="S105"/>
      <c r="T105"/>
      <c r="U105"/>
    </row>
    <row r="106" spans="1:21">
      <c r="A106" s="2" t="s">
        <v>129</v>
      </c>
      <c r="B106" t="b">
        <v>1</v>
      </c>
      <c r="C106" t="b">
        <v>0</v>
      </c>
      <c r="D106" s="2" t="b">
        <v>0</v>
      </c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715</v>
      </c>
      <c r="S106"/>
      <c r="T106"/>
      <c r="U106"/>
    </row>
    <row r="107" spans="1:21">
      <c r="A107" s="2" t="s">
        <v>130</v>
      </c>
      <c r="B107" t="b">
        <v>1</v>
      </c>
      <c r="C107" t="b">
        <v>0</v>
      </c>
      <c r="D107" s="2" t="b">
        <v>0</v>
      </c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715</v>
      </c>
      <c r="S107"/>
      <c r="T107"/>
      <c r="U107"/>
    </row>
    <row r="108" spans="1:21">
      <c r="A108" s="2" t="s">
        <v>131</v>
      </c>
      <c r="B108" t="b">
        <v>1</v>
      </c>
      <c r="C108" t="b">
        <v>0</v>
      </c>
      <c r="D108" s="2" t="b">
        <v>0</v>
      </c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715</v>
      </c>
      <c r="S108"/>
      <c r="T108"/>
      <c r="U108"/>
    </row>
    <row r="109" spans="1:21">
      <c r="A109" s="2" t="s">
        <v>132</v>
      </c>
      <c r="B109" t="b">
        <v>1</v>
      </c>
      <c r="C109" t="b">
        <v>0</v>
      </c>
      <c r="D109" s="2" t="b">
        <v>0</v>
      </c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715</v>
      </c>
      <c r="S109"/>
      <c r="T109"/>
      <c r="U109"/>
    </row>
    <row r="110" spans="1:21">
      <c r="A110" s="2" t="s">
        <v>133</v>
      </c>
      <c r="B110" t="b">
        <v>1</v>
      </c>
      <c r="C110" t="b">
        <v>0</v>
      </c>
      <c r="D110" s="2" t="b">
        <v>0</v>
      </c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715</v>
      </c>
      <c r="S110"/>
      <c r="T110"/>
      <c r="U110"/>
    </row>
    <row r="111" spans="1:21">
      <c r="A111" s="2" t="s">
        <v>134</v>
      </c>
      <c r="B111" t="b">
        <v>1</v>
      </c>
      <c r="C111" t="b">
        <v>0</v>
      </c>
      <c r="D111" s="2" t="b">
        <v>0</v>
      </c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715</v>
      </c>
      <c r="S111"/>
      <c r="T111"/>
      <c r="U111"/>
    </row>
    <row r="112" spans="1:21">
      <c r="A112" s="2" t="s">
        <v>135</v>
      </c>
      <c r="B112" t="b">
        <v>1</v>
      </c>
      <c r="C112" t="b">
        <v>0</v>
      </c>
      <c r="D112" s="2" t="b">
        <v>0</v>
      </c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715</v>
      </c>
      <c r="S112"/>
      <c r="T112"/>
      <c r="U112"/>
    </row>
    <row r="113" spans="1:21">
      <c r="A113" s="2" t="s">
        <v>136</v>
      </c>
      <c r="B113" t="b">
        <v>1</v>
      </c>
      <c r="C113" t="b">
        <v>0</v>
      </c>
      <c r="D113" s="2" t="b">
        <v>0</v>
      </c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715</v>
      </c>
      <c r="S113"/>
      <c r="T113"/>
      <c r="U113"/>
    </row>
    <row r="114" spans="1:21">
      <c r="A114" s="2" t="s">
        <v>137</v>
      </c>
      <c r="B114" t="b">
        <v>1</v>
      </c>
      <c r="C114" t="b">
        <v>0</v>
      </c>
      <c r="D114" s="2" t="b">
        <v>0</v>
      </c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715</v>
      </c>
      <c r="S114"/>
      <c r="T114"/>
      <c r="U114"/>
    </row>
    <row r="115" spans="1:21">
      <c r="A115" s="2" t="s">
        <v>138</v>
      </c>
      <c r="B115" t="b">
        <v>1</v>
      </c>
      <c r="C115" t="b">
        <v>0</v>
      </c>
      <c r="D115" s="2" t="b">
        <v>0</v>
      </c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715</v>
      </c>
      <c r="S115"/>
      <c r="T115"/>
      <c r="U115"/>
    </row>
    <row r="116" spans="1:21">
      <c r="A116" s="2" t="s">
        <v>139</v>
      </c>
      <c r="B116" t="b">
        <v>1</v>
      </c>
      <c r="C116" t="b">
        <v>0</v>
      </c>
      <c r="D116" s="2" t="b">
        <v>0</v>
      </c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715</v>
      </c>
      <c r="S116"/>
      <c r="T116"/>
      <c r="U116"/>
    </row>
    <row r="117" spans="1:21">
      <c r="A117" s="2" t="s">
        <v>140</v>
      </c>
      <c r="B117" t="b">
        <v>1</v>
      </c>
      <c r="C117" t="b">
        <v>0</v>
      </c>
      <c r="D117" s="2" t="b">
        <v>0</v>
      </c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715</v>
      </c>
      <c r="S117"/>
      <c r="T117"/>
      <c r="U117"/>
    </row>
    <row r="118" spans="1:21">
      <c r="A118" s="2" t="s">
        <v>141</v>
      </c>
      <c r="B118" t="b">
        <v>1</v>
      </c>
      <c r="C118" t="b">
        <v>0</v>
      </c>
      <c r="D118" s="2" t="b">
        <v>0</v>
      </c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715</v>
      </c>
      <c r="S118"/>
      <c r="T118"/>
      <c r="U118"/>
    </row>
    <row r="119" spans="1:21">
      <c r="A119" s="2" t="s">
        <v>142</v>
      </c>
      <c r="B119" t="b">
        <v>1</v>
      </c>
      <c r="C119" t="b">
        <v>0</v>
      </c>
      <c r="D119" s="2" t="b">
        <v>0</v>
      </c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715</v>
      </c>
      <c r="S119"/>
      <c r="T119"/>
      <c r="U119"/>
    </row>
    <row r="120" spans="1:21">
      <c r="A120" s="2" t="s">
        <v>143</v>
      </c>
      <c r="B120" t="b">
        <v>1</v>
      </c>
      <c r="C120" t="b">
        <v>0</v>
      </c>
      <c r="D120" s="2" t="b">
        <v>0</v>
      </c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715</v>
      </c>
      <c r="S120"/>
      <c r="T120"/>
      <c r="U120"/>
    </row>
    <row r="121" spans="1:21">
      <c r="A121" s="2" t="s">
        <v>144</v>
      </c>
      <c r="B121" t="b">
        <v>1</v>
      </c>
      <c r="C121" t="b">
        <v>0</v>
      </c>
      <c r="D121" s="2" t="b">
        <v>0</v>
      </c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715</v>
      </c>
      <c r="S121"/>
      <c r="T121"/>
      <c r="U121"/>
    </row>
    <row r="122" spans="1:21">
      <c r="A122" s="2" t="s">
        <v>145</v>
      </c>
      <c r="B122" t="b">
        <v>1</v>
      </c>
      <c r="C122" t="b">
        <v>0</v>
      </c>
      <c r="D122" s="2" t="b">
        <v>0</v>
      </c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715</v>
      </c>
      <c r="S122"/>
      <c r="T122"/>
      <c r="U122"/>
    </row>
    <row r="123" spans="1:21">
      <c r="A123" s="2" t="s">
        <v>146</v>
      </c>
      <c r="B123" t="b">
        <v>1</v>
      </c>
      <c r="C123" t="b">
        <v>0</v>
      </c>
      <c r="D123" s="2" t="b">
        <v>0</v>
      </c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715</v>
      </c>
      <c r="S123"/>
      <c r="T123"/>
      <c r="U123"/>
    </row>
    <row r="124" spans="1:21">
      <c r="A124" s="2" t="s">
        <v>147</v>
      </c>
      <c r="B124" t="b">
        <v>1</v>
      </c>
      <c r="C124" t="b">
        <v>0</v>
      </c>
      <c r="D124" s="2" t="b">
        <v>0</v>
      </c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715</v>
      </c>
      <c r="S124"/>
      <c r="T124"/>
      <c r="U124"/>
    </row>
    <row r="125" spans="1:21">
      <c r="A125" s="2" t="s">
        <v>148</v>
      </c>
      <c r="B125" t="b">
        <v>1</v>
      </c>
      <c r="C125" t="b">
        <v>0</v>
      </c>
      <c r="D125" s="2" t="b">
        <v>0</v>
      </c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715</v>
      </c>
      <c r="S125"/>
      <c r="T125"/>
      <c r="U125"/>
    </row>
    <row r="126" spans="1:21">
      <c r="A126" s="2" t="s">
        <v>149</v>
      </c>
      <c r="B126" t="b">
        <v>1</v>
      </c>
      <c r="C126" t="b">
        <v>0</v>
      </c>
      <c r="D126" s="2" t="b">
        <v>0</v>
      </c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715</v>
      </c>
      <c r="S126"/>
      <c r="T126"/>
      <c r="U126"/>
    </row>
    <row r="127" spans="1:21">
      <c r="A127" s="2" t="s">
        <v>150</v>
      </c>
      <c r="B127" t="b">
        <v>1</v>
      </c>
      <c r="C127" t="b">
        <v>0</v>
      </c>
      <c r="D127" s="2" t="b">
        <v>0</v>
      </c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715</v>
      </c>
      <c r="S127"/>
      <c r="T127"/>
      <c r="U127"/>
    </row>
    <row r="128" spans="1:21">
      <c r="A128" s="2" t="s">
        <v>151</v>
      </c>
      <c r="B128" t="b">
        <v>1</v>
      </c>
      <c r="C128" t="b">
        <v>0</v>
      </c>
      <c r="D128" s="2" t="b">
        <v>0</v>
      </c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715</v>
      </c>
      <c r="S128"/>
      <c r="T128"/>
      <c r="U128"/>
    </row>
    <row r="129" spans="1:21">
      <c r="A129" s="2" t="s">
        <v>152</v>
      </c>
      <c r="B129" t="b">
        <v>1</v>
      </c>
      <c r="C129" t="b">
        <v>0</v>
      </c>
      <c r="D129" s="2" t="b">
        <v>0</v>
      </c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715</v>
      </c>
      <c r="S129"/>
      <c r="T129"/>
      <c r="U129"/>
    </row>
    <row r="130" spans="1:21">
      <c r="A130" s="2" t="s">
        <v>153</v>
      </c>
      <c r="B130" t="b">
        <v>1</v>
      </c>
      <c r="C130" t="b">
        <v>0</v>
      </c>
      <c r="D130" s="2" t="b">
        <v>0</v>
      </c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715</v>
      </c>
      <c r="S130"/>
      <c r="T130"/>
      <c r="U130"/>
    </row>
    <row r="131" spans="1:21">
      <c r="A131" s="2" t="s">
        <v>154</v>
      </c>
      <c r="B131" t="b">
        <v>1</v>
      </c>
      <c r="C131" t="b">
        <v>0</v>
      </c>
      <c r="D131" s="2" t="b">
        <v>0</v>
      </c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715</v>
      </c>
      <c r="S131"/>
      <c r="T131"/>
      <c r="U131"/>
    </row>
    <row r="132" spans="1:21">
      <c r="A132" s="2" t="s">
        <v>155</v>
      </c>
      <c r="B132" t="b">
        <v>1</v>
      </c>
      <c r="C132" t="b">
        <v>0</v>
      </c>
      <c r="D132" s="2" t="b">
        <v>0</v>
      </c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715</v>
      </c>
      <c r="S132"/>
      <c r="T132"/>
      <c r="U132"/>
    </row>
    <row r="133" spans="1:21">
      <c r="A133" s="2" t="s">
        <v>156</v>
      </c>
      <c r="B133" t="b">
        <v>1</v>
      </c>
      <c r="C133" t="b">
        <v>0</v>
      </c>
      <c r="D133" s="2" t="b">
        <v>0</v>
      </c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715</v>
      </c>
      <c r="S133"/>
      <c r="T133"/>
      <c r="U133"/>
    </row>
    <row r="134" spans="1:21">
      <c r="A134" s="2" t="s">
        <v>157</v>
      </c>
      <c r="B134" t="b">
        <v>1</v>
      </c>
      <c r="C134" t="b">
        <v>0</v>
      </c>
      <c r="D134" s="2" t="b">
        <v>0</v>
      </c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715</v>
      </c>
      <c r="S134"/>
      <c r="T134"/>
      <c r="U134"/>
    </row>
    <row r="135" spans="1:21">
      <c r="A135" s="2" t="s">
        <v>158</v>
      </c>
      <c r="B135" t="b">
        <v>1</v>
      </c>
      <c r="C135" t="b">
        <v>0</v>
      </c>
      <c r="D135" s="2" t="b">
        <v>0</v>
      </c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715</v>
      </c>
      <c r="S135"/>
      <c r="T135"/>
      <c r="U135"/>
    </row>
    <row r="136" spans="1:21">
      <c r="A136" s="2" t="s">
        <v>159</v>
      </c>
      <c r="B136" t="b">
        <v>1</v>
      </c>
      <c r="C136" t="b">
        <v>0</v>
      </c>
      <c r="D136" s="2" t="b">
        <v>0</v>
      </c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715</v>
      </c>
      <c r="S136"/>
      <c r="T136"/>
      <c r="U136"/>
    </row>
    <row r="137" spans="1:21">
      <c r="A137" s="2" t="s">
        <v>160</v>
      </c>
      <c r="B137" t="b">
        <v>1</v>
      </c>
      <c r="C137" t="b">
        <v>0</v>
      </c>
      <c r="D137" s="2" t="b">
        <v>0</v>
      </c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715</v>
      </c>
      <c r="S137"/>
      <c r="T137"/>
      <c r="U137"/>
    </row>
    <row r="138" spans="1:21">
      <c r="A138" s="2" t="s">
        <v>161</v>
      </c>
      <c r="B138" t="b">
        <v>1</v>
      </c>
      <c r="C138" t="b">
        <v>0</v>
      </c>
      <c r="D138" s="2" t="b">
        <v>0</v>
      </c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715</v>
      </c>
      <c r="S138"/>
      <c r="T138"/>
      <c r="U138"/>
    </row>
    <row r="139" spans="1:21">
      <c r="A139" s="2" t="s">
        <v>162</v>
      </c>
      <c r="B139" t="b">
        <v>1</v>
      </c>
      <c r="C139" t="b">
        <v>0</v>
      </c>
      <c r="D139" s="2" t="b">
        <v>0</v>
      </c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715</v>
      </c>
      <c r="S139"/>
      <c r="T139"/>
      <c r="U139"/>
    </row>
    <row r="140" spans="1:21">
      <c r="A140" s="2" t="s">
        <v>163</v>
      </c>
      <c r="B140" t="b">
        <v>1</v>
      </c>
      <c r="C140" t="b">
        <v>0</v>
      </c>
      <c r="D140" s="2" t="b">
        <v>0</v>
      </c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715</v>
      </c>
      <c r="S140"/>
      <c r="T140"/>
      <c r="U140"/>
    </row>
    <row r="141" spans="1:21">
      <c r="A141" s="2" t="s">
        <v>164</v>
      </c>
      <c r="B141" t="b">
        <v>1</v>
      </c>
      <c r="C141" t="b">
        <v>0</v>
      </c>
      <c r="D141" s="2" t="b">
        <v>0</v>
      </c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715</v>
      </c>
      <c r="S141"/>
      <c r="T141"/>
      <c r="U141"/>
    </row>
    <row r="142" spans="1:21">
      <c r="A142" s="2" t="s">
        <v>165</v>
      </c>
      <c r="B142" t="b">
        <v>1</v>
      </c>
      <c r="C142" t="b">
        <v>0</v>
      </c>
      <c r="D142" s="2" t="b">
        <v>0</v>
      </c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715</v>
      </c>
      <c r="S142"/>
      <c r="T142"/>
      <c r="U142"/>
    </row>
    <row r="143" spans="1:21">
      <c r="A143" s="2" t="s">
        <v>166</v>
      </c>
      <c r="B143" t="b">
        <v>1</v>
      </c>
      <c r="C143" t="b">
        <v>0</v>
      </c>
      <c r="D143" s="2" t="b">
        <v>0</v>
      </c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715</v>
      </c>
      <c r="S143"/>
      <c r="T143"/>
      <c r="U143"/>
    </row>
    <row r="144" spans="1:21">
      <c r="A144" s="2" t="s">
        <v>167</v>
      </c>
      <c r="B144" t="b">
        <v>1</v>
      </c>
      <c r="C144" t="b">
        <v>0</v>
      </c>
      <c r="D144" s="2" t="b">
        <v>0</v>
      </c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715</v>
      </c>
      <c r="S144"/>
      <c r="T144"/>
      <c r="U144"/>
    </row>
    <row r="145" spans="1:21">
      <c r="A145" s="2" t="s">
        <v>168</v>
      </c>
      <c r="B145" t="b">
        <v>1</v>
      </c>
      <c r="C145" t="b">
        <v>0</v>
      </c>
      <c r="D145" s="2" t="b">
        <v>0</v>
      </c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715</v>
      </c>
      <c r="S145"/>
      <c r="T145"/>
      <c r="U145"/>
    </row>
    <row r="146" spans="1:21">
      <c r="A146" s="2" t="s">
        <v>169</v>
      </c>
      <c r="B146" t="b">
        <v>1</v>
      </c>
      <c r="C146" t="b">
        <v>0</v>
      </c>
      <c r="D146" s="2" t="b">
        <v>0</v>
      </c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715</v>
      </c>
      <c r="S146"/>
      <c r="T146"/>
      <c r="U146"/>
    </row>
    <row r="147" spans="1:21">
      <c r="A147" s="2" t="s">
        <v>170</v>
      </c>
      <c r="B147" t="b">
        <v>1</v>
      </c>
      <c r="C147" t="b">
        <v>0</v>
      </c>
      <c r="D147" s="2" t="b">
        <v>0</v>
      </c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715</v>
      </c>
      <c r="S147"/>
      <c r="T147"/>
      <c r="U147"/>
    </row>
    <row r="148" spans="1:21">
      <c r="A148" s="2" t="s">
        <v>171</v>
      </c>
      <c r="B148" t="b">
        <v>1</v>
      </c>
      <c r="C148" t="b">
        <v>0</v>
      </c>
      <c r="D148" s="2" t="b">
        <v>0</v>
      </c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715</v>
      </c>
      <c r="S148"/>
      <c r="T148"/>
      <c r="U148"/>
    </row>
    <row r="149" spans="1:21">
      <c r="A149" s="2" t="s">
        <v>172</v>
      </c>
      <c r="B149" t="b">
        <v>1</v>
      </c>
      <c r="C149" t="b">
        <v>0</v>
      </c>
      <c r="D149" s="2" t="b">
        <v>0</v>
      </c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715</v>
      </c>
      <c r="S149"/>
      <c r="T149"/>
      <c r="U149"/>
    </row>
    <row r="150" spans="1:21">
      <c r="A150" s="2" t="s">
        <v>173</v>
      </c>
      <c r="B150" t="b">
        <v>1</v>
      </c>
      <c r="C150" t="b">
        <v>0</v>
      </c>
      <c r="D150" s="2" t="b">
        <v>0</v>
      </c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715</v>
      </c>
      <c r="S150"/>
      <c r="T150"/>
      <c r="U150"/>
    </row>
    <row r="151" spans="1:21">
      <c r="A151" s="2" t="s">
        <v>174</v>
      </c>
      <c r="B151" t="b">
        <v>1</v>
      </c>
      <c r="C151" t="b">
        <v>0</v>
      </c>
      <c r="D151" s="2" t="b">
        <v>0</v>
      </c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715</v>
      </c>
      <c r="S151"/>
      <c r="T151"/>
      <c r="U151"/>
    </row>
    <row r="152" spans="1:21">
      <c r="A152" s="2" t="s">
        <v>175</v>
      </c>
      <c r="B152" t="b">
        <v>1</v>
      </c>
      <c r="C152" t="b">
        <v>0</v>
      </c>
      <c r="D152" s="2" t="b">
        <v>0</v>
      </c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715</v>
      </c>
      <c r="S152"/>
      <c r="T152"/>
      <c r="U152"/>
    </row>
    <row r="153" spans="1:21">
      <c r="A153" s="2" t="s">
        <v>176</v>
      </c>
      <c r="B153" t="b">
        <v>1</v>
      </c>
      <c r="C153" t="b">
        <v>0</v>
      </c>
      <c r="D153" s="2" t="b">
        <v>0</v>
      </c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715</v>
      </c>
      <c r="S153"/>
      <c r="T153"/>
      <c r="U153"/>
    </row>
    <row r="154" spans="1:21">
      <c r="A154" s="2" t="s">
        <v>177</v>
      </c>
      <c r="B154" t="b">
        <v>1</v>
      </c>
      <c r="C154" t="b">
        <v>0</v>
      </c>
      <c r="D154" s="2" t="b">
        <v>0</v>
      </c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715</v>
      </c>
      <c r="S154"/>
      <c r="T154"/>
      <c r="U154"/>
    </row>
    <row r="155" spans="1:21">
      <c r="A155" s="2" t="s">
        <v>178</v>
      </c>
      <c r="B155" t="b">
        <v>1</v>
      </c>
      <c r="C155" t="b">
        <v>0</v>
      </c>
      <c r="D155" s="2" t="b">
        <v>0</v>
      </c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715</v>
      </c>
      <c r="S155"/>
      <c r="T155"/>
      <c r="U155"/>
    </row>
    <row r="156" spans="1:21">
      <c r="A156" s="2" t="s">
        <v>179</v>
      </c>
      <c r="B156" t="b">
        <v>1</v>
      </c>
      <c r="C156" t="b">
        <v>0</v>
      </c>
      <c r="D156" s="2" t="b">
        <v>0</v>
      </c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715</v>
      </c>
      <c r="S156"/>
      <c r="T156"/>
      <c r="U156"/>
    </row>
    <row r="157" spans="1:21">
      <c r="A157" s="2" t="s">
        <v>180</v>
      </c>
      <c r="B157" t="b">
        <v>1</v>
      </c>
      <c r="C157" t="b">
        <v>0</v>
      </c>
      <c r="D157" s="2" t="b">
        <v>0</v>
      </c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715</v>
      </c>
      <c r="S157"/>
      <c r="T157"/>
      <c r="U157"/>
    </row>
    <row r="158" spans="1:21">
      <c r="A158" s="2" t="s">
        <v>181</v>
      </c>
      <c r="B158" t="b">
        <v>1</v>
      </c>
      <c r="C158" t="b">
        <v>0</v>
      </c>
      <c r="D158" s="2" t="b">
        <v>0</v>
      </c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715</v>
      </c>
      <c r="S158"/>
      <c r="T158"/>
      <c r="U158"/>
    </row>
    <row r="159" spans="1:21">
      <c r="A159" s="2" t="s">
        <v>182</v>
      </c>
      <c r="B159" t="b">
        <v>1</v>
      </c>
      <c r="C159" t="b">
        <v>0</v>
      </c>
      <c r="D159" s="2" t="b">
        <v>0</v>
      </c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715</v>
      </c>
      <c r="S159"/>
      <c r="T159"/>
      <c r="U159"/>
    </row>
    <row r="160" spans="1:21">
      <c r="A160" s="2" t="s">
        <v>183</v>
      </c>
      <c r="B160" t="b">
        <v>1</v>
      </c>
      <c r="C160" t="b">
        <v>0</v>
      </c>
      <c r="D160" s="2" t="b">
        <v>0</v>
      </c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715</v>
      </c>
      <c r="S160"/>
      <c r="T160"/>
      <c r="U160"/>
    </row>
    <row r="161" spans="1:21">
      <c r="A161" s="2" t="s">
        <v>184</v>
      </c>
      <c r="B161" t="b">
        <v>1</v>
      </c>
      <c r="C161" t="b">
        <v>0</v>
      </c>
      <c r="D161" s="2" t="b">
        <v>0</v>
      </c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715</v>
      </c>
      <c r="S161"/>
      <c r="T161"/>
      <c r="U161"/>
    </row>
    <row r="162" spans="1:21">
      <c r="A162" s="2" t="s">
        <v>185</v>
      </c>
      <c r="B162" t="b">
        <v>1</v>
      </c>
      <c r="C162" t="b">
        <v>0</v>
      </c>
      <c r="D162" s="2" t="b">
        <v>0</v>
      </c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715</v>
      </c>
      <c r="S162"/>
      <c r="T162"/>
      <c r="U162"/>
    </row>
    <row r="163" spans="1:21">
      <c r="A163" s="2" t="s">
        <v>186</v>
      </c>
      <c r="B163" t="b">
        <v>1</v>
      </c>
      <c r="C163" t="b">
        <v>0</v>
      </c>
      <c r="D163" s="2" t="b">
        <v>0</v>
      </c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715</v>
      </c>
      <c r="S163"/>
      <c r="T163"/>
      <c r="U163"/>
    </row>
    <row r="164" spans="1:21">
      <c r="A164" s="2" t="s">
        <v>187</v>
      </c>
      <c r="B164" t="b">
        <v>1</v>
      </c>
      <c r="C164" t="b">
        <v>0</v>
      </c>
      <c r="D164" s="2" t="b">
        <v>0</v>
      </c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715</v>
      </c>
      <c r="S164"/>
      <c r="T164"/>
      <c r="U164"/>
    </row>
    <row r="165" spans="1:21">
      <c r="A165" s="2" t="s">
        <v>188</v>
      </c>
      <c r="B165" t="b">
        <v>1</v>
      </c>
      <c r="C165" t="b">
        <v>0</v>
      </c>
      <c r="D165" s="2" t="b">
        <v>0</v>
      </c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715</v>
      </c>
      <c r="S165"/>
      <c r="T165"/>
      <c r="U165"/>
    </row>
    <row r="166" spans="1:21">
      <c r="A166" s="2" t="s">
        <v>189</v>
      </c>
      <c r="B166" t="b">
        <v>1</v>
      </c>
      <c r="C166" t="b">
        <v>0</v>
      </c>
      <c r="D166" s="2" t="b">
        <v>0</v>
      </c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715</v>
      </c>
      <c r="S166"/>
      <c r="T166"/>
      <c r="U166"/>
    </row>
    <row r="167" spans="1:21">
      <c r="A167" s="2" t="s">
        <v>190</v>
      </c>
      <c r="B167" t="b">
        <v>1</v>
      </c>
      <c r="C167" t="b">
        <v>0</v>
      </c>
      <c r="D167" s="2" t="b">
        <v>0</v>
      </c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715</v>
      </c>
      <c r="S167"/>
      <c r="T167"/>
      <c r="U167"/>
    </row>
    <row r="168" spans="1:21">
      <c r="A168" s="2" t="s">
        <v>191</v>
      </c>
      <c r="B168" t="b">
        <v>1</v>
      </c>
      <c r="C168" t="b">
        <v>0</v>
      </c>
      <c r="D168" s="2" t="b">
        <v>0</v>
      </c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715</v>
      </c>
      <c r="S168"/>
      <c r="T168"/>
      <c r="U168"/>
    </row>
    <row r="169" spans="1:21">
      <c r="A169" s="2" t="s">
        <v>192</v>
      </c>
      <c r="B169" t="b">
        <v>1</v>
      </c>
      <c r="C169" t="b">
        <v>0</v>
      </c>
      <c r="D169" s="2" t="b">
        <v>0</v>
      </c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715</v>
      </c>
      <c r="S169"/>
      <c r="T169"/>
      <c r="U169"/>
    </row>
    <row r="170" spans="1:21">
      <c r="A170" s="2" t="s">
        <v>193</v>
      </c>
      <c r="B170" t="b">
        <v>1</v>
      </c>
      <c r="C170" t="b">
        <v>0</v>
      </c>
      <c r="D170" s="2" t="b">
        <v>0</v>
      </c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715</v>
      </c>
      <c r="S170"/>
      <c r="T170"/>
      <c r="U170"/>
    </row>
    <row r="171" spans="1:21">
      <c r="A171" s="2" t="s">
        <v>194</v>
      </c>
      <c r="B171" t="b">
        <v>1</v>
      </c>
      <c r="C171" t="b">
        <v>0</v>
      </c>
      <c r="D171" s="2" t="b">
        <v>0</v>
      </c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715</v>
      </c>
      <c r="S171"/>
      <c r="T171"/>
      <c r="U171"/>
    </row>
    <row r="172" spans="1:21">
      <c r="A172" s="2" t="s">
        <v>195</v>
      </c>
      <c r="B172" t="b">
        <v>1</v>
      </c>
      <c r="C172" t="b">
        <v>0</v>
      </c>
      <c r="D172" s="2" t="b">
        <v>0</v>
      </c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715</v>
      </c>
      <c r="S172"/>
      <c r="T172"/>
      <c r="U172"/>
    </row>
    <row r="173" spans="1:21">
      <c r="A173" s="2" t="s">
        <v>196</v>
      </c>
      <c r="B173" t="b">
        <v>1</v>
      </c>
      <c r="C173" t="b">
        <v>0</v>
      </c>
      <c r="D173" s="2" t="b">
        <v>0</v>
      </c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715</v>
      </c>
      <c r="S173"/>
      <c r="T173"/>
      <c r="U173"/>
    </row>
    <row r="174" spans="1:21">
      <c r="A174" s="2" t="s">
        <v>197</v>
      </c>
      <c r="B174" t="b">
        <v>1</v>
      </c>
      <c r="C174" t="b">
        <v>0</v>
      </c>
      <c r="D174" s="2" t="b">
        <v>0</v>
      </c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715</v>
      </c>
      <c r="S174"/>
      <c r="T174"/>
      <c r="U174"/>
    </row>
    <row r="175" spans="1:21">
      <c r="A175" s="2" t="s">
        <v>198</v>
      </c>
      <c r="B175" t="b">
        <v>1</v>
      </c>
      <c r="C175" t="b">
        <v>0</v>
      </c>
      <c r="D175" s="2" t="b">
        <v>0</v>
      </c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715</v>
      </c>
      <c r="S175"/>
      <c r="T175"/>
      <c r="U175"/>
    </row>
    <row r="176" spans="1:21">
      <c r="A176" s="2" t="s">
        <v>199</v>
      </c>
      <c r="B176" t="b">
        <v>1</v>
      </c>
      <c r="C176" t="b">
        <v>0</v>
      </c>
      <c r="D176" s="2" t="b">
        <v>0</v>
      </c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715</v>
      </c>
      <c r="S176"/>
      <c r="T176"/>
      <c r="U176"/>
    </row>
    <row r="177" spans="1:21">
      <c r="A177" s="2" t="s">
        <v>200</v>
      </c>
      <c r="B177" t="b">
        <v>1</v>
      </c>
      <c r="C177" t="b">
        <v>0</v>
      </c>
      <c r="D177" s="2" t="b">
        <v>0</v>
      </c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715</v>
      </c>
      <c r="S177"/>
      <c r="T177"/>
      <c r="U177"/>
    </row>
    <row r="178" spans="1:21">
      <c r="A178" s="2" t="s">
        <v>201</v>
      </c>
      <c r="B178" t="b">
        <v>1</v>
      </c>
      <c r="C178" t="b">
        <v>0</v>
      </c>
      <c r="D178" s="2" t="b">
        <v>0</v>
      </c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715</v>
      </c>
      <c r="S178"/>
      <c r="T178"/>
      <c r="U178"/>
    </row>
    <row r="179" spans="1:21">
      <c r="A179" s="2" t="s">
        <v>202</v>
      </c>
      <c r="B179" t="b">
        <v>1</v>
      </c>
      <c r="C179" t="b">
        <v>0</v>
      </c>
      <c r="D179" s="2" t="b">
        <v>0</v>
      </c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715</v>
      </c>
      <c r="S179"/>
      <c r="T179"/>
      <c r="U179"/>
    </row>
    <row r="180" spans="1:21">
      <c r="A180" s="2" t="s">
        <v>203</v>
      </c>
      <c r="B180" t="b">
        <v>1</v>
      </c>
      <c r="C180" t="b">
        <v>0</v>
      </c>
      <c r="D180" s="2" t="b">
        <v>0</v>
      </c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715</v>
      </c>
      <c r="S180"/>
      <c r="T180"/>
      <c r="U180"/>
    </row>
    <row r="181" spans="1:21">
      <c r="A181" s="2" t="s">
        <v>204</v>
      </c>
      <c r="B181" t="b">
        <v>1</v>
      </c>
      <c r="C181" t="b">
        <v>0</v>
      </c>
      <c r="D181" s="2" t="b">
        <v>0</v>
      </c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715</v>
      </c>
      <c r="S181"/>
      <c r="T181"/>
      <c r="U181"/>
    </row>
    <row r="182" spans="1:21">
      <c r="A182" s="2" t="s">
        <v>205</v>
      </c>
      <c r="B182" t="b">
        <v>1</v>
      </c>
      <c r="C182" t="b">
        <v>0</v>
      </c>
      <c r="D182" s="2" t="b">
        <v>0</v>
      </c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715</v>
      </c>
      <c r="S182"/>
      <c r="T182"/>
      <c r="U182"/>
    </row>
    <row r="183" spans="1:21">
      <c r="A183" s="2" t="s">
        <v>206</v>
      </c>
      <c r="B183" t="b">
        <v>1</v>
      </c>
      <c r="C183" t="b">
        <v>0</v>
      </c>
      <c r="D183" s="2" t="b">
        <v>0</v>
      </c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715</v>
      </c>
      <c r="S183"/>
      <c r="T183"/>
      <c r="U183"/>
    </row>
    <row r="184" spans="1:21">
      <c r="A184" s="2" t="s">
        <v>207</v>
      </c>
      <c r="B184" t="b">
        <v>1</v>
      </c>
      <c r="C184" t="b">
        <v>0</v>
      </c>
      <c r="D184" s="2" t="b">
        <v>0</v>
      </c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715</v>
      </c>
      <c r="S184"/>
      <c r="T184"/>
      <c r="U184"/>
    </row>
    <row r="185" spans="1:21">
      <c r="A185" s="2" t="s">
        <v>208</v>
      </c>
      <c r="B185" t="b">
        <v>1</v>
      </c>
      <c r="C185" t="b">
        <v>0</v>
      </c>
      <c r="D185" s="2" t="b">
        <v>0</v>
      </c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715</v>
      </c>
      <c r="S185"/>
      <c r="T185"/>
      <c r="U185"/>
    </row>
    <row r="186" spans="1:21">
      <c r="A186" s="2" t="s">
        <v>209</v>
      </c>
      <c r="B186" t="b">
        <v>1</v>
      </c>
      <c r="C186" t="b">
        <v>0</v>
      </c>
      <c r="D186" s="2" t="b">
        <v>0</v>
      </c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715</v>
      </c>
      <c r="S186"/>
      <c r="T186"/>
      <c r="U186"/>
    </row>
    <row r="187" spans="1:21">
      <c r="A187" s="2" t="s">
        <v>210</v>
      </c>
      <c r="B187" t="b">
        <v>1</v>
      </c>
      <c r="C187" t="b">
        <v>0</v>
      </c>
      <c r="D187" s="2" t="b">
        <v>0</v>
      </c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715</v>
      </c>
      <c r="S187"/>
      <c r="T187"/>
      <c r="U187"/>
    </row>
    <row r="188" spans="1:21">
      <c r="A188" s="2" t="s">
        <v>211</v>
      </c>
      <c r="B188" t="b">
        <v>1</v>
      </c>
      <c r="C188" t="b">
        <v>0</v>
      </c>
      <c r="D188" s="2" t="b">
        <v>0</v>
      </c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715</v>
      </c>
      <c r="S188"/>
      <c r="T188"/>
      <c r="U188"/>
    </row>
    <row r="189" spans="1:21">
      <c r="A189" s="2" t="s">
        <v>212</v>
      </c>
      <c r="B189" t="b">
        <v>1</v>
      </c>
      <c r="C189" t="b">
        <v>0</v>
      </c>
      <c r="D189" s="2" t="b">
        <v>0</v>
      </c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715</v>
      </c>
      <c r="S189"/>
      <c r="T189"/>
      <c r="U189"/>
    </row>
    <row r="190" spans="1:21">
      <c r="A190" s="2" t="s">
        <v>213</v>
      </c>
      <c r="B190" t="b">
        <v>1</v>
      </c>
      <c r="C190" t="b">
        <v>0</v>
      </c>
      <c r="D190" s="2" t="b">
        <v>0</v>
      </c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715</v>
      </c>
      <c r="S190"/>
      <c r="T190"/>
      <c r="U190"/>
    </row>
    <row r="191" spans="1:21">
      <c r="A191" s="2" t="s">
        <v>214</v>
      </c>
      <c r="B191" t="b">
        <v>1</v>
      </c>
      <c r="C191" t="b">
        <v>0</v>
      </c>
      <c r="D191" s="2" t="b">
        <v>0</v>
      </c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715</v>
      </c>
      <c r="S191"/>
      <c r="T191"/>
      <c r="U191"/>
    </row>
    <row r="192" spans="1:21">
      <c r="A192" s="2" t="s">
        <v>215</v>
      </c>
      <c r="B192" t="b">
        <v>1</v>
      </c>
      <c r="C192" t="b">
        <v>0</v>
      </c>
      <c r="D192" s="2" t="b">
        <v>0</v>
      </c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715</v>
      </c>
      <c r="S192"/>
      <c r="T192"/>
      <c r="U192"/>
    </row>
    <row r="193" spans="1:21">
      <c r="A193" s="2" t="s">
        <v>216</v>
      </c>
      <c r="B193" t="b">
        <v>1</v>
      </c>
      <c r="C193" t="b">
        <v>0</v>
      </c>
      <c r="D193" s="2" t="b">
        <v>0</v>
      </c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715</v>
      </c>
      <c r="S193"/>
      <c r="T193"/>
      <c r="U193"/>
    </row>
    <row r="194" spans="1:21">
      <c r="A194" s="2" t="s">
        <v>217</v>
      </c>
      <c r="B194" t="b">
        <v>1</v>
      </c>
      <c r="C194" t="b">
        <v>0</v>
      </c>
      <c r="D194" s="2" t="b">
        <v>0</v>
      </c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715</v>
      </c>
      <c r="S194"/>
      <c r="T194"/>
      <c r="U194"/>
    </row>
    <row r="195" spans="1:21">
      <c r="A195" s="2" t="s">
        <v>218</v>
      </c>
      <c r="B195" t="b">
        <v>1</v>
      </c>
      <c r="C195" t="b">
        <v>0</v>
      </c>
      <c r="D195" s="2" t="b">
        <v>0</v>
      </c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715</v>
      </c>
      <c r="S195"/>
      <c r="T195"/>
      <c r="U195"/>
    </row>
    <row r="196" spans="1:21">
      <c r="A196" s="2" t="s">
        <v>219</v>
      </c>
      <c r="B196" t="b">
        <v>1</v>
      </c>
      <c r="C196" t="b">
        <v>0</v>
      </c>
      <c r="D196" s="2" t="b">
        <v>0</v>
      </c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715</v>
      </c>
      <c r="S196"/>
      <c r="T196"/>
      <c r="U196"/>
    </row>
    <row r="197" spans="1:21">
      <c r="A197" s="2" t="s">
        <v>220</v>
      </c>
      <c r="B197" t="b">
        <v>1</v>
      </c>
      <c r="C197" t="b">
        <v>0</v>
      </c>
      <c r="D197" s="2" t="b">
        <v>0</v>
      </c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715</v>
      </c>
      <c r="S197"/>
      <c r="T197"/>
      <c r="U197"/>
    </row>
    <row r="198" spans="1:21">
      <c r="A198" s="2" t="s">
        <v>221</v>
      </c>
      <c r="B198" t="b">
        <v>1</v>
      </c>
      <c r="C198" t="b">
        <v>0</v>
      </c>
      <c r="D198" s="2" t="b">
        <v>0</v>
      </c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715</v>
      </c>
      <c r="S198"/>
      <c r="T198"/>
      <c r="U198"/>
    </row>
    <row r="199" spans="1:21">
      <c r="A199" s="2" t="s">
        <v>222</v>
      </c>
      <c r="B199" t="b">
        <v>1</v>
      </c>
      <c r="C199" t="b">
        <v>0</v>
      </c>
      <c r="D199" s="2" t="b">
        <v>0</v>
      </c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715</v>
      </c>
      <c r="S199"/>
      <c r="T199"/>
      <c r="U199"/>
    </row>
    <row r="200" spans="1:21">
      <c r="A200" s="2" t="s">
        <v>223</v>
      </c>
      <c r="B200" t="b">
        <v>1</v>
      </c>
      <c r="C200" t="b">
        <v>0</v>
      </c>
      <c r="D200" s="2" t="b">
        <v>0</v>
      </c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715</v>
      </c>
      <c r="S200"/>
      <c r="T200"/>
      <c r="U200"/>
    </row>
    <row r="201" spans="1:21">
      <c r="A201" s="2" t="s">
        <v>224</v>
      </c>
      <c r="B201" t="b">
        <v>1</v>
      </c>
      <c r="C201" t="b">
        <v>0</v>
      </c>
      <c r="D201" s="2" t="b">
        <v>0</v>
      </c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715</v>
      </c>
      <c r="S201"/>
      <c r="T201"/>
      <c r="U201"/>
    </row>
    <row r="202" spans="1:21">
      <c r="A202" s="2" t="s">
        <v>225</v>
      </c>
      <c r="B202" t="b">
        <v>1</v>
      </c>
      <c r="C202" t="b">
        <v>0</v>
      </c>
      <c r="D202" s="2" t="b">
        <v>0</v>
      </c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715</v>
      </c>
      <c r="S202"/>
      <c r="T202"/>
      <c r="U202"/>
    </row>
    <row r="203" spans="1:21">
      <c r="A203" s="2" t="s">
        <v>226</v>
      </c>
      <c r="B203" t="b">
        <v>1</v>
      </c>
      <c r="C203" t="b">
        <v>0</v>
      </c>
      <c r="D203" s="2" t="b">
        <v>0</v>
      </c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715</v>
      </c>
      <c r="S203"/>
      <c r="T203"/>
      <c r="U203"/>
    </row>
    <row r="204" spans="1:21">
      <c r="A204" s="2" t="s">
        <v>227</v>
      </c>
      <c r="B204" t="b">
        <v>1</v>
      </c>
      <c r="C204" t="b">
        <v>0</v>
      </c>
      <c r="D204" s="2" t="b">
        <v>0</v>
      </c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715</v>
      </c>
      <c r="S204"/>
      <c r="T204"/>
      <c r="U204"/>
    </row>
    <row r="205" spans="1:21">
      <c r="A205" s="2" t="s">
        <v>228</v>
      </c>
      <c r="B205" t="b">
        <v>1</v>
      </c>
      <c r="C205" t="b">
        <v>0</v>
      </c>
      <c r="D205" s="2" t="b">
        <v>0</v>
      </c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715</v>
      </c>
      <c r="S205"/>
      <c r="T205"/>
      <c r="U205"/>
    </row>
    <row r="206" spans="1:21">
      <c r="A206" s="2" t="s">
        <v>229</v>
      </c>
      <c r="B206" t="b">
        <v>1</v>
      </c>
      <c r="C206" t="b">
        <v>0</v>
      </c>
      <c r="D206" s="2" t="b">
        <v>0</v>
      </c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715</v>
      </c>
      <c r="S206"/>
      <c r="T206"/>
      <c r="U206"/>
    </row>
    <row r="207" spans="1:21">
      <c r="A207" s="2" t="s">
        <v>230</v>
      </c>
      <c r="B207" t="b">
        <v>1</v>
      </c>
      <c r="C207" t="b">
        <v>0</v>
      </c>
      <c r="D207" s="2" t="b">
        <v>0</v>
      </c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715</v>
      </c>
      <c r="S207"/>
      <c r="T207"/>
      <c r="U207"/>
    </row>
    <row r="208" spans="1:21">
      <c r="A208" s="2" t="s">
        <v>231</v>
      </c>
      <c r="B208" t="b">
        <v>1</v>
      </c>
      <c r="C208" t="b">
        <v>0</v>
      </c>
      <c r="D208" s="2" t="b">
        <v>0</v>
      </c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715</v>
      </c>
      <c r="S208"/>
      <c r="T208"/>
      <c r="U208"/>
    </row>
    <row r="209" spans="1:21">
      <c r="A209" s="2" t="s">
        <v>232</v>
      </c>
      <c r="B209" t="b">
        <v>1</v>
      </c>
      <c r="C209" t="b">
        <v>0</v>
      </c>
      <c r="D209" s="2" t="b">
        <v>0</v>
      </c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715</v>
      </c>
      <c r="S209"/>
      <c r="T209"/>
      <c r="U209"/>
    </row>
    <row r="210" spans="1:21">
      <c r="A210" s="2" t="s">
        <v>233</v>
      </c>
      <c r="B210" t="b">
        <v>1</v>
      </c>
      <c r="C210" t="b">
        <v>0</v>
      </c>
      <c r="D210" s="2" t="b">
        <v>0</v>
      </c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715</v>
      </c>
      <c r="S210"/>
      <c r="T210"/>
      <c r="U210"/>
    </row>
    <row r="211" spans="1:21">
      <c r="A211" s="2" t="s">
        <v>234</v>
      </c>
      <c r="B211" t="b">
        <v>1</v>
      </c>
      <c r="C211" t="b">
        <v>0</v>
      </c>
      <c r="D211" s="2" t="b">
        <v>0</v>
      </c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715</v>
      </c>
      <c r="S211"/>
      <c r="T211"/>
      <c r="U211"/>
    </row>
    <row r="212" spans="1:21">
      <c r="A212" s="2" t="s">
        <v>235</v>
      </c>
      <c r="B212" t="b">
        <v>1</v>
      </c>
      <c r="C212" t="b">
        <v>0</v>
      </c>
      <c r="D212" s="2" t="b">
        <v>0</v>
      </c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715</v>
      </c>
      <c r="S212"/>
      <c r="T212"/>
      <c r="U212"/>
    </row>
    <row r="213" spans="1:21">
      <c r="A213" s="2" t="s">
        <v>236</v>
      </c>
      <c r="B213" t="b">
        <v>1</v>
      </c>
      <c r="C213" t="b">
        <v>0</v>
      </c>
      <c r="D213" s="2" t="b">
        <v>0</v>
      </c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715</v>
      </c>
      <c r="S213"/>
      <c r="T213"/>
      <c r="U213"/>
    </row>
    <row r="214" spans="1:21">
      <c r="A214" s="2" t="s">
        <v>237</v>
      </c>
      <c r="B214" t="b">
        <v>1</v>
      </c>
      <c r="C214" t="b">
        <v>0</v>
      </c>
      <c r="D214" s="2" t="b">
        <v>0</v>
      </c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715</v>
      </c>
      <c r="S214"/>
      <c r="T214"/>
      <c r="U214"/>
    </row>
    <row r="215" spans="1:21">
      <c r="A215" s="2" t="s">
        <v>927</v>
      </c>
      <c r="B215" t="b">
        <v>1</v>
      </c>
      <c r="C215" t="b">
        <v>0</v>
      </c>
      <c r="D215" s="2" t="b">
        <v>0</v>
      </c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715</v>
      </c>
      <c r="S215"/>
      <c r="T215"/>
      <c r="U215"/>
    </row>
    <row r="216" spans="1:21">
      <c r="A216" s="2" t="s">
        <v>238</v>
      </c>
      <c r="B216" t="b">
        <v>1</v>
      </c>
      <c r="C216" t="b">
        <v>0</v>
      </c>
      <c r="D216" s="2" t="b">
        <v>0</v>
      </c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715</v>
      </c>
      <c r="S216"/>
      <c r="T216"/>
      <c r="U216"/>
    </row>
    <row r="217" spans="1:21">
      <c r="A217" s="2" t="s">
        <v>239</v>
      </c>
      <c r="B217" t="b">
        <v>1</v>
      </c>
      <c r="C217" t="b">
        <v>0</v>
      </c>
      <c r="D217" s="2" t="b">
        <v>0</v>
      </c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715</v>
      </c>
      <c r="S217"/>
      <c r="T217"/>
      <c r="U217"/>
    </row>
    <row r="218" spans="1:21">
      <c r="A218" s="2" t="s">
        <v>240</v>
      </c>
      <c r="B218" t="b">
        <v>1</v>
      </c>
      <c r="C218" t="b">
        <v>0</v>
      </c>
      <c r="D218" s="2" t="b">
        <v>0</v>
      </c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715</v>
      </c>
      <c r="S218"/>
      <c r="T218"/>
      <c r="U218"/>
    </row>
    <row r="219" spans="1:21">
      <c r="A219" s="2" t="s">
        <v>241</v>
      </c>
      <c r="B219" t="b">
        <v>1</v>
      </c>
      <c r="C219" t="b">
        <v>0</v>
      </c>
      <c r="D219" s="2" t="b">
        <v>0</v>
      </c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715</v>
      </c>
      <c r="S219"/>
      <c r="T219"/>
      <c r="U219"/>
    </row>
    <row r="220" spans="1:21">
      <c r="A220" s="2" t="s">
        <v>242</v>
      </c>
      <c r="B220" t="b">
        <v>1</v>
      </c>
      <c r="C220" t="b">
        <v>0</v>
      </c>
      <c r="D220" s="2" t="b">
        <v>0</v>
      </c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715</v>
      </c>
      <c r="S220"/>
      <c r="T220"/>
      <c r="U220"/>
    </row>
    <row r="221" spans="1:21">
      <c r="A221" s="2" t="s">
        <v>243</v>
      </c>
      <c r="B221" t="b">
        <v>1</v>
      </c>
      <c r="C221" t="b">
        <v>0</v>
      </c>
      <c r="D221" s="2" t="b">
        <v>0</v>
      </c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715</v>
      </c>
      <c r="S221"/>
      <c r="T221"/>
      <c r="U221"/>
    </row>
    <row r="222" spans="1:21">
      <c r="A222" s="2" t="s">
        <v>244</v>
      </c>
      <c r="B222" t="b">
        <v>1</v>
      </c>
      <c r="C222" t="b">
        <v>0</v>
      </c>
      <c r="D222" s="2" t="b">
        <v>0</v>
      </c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715</v>
      </c>
      <c r="S222"/>
      <c r="T222"/>
      <c r="U222"/>
    </row>
    <row r="223" spans="1:21">
      <c r="A223" s="2" t="s">
        <v>245</v>
      </c>
      <c r="B223" t="b">
        <v>1</v>
      </c>
      <c r="C223" t="b">
        <v>0</v>
      </c>
      <c r="D223" s="2" t="b">
        <v>0</v>
      </c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715</v>
      </c>
      <c r="S223"/>
      <c r="T223"/>
      <c r="U223"/>
    </row>
    <row r="224" spans="1:21">
      <c r="A224" s="2" t="s">
        <v>246</v>
      </c>
      <c r="B224" t="b">
        <v>1</v>
      </c>
      <c r="C224" t="b">
        <v>0</v>
      </c>
      <c r="D224" s="2" t="b">
        <v>0</v>
      </c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715</v>
      </c>
      <c r="S224"/>
      <c r="T224"/>
      <c r="U224"/>
    </row>
    <row r="225" spans="1:21">
      <c r="A225" s="2" t="s">
        <v>247</v>
      </c>
      <c r="B225" t="b">
        <v>1</v>
      </c>
      <c r="C225" t="b">
        <v>0</v>
      </c>
      <c r="D225" s="2" t="b">
        <v>0</v>
      </c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715</v>
      </c>
      <c r="S225"/>
      <c r="T225"/>
      <c r="U225"/>
    </row>
    <row r="226" spans="1:21">
      <c r="A226" s="2" t="s">
        <v>248</v>
      </c>
      <c r="B226" t="b">
        <v>1</v>
      </c>
      <c r="C226" t="b">
        <v>0</v>
      </c>
      <c r="D226" s="2" t="b">
        <v>0</v>
      </c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715</v>
      </c>
      <c r="S226"/>
      <c r="T226"/>
      <c r="U226"/>
    </row>
    <row r="227" spans="1:21">
      <c r="A227" s="2" t="s">
        <v>249</v>
      </c>
      <c r="B227" t="b">
        <v>1</v>
      </c>
      <c r="C227" t="b">
        <v>0</v>
      </c>
      <c r="D227" s="2" t="b">
        <v>0</v>
      </c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715</v>
      </c>
      <c r="S227"/>
      <c r="T227"/>
      <c r="U227"/>
    </row>
    <row r="228" spans="1:21">
      <c r="A228" s="2" t="s">
        <v>250</v>
      </c>
      <c r="B228" t="b">
        <v>1</v>
      </c>
      <c r="C228" t="b">
        <v>0</v>
      </c>
      <c r="D228" s="2" t="b">
        <v>0</v>
      </c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715</v>
      </c>
      <c r="S228"/>
      <c r="T228"/>
      <c r="U228"/>
    </row>
    <row r="229" spans="1:21">
      <c r="A229" s="2" t="s">
        <v>251</v>
      </c>
      <c r="B229" t="b">
        <v>1</v>
      </c>
      <c r="C229" t="b">
        <v>0</v>
      </c>
      <c r="D229" s="2" t="b">
        <v>0</v>
      </c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715</v>
      </c>
      <c r="S229"/>
      <c r="T229"/>
      <c r="U229"/>
    </row>
    <row r="230" spans="1:21">
      <c r="A230" s="2" t="s">
        <v>252</v>
      </c>
      <c r="B230" t="b">
        <v>1</v>
      </c>
      <c r="C230" t="b">
        <v>0</v>
      </c>
      <c r="D230" s="2" t="b">
        <v>0</v>
      </c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715</v>
      </c>
      <c r="S230"/>
      <c r="T230"/>
      <c r="U230"/>
    </row>
    <row r="231" spans="1:21">
      <c r="A231" s="2" t="s">
        <v>253</v>
      </c>
      <c r="B231" t="b">
        <v>1</v>
      </c>
      <c r="C231" t="b">
        <v>0</v>
      </c>
      <c r="D231" s="2" t="b">
        <v>0</v>
      </c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715</v>
      </c>
      <c r="S231"/>
      <c r="T231"/>
      <c r="U231"/>
    </row>
    <row r="232" spans="1:21">
      <c r="A232" s="2" t="s">
        <v>254</v>
      </c>
      <c r="B232" t="b">
        <v>1</v>
      </c>
      <c r="C232" t="b">
        <v>0</v>
      </c>
      <c r="D232" s="2" t="b">
        <v>0</v>
      </c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715</v>
      </c>
      <c r="S232"/>
      <c r="T232"/>
      <c r="U232"/>
    </row>
    <row r="233" spans="1:21">
      <c r="A233" s="2" t="s">
        <v>255</v>
      </c>
      <c r="B233" t="b">
        <v>1</v>
      </c>
      <c r="C233" t="b">
        <v>0</v>
      </c>
      <c r="D233" s="2" t="b">
        <v>0</v>
      </c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715</v>
      </c>
      <c r="S233"/>
      <c r="T233"/>
      <c r="U233"/>
    </row>
    <row r="234" spans="1:21">
      <c r="A234" s="2" t="s">
        <v>256</v>
      </c>
      <c r="B234" t="b">
        <v>1</v>
      </c>
      <c r="C234" t="b">
        <v>0</v>
      </c>
      <c r="D234" s="2" t="b">
        <v>0</v>
      </c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715</v>
      </c>
      <c r="S234"/>
      <c r="T234"/>
      <c r="U234"/>
    </row>
    <row r="235" spans="1:21">
      <c r="A235" s="2" t="s">
        <v>257</v>
      </c>
      <c r="B235" t="b">
        <v>1</v>
      </c>
      <c r="C235" t="b">
        <v>0</v>
      </c>
      <c r="D235" s="2" t="b">
        <v>0</v>
      </c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715</v>
      </c>
      <c r="S235"/>
      <c r="T235"/>
      <c r="U235"/>
    </row>
    <row r="236" spans="1:21">
      <c r="A236" s="2" t="s">
        <v>258</v>
      </c>
      <c r="B236" t="b">
        <v>1</v>
      </c>
      <c r="C236" t="b">
        <v>0</v>
      </c>
      <c r="D236" s="2" t="b">
        <v>0</v>
      </c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715</v>
      </c>
      <c r="S236"/>
      <c r="T236"/>
      <c r="U236"/>
    </row>
    <row r="237" spans="1:21">
      <c r="A237" s="2" t="s">
        <v>259</v>
      </c>
      <c r="B237" t="b">
        <v>1</v>
      </c>
      <c r="C237" t="b">
        <v>0</v>
      </c>
      <c r="D237" s="2" t="b">
        <v>0</v>
      </c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715</v>
      </c>
      <c r="S237"/>
      <c r="T237"/>
      <c r="U237"/>
    </row>
    <row r="238" spans="1:21">
      <c r="A238" s="2" t="s">
        <v>260</v>
      </c>
      <c r="B238" t="b">
        <v>1</v>
      </c>
      <c r="C238" t="b">
        <v>0</v>
      </c>
      <c r="D238" s="2" t="b">
        <v>0</v>
      </c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715</v>
      </c>
      <c r="S238"/>
      <c r="T238"/>
      <c r="U238"/>
    </row>
    <row r="239" spans="1:21">
      <c r="A239" s="2" t="s">
        <v>261</v>
      </c>
      <c r="B239" t="b">
        <v>1</v>
      </c>
      <c r="C239" t="b">
        <v>0</v>
      </c>
      <c r="D239" s="2" t="b">
        <v>0</v>
      </c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715</v>
      </c>
      <c r="S239"/>
      <c r="T239"/>
      <c r="U239"/>
    </row>
    <row r="240" spans="1:21">
      <c r="A240" s="2" t="s">
        <v>262</v>
      </c>
      <c r="B240" t="b">
        <v>1</v>
      </c>
      <c r="C240" t="b">
        <v>0</v>
      </c>
      <c r="D240" s="2" t="b">
        <v>0</v>
      </c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715</v>
      </c>
      <c r="S240"/>
      <c r="T240"/>
      <c r="U240"/>
    </row>
    <row r="241" spans="1:21">
      <c r="A241" s="2" t="s">
        <v>263</v>
      </c>
      <c r="B241" t="b">
        <v>1</v>
      </c>
      <c r="C241" t="b">
        <v>0</v>
      </c>
      <c r="D241" s="2" t="b">
        <v>0</v>
      </c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715</v>
      </c>
      <c r="S241"/>
      <c r="T241"/>
      <c r="U241"/>
    </row>
    <row r="242" spans="1:21">
      <c r="A242" s="2" t="s">
        <v>264</v>
      </c>
      <c r="B242" t="b">
        <v>1</v>
      </c>
      <c r="C242" t="b">
        <v>0</v>
      </c>
      <c r="D242" s="2" t="b">
        <v>0</v>
      </c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715</v>
      </c>
      <c r="S242"/>
      <c r="T242"/>
      <c r="U242"/>
    </row>
    <row r="243" spans="1:21">
      <c r="A243" s="2" t="s">
        <v>265</v>
      </c>
      <c r="B243" t="b">
        <v>1</v>
      </c>
      <c r="C243" t="b">
        <v>0</v>
      </c>
      <c r="D243" s="2" t="b">
        <v>0</v>
      </c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715</v>
      </c>
      <c r="S243"/>
      <c r="T243"/>
      <c r="U243"/>
    </row>
    <row r="244" spans="1:21">
      <c r="A244" s="2" t="s">
        <v>266</v>
      </c>
      <c r="B244" t="b">
        <v>1</v>
      </c>
      <c r="C244" t="b">
        <v>0</v>
      </c>
      <c r="D244" s="2" t="b">
        <v>0</v>
      </c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715</v>
      </c>
      <c r="S244"/>
      <c r="T244"/>
      <c r="U244"/>
    </row>
    <row r="245" spans="1:21">
      <c r="A245" s="2" t="s">
        <v>267</v>
      </c>
      <c r="B245" t="b">
        <v>1</v>
      </c>
      <c r="C245" t="b">
        <v>0</v>
      </c>
      <c r="D245" s="2" t="b">
        <v>0</v>
      </c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715</v>
      </c>
      <c r="S245"/>
      <c r="T245"/>
      <c r="U245"/>
    </row>
    <row r="246" spans="1:21">
      <c r="A246" s="2" t="s">
        <v>268</v>
      </c>
      <c r="B246" t="b">
        <v>1</v>
      </c>
      <c r="C246" t="b">
        <v>0</v>
      </c>
      <c r="D246" s="2" t="b">
        <v>0</v>
      </c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715</v>
      </c>
      <c r="S246"/>
      <c r="T246"/>
      <c r="U246"/>
    </row>
    <row r="247" spans="1:21">
      <c r="A247" s="2" t="s">
        <v>269</v>
      </c>
      <c r="B247" t="b">
        <v>1</v>
      </c>
      <c r="C247" t="b">
        <v>0</v>
      </c>
      <c r="D247" s="2" t="b">
        <v>0</v>
      </c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715</v>
      </c>
      <c r="S247"/>
      <c r="T247"/>
      <c r="U247"/>
    </row>
    <row r="248" spans="1:21">
      <c r="A248" s="2" t="s">
        <v>270</v>
      </c>
      <c r="B248" t="b">
        <v>1</v>
      </c>
      <c r="C248" t="b">
        <v>0</v>
      </c>
      <c r="D248" s="2" t="b">
        <v>0</v>
      </c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715</v>
      </c>
      <c r="S248"/>
      <c r="T248"/>
      <c r="U248"/>
    </row>
    <row r="249" spans="1:21">
      <c r="A249" s="2" t="s">
        <v>271</v>
      </c>
      <c r="B249" t="b">
        <v>1</v>
      </c>
      <c r="C249" t="b">
        <v>0</v>
      </c>
      <c r="D249" s="2" t="b">
        <v>0</v>
      </c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715</v>
      </c>
      <c r="S249"/>
      <c r="T249"/>
      <c r="U249"/>
    </row>
    <row r="250" spans="1:21">
      <c r="A250" s="2" t="s">
        <v>272</v>
      </c>
      <c r="B250" t="b">
        <v>1</v>
      </c>
      <c r="C250" t="b">
        <v>0</v>
      </c>
      <c r="D250" s="2" t="b">
        <v>0</v>
      </c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715</v>
      </c>
      <c r="S250"/>
      <c r="T250"/>
      <c r="U250"/>
    </row>
    <row r="251" spans="1:21">
      <c r="A251" s="2" t="s">
        <v>273</v>
      </c>
      <c r="B251" t="b">
        <v>1</v>
      </c>
      <c r="C251" t="b">
        <v>0</v>
      </c>
      <c r="D251" s="2" t="b">
        <v>0</v>
      </c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715</v>
      </c>
      <c r="S251"/>
      <c r="T251"/>
      <c r="U251"/>
    </row>
    <row r="252" spans="1:21">
      <c r="A252" s="2" t="s">
        <v>274</v>
      </c>
      <c r="B252" t="b">
        <v>1</v>
      </c>
      <c r="C252" t="b">
        <v>0</v>
      </c>
      <c r="D252" s="2" t="b">
        <v>0</v>
      </c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715</v>
      </c>
      <c r="S252"/>
      <c r="T252"/>
      <c r="U252"/>
    </row>
    <row r="253" spans="1:21">
      <c r="A253" s="2" t="s">
        <v>275</v>
      </c>
      <c r="B253" t="b">
        <v>1</v>
      </c>
      <c r="C253" t="b">
        <v>0</v>
      </c>
      <c r="D253" s="2" t="b">
        <v>0</v>
      </c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715</v>
      </c>
      <c r="S253"/>
      <c r="T253"/>
      <c r="U253"/>
    </row>
    <row r="254" spans="1:21">
      <c r="A254" s="2" t="s">
        <v>276</v>
      </c>
      <c r="B254" t="b">
        <v>1</v>
      </c>
      <c r="C254" t="b">
        <v>0</v>
      </c>
      <c r="D254" s="2" t="b">
        <v>0</v>
      </c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715</v>
      </c>
      <c r="S254"/>
      <c r="T254"/>
      <c r="U254"/>
    </row>
    <row r="255" spans="1:21">
      <c r="A255" s="2" t="s">
        <v>277</v>
      </c>
      <c r="B255" t="b">
        <v>1</v>
      </c>
      <c r="C255" t="b">
        <v>0</v>
      </c>
      <c r="D255" s="2" t="b">
        <v>0</v>
      </c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715</v>
      </c>
      <c r="S255"/>
      <c r="T255"/>
      <c r="U255"/>
    </row>
    <row r="256" spans="1:21">
      <c r="A256" s="2" t="s">
        <v>278</v>
      </c>
      <c r="B256" t="b">
        <v>1</v>
      </c>
      <c r="C256" t="b">
        <v>0</v>
      </c>
      <c r="D256" s="2" t="b">
        <v>0</v>
      </c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715</v>
      </c>
      <c r="S256"/>
      <c r="T256"/>
      <c r="U256"/>
    </row>
    <row r="257" spans="1:21">
      <c r="A257" s="2" t="s">
        <v>279</v>
      </c>
      <c r="B257" t="b">
        <v>1</v>
      </c>
      <c r="C257" t="b">
        <v>0</v>
      </c>
      <c r="D257" s="2" t="b">
        <v>0</v>
      </c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715</v>
      </c>
      <c r="S257"/>
      <c r="T257"/>
      <c r="U257"/>
    </row>
    <row r="258" spans="1:21">
      <c r="A258" s="2" t="s">
        <v>280</v>
      </c>
      <c r="B258" t="b">
        <v>1</v>
      </c>
      <c r="C258" t="b">
        <v>0</v>
      </c>
      <c r="D258" s="2" t="b">
        <v>0</v>
      </c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715</v>
      </c>
      <c r="S258"/>
      <c r="T258"/>
      <c r="U258"/>
    </row>
    <row r="259" spans="1:21">
      <c r="A259" s="2" t="s">
        <v>281</v>
      </c>
      <c r="B259" t="b">
        <v>1</v>
      </c>
      <c r="C259" t="b">
        <v>0</v>
      </c>
      <c r="D259" s="2" t="b">
        <v>0</v>
      </c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715</v>
      </c>
      <c r="S259"/>
      <c r="T259"/>
      <c r="U259"/>
    </row>
    <row r="260" spans="1:21">
      <c r="A260" s="2" t="s">
        <v>282</v>
      </c>
      <c r="B260" t="b">
        <v>1</v>
      </c>
      <c r="C260" t="b">
        <v>0</v>
      </c>
      <c r="D260" s="2" t="b">
        <v>0</v>
      </c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715</v>
      </c>
      <c r="S260"/>
      <c r="T260"/>
      <c r="U260"/>
    </row>
    <row r="261" spans="1:21">
      <c r="A261" s="2" t="s">
        <v>283</v>
      </c>
      <c r="B261" t="b">
        <v>1</v>
      </c>
      <c r="C261" t="b">
        <v>0</v>
      </c>
      <c r="D261" s="2" t="b">
        <v>0</v>
      </c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715</v>
      </c>
      <c r="S261"/>
      <c r="T261"/>
      <c r="U261"/>
    </row>
    <row r="262" spans="1:21">
      <c r="A262" s="2" t="s">
        <v>284</v>
      </c>
      <c r="B262" t="b">
        <v>1</v>
      </c>
      <c r="C262" t="b">
        <v>0</v>
      </c>
      <c r="D262" s="2" t="b">
        <v>0</v>
      </c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715</v>
      </c>
      <c r="S262"/>
      <c r="T262"/>
      <c r="U262"/>
    </row>
    <row r="263" spans="1:21">
      <c r="A263" s="2" t="s">
        <v>285</v>
      </c>
      <c r="B263" t="b">
        <v>1</v>
      </c>
      <c r="C263" t="b">
        <v>0</v>
      </c>
      <c r="D263" s="2" t="b">
        <v>0</v>
      </c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715</v>
      </c>
      <c r="S263"/>
      <c r="T263"/>
      <c r="U263"/>
    </row>
    <row r="264" spans="1:21">
      <c r="A264" s="2" t="s">
        <v>286</v>
      </c>
      <c r="B264" t="b">
        <v>1</v>
      </c>
      <c r="C264" t="b">
        <v>0</v>
      </c>
      <c r="D264" s="2" t="b">
        <v>0</v>
      </c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715</v>
      </c>
      <c r="S264"/>
      <c r="T264"/>
      <c r="U264"/>
    </row>
    <row r="265" spans="1:21">
      <c r="A265" s="2" t="s">
        <v>287</v>
      </c>
      <c r="B265" t="b">
        <v>1</v>
      </c>
      <c r="C265" t="b">
        <v>0</v>
      </c>
      <c r="D265" s="2" t="b">
        <v>0</v>
      </c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715</v>
      </c>
      <c r="S265"/>
      <c r="T265"/>
      <c r="U265"/>
    </row>
    <row r="266" spans="1:21">
      <c r="A266" s="2" t="s">
        <v>288</v>
      </c>
      <c r="B266" t="b">
        <v>1</v>
      </c>
      <c r="C266" t="b">
        <v>0</v>
      </c>
      <c r="D266" s="2" t="b">
        <v>0</v>
      </c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715</v>
      </c>
      <c r="S266"/>
      <c r="T266"/>
      <c r="U266"/>
    </row>
    <row r="267" spans="1:21">
      <c r="A267" s="2" t="s">
        <v>289</v>
      </c>
      <c r="B267" t="b">
        <v>1</v>
      </c>
      <c r="C267" t="b">
        <v>0</v>
      </c>
      <c r="D267" s="2" t="b">
        <v>0</v>
      </c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715</v>
      </c>
      <c r="S267"/>
      <c r="T267"/>
      <c r="U267"/>
    </row>
    <row r="268" spans="1:21">
      <c r="A268" s="2" t="s">
        <v>290</v>
      </c>
      <c r="B268" t="b">
        <v>1</v>
      </c>
      <c r="C268" t="b">
        <v>0</v>
      </c>
      <c r="D268" s="2" t="b">
        <v>0</v>
      </c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715</v>
      </c>
      <c r="S268"/>
      <c r="T268"/>
      <c r="U268"/>
    </row>
    <row r="269" spans="1:21">
      <c r="A269" s="2" t="s">
        <v>291</v>
      </c>
      <c r="B269" t="b">
        <v>1</v>
      </c>
      <c r="C269" t="b">
        <v>0</v>
      </c>
      <c r="D269" s="2" t="b">
        <v>0</v>
      </c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715</v>
      </c>
      <c r="S269"/>
      <c r="T269"/>
      <c r="U269"/>
    </row>
    <row r="270" spans="1:21">
      <c r="A270" s="2" t="s">
        <v>292</v>
      </c>
      <c r="B270" t="b">
        <v>1</v>
      </c>
      <c r="C270" t="b">
        <v>0</v>
      </c>
      <c r="D270" s="2" t="b">
        <v>0</v>
      </c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715</v>
      </c>
      <c r="S270"/>
      <c r="T270"/>
      <c r="U270"/>
    </row>
    <row r="271" spans="1:21">
      <c r="A271" s="2" t="s">
        <v>293</v>
      </c>
      <c r="B271" t="b">
        <v>1</v>
      </c>
      <c r="C271" t="b">
        <v>0</v>
      </c>
      <c r="D271" s="2" t="b">
        <v>0</v>
      </c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715</v>
      </c>
      <c r="S271"/>
      <c r="T271"/>
      <c r="U271"/>
    </row>
    <row r="272" spans="1:21">
      <c r="A272" s="2" t="s">
        <v>294</v>
      </c>
      <c r="B272" t="b">
        <v>1</v>
      </c>
      <c r="C272" t="b">
        <v>0</v>
      </c>
      <c r="D272" s="2" t="b">
        <v>0</v>
      </c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715</v>
      </c>
      <c r="S272"/>
      <c r="T272"/>
      <c r="U272"/>
    </row>
    <row r="273" spans="1:21">
      <c r="A273" s="2" t="s">
        <v>295</v>
      </c>
      <c r="B273" t="b">
        <v>1</v>
      </c>
      <c r="C273" t="b">
        <v>0</v>
      </c>
      <c r="D273" s="2" t="b">
        <v>0</v>
      </c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715</v>
      </c>
      <c r="S273"/>
      <c r="T273"/>
      <c r="U273"/>
    </row>
    <row r="274" spans="1:21">
      <c r="A274" s="2" t="s">
        <v>296</v>
      </c>
      <c r="B274" t="b">
        <v>1</v>
      </c>
      <c r="C274" t="b">
        <v>0</v>
      </c>
      <c r="D274" s="2" t="b">
        <v>0</v>
      </c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715</v>
      </c>
      <c r="S274"/>
      <c r="T274"/>
      <c r="U274"/>
    </row>
    <row r="275" spans="1:21">
      <c r="A275" s="2" t="s">
        <v>297</v>
      </c>
      <c r="B275" t="b">
        <v>1</v>
      </c>
      <c r="C275" t="b">
        <v>0</v>
      </c>
      <c r="D275" s="2" t="b">
        <v>0</v>
      </c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715</v>
      </c>
      <c r="S275"/>
      <c r="T275"/>
      <c r="U275"/>
    </row>
    <row r="276" spans="1:21">
      <c r="A276" s="2" t="s">
        <v>298</v>
      </c>
      <c r="B276" t="b">
        <v>1</v>
      </c>
      <c r="C276" t="b">
        <v>0</v>
      </c>
      <c r="D276" s="2" t="b">
        <v>0</v>
      </c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715</v>
      </c>
      <c r="S276"/>
      <c r="T276"/>
      <c r="U276"/>
    </row>
    <row r="277" spans="1:21">
      <c r="A277" s="2" t="s">
        <v>299</v>
      </c>
      <c r="B277" t="b">
        <v>1</v>
      </c>
      <c r="C277" t="b">
        <v>0</v>
      </c>
      <c r="D277" s="2" t="b">
        <v>0</v>
      </c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715</v>
      </c>
      <c r="S277"/>
      <c r="T277"/>
      <c r="U277"/>
    </row>
    <row r="278" spans="1:21">
      <c r="A278" s="2" t="s">
        <v>300</v>
      </c>
      <c r="B278" t="b">
        <v>1</v>
      </c>
      <c r="C278" t="b">
        <v>0</v>
      </c>
      <c r="D278" s="2" t="b">
        <v>0</v>
      </c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715</v>
      </c>
      <c r="S278"/>
      <c r="T278"/>
      <c r="U278"/>
    </row>
    <row r="279" spans="1:21">
      <c r="A279" s="2" t="s">
        <v>301</v>
      </c>
      <c r="B279" t="b">
        <v>1</v>
      </c>
      <c r="C279" t="b">
        <v>0</v>
      </c>
      <c r="D279" s="2" t="b">
        <v>0</v>
      </c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715</v>
      </c>
      <c r="S279"/>
      <c r="T279"/>
      <c r="U279"/>
    </row>
    <row r="280" spans="1:21">
      <c r="A280" s="2" t="s">
        <v>302</v>
      </c>
      <c r="B280" t="b">
        <v>1</v>
      </c>
      <c r="C280" t="b">
        <v>0</v>
      </c>
      <c r="D280" s="2" t="b">
        <v>0</v>
      </c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715</v>
      </c>
      <c r="S280"/>
      <c r="T280"/>
      <c r="U280"/>
    </row>
    <row r="281" spans="1:21">
      <c r="A281" s="2" t="s">
        <v>303</v>
      </c>
      <c r="B281" t="b">
        <v>1</v>
      </c>
      <c r="C281" t="b">
        <v>0</v>
      </c>
      <c r="D281" s="2" t="b">
        <v>0</v>
      </c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715</v>
      </c>
      <c r="S281"/>
      <c r="T281"/>
      <c r="U281"/>
    </row>
    <row r="282" spans="1:21">
      <c r="A282" s="2" t="s">
        <v>304</v>
      </c>
      <c r="B282" t="b">
        <v>1</v>
      </c>
      <c r="C282" t="b">
        <v>0</v>
      </c>
      <c r="D282" s="2" t="b">
        <v>0</v>
      </c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715</v>
      </c>
      <c r="S282"/>
      <c r="T282"/>
      <c r="U282"/>
    </row>
    <row r="283" spans="1:21">
      <c r="A283" s="2" t="s">
        <v>305</v>
      </c>
      <c r="B283" t="b">
        <v>1</v>
      </c>
      <c r="C283" t="b">
        <v>0</v>
      </c>
      <c r="D283" s="2" t="b">
        <v>0</v>
      </c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715</v>
      </c>
      <c r="S283"/>
      <c r="T283"/>
      <c r="U283"/>
    </row>
    <row r="284" spans="1:21">
      <c r="A284" s="2" t="s">
        <v>306</v>
      </c>
      <c r="B284" t="b">
        <v>1</v>
      </c>
      <c r="C284" t="b">
        <v>0</v>
      </c>
      <c r="D284" s="2" t="b">
        <v>0</v>
      </c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715</v>
      </c>
      <c r="S284"/>
      <c r="T284"/>
      <c r="U284"/>
    </row>
    <row r="285" spans="1:21">
      <c r="A285" s="2" t="s">
        <v>307</v>
      </c>
      <c r="B285" t="b">
        <v>1</v>
      </c>
      <c r="C285" t="b">
        <v>0</v>
      </c>
      <c r="D285" s="2" t="b">
        <v>0</v>
      </c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715</v>
      </c>
      <c r="S285"/>
      <c r="T285"/>
      <c r="U285"/>
    </row>
    <row r="286" spans="1:21">
      <c r="A286" s="2" t="s">
        <v>308</v>
      </c>
      <c r="B286" t="b">
        <v>1</v>
      </c>
      <c r="C286" t="b">
        <v>0</v>
      </c>
      <c r="D286" s="2" t="b">
        <v>0</v>
      </c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715</v>
      </c>
      <c r="S286"/>
      <c r="T286"/>
      <c r="U286"/>
    </row>
    <row r="287" spans="1:21">
      <c r="A287" s="2" t="s">
        <v>309</v>
      </c>
      <c r="B287" t="b">
        <v>1</v>
      </c>
      <c r="C287" t="b">
        <v>0</v>
      </c>
      <c r="D287" s="2" t="b">
        <v>0</v>
      </c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715</v>
      </c>
      <c r="S287"/>
      <c r="T287"/>
      <c r="U287"/>
    </row>
    <row r="288" spans="1:21">
      <c r="A288" s="2" t="s">
        <v>310</v>
      </c>
      <c r="B288" t="b">
        <v>1</v>
      </c>
      <c r="C288" t="b">
        <v>0</v>
      </c>
      <c r="D288" s="2" t="b">
        <v>0</v>
      </c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715</v>
      </c>
      <c r="S288"/>
      <c r="T288"/>
      <c r="U288"/>
    </row>
    <row r="289" spans="1:21">
      <c r="A289" s="2" t="s">
        <v>311</v>
      </c>
      <c r="B289" t="b">
        <v>1</v>
      </c>
      <c r="C289" t="b">
        <v>0</v>
      </c>
      <c r="D289" s="2" t="b">
        <v>0</v>
      </c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715</v>
      </c>
      <c r="S289"/>
      <c r="T289"/>
      <c r="U289"/>
    </row>
    <row r="290" spans="1:21">
      <c r="A290" s="2" t="s">
        <v>312</v>
      </c>
      <c r="B290" t="b">
        <v>1</v>
      </c>
      <c r="C290" t="b">
        <v>0</v>
      </c>
      <c r="D290" s="2" t="b">
        <v>0</v>
      </c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715</v>
      </c>
      <c r="S290"/>
      <c r="T290"/>
      <c r="U290"/>
    </row>
    <row r="291" spans="1:21">
      <c r="A291" s="2" t="s">
        <v>313</v>
      </c>
      <c r="B291" t="b">
        <v>1</v>
      </c>
      <c r="C291" t="b">
        <v>0</v>
      </c>
      <c r="D291" s="2" t="b">
        <v>0</v>
      </c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715</v>
      </c>
      <c r="S291"/>
      <c r="T291"/>
      <c r="U291"/>
    </row>
    <row r="292" spans="1:21">
      <c r="A292" s="2" t="s">
        <v>314</v>
      </c>
      <c r="B292" t="b">
        <v>1</v>
      </c>
      <c r="C292" t="b">
        <v>0</v>
      </c>
      <c r="D292" s="2" t="b">
        <v>0</v>
      </c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715</v>
      </c>
      <c r="S292"/>
      <c r="T292"/>
      <c r="U292"/>
    </row>
    <row r="293" spans="1:21">
      <c r="A293" s="2" t="s">
        <v>315</v>
      </c>
      <c r="B293" t="b">
        <v>1</v>
      </c>
      <c r="C293" t="b">
        <v>0</v>
      </c>
      <c r="D293" s="2" t="b">
        <v>0</v>
      </c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715</v>
      </c>
      <c r="S293"/>
      <c r="T293"/>
      <c r="U293"/>
    </row>
    <row r="294" spans="1:21">
      <c r="A294" s="2" t="s">
        <v>316</v>
      </c>
      <c r="B294" t="b">
        <v>1</v>
      </c>
      <c r="C294" t="b">
        <v>0</v>
      </c>
      <c r="D294" s="2" t="b">
        <v>0</v>
      </c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715</v>
      </c>
      <c r="S294"/>
      <c r="T294"/>
      <c r="U294"/>
    </row>
    <row r="295" spans="1:21">
      <c r="A295" s="2" t="s">
        <v>317</v>
      </c>
      <c r="B295" t="b">
        <v>1</v>
      </c>
      <c r="C295" t="b">
        <v>0</v>
      </c>
      <c r="D295" s="2" t="b">
        <v>0</v>
      </c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715</v>
      </c>
      <c r="S295"/>
      <c r="T295"/>
      <c r="U295"/>
    </row>
    <row r="296" spans="1:21">
      <c r="A296" s="2" t="s">
        <v>318</v>
      </c>
      <c r="B296" t="b">
        <v>1</v>
      </c>
      <c r="C296" t="b">
        <v>0</v>
      </c>
      <c r="D296" s="2" t="b">
        <v>0</v>
      </c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715</v>
      </c>
      <c r="S296"/>
      <c r="T296"/>
      <c r="U296"/>
    </row>
    <row r="297" spans="1:21">
      <c r="A297" s="2" t="s">
        <v>319</v>
      </c>
      <c r="B297" t="b">
        <v>1</v>
      </c>
      <c r="C297" t="b">
        <v>0</v>
      </c>
      <c r="D297" s="2" t="b">
        <v>0</v>
      </c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715</v>
      </c>
      <c r="S297"/>
      <c r="T297"/>
      <c r="U297"/>
    </row>
    <row r="298" spans="1:21">
      <c r="A298" s="2" t="s">
        <v>320</v>
      </c>
      <c r="B298" t="b">
        <v>1</v>
      </c>
      <c r="C298" t="b">
        <v>0</v>
      </c>
      <c r="D298" s="2" t="b">
        <v>0</v>
      </c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715</v>
      </c>
      <c r="S298"/>
      <c r="T298"/>
      <c r="U298"/>
    </row>
    <row r="299" spans="1:21">
      <c r="A299" s="2" t="s">
        <v>321</v>
      </c>
      <c r="B299" t="b">
        <v>1</v>
      </c>
      <c r="C299" t="b">
        <v>0</v>
      </c>
      <c r="D299" s="2" t="b">
        <v>0</v>
      </c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715</v>
      </c>
      <c r="S299"/>
      <c r="T299"/>
      <c r="U299"/>
    </row>
    <row r="300" spans="1:21">
      <c r="A300" s="2" t="s">
        <v>322</v>
      </c>
      <c r="B300" t="b">
        <v>1</v>
      </c>
      <c r="C300" t="b">
        <v>0</v>
      </c>
      <c r="D300" s="2" t="b">
        <v>0</v>
      </c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715</v>
      </c>
      <c r="S300"/>
      <c r="T300"/>
      <c r="U300"/>
    </row>
    <row r="301" spans="1:21">
      <c r="A301" s="2" t="s">
        <v>323</v>
      </c>
      <c r="B301" t="b">
        <v>1</v>
      </c>
      <c r="C301" t="b">
        <v>1</v>
      </c>
      <c r="D301" s="2" t="b">
        <v>0</v>
      </c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715</v>
      </c>
      <c r="S301"/>
      <c r="T301"/>
      <c r="U301"/>
    </row>
    <row r="302" spans="1:21">
      <c r="A302" s="2" t="s">
        <v>326</v>
      </c>
      <c r="B302" t="b">
        <v>1</v>
      </c>
      <c r="C302" t="b">
        <v>1</v>
      </c>
      <c r="D302" s="2" t="b">
        <v>0</v>
      </c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715</v>
      </c>
      <c r="S302"/>
      <c r="T302"/>
      <c r="U302"/>
    </row>
    <row r="303" spans="1:21">
      <c r="A303" s="2" t="s">
        <v>327</v>
      </c>
      <c r="B303" t="b">
        <v>1</v>
      </c>
      <c r="C303" t="b">
        <v>1</v>
      </c>
      <c r="D303" s="2" t="b">
        <v>0</v>
      </c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715</v>
      </c>
      <c r="S303"/>
      <c r="T303"/>
      <c r="U303"/>
    </row>
    <row r="304" spans="1:21">
      <c r="A304" s="2" t="s">
        <v>328</v>
      </c>
      <c r="B304" t="b">
        <v>1</v>
      </c>
      <c r="C304" t="b">
        <v>1</v>
      </c>
      <c r="D304" s="2" t="b">
        <v>0</v>
      </c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715</v>
      </c>
      <c r="S304"/>
      <c r="T304"/>
      <c r="U304"/>
    </row>
    <row r="305" spans="1:21">
      <c r="A305" s="2" t="s">
        <v>329</v>
      </c>
      <c r="B305" t="b">
        <v>1</v>
      </c>
      <c r="C305" t="b">
        <v>1</v>
      </c>
      <c r="D305" s="2" t="b">
        <v>0</v>
      </c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715</v>
      </c>
      <c r="S305"/>
      <c r="T305"/>
      <c r="U305"/>
    </row>
    <row r="306" spans="1:21">
      <c r="A306" s="2" t="s">
        <v>330</v>
      </c>
      <c r="B306" t="b">
        <v>1</v>
      </c>
      <c r="C306" t="b">
        <v>1</v>
      </c>
      <c r="D306" s="2" t="b">
        <v>0</v>
      </c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715</v>
      </c>
      <c r="S306"/>
      <c r="T306"/>
      <c r="U306"/>
    </row>
    <row r="307" spans="1:21">
      <c r="A307" s="2" t="s">
        <v>331</v>
      </c>
      <c r="B307" t="b">
        <v>1</v>
      </c>
      <c r="C307" t="b">
        <v>1</v>
      </c>
      <c r="D307" s="2" t="b">
        <v>0</v>
      </c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715</v>
      </c>
      <c r="S307"/>
      <c r="T307"/>
      <c r="U307"/>
    </row>
    <row r="308" spans="1:21">
      <c r="A308" s="2" t="s">
        <v>332</v>
      </c>
      <c r="B308" t="b">
        <v>1</v>
      </c>
      <c r="C308" t="b">
        <v>1</v>
      </c>
      <c r="D308" s="2" t="b">
        <v>0</v>
      </c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715</v>
      </c>
      <c r="S308"/>
      <c r="T308"/>
      <c r="U308"/>
    </row>
    <row r="309" spans="1:21">
      <c r="A309" s="2" t="s">
        <v>333</v>
      </c>
      <c r="B309" t="b">
        <v>1</v>
      </c>
      <c r="C309" t="b">
        <v>1</v>
      </c>
      <c r="D309" s="2" t="b">
        <v>0</v>
      </c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715</v>
      </c>
      <c r="S309"/>
      <c r="T309"/>
      <c r="U309"/>
    </row>
    <row r="310" spans="1:21">
      <c r="A310" s="2" t="s">
        <v>334</v>
      </c>
      <c r="B310" t="b">
        <v>1</v>
      </c>
      <c r="C310" t="b">
        <v>1</v>
      </c>
      <c r="D310" s="2" t="b">
        <v>0</v>
      </c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715</v>
      </c>
      <c r="S310"/>
      <c r="T310"/>
      <c r="U310"/>
    </row>
    <row r="311" spans="1:21">
      <c r="A311" s="2" t="s">
        <v>335</v>
      </c>
      <c r="B311" t="b">
        <v>1</v>
      </c>
      <c r="C311" t="b">
        <v>1</v>
      </c>
      <c r="D311" s="2" t="b">
        <v>0</v>
      </c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715</v>
      </c>
      <c r="S311"/>
      <c r="T311"/>
      <c r="U311"/>
    </row>
    <row r="312" spans="1:21">
      <c r="A312" s="2" t="s">
        <v>336</v>
      </c>
      <c r="B312" t="b">
        <v>1</v>
      </c>
      <c r="C312" t="b">
        <v>1</v>
      </c>
      <c r="D312" s="2" t="b">
        <v>0</v>
      </c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715</v>
      </c>
      <c r="S312"/>
      <c r="T312"/>
      <c r="U312"/>
    </row>
    <row r="313" spans="1:21">
      <c r="A313" s="2" t="s">
        <v>337</v>
      </c>
      <c r="B313" t="b">
        <v>1</v>
      </c>
      <c r="C313" t="b">
        <v>1</v>
      </c>
      <c r="D313" s="2" t="b">
        <v>0</v>
      </c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715</v>
      </c>
      <c r="S313"/>
      <c r="T313"/>
      <c r="U313"/>
    </row>
    <row r="314" spans="1:21">
      <c r="A314" s="2" t="s">
        <v>338</v>
      </c>
      <c r="B314" t="b">
        <v>1</v>
      </c>
      <c r="C314" t="b">
        <v>1</v>
      </c>
      <c r="D314" s="2" t="b">
        <v>0</v>
      </c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715</v>
      </c>
      <c r="S314"/>
      <c r="T314"/>
      <c r="U314"/>
    </row>
    <row r="315" spans="1:21">
      <c r="A315" s="2" t="s">
        <v>339</v>
      </c>
      <c r="B315" t="b">
        <v>1</v>
      </c>
      <c r="C315" t="b">
        <v>1</v>
      </c>
      <c r="D315" s="2" t="b">
        <v>0</v>
      </c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715</v>
      </c>
      <c r="S315"/>
      <c r="T315"/>
      <c r="U315"/>
    </row>
    <row r="316" spans="1:21">
      <c r="A316" s="2" t="s">
        <v>340</v>
      </c>
      <c r="B316" t="b">
        <v>1</v>
      </c>
      <c r="C316" t="b">
        <v>1</v>
      </c>
      <c r="D316" s="2" t="b">
        <v>0</v>
      </c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715</v>
      </c>
      <c r="S316"/>
      <c r="T316"/>
      <c r="U316"/>
    </row>
    <row r="317" spans="1:21">
      <c r="A317" s="2" t="s">
        <v>341</v>
      </c>
      <c r="B317" t="b">
        <v>1</v>
      </c>
      <c r="C317" t="b">
        <v>1</v>
      </c>
      <c r="D317" s="2" t="b">
        <v>0</v>
      </c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715</v>
      </c>
      <c r="S317"/>
      <c r="T317"/>
      <c r="U317"/>
    </row>
    <row r="318" spans="1:21">
      <c r="A318" s="2" t="s">
        <v>342</v>
      </c>
      <c r="B318" t="b">
        <v>1</v>
      </c>
      <c r="C318" t="b">
        <v>1</v>
      </c>
      <c r="D318" s="2" t="b">
        <v>0</v>
      </c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715</v>
      </c>
      <c r="S318"/>
      <c r="T318"/>
      <c r="U318"/>
    </row>
    <row r="319" spans="1:21">
      <c r="A319" s="2" t="s">
        <v>343</v>
      </c>
      <c r="B319" t="b">
        <v>1</v>
      </c>
      <c r="C319" t="b">
        <v>1</v>
      </c>
      <c r="D319" s="2" t="b">
        <v>0</v>
      </c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715</v>
      </c>
      <c r="S319"/>
      <c r="T319"/>
      <c r="U319"/>
    </row>
    <row r="320" spans="1:21">
      <c r="A320" s="2" t="s">
        <v>344</v>
      </c>
      <c r="B320" t="b">
        <v>1</v>
      </c>
      <c r="C320" t="b">
        <v>1</v>
      </c>
      <c r="D320" s="2" t="b">
        <v>0</v>
      </c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715</v>
      </c>
      <c r="S320"/>
      <c r="T320"/>
      <c r="U320"/>
    </row>
    <row r="321" spans="1:21">
      <c r="A321" s="2" t="s">
        <v>345</v>
      </c>
      <c r="B321" t="b">
        <v>1</v>
      </c>
      <c r="C321" t="b">
        <v>1</v>
      </c>
      <c r="D321" s="2" t="b">
        <v>0</v>
      </c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715</v>
      </c>
      <c r="S321"/>
      <c r="T321"/>
      <c r="U321"/>
    </row>
    <row r="322" spans="1:21">
      <c r="A322" s="2" t="s">
        <v>346</v>
      </c>
      <c r="B322" t="b">
        <v>1</v>
      </c>
      <c r="C322" t="b">
        <v>1</v>
      </c>
      <c r="D322" s="2" t="b">
        <v>0</v>
      </c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715</v>
      </c>
      <c r="S322"/>
      <c r="T322"/>
      <c r="U322"/>
    </row>
    <row r="323" spans="1:21">
      <c r="A323" s="2" t="s">
        <v>347</v>
      </c>
      <c r="B323" t="b">
        <v>1</v>
      </c>
      <c r="C323" t="b">
        <v>1</v>
      </c>
      <c r="D323" s="2" t="b">
        <v>0</v>
      </c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715</v>
      </c>
      <c r="S323"/>
      <c r="T323"/>
      <c r="U323"/>
    </row>
    <row r="324" spans="1:21">
      <c r="A324" s="2" t="s">
        <v>348</v>
      </c>
      <c r="B324" t="b">
        <v>1</v>
      </c>
      <c r="C324" t="b">
        <v>1</v>
      </c>
      <c r="D324" s="2" t="b">
        <v>0</v>
      </c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715</v>
      </c>
      <c r="S324"/>
      <c r="T324"/>
      <c r="U324"/>
    </row>
    <row r="325" spans="1:21">
      <c r="A325" s="2" t="s">
        <v>349</v>
      </c>
      <c r="B325" t="b">
        <v>1</v>
      </c>
      <c r="C325" t="b">
        <v>1</v>
      </c>
      <c r="D325" s="2" t="b">
        <v>0</v>
      </c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715</v>
      </c>
      <c r="S325"/>
      <c r="T325"/>
      <c r="U325"/>
    </row>
    <row r="326" spans="1:21">
      <c r="A326" s="2" t="s">
        <v>350</v>
      </c>
      <c r="B326" t="b">
        <v>1</v>
      </c>
      <c r="C326" t="b">
        <v>1</v>
      </c>
      <c r="D326" s="2" t="b">
        <v>0</v>
      </c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715</v>
      </c>
      <c r="S326"/>
      <c r="T326"/>
      <c r="U326"/>
    </row>
    <row r="327" spans="1:21">
      <c r="A327" s="2" t="s">
        <v>351</v>
      </c>
      <c r="B327" t="b">
        <v>1</v>
      </c>
      <c r="C327" t="b">
        <v>1</v>
      </c>
      <c r="D327" s="2" t="b">
        <v>0</v>
      </c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715</v>
      </c>
      <c r="S327"/>
      <c r="T327"/>
      <c r="U327"/>
    </row>
    <row r="328" spans="1:21">
      <c r="A328" s="2" t="s">
        <v>352</v>
      </c>
      <c r="B328" t="b">
        <v>1</v>
      </c>
      <c r="C328" t="b">
        <v>1</v>
      </c>
      <c r="D328" s="2" t="b">
        <v>0</v>
      </c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715</v>
      </c>
      <c r="S328"/>
      <c r="T328"/>
      <c r="U328"/>
    </row>
    <row r="329" spans="1:21">
      <c r="A329" s="2" t="s">
        <v>353</v>
      </c>
      <c r="B329" t="b">
        <v>1</v>
      </c>
      <c r="C329" t="b">
        <v>1</v>
      </c>
      <c r="D329" s="2" t="b">
        <v>0</v>
      </c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715</v>
      </c>
      <c r="S329"/>
      <c r="T329"/>
      <c r="U329"/>
    </row>
    <row r="330" spans="1:21">
      <c r="A330" s="2" t="s">
        <v>354</v>
      </c>
      <c r="B330" t="b">
        <v>1</v>
      </c>
      <c r="C330" t="b">
        <v>1</v>
      </c>
      <c r="D330" s="2" t="b">
        <v>0</v>
      </c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715</v>
      </c>
      <c r="S330"/>
      <c r="T330"/>
      <c r="U330"/>
    </row>
    <row r="331" spans="1:21">
      <c r="A331" s="2" t="s">
        <v>355</v>
      </c>
      <c r="B331" t="b">
        <v>1</v>
      </c>
      <c r="C331" t="b">
        <v>1</v>
      </c>
      <c r="D331" s="2" t="b">
        <v>0</v>
      </c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715</v>
      </c>
      <c r="S331"/>
      <c r="T331"/>
      <c r="U331"/>
    </row>
    <row r="332" spans="1:21">
      <c r="A332" s="2" t="s">
        <v>356</v>
      </c>
      <c r="B332" t="b">
        <v>1</v>
      </c>
      <c r="C332" t="b">
        <v>1</v>
      </c>
      <c r="D332" s="2" t="b">
        <v>0</v>
      </c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715</v>
      </c>
      <c r="S332"/>
      <c r="T332"/>
      <c r="U332"/>
    </row>
    <row r="333" spans="1:21">
      <c r="A333" s="2" t="s">
        <v>357</v>
      </c>
      <c r="B333" t="b">
        <v>1</v>
      </c>
      <c r="C333" t="b">
        <v>1</v>
      </c>
      <c r="D333" s="2" t="b">
        <v>0</v>
      </c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715</v>
      </c>
      <c r="S333"/>
      <c r="T333"/>
      <c r="U333"/>
    </row>
    <row r="334" spans="1:21">
      <c r="A334" s="2" t="s">
        <v>358</v>
      </c>
      <c r="B334" t="b">
        <v>1</v>
      </c>
      <c r="C334" t="b">
        <v>1</v>
      </c>
      <c r="D334" s="2" t="b">
        <v>0</v>
      </c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715</v>
      </c>
      <c r="S334"/>
      <c r="T334"/>
      <c r="U334"/>
    </row>
    <row r="335" spans="1:21">
      <c r="A335" s="2" t="s">
        <v>359</v>
      </c>
      <c r="B335" t="b">
        <v>1</v>
      </c>
      <c r="C335" t="b">
        <v>1</v>
      </c>
      <c r="D335" s="2" t="b">
        <v>0</v>
      </c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715</v>
      </c>
      <c r="S335"/>
      <c r="T335"/>
      <c r="U335"/>
    </row>
    <row r="336" spans="1:21">
      <c r="A336" s="2" t="s">
        <v>360</v>
      </c>
      <c r="B336" t="b">
        <v>1</v>
      </c>
      <c r="C336" t="b">
        <v>1</v>
      </c>
      <c r="D336" s="2" t="b">
        <v>0</v>
      </c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715</v>
      </c>
      <c r="S336"/>
      <c r="T336"/>
      <c r="U336"/>
    </row>
    <row r="337" spans="1:21">
      <c r="A337" s="2" t="s">
        <v>361</v>
      </c>
      <c r="B337" t="b">
        <v>1</v>
      </c>
      <c r="C337" t="b">
        <v>1</v>
      </c>
      <c r="D337" s="2" t="b">
        <v>0</v>
      </c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715</v>
      </c>
      <c r="S337"/>
      <c r="T337"/>
      <c r="U337"/>
    </row>
    <row r="338" spans="1:21">
      <c r="A338" s="2" t="s">
        <v>362</v>
      </c>
      <c r="B338" t="b">
        <v>1</v>
      </c>
      <c r="C338" t="b">
        <v>1</v>
      </c>
      <c r="D338" s="2" t="b">
        <v>0</v>
      </c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715</v>
      </c>
      <c r="S338"/>
      <c r="T338"/>
      <c r="U338"/>
    </row>
    <row r="339" spans="1:21">
      <c r="A339" s="2" t="s">
        <v>363</v>
      </c>
      <c r="B339" t="b">
        <v>1</v>
      </c>
      <c r="C339" t="b">
        <v>1</v>
      </c>
      <c r="D339" s="2" t="b">
        <v>0</v>
      </c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715</v>
      </c>
      <c r="S339"/>
      <c r="T339"/>
      <c r="U339"/>
    </row>
    <row r="340" spans="1:21">
      <c r="A340" s="2" t="s">
        <v>364</v>
      </c>
      <c r="B340" t="b">
        <v>1</v>
      </c>
      <c r="C340" t="b">
        <v>1</v>
      </c>
      <c r="D340" s="2" t="b">
        <v>0</v>
      </c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715</v>
      </c>
      <c r="S340"/>
      <c r="T340"/>
      <c r="U340"/>
    </row>
    <row r="341" spans="1:21">
      <c r="A341" s="2" t="s">
        <v>365</v>
      </c>
      <c r="B341" t="b">
        <v>1</v>
      </c>
      <c r="C341" t="b">
        <v>1</v>
      </c>
      <c r="D341" s="2" t="b">
        <v>0</v>
      </c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715</v>
      </c>
      <c r="S341"/>
      <c r="T341"/>
      <c r="U341"/>
    </row>
    <row r="342" spans="1:21">
      <c r="A342" s="2" t="s">
        <v>366</v>
      </c>
      <c r="B342" t="b">
        <v>1</v>
      </c>
      <c r="C342" t="b">
        <v>1</v>
      </c>
      <c r="D342" s="2" t="b">
        <v>0</v>
      </c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715</v>
      </c>
      <c r="S342"/>
      <c r="T342"/>
      <c r="U342"/>
    </row>
    <row r="343" spans="1:21">
      <c r="A343" s="2" t="s">
        <v>367</v>
      </c>
      <c r="B343" t="b">
        <v>1</v>
      </c>
      <c r="C343" t="b">
        <v>1</v>
      </c>
      <c r="D343" s="2" t="b">
        <v>0</v>
      </c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715</v>
      </c>
      <c r="S343"/>
      <c r="T343"/>
      <c r="U343"/>
    </row>
    <row r="344" spans="1:21">
      <c r="A344" s="2" t="s">
        <v>368</v>
      </c>
      <c r="B344" t="b">
        <v>1</v>
      </c>
      <c r="C344" t="b">
        <v>1</v>
      </c>
      <c r="D344" s="2" t="b">
        <v>0</v>
      </c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715</v>
      </c>
      <c r="S344"/>
      <c r="T344"/>
      <c r="U344"/>
    </row>
    <row r="345" spans="1:21">
      <c r="A345" s="2" t="s">
        <v>369</v>
      </c>
      <c r="B345" t="b">
        <v>1</v>
      </c>
      <c r="C345" t="b">
        <v>1</v>
      </c>
      <c r="D345" s="2" t="b">
        <v>0</v>
      </c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715</v>
      </c>
      <c r="S345"/>
      <c r="T345"/>
      <c r="U345"/>
    </row>
    <row r="346" spans="1:21">
      <c r="A346" s="2" t="s">
        <v>370</v>
      </c>
      <c r="B346" t="b">
        <v>1</v>
      </c>
      <c r="C346" t="b">
        <v>1</v>
      </c>
      <c r="D346" s="2" t="b">
        <v>0</v>
      </c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715</v>
      </c>
      <c r="S346"/>
      <c r="T346"/>
      <c r="U346"/>
    </row>
    <row r="347" spans="1:21">
      <c r="A347" s="2" t="s">
        <v>371</v>
      </c>
      <c r="B347" t="b">
        <v>1</v>
      </c>
      <c r="C347" t="b">
        <v>1</v>
      </c>
      <c r="D347" s="2" t="b">
        <v>0</v>
      </c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715</v>
      </c>
      <c r="S347"/>
      <c r="T347"/>
      <c r="U347"/>
    </row>
    <row r="348" spans="1:21">
      <c r="A348" s="2" t="s">
        <v>372</v>
      </c>
      <c r="B348" t="b">
        <v>1</v>
      </c>
      <c r="C348" t="b">
        <v>1</v>
      </c>
      <c r="D348" s="2" t="b">
        <v>0</v>
      </c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715</v>
      </c>
      <c r="S348"/>
      <c r="T348"/>
      <c r="U348"/>
    </row>
    <row r="349" spans="1:21">
      <c r="A349" s="2" t="s">
        <v>373</v>
      </c>
      <c r="B349" t="b">
        <v>1</v>
      </c>
      <c r="C349" t="b">
        <v>1</v>
      </c>
      <c r="D349" s="2" t="b">
        <v>0</v>
      </c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715</v>
      </c>
      <c r="S349"/>
      <c r="T349"/>
      <c r="U349"/>
    </row>
    <row r="350" spans="1:21">
      <c r="A350" s="2" t="s">
        <v>374</v>
      </c>
      <c r="B350" t="b">
        <v>1</v>
      </c>
      <c r="C350" t="b">
        <v>1</v>
      </c>
      <c r="D350" s="2" t="b">
        <v>0</v>
      </c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715</v>
      </c>
      <c r="S350"/>
      <c r="T350"/>
      <c r="U350"/>
    </row>
    <row r="351" spans="1:21">
      <c r="A351" s="2" t="s">
        <v>375</v>
      </c>
      <c r="B351" t="b">
        <v>1</v>
      </c>
      <c r="C351" t="b">
        <v>1</v>
      </c>
      <c r="D351" s="2" t="b">
        <v>0</v>
      </c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715</v>
      </c>
      <c r="S351"/>
      <c r="T351"/>
      <c r="U351"/>
    </row>
    <row r="352" spans="1:21">
      <c r="A352" s="2" t="s">
        <v>376</v>
      </c>
      <c r="B352" t="b">
        <v>1</v>
      </c>
      <c r="C352" t="b">
        <v>1</v>
      </c>
      <c r="D352" s="2" t="b">
        <v>0</v>
      </c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715</v>
      </c>
      <c r="S352"/>
      <c r="T352"/>
      <c r="U352"/>
    </row>
    <row r="353" spans="1:21">
      <c r="A353" s="2" t="s">
        <v>377</v>
      </c>
      <c r="B353" t="b">
        <v>1</v>
      </c>
      <c r="C353" t="b">
        <v>0</v>
      </c>
      <c r="D353" s="2" t="b">
        <v>0</v>
      </c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715</v>
      </c>
      <c r="S353"/>
      <c r="T353"/>
      <c r="U353"/>
    </row>
    <row r="354" spans="1:21">
      <c r="A354" s="2" t="s">
        <v>378</v>
      </c>
      <c r="B354" t="b">
        <v>1</v>
      </c>
      <c r="C354" t="b">
        <v>0</v>
      </c>
      <c r="D354" s="2" t="b">
        <v>0</v>
      </c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715</v>
      </c>
      <c r="S354"/>
      <c r="T354"/>
      <c r="U354"/>
    </row>
    <row r="355" spans="1:21">
      <c r="A355" s="2" t="s">
        <v>379</v>
      </c>
      <c r="B355" t="b">
        <v>1</v>
      </c>
      <c r="C355" t="b">
        <v>0</v>
      </c>
      <c r="D355" s="2" t="b">
        <v>0</v>
      </c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715</v>
      </c>
      <c r="S355"/>
      <c r="T355"/>
      <c r="U355"/>
    </row>
    <row r="356" spans="1:21">
      <c r="A356" s="2" t="s">
        <v>380</v>
      </c>
      <c r="B356" t="b">
        <v>1</v>
      </c>
      <c r="C356" t="b">
        <v>0</v>
      </c>
      <c r="D356" s="2" t="b">
        <v>0</v>
      </c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715</v>
      </c>
      <c r="S356"/>
      <c r="T356"/>
      <c r="U356"/>
    </row>
    <row r="357" spans="1:21">
      <c r="A357" s="2" t="s">
        <v>381</v>
      </c>
      <c r="B357" t="b">
        <v>1</v>
      </c>
      <c r="C357" t="b">
        <v>0</v>
      </c>
      <c r="D357" s="2" t="b">
        <v>0</v>
      </c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715</v>
      </c>
      <c r="S357"/>
      <c r="T357"/>
      <c r="U357"/>
    </row>
    <row r="358" spans="1:21">
      <c r="A358" s="2" t="s">
        <v>382</v>
      </c>
      <c r="B358" t="b">
        <v>1</v>
      </c>
      <c r="C358" t="b">
        <v>0</v>
      </c>
      <c r="D358" s="2" t="b">
        <v>0</v>
      </c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715</v>
      </c>
      <c r="S358"/>
      <c r="T358"/>
      <c r="U358"/>
    </row>
    <row r="359" spans="1:21">
      <c r="A359" s="2" t="s">
        <v>383</v>
      </c>
      <c r="B359" t="b">
        <v>1</v>
      </c>
      <c r="C359" t="b">
        <v>0</v>
      </c>
      <c r="D359" s="2" t="b">
        <v>0</v>
      </c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715</v>
      </c>
      <c r="S359"/>
      <c r="T359"/>
      <c r="U359"/>
    </row>
    <row r="360" spans="1:21">
      <c r="A360" s="2" t="s">
        <v>384</v>
      </c>
      <c r="B360" t="b">
        <v>1</v>
      </c>
      <c r="C360" t="b">
        <v>0</v>
      </c>
      <c r="D360" s="2" t="b">
        <v>0</v>
      </c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715</v>
      </c>
      <c r="S360"/>
      <c r="T360"/>
      <c r="U360"/>
    </row>
    <row r="361" spans="1:21">
      <c r="A361" s="2" t="s">
        <v>385</v>
      </c>
      <c r="B361" t="b">
        <v>1</v>
      </c>
      <c r="C361" t="b">
        <v>0</v>
      </c>
      <c r="D361" s="2" t="b">
        <v>0</v>
      </c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715</v>
      </c>
      <c r="S361"/>
      <c r="T361"/>
      <c r="U361"/>
    </row>
    <row r="362" spans="1:21">
      <c r="A362" s="2" t="s">
        <v>386</v>
      </c>
      <c r="B362" t="b">
        <v>1</v>
      </c>
      <c r="C362" t="b">
        <v>0</v>
      </c>
      <c r="D362" s="2" t="b">
        <v>0</v>
      </c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715</v>
      </c>
      <c r="S362"/>
      <c r="T362"/>
      <c r="U362"/>
    </row>
    <row r="363" spans="1:21">
      <c r="A363" s="2" t="s">
        <v>387</v>
      </c>
      <c r="B363" t="b">
        <v>1</v>
      </c>
      <c r="C363" t="b">
        <v>0</v>
      </c>
      <c r="D363" s="2" t="b">
        <v>0</v>
      </c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715</v>
      </c>
      <c r="S363"/>
      <c r="T363"/>
      <c r="U363"/>
    </row>
    <row r="364" spans="1:21">
      <c r="A364" s="2" t="s">
        <v>388</v>
      </c>
      <c r="B364" t="b">
        <v>1</v>
      </c>
      <c r="C364" t="b">
        <v>0</v>
      </c>
      <c r="D364" s="2" t="b">
        <v>0</v>
      </c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715</v>
      </c>
      <c r="S364"/>
      <c r="T364"/>
      <c r="U364"/>
    </row>
    <row r="365" spans="1:21">
      <c r="A365" s="2" t="s">
        <v>389</v>
      </c>
      <c r="B365" t="b">
        <v>1</v>
      </c>
      <c r="C365" t="b">
        <v>0</v>
      </c>
      <c r="D365" s="2" t="b">
        <v>0</v>
      </c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715</v>
      </c>
      <c r="S365"/>
      <c r="T365"/>
      <c r="U365"/>
    </row>
    <row r="366" spans="1:21">
      <c r="A366" s="2" t="s">
        <v>390</v>
      </c>
      <c r="B366" t="b">
        <v>1</v>
      </c>
      <c r="C366" t="b">
        <v>0</v>
      </c>
      <c r="D366" s="2" t="b">
        <v>0</v>
      </c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715</v>
      </c>
      <c r="S366"/>
      <c r="T366"/>
      <c r="U366"/>
    </row>
    <row r="367" spans="1:21">
      <c r="A367" s="2" t="s">
        <v>391</v>
      </c>
      <c r="B367" t="b">
        <v>1</v>
      </c>
      <c r="C367" t="b">
        <v>0</v>
      </c>
      <c r="D367" s="2" t="b">
        <v>0</v>
      </c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715</v>
      </c>
      <c r="S367"/>
      <c r="T367"/>
      <c r="U367"/>
    </row>
    <row r="368" spans="1:21">
      <c r="A368" s="2" t="s">
        <v>392</v>
      </c>
      <c r="B368" t="b">
        <v>1</v>
      </c>
      <c r="C368" t="b">
        <v>0</v>
      </c>
      <c r="D368" s="2" t="b">
        <v>0</v>
      </c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715</v>
      </c>
      <c r="S368"/>
      <c r="T368"/>
      <c r="U368"/>
    </row>
    <row r="369" spans="1:21">
      <c r="A369" s="2" t="s">
        <v>393</v>
      </c>
      <c r="B369" t="b">
        <v>1</v>
      </c>
      <c r="C369" t="b">
        <v>0</v>
      </c>
      <c r="D369" s="2" t="b">
        <v>0</v>
      </c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715</v>
      </c>
      <c r="S369"/>
      <c r="T369"/>
      <c r="U369"/>
    </row>
    <row r="370" spans="1:21">
      <c r="A370" s="2" t="s">
        <v>394</v>
      </c>
      <c r="B370" t="b">
        <v>1</v>
      </c>
      <c r="C370" t="b">
        <v>0</v>
      </c>
      <c r="D370" s="2" t="b">
        <v>0</v>
      </c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715</v>
      </c>
      <c r="S370"/>
      <c r="T370"/>
      <c r="U370"/>
    </row>
    <row r="371" spans="1:21">
      <c r="A371" s="2" t="s">
        <v>395</v>
      </c>
      <c r="B371" t="b">
        <v>1</v>
      </c>
      <c r="C371" t="b">
        <v>0</v>
      </c>
      <c r="D371" s="2" t="b">
        <v>0</v>
      </c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715</v>
      </c>
      <c r="S371"/>
      <c r="T371"/>
      <c r="U371"/>
    </row>
    <row r="372" spans="1:21">
      <c r="A372" s="2" t="s">
        <v>396</v>
      </c>
      <c r="B372" t="b">
        <v>1</v>
      </c>
      <c r="C372" t="b">
        <v>0</v>
      </c>
      <c r="D372" s="2" t="b">
        <v>0</v>
      </c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715</v>
      </c>
      <c r="S372"/>
      <c r="T372"/>
      <c r="U372"/>
    </row>
    <row r="373" spans="1:21">
      <c r="A373" s="2" t="s">
        <v>397</v>
      </c>
      <c r="B373" t="b">
        <v>1</v>
      </c>
      <c r="C373" t="b">
        <v>0</v>
      </c>
      <c r="D373" s="2" t="b">
        <v>0</v>
      </c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715</v>
      </c>
      <c r="S373"/>
      <c r="T373"/>
      <c r="U373"/>
    </row>
    <row r="374" spans="1:21">
      <c r="A374" s="2" t="s">
        <v>398</v>
      </c>
      <c r="B374" t="b">
        <v>1</v>
      </c>
      <c r="C374" t="b">
        <v>0</v>
      </c>
      <c r="D374" s="2" t="b">
        <v>0</v>
      </c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715</v>
      </c>
      <c r="S374"/>
      <c r="T374"/>
      <c r="U374"/>
    </row>
    <row r="375" spans="1:21">
      <c r="A375" s="2" t="s">
        <v>399</v>
      </c>
      <c r="B375" t="b">
        <v>1</v>
      </c>
      <c r="C375" t="b">
        <v>0</v>
      </c>
      <c r="D375" s="2" t="b">
        <v>0</v>
      </c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715</v>
      </c>
      <c r="S375"/>
      <c r="T375"/>
      <c r="U375"/>
    </row>
    <row r="376" spans="1:21">
      <c r="A376" s="2" t="s">
        <v>400</v>
      </c>
      <c r="B376" t="b">
        <v>1</v>
      </c>
      <c r="C376" t="b">
        <v>0</v>
      </c>
      <c r="D376" s="2" t="b">
        <v>0</v>
      </c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715</v>
      </c>
      <c r="S376"/>
      <c r="T376"/>
      <c r="U376"/>
    </row>
    <row r="377" spans="1:21">
      <c r="A377" s="2" t="s">
        <v>401</v>
      </c>
      <c r="B377" t="b">
        <v>1</v>
      </c>
      <c r="C377" t="b">
        <v>0</v>
      </c>
      <c r="D377" s="2" t="b">
        <v>0</v>
      </c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715</v>
      </c>
      <c r="S377"/>
      <c r="T377"/>
      <c r="U377"/>
    </row>
    <row r="378" spans="1:21">
      <c r="A378" s="2" t="s">
        <v>402</v>
      </c>
      <c r="B378" t="b">
        <v>1</v>
      </c>
      <c r="C378" t="b">
        <v>0</v>
      </c>
      <c r="D378" s="2" t="b">
        <v>0</v>
      </c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715</v>
      </c>
      <c r="S378"/>
      <c r="T378"/>
      <c r="U378"/>
    </row>
    <row r="379" spans="1:21">
      <c r="A379" s="2" t="s">
        <v>403</v>
      </c>
      <c r="B379" t="b">
        <v>1</v>
      </c>
      <c r="C379" t="b">
        <v>0</v>
      </c>
      <c r="D379" s="2" t="b">
        <v>0</v>
      </c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715</v>
      </c>
      <c r="S379"/>
      <c r="T379"/>
      <c r="U379"/>
    </row>
    <row r="380" spans="1:21">
      <c r="A380" s="2" t="s">
        <v>404</v>
      </c>
      <c r="B380" t="b">
        <v>1</v>
      </c>
      <c r="C380" t="b">
        <v>0</v>
      </c>
      <c r="D380" s="2" t="b">
        <v>0</v>
      </c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715</v>
      </c>
      <c r="S380"/>
      <c r="T380"/>
      <c r="U380"/>
    </row>
    <row r="381" spans="1:21">
      <c r="A381" s="2" t="s">
        <v>405</v>
      </c>
      <c r="B381" t="b">
        <v>1</v>
      </c>
      <c r="C381" t="b">
        <v>0</v>
      </c>
      <c r="D381" s="2" t="b">
        <v>0</v>
      </c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715</v>
      </c>
      <c r="S381"/>
      <c r="T381"/>
      <c r="U381"/>
    </row>
    <row r="382" spans="1:21">
      <c r="A382" s="2" t="s">
        <v>406</v>
      </c>
      <c r="B382" t="b">
        <v>1</v>
      </c>
      <c r="C382" t="b">
        <v>0</v>
      </c>
      <c r="D382" s="2" t="b">
        <v>0</v>
      </c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715</v>
      </c>
      <c r="S382"/>
      <c r="T382"/>
      <c r="U382"/>
    </row>
    <row r="383" spans="1:21">
      <c r="A383" s="2" t="s">
        <v>407</v>
      </c>
      <c r="B383" t="b">
        <v>1</v>
      </c>
      <c r="C383" t="b">
        <v>0</v>
      </c>
      <c r="D383" s="2" t="b">
        <v>0</v>
      </c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715</v>
      </c>
      <c r="S383"/>
      <c r="T383"/>
      <c r="U383"/>
    </row>
    <row r="384" spans="1:21">
      <c r="A384" s="2" t="s">
        <v>408</v>
      </c>
      <c r="B384" t="b">
        <v>1</v>
      </c>
      <c r="C384" t="b">
        <v>0</v>
      </c>
      <c r="D384" s="2" t="b">
        <v>0</v>
      </c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715</v>
      </c>
      <c r="S384"/>
      <c r="T384"/>
      <c r="U384"/>
    </row>
    <row r="385" spans="1:21">
      <c r="A385" s="2" t="s">
        <v>409</v>
      </c>
      <c r="B385" t="b">
        <v>1</v>
      </c>
      <c r="C385" t="b">
        <v>0</v>
      </c>
      <c r="D385" s="2" t="b">
        <v>0</v>
      </c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715</v>
      </c>
      <c r="S385"/>
      <c r="T385"/>
      <c r="U385"/>
    </row>
    <row r="386" spans="1:21">
      <c r="A386" s="2" t="s">
        <v>410</v>
      </c>
      <c r="B386" t="b">
        <v>1</v>
      </c>
      <c r="C386" t="b">
        <v>0</v>
      </c>
      <c r="D386" s="2" t="b">
        <v>0</v>
      </c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715</v>
      </c>
      <c r="S386"/>
      <c r="T386"/>
      <c r="U386"/>
    </row>
    <row r="387" spans="1:21">
      <c r="A387" s="2" t="s">
        <v>411</v>
      </c>
      <c r="B387" t="b">
        <v>1</v>
      </c>
      <c r="C387" t="b">
        <v>0</v>
      </c>
      <c r="D387" s="2" t="b">
        <v>0</v>
      </c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715</v>
      </c>
      <c r="S387"/>
      <c r="T387"/>
      <c r="U387"/>
    </row>
    <row r="388" spans="1:21">
      <c r="A388" s="2" t="s">
        <v>412</v>
      </c>
      <c r="B388" t="b">
        <v>1</v>
      </c>
      <c r="C388" t="b">
        <v>0</v>
      </c>
      <c r="D388" s="2" t="b">
        <v>0</v>
      </c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715</v>
      </c>
      <c r="S388"/>
      <c r="T388"/>
      <c r="U388"/>
    </row>
    <row r="389" spans="1:21">
      <c r="A389" s="2" t="s">
        <v>413</v>
      </c>
      <c r="B389" t="b">
        <v>1</v>
      </c>
      <c r="C389" t="b">
        <v>0</v>
      </c>
      <c r="D389" s="2" t="b">
        <v>0</v>
      </c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715</v>
      </c>
      <c r="S389"/>
      <c r="T389"/>
      <c r="U389"/>
    </row>
    <row r="390" spans="1:21">
      <c r="A390" s="2" t="s">
        <v>414</v>
      </c>
      <c r="B390" t="b">
        <v>1</v>
      </c>
      <c r="C390" t="b">
        <v>0</v>
      </c>
      <c r="D390" s="2" t="b">
        <v>0</v>
      </c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715</v>
      </c>
      <c r="S390"/>
      <c r="T390"/>
      <c r="U390"/>
    </row>
    <row r="391" spans="1:21">
      <c r="A391" s="2" t="s">
        <v>415</v>
      </c>
      <c r="B391" t="b">
        <v>1</v>
      </c>
      <c r="C391" t="b">
        <v>0</v>
      </c>
      <c r="D391" s="2" t="b">
        <v>0</v>
      </c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715</v>
      </c>
      <c r="S391"/>
      <c r="T391"/>
      <c r="U391"/>
    </row>
    <row r="392" spans="1:21">
      <c r="A392" s="2" t="s">
        <v>416</v>
      </c>
      <c r="B392" t="b">
        <v>1</v>
      </c>
      <c r="C392" t="b">
        <v>0</v>
      </c>
      <c r="D392" s="2" t="b">
        <v>0</v>
      </c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715</v>
      </c>
      <c r="S392"/>
      <c r="T392"/>
      <c r="U392"/>
    </row>
    <row r="393" spans="1:21">
      <c r="A393" s="2" t="s">
        <v>417</v>
      </c>
      <c r="B393" t="b">
        <v>1</v>
      </c>
      <c r="C393" t="b">
        <v>0</v>
      </c>
      <c r="D393" s="2" t="b">
        <v>0</v>
      </c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715</v>
      </c>
      <c r="S393"/>
      <c r="T393"/>
      <c r="U393"/>
    </row>
    <row r="394" spans="1:21">
      <c r="A394" s="2" t="s">
        <v>418</v>
      </c>
      <c r="B394" t="b">
        <v>1</v>
      </c>
      <c r="C394" t="b">
        <v>0</v>
      </c>
      <c r="D394" s="2" t="b">
        <v>0</v>
      </c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715</v>
      </c>
      <c r="S394"/>
      <c r="T394"/>
      <c r="U394"/>
    </row>
    <row r="395" spans="1:21">
      <c r="A395" s="2" t="s">
        <v>419</v>
      </c>
      <c r="B395" t="b">
        <v>1</v>
      </c>
      <c r="C395" t="b">
        <v>0</v>
      </c>
      <c r="D395" s="2" t="b">
        <v>0</v>
      </c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715</v>
      </c>
      <c r="S395"/>
      <c r="T395"/>
      <c r="U395"/>
    </row>
    <row r="396" spans="1:21">
      <c r="A396" s="2" t="s">
        <v>420</v>
      </c>
      <c r="B396" t="b">
        <v>1</v>
      </c>
      <c r="C396" t="b">
        <v>0</v>
      </c>
      <c r="D396" s="2" t="b">
        <v>0</v>
      </c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715</v>
      </c>
      <c r="S396"/>
      <c r="T396"/>
      <c r="U396"/>
    </row>
    <row r="397" spans="1:21">
      <c r="A397" s="2" t="s">
        <v>421</v>
      </c>
      <c r="B397" t="b">
        <v>1</v>
      </c>
      <c r="C397" t="b">
        <v>0</v>
      </c>
      <c r="D397" s="2" t="b">
        <v>0</v>
      </c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715</v>
      </c>
      <c r="S397"/>
      <c r="T397"/>
      <c r="U397"/>
    </row>
    <row r="398" spans="1:21">
      <c r="A398" s="2" t="s">
        <v>422</v>
      </c>
      <c r="B398" t="b">
        <v>1</v>
      </c>
      <c r="C398" t="b">
        <v>0</v>
      </c>
      <c r="D398" s="2" t="b">
        <v>0</v>
      </c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715</v>
      </c>
      <c r="S398"/>
      <c r="T398"/>
      <c r="U398"/>
    </row>
    <row r="399" spans="1:21">
      <c r="A399" s="2" t="s">
        <v>423</v>
      </c>
      <c r="B399" t="b">
        <v>1</v>
      </c>
      <c r="C399" t="b">
        <v>0</v>
      </c>
      <c r="D399" s="2" t="b">
        <v>0</v>
      </c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715</v>
      </c>
      <c r="S399"/>
      <c r="T399"/>
      <c r="U399"/>
    </row>
    <row r="400" spans="1:21">
      <c r="A400" s="2" t="s">
        <v>424</v>
      </c>
      <c r="B400" t="b">
        <v>1</v>
      </c>
      <c r="C400" t="b">
        <v>0</v>
      </c>
      <c r="D400" s="2" t="b">
        <v>0</v>
      </c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715</v>
      </c>
      <c r="S400"/>
      <c r="T400"/>
      <c r="U400"/>
    </row>
    <row r="401" spans="1:21">
      <c r="A401" s="2" t="s">
        <v>425</v>
      </c>
      <c r="B401" t="b">
        <v>1</v>
      </c>
      <c r="C401" t="b">
        <v>0</v>
      </c>
      <c r="D401" s="2" t="b">
        <v>0</v>
      </c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715</v>
      </c>
      <c r="S401"/>
      <c r="T401"/>
      <c r="U401"/>
    </row>
    <row r="402" spans="1:21">
      <c r="A402" s="2" t="s">
        <v>426</v>
      </c>
      <c r="B402" t="b">
        <v>1</v>
      </c>
      <c r="C402" t="b">
        <v>0</v>
      </c>
      <c r="D402" s="2" t="b">
        <v>0</v>
      </c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715</v>
      </c>
      <c r="S402"/>
      <c r="T402"/>
      <c r="U402"/>
    </row>
    <row r="403" spans="1:21">
      <c r="A403" s="2" t="s">
        <v>427</v>
      </c>
      <c r="B403" t="b">
        <v>1</v>
      </c>
      <c r="C403" t="b">
        <v>0</v>
      </c>
      <c r="D403" s="2" t="b">
        <v>0</v>
      </c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715</v>
      </c>
      <c r="S403"/>
      <c r="T403"/>
      <c r="U403"/>
    </row>
    <row r="404" spans="1:21">
      <c r="A404" s="2" t="s">
        <v>428</v>
      </c>
      <c r="B404" t="b">
        <v>1</v>
      </c>
      <c r="C404" t="b">
        <v>0</v>
      </c>
      <c r="D404" s="2" t="b">
        <v>0</v>
      </c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715</v>
      </c>
      <c r="S404"/>
      <c r="T404"/>
      <c r="U404"/>
    </row>
    <row r="405" spans="1:21">
      <c r="A405" s="2" t="s">
        <v>429</v>
      </c>
      <c r="B405" t="b">
        <v>1</v>
      </c>
      <c r="C405" t="b">
        <v>0</v>
      </c>
      <c r="D405" s="2" t="b">
        <v>0</v>
      </c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715</v>
      </c>
      <c r="S405"/>
      <c r="T405"/>
      <c r="U405"/>
    </row>
    <row r="406" spans="1:21">
      <c r="A406" s="2" t="s">
        <v>430</v>
      </c>
      <c r="B406" t="b">
        <v>1</v>
      </c>
      <c r="C406" t="b">
        <v>0</v>
      </c>
      <c r="D406" s="2" t="b">
        <v>0</v>
      </c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715</v>
      </c>
      <c r="S406"/>
      <c r="T406"/>
      <c r="U406"/>
    </row>
    <row r="407" spans="1:21">
      <c r="A407" s="2" t="s">
        <v>431</v>
      </c>
      <c r="B407" t="b">
        <v>1</v>
      </c>
      <c r="C407" t="b">
        <v>0</v>
      </c>
      <c r="D407" s="2" t="b">
        <v>0</v>
      </c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715</v>
      </c>
      <c r="S407"/>
      <c r="T407"/>
      <c r="U407"/>
    </row>
    <row r="408" spans="1:21">
      <c r="A408" s="2" t="s">
        <v>432</v>
      </c>
      <c r="B408" t="b">
        <v>1</v>
      </c>
      <c r="C408" t="b">
        <v>0</v>
      </c>
      <c r="D408" s="2" t="b">
        <v>0</v>
      </c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715</v>
      </c>
      <c r="S408"/>
      <c r="T408"/>
      <c r="U408"/>
    </row>
    <row r="409" spans="1:21">
      <c r="A409" s="2" t="s">
        <v>433</v>
      </c>
      <c r="B409" t="b">
        <v>1</v>
      </c>
      <c r="C409" t="b">
        <v>0</v>
      </c>
      <c r="D409" s="2" t="b">
        <v>0</v>
      </c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715</v>
      </c>
      <c r="S409"/>
      <c r="T409"/>
      <c r="U409"/>
    </row>
    <row r="410" spans="1:21">
      <c r="A410" s="2" t="s">
        <v>434</v>
      </c>
      <c r="B410" t="b">
        <v>1</v>
      </c>
      <c r="C410" t="b">
        <v>0</v>
      </c>
      <c r="D410" s="2" t="b">
        <v>0</v>
      </c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715</v>
      </c>
      <c r="S410"/>
      <c r="T410"/>
      <c r="U410"/>
    </row>
    <row r="411" spans="1:21">
      <c r="A411" s="2" t="s">
        <v>435</v>
      </c>
      <c r="B411" t="b">
        <v>1</v>
      </c>
      <c r="C411" t="b">
        <v>0</v>
      </c>
      <c r="D411" s="2" t="b">
        <v>0</v>
      </c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715</v>
      </c>
      <c r="S411"/>
      <c r="T411"/>
      <c r="U411"/>
    </row>
    <row r="412" spans="1:21">
      <c r="A412" s="2" t="s">
        <v>436</v>
      </c>
      <c r="B412" t="b">
        <v>1</v>
      </c>
      <c r="C412" t="b">
        <v>0</v>
      </c>
      <c r="D412" s="2" t="b">
        <v>0</v>
      </c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715</v>
      </c>
      <c r="S412"/>
      <c r="T412"/>
      <c r="U412"/>
    </row>
    <row r="413" spans="1:21">
      <c r="A413" s="2" t="s">
        <v>437</v>
      </c>
      <c r="B413" t="b">
        <v>1</v>
      </c>
      <c r="C413" t="b">
        <v>0</v>
      </c>
      <c r="D413" s="2" t="b">
        <v>0</v>
      </c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715</v>
      </c>
      <c r="S413"/>
      <c r="T413"/>
      <c r="U413"/>
    </row>
    <row r="414" spans="1:21">
      <c r="A414" s="2" t="s">
        <v>438</v>
      </c>
      <c r="B414" t="b">
        <v>1</v>
      </c>
      <c r="C414" t="b">
        <v>0</v>
      </c>
      <c r="D414" s="2" t="b">
        <v>0</v>
      </c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715</v>
      </c>
      <c r="S414"/>
      <c r="T414"/>
      <c r="U414"/>
    </row>
    <row r="415" spans="1:21">
      <c r="A415" s="2" t="s">
        <v>439</v>
      </c>
      <c r="B415" t="b">
        <v>1</v>
      </c>
      <c r="C415" t="b">
        <v>0</v>
      </c>
      <c r="D415" s="2" t="b">
        <v>0</v>
      </c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715</v>
      </c>
      <c r="S415"/>
      <c r="T415"/>
      <c r="U415"/>
    </row>
    <row r="416" spans="1:21">
      <c r="A416" s="2" t="s">
        <v>440</v>
      </c>
      <c r="B416" t="b">
        <v>1</v>
      </c>
      <c r="C416" t="b">
        <v>0</v>
      </c>
      <c r="D416" s="2" t="b">
        <v>0</v>
      </c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715</v>
      </c>
      <c r="S416"/>
      <c r="T416"/>
      <c r="U416"/>
    </row>
    <row r="417" spans="1:21">
      <c r="A417" s="2" t="s">
        <v>441</v>
      </c>
      <c r="B417" t="b">
        <v>1</v>
      </c>
      <c r="C417" t="b">
        <v>0</v>
      </c>
      <c r="D417" s="2" t="b">
        <v>0</v>
      </c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715</v>
      </c>
      <c r="S417"/>
      <c r="T417"/>
      <c r="U417"/>
    </row>
    <row r="418" spans="1:21">
      <c r="A418" s="2" t="s">
        <v>442</v>
      </c>
      <c r="B418" t="b">
        <v>1</v>
      </c>
      <c r="C418" t="b">
        <v>0</v>
      </c>
      <c r="D418" s="2" t="b">
        <v>0</v>
      </c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715</v>
      </c>
      <c r="S418"/>
      <c r="T418"/>
      <c r="U418"/>
    </row>
    <row r="419" spans="1:21">
      <c r="A419" s="2" t="s">
        <v>443</v>
      </c>
      <c r="B419" t="b">
        <v>1</v>
      </c>
      <c r="C419" t="b">
        <v>0</v>
      </c>
      <c r="D419" s="2" t="b">
        <v>0</v>
      </c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715</v>
      </c>
      <c r="S419"/>
      <c r="T419"/>
      <c r="U419"/>
    </row>
    <row r="420" spans="1:21">
      <c r="A420" s="2" t="s">
        <v>444</v>
      </c>
      <c r="B420" t="b">
        <v>1</v>
      </c>
      <c r="C420" t="b">
        <v>0</v>
      </c>
      <c r="D420" s="2" t="b">
        <v>0</v>
      </c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715</v>
      </c>
      <c r="S420"/>
      <c r="T420"/>
      <c r="U420"/>
    </row>
    <row r="421" spans="1:21">
      <c r="A421" s="2" t="s">
        <v>445</v>
      </c>
      <c r="B421" t="b">
        <v>1</v>
      </c>
      <c r="C421" t="b">
        <v>0</v>
      </c>
      <c r="D421" s="2" t="b">
        <v>0</v>
      </c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715</v>
      </c>
      <c r="S421"/>
      <c r="T421"/>
      <c r="U421"/>
    </row>
    <row r="422" spans="1:21">
      <c r="A422" s="2" t="s">
        <v>446</v>
      </c>
      <c r="B422" t="b">
        <v>1</v>
      </c>
      <c r="C422" t="b">
        <v>0</v>
      </c>
      <c r="D422" s="2" t="b">
        <v>0</v>
      </c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715</v>
      </c>
      <c r="S422"/>
      <c r="T422"/>
      <c r="U422"/>
    </row>
    <row r="423" spans="1:21">
      <c r="A423" s="2" t="s">
        <v>447</v>
      </c>
      <c r="B423" t="b">
        <v>1</v>
      </c>
      <c r="C423" t="b">
        <v>0</v>
      </c>
      <c r="D423" s="2" t="b">
        <v>0</v>
      </c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715</v>
      </c>
      <c r="S423"/>
      <c r="T423"/>
      <c r="U423"/>
    </row>
    <row r="424" spans="1:21">
      <c r="A424" s="2" t="s">
        <v>448</v>
      </c>
      <c r="B424" t="b">
        <v>1</v>
      </c>
      <c r="C424" t="b">
        <v>0</v>
      </c>
      <c r="D424" s="2" t="b">
        <v>0</v>
      </c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715</v>
      </c>
      <c r="S424"/>
      <c r="T424"/>
      <c r="U424"/>
    </row>
    <row r="425" spans="1:21">
      <c r="A425" s="2" t="s">
        <v>449</v>
      </c>
      <c r="B425" t="b">
        <v>1</v>
      </c>
      <c r="C425" t="b">
        <v>0</v>
      </c>
      <c r="D425" s="2" t="b">
        <v>0</v>
      </c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715</v>
      </c>
      <c r="S425"/>
      <c r="T425"/>
      <c r="U425"/>
    </row>
    <row r="426" spans="1:21">
      <c r="A426" s="2" t="s">
        <v>450</v>
      </c>
      <c r="B426" t="b">
        <v>1</v>
      </c>
      <c r="C426" t="b">
        <v>0</v>
      </c>
      <c r="D426" s="2" t="b">
        <v>0</v>
      </c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715</v>
      </c>
      <c r="S426"/>
      <c r="T426"/>
      <c r="U426"/>
    </row>
    <row r="427" spans="1:21">
      <c r="A427" s="2" t="s">
        <v>451</v>
      </c>
      <c r="B427" t="b">
        <v>1</v>
      </c>
      <c r="C427" t="b">
        <v>0</v>
      </c>
      <c r="D427" s="2" t="b">
        <v>0</v>
      </c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715</v>
      </c>
      <c r="S427"/>
      <c r="T427"/>
      <c r="U427"/>
    </row>
    <row r="428" spans="1:21">
      <c r="A428" s="2" t="s">
        <v>452</v>
      </c>
      <c r="B428" t="b">
        <v>1</v>
      </c>
      <c r="C428" t="b">
        <v>0</v>
      </c>
      <c r="D428" s="2" t="b">
        <v>0</v>
      </c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715</v>
      </c>
      <c r="S428"/>
      <c r="T428"/>
      <c r="U428"/>
    </row>
    <row r="429" spans="1:21">
      <c r="A429" s="2" t="s">
        <v>453</v>
      </c>
      <c r="B429" t="b">
        <v>1</v>
      </c>
      <c r="C429" t="b">
        <v>0</v>
      </c>
      <c r="D429" s="2" t="b">
        <v>0</v>
      </c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715</v>
      </c>
      <c r="S429"/>
      <c r="T429"/>
      <c r="U429"/>
    </row>
    <row r="430" spans="1:21">
      <c r="A430" s="2" t="s">
        <v>454</v>
      </c>
      <c r="B430" t="b">
        <v>1</v>
      </c>
      <c r="C430" t="b">
        <v>0</v>
      </c>
      <c r="D430" s="2" t="b">
        <v>0</v>
      </c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715</v>
      </c>
      <c r="S430"/>
      <c r="T430"/>
      <c r="U430"/>
    </row>
    <row r="431" spans="1:21">
      <c r="A431" s="2" t="s">
        <v>455</v>
      </c>
      <c r="B431" t="b">
        <v>1</v>
      </c>
      <c r="C431" t="b">
        <v>0</v>
      </c>
      <c r="D431" s="2" t="b">
        <v>0</v>
      </c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715</v>
      </c>
      <c r="S431"/>
      <c r="T431"/>
      <c r="U431"/>
    </row>
    <row r="432" spans="1:21">
      <c r="A432" s="2" t="s">
        <v>456</v>
      </c>
      <c r="B432" t="b">
        <v>1</v>
      </c>
      <c r="C432" t="b">
        <v>0</v>
      </c>
      <c r="D432" s="2" t="b">
        <v>0</v>
      </c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715</v>
      </c>
      <c r="S432"/>
      <c r="T432"/>
      <c r="U432"/>
    </row>
    <row r="433" spans="1:21">
      <c r="A433" s="2" t="s">
        <v>457</v>
      </c>
      <c r="B433" t="b">
        <v>1</v>
      </c>
      <c r="C433" t="b">
        <v>0</v>
      </c>
      <c r="D433" s="2" t="b">
        <v>0</v>
      </c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715</v>
      </c>
      <c r="S433"/>
      <c r="T433"/>
      <c r="U433"/>
    </row>
    <row r="434" spans="1:21">
      <c r="A434" s="2" t="s">
        <v>458</v>
      </c>
      <c r="B434" t="b">
        <v>1</v>
      </c>
      <c r="C434" t="b">
        <v>0</v>
      </c>
      <c r="D434" s="2" t="b">
        <v>0</v>
      </c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715</v>
      </c>
      <c r="S434"/>
      <c r="T434"/>
      <c r="U434"/>
    </row>
    <row r="435" spans="1:21">
      <c r="A435" s="2" t="s">
        <v>459</v>
      </c>
      <c r="B435" t="b">
        <v>1</v>
      </c>
      <c r="C435" t="b">
        <v>0</v>
      </c>
      <c r="D435" s="2" t="b">
        <v>0</v>
      </c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715</v>
      </c>
      <c r="S435"/>
      <c r="T435"/>
      <c r="U435"/>
    </row>
    <row r="436" spans="1:21">
      <c r="A436" s="2" t="s">
        <v>460</v>
      </c>
      <c r="B436" t="b">
        <v>1</v>
      </c>
      <c r="C436" t="b">
        <v>0</v>
      </c>
      <c r="D436" s="2" t="b">
        <v>0</v>
      </c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715</v>
      </c>
      <c r="S436"/>
      <c r="T436"/>
      <c r="U436"/>
    </row>
    <row r="437" spans="1:21">
      <c r="A437" s="2" t="s">
        <v>461</v>
      </c>
      <c r="B437" t="b">
        <v>1</v>
      </c>
      <c r="C437" t="b">
        <v>0</v>
      </c>
      <c r="D437" s="2" t="b">
        <v>0</v>
      </c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715</v>
      </c>
      <c r="S437"/>
      <c r="T437"/>
      <c r="U437"/>
    </row>
    <row r="438" spans="1:21">
      <c r="A438" s="2" t="s">
        <v>462</v>
      </c>
      <c r="B438" t="b">
        <v>1</v>
      </c>
      <c r="C438" t="b">
        <v>0</v>
      </c>
      <c r="D438" s="2" t="b">
        <v>0</v>
      </c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715</v>
      </c>
      <c r="S438"/>
      <c r="T438"/>
      <c r="U438"/>
    </row>
    <row r="439" spans="1:21">
      <c r="A439" s="2" t="s">
        <v>463</v>
      </c>
      <c r="B439" t="b">
        <v>1</v>
      </c>
      <c r="C439" t="b">
        <v>0</v>
      </c>
      <c r="D439" s="2" t="b">
        <v>0</v>
      </c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715</v>
      </c>
      <c r="S439"/>
      <c r="T439"/>
      <c r="U439"/>
    </row>
    <row r="440" spans="1:21">
      <c r="A440" s="2" t="s">
        <v>464</v>
      </c>
      <c r="B440" t="b">
        <v>1</v>
      </c>
      <c r="C440" t="b">
        <v>0</v>
      </c>
      <c r="D440" s="2" t="b">
        <v>0</v>
      </c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715</v>
      </c>
      <c r="S440"/>
      <c r="T440"/>
      <c r="U440"/>
    </row>
    <row r="441" spans="1:21">
      <c r="A441" s="2" t="s">
        <v>465</v>
      </c>
      <c r="B441" t="b">
        <v>1</v>
      </c>
      <c r="C441" t="b">
        <v>0</v>
      </c>
      <c r="D441" s="2" t="b">
        <v>0</v>
      </c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715</v>
      </c>
      <c r="S441"/>
      <c r="T441"/>
      <c r="U441"/>
    </row>
    <row r="442" spans="1:21">
      <c r="A442" s="2" t="s">
        <v>466</v>
      </c>
      <c r="B442" t="b">
        <v>1</v>
      </c>
      <c r="C442" t="b">
        <v>0</v>
      </c>
      <c r="D442" s="2" t="b">
        <v>0</v>
      </c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715</v>
      </c>
      <c r="S442"/>
      <c r="T442"/>
      <c r="U442"/>
    </row>
    <row r="443" spans="1:21">
      <c r="A443" s="2" t="s">
        <v>467</v>
      </c>
      <c r="B443" t="b">
        <v>1</v>
      </c>
      <c r="C443" t="b">
        <v>0</v>
      </c>
      <c r="D443" s="2" t="b">
        <v>0</v>
      </c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715</v>
      </c>
      <c r="S443"/>
      <c r="T443"/>
      <c r="U443"/>
    </row>
    <row r="444" spans="1:21">
      <c r="A444" s="2" t="s">
        <v>468</v>
      </c>
      <c r="B444" t="b">
        <v>1</v>
      </c>
      <c r="C444" t="b">
        <v>0</v>
      </c>
      <c r="D444" s="2" t="b">
        <v>0</v>
      </c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715</v>
      </c>
      <c r="S444"/>
      <c r="T444"/>
      <c r="U444"/>
    </row>
    <row r="445" spans="1:21">
      <c r="A445" s="2" t="s">
        <v>469</v>
      </c>
      <c r="B445" t="b">
        <v>1</v>
      </c>
      <c r="C445" t="b">
        <v>0</v>
      </c>
      <c r="D445" s="2" t="b">
        <v>0</v>
      </c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715</v>
      </c>
      <c r="S445"/>
      <c r="T445"/>
      <c r="U445"/>
    </row>
    <row r="446" spans="1:21">
      <c r="A446" s="2" t="s">
        <v>470</v>
      </c>
      <c r="B446" t="b">
        <v>1</v>
      </c>
      <c r="C446" t="b">
        <v>0</v>
      </c>
      <c r="D446" s="2" t="b">
        <v>0</v>
      </c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715</v>
      </c>
      <c r="S446"/>
      <c r="T446"/>
      <c r="U446"/>
    </row>
    <row r="447" spans="1:21">
      <c r="A447" s="2" t="s">
        <v>471</v>
      </c>
      <c r="B447" t="b">
        <v>1</v>
      </c>
      <c r="C447" t="b">
        <v>0</v>
      </c>
      <c r="D447" s="2" t="b">
        <v>0</v>
      </c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715</v>
      </c>
      <c r="S447"/>
      <c r="T447"/>
      <c r="U447"/>
    </row>
    <row r="448" spans="1:21">
      <c r="A448" s="2" t="s">
        <v>472</v>
      </c>
      <c r="B448" t="b">
        <v>1</v>
      </c>
      <c r="C448" t="b">
        <v>0</v>
      </c>
      <c r="D448" s="2" t="b">
        <v>0</v>
      </c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715</v>
      </c>
      <c r="S448"/>
      <c r="T448"/>
      <c r="U448"/>
    </row>
    <row r="449" spans="1:21">
      <c r="A449" s="2" t="s">
        <v>473</v>
      </c>
      <c r="B449" t="b">
        <v>1</v>
      </c>
      <c r="C449" t="b">
        <v>0</v>
      </c>
      <c r="D449" s="2" t="b">
        <v>0</v>
      </c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715</v>
      </c>
      <c r="S449"/>
      <c r="T449"/>
      <c r="U449"/>
    </row>
    <row r="450" spans="1:21">
      <c r="A450" s="2" t="s">
        <v>474</v>
      </c>
      <c r="B450" t="b">
        <v>1</v>
      </c>
      <c r="C450" t="b">
        <v>0</v>
      </c>
      <c r="D450" s="2" t="b">
        <v>0</v>
      </c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715</v>
      </c>
      <c r="S450"/>
      <c r="T450"/>
      <c r="U450"/>
    </row>
    <row r="451" spans="1:21">
      <c r="A451" s="2" t="s">
        <v>475</v>
      </c>
      <c r="B451" t="b">
        <v>1</v>
      </c>
      <c r="C451" t="b">
        <v>0</v>
      </c>
      <c r="D451" s="2" t="b">
        <v>0</v>
      </c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715</v>
      </c>
      <c r="S451"/>
      <c r="T451"/>
      <c r="U451"/>
    </row>
    <row r="452" spans="1:21">
      <c r="A452" s="2" t="s">
        <v>476</v>
      </c>
      <c r="B452" t="b">
        <v>1</v>
      </c>
      <c r="C452" t="b">
        <v>0</v>
      </c>
      <c r="D452" s="2" t="b">
        <v>0</v>
      </c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715</v>
      </c>
      <c r="S452"/>
      <c r="T452"/>
      <c r="U452"/>
    </row>
    <row r="453" spans="1:21">
      <c r="A453" s="2" t="s">
        <v>477</v>
      </c>
      <c r="B453" t="b">
        <v>1</v>
      </c>
      <c r="C453" t="b">
        <v>1</v>
      </c>
      <c r="D453" s="2" t="b">
        <v>0</v>
      </c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715</v>
      </c>
      <c r="S453"/>
      <c r="T453"/>
      <c r="U453"/>
    </row>
    <row r="454" spans="1:21">
      <c r="A454" s="2" t="s">
        <v>479</v>
      </c>
      <c r="B454" t="b">
        <v>1</v>
      </c>
      <c r="C454" t="b">
        <v>1</v>
      </c>
      <c r="D454" s="2" t="b">
        <v>0</v>
      </c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715</v>
      </c>
      <c r="S454"/>
      <c r="T454"/>
      <c r="U454"/>
    </row>
    <row r="455" spans="1:21">
      <c r="A455" s="2" t="s">
        <v>480</v>
      </c>
      <c r="B455" t="b">
        <v>1</v>
      </c>
      <c r="C455" t="b">
        <v>1</v>
      </c>
      <c r="D455" s="2" t="b">
        <v>0</v>
      </c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715</v>
      </c>
      <c r="S455"/>
      <c r="T455"/>
      <c r="U455"/>
    </row>
    <row r="456" spans="1:21">
      <c r="A456" s="2" t="s">
        <v>481</v>
      </c>
      <c r="B456" t="b">
        <v>1</v>
      </c>
      <c r="C456" t="b">
        <v>1</v>
      </c>
      <c r="D456" s="2" t="b">
        <v>0</v>
      </c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715</v>
      </c>
      <c r="S456"/>
      <c r="T456"/>
      <c r="U456"/>
    </row>
    <row r="457" spans="1:21">
      <c r="A457" s="2" t="s">
        <v>482</v>
      </c>
      <c r="B457" t="b">
        <v>1</v>
      </c>
      <c r="C457" t="b">
        <v>1</v>
      </c>
      <c r="D457" s="2" t="b">
        <v>0</v>
      </c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715</v>
      </c>
      <c r="S457"/>
      <c r="T457"/>
      <c r="U457"/>
    </row>
    <row r="458" spans="1:21">
      <c r="A458" s="2" t="s">
        <v>483</v>
      </c>
      <c r="B458" t="b">
        <v>1</v>
      </c>
      <c r="C458" t="b">
        <v>1</v>
      </c>
      <c r="D458" s="2" t="b">
        <v>0</v>
      </c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715</v>
      </c>
      <c r="S458"/>
      <c r="T458"/>
      <c r="U458"/>
    </row>
    <row r="459" spans="1:21">
      <c r="A459" s="2" t="s">
        <v>484</v>
      </c>
      <c r="B459" t="b">
        <v>1</v>
      </c>
      <c r="C459" t="b">
        <v>1</v>
      </c>
      <c r="D459" s="2" t="b">
        <v>0</v>
      </c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715</v>
      </c>
      <c r="S459"/>
      <c r="T459"/>
      <c r="U459"/>
    </row>
    <row r="460" spans="1:21">
      <c r="A460" s="2" t="s">
        <v>485</v>
      </c>
      <c r="B460" t="b">
        <v>1</v>
      </c>
      <c r="C460" t="b">
        <v>1</v>
      </c>
      <c r="D460" s="2" t="b">
        <v>0</v>
      </c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715</v>
      </c>
      <c r="S460"/>
      <c r="T460"/>
      <c r="U460"/>
    </row>
    <row r="461" spans="1:21">
      <c r="A461" s="2" t="s">
        <v>486</v>
      </c>
      <c r="B461" t="b">
        <v>1</v>
      </c>
      <c r="C461" t="b">
        <v>1</v>
      </c>
      <c r="D461" s="2" t="b">
        <v>0</v>
      </c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715</v>
      </c>
      <c r="S461"/>
      <c r="T461"/>
      <c r="U461"/>
    </row>
    <row r="462" spans="1:21">
      <c r="A462" s="2" t="s">
        <v>487</v>
      </c>
      <c r="B462" t="b">
        <v>1</v>
      </c>
      <c r="C462" t="b">
        <v>1</v>
      </c>
      <c r="D462" s="2" t="b">
        <v>0</v>
      </c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715</v>
      </c>
      <c r="S462"/>
      <c r="T462"/>
      <c r="U462"/>
    </row>
    <row r="463" spans="1:21">
      <c r="A463" s="2" t="s">
        <v>488</v>
      </c>
      <c r="B463" t="b">
        <v>1</v>
      </c>
      <c r="C463" t="b">
        <v>1</v>
      </c>
      <c r="D463" s="2" t="b">
        <v>0</v>
      </c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715</v>
      </c>
      <c r="S463"/>
      <c r="T463"/>
      <c r="U463"/>
    </row>
    <row r="464" spans="1:21">
      <c r="A464" s="2" t="s">
        <v>489</v>
      </c>
      <c r="B464" t="b">
        <v>1</v>
      </c>
      <c r="C464" t="b">
        <v>1</v>
      </c>
      <c r="D464" s="2" t="b">
        <v>0</v>
      </c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715</v>
      </c>
      <c r="S464"/>
      <c r="T464"/>
      <c r="U464"/>
    </row>
    <row r="465" spans="1:21">
      <c r="A465" s="2" t="s">
        <v>490</v>
      </c>
      <c r="B465" t="b">
        <v>1</v>
      </c>
      <c r="C465" t="b">
        <v>1</v>
      </c>
      <c r="D465" s="2" t="b">
        <v>0</v>
      </c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715</v>
      </c>
      <c r="S465"/>
      <c r="T465"/>
      <c r="U465"/>
    </row>
    <row r="466" spans="1:21">
      <c r="A466" s="2" t="s">
        <v>491</v>
      </c>
      <c r="B466" t="b">
        <v>1</v>
      </c>
      <c r="C466" t="b">
        <v>1</v>
      </c>
      <c r="D466" s="2" t="b">
        <v>0</v>
      </c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715</v>
      </c>
      <c r="S466"/>
      <c r="T466"/>
      <c r="U466"/>
    </row>
    <row r="467" spans="1:21">
      <c r="A467" s="2" t="s">
        <v>492</v>
      </c>
      <c r="B467" t="b">
        <v>1</v>
      </c>
      <c r="C467" t="b">
        <v>1</v>
      </c>
      <c r="D467" s="2" t="b">
        <v>0</v>
      </c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715</v>
      </c>
      <c r="S467"/>
      <c r="T467"/>
      <c r="U467"/>
    </row>
    <row r="468" spans="1:21">
      <c r="A468" s="2" t="s">
        <v>493</v>
      </c>
      <c r="B468" t="b">
        <v>1</v>
      </c>
      <c r="C468" t="b">
        <v>1</v>
      </c>
      <c r="D468" s="2" t="b">
        <v>0</v>
      </c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715</v>
      </c>
      <c r="S468"/>
      <c r="T468"/>
      <c r="U468"/>
    </row>
    <row r="469" spans="1:21">
      <c r="A469" s="2" t="s">
        <v>494</v>
      </c>
      <c r="B469" t="b">
        <v>1</v>
      </c>
      <c r="C469" t="b">
        <v>1</v>
      </c>
      <c r="D469" s="2" t="b">
        <v>0</v>
      </c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715</v>
      </c>
      <c r="S469"/>
      <c r="T469"/>
      <c r="U469"/>
    </row>
    <row r="470" spans="1:21">
      <c r="A470" s="2" t="s">
        <v>495</v>
      </c>
      <c r="B470" t="b">
        <v>1</v>
      </c>
      <c r="C470" t="b">
        <v>1</v>
      </c>
      <c r="D470" s="2" t="b">
        <v>0</v>
      </c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715</v>
      </c>
      <c r="S470"/>
      <c r="T470"/>
      <c r="U470"/>
    </row>
    <row r="471" spans="1:21">
      <c r="A471" s="2" t="s">
        <v>496</v>
      </c>
      <c r="B471" t="b">
        <v>1</v>
      </c>
      <c r="C471" t="b">
        <v>1</v>
      </c>
      <c r="D471" s="2" t="b">
        <v>0</v>
      </c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715</v>
      </c>
      <c r="S471"/>
      <c r="T471"/>
      <c r="U471"/>
    </row>
    <row r="472" spans="1:21">
      <c r="A472" s="2" t="s">
        <v>497</v>
      </c>
      <c r="B472" t="b">
        <v>1</v>
      </c>
      <c r="C472" t="b">
        <v>1</v>
      </c>
      <c r="D472" s="2" t="b">
        <v>0</v>
      </c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715</v>
      </c>
      <c r="S472"/>
      <c r="T472"/>
      <c r="U472"/>
    </row>
    <row r="473" spans="1:21">
      <c r="A473" s="2" t="s">
        <v>498</v>
      </c>
      <c r="B473" t="b">
        <v>1</v>
      </c>
      <c r="C473" t="b">
        <v>1</v>
      </c>
      <c r="D473" s="2" t="b">
        <v>0</v>
      </c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715</v>
      </c>
      <c r="S473"/>
      <c r="T473"/>
      <c r="U473"/>
    </row>
    <row r="474" spans="1:21">
      <c r="A474" s="2" t="s">
        <v>499</v>
      </c>
      <c r="B474" t="b">
        <v>1</v>
      </c>
      <c r="C474" t="b">
        <v>1</v>
      </c>
      <c r="D474" s="2" t="b">
        <v>0</v>
      </c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715</v>
      </c>
      <c r="S474"/>
      <c r="T474"/>
      <c r="U474"/>
    </row>
    <row r="475" spans="1:21">
      <c r="A475" s="2" t="s">
        <v>500</v>
      </c>
      <c r="B475" t="b">
        <v>1</v>
      </c>
      <c r="C475" t="b">
        <v>1</v>
      </c>
      <c r="D475" s="2" t="b">
        <v>0</v>
      </c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715</v>
      </c>
      <c r="S475"/>
      <c r="T475"/>
      <c r="U475"/>
    </row>
    <row r="476" spans="1:21">
      <c r="A476" s="2" t="s">
        <v>501</v>
      </c>
      <c r="B476" t="b">
        <v>1</v>
      </c>
      <c r="C476" t="b">
        <v>1</v>
      </c>
      <c r="D476" s="2" t="b">
        <v>0</v>
      </c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715</v>
      </c>
      <c r="S476"/>
      <c r="T476"/>
      <c r="U476"/>
    </row>
    <row r="477" spans="1:21">
      <c r="A477" s="2" t="s">
        <v>502</v>
      </c>
      <c r="B477" t="b">
        <v>1</v>
      </c>
      <c r="C477" t="b">
        <v>1</v>
      </c>
      <c r="D477" s="2" t="b">
        <v>0</v>
      </c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715</v>
      </c>
      <c r="S477"/>
      <c r="T477"/>
      <c r="U477"/>
    </row>
    <row r="478" spans="1:21">
      <c r="A478" s="2" t="s">
        <v>503</v>
      </c>
      <c r="B478" t="b">
        <v>1</v>
      </c>
      <c r="C478" t="b">
        <v>1</v>
      </c>
      <c r="D478" s="2" t="b">
        <v>0</v>
      </c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715</v>
      </c>
      <c r="S478"/>
      <c r="T478"/>
      <c r="U478"/>
    </row>
    <row r="479" spans="1:21">
      <c r="A479" s="2" t="s">
        <v>504</v>
      </c>
      <c r="B479" t="b">
        <v>1</v>
      </c>
      <c r="C479" t="b">
        <v>1</v>
      </c>
      <c r="D479" s="2" t="b">
        <v>0</v>
      </c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715</v>
      </c>
      <c r="S479"/>
      <c r="T479"/>
      <c r="U479"/>
    </row>
    <row r="480" spans="1:21">
      <c r="A480" s="2" t="s">
        <v>505</v>
      </c>
      <c r="B480" t="b">
        <v>1</v>
      </c>
      <c r="C480" t="b">
        <v>1</v>
      </c>
      <c r="D480" s="2" t="b">
        <v>0</v>
      </c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715</v>
      </c>
      <c r="S480"/>
      <c r="T480"/>
      <c r="U480"/>
    </row>
    <row r="481" spans="1:21">
      <c r="A481" s="2" t="s">
        <v>506</v>
      </c>
      <c r="B481" t="b">
        <v>1</v>
      </c>
      <c r="C481" t="b">
        <v>1</v>
      </c>
      <c r="D481" s="2" t="b">
        <v>0</v>
      </c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715</v>
      </c>
      <c r="S481"/>
      <c r="T481"/>
      <c r="U481"/>
    </row>
    <row r="482" spans="1:21">
      <c r="A482" s="2" t="s">
        <v>507</v>
      </c>
      <c r="B482" t="b">
        <v>1</v>
      </c>
      <c r="C482" t="b">
        <v>1</v>
      </c>
      <c r="D482" s="2" t="b">
        <v>0</v>
      </c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715</v>
      </c>
      <c r="S482"/>
      <c r="T482"/>
      <c r="U482"/>
    </row>
    <row r="483" spans="1:21">
      <c r="A483" s="2" t="s">
        <v>508</v>
      </c>
      <c r="B483" t="b">
        <v>1</v>
      </c>
      <c r="C483" t="b">
        <v>1</v>
      </c>
      <c r="D483" s="2" t="b">
        <v>0</v>
      </c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715</v>
      </c>
      <c r="S483"/>
      <c r="T483"/>
      <c r="U483"/>
    </row>
    <row r="484" spans="1:21">
      <c r="A484" s="2" t="s">
        <v>509</v>
      </c>
      <c r="B484" t="b">
        <v>1</v>
      </c>
      <c r="C484" t="b">
        <v>1</v>
      </c>
      <c r="D484" s="2" t="b">
        <v>0</v>
      </c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715</v>
      </c>
      <c r="S484"/>
      <c r="T484"/>
      <c r="U484"/>
    </row>
    <row r="485" spans="1:21">
      <c r="A485" s="2" t="s">
        <v>510</v>
      </c>
      <c r="B485" t="b">
        <v>1</v>
      </c>
      <c r="C485" t="b">
        <v>1</v>
      </c>
      <c r="D485" s="2" t="b">
        <v>0</v>
      </c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715</v>
      </c>
      <c r="S485"/>
      <c r="T485"/>
      <c r="U485"/>
    </row>
    <row r="486" spans="1:21">
      <c r="A486" s="2" t="s">
        <v>511</v>
      </c>
      <c r="B486" t="b">
        <v>1</v>
      </c>
      <c r="C486" t="b">
        <v>1</v>
      </c>
      <c r="D486" s="2" t="b">
        <v>0</v>
      </c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715</v>
      </c>
      <c r="S486"/>
      <c r="T486"/>
      <c r="U486"/>
    </row>
    <row r="487" spans="1:21">
      <c r="A487" s="2" t="s">
        <v>512</v>
      </c>
      <c r="B487" t="b">
        <v>1</v>
      </c>
      <c r="C487" t="b">
        <v>1</v>
      </c>
      <c r="D487" s="2" t="b">
        <v>0</v>
      </c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715</v>
      </c>
      <c r="S487"/>
      <c r="T487"/>
      <c r="U487"/>
    </row>
    <row r="488" spans="1:21">
      <c r="A488" s="2" t="s">
        <v>513</v>
      </c>
      <c r="B488" t="b">
        <v>1</v>
      </c>
      <c r="C488" t="b">
        <v>1</v>
      </c>
      <c r="D488" s="2" t="b">
        <v>0</v>
      </c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715</v>
      </c>
      <c r="S488"/>
      <c r="T488"/>
      <c r="U488"/>
    </row>
    <row r="489" spans="1:21">
      <c r="A489" s="2" t="s">
        <v>514</v>
      </c>
      <c r="B489" t="b">
        <v>1</v>
      </c>
      <c r="C489" t="b">
        <v>1</v>
      </c>
      <c r="D489" s="2" t="b">
        <v>0</v>
      </c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715</v>
      </c>
      <c r="S489"/>
      <c r="T489"/>
      <c r="U489"/>
    </row>
    <row r="490" spans="1:21">
      <c r="A490" s="2" t="s">
        <v>515</v>
      </c>
      <c r="B490" t="b">
        <v>1</v>
      </c>
      <c r="C490" t="b">
        <v>1</v>
      </c>
      <c r="D490" s="2" t="b">
        <v>0</v>
      </c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715</v>
      </c>
      <c r="S490"/>
      <c r="T490"/>
      <c r="U490"/>
    </row>
    <row r="491" spans="1:21">
      <c r="A491" s="2" t="s">
        <v>516</v>
      </c>
      <c r="B491" t="b">
        <v>1</v>
      </c>
      <c r="C491" t="b">
        <v>1</v>
      </c>
      <c r="D491" s="2" t="b">
        <v>0</v>
      </c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715</v>
      </c>
      <c r="S491"/>
      <c r="T491"/>
      <c r="U491"/>
    </row>
    <row r="492" spans="1:21">
      <c r="A492" s="2" t="s">
        <v>517</v>
      </c>
      <c r="B492" t="b">
        <v>1</v>
      </c>
      <c r="C492" t="b">
        <v>1</v>
      </c>
      <c r="D492" s="2" t="b">
        <v>0</v>
      </c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715</v>
      </c>
      <c r="S492"/>
      <c r="T492"/>
      <c r="U492"/>
    </row>
    <row r="493" spans="1:21">
      <c r="A493" s="2" t="s">
        <v>518</v>
      </c>
      <c r="B493" t="b">
        <v>1</v>
      </c>
      <c r="C493" t="b">
        <v>1</v>
      </c>
      <c r="D493" s="2" t="b">
        <v>0</v>
      </c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715</v>
      </c>
      <c r="S493"/>
      <c r="T493"/>
      <c r="U493"/>
    </row>
    <row r="494" spans="1:21">
      <c r="A494" s="2" t="s">
        <v>519</v>
      </c>
      <c r="B494" t="b">
        <v>1</v>
      </c>
      <c r="C494" t="b">
        <v>1</v>
      </c>
      <c r="D494" s="2" t="b">
        <v>0</v>
      </c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715</v>
      </c>
      <c r="S494"/>
      <c r="T494"/>
      <c r="U494"/>
    </row>
    <row r="495" spans="1:21">
      <c r="A495" s="2" t="s">
        <v>520</v>
      </c>
      <c r="B495" t="b">
        <v>1</v>
      </c>
      <c r="C495" t="b">
        <v>1</v>
      </c>
      <c r="D495" s="2" t="b">
        <v>0</v>
      </c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715</v>
      </c>
      <c r="S495"/>
      <c r="T495"/>
      <c r="U495"/>
    </row>
    <row r="496" spans="1:21">
      <c r="A496" s="2" t="s">
        <v>521</v>
      </c>
      <c r="B496" t="b">
        <v>1</v>
      </c>
      <c r="C496" t="b">
        <v>1</v>
      </c>
      <c r="D496" s="2" t="b">
        <v>0</v>
      </c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715</v>
      </c>
      <c r="S496"/>
      <c r="T496"/>
      <c r="U496"/>
    </row>
    <row r="497" spans="1:21">
      <c r="A497" s="2" t="s">
        <v>522</v>
      </c>
      <c r="B497" t="b">
        <v>1</v>
      </c>
      <c r="C497" t="b">
        <v>1</v>
      </c>
      <c r="D497" s="2" t="b">
        <v>0</v>
      </c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715</v>
      </c>
      <c r="S497"/>
      <c r="T497"/>
      <c r="U497"/>
    </row>
    <row r="498" spans="1:21">
      <c r="A498" s="2" t="s">
        <v>523</v>
      </c>
      <c r="B498" t="b">
        <v>1</v>
      </c>
      <c r="C498" t="b">
        <v>1</v>
      </c>
      <c r="D498" s="2" t="b">
        <v>0</v>
      </c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715</v>
      </c>
      <c r="S498"/>
      <c r="T498"/>
      <c r="U498"/>
    </row>
    <row r="499" spans="1:21">
      <c r="A499" s="2" t="s">
        <v>524</v>
      </c>
      <c r="B499" t="b">
        <v>1</v>
      </c>
      <c r="C499" t="b">
        <v>1</v>
      </c>
      <c r="D499" s="2" t="b">
        <v>0</v>
      </c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715</v>
      </c>
      <c r="S499"/>
      <c r="T499"/>
      <c r="U499"/>
    </row>
    <row r="500" spans="1:21">
      <c r="A500" s="2" t="s">
        <v>525</v>
      </c>
      <c r="B500" t="b">
        <v>1</v>
      </c>
      <c r="C500" t="b">
        <v>1</v>
      </c>
      <c r="D500" s="2" t="b">
        <v>0</v>
      </c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715</v>
      </c>
      <c r="S500"/>
      <c r="T500"/>
      <c r="U500"/>
    </row>
    <row r="501" spans="1:21">
      <c r="A501" s="2" t="s">
        <v>526</v>
      </c>
      <c r="B501" t="b">
        <v>1</v>
      </c>
      <c r="C501" t="b">
        <v>1</v>
      </c>
      <c r="D501" s="2" t="b">
        <v>0</v>
      </c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715</v>
      </c>
      <c r="S501"/>
      <c r="T501"/>
      <c r="U501"/>
    </row>
    <row r="502" spans="1:21">
      <c r="A502" s="2" t="s">
        <v>527</v>
      </c>
      <c r="B502" t="b">
        <v>1</v>
      </c>
      <c r="C502" t="b">
        <v>1</v>
      </c>
      <c r="D502" s="2" t="b">
        <v>0</v>
      </c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715</v>
      </c>
      <c r="S502"/>
      <c r="T502"/>
      <c r="U502"/>
    </row>
    <row r="503" spans="1:21">
      <c r="A503" s="2" t="s">
        <v>528</v>
      </c>
      <c r="B503" t="b">
        <v>1</v>
      </c>
      <c r="C503" t="b">
        <v>1</v>
      </c>
      <c r="D503" s="2" t="b">
        <v>0</v>
      </c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715</v>
      </c>
      <c r="S503"/>
      <c r="T503"/>
      <c r="U503"/>
    </row>
    <row r="504" spans="1:21">
      <c r="A504" s="2" t="s">
        <v>529</v>
      </c>
      <c r="B504" t="b">
        <v>1</v>
      </c>
      <c r="C504" t="b">
        <v>1</v>
      </c>
      <c r="D504" s="2" t="b">
        <v>0</v>
      </c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715</v>
      </c>
      <c r="S504"/>
      <c r="T504"/>
      <c r="U504"/>
    </row>
    <row r="505" spans="1:21">
      <c r="A505" s="2" t="s">
        <v>530</v>
      </c>
      <c r="B505" t="b">
        <v>1</v>
      </c>
      <c r="C505" t="b">
        <v>1</v>
      </c>
      <c r="D505" s="2" t="b">
        <v>0</v>
      </c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715</v>
      </c>
      <c r="S505"/>
      <c r="T505"/>
      <c r="U505"/>
    </row>
    <row r="506" spans="1:21">
      <c r="A506" s="2" t="s">
        <v>532</v>
      </c>
      <c r="B506" t="b">
        <v>1</v>
      </c>
      <c r="C506" t="b">
        <v>1</v>
      </c>
      <c r="D506" s="2" t="b">
        <v>0</v>
      </c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715</v>
      </c>
      <c r="S506"/>
      <c r="T506"/>
      <c r="U506"/>
    </row>
    <row r="507" spans="1:21">
      <c r="A507" s="2" t="s">
        <v>533</v>
      </c>
      <c r="B507" t="b">
        <v>1</v>
      </c>
      <c r="C507" t="b">
        <v>1</v>
      </c>
      <c r="D507" s="2" t="b">
        <v>0</v>
      </c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715</v>
      </c>
      <c r="S507"/>
      <c r="T507"/>
      <c r="U507"/>
    </row>
    <row r="508" spans="1:21">
      <c r="A508" s="2" t="s">
        <v>534</v>
      </c>
      <c r="B508" t="b">
        <v>1</v>
      </c>
      <c r="C508" t="b">
        <v>1</v>
      </c>
      <c r="D508" s="2" t="b">
        <v>0</v>
      </c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715</v>
      </c>
      <c r="S508"/>
      <c r="T508"/>
      <c r="U508"/>
    </row>
    <row r="509" spans="1:21">
      <c r="A509" s="2" t="s">
        <v>535</v>
      </c>
      <c r="B509" t="b">
        <v>1</v>
      </c>
      <c r="C509" t="b">
        <v>1</v>
      </c>
      <c r="D509" s="2" t="b">
        <v>0</v>
      </c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715</v>
      </c>
      <c r="S509"/>
      <c r="T509"/>
      <c r="U509"/>
    </row>
    <row r="510" spans="1:21">
      <c r="A510" s="2" t="s">
        <v>536</v>
      </c>
      <c r="B510" t="b">
        <v>1</v>
      </c>
      <c r="C510" t="b">
        <v>1</v>
      </c>
      <c r="D510" s="2" t="b">
        <v>0</v>
      </c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715</v>
      </c>
      <c r="S510"/>
      <c r="T510"/>
      <c r="U510"/>
    </row>
    <row r="511" spans="1:21">
      <c r="A511" s="2" t="s">
        <v>537</v>
      </c>
      <c r="B511" t="b">
        <v>1</v>
      </c>
      <c r="C511" t="b">
        <v>1</v>
      </c>
      <c r="D511" s="2" t="b">
        <v>0</v>
      </c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715</v>
      </c>
      <c r="S511"/>
      <c r="T511"/>
      <c r="U511"/>
    </row>
    <row r="512" spans="1:21">
      <c r="A512" s="2" t="s">
        <v>538</v>
      </c>
      <c r="B512" t="b">
        <v>1</v>
      </c>
      <c r="C512" t="b">
        <v>1</v>
      </c>
      <c r="D512" s="2" t="b">
        <v>0</v>
      </c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715</v>
      </c>
      <c r="S512"/>
      <c r="T512"/>
      <c r="U512"/>
    </row>
    <row r="513" spans="1:21">
      <c r="A513" s="2" t="s">
        <v>539</v>
      </c>
      <c r="B513" t="b">
        <v>1</v>
      </c>
      <c r="C513" t="b">
        <v>1</v>
      </c>
      <c r="D513" s="2" t="b">
        <v>0</v>
      </c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715</v>
      </c>
      <c r="S513"/>
      <c r="T513"/>
      <c r="U513"/>
    </row>
    <row r="514" spans="1:21">
      <c r="A514" s="2" t="s">
        <v>540</v>
      </c>
      <c r="B514" t="b">
        <v>1</v>
      </c>
      <c r="C514" t="b">
        <v>1</v>
      </c>
      <c r="D514" s="2" t="b">
        <v>0</v>
      </c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715</v>
      </c>
      <c r="S514"/>
      <c r="T514"/>
      <c r="U514"/>
    </row>
    <row r="515" spans="1:21">
      <c r="A515" s="2" t="s">
        <v>541</v>
      </c>
      <c r="B515" t="b">
        <v>1</v>
      </c>
      <c r="C515" t="b">
        <v>1</v>
      </c>
      <c r="D515" s="2" t="b">
        <v>0</v>
      </c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715</v>
      </c>
      <c r="S515"/>
      <c r="T515"/>
      <c r="U515"/>
    </row>
    <row r="516" spans="1:21">
      <c r="A516" s="2" t="s">
        <v>542</v>
      </c>
      <c r="B516" t="b">
        <v>1</v>
      </c>
      <c r="C516" t="b">
        <v>1</v>
      </c>
      <c r="D516" s="2" t="b">
        <v>0</v>
      </c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715</v>
      </c>
      <c r="S516"/>
      <c r="T516"/>
      <c r="U516"/>
    </row>
    <row r="517" spans="1:21">
      <c r="A517" s="2" t="s">
        <v>543</v>
      </c>
      <c r="B517" t="b">
        <v>1</v>
      </c>
      <c r="C517" t="b">
        <v>1</v>
      </c>
      <c r="D517" s="2" t="b">
        <v>0</v>
      </c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715</v>
      </c>
      <c r="S517"/>
      <c r="T517"/>
      <c r="U517"/>
    </row>
    <row r="518" spans="1:21">
      <c r="A518" s="2" t="s">
        <v>544</v>
      </c>
      <c r="B518" t="b">
        <v>1</v>
      </c>
      <c r="C518" t="b">
        <v>1</v>
      </c>
      <c r="D518" s="2" t="b">
        <v>0</v>
      </c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715</v>
      </c>
      <c r="S518"/>
      <c r="T518"/>
      <c r="U518"/>
    </row>
    <row r="519" spans="1:21">
      <c r="A519" s="2" t="s">
        <v>545</v>
      </c>
      <c r="B519" t="b">
        <v>1</v>
      </c>
      <c r="C519" t="b">
        <v>1</v>
      </c>
      <c r="D519" s="2" t="b">
        <v>0</v>
      </c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715</v>
      </c>
      <c r="S519"/>
      <c r="T519"/>
      <c r="U519"/>
    </row>
    <row r="520" spans="1:21">
      <c r="A520" s="2" t="s">
        <v>546</v>
      </c>
      <c r="B520" t="b">
        <v>1</v>
      </c>
      <c r="C520" t="b">
        <v>1</v>
      </c>
      <c r="D520" s="2" t="b">
        <v>0</v>
      </c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715</v>
      </c>
      <c r="S520"/>
      <c r="T520"/>
      <c r="U520"/>
    </row>
    <row r="521" spans="1:21">
      <c r="A521" s="2" t="s">
        <v>547</v>
      </c>
      <c r="B521" t="b">
        <v>1</v>
      </c>
      <c r="C521" t="b">
        <v>1</v>
      </c>
      <c r="D521" s="2" t="b">
        <v>0</v>
      </c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715</v>
      </c>
      <c r="S521"/>
      <c r="T521"/>
      <c r="U521"/>
    </row>
    <row r="522" spans="1:21">
      <c r="A522" s="2" t="s">
        <v>548</v>
      </c>
      <c r="B522" t="b">
        <v>1</v>
      </c>
      <c r="C522" t="b">
        <v>1</v>
      </c>
      <c r="D522" s="2" t="b">
        <v>0</v>
      </c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715</v>
      </c>
      <c r="S522"/>
      <c r="T522"/>
      <c r="U522"/>
    </row>
    <row r="523" spans="1:21">
      <c r="A523" s="2" t="s">
        <v>549</v>
      </c>
      <c r="B523" t="b">
        <v>1</v>
      </c>
      <c r="C523" t="b">
        <v>1</v>
      </c>
      <c r="D523" s="2" t="b">
        <v>0</v>
      </c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715</v>
      </c>
      <c r="S523"/>
      <c r="T523"/>
      <c r="U523"/>
    </row>
    <row r="524" spans="1:21">
      <c r="A524" s="2" t="s">
        <v>550</v>
      </c>
      <c r="B524" t="b">
        <v>1</v>
      </c>
      <c r="C524" t="b">
        <v>1</v>
      </c>
      <c r="D524" s="2" t="b">
        <v>0</v>
      </c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715</v>
      </c>
      <c r="S524"/>
      <c r="T524"/>
      <c r="U524"/>
    </row>
    <row r="525" spans="1:21">
      <c r="A525" s="2" t="s">
        <v>551</v>
      </c>
      <c r="B525" t="b">
        <v>1</v>
      </c>
      <c r="C525" t="b">
        <v>1</v>
      </c>
      <c r="D525" s="2" t="b">
        <v>0</v>
      </c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715</v>
      </c>
      <c r="S525"/>
      <c r="T525"/>
      <c r="U525"/>
    </row>
    <row r="526" spans="1:21">
      <c r="A526" s="2" t="s">
        <v>552</v>
      </c>
      <c r="B526" t="b">
        <v>1</v>
      </c>
      <c r="C526" t="b">
        <v>1</v>
      </c>
      <c r="D526" s="2" t="b">
        <v>0</v>
      </c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715</v>
      </c>
      <c r="S526"/>
      <c r="T526"/>
      <c r="U526"/>
    </row>
    <row r="527" spans="1:21">
      <c r="A527" s="2" t="s">
        <v>553</v>
      </c>
      <c r="B527" t="b">
        <v>1</v>
      </c>
      <c r="C527" t="b">
        <v>1</v>
      </c>
      <c r="D527" s="2" t="b">
        <v>0</v>
      </c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715</v>
      </c>
      <c r="S527"/>
      <c r="T527"/>
      <c r="U527"/>
    </row>
    <row r="528" spans="1:21">
      <c r="A528" s="2" t="s">
        <v>554</v>
      </c>
      <c r="B528" t="b">
        <v>1</v>
      </c>
      <c r="C528" t="b">
        <v>1</v>
      </c>
      <c r="D528" s="2" t="b">
        <v>0</v>
      </c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715</v>
      </c>
      <c r="S528"/>
      <c r="T528"/>
      <c r="U528"/>
    </row>
    <row r="529" spans="1:21">
      <c r="A529" s="2" t="s">
        <v>555</v>
      </c>
      <c r="B529" t="b">
        <v>1</v>
      </c>
      <c r="C529" t="b">
        <v>1</v>
      </c>
      <c r="D529" s="2" t="b">
        <v>0</v>
      </c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715</v>
      </c>
      <c r="S529"/>
      <c r="T529"/>
      <c r="U529"/>
    </row>
    <row r="530" spans="1:21">
      <c r="A530" s="2" t="s">
        <v>556</v>
      </c>
      <c r="B530" t="b">
        <v>1</v>
      </c>
      <c r="C530" t="b">
        <v>1</v>
      </c>
      <c r="D530" s="2" t="b">
        <v>0</v>
      </c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715</v>
      </c>
      <c r="S530"/>
      <c r="T530"/>
      <c r="U530"/>
    </row>
    <row r="531" spans="1:21">
      <c r="A531" s="2" t="s">
        <v>557</v>
      </c>
      <c r="B531" t="b">
        <v>1</v>
      </c>
      <c r="C531" t="b">
        <v>1</v>
      </c>
      <c r="D531" s="2" t="b">
        <v>0</v>
      </c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715</v>
      </c>
      <c r="S531"/>
      <c r="T531"/>
      <c r="U531"/>
    </row>
    <row r="532" spans="1:21">
      <c r="A532" s="2" t="s">
        <v>558</v>
      </c>
      <c r="B532" t="b">
        <v>1</v>
      </c>
      <c r="C532" t="b">
        <v>1</v>
      </c>
      <c r="D532" s="2" t="b">
        <v>0</v>
      </c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715</v>
      </c>
      <c r="S532"/>
      <c r="T532"/>
      <c r="U532"/>
    </row>
    <row r="533" spans="1:21">
      <c r="A533" s="2" t="s">
        <v>559</v>
      </c>
      <c r="B533" t="b">
        <v>1</v>
      </c>
      <c r="C533" t="b">
        <v>1</v>
      </c>
      <c r="D533" s="2" t="b">
        <v>0</v>
      </c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715</v>
      </c>
      <c r="S533"/>
      <c r="T533"/>
      <c r="U533"/>
    </row>
    <row r="534" spans="1:21">
      <c r="A534" s="2" t="s">
        <v>560</v>
      </c>
      <c r="B534" t="b">
        <v>1</v>
      </c>
      <c r="C534" t="b">
        <v>1</v>
      </c>
      <c r="D534" s="2" t="b">
        <v>0</v>
      </c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715</v>
      </c>
      <c r="S534"/>
      <c r="T534"/>
      <c r="U534"/>
    </row>
    <row r="535" spans="1:21">
      <c r="A535" s="2" t="s">
        <v>561</v>
      </c>
      <c r="B535" t="b">
        <v>1</v>
      </c>
      <c r="C535" t="b">
        <v>1</v>
      </c>
      <c r="D535" s="2" t="b">
        <v>0</v>
      </c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715</v>
      </c>
      <c r="S535"/>
      <c r="T535"/>
      <c r="U535"/>
    </row>
    <row r="536" spans="1:21">
      <c r="A536" s="2" t="s">
        <v>562</v>
      </c>
      <c r="B536" t="b">
        <v>1</v>
      </c>
      <c r="C536" t="b">
        <v>1</v>
      </c>
      <c r="D536" s="2" t="b">
        <v>0</v>
      </c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715</v>
      </c>
      <c r="S536"/>
      <c r="T536"/>
      <c r="U536"/>
    </row>
    <row r="537" spans="1:21">
      <c r="A537" s="2" t="s">
        <v>563</v>
      </c>
      <c r="B537" t="b">
        <v>1</v>
      </c>
      <c r="C537" t="b">
        <v>1</v>
      </c>
      <c r="D537" s="2" t="b">
        <v>0</v>
      </c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715</v>
      </c>
      <c r="S537"/>
      <c r="T537"/>
      <c r="U537"/>
    </row>
    <row r="538" spans="1:21">
      <c r="A538" s="2" t="s">
        <v>564</v>
      </c>
      <c r="B538" t="b">
        <v>1</v>
      </c>
      <c r="C538" t="b">
        <v>1</v>
      </c>
      <c r="D538" s="2" t="b">
        <v>0</v>
      </c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715</v>
      </c>
      <c r="S538"/>
      <c r="T538"/>
      <c r="U538"/>
    </row>
    <row r="539" spans="1:21">
      <c r="A539" s="2" t="s">
        <v>565</v>
      </c>
      <c r="B539" t="b">
        <v>1</v>
      </c>
      <c r="C539" t="b">
        <v>1</v>
      </c>
      <c r="D539" s="2" t="b">
        <v>0</v>
      </c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715</v>
      </c>
      <c r="S539"/>
      <c r="T539"/>
      <c r="U539"/>
    </row>
    <row r="540" spans="1:21">
      <c r="A540" s="2" t="s">
        <v>566</v>
      </c>
      <c r="B540" t="b">
        <v>1</v>
      </c>
      <c r="C540" t="b">
        <v>1</v>
      </c>
      <c r="D540" s="2" t="b">
        <v>0</v>
      </c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715</v>
      </c>
      <c r="S540"/>
      <c r="T540"/>
      <c r="U540"/>
    </row>
    <row r="541" spans="1:21">
      <c r="A541" s="2" t="s">
        <v>567</v>
      </c>
      <c r="B541" t="b">
        <v>1</v>
      </c>
      <c r="C541" t="b">
        <v>1</v>
      </c>
      <c r="D541" s="2" t="b">
        <v>0</v>
      </c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715</v>
      </c>
      <c r="S541"/>
      <c r="T541"/>
      <c r="U541"/>
    </row>
    <row r="542" spans="1:21">
      <c r="A542" s="2" t="s">
        <v>568</v>
      </c>
      <c r="B542" t="b">
        <v>1</v>
      </c>
      <c r="C542" t="b">
        <v>1</v>
      </c>
      <c r="D542" s="2" t="b">
        <v>0</v>
      </c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715</v>
      </c>
      <c r="S542"/>
      <c r="T542"/>
      <c r="U542"/>
    </row>
    <row r="543" spans="1:21">
      <c r="A543" s="2" t="s">
        <v>569</v>
      </c>
      <c r="B543" t="b">
        <v>1</v>
      </c>
      <c r="C543" t="b">
        <v>1</v>
      </c>
      <c r="D543" s="2" t="b">
        <v>0</v>
      </c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715</v>
      </c>
      <c r="S543"/>
      <c r="T543"/>
      <c r="U543"/>
    </row>
    <row r="544" spans="1:21">
      <c r="A544" s="2" t="s">
        <v>570</v>
      </c>
      <c r="B544" t="b">
        <v>1</v>
      </c>
      <c r="C544" t="b">
        <v>1</v>
      </c>
      <c r="D544" s="2" t="b">
        <v>0</v>
      </c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715</v>
      </c>
      <c r="S544"/>
      <c r="T544"/>
      <c r="U544"/>
    </row>
    <row r="545" spans="1:21">
      <c r="A545" s="2" t="s">
        <v>571</v>
      </c>
      <c r="B545" t="b">
        <v>1</v>
      </c>
      <c r="C545" t="b">
        <v>1</v>
      </c>
      <c r="D545" s="2" t="b">
        <v>0</v>
      </c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715</v>
      </c>
      <c r="S545"/>
      <c r="T545"/>
      <c r="U545"/>
    </row>
    <row r="546" spans="1:21">
      <c r="A546" s="2" t="s">
        <v>572</v>
      </c>
      <c r="B546" t="b">
        <v>1</v>
      </c>
      <c r="C546" t="b">
        <v>1</v>
      </c>
      <c r="D546" s="2" t="b">
        <v>0</v>
      </c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715</v>
      </c>
      <c r="S546"/>
      <c r="T546"/>
      <c r="U546"/>
    </row>
    <row r="547" spans="1:21">
      <c r="A547" s="2" t="s">
        <v>573</v>
      </c>
      <c r="B547" t="b">
        <v>1</v>
      </c>
      <c r="C547" t="b">
        <v>1</v>
      </c>
      <c r="D547" s="2" t="b">
        <v>0</v>
      </c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715</v>
      </c>
      <c r="S547"/>
      <c r="T547"/>
      <c r="U547"/>
    </row>
    <row r="548" spans="1:21">
      <c r="A548" s="2" t="s">
        <v>574</v>
      </c>
      <c r="B548" t="b">
        <v>1</v>
      </c>
      <c r="C548" t="b">
        <v>1</v>
      </c>
      <c r="D548" s="2" t="b">
        <v>0</v>
      </c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715</v>
      </c>
      <c r="S548"/>
      <c r="T548"/>
      <c r="U548"/>
    </row>
    <row r="549" spans="1:21">
      <c r="A549" s="2" t="s">
        <v>575</v>
      </c>
      <c r="B549" t="b">
        <v>1</v>
      </c>
      <c r="C549" t="b">
        <v>1</v>
      </c>
      <c r="D549" s="2" t="b">
        <v>0</v>
      </c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715</v>
      </c>
      <c r="S549"/>
      <c r="T549"/>
      <c r="U549"/>
    </row>
    <row r="550" spans="1:21">
      <c r="A550" s="2" t="s">
        <v>576</v>
      </c>
      <c r="B550" t="b">
        <v>1</v>
      </c>
      <c r="C550" t="b">
        <v>1</v>
      </c>
      <c r="D550" s="2" t="b">
        <v>0</v>
      </c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715</v>
      </c>
      <c r="S550"/>
      <c r="T550"/>
      <c r="U550"/>
    </row>
    <row r="551" spans="1:21">
      <c r="A551" s="2" t="s">
        <v>577</v>
      </c>
      <c r="B551" t="b">
        <v>1</v>
      </c>
      <c r="C551" t="b">
        <v>1</v>
      </c>
      <c r="D551" s="2" t="b">
        <v>0</v>
      </c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715</v>
      </c>
      <c r="S551"/>
      <c r="T551"/>
      <c r="U551"/>
    </row>
    <row r="552" spans="1:21">
      <c r="A552" s="2" t="s">
        <v>578</v>
      </c>
      <c r="B552" t="b">
        <v>1</v>
      </c>
      <c r="C552" t="b">
        <v>1</v>
      </c>
      <c r="D552" s="2" t="b">
        <v>0</v>
      </c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715</v>
      </c>
      <c r="S552"/>
      <c r="T552"/>
      <c r="U552"/>
    </row>
    <row r="553" spans="1:21">
      <c r="A553" s="2" t="s">
        <v>579</v>
      </c>
      <c r="B553" t="b">
        <v>1</v>
      </c>
      <c r="C553" t="b">
        <v>1</v>
      </c>
      <c r="D553" s="2" t="b">
        <v>0</v>
      </c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715</v>
      </c>
      <c r="S553"/>
      <c r="T553"/>
      <c r="U553"/>
    </row>
    <row r="554" spans="1:21">
      <c r="A554" s="2" t="s">
        <v>580</v>
      </c>
      <c r="B554" t="b">
        <v>1</v>
      </c>
      <c r="C554" t="b">
        <v>1</v>
      </c>
      <c r="D554" s="2" t="b">
        <v>0</v>
      </c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715</v>
      </c>
      <c r="S554"/>
      <c r="T554"/>
      <c r="U554"/>
    </row>
    <row r="555" spans="1:21">
      <c r="A555" s="2" t="s">
        <v>581</v>
      </c>
      <c r="B555" t="b">
        <v>1</v>
      </c>
      <c r="C555" t="b">
        <v>1</v>
      </c>
      <c r="D555" s="2" t="b">
        <v>0</v>
      </c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715</v>
      </c>
      <c r="S555"/>
      <c r="T555"/>
      <c r="U555"/>
    </row>
    <row r="556" spans="1:21">
      <c r="A556" s="2" t="s">
        <v>582</v>
      </c>
      <c r="B556" t="b">
        <v>1</v>
      </c>
      <c r="C556" t="b">
        <v>1</v>
      </c>
      <c r="D556" s="2" t="b">
        <v>0</v>
      </c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715</v>
      </c>
      <c r="S556"/>
      <c r="T556"/>
      <c r="U556"/>
    </row>
    <row r="557" spans="1:21">
      <c r="A557" s="2" t="s">
        <v>583</v>
      </c>
      <c r="B557" t="b">
        <v>1</v>
      </c>
      <c r="C557" t="b">
        <v>1</v>
      </c>
      <c r="D557" s="2" t="b">
        <v>0</v>
      </c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715</v>
      </c>
      <c r="S557"/>
      <c r="T557"/>
      <c r="U557"/>
    </row>
    <row r="558" spans="1:21">
      <c r="A558" s="2" t="s">
        <v>584</v>
      </c>
      <c r="B558" t="b">
        <v>1</v>
      </c>
      <c r="C558" t="b">
        <v>1</v>
      </c>
      <c r="D558" s="2" t="b">
        <v>0</v>
      </c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715</v>
      </c>
      <c r="S558"/>
      <c r="T558"/>
      <c r="U558"/>
    </row>
    <row r="559" spans="1:21">
      <c r="A559" s="2" t="s">
        <v>585</v>
      </c>
      <c r="B559" t="b">
        <v>1</v>
      </c>
      <c r="C559" t="b">
        <v>1</v>
      </c>
      <c r="D559" s="2" t="b">
        <v>0</v>
      </c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715</v>
      </c>
      <c r="S559"/>
      <c r="T559"/>
      <c r="U559"/>
    </row>
    <row r="560" spans="1:21">
      <c r="A560" s="2" t="s">
        <v>586</v>
      </c>
      <c r="B560" t="b">
        <v>1</v>
      </c>
      <c r="C560" t="b">
        <v>1</v>
      </c>
      <c r="D560" s="2" t="b">
        <v>0</v>
      </c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715</v>
      </c>
      <c r="S560"/>
      <c r="T560"/>
      <c r="U560"/>
    </row>
    <row r="561" spans="1:21">
      <c r="A561" s="2" t="s">
        <v>587</v>
      </c>
      <c r="B561" t="b">
        <v>1</v>
      </c>
      <c r="C561" t="b">
        <v>1</v>
      </c>
      <c r="D561" s="2" t="b">
        <v>0</v>
      </c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715</v>
      </c>
      <c r="S561"/>
      <c r="T561"/>
      <c r="U561"/>
    </row>
    <row r="562" spans="1:21">
      <c r="A562" s="2" t="s">
        <v>588</v>
      </c>
      <c r="B562" t="b">
        <v>1</v>
      </c>
      <c r="C562" t="b">
        <v>1</v>
      </c>
      <c r="D562" s="2" t="b">
        <v>0</v>
      </c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715</v>
      </c>
      <c r="S562"/>
      <c r="T562"/>
      <c r="U562"/>
    </row>
    <row r="563" spans="1:21">
      <c r="A563" s="2" t="s">
        <v>589</v>
      </c>
      <c r="B563" t="b">
        <v>1</v>
      </c>
      <c r="C563" t="b">
        <v>1</v>
      </c>
      <c r="D563" s="2" t="b">
        <v>0</v>
      </c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715</v>
      </c>
      <c r="S563"/>
      <c r="T563"/>
      <c r="U563"/>
    </row>
    <row r="564" spans="1:21">
      <c r="A564" s="2" t="s">
        <v>590</v>
      </c>
      <c r="B564" t="b">
        <v>1</v>
      </c>
      <c r="C564" t="b">
        <v>0</v>
      </c>
      <c r="D564" s="2" t="b">
        <v>0</v>
      </c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715</v>
      </c>
      <c r="S564"/>
      <c r="T564"/>
      <c r="U564"/>
    </row>
    <row r="565" spans="1:21">
      <c r="A565" s="2" t="s">
        <v>591</v>
      </c>
      <c r="B565" t="b">
        <v>1</v>
      </c>
      <c r="C565" t="b">
        <v>0</v>
      </c>
      <c r="D565" s="2" t="b">
        <v>0</v>
      </c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715</v>
      </c>
      <c r="S565"/>
      <c r="T565"/>
      <c r="U565"/>
    </row>
    <row r="566" spans="1:21">
      <c r="A566" s="2" t="s">
        <v>592</v>
      </c>
      <c r="B566" t="b">
        <v>1</v>
      </c>
      <c r="C566" t="b">
        <v>0</v>
      </c>
      <c r="D566" s="2" t="b">
        <v>0</v>
      </c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715</v>
      </c>
      <c r="S566"/>
      <c r="T566"/>
      <c r="U566"/>
    </row>
    <row r="567" spans="1:21">
      <c r="A567" s="2" t="s">
        <v>593</v>
      </c>
      <c r="B567" t="b">
        <v>1</v>
      </c>
      <c r="C567" t="b">
        <v>0</v>
      </c>
      <c r="D567" s="2" t="b">
        <v>0</v>
      </c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715</v>
      </c>
      <c r="S567"/>
      <c r="T567"/>
      <c r="U567"/>
    </row>
    <row r="568" spans="1:21">
      <c r="A568" s="2" t="s">
        <v>594</v>
      </c>
      <c r="B568" t="b">
        <v>1</v>
      </c>
      <c r="C568" t="b">
        <v>0</v>
      </c>
      <c r="D568" s="2" t="b">
        <v>0</v>
      </c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715</v>
      </c>
      <c r="S568"/>
      <c r="T568"/>
      <c r="U568"/>
    </row>
    <row r="569" spans="1:21">
      <c r="A569" s="2" t="s">
        <v>595</v>
      </c>
      <c r="B569" t="b">
        <v>1</v>
      </c>
      <c r="C569" t="b">
        <v>0</v>
      </c>
      <c r="D569" s="2" t="b">
        <v>0</v>
      </c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715</v>
      </c>
      <c r="S569"/>
      <c r="T569"/>
      <c r="U569"/>
    </row>
    <row r="570" spans="1:21">
      <c r="A570" s="2" t="s">
        <v>596</v>
      </c>
      <c r="B570" t="b">
        <v>1</v>
      </c>
      <c r="C570" t="b">
        <v>1</v>
      </c>
      <c r="D570" s="2" t="b">
        <v>0</v>
      </c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715</v>
      </c>
      <c r="S570"/>
      <c r="T570"/>
      <c r="U570"/>
    </row>
    <row r="571" spans="1:21">
      <c r="A571" s="2" t="s">
        <v>597</v>
      </c>
      <c r="B571" t="b">
        <v>1</v>
      </c>
      <c r="C571" t="b">
        <v>1</v>
      </c>
      <c r="D571" s="2" t="b">
        <v>0</v>
      </c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715</v>
      </c>
      <c r="S571"/>
      <c r="T571"/>
      <c r="U571"/>
    </row>
    <row r="572" spans="1:21">
      <c r="A572" s="2" t="s">
        <v>901</v>
      </c>
      <c r="B572" t="b">
        <v>1</v>
      </c>
      <c r="C572" t="b">
        <v>0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715</v>
      </c>
      <c r="S572"/>
      <c r="T572"/>
      <c r="U572"/>
    </row>
    <row r="573" spans="1:21">
      <c r="A573" s="2" t="s">
        <v>884</v>
      </c>
      <c r="B573" t="b">
        <v>1</v>
      </c>
      <c r="C573" t="b">
        <v>0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715</v>
      </c>
      <c r="S573"/>
      <c r="T573"/>
      <c r="U573"/>
    </row>
    <row r="574" spans="1:21">
      <c r="A574" s="2" t="s">
        <v>885</v>
      </c>
      <c r="B574" t="b">
        <v>1</v>
      </c>
      <c r="C574" t="b">
        <v>0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715</v>
      </c>
      <c r="S574"/>
      <c r="T574"/>
      <c r="U574"/>
    </row>
    <row r="575" spans="1:21">
      <c r="A575" s="2" t="s">
        <v>886</v>
      </c>
      <c r="B575" t="b">
        <v>1</v>
      </c>
      <c r="C575" t="b">
        <v>0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715</v>
      </c>
      <c r="S575"/>
      <c r="T575"/>
      <c r="U575"/>
    </row>
    <row r="576" spans="1:21">
      <c r="A576" s="2" t="s">
        <v>887</v>
      </c>
      <c r="B576" t="b">
        <v>1</v>
      </c>
      <c r="C576" t="b">
        <v>0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715</v>
      </c>
      <c r="S576"/>
      <c r="T576"/>
      <c r="U576"/>
    </row>
    <row r="577" spans="1:21">
      <c r="A577" s="2" t="s">
        <v>888</v>
      </c>
      <c r="B577" t="b">
        <v>1</v>
      </c>
      <c r="C577" t="b">
        <v>0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715</v>
      </c>
      <c r="S577"/>
      <c r="T577"/>
      <c r="U577"/>
    </row>
    <row r="578" spans="1:21">
      <c r="A578" s="2" t="s">
        <v>889</v>
      </c>
      <c r="B578" t="b">
        <v>1</v>
      </c>
      <c r="C578" t="b">
        <v>0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715</v>
      </c>
      <c r="S578"/>
      <c r="T578"/>
      <c r="U578"/>
    </row>
    <row r="579" spans="1:21">
      <c r="A579" s="2" t="s">
        <v>890</v>
      </c>
      <c r="B579" t="b">
        <v>1</v>
      </c>
      <c r="C579" t="b">
        <v>0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715</v>
      </c>
      <c r="S579"/>
      <c r="T579"/>
      <c r="U579"/>
    </row>
    <row r="580" spans="1:21">
      <c r="A580" s="2" t="s">
        <v>891</v>
      </c>
      <c r="B580" t="b">
        <v>1</v>
      </c>
      <c r="C580" t="b">
        <v>0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715</v>
      </c>
      <c r="S580"/>
      <c r="T580"/>
      <c r="U580"/>
    </row>
    <row r="581" spans="1:21">
      <c r="A581" s="2" t="s">
        <v>892</v>
      </c>
      <c r="B581" t="b">
        <v>1</v>
      </c>
      <c r="C581" t="b">
        <v>0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715</v>
      </c>
      <c r="S581"/>
      <c r="T581"/>
      <c r="U581"/>
    </row>
    <row r="582" spans="1:21">
      <c r="A582" s="2" t="s">
        <v>893</v>
      </c>
      <c r="B582" t="b">
        <v>1</v>
      </c>
      <c r="C582" t="b">
        <v>0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715</v>
      </c>
      <c r="S582"/>
      <c r="T582"/>
      <c r="U582"/>
    </row>
    <row r="583" spans="1:21">
      <c r="A583" s="2" t="s">
        <v>894</v>
      </c>
      <c r="B583" t="b">
        <v>1</v>
      </c>
      <c r="C583" t="b">
        <v>0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715</v>
      </c>
      <c r="S583"/>
      <c r="T583"/>
      <c r="U583"/>
    </row>
    <row r="584" spans="1:21">
      <c r="A584" s="2" t="s">
        <v>895</v>
      </c>
      <c r="B584" t="b">
        <v>1</v>
      </c>
      <c r="C584" t="b">
        <v>0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715</v>
      </c>
      <c r="S584"/>
      <c r="T584"/>
      <c r="U584"/>
    </row>
    <row r="585" spans="1:21">
      <c r="A585" s="2" t="s">
        <v>896</v>
      </c>
      <c r="B585" t="b">
        <v>1</v>
      </c>
      <c r="C585" t="b">
        <v>0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715</v>
      </c>
      <c r="S585"/>
      <c r="T585"/>
      <c r="U585"/>
    </row>
    <row r="586" spans="1:21">
      <c r="A586" s="2" t="s">
        <v>897</v>
      </c>
      <c r="B586" t="b">
        <v>1</v>
      </c>
      <c r="C586" t="b">
        <v>0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715</v>
      </c>
      <c r="S586"/>
      <c r="T586"/>
      <c r="U586"/>
    </row>
    <row r="587" spans="1:21">
      <c r="A587" s="2" t="s">
        <v>609</v>
      </c>
      <c r="B587" t="b">
        <v>1</v>
      </c>
      <c r="C587" t="b">
        <v>0</v>
      </c>
      <c r="D587" s="2" t="b">
        <v>0</v>
      </c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715</v>
      </c>
      <c r="S587"/>
      <c r="T587"/>
      <c r="U587"/>
    </row>
    <row r="588" spans="1:21">
      <c r="A588" s="2" t="s">
        <v>610</v>
      </c>
      <c r="B588" t="b">
        <v>1</v>
      </c>
      <c r="C588" t="b">
        <v>0</v>
      </c>
      <c r="D588" s="2" t="b">
        <v>0</v>
      </c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715</v>
      </c>
      <c r="S588"/>
      <c r="T588"/>
      <c r="U588"/>
    </row>
    <row r="589" spans="1:21">
      <c r="A589" s="2" t="s">
        <v>611</v>
      </c>
      <c r="B589" t="b">
        <v>1</v>
      </c>
      <c r="C589" t="b">
        <v>0</v>
      </c>
      <c r="D589" s="2" t="b">
        <v>0</v>
      </c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715</v>
      </c>
      <c r="S589"/>
      <c r="T589"/>
      <c r="U589"/>
    </row>
    <row r="590" spans="1:21">
      <c r="A590" s="2" t="s">
        <v>612</v>
      </c>
      <c r="B590" t="b">
        <v>1</v>
      </c>
      <c r="C590" t="b">
        <v>0</v>
      </c>
      <c r="D590" s="2" t="b">
        <v>0</v>
      </c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715</v>
      </c>
      <c r="S590"/>
      <c r="T590"/>
      <c r="U590"/>
    </row>
    <row r="591" spans="1:21">
      <c r="A591" s="2" t="s">
        <v>613</v>
      </c>
      <c r="B591" t="b">
        <v>1</v>
      </c>
      <c r="C591" t="b">
        <v>0</v>
      </c>
      <c r="D591" s="2" t="b">
        <v>0</v>
      </c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715</v>
      </c>
      <c r="S591"/>
      <c r="T591"/>
      <c r="U591"/>
    </row>
    <row r="592" spans="1:21">
      <c r="A592" s="2" t="s">
        <v>614</v>
      </c>
      <c r="B592" t="b">
        <v>1</v>
      </c>
      <c r="C592" t="b">
        <v>0</v>
      </c>
      <c r="D592" s="2" t="b">
        <v>0</v>
      </c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715</v>
      </c>
      <c r="S592"/>
      <c r="T592"/>
      <c r="U592"/>
    </row>
    <row r="593" spans="1:21">
      <c r="A593" s="2" t="s">
        <v>615</v>
      </c>
      <c r="B593" t="b">
        <v>1</v>
      </c>
      <c r="C593" t="b">
        <v>0</v>
      </c>
      <c r="D593" s="2" t="b">
        <v>0</v>
      </c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715</v>
      </c>
      <c r="S593"/>
      <c r="T593"/>
      <c r="U593"/>
    </row>
    <row r="594" spans="1:21">
      <c r="A594" s="2" t="s">
        <v>616</v>
      </c>
      <c r="B594" t="b">
        <v>1</v>
      </c>
      <c r="C594" t="b">
        <v>0</v>
      </c>
      <c r="D594" s="2" t="b">
        <v>0</v>
      </c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715</v>
      </c>
      <c r="S594"/>
      <c r="T594"/>
      <c r="U594"/>
    </row>
    <row r="595" spans="1:21">
      <c r="A595" s="2" t="s">
        <v>617</v>
      </c>
      <c r="B595" t="b">
        <v>1</v>
      </c>
      <c r="C595" t="b">
        <v>0</v>
      </c>
      <c r="D595" s="2" t="b">
        <v>0</v>
      </c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715</v>
      </c>
      <c r="S595"/>
      <c r="T595"/>
      <c r="U595"/>
    </row>
    <row r="596" spans="1:21">
      <c r="A596" s="2" t="s">
        <v>618</v>
      </c>
      <c r="B596" t="b">
        <v>1</v>
      </c>
      <c r="C596" t="b">
        <v>0</v>
      </c>
      <c r="D596" s="2" t="b">
        <v>0</v>
      </c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715</v>
      </c>
      <c r="S596"/>
      <c r="T596"/>
      <c r="U596"/>
    </row>
    <row r="597" spans="1:21">
      <c r="A597" s="2" t="s">
        <v>619</v>
      </c>
      <c r="B597" t="b">
        <v>1</v>
      </c>
      <c r="C597" t="b">
        <v>0</v>
      </c>
      <c r="D597" s="2" t="b">
        <v>0</v>
      </c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715</v>
      </c>
      <c r="S597"/>
      <c r="T597"/>
      <c r="U597"/>
    </row>
    <row r="598" spans="1:21">
      <c r="A598" s="2" t="s">
        <v>620</v>
      </c>
      <c r="B598" t="b">
        <v>1</v>
      </c>
      <c r="C598" t="b">
        <v>0</v>
      </c>
      <c r="D598" s="2" t="b">
        <v>0</v>
      </c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715</v>
      </c>
      <c r="S598"/>
      <c r="T598"/>
      <c r="U598"/>
    </row>
    <row r="599" spans="1:21">
      <c r="A599" s="2" t="s">
        <v>621</v>
      </c>
      <c r="B599" t="b">
        <v>1</v>
      </c>
      <c r="C599" t="b">
        <v>0</v>
      </c>
      <c r="D599" s="2" t="b">
        <v>0</v>
      </c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715</v>
      </c>
      <c r="S599"/>
      <c r="T599"/>
      <c r="U599"/>
    </row>
    <row r="600" spans="1:21">
      <c r="A600" s="2" t="s">
        <v>622</v>
      </c>
      <c r="B600" t="b">
        <v>1</v>
      </c>
      <c r="C600" t="b">
        <v>0</v>
      </c>
      <c r="D600" s="2" t="b">
        <v>0</v>
      </c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715</v>
      </c>
      <c r="S600"/>
      <c r="T600"/>
      <c r="U600"/>
    </row>
    <row r="601" spans="1:21">
      <c r="A601" s="2" t="s">
        <v>623</v>
      </c>
      <c r="B601" t="b">
        <v>1</v>
      </c>
      <c r="C601" t="b">
        <v>0</v>
      </c>
      <c r="D601" s="2" t="b">
        <v>0</v>
      </c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715</v>
      </c>
      <c r="S601"/>
      <c r="T601"/>
      <c r="U601"/>
    </row>
    <row r="602" spans="1:21">
      <c r="A602" s="2" t="s">
        <v>624</v>
      </c>
      <c r="B602" t="b">
        <v>1</v>
      </c>
      <c r="C602" t="b">
        <v>0</v>
      </c>
      <c r="D602" s="2" t="b">
        <v>0</v>
      </c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715</v>
      </c>
      <c r="S602"/>
      <c r="T602"/>
      <c r="U602"/>
    </row>
    <row r="603" spans="1:21">
      <c r="A603" s="2" t="s">
        <v>625</v>
      </c>
      <c r="B603" t="b">
        <v>1</v>
      </c>
      <c r="C603" t="b">
        <v>0</v>
      </c>
      <c r="D603" s="2" t="b">
        <v>0</v>
      </c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715</v>
      </c>
      <c r="S603"/>
      <c r="T603"/>
      <c r="U603"/>
    </row>
    <row r="604" spans="1:21">
      <c r="A604" s="2" t="s">
        <v>626</v>
      </c>
      <c r="B604" t="b">
        <v>1</v>
      </c>
      <c r="C604" t="b">
        <v>0</v>
      </c>
      <c r="D604" s="2" t="b">
        <v>0</v>
      </c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715</v>
      </c>
      <c r="S604"/>
      <c r="T604"/>
      <c r="U604"/>
    </row>
    <row r="605" spans="1:21">
      <c r="A605" s="2" t="s">
        <v>627</v>
      </c>
      <c r="B605" t="b">
        <v>1</v>
      </c>
      <c r="C605" t="b">
        <v>0</v>
      </c>
      <c r="D605" s="2" t="b">
        <v>0</v>
      </c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715</v>
      </c>
      <c r="S605"/>
      <c r="T605"/>
      <c r="U605"/>
    </row>
    <row r="606" spans="1:21">
      <c r="A606" s="2" t="s">
        <v>628</v>
      </c>
      <c r="B606" t="b">
        <v>1</v>
      </c>
      <c r="C606" t="b">
        <v>0</v>
      </c>
      <c r="D606" s="2" t="b">
        <v>0</v>
      </c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715</v>
      </c>
      <c r="S606"/>
      <c r="T606"/>
      <c r="U606"/>
    </row>
    <row r="607" spans="1:21">
      <c r="A607" s="2" t="s">
        <v>629</v>
      </c>
      <c r="B607" t="b">
        <v>1</v>
      </c>
      <c r="C607" t="b">
        <v>0</v>
      </c>
      <c r="D607" s="2" t="b">
        <v>0</v>
      </c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715</v>
      </c>
      <c r="S607"/>
      <c r="T607"/>
      <c r="U607"/>
    </row>
    <row r="608" spans="1:21">
      <c r="A608" s="2" t="s">
        <v>630</v>
      </c>
      <c r="B608" t="b">
        <v>1</v>
      </c>
      <c r="C608" t="b">
        <v>0</v>
      </c>
      <c r="D608" s="2" t="b">
        <v>0</v>
      </c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715</v>
      </c>
      <c r="S608"/>
      <c r="T608"/>
      <c r="U608"/>
    </row>
    <row r="609" spans="1:21">
      <c r="A609" s="2" t="s">
        <v>631</v>
      </c>
      <c r="B609" t="b">
        <v>1</v>
      </c>
      <c r="C609" t="b">
        <v>0</v>
      </c>
      <c r="D609" s="2" t="b">
        <v>0</v>
      </c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715</v>
      </c>
      <c r="S609"/>
      <c r="T609"/>
      <c r="U609"/>
    </row>
    <row r="610" spans="1:21">
      <c r="A610" s="2" t="s">
        <v>632</v>
      </c>
      <c r="B610" t="b">
        <v>1</v>
      </c>
      <c r="C610" t="b">
        <v>0</v>
      </c>
      <c r="D610" s="2" t="b">
        <v>0</v>
      </c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715</v>
      </c>
      <c r="S610"/>
      <c r="T610"/>
      <c r="U610"/>
    </row>
    <row r="611" spans="1:21">
      <c r="A611" s="2" t="s">
        <v>633</v>
      </c>
      <c r="B611" t="b">
        <v>1</v>
      </c>
      <c r="C611" t="b">
        <v>0</v>
      </c>
      <c r="D611" s="2" t="b">
        <v>0</v>
      </c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715</v>
      </c>
      <c r="S611"/>
      <c r="T611"/>
      <c r="U611"/>
    </row>
    <row r="612" spans="1:21">
      <c r="A612" s="2" t="s">
        <v>634</v>
      </c>
      <c r="B612" t="b">
        <v>1</v>
      </c>
      <c r="C612" t="b">
        <v>0</v>
      </c>
      <c r="D612" s="2" t="b">
        <v>0</v>
      </c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715</v>
      </c>
      <c r="S612"/>
      <c r="T612"/>
      <c r="U612"/>
    </row>
    <row r="613" spans="1:21">
      <c r="A613" s="2" t="s">
        <v>635</v>
      </c>
      <c r="B613" t="b">
        <v>1</v>
      </c>
      <c r="C613" t="b">
        <v>0</v>
      </c>
      <c r="D613" s="2" t="b">
        <v>0</v>
      </c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715</v>
      </c>
      <c r="S613"/>
      <c r="T613"/>
      <c r="U613"/>
    </row>
    <row r="614" spans="1:21">
      <c r="A614" s="2" t="s">
        <v>636</v>
      </c>
      <c r="B614" t="b">
        <v>1</v>
      </c>
      <c r="C614" t="b">
        <v>0</v>
      </c>
      <c r="D614" s="2" t="b">
        <v>0</v>
      </c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715</v>
      </c>
      <c r="S614"/>
      <c r="T614"/>
      <c r="U614"/>
    </row>
    <row r="615" spans="1:21">
      <c r="A615" s="2" t="s">
        <v>637</v>
      </c>
      <c r="B615" t="b">
        <v>1</v>
      </c>
      <c r="C615" t="b">
        <v>0</v>
      </c>
      <c r="D615" s="2" t="b">
        <v>0</v>
      </c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715</v>
      </c>
      <c r="S615"/>
      <c r="T615"/>
      <c r="U615"/>
    </row>
    <row r="616" spans="1:21">
      <c r="A616" s="2" t="s">
        <v>638</v>
      </c>
      <c r="B616" t="b">
        <v>1</v>
      </c>
      <c r="C616" t="b">
        <v>0</v>
      </c>
      <c r="D616" s="2" t="b">
        <v>0</v>
      </c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715</v>
      </c>
      <c r="S616"/>
      <c r="T616"/>
      <c r="U616"/>
    </row>
    <row r="617" spans="1:21">
      <c r="A617" s="2" t="s">
        <v>639</v>
      </c>
      <c r="B617" t="b">
        <v>1</v>
      </c>
      <c r="C617" t="b">
        <v>0</v>
      </c>
      <c r="D617" s="2" t="b">
        <v>0</v>
      </c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715</v>
      </c>
      <c r="S617"/>
      <c r="T617"/>
      <c r="U617"/>
    </row>
    <row r="618" spans="1:21">
      <c r="A618" s="2" t="s">
        <v>640</v>
      </c>
      <c r="B618" t="b">
        <v>1</v>
      </c>
      <c r="C618" t="b">
        <v>1</v>
      </c>
      <c r="D618" s="2" t="b">
        <v>0</v>
      </c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715</v>
      </c>
      <c r="S618"/>
      <c r="T618"/>
      <c r="U618"/>
    </row>
    <row r="619" spans="1:21">
      <c r="A619" s="2" t="s">
        <v>641</v>
      </c>
      <c r="B619" t="b">
        <v>1</v>
      </c>
      <c r="C619" t="b">
        <v>1</v>
      </c>
      <c r="D619" s="2" t="b">
        <v>0</v>
      </c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715</v>
      </c>
      <c r="S619"/>
      <c r="T619"/>
      <c r="U619"/>
    </row>
    <row r="620" spans="1:21">
      <c r="A620" s="2" t="s">
        <v>642</v>
      </c>
      <c r="B620" t="b">
        <v>1</v>
      </c>
      <c r="C620" t="b">
        <v>1</v>
      </c>
      <c r="D620" s="2" t="b">
        <v>0</v>
      </c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715</v>
      </c>
      <c r="S620"/>
      <c r="T620"/>
      <c r="U620"/>
    </row>
    <row r="621" spans="1:21">
      <c r="A621" s="2" t="s">
        <v>643</v>
      </c>
      <c r="B621" t="b">
        <v>1</v>
      </c>
      <c r="C621" t="b">
        <v>1</v>
      </c>
      <c r="D621" s="2" t="b">
        <v>0</v>
      </c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715</v>
      </c>
      <c r="S621"/>
      <c r="T621"/>
      <c r="U621"/>
    </row>
    <row r="622" spans="1:21">
      <c r="A622" s="2" t="s">
        <v>644</v>
      </c>
      <c r="B622" t="b">
        <v>1</v>
      </c>
      <c r="C622" t="b">
        <v>1</v>
      </c>
      <c r="D622" s="2" t="b">
        <v>0</v>
      </c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715</v>
      </c>
      <c r="S622"/>
      <c r="T622"/>
      <c r="U622"/>
    </row>
    <row r="623" spans="1:21">
      <c r="A623" s="2" t="s">
        <v>645</v>
      </c>
      <c r="B623" t="b">
        <v>1</v>
      </c>
      <c r="C623" t="b">
        <v>1</v>
      </c>
      <c r="D623" s="2" t="b">
        <v>0</v>
      </c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715</v>
      </c>
      <c r="S623"/>
      <c r="T623"/>
      <c r="U623"/>
    </row>
    <row r="624" spans="1:21">
      <c r="A624" s="2" t="s">
        <v>646</v>
      </c>
      <c r="B624" t="b">
        <v>1</v>
      </c>
      <c r="C624" t="b">
        <v>1</v>
      </c>
      <c r="D624" s="2" t="b">
        <v>0</v>
      </c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715</v>
      </c>
      <c r="S624"/>
      <c r="T624"/>
      <c r="U624"/>
    </row>
    <row r="625" spans="1:21">
      <c r="A625" s="2" t="s">
        <v>647</v>
      </c>
      <c r="B625" t="b">
        <v>1</v>
      </c>
      <c r="C625" t="b">
        <v>1</v>
      </c>
      <c r="D625" s="2" t="b">
        <v>0</v>
      </c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715</v>
      </c>
      <c r="S625"/>
      <c r="T625"/>
      <c r="U625"/>
    </row>
    <row r="626" spans="1:21">
      <c r="A626" s="2" t="s">
        <v>648</v>
      </c>
      <c r="B626" t="b">
        <v>1</v>
      </c>
      <c r="C626" t="b">
        <v>1</v>
      </c>
      <c r="D626" s="2" t="b">
        <v>0</v>
      </c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715</v>
      </c>
      <c r="S626"/>
      <c r="T626"/>
      <c r="U626"/>
    </row>
    <row r="627" spans="1:21">
      <c r="A627" s="2" t="s">
        <v>649</v>
      </c>
      <c r="B627" t="b">
        <v>1</v>
      </c>
      <c r="C627" t="b">
        <v>1</v>
      </c>
      <c r="D627" s="2" t="b">
        <v>0</v>
      </c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715</v>
      </c>
      <c r="S627"/>
      <c r="T627"/>
      <c r="U627"/>
    </row>
    <row r="628" spans="1:21">
      <c r="A628" s="2" t="s">
        <v>650</v>
      </c>
      <c r="B628" t="b">
        <v>1</v>
      </c>
      <c r="C628" t="b">
        <v>1</v>
      </c>
      <c r="D628" s="2" t="b">
        <v>0</v>
      </c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715</v>
      </c>
      <c r="S628"/>
      <c r="T628"/>
      <c r="U628"/>
    </row>
    <row r="629" spans="1:21">
      <c r="A629" s="2" t="s">
        <v>651</v>
      </c>
      <c r="B629" t="b">
        <v>1</v>
      </c>
      <c r="C629" t="b">
        <v>0</v>
      </c>
      <c r="D629" s="2" t="b">
        <v>0</v>
      </c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715</v>
      </c>
      <c r="S629"/>
      <c r="T629"/>
      <c r="U629"/>
    </row>
    <row r="630" spans="1:21">
      <c r="A630" s="2" t="s">
        <v>652</v>
      </c>
      <c r="B630" t="b">
        <v>1</v>
      </c>
      <c r="C630" t="b">
        <v>0</v>
      </c>
      <c r="D630" s="2" t="b">
        <v>0</v>
      </c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715</v>
      </c>
      <c r="S630"/>
      <c r="T630"/>
      <c r="U630"/>
    </row>
    <row r="631" spans="1:21">
      <c r="A631" s="2" t="s">
        <v>653</v>
      </c>
      <c r="B631" t="b">
        <v>1</v>
      </c>
      <c r="C631" t="b">
        <v>0</v>
      </c>
      <c r="D631" s="2" t="b">
        <v>0</v>
      </c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715</v>
      </c>
      <c r="S631"/>
      <c r="T631"/>
      <c r="U631"/>
    </row>
    <row r="632" spans="1:21">
      <c r="A632" s="2" t="s">
        <v>654</v>
      </c>
      <c r="B632" t="b">
        <v>1</v>
      </c>
      <c r="C632" t="b">
        <v>0</v>
      </c>
      <c r="D632" s="2" t="b">
        <v>0</v>
      </c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715</v>
      </c>
      <c r="S632"/>
      <c r="T632"/>
      <c r="U632"/>
    </row>
    <row r="633" spans="1:21">
      <c r="A633" s="2" t="s">
        <v>655</v>
      </c>
      <c r="B633" t="b">
        <v>1</v>
      </c>
      <c r="C633" t="b">
        <v>0</v>
      </c>
      <c r="D633" s="2" t="b">
        <v>0</v>
      </c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715</v>
      </c>
      <c r="S633"/>
      <c r="T633"/>
      <c r="U633"/>
    </row>
    <row r="634" spans="1:21">
      <c r="A634" s="2" t="s">
        <v>656</v>
      </c>
      <c r="B634" t="b">
        <v>1</v>
      </c>
      <c r="C634" t="b">
        <v>0</v>
      </c>
      <c r="D634" s="2" t="b">
        <v>0</v>
      </c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715</v>
      </c>
      <c r="S634"/>
      <c r="T634"/>
      <c r="U634"/>
    </row>
    <row r="635" spans="1:21">
      <c r="A635" s="2" t="s">
        <v>657</v>
      </c>
      <c r="B635" t="b">
        <v>1</v>
      </c>
      <c r="C635" t="b">
        <v>0</v>
      </c>
      <c r="D635" s="2" t="b">
        <v>0</v>
      </c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715</v>
      </c>
      <c r="S635"/>
      <c r="T635"/>
      <c r="U635"/>
    </row>
    <row r="636" spans="1:21">
      <c r="A636" s="2" t="s">
        <v>658</v>
      </c>
      <c r="B636" t="b">
        <v>1</v>
      </c>
      <c r="C636" t="b">
        <v>0</v>
      </c>
      <c r="D636" s="2" t="b">
        <v>0</v>
      </c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715</v>
      </c>
      <c r="S636"/>
      <c r="T636"/>
      <c r="U636"/>
    </row>
    <row r="637" spans="1:21">
      <c r="A637" s="2" t="s">
        <v>659</v>
      </c>
      <c r="B637" t="b">
        <v>1</v>
      </c>
      <c r="C637" t="b">
        <v>0</v>
      </c>
      <c r="D637" s="2" t="b">
        <v>0</v>
      </c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715</v>
      </c>
      <c r="S637"/>
      <c r="T637"/>
      <c r="U637"/>
    </row>
    <row r="638" spans="1:21">
      <c r="A638" s="2" t="s">
        <v>660</v>
      </c>
      <c r="B638" t="b">
        <v>1</v>
      </c>
      <c r="C638" t="b">
        <v>0</v>
      </c>
      <c r="D638" s="2" t="b">
        <v>0</v>
      </c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715</v>
      </c>
      <c r="S638"/>
      <c r="T638"/>
      <c r="U638"/>
    </row>
    <row r="639" spans="1:21">
      <c r="A639" s="2" t="s">
        <v>661</v>
      </c>
      <c r="B639" t="b">
        <v>1</v>
      </c>
      <c r="C639" t="b">
        <v>0</v>
      </c>
      <c r="D639" s="2" t="b">
        <v>0</v>
      </c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715</v>
      </c>
      <c r="S639"/>
      <c r="T639"/>
      <c r="U639"/>
    </row>
    <row r="640" spans="1:21">
      <c r="A640" s="2" t="s">
        <v>662</v>
      </c>
      <c r="B640" t="b">
        <v>1</v>
      </c>
      <c r="C640" t="b">
        <v>0</v>
      </c>
      <c r="D640" s="2" t="b">
        <v>0</v>
      </c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715</v>
      </c>
      <c r="S640"/>
      <c r="T640"/>
      <c r="U640"/>
    </row>
    <row r="641" spans="1:21">
      <c r="A641" s="2" t="s">
        <v>663</v>
      </c>
      <c r="B641" t="b">
        <v>1</v>
      </c>
      <c r="C641" t="b">
        <v>0</v>
      </c>
      <c r="D641" s="2" t="b">
        <v>0</v>
      </c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715</v>
      </c>
      <c r="S641"/>
      <c r="T641"/>
      <c r="U641"/>
    </row>
    <row r="642" spans="1:21">
      <c r="A642" s="2" t="s">
        <v>664</v>
      </c>
      <c r="B642" t="b">
        <v>1</v>
      </c>
      <c r="C642" t="b">
        <v>0</v>
      </c>
      <c r="D642" s="2" t="b">
        <v>0</v>
      </c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715</v>
      </c>
      <c r="S642"/>
      <c r="T642"/>
      <c r="U642"/>
    </row>
    <row r="643" spans="1:21">
      <c r="A643" s="2" t="s">
        <v>665</v>
      </c>
      <c r="B643" t="b">
        <v>1</v>
      </c>
      <c r="C643" t="b">
        <v>0</v>
      </c>
      <c r="D643" s="2" t="b">
        <v>0</v>
      </c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715</v>
      </c>
      <c r="S643"/>
      <c r="T643"/>
      <c r="U643"/>
    </row>
    <row r="644" spans="1:21">
      <c r="A644" s="2" t="s">
        <v>666</v>
      </c>
      <c r="B644" t="b">
        <v>1</v>
      </c>
      <c r="C644" t="b">
        <v>0</v>
      </c>
      <c r="D644" s="2" t="b">
        <v>0</v>
      </c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715</v>
      </c>
      <c r="S644"/>
      <c r="T644"/>
      <c r="U644"/>
    </row>
    <row r="645" spans="1:21">
      <c r="A645" s="2" t="s">
        <v>667</v>
      </c>
      <c r="B645" t="b">
        <v>1</v>
      </c>
      <c r="C645" t="b">
        <v>1</v>
      </c>
      <c r="D645" s="2" t="b">
        <v>0</v>
      </c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715</v>
      </c>
      <c r="S645"/>
      <c r="T645"/>
      <c r="U645"/>
    </row>
    <row r="646" spans="1:21">
      <c r="A646" s="2" t="s">
        <v>668</v>
      </c>
      <c r="B646" t="b">
        <v>1</v>
      </c>
      <c r="C646" t="b">
        <v>1</v>
      </c>
      <c r="D646" s="2" t="b">
        <v>0</v>
      </c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715</v>
      </c>
      <c r="S646"/>
      <c r="T646"/>
      <c r="U646"/>
    </row>
    <row r="647" spans="1:21">
      <c r="A647" s="2" t="s">
        <v>669</v>
      </c>
      <c r="B647" t="b">
        <v>1</v>
      </c>
      <c r="C647" t="b">
        <v>1</v>
      </c>
      <c r="D647" s="2" t="b">
        <v>0</v>
      </c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715</v>
      </c>
      <c r="S647"/>
      <c r="T647"/>
      <c r="U647"/>
    </row>
    <row r="648" spans="1:21">
      <c r="A648" s="2" t="s">
        <v>670</v>
      </c>
      <c r="B648" t="b">
        <v>1</v>
      </c>
      <c r="C648" t="b">
        <v>1</v>
      </c>
      <c r="D648" s="2" t="b">
        <v>0</v>
      </c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715</v>
      </c>
      <c r="S648"/>
      <c r="T648"/>
      <c r="U648"/>
    </row>
    <row r="649" spans="1:21">
      <c r="A649" s="2" t="s">
        <v>745</v>
      </c>
      <c r="B649" t="b">
        <v>1</v>
      </c>
      <c r="C649" t="b">
        <v>0</v>
      </c>
      <c r="D649" s="2" t="b">
        <v>0</v>
      </c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715</v>
      </c>
      <c r="S649"/>
      <c r="T649"/>
      <c r="U649"/>
    </row>
    <row r="650" spans="1:21">
      <c r="A650" s="2" t="s">
        <v>744</v>
      </c>
      <c r="B650" t="b">
        <v>1</v>
      </c>
      <c r="C650" t="b">
        <v>0</v>
      </c>
      <c r="D650" s="2" t="b">
        <v>0</v>
      </c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715</v>
      </c>
      <c r="S650"/>
      <c r="T650"/>
      <c r="U650"/>
    </row>
    <row r="651" spans="1:21">
      <c r="A651" s="2" t="s">
        <v>746</v>
      </c>
      <c r="B651" t="b">
        <v>1</v>
      </c>
      <c r="C651" t="b">
        <v>0</v>
      </c>
      <c r="D651" s="2" t="b">
        <v>0</v>
      </c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715</v>
      </c>
      <c r="S651"/>
      <c r="T651"/>
      <c r="U651"/>
    </row>
    <row r="652" spans="1:21">
      <c r="A652" s="2" t="s">
        <v>747</v>
      </c>
      <c r="B652" t="b">
        <v>1</v>
      </c>
      <c r="C652" t="b">
        <v>0</v>
      </c>
      <c r="D652" s="2" t="b">
        <v>0</v>
      </c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715</v>
      </c>
      <c r="S652"/>
      <c r="T652"/>
      <c r="U652"/>
    </row>
    <row r="653" spans="1:21">
      <c r="A653" s="2" t="s">
        <v>748</v>
      </c>
      <c r="B653" t="b">
        <v>1</v>
      </c>
      <c r="C653" t="b">
        <v>0</v>
      </c>
      <c r="D653" s="2" t="b">
        <v>0</v>
      </c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715</v>
      </c>
      <c r="S653"/>
      <c r="T653"/>
      <c r="U653"/>
    </row>
    <row r="654" spans="1:21">
      <c r="A654" s="2" t="s">
        <v>749</v>
      </c>
      <c r="B654" t="b">
        <v>1</v>
      </c>
      <c r="C654" t="b">
        <v>0</v>
      </c>
      <c r="D654" s="2" t="b">
        <v>0</v>
      </c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715</v>
      </c>
      <c r="S654"/>
      <c r="T654"/>
      <c r="U654"/>
    </row>
    <row r="655" spans="1:21">
      <c r="A655" s="2" t="s">
        <v>751</v>
      </c>
      <c r="B655" t="b">
        <v>1</v>
      </c>
      <c r="C655" t="b">
        <v>0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715</v>
      </c>
      <c r="S655"/>
      <c r="T655"/>
      <c r="U655"/>
    </row>
    <row r="656" spans="1:21">
      <c r="A656" s="2" t="s">
        <v>752</v>
      </c>
      <c r="B656" t="b">
        <v>1</v>
      </c>
      <c r="C656" t="b">
        <v>0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715</v>
      </c>
      <c r="S656"/>
      <c r="T656"/>
      <c r="U656"/>
    </row>
    <row r="657" spans="1:21">
      <c r="A657" s="2" t="s">
        <v>753</v>
      </c>
      <c r="B657" t="b">
        <v>1</v>
      </c>
      <c r="C657" t="b">
        <v>0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715</v>
      </c>
      <c r="S657"/>
      <c r="T657"/>
      <c r="U657"/>
    </row>
    <row r="658" spans="1:21">
      <c r="A658" s="2" t="s">
        <v>754</v>
      </c>
      <c r="B658" t="b">
        <v>1</v>
      </c>
      <c r="C658" t="b">
        <v>0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715</v>
      </c>
      <c r="S658"/>
      <c r="T658"/>
      <c r="U658"/>
    </row>
    <row r="659" spans="1:21">
      <c r="A659" s="2" t="s">
        <v>826</v>
      </c>
      <c r="B659" t="b">
        <v>1</v>
      </c>
      <c r="C659" t="b">
        <v>0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715</v>
      </c>
      <c r="S659"/>
      <c r="T659"/>
      <c r="U659"/>
    </row>
    <row r="660" spans="1:21">
      <c r="A660" s="2" t="s">
        <v>827</v>
      </c>
      <c r="B660" t="b">
        <v>1</v>
      </c>
      <c r="C660" t="b">
        <v>0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715</v>
      </c>
      <c r="S660"/>
      <c r="T660"/>
      <c r="U660"/>
    </row>
    <row r="661" spans="1:21">
      <c r="A661" s="2" t="s">
        <v>828</v>
      </c>
      <c r="B661" t="b">
        <v>1</v>
      </c>
      <c r="C661" t="b">
        <v>0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715</v>
      </c>
      <c r="S661"/>
      <c r="T661"/>
      <c r="U661"/>
    </row>
    <row r="662" spans="1:21">
      <c r="A662" s="2" t="s">
        <v>829</v>
      </c>
      <c r="B662" t="b">
        <v>1</v>
      </c>
      <c r="C662" t="b">
        <v>0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715</v>
      </c>
      <c r="S662"/>
      <c r="T662"/>
      <c r="U662"/>
    </row>
    <row r="663" spans="1:21">
      <c r="A663" s="2" t="s">
        <v>830</v>
      </c>
      <c r="B663" t="b">
        <v>1</v>
      </c>
      <c r="C663" t="b">
        <v>0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715</v>
      </c>
      <c r="S663"/>
      <c r="T663"/>
      <c r="U663"/>
    </row>
    <row r="664" spans="1:21">
      <c r="A664" s="2" t="s">
        <v>831</v>
      </c>
      <c r="B664" t="b">
        <v>1</v>
      </c>
      <c r="C664" t="b">
        <v>0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715</v>
      </c>
      <c r="S664"/>
      <c r="T664"/>
      <c r="U664"/>
    </row>
    <row r="665" spans="1:21">
      <c r="A665" s="2" t="s">
        <v>832</v>
      </c>
      <c r="B665" t="b">
        <v>1</v>
      </c>
      <c r="C665" t="b">
        <v>0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715</v>
      </c>
      <c r="S665"/>
      <c r="T665"/>
      <c r="U665"/>
    </row>
    <row r="666" spans="1:21">
      <c r="A666" s="2" t="s">
        <v>833</v>
      </c>
      <c r="B666" t="b">
        <v>1</v>
      </c>
      <c r="C666" t="b">
        <v>0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715</v>
      </c>
      <c r="S666"/>
      <c r="T666"/>
      <c r="U666"/>
    </row>
    <row r="667" spans="1:21">
      <c r="A667" s="2" t="s">
        <v>834</v>
      </c>
      <c r="B667" t="b">
        <v>1</v>
      </c>
      <c r="C667" t="b">
        <v>0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715</v>
      </c>
      <c r="S667"/>
      <c r="T667"/>
      <c r="U667"/>
    </row>
    <row r="668" spans="1:21">
      <c r="A668" s="2" t="s">
        <v>835</v>
      </c>
      <c r="B668" t="b">
        <v>1</v>
      </c>
      <c r="C668" t="b">
        <v>0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715</v>
      </c>
      <c r="S668"/>
      <c r="T668"/>
      <c r="U668"/>
    </row>
    <row r="669" spans="1:21">
      <c r="A669" s="2" t="s">
        <v>836</v>
      </c>
      <c r="B669" t="b">
        <v>1</v>
      </c>
      <c r="C669" t="b">
        <v>0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715</v>
      </c>
      <c r="S669"/>
      <c r="T669"/>
      <c r="U669"/>
    </row>
    <row r="670" spans="1:21">
      <c r="A670" s="2" t="s">
        <v>837</v>
      </c>
      <c r="B670" t="b">
        <v>1</v>
      </c>
      <c r="C670" t="b">
        <v>0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715</v>
      </c>
      <c r="S670"/>
      <c r="T670"/>
      <c r="U670"/>
    </row>
    <row r="671" spans="1:21">
      <c r="A671" s="2" t="s">
        <v>838</v>
      </c>
      <c r="B671" t="b">
        <v>1</v>
      </c>
      <c r="C671" t="b">
        <v>0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715</v>
      </c>
      <c r="S671"/>
      <c r="T671"/>
      <c r="U671"/>
    </row>
    <row r="672" spans="1:21">
      <c r="A672" s="2" t="s">
        <v>839</v>
      </c>
      <c r="B672" t="b">
        <v>1</v>
      </c>
      <c r="C672" t="b">
        <v>0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715</v>
      </c>
      <c r="S672"/>
      <c r="T672"/>
      <c r="U672"/>
    </row>
    <row r="673" spans="1:21">
      <c r="A673" s="2" t="s">
        <v>840</v>
      </c>
      <c r="B673" t="b">
        <v>1</v>
      </c>
      <c r="C673" t="b">
        <v>0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715</v>
      </c>
      <c r="S673"/>
      <c r="T673"/>
      <c r="U673"/>
    </row>
    <row r="674" spans="1:21">
      <c r="A674" s="2" t="s">
        <v>841</v>
      </c>
      <c r="B674" t="b">
        <v>1</v>
      </c>
      <c r="C674" t="b">
        <v>0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715</v>
      </c>
      <c r="S674"/>
      <c r="T674"/>
      <c r="U674"/>
    </row>
    <row r="675" spans="1:21">
      <c r="A675" s="2" t="s">
        <v>842</v>
      </c>
      <c r="B675" t="b">
        <v>1</v>
      </c>
      <c r="C675" t="b">
        <v>0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715</v>
      </c>
      <c r="S675"/>
      <c r="T675"/>
      <c r="U675"/>
    </row>
    <row r="676" spans="1:21">
      <c r="A676" s="2" t="s">
        <v>843</v>
      </c>
      <c r="B676" t="b">
        <v>1</v>
      </c>
      <c r="C676" t="b">
        <v>0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715</v>
      </c>
      <c r="S676"/>
      <c r="T676"/>
      <c r="U676"/>
    </row>
    <row r="677" spans="1:21">
      <c r="A677" s="2" t="s">
        <v>844</v>
      </c>
      <c r="B677" t="b">
        <v>1</v>
      </c>
      <c r="C677" t="b">
        <v>0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715</v>
      </c>
      <c r="S677"/>
      <c r="T677"/>
      <c r="U677"/>
    </row>
    <row r="678" spans="1:21">
      <c r="A678" s="2" t="s">
        <v>845</v>
      </c>
      <c r="B678" t="b">
        <v>1</v>
      </c>
      <c r="C678" t="b">
        <v>0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715</v>
      </c>
      <c r="S678"/>
      <c r="T678"/>
      <c r="U678"/>
    </row>
    <row r="679" spans="1:21">
      <c r="A679" s="2" t="s">
        <v>846</v>
      </c>
      <c r="B679" t="b">
        <v>1</v>
      </c>
      <c r="C679" t="b">
        <v>0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715</v>
      </c>
      <c r="S679"/>
      <c r="T679"/>
      <c r="U679"/>
    </row>
    <row r="680" spans="1:21">
      <c r="A680" s="2" t="s">
        <v>847</v>
      </c>
      <c r="B680" t="b">
        <v>1</v>
      </c>
      <c r="C680" t="b">
        <v>0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715</v>
      </c>
      <c r="S680"/>
      <c r="T680"/>
      <c r="U680"/>
    </row>
    <row r="681" spans="1:21">
      <c r="A681" s="2" t="s">
        <v>848</v>
      </c>
      <c r="B681" t="b">
        <v>1</v>
      </c>
      <c r="C681" t="b">
        <v>0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715</v>
      </c>
      <c r="S681"/>
      <c r="T681"/>
      <c r="U681"/>
    </row>
    <row r="682" spans="1:21">
      <c r="A682" s="2" t="s">
        <v>849</v>
      </c>
      <c r="B682" t="b">
        <v>1</v>
      </c>
      <c r="C682" t="b">
        <v>0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715</v>
      </c>
      <c r="S682"/>
      <c r="T682"/>
      <c r="U682"/>
    </row>
    <row r="683" spans="1:21">
      <c r="A683" s="2" t="s">
        <v>850</v>
      </c>
      <c r="B683" t="b">
        <v>1</v>
      </c>
      <c r="C683" t="b">
        <v>0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715</v>
      </c>
      <c r="S683"/>
      <c r="T683"/>
      <c r="U683"/>
    </row>
    <row r="684" spans="1:21">
      <c r="A684" s="2" t="s">
        <v>851</v>
      </c>
      <c r="B684" t="b">
        <v>1</v>
      </c>
      <c r="C684" t="b">
        <v>0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715</v>
      </c>
      <c r="S684"/>
      <c r="T684"/>
      <c r="U684"/>
    </row>
    <row r="685" spans="1:21">
      <c r="A685" s="2" t="s">
        <v>852</v>
      </c>
      <c r="B685" t="b">
        <v>1</v>
      </c>
      <c r="C685" t="b">
        <v>0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715</v>
      </c>
      <c r="S685"/>
      <c r="T685"/>
      <c r="U685"/>
    </row>
    <row r="686" spans="1:21">
      <c r="A686" s="2" t="s">
        <v>853</v>
      </c>
      <c r="B686" t="b">
        <v>1</v>
      </c>
      <c r="C686" t="b">
        <v>0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715</v>
      </c>
      <c r="S686"/>
      <c r="T686"/>
      <c r="U686"/>
    </row>
    <row r="687" spans="1:21">
      <c r="A687" s="2" t="s">
        <v>854</v>
      </c>
      <c r="B687" t="b">
        <v>1</v>
      </c>
      <c r="C687" t="b">
        <v>0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715</v>
      </c>
      <c r="S687"/>
      <c r="T687"/>
      <c r="U687"/>
    </row>
    <row r="688" spans="1:21">
      <c r="A688" s="2" t="s">
        <v>855</v>
      </c>
      <c r="B688" t="b">
        <v>1</v>
      </c>
      <c r="C688" t="b">
        <v>0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715</v>
      </c>
      <c r="S688"/>
      <c r="T688"/>
      <c r="U688"/>
    </row>
    <row r="689" spans="1:21">
      <c r="A689" s="2" t="s">
        <v>856</v>
      </c>
      <c r="B689" t="b">
        <v>1</v>
      </c>
      <c r="C689" t="b">
        <v>0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715</v>
      </c>
      <c r="S689"/>
      <c r="T689"/>
      <c r="U689"/>
    </row>
    <row r="690" spans="1:21">
      <c r="A690" s="2" t="s">
        <v>857</v>
      </c>
      <c r="B690" t="b">
        <v>1</v>
      </c>
      <c r="C690" t="b">
        <v>0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715</v>
      </c>
      <c r="S690"/>
      <c r="T690"/>
      <c r="U690"/>
    </row>
    <row r="691" spans="1:21">
      <c r="A691" s="2" t="s">
        <v>858</v>
      </c>
      <c r="B691" t="b">
        <v>1</v>
      </c>
      <c r="C691" t="b">
        <v>0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715</v>
      </c>
      <c r="S691"/>
      <c r="T691"/>
      <c r="U691"/>
    </row>
    <row r="692" spans="1:21">
      <c r="A692" s="2" t="s">
        <v>859</v>
      </c>
      <c r="B692" t="b">
        <v>1</v>
      </c>
      <c r="C692" t="b">
        <v>0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715</v>
      </c>
      <c r="S692"/>
      <c r="T692"/>
      <c r="U692"/>
    </row>
    <row r="693" spans="1:21">
      <c r="A693" s="2" t="s">
        <v>860</v>
      </c>
      <c r="B693" t="b">
        <v>1</v>
      </c>
      <c r="C693" t="b">
        <v>0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715</v>
      </c>
      <c r="S693"/>
      <c r="T693"/>
      <c r="U693"/>
    </row>
    <row r="694" spans="1:21">
      <c r="A694" s="2" t="s">
        <v>861</v>
      </c>
      <c r="B694" t="b">
        <v>1</v>
      </c>
      <c r="C694" t="b">
        <v>0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715</v>
      </c>
      <c r="S694"/>
      <c r="T694"/>
      <c r="U694"/>
    </row>
    <row r="695" spans="1:21">
      <c r="A695" s="2" t="s">
        <v>862</v>
      </c>
      <c r="B695" t="b">
        <v>1</v>
      </c>
      <c r="C695" t="b">
        <v>0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715</v>
      </c>
      <c r="S695"/>
      <c r="T695"/>
      <c r="U695"/>
    </row>
    <row r="696" spans="1:21">
      <c r="A696" s="2" t="s">
        <v>863</v>
      </c>
      <c r="B696" t="b">
        <v>1</v>
      </c>
      <c r="C696" t="b">
        <v>0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715</v>
      </c>
      <c r="S696"/>
      <c r="T696"/>
      <c r="U696"/>
    </row>
    <row r="697" spans="1:21">
      <c r="A697" s="2" t="s">
        <v>864</v>
      </c>
      <c r="B697" t="b">
        <v>1</v>
      </c>
      <c r="C697" t="b">
        <v>0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715</v>
      </c>
      <c r="S697"/>
      <c r="T697"/>
      <c r="U697"/>
    </row>
    <row r="698" spans="1:21">
      <c r="A698" s="2" t="s">
        <v>865</v>
      </c>
      <c r="B698" t="b">
        <v>1</v>
      </c>
      <c r="C698" t="b">
        <v>0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715</v>
      </c>
      <c r="S698"/>
      <c r="T698"/>
      <c r="U698"/>
    </row>
    <row r="699" spans="1:21">
      <c r="A699" s="2" t="s">
        <v>866</v>
      </c>
      <c r="B699" t="b">
        <v>1</v>
      </c>
      <c r="C699" t="b">
        <v>0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715</v>
      </c>
      <c r="S699"/>
      <c r="T699"/>
      <c r="U699"/>
    </row>
    <row r="700" spans="1:21">
      <c r="A700" s="2" t="s">
        <v>867</v>
      </c>
      <c r="B700" t="b">
        <v>1</v>
      </c>
      <c r="C700" t="b">
        <v>0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715</v>
      </c>
      <c r="S700"/>
      <c r="T700"/>
      <c r="U700"/>
    </row>
    <row r="701" spans="1:21">
      <c r="A701" s="2" t="s">
        <v>868</v>
      </c>
      <c r="B701" t="b">
        <v>1</v>
      </c>
      <c r="C701" t="b">
        <v>0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715</v>
      </c>
      <c r="S701"/>
      <c r="T701"/>
      <c r="U701"/>
    </row>
    <row r="702" spans="1:21">
      <c r="A702" s="2" t="s">
        <v>869</v>
      </c>
      <c r="B702" t="b">
        <v>1</v>
      </c>
      <c r="C702" t="b">
        <v>0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715</v>
      </c>
      <c r="S702"/>
      <c r="T702"/>
      <c r="U702"/>
    </row>
    <row r="703" spans="1:21">
      <c r="A703" s="2" t="s">
        <v>870</v>
      </c>
      <c r="B703" t="b">
        <v>1</v>
      </c>
      <c r="C703" t="b">
        <v>0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715</v>
      </c>
      <c r="S703"/>
      <c r="T703"/>
      <c r="U703"/>
    </row>
    <row r="704" spans="1:21">
      <c r="A704" s="2" t="s">
        <v>871</v>
      </c>
      <c r="B704" t="b">
        <v>1</v>
      </c>
      <c r="C704" t="b">
        <v>0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715</v>
      </c>
      <c r="S704"/>
      <c r="T704"/>
      <c r="U704"/>
    </row>
    <row r="705" spans="1:21">
      <c r="A705" s="2" t="s">
        <v>872</v>
      </c>
      <c r="B705" t="b">
        <v>1</v>
      </c>
      <c r="C705" t="b">
        <v>0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715</v>
      </c>
      <c r="S705"/>
      <c r="T705"/>
      <c r="U705"/>
    </row>
    <row r="706" spans="1:21">
      <c r="A706" s="2" t="s">
        <v>873</v>
      </c>
      <c r="B706" t="b">
        <v>1</v>
      </c>
      <c r="C706" t="b">
        <v>0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715</v>
      </c>
      <c r="S706"/>
      <c r="T706"/>
      <c r="U706"/>
    </row>
    <row r="707" spans="1:21">
      <c r="A707" s="2" t="s">
        <v>874</v>
      </c>
      <c r="B707" t="b">
        <v>1</v>
      </c>
      <c r="C707" t="b">
        <v>0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715</v>
      </c>
      <c r="S707"/>
      <c r="T707"/>
      <c r="U707"/>
    </row>
    <row r="708" spans="1:21">
      <c r="A708" s="2" t="s">
        <v>875</v>
      </c>
      <c r="B708" t="b">
        <v>1</v>
      </c>
      <c r="C708" t="b">
        <v>0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715</v>
      </c>
      <c r="S708"/>
      <c r="T708"/>
      <c r="U708"/>
    </row>
    <row r="709" spans="1:21">
      <c r="A709" s="2" t="s">
        <v>876</v>
      </c>
      <c r="B709" t="b">
        <v>1</v>
      </c>
      <c r="C709" t="b">
        <v>0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715</v>
      </c>
      <c r="S709"/>
      <c r="T709"/>
      <c r="U709"/>
    </row>
    <row r="710" spans="1:21">
      <c r="A710" s="2" t="s">
        <v>877</v>
      </c>
      <c r="B710" t="b">
        <v>1</v>
      </c>
      <c r="C710" t="b">
        <v>0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715</v>
      </c>
      <c r="S710"/>
      <c r="T710"/>
      <c r="U710"/>
    </row>
    <row r="711" spans="1:21">
      <c r="A711" s="2" t="s">
        <v>878</v>
      </c>
      <c r="B711" t="b">
        <v>1</v>
      </c>
      <c r="C711" t="b">
        <v>0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715</v>
      </c>
      <c r="S711"/>
      <c r="T711"/>
      <c r="U711"/>
    </row>
    <row r="712" spans="1:21">
      <c r="A712" s="2" t="s">
        <v>879</v>
      </c>
      <c r="B712" t="b">
        <v>1</v>
      </c>
      <c r="C712" t="b">
        <v>0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715</v>
      </c>
      <c r="S712"/>
      <c r="T712"/>
      <c r="U712"/>
    </row>
    <row r="713" spans="1:21">
      <c r="A713" s="2" t="s">
        <v>880</v>
      </c>
      <c r="B713" t="b">
        <v>1</v>
      </c>
      <c r="C713" t="b">
        <v>0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715</v>
      </c>
      <c r="S713"/>
      <c r="T713"/>
      <c r="U713"/>
    </row>
    <row r="714" spans="1:21">
      <c r="A714" s="2" t="s">
        <v>881</v>
      </c>
      <c r="B714" t="b">
        <v>1</v>
      </c>
      <c r="C714" t="b">
        <v>0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715</v>
      </c>
      <c r="S714"/>
      <c r="T714"/>
      <c r="U714"/>
    </row>
    <row r="715" spans="1:21">
      <c r="A715" s="2" t="s">
        <v>882</v>
      </c>
      <c r="B715" t="b">
        <v>1</v>
      </c>
      <c r="C715" t="b">
        <v>0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715</v>
      </c>
      <c r="S715"/>
      <c r="T715"/>
      <c r="U715"/>
    </row>
    <row r="716" spans="1:21">
      <c r="A716" s="2" t="s">
        <v>883</v>
      </c>
      <c r="B716" t="b">
        <v>1</v>
      </c>
      <c r="C716" t="b">
        <v>0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715</v>
      </c>
      <c r="S716"/>
      <c r="T716"/>
      <c r="U716"/>
    </row>
    <row r="717" spans="1:21">
      <c r="A717" s="2" t="s">
        <v>898</v>
      </c>
      <c r="B717" t="b">
        <v>1</v>
      </c>
      <c r="C717" t="b">
        <v>0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715</v>
      </c>
      <c r="S717"/>
      <c r="T717"/>
      <c r="U717"/>
    </row>
    <row r="718" spans="1:21">
      <c r="A718" s="2" t="s">
        <v>899</v>
      </c>
      <c r="B718" t="b">
        <v>1</v>
      </c>
      <c r="C718" t="b">
        <v>0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715</v>
      </c>
      <c r="S718"/>
      <c r="T718"/>
      <c r="U718"/>
    </row>
    <row r="719" spans="1:21">
      <c r="A719" s="2" t="s">
        <v>755</v>
      </c>
      <c r="B719" t="b">
        <v>1</v>
      </c>
      <c r="C719" t="b">
        <v>0</v>
      </c>
      <c r="D719" s="2" t="b">
        <v>0</v>
      </c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715</v>
      </c>
      <c r="S719"/>
      <c r="T719"/>
      <c r="U719"/>
    </row>
    <row r="720" spans="1:21">
      <c r="A720" s="2" t="s">
        <v>756</v>
      </c>
      <c r="B720" t="b">
        <v>1</v>
      </c>
      <c r="C720" t="b">
        <v>0</v>
      </c>
      <c r="D720" s="2" t="b">
        <v>0</v>
      </c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715</v>
      </c>
      <c r="S720"/>
      <c r="T720"/>
      <c r="U720"/>
    </row>
    <row r="721" spans="1:21">
      <c r="A721" s="2" t="s">
        <v>757</v>
      </c>
      <c r="B721" t="b">
        <v>1</v>
      </c>
      <c r="C721" t="b">
        <v>0</v>
      </c>
      <c r="D721" s="2" t="b">
        <v>0</v>
      </c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715</v>
      </c>
      <c r="S721"/>
      <c r="T721"/>
      <c r="U721"/>
    </row>
    <row r="722" spans="1:21">
      <c r="A722" s="2" t="s">
        <v>758</v>
      </c>
      <c r="B722" t="b">
        <v>1</v>
      </c>
      <c r="C722" t="b">
        <v>0</v>
      </c>
      <c r="D722" s="2" t="b">
        <v>0</v>
      </c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715</v>
      </c>
      <c r="S722"/>
      <c r="T722"/>
      <c r="U722"/>
    </row>
    <row r="723" spans="1:21">
      <c r="A723" s="2" t="s">
        <v>759</v>
      </c>
      <c r="B723" t="b">
        <v>1</v>
      </c>
      <c r="C723" t="b">
        <v>0</v>
      </c>
      <c r="D723" s="2" t="b">
        <v>0</v>
      </c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715</v>
      </c>
      <c r="S723"/>
      <c r="T723"/>
      <c r="U723"/>
    </row>
    <row r="724" spans="1:21">
      <c r="A724" s="2" t="s">
        <v>760</v>
      </c>
      <c r="B724" t="b">
        <v>1</v>
      </c>
      <c r="C724" t="b">
        <v>0</v>
      </c>
      <c r="D724" s="2" t="b">
        <v>0</v>
      </c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715</v>
      </c>
      <c r="S724"/>
      <c r="T724"/>
      <c r="U724"/>
    </row>
    <row r="725" spans="1:21">
      <c r="A725" s="2" t="s">
        <v>761</v>
      </c>
      <c r="B725" t="b">
        <v>1</v>
      </c>
      <c r="C725" t="b">
        <v>0</v>
      </c>
      <c r="D725" s="2" t="b">
        <v>0</v>
      </c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715</v>
      </c>
      <c r="S725"/>
      <c r="T725"/>
      <c r="U725"/>
    </row>
    <row r="726" spans="1:21">
      <c r="A726" s="2" t="s">
        <v>762</v>
      </c>
      <c r="B726" t="b">
        <v>1</v>
      </c>
      <c r="C726" t="b">
        <v>0</v>
      </c>
      <c r="D726" s="2" t="b">
        <v>0</v>
      </c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715</v>
      </c>
      <c r="S726"/>
      <c r="T726"/>
      <c r="U726"/>
    </row>
    <row r="727" spans="1:21">
      <c r="A727" s="2" t="s">
        <v>763</v>
      </c>
      <c r="B727" t="b">
        <v>1</v>
      </c>
      <c r="C727" t="b">
        <v>0</v>
      </c>
      <c r="D727" s="2" t="b">
        <v>0</v>
      </c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715</v>
      </c>
      <c r="S727"/>
      <c r="T727"/>
      <c r="U727"/>
    </row>
    <row r="728" spans="1:21">
      <c r="A728" s="2" t="s">
        <v>764</v>
      </c>
      <c r="B728" t="b">
        <v>1</v>
      </c>
      <c r="C728" t="b">
        <v>0</v>
      </c>
      <c r="D728" s="2" t="b">
        <v>0</v>
      </c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715</v>
      </c>
      <c r="S728"/>
      <c r="T728"/>
      <c r="U728"/>
    </row>
    <row r="729" spans="1:21">
      <c r="A729" s="2" t="s">
        <v>765</v>
      </c>
      <c r="B729" t="b">
        <v>1</v>
      </c>
      <c r="C729" t="b">
        <v>0</v>
      </c>
      <c r="D729" s="2" t="b">
        <v>0</v>
      </c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715</v>
      </c>
      <c r="S729"/>
      <c r="T729"/>
      <c r="U729"/>
    </row>
    <row r="730" spans="1:21">
      <c r="A730" s="2" t="s">
        <v>766</v>
      </c>
      <c r="B730" t="b">
        <v>1</v>
      </c>
      <c r="C730" t="b">
        <v>0</v>
      </c>
      <c r="D730" s="2" t="b">
        <v>0</v>
      </c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715</v>
      </c>
      <c r="S730"/>
      <c r="T730"/>
      <c r="U730"/>
    </row>
    <row r="731" spans="1:21">
      <c r="A731" s="2" t="s">
        <v>767</v>
      </c>
      <c r="B731" t="b">
        <v>1</v>
      </c>
      <c r="C731" t="b">
        <v>0</v>
      </c>
      <c r="D731" s="2" t="b">
        <v>0</v>
      </c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715</v>
      </c>
      <c r="S731"/>
      <c r="T731"/>
      <c r="U731"/>
    </row>
    <row r="732" spans="1:21">
      <c r="A732" s="2" t="s">
        <v>768</v>
      </c>
      <c r="B732" t="b">
        <v>1</v>
      </c>
      <c r="C732" t="b">
        <v>0</v>
      </c>
      <c r="D732" s="2" t="b">
        <v>0</v>
      </c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715</v>
      </c>
      <c r="S732"/>
      <c r="T732"/>
      <c r="U732"/>
    </row>
    <row r="733" spans="1:21">
      <c r="A733" s="2" t="s">
        <v>769</v>
      </c>
      <c r="B733" t="b">
        <v>1</v>
      </c>
      <c r="C733" t="b">
        <v>0</v>
      </c>
      <c r="D733" s="2" t="b">
        <v>0</v>
      </c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715</v>
      </c>
      <c r="S733"/>
      <c r="T733"/>
      <c r="U733"/>
    </row>
    <row r="734" spans="1:21">
      <c r="A734" s="2" t="s">
        <v>770</v>
      </c>
      <c r="B734" t="b">
        <v>1</v>
      </c>
      <c r="C734" t="b">
        <v>0</v>
      </c>
      <c r="D734" s="2" t="b">
        <v>0</v>
      </c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715</v>
      </c>
      <c r="S734"/>
      <c r="T734"/>
      <c r="U734"/>
    </row>
    <row r="735" spans="1:21">
      <c r="A735" s="2" t="s">
        <v>771</v>
      </c>
      <c r="B735" t="b">
        <v>1</v>
      </c>
      <c r="C735" t="b">
        <v>0</v>
      </c>
      <c r="D735" s="2" t="b">
        <v>0</v>
      </c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715</v>
      </c>
      <c r="S735"/>
      <c r="T735"/>
      <c r="U735"/>
    </row>
    <row r="736" spans="1:21">
      <c r="A736" s="2" t="s">
        <v>772</v>
      </c>
      <c r="B736" t="b">
        <v>1</v>
      </c>
      <c r="C736" t="b">
        <v>0</v>
      </c>
      <c r="D736" s="2" t="b">
        <v>0</v>
      </c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715</v>
      </c>
      <c r="S736"/>
      <c r="T736"/>
      <c r="U736"/>
    </row>
    <row r="737" spans="1:21">
      <c r="A737" s="2" t="s">
        <v>773</v>
      </c>
      <c r="B737" t="b">
        <v>1</v>
      </c>
      <c r="C737" t="b">
        <v>0</v>
      </c>
      <c r="D737" s="2" t="b">
        <v>0</v>
      </c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715</v>
      </c>
      <c r="S737"/>
      <c r="T737"/>
      <c r="U737"/>
    </row>
    <row r="738" spans="1:21">
      <c r="A738" s="2" t="s">
        <v>774</v>
      </c>
      <c r="B738" t="b">
        <v>1</v>
      </c>
      <c r="C738" t="b">
        <v>0</v>
      </c>
      <c r="D738" s="2" t="b">
        <v>0</v>
      </c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715</v>
      </c>
      <c r="S738"/>
      <c r="T738"/>
      <c r="U738"/>
    </row>
    <row r="739" spans="1:21">
      <c r="A739" s="2" t="s">
        <v>775</v>
      </c>
      <c r="B739" t="b">
        <v>1</v>
      </c>
      <c r="C739" t="b">
        <v>0</v>
      </c>
      <c r="D739" s="2" t="b">
        <v>0</v>
      </c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715</v>
      </c>
      <c r="S739"/>
      <c r="T739"/>
      <c r="U739"/>
    </row>
    <row r="740" spans="1:21">
      <c r="A740" s="2" t="s">
        <v>776</v>
      </c>
      <c r="B740" t="b">
        <v>1</v>
      </c>
      <c r="C740" t="b">
        <v>0</v>
      </c>
      <c r="D740" s="2" t="b">
        <v>0</v>
      </c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715</v>
      </c>
      <c r="S740"/>
      <c r="T740"/>
      <c r="U740"/>
    </row>
    <row r="741" spans="1:21">
      <c r="A741" s="2" t="s">
        <v>777</v>
      </c>
      <c r="B741" t="b">
        <v>1</v>
      </c>
      <c r="C741" t="b">
        <v>0</v>
      </c>
      <c r="D741" s="2" t="b">
        <v>0</v>
      </c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715</v>
      </c>
      <c r="S741"/>
      <c r="T741"/>
      <c r="U741"/>
    </row>
    <row r="742" spans="1:21">
      <c r="A742" s="2" t="s">
        <v>778</v>
      </c>
      <c r="B742" t="b">
        <v>1</v>
      </c>
      <c r="C742" t="b">
        <v>0</v>
      </c>
      <c r="D742" s="2" t="b">
        <v>0</v>
      </c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715</v>
      </c>
      <c r="S742"/>
      <c r="T742"/>
      <c r="U742"/>
    </row>
    <row r="743" spans="1:21">
      <c r="A743" s="2" t="s">
        <v>779</v>
      </c>
      <c r="B743" t="b">
        <v>1</v>
      </c>
      <c r="C743" t="b">
        <v>0</v>
      </c>
      <c r="D743" s="2" t="b">
        <v>0</v>
      </c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715</v>
      </c>
      <c r="S743"/>
      <c r="T743"/>
      <c r="U743"/>
    </row>
    <row r="744" spans="1:21">
      <c r="A744" s="2" t="s">
        <v>780</v>
      </c>
      <c r="B744" t="b">
        <v>1</v>
      </c>
      <c r="C744" t="b">
        <v>0</v>
      </c>
      <c r="D744" s="2" t="b">
        <v>0</v>
      </c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715</v>
      </c>
      <c r="S744"/>
      <c r="T744"/>
      <c r="U744"/>
    </row>
    <row r="745" spans="1:21">
      <c r="A745" s="2" t="s">
        <v>781</v>
      </c>
      <c r="B745" t="b">
        <v>1</v>
      </c>
      <c r="C745" t="b">
        <v>0</v>
      </c>
      <c r="D745" s="2" t="b">
        <v>0</v>
      </c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715</v>
      </c>
      <c r="S745"/>
      <c r="T745"/>
      <c r="U745"/>
    </row>
    <row r="746" spans="1:21">
      <c r="A746" s="2" t="s">
        <v>782</v>
      </c>
      <c r="B746" t="b">
        <v>1</v>
      </c>
      <c r="C746" t="b">
        <v>0</v>
      </c>
      <c r="D746" s="2" t="b">
        <v>0</v>
      </c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715</v>
      </c>
      <c r="S746"/>
      <c r="T746"/>
      <c r="U746"/>
    </row>
    <row r="747" spans="1:21">
      <c r="A747" s="2" t="s">
        <v>783</v>
      </c>
      <c r="B747" t="b">
        <v>1</v>
      </c>
      <c r="C747" t="b">
        <v>0</v>
      </c>
      <c r="D747" s="2" t="b">
        <v>0</v>
      </c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715</v>
      </c>
      <c r="S747"/>
      <c r="T747"/>
      <c r="U747"/>
    </row>
    <row r="748" spans="1:21">
      <c r="A748" s="2" t="s">
        <v>784</v>
      </c>
      <c r="B748" t="b">
        <v>1</v>
      </c>
      <c r="C748" t="b">
        <v>0</v>
      </c>
      <c r="D748" s="2" t="b">
        <v>0</v>
      </c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715</v>
      </c>
      <c r="S748"/>
      <c r="T748"/>
      <c r="U748"/>
    </row>
    <row r="749" spans="1:21">
      <c r="A749" s="2" t="s">
        <v>785</v>
      </c>
      <c r="B749" t="b">
        <v>1</v>
      </c>
      <c r="C749" t="b">
        <v>0</v>
      </c>
      <c r="D749" s="2" t="b">
        <v>0</v>
      </c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715</v>
      </c>
      <c r="S749"/>
      <c r="T749"/>
      <c r="U749"/>
    </row>
    <row r="750" spans="1:21">
      <c r="A750" s="2" t="s">
        <v>786</v>
      </c>
      <c r="B750" t="b">
        <v>1</v>
      </c>
      <c r="C750" t="b">
        <v>0</v>
      </c>
      <c r="D750" s="2" t="b">
        <v>0</v>
      </c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715</v>
      </c>
      <c r="S750"/>
      <c r="T750"/>
      <c r="U750"/>
    </row>
    <row r="751" spans="1:21">
      <c r="A751" s="2" t="s">
        <v>787</v>
      </c>
      <c r="B751" t="b">
        <v>1</v>
      </c>
      <c r="C751" t="b">
        <v>0</v>
      </c>
      <c r="D751" s="2" t="b">
        <v>0</v>
      </c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715</v>
      </c>
      <c r="S751"/>
      <c r="T751"/>
      <c r="U751"/>
    </row>
    <row r="752" spans="1:21">
      <c r="A752" s="2" t="s">
        <v>788</v>
      </c>
      <c r="B752" t="b">
        <v>1</v>
      </c>
      <c r="C752" t="b">
        <v>0</v>
      </c>
      <c r="D752" s="2" t="b">
        <v>0</v>
      </c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715</v>
      </c>
      <c r="S752"/>
      <c r="T752"/>
      <c r="U752"/>
    </row>
    <row r="753" spans="1:21">
      <c r="A753" s="2" t="s">
        <v>789</v>
      </c>
      <c r="B753" t="b">
        <v>1</v>
      </c>
      <c r="C753" t="b">
        <v>0</v>
      </c>
      <c r="D753" s="2" t="b">
        <v>0</v>
      </c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715</v>
      </c>
      <c r="S753"/>
      <c r="T753"/>
      <c r="U753"/>
    </row>
    <row r="754" spans="1:21">
      <c r="A754" s="2" t="s">
        <v>790</v>
      </c>
      <c r="B754" t="b">
        <v>1</v>
      </c>
      <c r="C754" t="b">
        <v>0</v>
      </c>
      <c r="D754" s="2" t="b">
        <v>0</v>
      </c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715</v>
      </c>
      <c r="S754"/>
      <c r="T754"/>
      <c r="U754"/>
    </row>
    <row r="755" spans="1:21">
      <c r="A755" s="2" t="s">
        <v>791</v>
      </c>
      <c r="B755" t="b">
        <v>1</v>
      </c>
      <c r="C755" t="b">
        <v>0</v>
      </c>
      <c r="D755" s="2" t="b">
        <v>0</v>
      </c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715</v>
      </c>
      <c r="S755"/>
      <c r="T755"/>
      <c r="U755"/>
    </row>
    <row r="756" spans="1:21">
      <c r="A756" s="2" t="s">
        <v>792</v>
      </c>
      <c r="B756" t="b">
        <v>1</v>
      </c>
      <c r="C756" t="b">
        <v>0</v>
      </c>
      <c r="D756" s="2" t="b">
        <v>0</v>
      </c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715</v>
      </c>
      <c r="S756"/>
      <c r="T756"/>
      <c r="U756"/>
    </row>
    <row r="757" spans="1:21">
      <c r="A757" s="2" t="s">
        <v>793</v>
      </c>
      <c r="B757" t="b">
        <v>1</v>
      </c>
      <c r="C757" t="b">
        <v>0</v>
      </c>
      <c r="D757" s="2" t="b">
        <v>0</v>
      </c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715</v>
      </c>
      <c r="S757"/>
      <c r="T757"/>
      <c r="U757"/>
    </row>
    <row r="758" spans="1:21">
      <c r="A758" s="2" t="s">
        <v>794</v>
      </c>
      <c r="B758" t="b">
        <v>1</v>
      </c>
      <c r="C758" t="b">
        <v>0</v>
      </c>
      <c r="D758" s="2" t="b">
        <v>0</v>
      </c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715</v>
      </c>
      <c r="S758"/>
      <c r="T758"/>
      <c r="U758"/>
    </row>
    <row r="759" spans="1:21">
      <c r="A759" s="2" t="s">
        <v>795</v>
      </c>
      <c r="B759" t="b">
        <v>1</v>
      </c>
      <c r="C759" t="b">
        <v>0</v>
      </c>
      <c r="D759" s="2" t="b">
        <v>0</v>
      </c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715</v>
      </c>
      <c r="S759"/>
      <c r="T759"/>
      <c r="U759"/>
    </row>
    <row r="760" spans="1:21">
      <c r="A760" s="2" t="s">
        <v>796</v>
      </c>
      <c r="B760" t="b">
        <v>1</v>
      </c>
      <c r="C760" t="b">
        <v>0</v>
      </c>
      <c r="D760" s="2" t="b">
        <v>0</v>
      </c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715</v>
      </c>
      <c r="S760"/>
      <c r="T760"/>
      <c r="U760"/>
    </row>
    <row r="761" spans="1:21">
      <c r="A761" s="2" t="s">
        <v>797</v>
      </c>
      <c r="B761" t="b">
        <v>1</v>
      </c>
      <c r="C761" t="b">
        <v>0</v>
      </c>
      <c r="D761" s="2" t="b">
        <v>0</v>
      </c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715</v>
      </c>
      <c r="S761"/>
      <c r="T761"/>
      <c r="U761"/>
    </row>
    <row r="762" spans="1:21">
      <c r="A762" s="2" t="s">
        <v>798</v>
      </c>
      <c r="B762" t="b">
        <v>1</v>
      </c>
      <c r="C762" t="b">
        <v>0</v>
      </c>
      <c r="D762" s="2" t="b">
        <v>0</v>
      </c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715</v>
      </c>
      <c r="S762"/>
      <c r="T762"/>
      <c r="U762"/>
    </row>
    <row r="763" spans="1:21">
      <c r="A763" s="2" t="s">
        <v>799</v>
      </c>
      <c r="B763" t="b">
        <v>1</v>
      </c>
      <c r="C763" t="b">
        <v>0</v>
      </c>
      <c r="D763" s="2" t="b">
        <v>0</v>
      </c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715</v>
      </c>
      <c r="S763"/>
      <c r="T763"/>
      <c r="U763"/>
    </row>
    <row r="764" spans="1:21">
      <c r="A764" s="2" t="s">
        <v>800</v>
      </c>
      <c r="B764" t="b">
        <v>1</v>
      </c>
      <c r="C764" t="b">
        <v>0</v>
      </c>
      <c r="D764" s="2" t="b">
        <v>0</v>
      </c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715</v>
      </c>
      <c r="S764"/>
      <c r="T764"/>
      <c r="U764"/>
    </row>
    <row r="765" spans="1:21">
      <c r="A765" s="2" t="s">
        <v>801</v>
      </c>
      <c r="B765" t="b">
        <v>1</v>
      </c>
      <c r="C765" t="b">
        <v>0</v>
      </c>
      <c r="D765" s="2" t="b">
        <v>0</v>
      </c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715</v>
      </c>
      <c r="S765"/>
      <c r="T765"/>
      <c r="U765"/>
    </row>
    <row r="766" spans="1:21">
      <c r="A766" s="2" t="s">
        <v>802</v>
      </c>
      <c r="B766" t="b">
        <v>1</v>
      </c>
      <c r="C766" t="b">
        <v>0</v>
      </c>
      <c r="D766" s="2" t="b">
        <v>0</v>
      </c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715</v>
      </c>
      <c r="S766"/>
      <c r="T766"/>
      <c r="U766"/>
    </row>
    <row r="767" spans="1:21">
      <c r="A767" s="2" t="s">
        <v>803</v>
      </c>
      <c r="B767" t="b">
        <v>1</v>
      </c>
      <c r="C767" t="b">
        <v>0</v>
      </c>
      <c r="D767" s="2" t="b">
        <v>0</v>
      </c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715</v>
      </c>
      <c r="S767"/>
      <c r="T767"/>
      <c r="U767"/>
    </row>
    <row r="768" spans="1:21">
      <c r="A768" s="2" t="s">
        <v>804</v>
      </c>
      <c r="B768" t="b">
        <v>1</v>
      </c>
      <c r="C768" t="b">
        <v>0</v>
      </c>
      <c r="D768" s="2" t="b">
        <v>0</v>
      </c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715</v>
      </c>
      <c r="S768"/>
      <c r="T768"/>
      <c r="U768"/>
    </row>
    <row r="769" spans="1:21">
      <c r="A769" s="2" t="s">
        <v>805</v>
      </c>
      <c r="B769" t="b">
        <v>1</v>
      </c>
      <c r="C769" t="b">
        <v>0</v>
      </c>
      <c r="D769" s="2" t="b">
        <v>0</v>
      </c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715</v>
      </c>
      <c r="S769"/>
      <c r="T769"/>
      <c r="U769"/>
    </row>
    <row r="770" spans="1:21">
      <c r="A770" s="2" t="s">
        <v>806</v>
      </c>
      <c r="B770" t="b">
        <v>1</v>
      </c>
      <c r="C770" t="b">
        <v>0</v>
      </c>
      <c r="D770" s="2" t="b">
        <v>0</v>
      </c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715</v>
      </c>
      <c r="S770"/>
      <c r="T770"/>
      <c r="U770"/>
    </row>
    <row r="771" spans="1:21">
      <c r="A771" s="2" t="s">
        <v>807</v>
      </c>
      <c r="B771" t="b">
        <v>1</v>
      </c>
      <c r="C771" t="b">
        <v>0</v>
      </c>
      <c r="D771" s="2" t="b">
        <v>0</v>
      </c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715</v>
      </c>
      <c r="S771"/>
      <c r="T771"/>
      <c r="U771"/>
    </row>
    <row r="772" spans="1:21">
      <c r="A772" s="2" t="s">
        <v>808</v>
      </c>
      <c r="B772" t="b">
        <v>1</v>
      </c>
      <c r="C772" t="b">
        <v>0</v>
      </c>
      <c r="D772" s="2" t="b">
        <v>0</v>
      </c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715</v>
      </c>
      <c r="S772"/>
      <c r="T772"/>
      <c r="U772"/>
    </row>
    <row r="773" spans="1:21">
      <c r="A773" s="2" t="s">
        <v>809</v>
      </c>
      <c r="B773" t="b">
        <v>1</v>
      </c>
      <c r="C773" t="b">
        <v>0</v>
      </c>
      <c r="D773" s="2" t="b">
        <v>0</v>
      </c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715</v>
      </c>
      <c r="S773"/>
      <c r="T773"/>
      <c r="U773"/>
    </row>
    <row r="774" spans="1:21">
      <c r="A774" s="2" t="s">
        <v>810</v>
      </c>
      <c r="B774" t="b">
        <v>1</v>
      </c>
      <c r="C774" t="b">
        <v>0</v>
      </c>
      <c r="D774" s="2" t="b">
        <v>0</v>
      </c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715</v>
      </c>
      <c r="S774"/>
      <c r="T774"/>
      <c r="U774"/>
    </row>
    <row r="775" spans="1:21">
      <c r="A775" s="2" t="s">
        <v>811</v>
      </c>
      <c r="B775" t="b">
        <v>1</v>
      </c>
      <c r="C775" t="b">
        <v>0</v>
      </c>
      <c r="D775" s="2" t="b">
        <v>0</v>
      </c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715</v>
      </c>
      <c r="S775"/>
      <c r="T775"/>
      <c r="U775"/>
    </row>
    <row r="776" spans="1:21">
      <c r="A776" s="2" t="s">
        <v>812</v>
      </c>
      <c r="B776" t="b">
        <v>1</v>
      </c>
      <c r="C776" t="b">
        <v>0</v>
      </c>
      <c r="D776" s="2" t="b">
        <v>0</v>
      </c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715</v>
      </c>
      <c r="S776"/>
      <c r="T776"/>
      <c r="U776"/>
    </row>
    <row r="777" spans="1:21">
      <c r="A777" s="2" t="s">
        <v>813</v>
      </c>
      <c r="B777" t="b">
        <v>1</v>
      </c>
      <c r="C777" t="b">
        <v>0</v>
      </c>
      <c r="D777" s="2" t="b">
        <v>0</v>
      </c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715</v>
      </c>
      <c r="S777"/>
      <c r="T777"/>
      <c r="U777"/>
    </row>
    <row r="778" spans="1:21">
      <c r="A778" s="2" t="s">
        <v>814</v>
      </c>
      <c r="B778" t="b">
        <v>1</v>
      </c>
      <c r="C778" t="b">
        <v>0</v>
      </c>
      <c r="D778" s="2" t="b">
        <v>0</v>
      </c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715</v>
      </c>
      <c r="S778"/>
      <c r="T778"/>
      <c r="U778"/>
    </row>
    <row r="779" spans="1:21">
      <c r="A779" s="2" t="s">
        <v>815</v>
      </c>
      <c r="B779" t="b">
        <v>1</v>
      </c>
      <c r="C779" t="b">
        <v>0</v>
      </c>
      <c r="D779" s="2" t="b">
        <v>0</v>
      </c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715</v>
      </c>
      <c r="S779"/>
      <c r="T779"/>
      <c r="U779"/>
    </row>
    <row r="780" spans="1:21">
      <c r="A780" s="2" t="s">
        <v>816</v>
      </c>
      <c r="B780" t="b">
        <v>1</v>
      </c>
      <c r="C780" t="b">
        <v>0</v>
      </c>
      <c r="D780" s="2" t="b">
        <v>0</v>
      </c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715</v>
      </c>
      <c r="S780"/>
      <c r="T780"/>
      <c r="U780"/>
    </row>
    <row r="781" spans="1:21">
      <c r="A781" s="2" t="s">
        <v>817</v>
      </c>
      <c r="B781" t="b">
        <v>1</v>
      </c>
      <c r="C781" t="b">
        <v>0</v>
      </c>
      <c r="D781" s="2" t="b">
        <v>0</v>
      </c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715</v>
      </c>
      <c r="S781"/>
      <c r="T781"/>
      <c r="U781"/>
    </row>
    <row r="782" spans="1:21">
      <c r="A782" s="2" t="s">
        <v>818</v>
      </c>
      <c r="B782" t="b">
        <v>1</v>
      </c>
      <c r="C782" t="b">
        <v>0</v>
      </c>
      <c r="D782" s="2" t="b">
        <v>0</v>
      </c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715</v>
      </c>
      <c r="S782"/>
      <c r="T782"/>
      <c r="U782"/>
    </row>
    <row r="783" spans="1:21">
      <c r="A783" s="2" t="s">
        <v>819</v>
      </c>
      <c r="B783" t="b">
        <v>1</v>
      </c>
      <c r="C783" t="b">
        <v>0</v>
      </c>
      <c r="D783" s="2" t="b">
        <v>0</v>
      </c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715</v>
      </c>
      <c r="S783"/>
      <c r="T783"/>
      <c r="U783"/>
    </row>
    <row r="784" spans="1:21">
      <c r="A784" s="2" t="s">
        <v>820</v>
      </c>
      <c r="B784" t="b">
        <v>1</v>
      </c>
      <c r="C784" t="b">
        <v>0</v>
      </c>
      <c r="D784" s="2" t="b">
        <v>0</v>
      </c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715</v>
      </c>
      <c r="S784"/>
      <c r="T784"/>
      <c r="U784"/>
    </row>
    <row r="785" spans="1:21">
      <c r="A785" s="2" t="s">
        <v>821</v>
      </c>
      <c r="B785" t="b">
        <v>1</v>
      </c>
      <c r="C785" t="b">
        <v>0</v>
      </c>
      <c r="D785" s="2" t="b">
        <v>0</v>
      </c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715</v>
      </c>
      <c r="S785"/>
      <c r="T785"/>
      <c r="U785"/>
    </row>
    <row r="786" spans="1:21">
      <c r="A786" s="2" t="s">
        <v>822</v>
      </c>
      <c r="B786" t="b">
        <v>1</v>
      </c>
      <c r="C786" t="b">
        <v>0</v>
      </c>
      <c r="D786" s="2" t="b">
        <v>0</v>
      </c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715</v>
      </c>
      <c r="S786"/>
      <c r="T786"/>
      <c r="U786"/>
    </row>
    <row r="787" spans="1:21">
      <c r="A787" s="2" t="s">
        <v>823</v>
      </c>
      <c r="B787" t="b">
        <v>1</v>
      </c>
      <c r="C787" t="b">
        <v>0</v>
      </c>
      <c r="D787" s="2" t="b">
        <v>0</v>
      </c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715</v>
      </c>
      <c r="S787"/>
      <c r="T787"/>
      <c r="U787"/>
    </row>
    <row r="788" spans="1:21">
      <c r="A788" s="2" t="s">
        <v>824</v>
      </c>
      <c r="B788" t="b">
        <v>1</v>
      </c>
      <c r="C788" t="b">
        <v>0</v>
      </c>
      <c r="D788" s="2" t="b">
        <v>0</v>
      </c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715</v>
      </c>
      <c r="S788"/>
      <c r="T788"/>
      <c r="U788"/>
    </row>
    <row r="789" spans="1:21">
      <c r="A789" s="2" t="s">
        <v>825</v>
      </c>
      <c r="B789" t="b">
        <v>1</v>
      </c>
      <c r="C789" t="b">
        <v>0</v>
      </c>
      <c r="D789" s="2" t="b">
        <v>0</v>
      </c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715</v>
      </c>
      <c r="S789"/>
      <c r="T789"/>
      <c r="U789"/>
    </row>
    <row r="790" spans="1:21">
      <c r="A790" s="2" t="s">
        <v>1753</v>
      </c>
      <c r="B790" t="b">
        <v>1</v>
      </c>
      <c r="C790" t="b">
        <v>0</v>
      </c>
      <c r="D790" s="2" t="b">
        <v>0</v>
      </c>
      <c r="E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0">
        <v>0</v>
      </c>
      <c r="G790" t="s">
        <v>715</v>
      </c>
    </row>
    <row r="791" spans="1:21">
      <c r="A791" s="2" t="s">
        <v>1756</v>
      </c>
      <c r="B791" t="b">
        <v>1</v>
      </c>
      <c r="C791" t="b">
        <v>0</v>
      </c>
      <c r="D791" s="2" t="b">
        <v>0</v>
      </c>
      <c r="E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1">
        <v>0</v>
      </c>
      <c r="G791" t="s">
        <v>715</v>
      </c>
    </row>
    <row r="792" spans="1:21">
      <c r="A792" s="2" t="s">
        <v>2842</v>
      </c>
      <c r="B792" t="b">
        <v>1</v>
      </c>
      <c r="C792" t="b">
        <v>1</v>
      </c>
      <c r="D792" s="2" t="b">
        <v>0</v>
      </c>
      <c r="E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2">
        <v>0</v>
      </c>
      <c r="G792" t="s">
        <v>715</v>
      </c>
    </row>
    <row r="793" spans="1:21">
      <c r="A793" s="2" t="s">
        <v>2992</v>
      </c>
      <c r="B793" t="b">
        <v>1</v>
      </c>
      <c r="C793" t="b">
        <v>0</v>
      </c>
      <c r="D793" s="2" t="b">
        <v>0</v>
      </c>
      <c r="E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3">
        <v>0</v>
      </c>
      <c r="G793" t="s">
        <v>715</v>
      </c>
    </row>
    <row r="794" spans="1:21">
      <c r="A794" s="2" t="s">
        <v>2994</v>
      </c>
      <c r="B794" t="b">
        <v>1</v>
      </c>
      <c r="C794" t="b">
        <v>0</v>
      </c>
      <c r="D794" s="2" t="b">
        <v>0</v>
      </c>
      <c r="E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4">
        <v>0</v>
      </c>
      <c r="G794" t="s">
        <v>715</v>
      </c>
    </row>
    <row r="795" spans="1:21">
      <c r="A795" t="s">
        <v>2998</v>
      </c>
      <c r="B795" t="b">
        <v>1</v>
      </c>
      <c r="C795" t="b">
        <v>0</v>
      </c>
      <c r="D795" s="2" t="b">
        <v>0</v>
      </c>
      <c r="E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5">
        <v>0</v>
      </c>
      <c r="G795" t="s">
        <v>715</v>
      </c>
    </row>
    <row r="796" spans="1:21">
      <c r="A796" t="s">
        <v>3000</v>
      </c>
      <c r="B796" t="b">
        <v>1</v>
      </c>
      <c r="C796" t="b">
        <v>0</v>
      </c>
      <c r="D796" s="2" t="b">
        <v>0</v>
      </c>
      <c r="E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6">
        <v>0</v>
      </c>
      <c r="G796" t="s">
        <v>715</v>
      </c>
    </row>
    <row r="797" spans="1:21">
      <c r="A797" s="2" t="s">
        <v>3017</v>
      </c>
      <c r="B797" t="b">
        <v>1</v>
      </c>
      <c r="C797" t="b">
        <v>0</v>
      </c>
      <c r="D797" s="2" t="b">
        <v>0</v>
      </c>
      <c r="E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7">
        <v>0</v>
      </c>
      <c r="G797" t="s">
        <v>715</v>
      </c>
    </row>
    <row r="798" spans="1:21">
      <c r="A798" s="2" t="s">
        <v>3019</v>
      </c>
      <c r="B798" t="b">
        <v>1</v>
      </c>
      <c r="C798" t="b">
        <v>0</v>
      </c>
      <c r="D798" s="2" t="b">
        <v>0</v>
      </c>
      <c r="E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798">
        <v>0</v>
      </c>
      <c r="G798" t="s">
        <v>715</v>
      </c>
    </row>
    <row r="799" spans="1:21">
      <c r="A799" s="2" t="s">
        <v>3022</v>
      </c>
      <c r="B799" t="b">
        <v>1</v>
      </c>
      <c r="C799" t="b">
        <v>0</v>
      </c>
      <c r="D799" s="2" t="b">
        <v>0</v>
      </c>
      <c r="E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799">
        <v>0</v>
      </c>
      <c r="G799" t="s">
        <v>715</v>
      </c>
    </row>
    <row r="800" spans="1:21">
      <c r="A800" s="2" t="s">
        <v>3025</v>
      </c>
      <c r="B800" t="b">
        <v>1</v>
      </c>
      <c r="C800" t="b">
        <v>0</v>
      </c>
      <c r="D800" s="2" t="b">
        <v>0</v>
      </c>
      <c r="E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0">
        <v>0</v>
      </c>
      <c r="G800" t="s">
        <v>715</v>
      </c>
    </row>
    <row r="801" spans="1:7">
      <c r="A801" s="2" t="s">
        <v>3028</v>
      </c>
      <c r="B801" t="b">
        <v>1</v>
      </c>
      <c r="C801" t="b">
        <v>0</v>
      </c>
      <c r="D801" s="2" t="b">
        <v>0</v>
      </c>
      <c r="E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1">
        <v>0</v>
      </c>
      <c r="G801" t="s">
        <v>715</v>
      </c>
    </row>
    <row r="802" spans="1:7">
      <c r="A802" s="2" t="s">
        <v>3030</v>
      </c>
      <c r="B802" t="b">
        <v>1</v>
      </c>
      <c r="C802" t="b">
        <v>0</v>
      </c>
      <c r="D802" s="2" t="b">
        <v>0</v>
      </c>
      <c r="E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802">
        <v>0</v>
      </c>
      <c r="G802" t="s">
        <v>715</v>
      </c>
    </row>
    <row r="803" spans="1:7">
      <c r="A803" s="2" t="s">
        <v>3033</v>
      </c>
      <c r="B803" t="b">
        <v>1</v>
      </c>
      <c r="C803" t="b">
        <v>0</v>
      </c>
      <c r="D803" s="2" t="b">
        <v>0</v>
      </c>
      <c r="E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803">
        <v>0</v>
      </c>
      <c r="G803" t="s">
        <v>715</v>
      </c>
    </row>
    <row r="804" spans="1:7">
      <c r="A804" s="2" t="s">
        <v>3038</v>
      </c>
      <c r="B804" t="b">
        <v>1</v>
      </c>
      <c r="C804" t="b">
        <v>1</v>
      </c>
      <c r="D804" s="2" t="b">
        <v>0</v>
      </c>
      <c r="E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804">
        <v>0</v>
      </c>
      <c r="G804" t="s">
        <v>715</v>
      </c>
    </row>
  </sheetData>
  <conditionalFormatting sqref="B1:D1048576">
    <cfRule type="cellIs" dxfId="17" priority="1" operator="equal">
      <formula>FALSE</formula>
    </cfRule>
  </conditionalFormatting>
  <conditionalFormatting sqref="I790:K1048576">
    <cfRule type="cellIs" dxfId="16" priority="2" operator="equal">
      <formula>FALSE</formula>
    </cfRule>
  </conditionalFormatting>
  <dataValidations count="2">
    <dataValidation type="list" allowBlank="1" showInputMessage="1" showErrorMessage="1" sqref="P790:T1048576 I790:L1048576" xr:uid="{7A86589D-A25B-450D-959D-091B54853275}">
      <formula1>"TRUE"</formula1>
    </dataValidation>
    <dataValidation type="list" allowBlank="1" showInputMessage="1" showErrorMessage="1" sqref="B1:D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4"/>
  <sheetViews>
    <sheetView zoomScaleNormal="100" workbookViewId="0">
      <pane xSplit="1" ySplit="1" topLeftCell="B663" activePane="bottomRight" state="frozen"/>
      <selection activeCell="Q19" sqref="Q19"/>
      <selection pane="topRight" activeCell="Q19" sqref="Q19"/>
      <selection pane="bottomLeft" activeCell="Q19" sqref="Q19"/>
      <selection pane="bottomRight" activeCell="C676" sqref="C676:D67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1731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1731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1731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1731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1731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1731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1731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1731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1731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1731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1731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1731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1731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1731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2842</v>
      </c>
      <c r="B792" t="s">
        <v>1750</v>
      </c>
      <c r="C792" t="s">
        <v>1721</v>
      </c>
      <c r="D792" t="s">
        <v>1732</v>
      </c>
    </row>
    <row r="793" spans="1:13">
      <c r="A793" s="2" t="s">
        <v>2992</v>
      </c>
      <c r="B793" t="s">
        <v>1749</v>
      </c>
      <c r="C793" t="s">
        <v>1729</v>
      </c>
      <c r="D793" t="s">
        <v>1732</v>
      </c>
    </row>
    <row r="794" spans="1:13">
      <c r="A794" s="2" t="s">
        <v>2994</v>
      </c>
      <c r="B794" t="s">
        <v>1749</v>
      </c>
      <c r="C794" t="s">
        <v>1722</v>
      </c>
      <c r="D794" t="s">
        <v>1732</v>
      </c>
    </row>
    <row r="795" spans="1:13">
      <c r="A795" t="s">
        <v>2998</v>
      </c>
      <c r="B795" t="s">
        <v>1749</v>
      </c>
      <c r="C795" t="s">
        <v>1729</v>
      </c>
      <c r="D795" t="s">
        <v>1731</v>
      </c>
    </row>
    <row r="796" spans="1:13">
      <c r="A796" t="s">
        <v>3000</v>
      </c>
      <c r="B796" t="s">
        <v>1749</v>
      </c>
      <c r="C796" t="s">
        <v>1729</v>
      </c>
      <c r="D796" t="s">
        <v>1731</v>
      </c>
    </row>
    <row r="797" spans="1:13">
      <c r="A797" s="2" t="s">
        <v>3017</v>
      </c>
      <c r="B797" t="s">
        <v>1749</v>
      </c>
      <c r="C797" t="s">
        <v>1722</v>
      </c>
      <c r="D797" t="s">
        <v>1731</v>
      </c>
    </row>
    <row r="798" spans="1:13">
      <c r="A798" s="2" t="s">
        <v>3019</v>
      </c>
      <c r="B798" t="s">
        <v>1749</v>
      </c>
      <c r="C798" t="s">
        <v>1725</v>
      </c>
      <c r="D798" t="s">
        <v>1731</v>
      </c>
    </row>
    <row r="799" spans="1:13">
      <c r="A799" s="2" t="s">
        <v>3022</v>
      </c>
      <c r="B799" t="s">
        <v>1750</v>
      </c>
      <c r="C799" t="s">
        <v>1722</v>
      </c>
      <c r="D799" t="s">
        <v>1731</v>
      </c>
    </row>
    <row r="800" spans="1:13">
      <c r="A800" s="2" t="s">
        <v>3025</v>
      </c>
      <c r="B800" t="s">
        <v>1749</v>
      </c>
      <c r="C800" t="s">
        <v>1722</v>
      </c>
      <c r="D800" t="s">
        <v>1731</v>
      </c>
    </row>
    <row r="801" spans="1:4">
      <c r="A801" s="2" t="s">
        <v>3028</v>
      </c>
      <c r="B801" t="s">
        <v>1749</v>
      </c>
      <c r="C801" t="s">
        <v>1722</v>
      </c>
      <c r="D801" t="s">
        <v>1731</v>
      </c>
    </row>
    <row r="802" spans="1:4">
      <c r="A802" s="2" t="s">
        <v>3030</v>
      </c>
      <c r="B802" t="s">
        <v>1749</v>
      </c>
      <c r="C802" t="s">
        <v>1722</v>
      </c>
      <c r="D802" t="s">
        <v>1731</v>
      </c>
    </row>
    <row r="803" spans="1:4">
      <c r="A803" s="2" t="s">
        <v>3033</v>
      </c>
      <c r="B803" t="s">
        <v>1750</v>
      </c>
      <c r="C803" t="s">
        <v>1722</v>
      </c>
      <c r="D803" t="s">
        <v>1731</v>
      </c>
    </row>
    <row r="804" spans="1:4">
      <c r="A804" s="2" t="s">
        <v>3038</v>
      </c>
      <c r="B804" t="s">
        <v>1749</v>
      </c>
      <c r="C804" t="s">
        <v>1726</v>
      </c>
      <c r="D804" t="s">
        <v>1733</v>
      </c>
    </row>
  </sheetData>
  <conditionalFormatting sqref="B1:C1048576">
    <cfRule type="containsText" dxfId="1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907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2972</v>
      </c>
      <c r="L4" t="s">
        <v>2973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2</v>
      </c>
    </row>
    <row r="6" spans="1:18">
      <c r="A6">
        <v>1820</v>
      </c>
      <c r="B6" t="s">
        <v>2985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2985</v>
      </c>
      <c r="N7">
        <v>2</v>
      </c>
      <c r="O7">
        <v>2</v>
      </c>
      <c r="P7">
        <v>2</v>
      </c>
    </row>
    <row r="8" spans="1:18">
      <c r="A8">
        <v>1860</v>
      </c>
      <c r="B8" t="s">
        <v>2985</v>
      </c>
      <c r="K8">
        <v>2</v>
      </c>
    </row>
    <row r="9" spans="1:18">
      <c r="A9">
        <v>1880</v>
      </c>
      <c r="B9" t="s">
        <v>2985</v>
      </c>
      <c r="K9">
        <v>2</v>
      </c>
      <c r="M9">
        <v>4</v>
      </c>
    </row>
    <row r="10" spans="1:18">
      <c r="A10">
        <v>1900</v>
      </c>
      <c r="B10" t="s">
        <v>2985</v>
      </c>
      <c r="C10">
        <v>1</v>
      </c>
      <c r="G10">
        <v>1</v>
      </c>
      <c r="J10">
        <v>4</v>
      </c>
      <c r="K10">
        <v>3</v>
      </c>
      <c r="M10">
        <v>3</v>
      </c>
      <c r="N10">
        <v>1</v>
      </c>
      <c r="O10">
        <v>2</v>
      </c>
      <c r="P10">
        <v>1</v>
      </c>
    </row>
    <row r="11" spans="1:18">
      <c r="A11">
        <v>1920</v>
      </c>
      <c r="B11" t="s">
        <v>2985</v>
      </c>
      <c r="C11">
        <v>2</v>
      </c>
      <c r="F11">
        <v>1</v>
      </c>
      <c r="H11">
        <v>3</v>
      </c>
      <c r="K11">
        <v>1</v>
      </c>
      <c r="M11">
        <v>8</v>
      </c>
      <c r="N11">
        <v>2</v>
      </c>
      <c r="O11">
        <v>2</v>
      </c>
      <c r="P11">
        <v>2</v>
      </c>
    </row>
    <row r="12" spans="1:18">
      <c r="A12">
        <v>1940</v>
      </c>
      <c r="B12" t="s">
        <v>2985</v>
      </c>
      <c r="C12">
        <v>1</v>
      </c>
      <c r="F12">
        <v>5</v>
      </c>
      <c r="G12">
        <v>4</v>
      </c>
      <c r="H12">
        <v>1</v>
      </c>
      <c r="K12">
        <v>1</v>
      </c>
      <c r="M12">
        <v>7</v>
      </c>
      <c r="N12">
        <v>2</v>
      </c>
      <c r="O12">
        <v>3</v>
      </c>
      <c r="P12">
        <v>2</v>
      </c>
      <c r="Q12">
        <v>2</v>
      </c>
    </row>
    <row r="13" spans="1:18">
      <c r="A13">
        <v>1960</v>
      </c>
      <c r="B13" t="s">
        <v>2985</v>
      </c>
      <c r="C13">
        <v>2</v>
      </c>
      <c r="F13">
        <v>7</v>
      </c>
      <c r="H13">
        <v>1</v>
      </c>
      <c r="M13">
        <v>6</v>
      </c>
      <c r="N13">
        <v>1</v>
      </c>
      <c r="P13">
        <v>1</v>
      </c>
      <c r="Q13">
        <v>2</v>
      </c>
    </row>
    <row r="14" spans="1:18">
      <c r="A14">
        <v>1980</v>
      </c>
      <c r="B14" t="s">
        <v>2985</v>
      </c>
      <c r="C14">
        <v>1</v>
      </c>
      <c r="D14">
        <v>1</v>
      </c>
      <c r="F14">
        <v>1</v>
      </c>
      <c r="G14">
        <v>1</v>
      </c>
      <c r="H14">
        <v>1</v>
      </c>
      <c r="I14">
        <v>1</v>
      </c>
      <c r="J14">
        <v>2</v>
      </c>
      <c r="M14">
        <v>8</v>
      </c>
      <c r="P14">
        <v>1</v>
      </c>
      <c r="Q14">
        <v>1</v>
      </c>
    </row>
    <row r="15" spans="1:18">
      <c r="A15">
        <v>2000</v>
      </c>
      <c r="B15" t="s">
        <v>2985</v>
      </c>
      <c r="C15">
        <v>2</v>
      </c>
      <c r="D15">
        <v>2</v>
      </c>
      <c r="E15">
        <v>1</v>
      </c>
      <c r="F15">
        <v>3</v>
      </c>
      <c r="I15">
        <v>1</v>
      </c>
      <c r="J15">
        <v>2</v>
      </c>
      <c r="M15">
        <v>23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2985</v>
      </c>
      <c r="M16">
        <v>14</v>
      </c>
      <c r="N16">
        <v>1</v>
      </c>
      <c r="P16">
        <v>1</v>
      </c>
      <c r="Q16">
        <v>1</v>
      </c>
      <c r="R16">
        <v>3</v>
      </c>
    </row>
    <row r="17" spans="1:12">
      <c r="A17">
        <v>2040</v>
      </c>
      <c r="B17" t="s">
        <v>2985</v>
      </c>
      <c r="L17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909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2971</v>
      </c>
      <c r="I4" t="s">
        <v>2981</v>
      </c>
      <c r="J4" t="s">
        <v>2972</v>
      </c>
      <c r="K4" t="s">
        <v>2973</v>
      </c>
      <c r="L4" t="s">
        <v>2982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1</v>
      </c>
    </row>
    <row r="6" spans="1:18">
      <c r="A6">
        <v>1820</v>
      </c>
      <c r="B6" t="s">
        <v>2985</v>
      </c>
      <c r="M6">
        <v>4</v>
      </c>
      <c r="O6">
        <v>1</v>
      </c>
      <c r="P6">
        <v>1</v>
      </c>
    </row>
    <row r="7" spans="1:18">
      <c r="A7">
        <v>1840</v>
      </c>
      <c r="B7" t="s">
        <v>2985</v>
      </c>
      <c r="F7">
        <v>1</v>
      </c>
      <c r="O7">
        <v>1</v>
      </c>
      <c r="P7">
        <v>1</v>
      </c>
    </row>
    <row r="8" spans="1:18">
      <c r="A8">
        <v>1860</v>
      </c>
      <c r="B8" t="s">
        <v>2985</v>
      </c>
      <c r="F8">
        <v>3</v>
      </c>
    </row>
    <row r="9" spans="1:18">
      <c r="A9">
        <v>1880</v>
      </c>
      <c r="B9" t="s">
        <v>2985</v>
      </c>
      <c r="E9">
        <v>1</v>
      </c>
      <c r="F9">
        <v>1</v>
      </c>
      <c r="H9">
        <v>1</v>
      </c>
      <c r="M9">
        <v>3</v>
      </c>
    </row>
    <row r="10" spans="1:18">
      <c r="A10">
        <v>1900</v>
      </c>
      <c r="B10" t="s">
        <v>2985</v>
      </c>
      <c r="C10">
        <v>2</v>
      </c>
      <c r="F10">
        <v>2</v>
      </c>
      <c r="G10">
        <v>3</v>
      </c>
      <c r="H10">
        <v>2</v>
      </c>
      <c r="I10">
        <v>4</v>
      </c>
      <c r="M10">
        <v>3</v>
      </c>
      <c r="O10">
        <v>1</v>
      </c>
      <c r="P10">
        <v>1</v>
      </c>
    </row>
    <row r="11" spans="1:18">
      <c r="A11">
        <v>1920</v>
      </c>
      <c r="B11" t="s">
        <v>2985</v>
      </c>
      <c r="C11">
        <v>1</v>
      </c>
      <c r="E11">
        <v>4</v>
      </c>
      <c r="F11">
        <v>2</v>
      </c>
      <c r="G11">
        <v>2</v>
      </c>
      <c r="H11">
        <v>1</v>
      </c>
      <c r="J11">
        <v>2</v>
      </c>
      <c r="M11">
        <v>6</v>
      </c>
      <c r="O11">
        <v>3</v>
      </c>
      <c r="P11">
        <v>2</v>
      </c>
    </row>
    <row r="12" spans="1:18">
      <c r="A12">
        <v>1940</v>
      </c>
      <c r="B12" t="s">
        <v>2985</v>
      </c>
      <c r="C12">
        <v>1</v>
      </c>
      <c r="E12">
        <v>4</v>
      </c>
      <c r="F12">
        <v>7</v>
      </c>
      <c r="G12">
        <v>3</v>
      </c>
      <c r="H12">
        <v>2</v>
      </c>
      <c r="M12">
        <v>5</v>
      </c>
      <c r="O12">
        <v>2</v>
      </c>
      <c r="P12">
        <v>1</v>
      </c>
    </row>
    <row r="13" spans="1:18">
      <c r="A13">
        <v>1960</v>
      </c>
      <c r="B13" t="s">
        <v>2985</v>
      </c>
      <c r="C13">
        <v>2</v>
      </c>
      <c r="D13">
        <v>2</v>
      </c>
      <c r="E13">
        <v>1</v>
      </c>
      <c r="F13">
        <v>3</v>
      </c>
      <c r="G13">
        <v>1</v>
      </c>
      <c r="H13">
        <v>2</v>
      </c>
      <c r="M13">
        <v>5</v>
      </c>
      <c r="P13">
        <v>1</v>
      </c>
      <c r="Q13">
        <v>5</v>
      </c>
    </row>
    <row r="14" spans="1:18">
      <c r="A14">
        <v>1980</v>
      </c>
      <c r="B14" t="s">
        <v>2985</v>
      </c>
      <c r="E14">
        <v>3</v>
      </c>
      <c r="F14">
        <v>1</v>
      </c>
      <c r="G14">
        <v>2</v>
      </c>
      <c r="H14">
        <v>2</v>
      </c>
      <c r="I14">
        <v>2</v>
      </c>
      <c r="L14">
        <v>1</v>
      </c>
      <c r="M14">
        <v>7</v>
      </c>
      <c r="P14">
        <v>1</v>
      </c>
      <c r="Q14">
        <v>3</v>
      </c>
    </row>
    <row r="15" spans="1:18">
      <c r="A15">
        <v>2000</v>
      </c>
      <c r="B15" t="s">
        <v>2985</v>
      </c>
      <c r="C15">
        <v>1</v>
      </c>
      <c r="D15">
        <v>1</v>
      </c>
      <c r="E15">
        <v>3</v>
      </c>
      <c r="F15">
        <v>1</v>
      </c>
      <c r="H15">
        <v>1</v>
      </c>
      <c r="I15">
        <v>2</v>
      </c>
      <c r="M15">
        <v>19</v>
      </c>
      <c r="P15">
        <v>1</v>
      </c>
      <c r="Q15">
        <v>4</v>
      </c>
      <c r="R15">
        <v>1</v>
      </c>
    </row>
    <row r="16" spans="1:18">
      <c r="A16">
        <v>2020</v>
      </c>
      <c r="B16" t="s">
        <v>2985</v>
      </c>
      <c r="M16">
        <v>10</v>
      </c>
      <c r="N16">
        <v>1</v>
      </c>
      <c r="P16">
        <v>1</v>
      </c>
      <c r="Q16">
        <v>1</v>
      </c>
      <c r="R16">
        <v>3</v>
      </c>
    </row>
    <row r="17" spans="1:11">
      <c r="A17">
        <v>2040</v>
      </c>
      <c r="B17" t="s">
        <v>2985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2974</v>
      </c>
      <c r="C3" s="34" t="s">
        <v>2278</v>
      </c>
    </row>
    <row r="4" spans="1:17">
      <c r="A4" s="34" t="s">
        <v>2983</v>
      </c>
      <c r="B4" s="34" t="s">
        <v>911</v>
      </c>
      <c r="C4" t="s">
        <v>2975</v>
      </c>
      <c r="D4" t="s">
        <v>2980</v>
      </c>
      <c r="E4" t="s">
        <v>2977</v>
      </c>
      <c r="F4" t="s">
        <v>2970</v>
      </c>
      <c r="G4" t="s">
        <v>2976</v>
      </c>
      <c r="H4" t="s">
        <v>2971</v>
      </c>
      <c r="I4" t="s">
        <v>2981</v>
      </c>
      <c r="J4" t="s">
        <v>2972</v>
      </c>
      <c r="K4" t="s">
        <v>2973</v>
      </c>
      <c r="L4" t="s">
        <v>2986</v>
      </c>
      <c r="M4" t="s">
        <v>2987</v>
      </c>
      <c r="N4" t="s">
        <v>2988</v>
      </c>
      <c r="O4" t="s">
        <v>2989</v>
      </c>
      <c r="P4" t="s">
        <v>2990</v>
      </c>
      <c r="Q4" t="s">
        <v>2991</v>
      </c>
    </row>
    <row r="5" spans="1:17">
      <c r="A5">
        <v>1660</v>
      </c>
      <c r="B5" t="s">
        <v>2985</v>
      </c>
      <c r="L5">
        <v>1</v>
      </c>
    </row>
    <row r="6" spans="1:17">
      <c r="A6">
        <v>1820</v>
      </c>
      <c r="B6" t="s">
        <v>2985</v>
      </c>
      <c r="L6">
        <v>4</v>
      </c>
      <c r="N6">
        <v>1</v>
      </c>
      <c r="O6">
        <v>1</v>
      </c>
    </row>
    <row r="7" spans="1:17">
      <c r="A7">
        <v>1840</v>
      </c>
      <c r="B7" t="s">
        <v>2985</v>
      </c>
      <c r="N7">
        <v>1</v>
      </c>
      <c r="O7">
        <v>1</v>
      </c>
    </row>
    <row r="8" spans="1:17">
      <c r="A8">
        <v>1860</v>
      </c>
      <c r="B8" t="s">
        <v>2985</v>
      </c>
      <c r="J8">
        <v>1</v>
      </c>
    </row>
    <row r="9" spans="1:17">
      <c r="A9">
        <v>1880</v>
      </c>
      <c r="B9" t="s">
        <v>2985</v>
      </c>
      <c r="L9">
        <v>3</v>
      </c>
    </row>
    <row r="10" spans="1:17">
      <c r="A10">
        <v>1900</v>
      </c>
      <c r="B10" t="s">
        <v>2985</v>
      </c>
      <c r="E10">
        <v>1</v>
      </c>
      <c r="G10">
        <v>1</v>
      </c>
      <c r="H10">
        <v>1</v>
      </c>
      <c r="I10">
        <v>4</v>
      </c>
      <c r="L10">
        <v>3</v>
      </c>
      <c r="N10">
        <v>1</v>
      </c>
      <c r="O10">
        <v>1</v>
      </c>
    </row>
    <row r="11" spans="1:17">
      <c r="A11">
        <v>1920</v>
      </c>
      <c r="B11" t="s">
        <v>2985</v>
      </c>
      <c r="C11">
        <v>1</v>
      </c>
      <c r="D11">
        <v>1</v>
      </c>
      <c r="E11">
        <v>2</v>
      </c>
      <c r="F11">
        <v>1</v>
      </c>
      <c r="L11">
        <v>6</v>
      </c>
      <c r="N11">
        <v>3</v>
      </c>
      <c r="O11">
        <v>2</v>
      </c>
    </row>
    <row r="12" spans="1:17">
      <c r="A12">
        <v>1940</v>
      </c>
      <c r="B12" t="s">
        <v>2985</v>
      </c>
      <c r="E12">
        <v>3</v>
      </c>
      <c r="F12">
        <v>2</v>
      </c>
      <c r="L12">
        <v>5</v>
      </c>
      <c r="N12">
        <v>2</v>
      </c>
      <c r="O12">
        <v>1</v>
      </c>
    </row>
    <row r="13" spans="1:17">
      <c r="A13">
        <v>1960</v>
      </c>
      <c r="B13" t="s">
        <v>2985</v>
      </c>
      <c r="C13">
        <v>2</v>
      </c>
      <c r="E13">
        <v>4</v>
      </c>
      <c r="F13">
        <v>2</v>
      </c>
      <c r="G13">
        <v>2</v>
      </c>
      <c r="H13">
        <v>1</v>
      </c>
      <c r="L13">
        <v>5</v>
      </c>
      <c r="O13">
        <v>1</v>
      </c>
      <c r="P13">
        <v>5</v>
      </c>
    </row>
    <row r="14" spans="1:17">
      <c r="A14">
        <v>1980</v>
      </c>
      <c r="B14" t="s">
        <v>2985</v>
      </c>
      <c r="C14">
        <v>1</v>
      </c>
      <c r="D14">
        <v>1</v>
      </c>
      <c r="E14">
        <v>2</v>
      </c>
      <c r="F14">
        <v>1</v>
      </c>
      <c r="H14">
        <v>2</v>
      </c>
      <c r="I14">
        <v>2</v>
      </c>
      <c r="L14">
        <v>7</v>
      </c>
      <c r="O14">
        <v>1</v>
      </c>
      <c r="P14">
        <v>3</v>
      </c>
    </row>
    <row r="15" spans="1:17">
      <c r="A15">
        <v>2000</v>
      </c>
      <c r="B15" t="s">
        <v>2985</v>
      </c>
      <c r="C15">
        <v>2</v>
      </c>
      <c r="E15">
        <v>1</v>
      </c>
      <c r="G15">
        <v>1</v>
      </c>
      <c r="H15">
        <v>2</v>
      </c>
      <c r="I15">
        <v>2</v>
      </c>
      <c r="L15">
        <v>19</v>
      </c>
      <c r="O15">
        <v>1</v>
      </c>
      <c r="P15">
        <v>4</v>
      </c>
      <c r="Q15">
        <v>1</v>
      </c>
    </row>
    <row r="16" spans="1:17">
      <c r="A16">
        <v>2020</v>
      </c>
      <c r="B16" t="s">
        <v>2985</v>
      </c>
      <c r="L16">
        <v>10</v>
      </c>
      <c r="M16">
        <v>1</v>
      </c>
      <c r="O16">
        <v>1</v>
      </c>
      <c r="P16">
        <v>1</v>
      </c>
      <c r="Q16">
        <v>3</v>
      </c>
    </row>
    <row r="17" spans="1:11">
      <c r="A17">
        <v>2040</v>
      </c>
      <c r="B17" t="s">
        <v>2985</v>
      </c>
      <c r="K1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14.765625" bestFit="1" customWidth="1"/>
    <col min="13" max="13" width="20" bestFit="1" customWidth="1"/>
    <col min="14" max="14" width="6.53515625" bestFit="1" customWidth="1"/>
    <col min="15" max="15" width="15.4609375" bestFit="1" customWidth="1"/>
    <col min="16" max="16" width="13.84375" bestFit="1" customWidth="1"/>
    <col min="17" max="17" width="10.07421875" bestFit="1" customWidth="1"/>
    <col min="18" max="18" width="13.15234375" bestFit="1" customWidth="1"/>
    <col min="19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2974</v>
      </c>
      <c r="C3" s="34" t="s">
        <v>2278</v>
      </c>
    </row>
    <row r="4" spans="1:19">
      <c r="A4" s="34" t="s">
        <v>2983</v>
      </c>
      <c r="B4" s="34" t="s">
        <v>912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2972</v>
      </c>
      <c r="L4" t="s">
        <v>2979</v>
      </c>
      <c r="M4" t="s">
        <v>2973</v>
      </c>
      <c r="N4" t="s">
        <v>2986</v>
      </c>
      <c r="O4" t="s">
        <v>2987</v>
      </c>
      <c r="P4" t="s">
        <v>2988</v>
      </c>
      <c r="Q4" t="s">
        <v>2989</v>
      </c>
      <c r="R4" t="s">
        <v>2990</v>
      </c>
      <c r="S4" t="s">
        <v>2991</v>
      </c>
    </row>
    <row r="5" spans="1:19">
      <c r="A5">
        <v>1660</v>
      </c>
      <c r="B5" t="s">
        <v>2985</v>
      </c>
      <c r="N5">
        <v>2</v>
      </c>
    </row>
    <row r="6" spans="1:19">
      <c r="A6">
        <v>1820</v>
      </c>
      <c r="B6" t="s">
        <v>2985</v>
      </c>
      <c r="N6">
        <v>4</v>
      </c>
      <c r="O6">
        <v>1</v>
      </c>
      <c r="P6">
        <v>1</v>
      </c>
      <c r="Q6">
        <v>1</v>
      </c>
    </row>
    <row r="7" spans="1:19">
      <c r="A7">
        <v>1840</v>
      </c>
      <c r="B7" t="s">
        <v>2985</v>
      </c>
      <c r="K7">
        <v>1</v>
      </c>
      <c r="O7">
        <v>2</v>
      </c>
      <c r="P7">
        <v>2</v>
      </c>
      <c r="Q7">
        <v>2</v>
      </c>
    </row>
    <row r="8" spans="1:19">
      <c r="A8">
        <v>1880</v>
      </c>
      <c r="B8" t="s">
        <v>2985</v>
      </c>
      <c r="H8">
        <v>1</v>
      </c>
      <c r="K8">
        <v>3</v>
      </c>
      <c r="N8">
        <v>4</v>
      </c>
    </row>
    <row r="9" spans="1:19">
      <c r="A9">
        <v>1900</v>
      </c>
      <c r="B9" t="s">
        <v>2985</v>
      </c>
      <c r="G9">
        <v>1</v>
      </c>
      <c r="H9">
        <v>3</v>
      </c>
      <c r="J9">
        <v>4</v>
      </c>
      <c r="N9">
        <v>3</v>
      </c>
      <c r="O9">
        <v>1</v>
      </c>
      <c r="P9">
        <v>2</v>
      </c>
      <c r="Q9">
        <v>1</v>
      </c>
    </row>
    <row r="10" spans="1:19">
      <c r="A10">
        <v>1920</v>
      </c>
      <c r="B10" t="s">
        <v>2985</v>
      </c>
      <c r="C10">
        <v>1</v>
      </c>
      <c r="F10">
        <v>3</v>
      </c>
      <c r="G10">
        <v>1</v>
      </c>
      <c r="I10">
        <v>2</v>
      </c>
      <c r="K10">
        <v>3</v>
      </c>
      <c r="N10">
        <v>8</v>
      </c>
      <c r="O10">
        <v>2</v>
      </c>
      <c r="P10">
        <v>4</v>
      </c>
      <c r="Q10">
        <v>3</v>
      </c>
    </row>
    <row r="11" spans="1:19">
      <c r="A11">
        <v>1940</v>
      </c>
      <c r="B11" t="s">
        <v>2985</v>
      </c>
      <c r="C11">
        <v>1</v>
      </c>
      <c r="E11">
        <v>1</v>
      </c>
      <c r="F11">
        <v>7</v>
      </c>
      <c r="G11">
        <v>2</v>
      </c>
      <c r="I11">
        <v>1</v>
      </c>
      <c r="N11">
        <v>7</v>
      </c>
      <c r="O11">
        <v>3</v>
      </c>
      <c r="P11">
        <v>5</v>
      </c>
      <c r="Q11">
        <v>3</v>
      </c>
      <c r="R11">
        <v>2</v>
      </c>
    </row>
    <row r="12" spans="1:19">
      <c r="A12">
        <v>1960</v>
      </c>
      <c r="B12" t="s">
        <v>2985</v>
      </c>
      <c r="C12">
        <v>4</v>
      </c>
      <c r="D12">
        <v>2</v>
      </c>
      <c r="E12">
        <v>1</v>
      </c>
      <c r="F12">
        <v>8</v>
      </c>
      <c r="G12">
        <v>2</v>
      </c>
      <c r="H12">
        <v>2</v>
      </c>
      <c r="N12">
        <v>6</v>
      </c>
      <c r="O12">
        <v>1</v>
      </c>
      <c r="P12">
        <v>3</v>
      </c>
      <c r="Q12">
        <v>2</v>
      </c>
      <c r="R12">
        <v>2</v>
      </c>
    </row>
    <row r="13" spans="1:19">
      <c r="A13">
        <v>1980</v>
      </c>
      <c r="B13" t="s">
        <v>2985</v>
      </c>
      <c r="C13">
        <v>4</v>
      </c>
      <c r="D13">
        <v>1</v>
      </c>
      <c r="E13">
        <v>1</v>
      </c>
      <c r="F13">
        <v>4</v>
      </c>
      <c r="G13">
        <v>4</v>
      </c>
      <c r="I13">
        <v>5</v>
      </c>
      <c r="J13">
        <v>2</v>
      </c>
      <c r="K13">
        <v>1</v>
      </c>
      <c r="M13">
        <v>2</v>
      </c>
      <c r="N13">
        <v>8</v>
      </c>
      <c r="Q13">
        <v>1</v>
      </c>
      <c r="R13">
        <v>1</v>
      </c>
    </row>
    <row r="14" spans="1:19">
      <c r="A14">
        <v>2000</v>
      </c>
      <c r="B14" t="s">
        <v>2985</v>
      </c>
      <c r="C14">
        <v>4</v>
      </c>
      <c r="D14">
        <v>1</v>
      </c>
      <c r="E14">
        <v>4</v>
      </c>
      <c r="F14">
        <v>2</v>
      </c>
      <c r="G14">
        <v>4</v>
      </c>
      <c r="I14">
        <v>4</v>
      </c>
      <c r="J14">
        <v>2</v>
      </c>
      <c r="L14">
        <v>1</v>
      </c>
      <c r="M14">
        <v>2</v>
      </c>
      <c r="N14">
        <v>23</v>
      </c>
      <c r="Q14">
        <v>1</v>
      </c>
      <c r="R14">
        <v>4</v>
      </c>
      <c r="S14">
        <v>1</v>
      </c>
    </row>
    <row r="15" spans="1:19">
      <c r="A15">
        <v>2020</v>
      </c>
      <c r="B15" t="s">
        <v>2985</v>
      </c>
      <c r="M15">
        <v>1</v>
      </c>
      <c r="N15">
        <v>14</v>
      </c>
      <c r="O15">
        <v>1</v>
      </c>
      <c r="Q15">
        <v>1</v>
      </c>
      <c r="R15">
        <v>1</v>
      </c>
      <c r="S15">
        <v>3</v>
      </c>
    </row>
    <row r="16" spans="1:19">
      <c r="A16">
        <v>2040</v>
      </c>
      <c r="B16" t="s">
        <v>2985</v>
      </c>
      <c r="M16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15" bestFit="1" customWidth="1"/>
    <col min="11" max="11" width="20" bestFit="1" customWidth="1"/>
    <col min="12" max="12" width="6.53515625" bestFit="1" customWidth="1"/>
    <col min="13" max="13" width="15.4609375" bestFit="1" customWidth="1"/>
    <col min="14" max="14" width="13.84375" bestFit="1" customWidth="1"/>
    <col min="15" max="15" width="10.07421875" bestFit="1" customWidth="1"/>
    <col min="16" max="16" width="13.15234375" bestFit="1" customWidth="1"/>
    <col min="17" max="17" width="8.9218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2974</v>
      </c>
      <c r="C3" s="34" t="s">
        <v>2278</v>
      </c>
    </row>
    <row r="4" spans="1:17">
      <c r="A4" s="34" t="s">
        <v>2983</v>
      </c>
      <c r="B4" s="34" t="s">
        <v>906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2981</v>
      </c>
      <c r="J4" t="s">
        <v>2972</v>
      </c>
      <c r="K4" t="s">
        <v>2973</v>
      </c>
      <c r="L4" t="s">
        <v>2986</v>
      </c>
      <c r="M4" t="s">
        <v>2987</v>
      </c>
      <c r="N4" t="s">
        <v>2988</v>
      </c>
      <c r="O4" t="s">
        <v>2989</v>
      </c>
      <c r="P4" t="s">
        <v>2990</v>
      </c>
      <c r="Q4" t="s">
        <v>2991</v>
      </c>
    </row>
    <row r="5" spans="1:17">
      <c r="A5">
        <v>1820</v>
      </c>
      <c r="B5" t="s">
        <v>2985</v>
      </c>
      <c r="L5">
        <v>4</v>
      </c>
      <c r="M5">
        <v>1</v>
      </c>
      <c r="N5">
        <v>1</v>
      </c>
      <c r="O5">
        <v>1</v>
      </c>
    </row>
    <row r="6" spans="1:17">
      <c r="A6">
        <v>1840</v>
      </c>
      <c r="B6" t="s">
        <v>2985</v>
      </c>
      <c r="J6">
        <v>1</v>
      </c>
      <c r="M6">
        <v>2</v>
      </c>
      <c r="N6">
        <v>2</v>
      </c>
      <c r="O6">
        <v>2</v>
      </c>
    </row>
    <row r="7" spans="1:17">
      <c r="A7">
        <v>1880</v>
      </c>
      <c r="B7" t="s">
        <v>2985</v>
      </c>
      <c r="C7">
        <v>1</v>
      </c>
      <c r="F7">
        <v>1</v>
      </c>
      <c r="L7">
        <v>2</v>
      </c>
    </row>
    <row r="8" spans="1:17">
      <c r="A8">
        <v>1900</v>
      </c>
      <c r="B8" t="s">
        <v>2985</v>
      </c>
      <c r="C8">
        <v>2</v>
      </c>
      <c r="F8">
        <v>1</v>
      </c>
      <c r="I8">
        <v>4</v>
      </c>
      <c r="J8">
        <v>1</v>
      </c>
      <c r="L8">
        <v>3</v>
      </c>
      <c r="M8">
        <v>1</v>
      </c>
      <c r="N8">
        <v>3</v>
      </c>
      <c r="O8">
        <v>2</v>
      </c>
    </row>
    <row r="9" spans="1:17">
      <c r="A9">
        <v>1920</v>
      </c>
      <c r="B9" t="s">
        <v>2985</v>
      </c>
      <c r="C9">
        <v>3</v>
      </c>
      <c r="E9">
        <v>1</v>
      </c>
      <c r="F9">
        <v>3</v>
      </c>
      <c r="G9">
        <v>1</v>
      </c>
      <c r="H9">
        <v>1</v>
      </c>
      <c r="J9">
        <v>1</v>
      </c>
      <c r="L9">
        <v>4</v>
      </c>
      <c r="M9">
        <v>2</v>
      </c>
      <c r="N9">
        <v>4</v>
      </c>
      <c r="O9">
        <v>3</v>
      </c>
    </row>
    <row r="10" spans="1:17">
      <c r="A10">
        <v>1940</v>
      </c>
      <c r="B10" t="s">
        <v>2985</v>
      </c>
      <c r="C10">
        <v>2</v>
      </c>
      <c r="E10">
        <v>1</v>
      </c>
      <c r="F10">
        <v>3</v>
      </c>
      <c r="G10">
        <v>2</v>
      </c>
      <c r="J10">
        <v>1</v>
      </c>
      <c r="L10">
        <v>3</v>
      </c>
      <c r="N10">
        <v>2</v>
      </c>
      <c r="O10">
        <v>1</v>
      </c>
      <c r="P10">
        <v>1</v>
      </c>
    </row>
    <row r="11" spans="1:17">
      <c r="A11">
        <v>1960</v>
      </c>
      <c r="B11" t="s">
        <v>2985</v>
      </c>
      <c r="C11">
        <v>3</v>
      </c>
      <c r="F11">
        <v>3</v>
      </c>
      <c r="L11">
        <v>4</v>
      </c>
      <c r="O11">
        <v>1</v>
      </c>
      <c r="P11">
        <v>5</v>
      </c>
    </row>
    <row r="12" spans="1:17">
      <c r="A12">
        <v>1980</v>
      </c>
      <c r="B12" t="s">
        <v>2985</v>
      </c>
      <c r="C12">
        <v>2</v>
      </c>
      <c r="D12">
        <v>1</v>
      </c>
      <c r="F12">
        <v>4</v>
      </c>
      <c r="I12">
        <v>2</v>
      </c>
      <c r="L12">
        <v>6</v>
      </c>
      <c r="O12">
        <v>1</v>
      </c>
      <c r="P12">
        <v>3</v>
      </c>
    </row>
    <row r="13" spans="1:17">
      <c r="A13">
        <v>2000</v>
      </c>
      <c r="B13" t="s">
        <v>2985</v>
      </c>
      <c r="C13">
        <v>2</v>
      </c>
      <c r="D13">
        <v>2</v>
      </c>
      <c r="E13">
        <v>1</v>
      </c>
      <c r="F13">
        <v>2</v>
      </c>
      <c r="H13">
        <v>2</v>
      </c>
      <c r="I13">
        <v>2</v>
      </c>
      <c r="L13">
        <v>16</v>
      </c>
      <c r="O13">
        <v>1</v>
      </c>
      <c r="P13">
        <v>4</v>
      </c>
      <c r="Q13">
        <v>1</v>
      </c>
    </row>
    <row r="14" spans="1:17">
      <c r="A14">
        <v>2020</v>
      </c>
      <c r="B14" t="s">
        <v>2985</v>
      </c>
      <c r="L14">
        <v>8</v>
      </c>
      <c r="M14">
        <v>1</v>
      </c>
      <c r="O14">
        <v>1</v>
      </c>
      <c r="P14">
        <v>1</v>
      </c>
      <c r="Q14">
        <v>3</v>
      </c>
    </row>
    <row r="15" spans="1:17">
      <c r="A15">
        <v>2040</v>
      </c>
      <c r="B15" t="s">
        <v>2985</v>
      </c>
      <c r="K15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5" bestFit="1" customWidth="1"/>
    <col min="13" max="13" width="14.765625" bestFit="1" customWidth="1"/>
    <col min="14" max="14" width="20" bestFit="1" customWidth="1"/>
    <col min="15" max="15" width="25" bestFit="1" customWidth="1"/>
    <col min="16" max="16" width="6.53515625" bestFit="1" customWidth="1"/>
    <col min="17" max="17" width="15.4609375" bestFit="1" customWidth="1"/>
    <col min="18" max="18" width="13.84375" bestFit="1" customWidth="1"/>
    <col min="19" max="19" width="10.07421875" bestFit="1" customWidth="1"/>
    <col min="20" max="20" width="13.15234375" bestFit="1" customWidth="1"/>
    <col min="21" max="22" width="8.921875" bestFit="1" customWidth="1"/>
  </cols>
  <sheetData>
    <row r="3" spans="1:21">
      <c r="A3" s="34" t="s">
        <v>2974</v>
      </c>
      <c r="C3" s="34" t="s">
        <v>2278</v>
      </c>
    </row>
    <row r="4" spans="1:21">
      <c r="A4" s="34" t="s">
        <v>2983</v>
      </c>
      <c r="B4" s="34" t="s">
        <v>904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2978</v>
      </c>
      <c r="L4" t="s">
        <v>2972</v>
      </c>
      <c r="M4" t="s">
        <v>2979</v>
      </c>
      <c r="N4" t="s">
        <v>2973</v>
      </c>
      <c r="O4" t="s">
        <v>2982</v>
      </c>
      <c r="P4" t="s">
        <v>2986</v>
      </c>
      <c r="Q4" t="s">
        <v>2987</v>
      </c>
      <c r="R4" t="s">
        <v>2988</v>
      </c>
      <c r="S4" t="s">
        <v>2989</v>
      </c>
      <c r="T4" t="s">
        <v>2990</v>
      </c>
      <c r="U4" t="s">
        <v>2991</v>
      </c>
    </row>
    <row r="5" spans="1:21">
      <c r="A5">
        <v>1660</v>
      </c>
      <c r="B5" t="s">
        <v>2985</v>
      </c>
      <c r="P5">
        <v>1</v>
      </c>
    </row>
    <row r="6" spans="1:21">
      <c r="A6">
        <v>1820</v>
      </c>
      <c r="B6" t="s">
        <v>2985</v>
      </c>
      <c r="L6">
        <v>1</v>
      </c>
      <c r="P6">
        <v>4</v>
      </c>
      <c r="Q6">
        <v>1</v>
      </c>
      <c r="R6">
        <v>1</v>
      </c>
      <c r="S6">
        <v>1</v>
      </c>
    </row>
    <row r="7" spans="1:21">
      <c r="A7">
        <v>1840</v>
      </c>
      <c r="B7" t="s">
        <v>2985</v>
      </c>
      <c r="F7">
        <v>1</v>
      </c>
      <c r="L7">
        <v>1</v>
      </c>
      <c r="Q7">
        <v>2</v>
      </c>
      <c r="R7">
        <v>2</v>
      </c>
      <c r="S7">
        <v>2</v>
      </c>
    </row>
    <row r="8" spans="1:21">
      <c r="A8">
        <v>1860</v>
      </c>
      <c r="B8" t="s">
        <v>2985</v>
      </c>
      <c r="F8">
        <v>1</v>
      </c>
    </row>
    <row r="9" spans="1:21">
      <c r="A9">
        <v>1880</v>
      </c>
      <c r="B9" t="s">
        <v>2985</v>
      </c>
      <c r="C9">
        <v>1</v>
      </c>
      <c r="F9">
        <v>1</v>
      </c>
      <c r="H9">
        <v>1</v>
      </c>
      <c r="L9">
        <v>3</v>
      </c>
      <c r="P9">
        <v>3</v>
      </c>
    </row>
    <row r="10" spans="1:21">
      <c r="A10">
        <v>1900</v>
      </c>
      <c r="B10" t="s">
        <v>2985</v>
      </c>
      <c r="C10">
        <v>8</v>
      </c>
      <c r="F10">
        <v>5</v>
      </c>
      <c r="G10">
        <v>2</v>
      </c>
      <c r="H10">
        <v>1</v>
      </c>
      <c r="I10">
        <v>1</v>
      </c>
      <c r="J10">
        <v>4</v>
      </c>
      <c r="L10">
        <v>4</v>
      </c>
      <c r="P10">
        <v>3</v>
      </c>
      <c r="Q10">
        <v>1</v>
      </c>
      <c r="R10">
        <v>2</v>
      </c>
      <c r="S10">
        <v>1</v>
      </c>
    </row>
    <row r="11" spans="1:21">
      <c r="A11">
        <v>1920</v>
      </c>
      <c r="B11" t="s">
        <v>2985</v>
      </c>
      <c r="C11">
        <v>9</v>
      </c>
      <c r="D11">
        <v>1</v>
      </c>
      <c r="F11">
        <v>6</v>
      </c>
      <c r="G11">
        <v>1</v>
      </c>
      <c r="I11">
        <v>1</v>
      </c>
      <c r="L11">
        <v>5</v>
      </c>
      <c r="N11">
        <v>1</v>
      </c>
      <c r="P11">
        <v>6</v>
      </c>
      <c r="Q11">
        <v>2</v>
      </c>
      <c r="R11">
        <v>2</v>
      </c>
      <c r="S11">
        <v>2</v>
      </c>
    </row>
    <row r="12" spans="1:21">
      <c r="A12">
        <v>1940</v>
      </c>
      <c r="B12" t="s">
        <v>2985</v>
      </c>
      <c r="C12">
        <v>6</v>
      </c>
      <c r="D12">
        <v>1</v>
      </c>
      <c r="F12">
        <v>9</v>
      </c>
      <c r="I12">
        <v>2</v>
      </c>
      <c r="K12">
        <v>1</v>
      </c>
      <c r="L12">
        <v>4</v>
      </c>
      <c r="P12">
        <v>5</v>
      </c>
      <c r="Q12">
        <v>2</v>
      </c>
      <c r="R12">
        <v>3</v>
      </c>
      <c r="S12">
        <v>2</v>
      </c>
      <c r="T12">
        <v>3</v>
      </c>
    </row>
    <row r="13" spans="1:21">
      <c r="A13">
        <v>1960</v>
      </c>
      <c r="B13" t="s">
        <v>2985</v>
      </c>
      <c r="C13">
        <v>7</v>
      </c>
      <c r="D13">
        <v>2</v>
      </c>
      <c r="E13">
        <v>4</v>
      </c>
      <c r="F13">
        <v>4</v>
      </c>
      <c r="I13">
        <v>3</v>
      </c>
      <c r="O13">
        <v>1</v>
      </c>
      <c r="P13">
        <v>5</v>
      </c>
      <c r="Q13">
        <v>1</v>
      </c>
      <c r="R13">
        <v>3</v>
      </c>
      <c r="S13">
        <v>2</v>
      </c>
      <c r="T13">
        <v>2</v>
      </c>
    </row>
    <row r="14" spans="1:21">
      <c r="A14">
        <v>1980</v>
      </c>
      <c r="B14" t="s">
        <v>2985</v>
      </c>
      <c r="C14">
        <v>10</v>
      </c>
      <c r="D14">
        <v>3</v>
      </c>
      <c r="E14">
        <v>3</v>
      </c>
      <c r="F14">
        <v>3</v>
      </c>
      <c r="I14">
        <v>2</v>
      </c>
      <c r="J14">
        <v>2</v>
      </c>
      <c r="M14">
        <v>1</v>
      </c>
      <c r="O14">
        <v>4</v>
      </c>
      <c r="P14">
        <v>7</v>
      </c>
      <c r="S14">
        <v>1</v>
      </c>
      <c r="T14">
        <v>1</v>
      </c>
    </row>
    <row r="15" spans="1:21">
      <c r="A15">
        <v>2000</v>
      </c>
      <c r="B15" t="s">
        <v>2985</v>
      </c>
      <c r="C15">
        <v>2</v>
      </c>
      <c r="D15">
        <v>2</v>
      </c>
      <c r="F15">
        <v>5</v>
      </c>
      <c r="I15">
        <v>1</v>
      </c>
      <c r="J15">
        <v>2</v>
      </c>
      <c r="N15">
        <v>3</v>
      </c>
      <c r="O15">
        <v>2</v>
      </c>
      <c r="P15">
        <v>20</v>
      </c>
      <c r="S15">
        <v>1</v>
      </c>
      <c r="T15">
        <v>4</v>
      </c>
      <c r="U15">
        <v>1</v>
      </c>
    </row>
    <row r="16" spans="1:21">
      <c r="A16">
        <v>2020</v>
      </c>
      <c r="B16" t="s">
        <v>2985</v>
      </c>
      <c r="N16">
        <v>1</v>
      </c>
      <c r="P16">
        <v>12</v>
      </c>
      <c r="Q16">
        <v>1</v>
      </c>
      <c r="S16">
        <v>1</v>
      </c>
      <c r="T16">
        <v>1</v>
      </c>
      <c r="U16">
        <v>3</v>
      </c>
    </row>
    <row r="17" spans="1:14">
      <c r="A17">
        <v>2040</v>
      </c>
      <c r="B17" t="s">
        <v>2985</v>
      </c>
      <c r="N17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5" bestFit="1" customWidth="1"/>
    <col min="12" max="12" width="20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910</v>
      </c>
      <c r="C4" t="s">
        <v>2975</v>
      </c>
      <c r="D4" t="s">
        <v>2969</v>
      </c>
      <c r="E4" t="s">
        <v>2980</v>
      </c>
      <c r="F4" t="s">
        <v>2977</v>
      </c>
      <c r="G4" t="s">
        <v>2970</v>
      </c>
      <c r="H4" t="s">
        <v>2976</v>
      </c>
      <c r="I4" t="s">
        <v>2971</v>
      </c>
      <c r="J4" t="s">
        <v>2981</v>
      </c>
      <c r="K4" t="s">
        <v>2972</v>
      </c>
      <c r="L4" t="s">
        <v>2973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1</v>
      </c>
    </row>
    <row r="6" spans="1:18">
      <c r="A6">
        <v>1820</v>
      </c>
      <c r="B6" t="s">
        <v>2985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2985</v>
      </c>
      <c r="N7">
        <v>2</v>
      </c>
      <c r="O7">
        <v>2</v>
      </c>
      <c r="P7">
        <v>2</v>
      </c>
    </row>
    <row r="8" spans="1:18">
      <c r="A8">
        <v>1880</v>
      </c>
      <c r="B8" t="s">
        <v>2985</v>
      </c>
      <c r="I8">
        <v>1</v>
      </c>
      <c r="K8">
        <v>1</v>
      </c>
      <c r="M8">
        <v>3</v>
      </c>
    </row>
    <row r="9" spans="1:18">
      <c r="A9">
        <v>1900</v>
      </c>
      <c r="B9" t="s">
        <v>2985</v>
      </c>
      <c r="C9">
        <v>1</v>
      </c>
      <c r="H9">
        <v>1</v>
      </c>
      <c r="J9">
        <v>4</v>
      </c>
      <c r="K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2985</v>
      </c>
      <c r="C10">
        <v>4</v>
      </c>
      <c r="E10">
        <v>1</v>
      </c>
      <c r="F10">
        <v>1</v>
      </c>
      <c r="G10">
        <v>1</v>
      </c>
      <c r="H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2985</v>
      </c>
      <c r="C11">
        <v>2</v>
      </c>
      <c r="F11">
        <v>3</v>
      </c>
      <c r="G11">
        <v>2</v>
      </c>
      <c r="K11">
        <v>1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2985</v>
      </c>
      <c r="C12">
        <v>4</v>
      </c>
      <c r="F12">
        <v>6</v>
      </c>
      <c r="G12">
        <v>1</v>
      </c>
      <c r="I12">
        <v>2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2985</v>
      </c>
      <c r="C13">
        <v>2</v>
      </c>
      <c r="D13">
        <v>1</v>
      </c>
      <c r="E13">
        <v>2</v>
      </c>
      <c r="F13">
        <v>4</v>
      </c>
      <c r="G13">
        <v>4</v>
      </c>
      <c r="J13">
        <v>2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2985</v>
      </c>
      <c r="C14">
        <v>4</v>
      </c>
      <c r="D14">
        <v>2</v>
      </c>
      <c r="E14">
        <v>3</v>
      </c>
      <c r="J14">
        <v>2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2985</v>
      </c>
      <c r="L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2985</v>
      </c>
      <c r="L16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4" sqref="B4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15" bestFit="1" customWidth="1"/>
    <col min="11" max="11" width="20" bestFit="1" customWidth="1"/>
    <col min="12" max="12" width="25" bestFit="1" customWidth="1"/>
    <col min="13" max="13" width="6.53515625" bestFit="1" customWidth="1"/>
    <col min="14" max="14" width="15.4609375" bestFit="1" customWidth="1"/>
    <col min="15" max="15" width="13.84375" bestFit="1" customWidth="1"/>
    <col min="16" max="16" width="10.07421875" bestFit="1" customWidth="1"/>
    <col min="17" max="17" width="13.15234375" bestFit="1" customWidth="1"/>
    <col min="18" max="18" width="8.9218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2974</v>
      </c>
      <c r="C3" s="34" t="s">
        <v>2278</v>
      </c>
    </row>
    <row r="4" spans="1:18">
      <c r="A4" s="34" t="s">
        <v>2983</v>
      </c>
      <c r="B4" s="34" t="s">
        <v>905</v>
      </c>
      <c r="C4" t="s">
        <v>2975</v>
      </c>
      <c r="D4" t="s">
        <v>2969</v>
      </c>
      <c r="E4" t="s">
        <v>2980</v>
      </c>
      <c r="F4" t="s">
        <v>2977</v>
      </c>
      <c r="G4" t="s">
        <v>2976</v>
      </c>
      <c r="H4" t="s">
        <v>2971</v>
      </c>
      <c r="I4" t="s">
        <v>2981</v>
      </c>
      <c r="J4" t="s">
        <v>2972</v>
      </c>
      <c r="K4" t="s">
        <v>2973</v>
      </c>
      <c r="L4" t="s">
        <v>2982</v>
      </c>
      <c r="M4" t="s">
        <v>2986</v>
      </c>
      <c r="N4" t="s">
        <v>2987</v>
      </c>
      <c r="O4" t="s">
        <v>2988</v>
      </c>
      <c r="P4" t="s">
        <v>2989</v>
      </c>
      <c r="Q4" t="s">
        <v>2990</v>
      </c>
      <c r="R4" t="s">
        <v>2991</v>
      </c>
    </row>
    <row r="5" spans="1:18">
      <c r="A5">
        <v>1660</v>
      </c>
      <c r="B5" t="s">
        <v>2985</v>
      </c>
      <c r="M5">
        <v>1</v>
      </c>
    </row>
    <row r="6" spans="1:18">
      <c r="A6">
        <v>1820</v>
      </c>
      <c r="B6" t="s">
        <v>2985</v>
      </c>
      <c r="M6">
        <v>4</v>
      </c>
      <c r="N6">
        <v>1</v>
      </c>
      <c r="O6">
        <v>1</v>
      </c>
      <c r="P6">
        <v>1</v>
      </c>
    </row>
    <row r="7" spans="1:18">
      <c r="A7">
        <v>1840</v>
      </c>
      <c r="B7" t="s">
        <v>2985</v>
      </c>
      <c r="N7">
        <v>2</v>
      </c>
      <c r="O7">
        <v>2</v>
      </c>
      <c r="P7">
        <v>2</v>
      </c>
    </row>
    <row r="8" spans="1:18">
      <c r="A8">
        <v>1880</v>
      </c>
      <c r="B8" t="s">
        <v>2985</v>
      </c>
      <c r="J8">
        <v>1</v>
      </c>
      <c r="M8">
        <v>3</v>
      </c>
    </row>
    <row r="9" spans="1:18">
      <c r="A9">
        <v>1900</v>
      </c>
      <c r="B9" t="s">
        <v>2985</v>
      </c>
      <c r="C9">
        <v>1</v>
      </c>
      <c r="F9">
        <v>2</v>
      </c>
      <c r="I9">
        <v>4</v>
      </c>
      <c r="J9">
        <v>1</v>
      </c>
      <c r="M9">
        <v>3</v>
      </c>
      <c r="N9">
        <v>1</v>
      </c>
      <c r="O9">
        <v>2</v>
      </c>
      <c r="P9">
        <v>1</v>
      </c>
    </row>
    <row r="10" spans="1:18">
      <c r="A10">
        <v>1920</v>
      </c>
      <c r="B10" t="s">
        <v>2985</v>
      </c>
      <c r="C10">
        <v>2</v>
      </c>
      <c r="D10">
        <v>1</v>
      </c>
      <c r="E10">
        <v>1</v>
      </c>
      <c r="F10">
        <v>1</v>
      </c>
      <c r="G10">
        <v>1</v>
      </c>
      <c r="J10">
        <v>1</v>
      </c>
      <c r="M10">
        <v>6</v>
      </c>
      <c r="N10">
        <v>2</v>
      </c>
      <c r="O10">
        <v>2</v>
      </c>
      <c r="P10">
        <v>2</v>
      </c>
    </row>
    <row r="11" spans="1:18">
      <c r="A11">
        <v>1940</v>
      </c>
      <c r="B11" t="s">
        <v>2985</v>
      </c>
      <c r="C11">
        <v>6</v>
      </c>
      <c r="D11">
        <v>1</v>
      </c>
      <c r="E11">
        <v>1</v>
      </c>
      <c r="F11">
        <v>4</v>
      </c>
      <c r="G11">
        <v>2</v>
      </c>
      <c r="H11">
        <v>2</v>
      </c>
      <c r="M11">
        <v>5</v>
      </c>
      <c r="N11">
        <v>2</v>
      </c>
      <c r="O11">
        <v>3</v>
      </c>
      <c r="P11">
        <v>2</v>
      </c>
      <c r="Q11">
        <v>3</v>
      </c>
    </row>
    <row r="12" spans="1:18">
      <c r="A12">
        <v>1960</v>
      </c>
      <c r="B12" t="s">
        <v>2985</v>
      </c>
      <c r="C12">
        <v>4</v>
      </c>
      <c r="E12">
        <v>1</v>
      </c>
      <c r="F12">
        <v>6</v>
      </c>
      <c r="H12">
        <v>1</v>
      </c>
      <c r="M12">
        <v>5</v>
      </c>
      <c r="N12">
        <v>1</v>
      </c>
      <c r="O12">
        <v>3</v>
      </c>
      <c r="P12">
        <v>2</v>
      </c>
      <c r="Q12">
        <v>2</v>
      </c>
    </row>
    <row r="13" spans="1:18">
      <c r="A13">
        <v>1980</v>
      </c>
      <c r="B13" t="s">
        <v>2985</v>
      </c>
      <c r="C13">
        <v>4</v>
      </c>
      <c r="D13">
        <v>1</v>
      </c>
      <c r="E13">
        <v>2</v>
      </c>
      <c r="F13">
        <v>2</v>
      </c>
      <c r="H13">
        <v>1</v>
      </c>
      <c r="I13">
        <v>2</v>
      </c>
      <c r="L13">
        <v>1</v>
      </c>
      <c r="M13">
        <v>7</v>
      </c>
      <c r="P13">
        <v>1</v>
      </c>
      <c r="Q13">
        <v>1</v>
      </c>
    </row>
    <row r="14" spans="1:18">
      <c r="A14">
        <v>2000</v>
      </c>
      <c r="B14" t="s">
        <v>2985</v>
      </c>
      <c r="E14">
        <v>1</v>
      </c>
      <c r="F14">
        <v>1</v>
      </c>
      <c r="I14">
        <v>2</v>
      </c>
      <c r="K14">
        <v>3</v>
      </c>
      <c r="M14">
        <v>20</v>
      </c>
      <c r="P14">
        <v>1</v>
      </c>
      <c r="Q14">
        <v>4</v>
      </c>
      <c r="R14">
        <v>1</v>
      </c>
    </row>
    <row r="15" spans="1:18">
      <c r="A15">
        <v>2020</v>
      </c>
      <c r="B15" t="s">
        <v>2985</v>
      </c>
      <c r="H15">
        <v>1</v>
      </c>
      <c r="K15">
        <v>1</v>
      </c>
      <c r="M15">
        <v>12</v>
      </c>
      <c r="N15">
        <v>1</v>
      </c>
      <c r="P15">
        <v>1</v>
      </c>
      <c r="Q15">
        <v>1</v>
      </c>
      <c r="R15">
        <v>3</v>
      </c>
    </row>
    <row r="16" spans="1:18">
      <c r="A16">
        <v>2040</v>
      </c>
      <c r="B16" t="s">
        <v>2985</v>
      </c>
      <c r="K1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4"/>
  <sheetViews>
    <sheetView workbookViewId="0">
      <pane xSplit="1" ySplit="1" topLeftCell="B770" activePane="bottomRight" state="frozen"/>
      <selection pane="topRight" activeCell="B1" sqref="B1"/>
      <selection pane="bottomLeft" activeCell="A2" sqref="A2"/>
      <selection pane="bottomRight" activeCell="B795" sqref="B795:O79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2983</v>
      </c>
      <c r="C1" t="s">
        <v>2278</v>
      </c>
      <c r="D1" s="36" t="s">
        <v>684</v>
      </c>
      <c r="E1" s="36" t="s">
        <v>685</v>
      </c>
      <c r="F1" s="36" t="s">
        <v>2984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4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 (Freight)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 (Freight)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 (Freight)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 (Freight)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 (Freight)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 (Freight)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 (Freight)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 (Freight)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 (Freight)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 (Freight)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 (Freight)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 (Freight)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 (Freight)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 (Freight)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 (Freight)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 (Freight)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 (Freight)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 (Freight)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 (Freight)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 (Freight)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 (Freight)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 (Freight)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 (Freight)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 (Freight)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 (Freight)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 (Freight)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 (Freight)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 (Freight)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 (Freight)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 (Freight)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 (Freight)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 (Freight)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 (Freight)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 (Freight)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 (Freight)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 (Freight)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 (Freight)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 (Freight)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 (Freight)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 (Freight)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 (Freight)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 (Freight)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 (Freight)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 (Freight)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 (Freight)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 (Freight)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 (Freight)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 (Freight)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 (Freight)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 (Freight)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 (Freight)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 (Freight)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 (Freight)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 (Freight)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 (Freight)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 (Freight)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Commuter Coach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Regional Coach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Mail Coach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Commuter Coach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Regional Coach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Mail Coach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Commuter Coach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Regional Coach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Mail Coach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Regional Coach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Mail Coach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Regional Coach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Commuter Coach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Regional Coach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Mail Coach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Commuter Coach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Regional Coach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Mail Coach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Commuter Coach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Regional Coach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Mail Coach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Regional Coach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Regional Coach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Mail Coach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Express Coach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Regional Coach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Mail Coach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Regional Coach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Regional Coach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Regional Coach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Mail Coach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Express Coach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Express Coach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Regional Coach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Commuter Coach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Commuter Coach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Mail Coach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Regional Coach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Commuter Coach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Regional Coach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Mail Coach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Express Coach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Express Coach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Commuter Coach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Mail Coach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Regional Coach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Regional Coach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Regional Coach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Mail Coach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Express Coach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Express Coach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Express Coach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Express Coach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794" si="81">_xlfn.CONCAT($D771,"_",$E771)</f>
        <v>ALL_AMERICA_OCEANIA</v>
      </c>
      <c r="G771" t="b">
        <f t="shared" ref="G771:G794" si="82">OR(ISNUMBER(SEARCH("ALL_REGION",$F771)),
ISNUMBER(SEARCH("AFRICA",$F771)),
ISNUMBER(SEARCH("REGIONTYPE1",$F771)),
ISNUMBER(SEARCH("REGIONTYPE2",$F771)))</f>
        <v>0</v>
      </c>
      <c r="H771" t="b">
        <f t="shared" ref="H771:H794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4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4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794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Express Coach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Express Coach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Mail Coach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Express Coach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HS Coach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Express Coach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Express Coach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Express Coach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Express Coach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Mail Coach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Express Coach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Mail Coach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HS Coach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HS Coach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Commuter Coach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Mail Coach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Express Coach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HS Coach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 (Freight)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</row>
    <row r="796" spans="1:15">
      <c r="A796" t="str">
        <v>steam_Ivory_Coast_Golwe_2_6_0_0_6_2T</v>
      </c>
    </row>
    <row r="797" spans="1:15">
      <c r="A797" t="str">
        <v>diesel_Ghana_Railway_Corporation_Class_TT12</v>
      </c>
    </row>
    <row r="798" spans="1:15">
      <c r="A798" t="str">
        <v>diesel_Sierra_Leone_LAMCO_301_Series</v>
      </c>
    </row>
    <row r="799" spans="1:15">
      <c r="A799" t="str">
        <v>electric_Congo_Type_2450_Acec_Charleroi_Zaire_Electric</v>
      </c>
    </row>
    <row r="800" spans="1:15">
      <c r="A800" t="str">
        <v>diesel_Congo_Alstom_BB_BB</v>
      </c>
    </row>
    <row r="801" spans="1:1">
      <c r="A801" t="str">
        <v>diesel_Zimbabwe_Sorefame_DE8</v>
      </c>
    </row>
    <row r="802" spans="1:1">
      <c r="A802" t="str">
        <v>diesel_Ivory_Coast_GMD_GT22LC2</v>
      </c>
    </row>
    <row r="803" spans="1:1">
      <c r="A803" t="str">
        <v>electric_Tanzania_TRC_E6800</v>
      </c>
    </row>
    <row r="804" spans="1:1">
      <c r="A804" t="str">
        <v>mtro_USA_Brooklyn_Union_Gate_Car</v>
      </c>
    </row>
  </sheetData>
  <autoFilter ref="A1:O793" xr:uid="{94AF2F1A-9287-4526-9497-B34C300AF4DB}"/>
  <conditionalFormatting sqref="G1:G1048576">
    <cfRule type="containsText" dxfId="14" priority="17" operator="containsText" text="FALSE">
      <formula>NOT(ISERROR(SEARCH("FALSE",G1)))</formula>
    </cfRule>
  </conditionalFormatting>
  <conditionalFormatting sqref="H1:I792 H795:I1048576">
    <cfRule type="containsText" dxfId="13" priority="16" operator="containsText" text="FALSE">
      <formula>NOT(ISERROR(SEARCH("FALSE",H1)))</formula>
    </cfRule>
  </conditionalFormatting>
  <conditionalFormatting sqref="H2:O794">
    <cfRule type="containsText" dxfId="12" priority="1" operator="containsText" text="FALSE">
      <formula>NOT(ISERROR(SEARCH("FALSE",H2)))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1" workbookViewId="0">
      <selection activeCell="N232" sqref="N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3041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2837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2837</v>
      </c>
      <c r="B25" t="s">
        <v>2838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roster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2026-04-17T16:25:58Z</dcterms:modified>
</cp:coreProperties>
</file>